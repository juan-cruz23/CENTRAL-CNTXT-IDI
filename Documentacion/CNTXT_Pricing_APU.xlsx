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Actuales" sheetId="1" state="visible" r:id="rId1"/>
    <sheet xmlns:r="http://schemas.openxmlformats.org/officeDocument/2006/relationships" name="Valor Unitario (APU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i val="1"/>
      <color rgb="0092400E"/>
      <sz val="9"/>
    </font>
    <font>
      <name val="Calibri"/>
      <i val="1"/>
      <color rgb="00166534"/>
      <sz val="9"/>
    </font>
  </fonts>
  <fills count="2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0F766E"/>
      </patternFill>
    </fill>
    <fill>
      <patternFill patternType="solid">
        <fgColor rgb="00B45309"/>
      </patternFill>
    </fill>
    <fill>
      <patternFill patternType="solid">
        <fgColor rgb="00374151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9FAFB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3B1F5F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0FDF4"/>
      </patternFill>
    </fill>
    <fill>
      <patternFill patternType="solid">
        <fgColor rgb="00FAF5FF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2" fontId="3" fillId="11" borderId="1" applyAlignment="1" pivotButton="0" quotePrefix="0" xfId="0">
      <alignment horizontal="center" vertical="center"/>
    </xf>
    <xf numFmtId="3" fontId="3" fillId="11" borderId="1" applyAlignment="1" pivotButton="0" quotePrefix="0" xfId="0">
      <alignment horizontal="right" vertical="center"/>
    </xf>
    <xf numFmtId="0" fontId="2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left" vertical="center" wrapText="1"/>
    </xf>
    <xf numFmtId="165" fontId="3" fillId="13" borderId="1" applyAlignment="1" pivotButton="0" quotePrefix="0" xfId="0">
      <alignment horizontal="center" vertical="center" wrapText="1"/>
    </xf>
    <xf numFmtId="2" fontId="3" fillId="12" borderId="1" applyAlignment="1" pivotButton="0" quotePrefix="0" xfId="0">
      <alignment horizontal="center" vertical="center" wrapText="1"/>
    </xf>
    <xf numFmtId="3" fontId="3" fillId="12" borderId="1" applyAlignment="1" pivotButton="0" quotePrefix="0" xfId="0">
      <alignment horizontal="right" vertical="center"/>
    </xf>
    <xf numFmtId="0" fontId="6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2" fontId="3" fillId="10" borderId="1" applyAlignment="1" pivotButton="0" quotePrefix="0" xfId="0">
      <alignment horizontal="center" vertical="center" wrapText="1"/>
    </xf>
    <xf numFmtId="3" fontId="3" fillId="10" borderId="1" applyAlignment="1" pivotButton="0" quotePrefix="0" xfId="0">
      <alignment horizontal="right" vertical="center"/>
    </xf>
    <xf numFmtId="2" fontId="3" fillId="11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165" fontId="3" fillId="19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8" customWidth="1" min="3" max="3"/>
    <col width="16" customWidth="1" min="4" max="4"/>
    <col width="10" customWidth="1" min="5" max="5"/>
    <col width="10" customWidth="1" min="6" max="6"/>
    <col width="8" customWidth="1" min="7" max="7"/>
    <col width="18" customWidth="1" min="8" max="8"/>
    <col width="10" customWidth="1" min="9" max="9"/>
    <col width="13" customWidth="1" min="10" max="10"/>
    <col width="10" customWidth="1" min="11" max="11"/>
    <col width="8" customWidth="1" min="12" max="12"/>
    <col width="18" customWidth="1" min="13" max="13"/>
    <col width="12" customWidth="1" min="14" max="14"/>
    <col width="18" customWidth="1" min="15" max="15"/>
    <col width="12" customWidth="1" min="16" max="16"/>
  </cols>
  <sheetData>
    <row r="1" ht="28" customHeight="1">
      <c r="A1" s="1" t="inlineStr">
        <is>
          <t>CNTXT — Central Contexto 2.0  |  Pricing Consolidado — Todas las Líneas</t>
        </is>
      </c>
    </row>
    <row r="2" ht="20" customHeight="1">
      <c r="A2" s="2" t="inlineStr">
        <is>
          <t>IDENTIFICACIÓN</t>
        </is>
      </c>
      <c r="D2" s="3" t="inlineStr">
        <is>
          <t>CLASIFICACIÓN</t>
        </is>
      </c>
      <c r="F2" s="4" t="inlineStr">
        <is>
          <t>TIEMPOS &amp; COSTO BASE</t>
        </is>
      </c>
      <c r="I2" s="5" t="inlineStr">
        <is>
          <t>MÁRGENES (%)</t>
        </is>
      </c>
      <c r="L2" s="6" t="inlineStr">
        <is>
          <t>ESTADO</t>
        </is>
      </c>
      <c r="N2" s="6" t="inlineStr">
        <is>
          <t>FUENTE</t>
        </is>
      </c>
    </row>
    <row r="3" ht="32" customHeight="1">
      <c r="A3" s="6" t="inlineStr">
        <is>
          <t>Código</t>
        </is>
      </c>
      <c r="B3" s="6" t="inlineStr">
        <is>
          <t>Línea</t>
        </is>
      </c>
      <c r="C3" s="6" t="inlineStr">
        <is>
          <t>Nombre Servicio</t>
        </is>
      </c>
      <c r="D3" s="6" t="inlineStr">
        <is>
          <t>Subcategoría</t>
        </is>
      </c>
      <c r="E3" s="6" t="inlineStr">
        <is>
          <t>Fase</t>
        </is>
      </c>
      <c r="F3" s="6" t="inlineStr">
        <is>
          <t>Horas Est.</t>
        </is>
      </c>
      <c r="G3" s="6" t="inlineStr">
        <is>
          <t>Días Est.</t>
        </is>
      </c>
      <c r="H3" s="6" t="inlineStr">
        <is>
          <t>Precio Base (COP)</t>
        </is>
      </c>
      <c r="I3" s="6" t="inlineStr">
        <is>
          <t>Margen (%)</t>
        </is>
      </c>
      <c r="J3" s="6" t="inlineStr">
        <is>
          <t>Contingencia (%)</t>
        </is>
      </c>
      <c r="K3" s="6" t="inlineStr">
        <is>
          <t>Utilidad (%)</t>
        </is>
      </c>
      <c r="L3" s="6" t="inlineStr">
        <is>
          <t>Activo</t>
        </is>
      </c>
      <c r="M3" s="6" t="inlineStr">
        <is>
          <t>UND Entregable (Excel)</t>
        </is>
      </c>
      <c r="N3" s="6" t="inlineStr">
        <is>
          <t>Horas (Excel)</t>
        </is>
      </c>
      <c r="O3" s="6" t="inlineStr">
        <is>
          <t>Precio (Excel)</t>
        </is>
      </c>
      <c r="P3" s="6" t="inlineStr">
        <is>
          <t>Diferencia h</t>
        </is>
      </c>
    </row>
    <row r="4">
      <c r="A4" s="7" t="inlineStr">
        <is>
          <t>D0.1</t>
        </is>
      </c>
      <c r="B4" s="8" t="inlineStr">
        <is>
          <t>D.sign</t>
        </is>
      </c>
      <c r="C4" s="9" t="inlineStr">
        <is>
          <t>Diagnóstico del proyecto y preliminares</t>
        </is>
      </c>
      <c r="D4" s="9" t="inlineStr">
        <is>
          <t>Proyecto</t>
        </is>
      </c>
      <c r="E4" s="9" t="inlineStr">
        <is>
          <t>Fase 1</t>
        </is>
      </c>
      <c r="F4" s="10" t="n">
        <v>7.6</v>
      </c>
      <c r="G4" s="10" t="n">
        <v>1</v>
      </c>
      <c r="H4" s="11" t="n">
        <v>696788</v>
      </c>
      <c r="I4" s="12" t="n">
        <v>30</v>
      </c>
      <c r="J4" s="12" t="n">
        <v>15</v>
      </c>
      <c r="K4" s="12" t="n">
        <v>20</v>
      </c>
      <c r="L4" s="13" t="inlineStr">
        <is>
          <t>✗</t>
        </is>
      </c>
      <c r="M4" s="9" t="inlineStr">
        <is>
          <t>Proyecto</t>
        </is>
      </c>
      <c r="N4" s="10" t="n">
        <v>7.6</v>
      </c>
      <c r="O4" s="11" t="n">
        <v>696788</v>
      </c>
      <c r="P4" s="14" t="n">
        <v>0</v>
      </c>
    </row>
    <row r="5">
      <c r="A5" s="7" t="inlineStr">
        <is>
          <t>D0.2</t>
        </is>
      </c>
      <c r="B5" s="8" t="inlineStr">
        <is>
          <t>D.sign</t>
        </is>
      </c>
      <c r="C5" s="15" t="inlineStr">
        <is>
          <t>Análisis de determinantes y conceptualización</t>
        </is>
      </c>
      <c r="D5" s="15" t="inlineStr">
        <is>
          <t>Proyecto</t>
        </is>
      </c>
      <c r="E5" s="15" t="inlineStr">
        <is>
          <t>Fase 1</t>
        </is>
      </c>
      <c r="F5" s="10" t="n">
        <v>31.2</v>
      </c>
      <c r="G5" s="10" t="n">
        <v>4</v>
      </c>
      <c r="H5" s="11" t="n">
        <v>2851396</v>
      </c>
      <c r="I5" s="12" t="n">
        <v>30</v>
      </c>
      <c r="J5" s="12" t="n">
        <v>15</v>
      </c>
      <c r="K5" s="12" t="n">
        <v>20</v>
      </c>
      <c r="L5" s="16" t="inlineStr">
        <is>
          <t>✓</t>
        </is>
      </c>
      <c r="M5" s="15" t="inlineStr">
        <is>
          <t>ha</t>
        </is>
      </c>
      <c r="N5" s="10" t="n">
        <v>31.2</v>
      </c>
      <c r="O5" s="11" t="n">
        <v>2851396</v>
      </c>
      <c r="P5" s="14" t="n">
        <v>0</v>
      </c>
    </row>
    <row r="6">
      <c r="A6" s="7" t="inlineStr">
        <is>
          <t>D0.3</t>
        </is>
      </c>
      <c r="B6" s="8" t="inlineStr">
        <is>
          <t>D.sign</t>
        </is>
      </c>
      <c r="C6" s="9" t="inlineStr">
        <is>
          <t>Presentación de desarrollo arquitectónico</t>
        </is>
      </c>
      <c r="D6" s="9" t="inlineStr">
        <is>
          <t>Proyecto</t>
        </is>
      </c>
      <c r="E6" s="9" t="inlineStr">
        <is>
          <t>Fase 1</t>
        </is>
      </c>
      <c r="F6" s="10" t="n">
        <v>20.7</v>
      </c>
      <c r="G6" s="10" t="n">
        <v>3</v>
      </c>
      <c r="H6" s="11" t="n">
        <v>1973852</v>
      </c>
      <c r="I6" s="12" t="n">
        <v>30</v>
      </c>
      <c r="J6" s="12" t="n">
        <v>15</v>
      </c>
      <c r="K6" s="12" t="n">
        <v>20</v>
      </c>
      <c r="L6" s="16" t="inlineStr">
        <is>
          <t>✓</t>
        </is>
      </c>
      <c r="M6" s="9" t="inlineStr">
        <is>
          <t>Proyecto</t>
        </is>
      </c>
      <c r="N6" s="10" t="n">
        <v>20.7</v>
      </c>
      <c r="O6" s="11" t="n">
        <v>1973852</v>
      </c>
      <c r="P6" s="14" t="n">
        <v>0</v>
      </c>
    </row>
    <row r="7">
      <c r="A7" s="7" t="inlineStr">
        <is>
          <t>D0.4</t>
        </is>
      </c>
      <c r="B7" s="8" t="inlineStr">
        <is>
          <t>D.sign</t>
        </is>
      </c>
      <c r="C7" s="15" t="inlineStr">
        <is>
          <t>Presupuesto para ejecución de obra</t>
        </is>
      </c>
      <c r="D7" s="15" t="inlineStr">
        <is>
          <t>Proyecto</t>
        </is>
      </c>
      <c r="E7" s="15" t="inlineStr"/>
      <c r="F7" s="17" t="n">
        <v>0</v>
      </c>
      <c r="G7" s="17" t="n">
        <v>0</v>
      </c>
      <c r="H7" s="18" t="n">
        <v>0</v>
      </c>
      <c r="I7" s="12" t="n">
        <v>20</v>
      </c>
      <c r="J7" s="12" t="n">
        <v>15</v>
      </c>
      <c r="K7" s="12" t="n">
        <v>20</v>
      </c>
      <c r="L7" s="16" t="inlineStr">
        <is>
          <t>✓</t>
        </is>
      </c>
      <c r="M7" s="15" t="inlineStr">
        <is>
          <t>Proyecto</t>
        </is>
      </c>
      <c r="N7" s="17" t="n">
        <v>0</v>
      </c>
      <c r="O7" s="18" t="n">
        <v>0</v>
      </c>
      <c r="P7" s="14" t="n">
        <v>0</v>
      </c>
    </row>
    <row r="8">
      <c r="A8" s="7" t="inlineStr">
        <is>
          <t>D0.5</t>
        </is>
      </c>
      <c r="B8" s="8" t="inlineStr">
        <is>
          <t>D.sign</t>
        </is>
      </c>
      <c r="C8" s="9" t="inlineStr">
        <is>
          <t>Construcción de Ficha Maestra</t>
        </is>
      </c>
      <c r="D8" s="9" t="inlineStr">
        <is>
          <t>Proyecto</t>
        </is>
      </c>
      <c r="E8" s="9" t="inlineStr"/>
      <c r="F8" s="17" t="n">
        <v>0</v>
      </c>
      <c r="G8" s="17" t="n">
        <v>0</v>
      </c>
      <c r="H8" s="18" t="n">
        <v>0</v>
      </c>
      <c r="I8" s="12" t="n">
        <v>20</v>
      </c>
      <c r="J8" s="12" t="n">
        <v>15</v>
      </c>
      <c r="K8" s="12" t="n">
        <v>20</v>
      </c>
      <c r="L8" s="16" t="inlineStr">
        <is>
          <t>✓</t>
        </is>
      </c>
      <c r="M8" s="9" t="inlineStr">
        <is>
          <t>Proyecto</t>
        </is>
      </c>
      <c r="N8" s="17" t="n">
        <v>0</v>
      </c>
      <c r="O8" s="18" t="n">
        <v>0</v>
      </c>
      <c r="P8" s="14" t="n">
        <v>0</v>
      </c>
    </row>
    <row r="9">
      <c r="A9" s="7" t="inlineStr">
        <is>
          <t>D1.1</t>
        </is>
      </c>
      <c r="B9" s="8" t="inlineStr">
        <is>
          <t>D.sign</t>
        </is>
      </c>
      <c r="C9" s="15" t="inlineStr">
        <is>
          <t>Modelo Tridimensional Viewer 360, Escala De Urbanismo (Fase 1)</t>
        </is>
      </c>
      <c r="D9" s="15" t="inlineStr">
        <is>
          <t>Urbanismo</t>
        </is>
      </c>
      <c r="E9" s="15" t="inlineStr">
        <is>
          <t>Fase 1</t>
        </is>
      </c>
      <c r="F9" s="10" t="n">
        <v>45</v>
      </c>
      <c r="G9" s="10" t="n">
        <v>6</v>
      </c>
      <c r="H9" s="11" t="n">
        <v>4209362</v>
      </c>
      <c r="I9" s="12" t="n">
        <v>30</v>
      </c>
      <c r="J9" s="12" t="n">
        <v>15</v>
      </c>
      <c r="K9" s="12" t="n">
        <v>20</v>
      </c>
      <c r="L9" s="16" t="inlineStr">
        <is>
          <t>✓</t>
        </is>
      </c>
      <c r="M9" s="15" t="inlineStr">
        <is>
          <t>Proyecto</t>
        </is>
      </c>
      <c r="N9" s="10" t="n">
        <v>45</v>
      </c>
      <c r="O9" s="11" t="n">
        <v>4209362</v>
      </c>
      <c r="P9" s="14" t="n">
        <v>0</v>
      </c>
    </row>
    <row r="10">
      <c r="A10" s="7" t="inlineStr">
        <is>
          <t>D1.2</t>
        </is>
      </c>
      <c r="B10" s="8" t="inlineStr">
        <is>
          <t>D.sign</t>
        </is>
      </c>
      <c r="C10" s="9" t="inlineStr">
        <is>
          <t>Modelado Tridimensional Viewer 360, Elemento Complementario (Fase 1)</t>
        </is>
      </c>
      <c r="D10" s="9" t="inlineStr">
        <is>
          <t>Complementario</t>
        </is>
      </c>
      <c r="E10" s="9" t="inlineStr">
        <is>
          <t>Fase 1</t>
        </is>
      </c>
      <c r="F10" s="10" t="n">
        <v>18.6</v>
      </c>
      <c r="G10" s="17" t="n">
        <v>0</v>
      </c>
      <c r="H10" s="11" t="n">
        <v>1552706</v>
      </c>
      <c r="I10" s="12" t="n">
        <v>20</v>
      </c>
      <c r="J10" s="12" t="n">
        <v>15</v>
      </c>
      <c r="K10" s="12" t="n">
        <v>20</v>
      </c>
      <c r="L10" s="16" t="inlineStr">
        <is>
          <t>✓</t>
        </is>
      </c>
      <c r="M10" s="9" t="inlineStr">
        <is>
          <t>100 m²</t>
        </is>
      </c>
      <c r="N10" s="10" t="n">
        <v>18.6</v>
      </c>
      <c r="O10" s="11" t="n">
        <v>1552706</v>
      </c>
      <c r="P10" s="14" t="n">
        <v>0</v>
      </c>
    </row>
    <row r="11">
      <c r="A11" s="7" t="inlineStr">
        <is>
          <t>D1.3</t>
        </is>
      </c>
      <c r="B11" s="8" t="inlineStr">
        <is>
          <t>D.sign</t>
        </is>
      </c>
      <c r="C11" s="15" t="inlineStr">
        <is>
          <t>Modelo Tridimensional, Viewer 360 150, Edificación (Fase 1)</t>
        </is>
      </c>
      <c r="D11" s="15" t="inlineStr">
        <is>
          <t>Edificación</t>
        </is>
      </c>
      <c r="E11" s="15" t="inlineStr">
        <is>
          <t>Fase 1</t>
        </is>
      </c>
      <c r="F11" s="10" t="n">
        <v>39.3</v>
      </c>
      <c r="G11" s="17" t="n">
        <v>0</v>
      </c>
      <c r="H11" s="11" t="n">
        <v>3709146</v>
      </c>
      <c r="I11" s="12" t="n">
        <v>30</v>
      </c>
      <c r="J11" s="12" t="n">
        <v>15</v>
      </c>
      <c r="K11" s="12" t="n">
        <v>20</v>
      </c>
      <c r="L11" s="16" t="inlineStr">
        <is>
          <t>✓</t>
        </is>
      </c>
      <c r="M11" s="15" t="inlineStr">
        <is>
          <t>100 m²</t>
        </is>
      </c>
      <c r="N11" s="10" t="n">
        <v>39.3</v>
      </c>
      <c r="O11" s="11" t="n">
        <v>3709146</v>
      </c>
      <c r="P11" s="14" t="n">
        <v>0</v>
      </c>
    </row>
    <row r="12">
      <c r="A12" s="7" t="inlineStr">
        <is>
          <t>D1.4</t>
        </is>
      </c>
      <c r="B12" s="8" t="inlineStr">
        <is>
          <t>D.sign</t>
        </is>
      </c>
      <c r="C12" s="9" t="inlineStr">
        <is>
          <t>Planimetría Arquitectónica del Urbanismo (Fase 1)</t>
        </is>
      </c>
      <c r="D12" s="9" t="inlineStr">
        <is>
          <t>Urbanismo</t>
        </is>
      </c>
      <c r="E12" s="9" t="inlineStr">
        <is>
          <t>Fase 1</t>
        </is>
      </c>
      <c r="F12" s="10" t="n">
        <v>36.9</v>
      </c>
      <c r="G12" s="17" t="n">
        <v>0</v>
      </c>
      <c r="H12" s="11" t="n">
        <v>3482633</v>
      </c>
      <c r="I12" s="12" t="n">
        <v>30</v>
      </c>
      <c r="J12" s="12" t="n">
        <v>15</v>
      </c>
      <c r="K12" s="12" t="n">
        <v>20</v>
      </c>
      <c r="L12" s="16" t="inlineStr">
        <is>
          <t>✓</t>
        </is>
      </c>
      <c r="M12" s="9" t="inlineStr">
        <is>
          <t>15 ha</t>
        </is>
      </c>
      <c r="N12" s="10" t="n">
        <v>36.9</v>
      </c>
      <c r="O12" s="11" t="n">
        <v>3482633</v>
      </c>
      <c r="P12" s="14" t="n">
        <v>0</v>
      </c>
    </row>
    <row r="13">
      <c r="A13" s="7" t="inlineStr">
        <is>
          <t>D1.5</t>
        </is>
      </c>
      <c r="B13" s="8" t="inlineStr">
        <is>
          <t>D.sign</t>
        </is>
      </c>
      <c r="C13" s="15" t="inlineStr">
        <is>
          <t>Planimetría Arquitectónica, Elemento complementario (Fase 1)</t>
        </is>
      </c>
      <c r="D13" s="15" t="inlineStr">
        <is>
          <t>Complementario</t>
        </is>
      </c>
      <c r="E13" s="15" t="inlineStr">
        <is>
          <t>Fase 1</t>
        </is>
      </c>
      <c r="F13" s="10" t="n">
        <v>14.6</v>
      </c>
      <c r="G13" s="17" t="n">
        <v>0</v>
      </c>
      <c r="H13" s="11" t="n">
        <v>1174394</v>
      </c>
      <c r="I13" s="12" t="n">
        <v>20</v>
      </c>
      <c r="J13" s="12" t="n">
        <v>15</v>
      </c>
      <c r="K13" s="12" t="n">
        <v>20</v>
      </c>
      <c r="L13" s="16" t="inlineStr">
        <is>
          <t>✓</t>
        </is>
      </c>
      <c r="M13" s="15" t="inlineStr">
        <is>
          <t>100 m²</t>
        </is>
      </c>
      <c r="N13" s="10" t="n">
        <v>14.6</v>
      </c>
      <c r="O13" s="11" t="n">
        <v>1174394</v>
      </c>
      <c r="P13" s="14" t="n">
        <v>0</v>
      </c>
    </row>
    <row r="14">
      <c r="A14" s="7" t="inlineStr">
        <is>
          <t>D1.6</t>
        </is>
      </c>
      <c r="B14" s="8" t="inlineStr">
        <is>
          <t>D.sign</t>
        </is>
      </c>
      <c r="C14" s="9" t="inlineStr">
        <is>
          <t>Planimetría Arquitectónica, Edificación (Fase 1)</t>
        </is>
      </c>
      <c r="D14" s="9" t="inlineStr">
        <is>
          <t>Edificación</t>
        </is>
      </c>
      <c r="E14" s="9" t="inlineStr">
        <is>
          <t>Fase 1</t>
        </is>
      </c>
      <c r="F14" s="10" t="n">
        <v>32.4</v>
      </c>
      <c r="G14" s="17" t="n">
        <v>0</v>
      </c>
      <c r="H14" s="11" t="n">
        <v>2611110</v>
      </c>
      <c r="I14" s="12" t="n">
        <v>20</v>
      </c>
      <c r="J14" s="12" t="n">
        <v>15</v>
      </c>
      <c r="K14" s="12" t="n">
        <v>20</v>
      </c>
      <c r="L14" s="16" t="inlineStr">
        <is>
          <t>✓</t>
        </is>
      </c>
      <c r="M14" s="9" t="inlineStr">
        <is>
          <t>100 m²</t>
        </is>
      </c>
      <c r="N14" s="10" t="n">
        <v>32.4</v>
      </c>
      <c r="O14" s="11" t="n">
        <v>2611110</v>
      </c>
      <c r="P14" s="14" t="n">
        <v>0</v>
      </c>
    </row>
    <row r="15">
      <c r="A15" s="7" t="inlineStr">
        <is>
          <t>D1.7</t>
        </is>
      </c>
      <c r="B15" s="8" t="inlineStr">
        <is>
          <t>D.sign</t>
        </is>
      </c>
      <c r="C15" s="15" t="inlineStr">
        <is>
          <t>Modelo Tridimensional, Viewer 360, Escala de Urbanismo (Fase 2)</t>
        </is>
      </c>
      <c r="D15" s="15" t="inlineStr">
        <is>
          <t>Urbanismo</t>
        </is>
      </c>
      <c r="E15" s="15" t="inlineStr">
        <is>
          <t>Fase 2</t>
        </is>
      </c>
      <c r="F15" s="10" t="n">
        <v>54.2</v>
      </c>
      <c r="G15" s="17" t="n">
        <v>0</v>
      </c>
      <c r="H15" s="11" t="n">
        <v>3974418</v>
      </c>
      <c r="I15" s="12" t="n">
        <v>15</v>
      </c>
      <c r="J15" s="12" t="n">
        <v>15</v>
      </c>
      <c r="K15" s="12" t="n">
        <v>20</v>
      </c>
      <c r="L15" s="16" t="inlineStr">
        <is>
          <t>✓</t>
        </is>
      </c>
      <c r="M15" s="15" t="inlineStr">
        <is>
          <t>Und</t>
        </is>
      </c>
      <c r="N15" s="10" t="n">
        <v>54.2</v>
      </c>
      <c r="O15" s="11" t="n">
        <v>3974418</v>
      </c>
      <c r="P15" s="14" t="n">
        <v>0</v>
      </c>
    </row>
    <row r="16">
      <c r="A16" s="7" t="inlineStr">
        <is>
          <t>D1.8</t>
        </is>
      </c>
      <c r="B16" s="8" t="inlineStr">
        <is>
          <t>D.sign</t>
        </is>
      </c>
      <c r="C16" s="9" t="inlineStr">
        <is>
          <t>Modelo Tridimensional, Viewer 360, Elemento Complementario (Fase 2)</t>
        </is>
      </c>
      <c r="D16" s="9" t="inlineStr">
        <is>
          <t>Complementario</t>
        </is>
      </c>
      <c r="E16" s="9" t="inlineStr">
        <is>
          <t>Fase 2</t>
        </is>
      </c>
      <c r="F16" s="10" t="n">
        <v>31</v>
      </c>
      <c r="G16" s="17" t="n">
        <v>0</v>
      </c>
      <c r="H16" s="11" t="n">
        <v>2585252</v>
      </c>
      <c r="I16" s="12" t="n">
        <v>20</v>
      </c>
      <c r="J16" s="12" t="n">
        <v>15</v>
      </c>
      <c r="K16" s="12" t="n">
        <v>20</v>
      </c>
      <c r="L16" s="16" t="inlineStr">
        <is>
          <t>✓</t>
        </is>
      </c>
      <c r="M16" s="9" t="inlineStr">
        <is>
          <t>Und</t>
        </is>
      </c>
      <c r="N16" s="10" t="n">
        <v>31</v>
      </c>
      <c r="O16" s="11" t="n">
        <v>2585252</v>
      </c>
      <c r="P16" s="14" t="n">
        <v>0</v>
      </c>
    </row>
    <row r="17">
      <c r="A17" s="7" t="inlineStr">
        <is>
          <t>D1.9</t>
        </is>
      </c>
      <c r="B17" s="8" t="inlineStr">
        <is>
          <t>D.sign</t>
        </is>
      </c>
      <c r="C17" s="15" t="inlineStr">
        <is>
          <t>Modelo Tridimensional, Viewer 360, Edificación (Fase 2)</t>
        </is>
      </c>
      <c r="D17" s="15" t="inlineStr">
        <is>
          <t>Edificación</t>
        </is>
      </c>
      <c r="E17" s="15" t="inlineStr">
        <is>
          <t>Fase 2</t>
        </is>
      </c>
      <c r="F17" s="10" t="n">
        <v>50.1</v>
      </c>
      <c r="G17" s="17" t="n">
        <v>0</v>
      </c>
      <c r="H17" s="11" t="n">
        <v>3894021</v>
      </c>
      <c r="I17" s="12" t="n">
        <v>20</v>
      </c>
      <c r="J17" s="12" t="n">
        <v>15</v>
      </c>
      <c r="K17" s="12" t="n">
        <v>20</v>
      </c>
      <c r="L17" s="16" t="inlineStr">
        <is>
          <t>✓</t>
        </is>
      </c>
      <c r="M17" s="15" t="inlineStr">
        <is>
          <t>100 m²</t>
        </is>
      </c>
      <c r="N17" s="10" t="n">
        <v>50.1</v>
      </c>
      <c r="O17" s="11" t="n">
        <v>3894021</v>
      </c>
      <c r="P17" s="14" t="n">
        <v>0</v>
      </c>
    </row>
    <row r="18">
      <c r="A18" s="7" t="inlineStr">
        <is>
          <t>D1.10</t>
        </is>
      </c>
      <c r="B18" s="8" t="inlineStr">
        <is>
          <t>D.sign</t>
        </is>
      </c>
      <c r="C18" s="9" t="inlineStr">
        <is>
          <t>Planimetría Arquitectónica del Urbanismo (Fase 2)</t>
        </is>
      </c>
      <c r="D18" s="9" t="inlineStr">
        <is>
          <t>Urbanismo</t>
        </is>
      </c>
      <c r="E18" s="9" t="inlineStr">
        <is>
          <t>Fase 2</t>
        </is>
      </c>
      <c r="F18" s="10" t="n">
        <v>47.2</v>
      </c>
      <c r="G18" s="17" t="n">
        <v>0</v>
      </c>
      <c r="H18" s="11" t="n">
        <v>3669797</v>
      </c>
      <c r="I18" s="12" t="n">
        <v>20</v>
      </c>
      <c r="J18" s="12" t="n">
        <v>15</v>
      </c>
      <c r="K18" s="12" t="n">
        <v>20</v>
      </c>
      <c r="L18" s="16" t="inlineStr">
        <is>
          <t>✓</t>
        </is>
      </c>
      <c r="M18" s="9" t="inlineStr">
        <is>
          <t>15 ha</t>
        </is>
      </c>
      <c r="N18" s="10" t="n">
        <v>47.2</v>
      </c>
      <c r="O18" s="11" t="n">
        <v>3669797</v>
      </c>
      <c r="P18" s="14" t="n">
        <v>0</v>
      </c>
    </row>
    <row r="19">
      <c r="A19" s="7" t="inlineStr">
        <is>
          <t>D1.11</t>
        </is>
      </c>
      <c r="B19" s="8" t="inlineStr">
        <is>
          <t>D.sign</t>
        </is>
      </c>
      <c r="C19" s="15" t="inlineStr">
        <is>
          <t>Planimetría Arquitectónica, Elemento Complementario (Fase 2)</t>
        </is>
      </c>
      <c r="D19" s="15" t="inlineStr">
        <is>
          <t>Complementario</t>
        </is>
      </c>
      <c r="E19" s="15" t="inlineStr">
        <is>
          <t>Fase 2</t>
        </is>
      </c>
      <c r="F19" s="10" t="n">
        <v>7.3</v>
      </c>
      <c r="G19" s="17" t="n">
        <v>0</v>
      </c>
      <c r="H19" s="11" t="n">
        <v>558695</v>
      </c>
      <c r="I19" s="12" t="n">
        <v>30</v>
      </c>
      <c r="J19" s="12" t="n">
        <v>15</v>
      </c>
      <c r="K19" s="12" t="n">
        <v>20</v>
      </c>
      <c r="L19" s="16" t="inlineStr">
        <is>
          <t>✓</t>
        </is>
      </c>
      <c r="M19" s="15" t="inlineStr">
        <is>
          <t>Und</t>
        </is>
      </c>
      <c r="N19" s="10" t="n">
        <v>7.3</v>
      </c>
      <c r="O19" s="11" t="n">
        <v>558695</v>
      </c>
      <c r="P19" s="14" t="n">
        <v>0</v>
      </c>
    </row>
    <row r="20">
      <c r="A20" s="7" t="inlineStr">
        <is>
          <t>D1.12</t>
        </is>
      </c>
      <c r="B20" s="8" t="inlineStr">
        <is>
          <t>D.sign</t>
        </is>
      </c>
      <c r="C20" s="9" t="inlineStr">
        <is>
          <t>Planimetría Arquitectónica, Edificación (Fase 2)</t>
        </is>
      </c>
      <c r="D20" s="9" t="inlineStr">
        <is>
          <t>Edificación</t>
        </is>
      </c>
      <c r="E20" s="9" t="inlineStr">
        <is>
          <t>Fase 2</t>
        </is>
      </c>
      <c r="F20" s="10" t="n">
        <v>17.9</v>
      </c>
      <c r="G20" s="17" t="n">
        <v>0</v>
      </c>
      <c r="H20" s="11" t="n">
        <v>1578850</v>
      </c>
      <c r="I20" s="12" t="n">
        <v>30</v>
      </c>
      <c r="J20" s="12" t="n">
        <v>15</v>
      </c>
      <c r="K20" s="12" t="n">
        <v>20</v>
      </c>
      <c r="L20" s="16" t="inlineStr">
        <is>
          <t>✓</t>
        </is>
      </c>
      <c r="M20" s="9" t="inlineStr">
        <is>
          <t>100 m²</t>
        </is>
      </c>
      <c r="N20" s="10" t="n">
        <v>17.9</v>
      </c>
      <c r="O20" s="11" t="n">
        <v>1578850</v>
      </c>
      <c r="P20" s="14" t="n">
        <v>0</v>
      </c>
    </row>
    <row r="21">
      <c r="A21" s="7" t="inlineStr">
        <is>
          <t>D1.13</t>
        </is>
      </c>
      <c r="B21" s="8" t="inlineStr">
        <is>
          <t>D.sign</t>
        </is>
      </c>
      <c r="C21" s="15" t="inlineStr">
        <is>
          <t>Especificaciones del Urbanismo (Fase 2)</t>
        </is>
      </c>
      <c r="D21" s="15" t="inlineStr">
        <is>
          <t>Urbanismo</t>
        </is>
      </c>
      <c r="E21" s="15" t="inlineStr">
        <is>
          <t>Fase 2</t>
        </is>
      </c>
      <c r="F21" s="10" t="n">
        <v>44.2</v>
      </c>
      <c r="G21" s="17" t="n">
        <v>0</v>
      </c>
      <c r="H21" s="11" t="n">
        <v>3699708</v>
      </c>
      <c r="I21" s="12" t="n">
        <v>20</v>
      </c>
      <c r="J21" s="12" t="n">
        <v>15</v>
      </c>
      <c r="K21" s="12" t="n">
        <v>20</v>
      </c>
      <c r="L21" s="16" t="inlineStr">
        <is>
          <t>✓</t>
        </is>
      </c>
      <c r="M21" s="15" t="inlineStr">
        <is>
          <t>15 ha</t>
        </is>
      </c>
      <c r="N21" s="10" t="n">
        <v>44.2</v>
      </c>
      <c r="O21" s="11" t="n">
        <v>3699708</v>
      </c>
      <c r="P21" s="14" t="n">
        <v>0</v>
      </c>
    </row>
    <row r="22">
      <c r="A22" s="7" t="inlineStr">
        <is>
          <t>D1.14</t>
        </is>
      </c>
      <c r="B22" s="8" t="inlineStr">
        <is>
          <t>D.sign</t>
        </is>
      </c>
      <c r="C22" s="9" t="inlineStr">
        <is>
          <t>Especificaciones de Elemento Complementario (Fase 2)</t>
        </is>
      </c>
      <c r="D22" s="9" t="inlineStr">
        <is>
          <t>Complementario</t>
        </is>
      </c>
      <c r="E22" s="9" t="inlineStr">
        <is>
          <t>Fase 2</t>
        </is>
      </c>
      <c r="F22" s="10" t="n">
        <v>33.4</v>
      </c>
      <c r="G22" s="17" t="n">
        <v>0</v>
      </c>
      <c r="H22" s="11" t="n">
        <v>2710124</v>
      </c>
      <c r="I22" s="12" t="n">
        <v>30</v>
      </c>
      <c r="J22" s="12" t="n">
        <v>15</v>
      </c>
      <c r="K22" s="12" t="n">
        <v>20</v>
      </c>
      <c r="L22" s="16" t="inlineStr">
        <is>
          <t>✓</t>
        </is>
      </c>
      <c r="M22" s="9" t="inlineStr">
        <is>
          <t>Und</t>
        </is>
      </c>
      <c r="N22" s="10" t="n">
        <v>33.4</v>
      </c>
      <c r="O22" s="11" t="n">
        <v>2710124</v>
      </c>
      <c r="P22" s="14" t="n">
        <v>0</v>
      </c>
    </row>
    <row r="23">
      <c r="A23" s="7" t="inlineStr">
        <is>
          <t>D1.15</t>
        </is>
      </c>
      <c r="B23" s="8" t="inlineStr">
        <is>
          <t>D.sign</t>
        </is>
      </c>
      <c r="C23" s="15" t="inlineStr">
        <is>
          <t>Especificaciones de Edificaciones (Fase 2)</t>
        </is>
      </c>
      <c r="D23" s="15" t="inlineStr">
        <is>
          <t>Edificación</t>
        </is>
      </c>
      <c r="E23" s="15" t="inlineStr">
        <is>
          <t>Fase 2</t>
        </is>
      </c>
      <c r="F23" s="10" t="n">
        <v>31.4</v>
      </c>
      <c r="G23" s="17" t="n">
        <v>0</v>
      </c>
      <c r="H23" s="11" t="n">
        <v>2302523</v>
      </c>
      <c r="I23" s="12" t="n">
        <v>15</v>
      </c>
      <c r="J23" s="12" t="n">
        <v>15</v>
      </c>
      <c r="K23" s="12" t="n">
        <v>20</v>
      </c>
      <c r="L23" s="16" t="inlineStr">
        <is>
          <t>✓</t>
        </is>
      </c>
      <c r="M23" s="15" t="inlineStr">
        <is>
          <t>Und</t>
        </is>
      </c>
      <c r="N23" s="10" t="n">
        <v>31.4</v>
      </c>
      <c r="O23" s="11" t="n">
        <v>2302523</v>
      </c>
      <c r="P23" s="14" t="n">
        <v>0</v>
      </c>
    </row>
    <row r="24">
      <c r="A24" s="7" t="inlineStr">
        <is>
          <t>D1.16</t>
        </is>
      </c>
      <c r="B24" s="8" t="inlineStr">
        <is>
          <t>D.sign</t>
        </is>
      </c>
      <c r="C24" s="9" t="inlineStr">
        <is>
          <t>Modelo a detalle constructivo de urbanismo</t>
        </is>
      </c>
      <c r="D24" s="9" t="inlineStr">
        <is>
          <t>Urbanismo</t>
        </is>
      </c>
      <c r="E24" s="9" t="inlineStr">
        <is>
          <t>Fase 3</t>
        </is>
      </c>
      <c r="F24" s="10" t="n">
        <v>67.8</v>
      </c>
      <c r="G24" s="17" t="n">
        <v>0</v>
      </c>
      <c r="H24" s="11" t="n">
        <v>6196302</v>
      </c>
      <c r="I24" s="12" t="n">
        <v>30</v>
      </c>
      <c r="J24" s="12" t="n">
        <v>15</v>
      </c>
      <c r="K24" s="12" t="n">
        <v>20</v>
      </c>
      <c r="L24" s="16" t="inlineStr">
        <is>
          <t>✓</t>
        </is>
      </c>
      <c r="M24" s="9" t="inlineStr">
        <is>
          <t>500–1000 m²</t>
        </is>
      </c>
      <c r="N24" s="10" t="n">
        <v>67.8</v>
      </c>
      <c r="O24" s="11" t="n">
        <v>6196302</v>
      </c>
      <c r="P24" s="14" t="n">
        <v>0</v>
      </c>
    </row>
    <row r="25">
      <c r="A25" s="7" t="inlineStr">
        <is>
          <t>D1.17</t>
        </is>
      </c>
      <c r="B25" s="8" t="inlineStr">
        <is>
          <t>D.sign</t>
        </is>
      </c>
      <c r="C25" s="15" t="inlineStr">
        <is>
          <t>Modelo a detalle constructivo de edificación</t>
        </is>
      </c>
      <c r="D25" s="15" t="inlineStr">
        <is>
          <t>Edificación</t>
        </is>
      </c>
      <c r="E25" s="15" t="inlineStr">
        <is>
          <t>Fase 3</t>
        </is>
      </c>
      <c r="F25" s="10" t="n">
        <v>88.8</v>
      </c>
      <c r="G25" s="17" t="n">
        <v>0</v>
      </c>
      <c r="H25" s="11" t="n">
        <v>7090758</v>
      </c>
      <c r="I25" s="12" t="n">
        <v>20</v>
      </c>
      <c r="J25" s="12" t="n">
        <v>15</v>
      </c>
      <c r="K25" s="12" t="n">
        <v>20</v>
      </c>
      <c r="L25" s="16" t="inlineStr">
        <is>
          <t>✓</t>
        </is>
      </c>
      <c r="M25" s="15" t="inlineStr">
        <is>
          <t>1–200 m²</t>
        </is>
      </c>
      <c r="N25" s="10" t="n">
        <v>88.8</v>
      </c>
      <c r="O25" s="11" t="n">
        <v>7090758</v>
      </c>
      <c r="P25" s="14" t="n">
        <v>0</v>
      </c>
    </row>
    <row r="26">
      <c r="A26" s="7" t="inlineStr">
        <is>
          <t>D1.18</t>
        </is>
      </c>
      <c r="B26" s="8" t="inlineStr">
        <is>
          <t>D.sign</t>
        </is>
      </c>
      <c r="C26" s="9" t="inlineStr">
        <is>
          <t>Planimetría Arquitectónica de Detalle para ejecución de obra de Urbanismo</t>
        </is>
      </c>
      <c r="D26" s="9" t="inlineStr">
        <is>
          <t>Urbanismo</t>
        </is>
      </c>
      <c r="E26" s="9" t="inlineStr">
        <is>
          <t>Fase 3</t>
        </is>
      </c>
      <c r="F26" s="10" t="n">
        <v>170.9</v>
      </c>
      <c r="G26" s="17" t="n">
        <v>0</v>
      </c>
      <c r="H26" s="11" t="n">
        <v>15618703</v>
      </c>
      <c r="I26" s="12" t="n">
        <v>30</v>
      </c>
      <c r="J26" s="12" t="n">
        <v>15</v>
      </c>
      <c r="K26" s="12" t="n">
        <v>20</v>
      </c>
      <c r="L26" s="16" t="inlineStr">
        <is>
          <t>✓</t>
        </is>
      </c>
      <c r="M26" s="9" t="inlineStr">
        <is>
          <t>500–1000 m²</t>
        </is>
      </c>
      <c r="N26" s="10" t="n">
        <v>170.9</v>
      </c>
      <c r="O26" s="11" t="n">
        <v>15618703</v>
      </c>
      <c r="P26" s="14" t="n">
        <v>0</v>
      </c>
    </row>
    <row r="27">
      <c r="A27" s="7" t="inlineStr">
        <is>
          <t>D1.19</t>
        </is>
      </c>
      <c r="B27" s="8" t="inlineStr">
        <is>
          <t>D.sign</t>
        </is>
      </c>
      <c r="C27" s="15" t="inlineStr">
        <is>
          <t>Planimetría Arquitectónica de Detalle para ejecución de obra de Edificación</t>
        </is>
      </c>
      <c r="D27" s="15" t="inlineStr">
        <is>
          <t>Edificación</t>
        </is>
      </c>
      <c r="E27" s="15" t="inlineStr">
        <is>
          <t>Fase 3</t>
        </is>
      </c>
      <c r="F27" s="10" t="n">
        <v>67.90000000000001</v>
      </c>
      <c r="G27" s="17" t="n">
        <v>0</v>
      </c>
      <c r="H27" s="11" t="n">
        <v>5480507</v>
      </c>
      <c r="I27" s="12" t="n">
        <v>20</v>
      </c>
      <c r="J27" s="12" t="n">
        <v>15</v>
      </c>
      <c r="K27" s="12" t="n">
        <v>20</v>
      </c>
      <c r="L27" s="16" t="inlineStr">
        <is>
          <t>✓</t>
        </is>
      </c>
      <c r="M27" s="15" t="inlineStr">
        <is>
          <t>1–200 m²</t>
        </is>
      </c>
      <c r="N27" s="10" t="n">
        <v>67.90000000000001</v>
      </c>
      <c r="O27" s="11" t="n">
        <v>5480507</v>
      </c>
      <c r="P27" s="14" t="n">
        <v>0</v>
      </c>
    </row>
    <row r="28">
      <c r="A28" s="7" t="inlineStr">
        <is>
          <t>D1.20</t>
        </is>
      </c>
      <c r="B28" s="8" t="inlineStr">
        <is>
          <t>D.sign</t>
        </is>
      </c>
      <c r="C28" s="9" t="inlineStr">
        <is>
          <t>Especificaciones del Urbanismo del proyecto</t>
        </is>
      </c>
      <c r="D28" s="9" t="inlineStr">
        <is>
          <t>Urbanismo</t>
        </is>
      </c>
      <c r="E28" s="9" t="inlineStr">
        <is>
          <t>Fase 3</t>
        </is>
      </c>
      <c r="F28" s="10" t="n">
        <v>45.5</v>
      </c>
      <c r="G28" s="17" t="n">
        <v>0</v>
      </c>
      <c r="H28" s="11" t="n">
        <v>3944542</v>
      </c>
      <c r="I28" s="12" t="n">
        <v>20</v>
      </c>
      <c r="J28" s="12" t="n">
        <v>15</v>
      </c>
      <c r="K28" s="12" t="n">
        <v>20</v>
      </c>
      <c r="L28" s="16" t="inlineStr">
        <is>
          <t>✓</t>
        </is>
      </c>
      <c r="M28" s="9" t="inlineStr">
        <is>
          <t>500–1000 m²</t>
        </is>
      </c>
      <c r="N28" s="10" t="n">
        <v>45.5</v>
      </c>
      <c r="O28" s="11" t="n">
        <v>3944542</v>
      </c>
      <c r="P28" s="14" t="n">
        <v>0</v>
      </c>
    </row>
    <row r="29">
      <c r="A29" s="7" t="inlineStr">
        <is>
          <t>D1.21</t>
        </is>
      </c>
      <c r="B29" s="8" t="inlineStr">
        <is>
          <t>D.sign</t>
        </is>
      </c>
      <c r="C29" s="15" t="inlineStr">
        <is>
          <t>Especificaciones de Edificación</t>
        </is>
      </c>
      <c r="D29" s="15" t="inlineStr">
        <is>
          <t>Edificación</t>
        </is>
      </c>
      <c r="E29" s="15" t="inlineStr">
        <is>
          <t>Fase 3</t>
        </is>
      </c>
      <c r="F29" s="10" t="n">
        <v>39.1</v>
      </c>
      <c r="G29" s="17" t="n">
        <v>0</v>
      </c>
      <c r="H29" s="11" t="n">
        <v>3155932</v>
      </c>
      <c r="I29" s="12" t="n">
        <v>20</v>
      </c>
      <c r="J29" s="12" t="n">
        <v>15</v>
      </c>
      <c r="K29" s="12" t="n">
        <v>20</v>
      </c>
      <c r="L29" s="16" t="inlineStr">
        <is>
          <t>✓</t>
        </is>
      </c>
      <c r="M29" s="15" t="inlineStr">
        <is>
          <t>1–200 m²</t>
        </is>
      </c>
      <c r="N29" s="10" t="n">
        <v>39.1</v>
      </c>
      <c r="O29" s="11" t="n">
        <v>3155932</v>
      </c>
      <c r="P29" s="14" t="n">
        <v>0</v>
      </c>
    </row>
    <row r="30">
      <c r="A30" s="7" t="inlineStr">
        <is>
          <t>D1.22</t>
        </is>
      </c>
      <c r="B30" s="8" t="inlineStr">
        <is>
          <t>D.sign</t>
        </is>
      </c>
      <c r="C30" s="9" t="inlineStr">
        <is>
          <t>Plano de Punteo para RPH</t>
        </is>
      </c>
      <c r="D30" s="9" t="inlineStr">
        <is>
          <t>Urbanismo</t>
        </is>
      </c>
      <c r="E30" s="9" t="inlineStr">
        <is>
          <t>Fase 3</t>
        </is>
      </c>
      <c r="F30" s="10" t="n">
        <v>16.2</v>
      </c>
      <c r="G30" s="17" t="n">
        <v>0</v>
      </c>
      <c r="H30" s="11" t="n">
        <v>1264691</v>
      </c>
      <c r="I30" s="12" t="n">
        <v>15</v>
      </c>
      <c r="J30" s="12" t="n">
        <v>15</v>
      </c>
      <c r="K30" s="12" t="n">
        <v>20</v>
      </c>
      <c r="L30" s="16" t="inlineStr">
        <is>
          <t>✓</t>
        </is>
      </c>
      <c r="M30" s="9" t="inlineStr">
        <is>
          <t>10 ha</t>
        </is>
      </c>
      <c r="N30" s="10" t="n">
        <v>16.2</v>
      </c>
      <c r="O30" s="11" t="n">
        <v>1264691</v>
      </c>
      <c r="P30" s="14" t="n">
        <v>0</v>
      </c>
    </row>
    <row r="31">
      <c r="A31" s="7" t="inlineStr">
        <is>
          <t>D1.23</t>
        </is>
      </c>
      <c r="B31" s="8" t="inlineStr">
        <is>
          <t>D.sign</t>
        </is>
      </c>
      <c r="C31" s="15" t="inlineStr">
        <is>
          <t>Manual Anexo para RPH</t>
        </is>
      </c>
      <c r="D31" s="15" t="inlineStr">
        <is>
          <t>Edificación</t>
        </is>
      </c>
      <c r="E31" s="15" t="inlineStr">
        <is>
          <t>Fase 3</t>
        </is>
      </c>
      <c r="F31" s="10" t="n">
        <v>30.5</v>
      </c>
      <c r="G31" s="17" t="n">
        <v>0</v>
      </c>
      <c r="H31" s="11" t="n">
        <v>3177887</v>
      </c>
      <c r="I31" s="12" t="n">
        <v>40</v>
      </c>
      <c r="J31" s="12" t="n">
        <v>15</v>
      </c>
      <c r="K31" s="12" t="n">
        <v>20</v>
      </c>
      <c r="L31" s="16" t="inlineStr">
        <is>
          <t>✓</t>
        </is>
      </c>
      <c r="M31" s="15" t="inlineStr">
        <is>
          <t>1 Manual</t>
        </is>
      </c>
      <c r="N31" s="10" t="n">
        <v>30.5</v>
      </c>
      <c r="O31" s="11" t="n">
        <v>3177887</v>
      </c>
      <c r="P31" s="14" t="n">
        <v>0</v>
      </c>
    </row>
    <row r="32">
      <c r="A32" s="7" t="inlineStr">
        <is>
          <t>D1.24</t>
        </is>
      </c>
      <c r="B32" s="8" t="inlineStr">
        <is>
          <t>D.sign</t>
        </is>
      </c>
      <c r="C32" s="9" t="inlineStr">
        <is>
          <t>Subdivisión Predial y Cabida de un proyecto</t>
        </is>
      </c>
      <c r="D32" s="9" t="inlineStr">
        <is>
          <t>Urbanismo</t>
        </is>
      </c>
      <c r="E32" s="9" t="inlineStr"/>
      <c r="F32" s="10" t="n">
        <v>42.8</v>
      </c>
      <c r="G32" s="10" t="n">
        <v>6</v>
      </c>
      <c r="H32" s="11" t="n">
        <v>3897821</v>
      </c>
      <c r="I32" s="12" t="n">
        <v>30</v>
      </c>
      <c r="J32" s="12" t="n">
        <v>15</v>
      </c>
      <c r="K32" s="12" t="n">
        <v>20</v>
      </c>
      <c r="L32" s="16" t="inlineStr">
        <is>
          <t>✓</t>
        </is>
      </c>
      <c r="M32" s="9" t="inlineStr">
        <is>
          <t>1 Proyecto</t>
        </is>
      </c>
      <c r="N32" s="10" t="n">
        <v>42.8</v>
      </c>
      <c r="O32" s="11" t="n">
        <v>3897821</v>
      </c>
      <c r="P32" s="14" t="n">
        <v>0</v>
      </c>
    </row>
    <row r="33">
      <c r="A33" s="7" t="inlineStr">
        <is>
          <t>D1.25</t>
        </is>
      </c>
      <c r="B33" s="8" t="inlineStr">
        <is>
          <t>D.sign</t>
        </is>
      </c>
      <c r="C33" s="15" t="inlineStr">
        <is>
          <t>Modelo a detalle constructivo de elemento complementario (Fase 3)</t>
        </is>
      </c>
      <c r="D33" s="15" t="inlineStr">
        <is>
          <t>Complementario</t>
        </is>
      </c>
      <c r="E33" s="15" t="inlineStr">
        <is>
          <t>Fase 3</t>
        </is>
      </c>
      <c r="F33" s="10" t="n">
        <v>14.9</v>
      </c>
      <c r="G33" s="17" t="n">
        <v>0</v>
      </c>
      <c r="H33" s="11" t="n">
        <v>1410986</v>
      </c>
      <c r="I33" s="12" t="n">
        <v>30</v>
      </c>
      <c r="J33" s="12" t="n">
        <v>15</v>
      </c>
      <c r="K33" s="12" t="n">
        <v>20</v>
      </c>
      <c r="L33" s="16" t="inlineStr">
        <is>
          <t>✓</t>
        </is>
      </c>
      <c r="M33" s="15" t="inlineStr">
        <is>
          <t>Und</t>
        </is>
      </c>
      <c r="N33" s="10" t="n">
        <v>14.9</v>
      </c>
      <c r="O33" s="11" t="n">
        <v>1410986</v>
      </c>
      <c r="P33" s="14" t="n">
        <v>0</v>
      </c>
    </row>
    <row r="34">
      <c r="A34" s="7" t="inlineStr">
        <is>
          <t>D1.26</t>
        </is>
      </c>
      <c r="B34" s="8" t="inlineStr">
        <is>
          <t>D.sign</t>
        </is>
      </c>
      <c r="C34" s="9" t="inlineStr">
        <is>
          <t>Planimetría Arquitectónica, Elemento Complementario (Fase 3)</t>
        </is>
      </c>
      <c r="D34" s="9" t="inlineStr">
        <is>
          <t>Complementario</t>
        </is>
      </c>
      <c r="E34" s="9" t="inlineStr">
        <is>
          <t>Fase 3</t>
        </is>
      </c>
      <c r="F34" s="10" t="n">
        <v>6.2</v>
      </c>
      <c r="G34" s="10" t="n">
        <v>1</v>
      </c>
      <c r="H34" s="11" t="n">
        <v>552329</v>
      </c>
      <c r="I34" s="12" t="n">
        <v>30</v>
      </c>
      <c r="J34" s="12" t="n">
        <v>15</v>
      </c>
      <c r="K34" s="12" t="n">
        <v>20</v>
      </c>
      <c r="L34" s="16" t="inlineStr">
        <is>
          <t>✓</t>
        </is>
      </c>
      <c r="M34" s="9" t="inlineStr">
        <is>
          <t>Und</t>
        </is>
      </c>
      <c r="N34" s="10" t="n">
        <v>6.2</v>
      </c>
      <c r="O34" s="11" t="n">
        <v>552329</v>
      </c>
      <c r="P34" s="14" t="n">
        <v>0</v>
      </c>
    </row>
    <row r="35">
      <c r="A35" s="7" t="inlineStr">
        <is>
          <t>D2.1</t>
        </is>
      </c>
      <c r="B35" s="8" t="inlineStr">
        <is>
          <t>D.sign</t>
        </is>
      </c>
      <c r="C35" s="15" t="inlineStr">
        <is>
          <t>Modelo Tridimensional, Viewer 360 150, Edificación en Altura (Fase 1)</t>
        </is>
      </c>
      <c r="D35" s="15" t="inlineStr">
        <is>
          <t>Edificación</t>
        </is>
      </c>
      <c r="E35" s="15" t="inlineStr">
        <is>
          <t>Fase 1</t>
        </is>
      </c>
      <c r="F35" s="10" t="n">
        <v>254.3</v>
      </c>
      <c r="G35" s="17" t="n">
        <v>0</v>
      </c>
      <c r="H35" s="11" t="n">
        <v>24761122</v>
      </c>
      <c r="I35" s="12" t="n">
        <v>30</v>
      </c>
      <c r="J35" s="12" t="n">
        <v>15</v>
      </c>
      <c r="K35" s="12" t="n">
        <v>20</v>
      </c>
      <c r="L35" s="16" t="inlineStr">
        <is>
          <t>✓</t>
        </is>
      </c>
      <c r="M35" s="15" t="inlineStr">
        <is>
          <t>200 m²</t>
        </is>
      </c>
      <c r="N35" s="10" t="n">
        <v>254.3</v>
      </c>
      <c r="O35" s="11" t="n">
        <v>24761122</v>
      </c>
      <c r="P35" s="14" t="n">
        <v>0</v>
      </c>
    </row>
    <row r="36">
      <c r="A36" s="7" t="inlineStr">
        <is>
          <t>D2.2</t>
        </is>
      </c>
      <c r="B36" s="8" t="inlineStr">
        <is>
          <t>D.sign</t>
        </is>
      </c>
      <c r="C36" s="9" t="inlineStr">
        <is>
          <t>Planimetría Arquitectónica de Edificación en Altura (Fase 1)</t>
        </is>
      </c>
      <c r="D36" s="9" t="inlineStr">
        <is>
          <t>Edificación</t>
        </is>
      </c>
      <c r="E36" s="9" t="inlineStr">
        <is>
          <t>Fase 1</t>
        </is>
      </c>
      <c r="F36" s="10" t="n">
        <v>132.8</v>
      </c>
      <c r="G36" s="17" t="n">
        <v>0</v>
      </c>
      <c r="H36" s="11" t="n">
        <v>12533705</v>
      </c>
      <c r="I36" s="12" t="n">
        <v>30</v>
      </c>
      <c r="J36" s="12" t="n">
        <v>15</v>
      </c>
      <c r="K36" s="12" t="n">
        <v>20</v>
      </c>
      <c r="L36" s="16" t="inlineStr">
        <is>
          <t>✓</t>
        </is>
      </c>
      <c r="M36" s="9" t="inlineStr">
        <is>
          <t>200 m²</t>
        </is>
      </c>
      <c r="N36" s="10" t="n">
        <v>132.8</v>
      </c>
      <c r="O36" s="11" t="n">
        <v>12533705</v>
      </c>
      <c r="P36" s="14" t="n">
        <v>0</v>
      </c>
    </row>
    <row r="37">
      <c r="A37" s="7" t="inlineStr">
        <is>
          <t>D2.3</t>
        </is>
      </c>
      <c r="B37" s="8" t="inlineStr">
        <is>
          <t>D.sign</t>
        </is>
      </c>
      <c r="C37" s="15" t="inlineStr">
        <is>
          <t>Modelo Tridimensional, Viewer 360, Edificación en Altura (Fase 2)</t>
        </is>
      </c>
      <c r="D37" s="15" t="inlineStr">
        <is>
          <t>Edificación</t>
        </is>
      </c>
      <c r="E37" s="15" t="inlineStr">
        <is>
          <t>Fase 2</t>
        </is>
      </c>
      <c r="F37" s="10" t="n">
        <v>42.7</v>
      </c>
      <c r="G37" s="17" t="n">
        <v>0</v>
      </c>
      <c r="H37" s="11" t="n">
        <v>3091925</v>
      </c>
      <c r="I37" s="12" t="n">
        <v>10</v>
      </c>
      <c r="J37" s="12" t="n">
        <v>15</v>
      </c>
      <c r="K37" s="12" t="n">
        <v>20</v>
      </c>
      <c r="L37" s="16" t="inlineStr">
        <is>
          <t>✓</t>
        </is>
      </c>
      <c r="M37" s="15" t="inlineStr">
        <is>
          <t>100 m²</t>
        </is>
      </c>
      <c r="N37" s="10" t="n">
        <v>42.7</v>
      </c>
      <c r="O37" s="11" t="n">
        <v>3091925</v>
      </c>
      <c r="P37" s="14" t="n">
        <v>0</v>
      </c>
    </row>
    <row r="38">
      <c r="A38" s="7" t="inlineStr">
        <is>
          <t>D2.4</t>
        </is>
      </c>
      <c r="B38" s="8" t="inlineStr">
        <is>
          <t>D.sign</t>
        </is>
      </c>
      <c r="C38" s="9" t="inlineStr">
        <is>
          <t>Planimetría Arquitectónica de Edificación en Altura (Fase 2)</t>
        </is>
      </c>
      <c r="D38" s="9" t="inlineStr">
        <is>
          <t>Edificación</t>
        </is>
      </c>
      <c r="E38" s="9" t="inlineStr">
        <is>
          <t>Fase 2</t>
        </is>
      </c>
      <c r="F38" s="10" t="n">
        <v>17.9</v>
      </c>
      <c r="G38" s="17" t="n">
        <v>0</v>
      </c>
      <c r="H38" s="11" t="n">
        <v>1363043</v>
      </c>
      <c r="I38" s="12" t="n">
        <v>15</v>
      </c>
      <c r="J38" s="12" t="n">
        <v>15</v>
      </c>
      <c r="K38" s="12" t="n">
        <v>20</v>
      </c>
      <c r="L38" s="16" t="inlineStr">
        <is>
          <t>✓</t>
        </is>
      </c>
      <c r="M38" s="9" t="inlineStr">
        <is>
          <t>100 m²</t>
        </is>
      </c>
      <c r="N38" s="10" t="n">
        <v>17.9</v>
      </c>
      <c r="O38" s="11" t="n">
        <v>1363043</v>
      </c>
      <c r="P38" s="14" t="n">
        <v>0</v>
      </c>
    </row>
    <row r="39">
      <c r="A39" s="7" t="inlineStr">
        <is>
          <t>D2.5</t>
        </is>
      </c>
      <c r="B39" s="8" t="inlineStr">
        <is>
          <t>D.sign</t>
        </is>
      </c>
      <c r="C39" s="15" t="inlineStr">
        <is>
          <t>Especificaciones de Edificación en Altura (Fase 2)</t>
        </is>
      </c>
      <c r="D39" s="15" t="inlineStr">
        <is>
          <t>Edificación</t>
        </is>
      </c>
      <c r="E39" s="15" t="inlineStr">
        <is>
          <t>Fase 2</t>
        </is>
      </c>
      <c r="F39" s="10" t="n">
        <v>29.4</v>
      </c>
      <c r="G39" s="17" t="n">
        <v>0</v>
      </c>
      <c r="H39" s="11" t="n">
        <v>2373003</v>
      </c>
      <c r="I39" s="12" t="n">
        <v>20</v>
      </c>
      <c r="J39" s="12" t="n">
        <v>15</v>
      </c>
      <c r="K39" s="12" t="n">
        <v>20</v>
      </c>
      <c r="L39" s="16" t="inlineStr">
        <is>
          <t>✓</t>
        </is>
      </c>
      <c r="M39" s="15" t="inlineStr">
        <is>
          <t>200 m²</t>
        </is>
      </c>
      <c r="N39" s="10" t="n">
        <v>29.4</v>
      </c>
      <c r="O39" s="11" t="n">
        <v>2373003</v>
      </c>
      <c r="P39" s="14" t="n">
        <v>0</v>
      </c>
    </row>
    <row r="40">
      <c r="A40" s="7" t="inlineStr">
        <is>
          <t>D2.6</t>
        </is>
      </c>
      <c r="B40" s="8" t="inlineStr">
        <is>
          <t>D.sign</t>
        </is>
      </c>
      <c r="C40" s="9" t="inlineStr">
        <is>
          <t>Modelo Tridimensional, Viewer 360, Edificación en Altura (Fase 3)</t>
        </is>
      </c>
      <c r="D40" s="9" t="inlineStr">
        <is>
          <t>Edificación</t>
        </is>
      </c>
      <c r="E40" s="9" t="inlineStr">
        <is>
          <t>Fase 3</t>
        </is>
      </c>
      <c r="F40" s="10" t="n">
        <v>74.8</v>
      </c>
      <c r="G40" s="17" t="n">
        <v>0</v>
      </c>
      <c r="H40" s="11" t="n">
        <v>5994844</v>
      </c>
      <c r="I40" s="12" t="n">
        <v>16</v>
      </c>
      <c r="J40" s="12" t="n">
        <v>15</v>
      </c>
      <c r="K40" s="12" t="n">
        <v>20</v>
      </c>
      <c r="L40" s="16" t="inlineStr">
        <is>
          <t>✓</t>
        </is>
      </c>
      <c r="M40" s="9" t="inlineStr">
        <is>
          <t>1–200 m²</t>
        </is>
      </c>
      <c r="N40" s="10" t="n">
        <v>74.8</v>
      </c>
      <c r="O40" s="11" t="n">
        <v>5994844</v>
      </c>
      <c r="P40" s="14" t="n">
        <v>0</v>
      </c>
    </row>
    <row r="41">
      <c r="A41" s="7" t="inlineStr">
        <is>
          <t>D2.7</t>
        </is>
      </c>
      <c r="B41" s="8" t="inlineStr">
        <is>
          <t>D.sign</t>
        </is>
      </c>
      <c r="C41" s="15" t="inlineStr">
        <is>
          <t>Planimetría Arquitectónica de Edificación en Altura (Fase 3)</t>
        </is>
      </c>
      <c r="D41" s="15" t="inlineStr">
        <is>
          <t>Edificación</t>
        </is>
      </c>
      <c r="E41" s="15" t="inlineStr">
        <is>
          <t>Fase 3</t>
        </is>
      </c>
      <c r="F41" s="10" t="n">
        <v>80.3</v>
      </c>
      <c r="G41" s="17" t="n">
        <v>0</v>
      </c>
      <c r="H41" s="11" t="n">
        <v>6128349</v>
      </c>
      <c r="I41" s="12" t="n">
        <v>15</v>
      </c>
      <c r="J41" s="12" t="n">
        <v>15</v>
      </c>
      <c r="K41" s="12" t="n">
        <v>20</v>
      </c>
      <c r="L41" s="16" t="inlineStr">
        <is>
          <t>✓</t>
        </is>
      </c>
      <c r="M41" s="15" t="inlineStr">
        <is>
          <t>1–200 m²</t>
        </is>
      </c>
      <c r="N41" s="10" t="n">
        <v>80.3</v>
      </c>
      <c r="O41" s="11" t="n">
        <v>6128349</v>
      </c>
      <c r="P41" s="14" t="n">
        <v>0</v>
      </c>
    </row>
    <row r="42">
      <c r="A42" s="7" t="inlineStr">
        <is>
          <t>D2.8</t>
        </is>
      </c>
      <c r="B42" s="8" t="inlineStr">
        <is>
          <t>D.sign</t>
        </is>
      </c>
      <c r="C42" s="9" t="inlineStr">
        <is>
          <t>Especificaciones de Edificación en Altura Volumen 2 (Fase 3)</t>
        </is>
      </c>
      <c r="D42" s="9" t="inlineStr">
        <is>
          <t>Edificación</t>
        </is>
      </c>
      <c r="E42" s="9" t="inlineStr">
        <is>
          <t>Fase 3</t>
        </is>
      </c>
      <c r="F42" s="10" t="n">
        <v>34.7</v>
      </c>
      <c r="G42" s="17" t="n">
        <v>0</v>
      </c>
      <c r="H42" s="11" t="n">
        <v>2648241</v>
      </c>
      <c r="I42" s="12" t="n">
        <v>15</v>
      </c>
      <c r="J42" s="12" t="n">
        <v>15</v>
      </c>
      <c r="K42" s="12" t="n">
        <v>20</v>
      </c>
      <c r="L42" s="16" t="inlineStr">
        <is>
          <t>✓</t>
        </is>
      </c>
      <c r="M42" s="9" t="inlineStr">
        <is>
          <t>1–200 m²</t>
        </is>
      </c>
      <c r="N42" s="10" t="n">
        <v>34.7</v>
      </c>
      <c r="O42" s="11" t="n">
        <v>2648241</v>
      </c>
      <c r="P42" s="14" t="n">
        <v>0</v>
      </c>
    </row>
    <row r="43">
      <c r="A43" s="7" t="inlineStr">
        <is>
          <t>D3.1</t>
        </is>
      </c>
      <c r="B43" s="8" t="inlineStr">
        <is>
          <t>D.sign</t>
        </is>
      </c>
      <c r="C43" s="15" t="inlineStr">
        <is>
          <t>Diagnóstico del proyecto y preliminares</t>
        </is>
      </c>
      <c r="D43" s="15" t="inlineStr">
        <is>
          <t>Edificación</t>
        </is>
      </c>
      <c r="E43" s="15" t="inlineStr"/>
      <c r="F43" s="10" t="n">
        <v>38.3</v>
      </c>
      <c r="G43" s="17" t="n">
        <v>0</v>
      </c>
      <c r="H43" s="11" t="n">
        <v>3500271</v>
      </c>
      <c r="I43" s="12" t="n">
        <v>30</v>
      </c>
      <c r="J43" s="12" t="n">
        <v>15</v>
      </c>
      <c r="K43" s="12" t="n">
        <v>20</v>
      </c>
      <c r="L43" s="16" t="inlineStr">
        <is>
          <t>✓</t>
        </is>
      </c>
      <c r="M43" s="15" t="inlineStr">
        <is>
          <t>100 m²</t>
        </is>
      </c>
      <c r="N43" s="10" t="n">
        <v>38.3</v>
      </c>
      <c r="O43" s="11" t="n">
        <v>3500271</v>
      </c>
      <c r="P43" s="14" t="n">
        <v>0</v>
      </c>
    </row>
    <row r="44">
      <c r="A44" s="7" t="inlineStr">
        <is>
          <t>D3.2</t>
        </is>
      </c>
      <c r="B44" s="8" t="inlineStr">
        <is>
          <t>D.sign</t>
        </is>
      </c>
      <c r="C44" s="9" t="inlineStr">
        <is>
          <t>Planimetría Arquitectónica de Vivienda Campestre (Fase 1)</t>
        </is>
      </c>
      <c r="D44" s="9" t="inlineStr">
        <is>
          <t>Edificación</t>
        </is>
      </c>
      <c r="E44" s="9" t="inlineStr">
        <is>
          <t>Fase 1</t>
        </is>
      </c>
      <c r="F44" s="10" t="n">
        <v>34</v>
      </c>
      <c r="G44" s="17" t="n">
        <v>0</v>
      </c>
      <c r="H44" s="11" t="n">
        <v>3010582</v>
      </c>
      <c r="I44" s="12" t="n">
        <v>30</v>
      </c>
      <c r="J44" s="12" t="n">
        <v>15</v>
      </c>
      <c r="K44" s="12" t="n">
        <v>20</v>
      </c>
      <c r="L44" s="16" t="inlineStr">
        <is>
          <t>✓</t>
        </is>
      </c>
      <c r="M44" s="9" t="inlineStr">
        <is>
          <t>100 m²</t>
        </is>
      </c>
      <c r="N44" s="10" t="n">
        <v>34</v>
      </c>
      <c r="O44" s="11" t="n">
        <v>3010582</v>
      </c>
      <c r="P44" s="14" t="n">
        <v>0</v>
      </c>
    </row>
    <row r="45">
      <c r="A45" s="7" t="inlineStr">
        <is>
          <t>D3.3</t>
        </is>
      </c>
      <c r="B45" s="8" t="inlineStr">
        <is>
          <t>D.sign</t>
        </is>
      </c>
      <c r="C45" s="15" t="inlineStr">
        <is>
          <t>Especificaciones de Vivienda Campestre (Fase 2)</t>
        </is>
      </c>
      <c r="D45" s="15" t="inlineStr">
        <is>
          <t>Edificación</t>
        </is>
      </c>
      <c r="E45" s="15" t="inlineStr">
        <is>
          <t>Fase 2</t>
        </is>
      </c>
      <c r="F45" s="10" t="n">
        <v>23.7</v>
      </c>
      <c r="G45" s="17" t="n">
        <v>0</v>
      </c>
      <c r="H45" s="11" t="n">
        <v>2124838</v>
      </c>
      <c r="I45" s="12" t="n">
        <v>30</v>
      </c>
      <c r="J45" s="12" t="n">
        <v>15</v>
      </c>
      <c r="K45" s="12" t="n">
        <v>20</v>
      </c>
      <c r="L45" s="16" t="inlineStr">
        <is>
          <t>✓</t>
        </is>
      </c>
      <c r="M45" s="15" t="inlineStr">
        <is>
          <t>100 m²</t>
        </is>
      </c>
      <c r="N45" s="10" t="n">
        <v>23.7</v>
      </c>
      <c r="O45" s="11" t="n">
        <v>2124838</v>
      </c>
      <c r="P45" s="14" t="n">
        <v>0</v>
      </c>
    </row>
    <row r="46">
      <c r="A46" s="7" t="inlineStr">
        <is>
          <t>D3.4</t>
        </is>
      </c>
      <c r="B46" s="8" t="inlineStr">
        <is>
          <t>D.sign</t>
        </is>
      </c>
      <c r="C46" s="9" t="inlineStr">
        <is>
          <t>Modelo Tridimensional, Viewer 360 150, Vivienda Campestre (Fase 2)</t>
        </is>
      </c>
      <c r="D46" s="9" t="inlineStr">
        <is>
          <t>Edificación</t>
        </is>
      </c>
      <c r="E46" s="9" t="inlineStr">
        <is>
          <t>Fase 2</t>
        </is>
      </c>
      <c r="F46" s="10" t="n">
        <v>34.7</v>
      </c>
      <c r="G46" s="17" t="n">
        <v>0</v>
      </c>
      <c r="H46" s="11" t="n">
        <v>3171264</v>
      </c>
      <c r="I46" s="12" t="n">
        <v>30</v>
      </c>
      <c r="J46" s="12" t="n">
        <v>15</v>
      </c>
      <c r="K46" s="12" t="n">
        <v>20</v>
      </c>
      <c r="L46" s="16" t="inlineStr">
        <is>
          <t>✓</t>
        </is>
      </c>
      <c r="M46" s="9" t="inlineStr">
        <is>
          <t>100 m²</t>
        </is>
      </c>
      <c r="N46" s="10" t="n">
        <v>34.7</v>
      </c>
      <c r="O46" s="11" t="n">
        <v>3171264</v>
      </c>
      <c r="P46" s="14" t="n">
        <v>0</v>
      </c>
    </row>
    <row r="47">
      <c r="A47" s="7" t="inlineStr">
        <is>
          <t>D3.5</t>
        </is>
      </c>
      <c r="B47" s="8" t="inlineStr">
        <is>
          <t>D.sign</t>
        </is>
      </c>
      <c r="C47" s="15" t="inlineStr">
        <is>
          <t>Planimetría Arquitectónica de Vivienda Campestre (Fase 2)</t>
        </is>
      </c>
      <c r="D47" s="15" t="inlineStr">
        <is>
          <t>Edificación</t>
        </is>
      </c>
      <c r="E47" s="15" t="inlineStr">
        <is>
          <t>Fase 2</t>
        </is>
      </c>
      <c r="F47" s="10" t="n">
        <v>17.9</v>
      </c>
      <c r="G47" s="17" t="n">
        <v>0</v>
      </c>
      <c r="H47" s="11" t="n">
        <v>1632241</v>
      </c>
      <c r="I47" s="12" t="n">
        <v>30</v>
      </c>
      <c r="J47" s="12" t="n">
        <v>15</v>
      </c>
      <c r="K47" s="12" t="n">
        <v>20</v>
      </c>
      <c r="L47" s="16" t="inlineStr">
        <is>
          <t>✓</t>
        </is>
      </c>
      <c r="M47" s="15" t="inlineStr">
        <is>
          <t>100 m²</t>
        </is>
      </c>
      <c r="N47" s="10" t="n">
        <v>17.9</v>
      </c>
      <c r="O47" s="11" t="n">
        <v>1632241</v>
      </c>
      <c r="P47" s="14" t="n">
        <v>0</v>
      </c>
    </row>
    <row r="48">
      <c r="A48" s="7" t="inlineStr">
        <is>
          <t>D3.6</t>
        </is>
      </c>
      <c r="B48" s="8" t="inlineStr">
        <is>
          <t>D.sign</t>
        </is>
      </c>
      <c r="C48" s="9" t="inlineStr">
        <is>
          <t>Replanteo de la vivienda en campo</t>
        </is>
      </c>
      <c r="D48" s="9" t="inlineStr">
        <is>
          <t>Edificación</t>
        </is>
      </c>
      <c r="E48" s="9" t="inlineStr"/>
      <c r="F48" s="10" t="n">
        <v>16</v>
      </c>
      <c r="G48" s="17" t="n">
        <v>0</v>
      </c>
      <c r="H48" s="11" t="n">
        <v>2572963</v>
      </c>
      <c r="I48" s="12" t="n">
        <v>15</v>
      </c>
      <c r="J48" s="12" t="n">
        <v>15</v>
      </c>
      <c r="K48" s="12" t="n">
        <v>20</v>
      </c>
      <c r="L48" s="16" t="inlineStr">
        <is>
          <t>✓</t>
        </is>
      </c>
      <c r="M48" s="9" t="inlineStr">
        <is>
          <t>1 Replanteo</t>
        </is>
      </c>
      <c r="N48" s="10" t="n">
        <v>16</v>
      </c>
      <c r="O48" s="11" t="n">
        <v>2572963</v>
      </c>
      <c r="P48" s="14" t="n">
        <v>0</v>
      </c>
    </row>
    <row r="49">
      <c r="A49" s="7" t="inlineStr">
        <is>
          <t>D3.7</t>
        </is>
      </c>
      <c r="B49" s="8" t="inlineStr">
        <is>
          <t>D.sign</t>
        </is>
      </c>
      <c r="C49" s="15" t="inlineStr">
        <is>
          <t>Modelo Tridimensional, Viewer 360 150, Vivienda Campestre (Fase 3)</t>
        </is>
      </c>
      <c r="D49" s="15" t="inlineStr">
        <is>
          <t>Edificación</t>
        </is>
      </c>
      <c r="E49" s="15" t="inlineStr">
        <is>
          <t>Fase 3</t>
        </is>
      </c>
      <c r="F49" s="10" t="n">
        <v>56.8</v>
      </c>
      <c r="G49" s="17" t="n">
        <v>0</v>
      </c>
      <c r="H49" s="11" t="n">
        <v>4165073</v>
      </c>
      <c r="I49" s="12" t="n">
        <v>15</v>
      </c>
      <c r="J49" s="12" t="n">
        <v>15</v>
      </c>
      <c r="K49" s="12" t="n">
        <v>20</v>
      </c>
      <c r="L49" s="16" t="inlineStr">
        <is>
          <t>✓</t>
        </is>
      </c>
      <c r="M49" s="15" t="inlineStr">
        <is>
          <t>1–200 m²</t>
        </is>
      </c>
      <c r="N49" s="10" t="n">
        <v>56.8</v>
      </c>
      <c r="O49" s="11" t="n">
        <v>4165073</v>
      </c>
      <c r="P49" s="14" t="n">
        <v>0</v>
      </c>
    </row>
    <row r="50">
      <c r="A50" s="7" t="inlineStr">
        <is>
          <t>D3.8</t>
        </is>
      </c>
      <c r="B50" s="8" t="inlineStr">
        <is>
          <t>D.sign</t>
        </is>
      </c>
      <c r="C50" s="9" t="inlineStr">
        <is>
          <t>Planimetría Arquitectónica de Vivienda Campestre (Fase 3)</t>
        </is>
      </c>
      <c r="D50" s="9" t="inlineStr">
        <is>
          <t>Edificación</t>
        </is>
      </c>
      <c r="E50" s="9" t="inlineStr">
        <is>
          <t>Fase 3</t>
        </is>
      </c>
      <c r="F50" s="10" t="n">
        <v>49.4</v>
      </c>
      <c r="G50" s="17" t="n">
        <v>0</v>
      </c>
      <c r="H50" s="11" t="n">
        <v>4367032</v>
      </c>
      <c r="I50" s="12" t="n">
        <v>30</v>
      </c>
      <c r="J50" s="12" t="n">
        <v>15</v>
      </c>
      <c r="K50" s="12" t="n">
        <v>20</v>
      </c>
      <c r="L50" s="16" t="inlineStr">
        <is>
          <t>✓</t>
        </is>
      </c>
      <c r="M50" s="9" t="inlineStr">
        <is>
          <t>1–200 m²</t>
        </is>
      </c>
      <c r="N50" s="10" t="n">
        <v>49.4</v>
      </c>
      <c r="O50" s="11" t="n">
        <v>4367032</v>
      </c>
      <c r="P50" s="14" t="n">
        <v>0</v>
      </c>
    </row>
    <row r="51">
      <c r="A51" s="7" t="inlineStr">
        <is>
          <t>D3.9</t>
        </is>
      </c>
      <c r="B51" s="8" t="inlineStr">
        <is>
          <t>D.sign</t>
        </is>
      </c>
      <c r="C51" s="15" t="inlineStr">
        <is>
          <t>Especificaciones de Vivienda Campestre (Fase 3)</t>
        </is>
      </c>
      <c r="D51" s="15" t="inlineStr">
        <is>
          <t>Edificación</t>
        </is>
      </c>
      <c r="E51" s="15" t="inlineStr">
        <is>
          <t>Fase 3</t>
        </is>
      </c>
      <c r="F51" s="10" t="n">
        <v>30.1</v>
      </c>
      <c r="G51" s="17" t="n">
        <v>0</v>
      </c>
      <c r="H51" s="11" t="n">
        <v>2660884</v>
      </c>
      <c r="I51" s="12" t="n">
        <v>30</v>
      </c>
      <c r="J51" s="12" t="n">
        <v>15</v>
      </c>
      <c r="K51" s="12" t="n">
        <v>20</v>
      </c>
      <c r="L51" s="16" t="inlineStr">
        <is>
          <t>✓</t>
        </is>
      </c>
      <c r="M51" s="15" t="inlineStr">
        <is>
          <t>1–200 m²</t>
        </is>
      </c>
      <c r="N51" s="10" t="n">
        <v>30.1</v>
      </c>
      <c r="O51" s="11" t="n">
        <v>2660884</v>
      </c>
      <c r="P51" s="14" t="n">
        <v>0</v>
      </c>
    </row>
    <row r="52">
      <c r="A52" s="7" t="inlineStr">
        <is>
          <t>D3.10</t>
        </is>
      </c>
      <c r="B52" s="8" t="inlineStr">
        <is>
          <t>D.sign</t>
        </is>
      </c>
      <c r="C52" s="9" t="inlineStr">
        <is>
          <t>Personal Shopper de lote lite (Fase 1)</t>
        </is>
      </c>
      <c r="D52" s="9" t="inlineStr">
        <is>
          <t>Edificación</t>
        </is>
      </c>
      <c r="E52" s="9" t="inlineStr">
        <is>
          <t>Fase 1</t>
        </is>
      </c>
      <c r="F52" s="10" t="n">
        <v>12.9</v>
      </c>
      <c r="G52" s="17" t="n">
        <v>0</v>
      </c>
      <c r="H52" s="11" t="n">
        <v>906680</v>
      </c>
      <c r="I52" s="12" t="n">
        <v>10</v>
      </c>
      <c r="J52" s="12" t="n">
        <v>15</v>
      </c>
      <c r="K52" s="12" t="n">
        <v>20</v>
      </c>
      <c r="L52" s="16" t="inlineStr">
        <is>
          <t>✓</t>
        </is>
      </c>
      <c r="M52" s="9" t="inlineStr">
        <is>
          <t>Documento PDF</t>
        </is>
      </c>
      <c r="N52" s="10" t="n">
        <v>12.9</v>
      </c>
      <c r="O52" s="11" t="n">
        <v>906680</v>
      </c>
      <c r="P52" s="14" t="n">
        <v>0</v>
      </c>
    </row>
    <row r="53">
      <c r="A53" s="7" t="inlineStr">
        <is>
          <t>D3.11</t>
        </is>
      </c>
      <c r="B53" s="8" t="inlineStr">
        <is>
          <t>D.sign</t>
        </is>
      </c>
      <c r="C53" s="15" t="inlineStr">
        <is>
          <t>Personal Shopper de lote Advanced (Fase 1)</t>
        </is>
      </c>
      <c r="D53" s="15" t="inlineStr">
        <is>
          <t>Edificación</t>
        </is>
      </c>
      <c r="E53" s="15" t="inlineStr">
        <is>
          <t>Fase 1</t>
        </is>
      </c>
      <c r="F53" s="10" t="n">
        <v>7.9</v>
      </c>
      <c r="G53" s="17" t="n">
        <v>0</v>
      </c>
      <c r="H53" s="11" t="n">
        <v>545247</v>
      </c>
      <c r="I53" s="12" t="n">
        <v>15</v>
      </c>
      <c r="J53" s="12" t="n">
        <v>15</v>
      </c>
      <c r="K53" s="12" t="n">
        <v>20</v>
      </c>
      <c r="L53" s="16" t="inlineStr">
        <is>
          <t>✓</t>
        </is>
      </c>
      <c r="M53" s="15" t="inlineStr">
        <is>
          <t>Documento PDF</t>
        </is>
      </c>
      <c r="N53" s="10" t="n">
        <v>7.9</v>
      </c>
      <c r="O53" s="11" t="n">
        <v>545247</v>
      </c>
      <c r="P53" s="14" t="n">
        <v>0</v>
      </c>
    </row>
    <row r="54">
      <c r="A54" s="7" t="inlineStr">
        <is>
          <t>D4.1</t>
        </is>
      </c>
      <c r="B54" s="8" t="inlineStr">
        <is>
          <t>D.sign</t>
        </is>
      </c>
      <c r="C54" s="9" t="inlineStr">
        <is>
          <t>Propuesta Conceptual y de Layout Funcional Tridimensional</t>
        </is>
      </c>
      <c r="D54" s="9" t="inlineStr">
        <is>
          <t>Complementario</t>
        </is>
      </c>
      <c r="E54" s="9" t="inlineStr"/>
      <c r="F54" s="10" t="n">
        <v>56.4</v>
      </c>
      <c r="G54" s="17" t="n">
        <v>0</v>
      </c>
      <c r="H54" s="11" t="n">
        <v>5318566</v>
      </c>
      <c r="I54" s="12" t="n">
        <v>30</v>
      </c>
      <c r="J54" s="12" t="n">
        <v>15</v>
      </c>
      <c r="K54" s="12" t="n">
        <v>20</v>
      </c>
      <c r="L54" s="16" t="inlineStr">
        <is>
          <t>✓</t>
        </is>
      </c>
      <c r="M54" s="9" t="inlineStr">
        <is>
          <t>Proyecto</t>
        </is>
      </c>
      <c r="N54" s="10" t="n">
        <v>56.4</v>
      </c>
      <c r="O54" s="11" t="n">
        <v>5318566</v>
      </c>
      <c r="P54" s="14" t="n">
        <v>0</v>
      </c>
    </row>
    <row r="55">
      <c r="A55" s="7" t="inlineStr">
        <is>
          <t>D4.2</t>
        </is>
      </c>
      <c r="B55" s="8" t="inlineStr">
        <is>
          <t>D.sign</t>
        </is>
      </c>
      <c r="C55" s="15" t="inlineStr">
        <is>
          <t>Modelo y Planimetría Arquitectónica Técnica para Montaje de Stand</t>
        </is>
      </c>
      <c r="D55" s="15" t="inlineStr">
        <is>
          <t>Complementario</t>
        </is>
      </c>
      <c r="E55" s="15" t="inlineStr"/>
      <c r="F55" s="10" t="n">
        <v>62.6</v>
      </c>
      <c r="G55" s="17" t="n">
        <v>0</v>
      </c>
      <c r="H55" s="11" t="n">
        <v>5908207</v>
      </c>
      <c r="I55" s="12" t="n">
        <v>30</v>
      </c>
      <c r="J55" s="12" t="n">
        <v>15</v>
      </c>
      <c r="K55" s="12" t="n">
        <v>20</v>
      </c>
      <c r="L55" s="16" t="inlineStr">
        <is>
          <t>✓</t>
        </is>
      </c>
      <c r="M55" s="15" t="inlineStr">
        <is>
          <t>Proyecto</t>
        </is>
      </c>
      <c r="N55" s="10" t="n">
        <v>62.6</v>
      </c>
      <c r="O55" s="11" t="n">
        <v>5908207</v>
      </c>
      <c r="P55" s="14" t="n">
        <v>0</v>
      </c>
    </row>
    <row r="56">
      <c r="A56" s="7" t="inlineStr">
        <is>
          <t>D4.3</t>
        </is>
      </c>
      <c r="B56" s="8" t="inlineStr">
        <is>
          <t>D.sign</t>
        </is>
      </c>
      <c r="C56" s="9" t="inlineStr">
        <is>
          <t>Presupuesto, cantidades Para Producción de Stand</t>
        </is>
      </c>
      <c r="D56" s="9" t="inlineStr">
        <is>
          <t>Complementario</t>
        </is>
      </c>
      <c r="E56" s="9" t="inlineStr"/>
      <c r="F56" s="10" t="n">
        <v>53.8</v>
      </c>
      <c r="G56" s="17" t="n">
        <v>0</v>
      </c>
      <c r="H56" s="11" t="n">
        <v>4181603</v>
      </c>
      <c r="I56" s="12" t="n">
        <v>20</v>
      </c>
      <c r="J56" s="12" t="n">
        <v>15</v>
      </c>
      <c r="K56" s="12" t="n">
        <v>20</v>
      </c>
      <c r="L56" s="16" t="inlineStr">
        <is>
          <t>✓</t>
        </is>
      </c>
      <c r="M56" s="9" t="inlineStr">
        <is>
          <t>Proyecto</t>
        </is>
      </c>
      <c r="N56" s="10" t="n">
        <v>53.8</v>
      </c>
      <c r="O56" s="11" t="n">
        <v>4181603</v>
      </c>
      <c r="P56" s="14" t="n">
        <v>0</v>
      </c>
    </row>
    <row r="57">
      <c r="A57" s="7" t="inlineStr">
        <is>
          <t>D6.1</t>
        </is>
      </c>
      <c r="B57" s="8" t="inlineStr">
        <is>
          <t>D.sign</t>
        </is>
      </c>
      <c r="C57" s="15" t="inlineStr">
        <is>
          <t>Conceptualización de propuesta y cabida 3D preliminar</t>
        </is>
      </c>
      <c r="D57" s="15" t="inlineStr">
        <is>
          <t>Espacio Interior</t>
        </is>
      </c>
      <c r="E57" s="15" t="inlineStr"/>
      <c r="F57" s="10" t="n">
        <v>44.6</v>
      </c>
      <c r="G57" s="17" t="n">
        <v>0</v>
      </c>
      <c r="H57" s="11" t="n">
        <v>4000179</v>
      </c>
      <c r="I57" s="12" t="n">
        <v>30</v>
      </c>
      <c r="J57" s="12" t="n">
        <v>15</v>
      </c>
      <c r="K57" s="12" t="n">
        <v>20</v>
      </c>
      <c r="L57" s="16" t="inlineStr">
        <is>
          <t>✓</t>
        </is>
      </c>
      <c r="M57" s="15" t="inlineStr">
        <is>
          <t>Proyecto</t>
        </is>
      </c>
      <c r="N57" s="10" t="n">
        <v>44.6</v>
      </c>
      <c r="O57" s="11" t="n">
        <v>4000179</v>
      </c>
      <c r="P57" s="14" t="n">
        <v>0</v>
      </c>
    </row>
    <row r="58">
      <c r="A58" s="7" t="inlineStr">
        <is>
          <t>D6.2</t>
        </is>
      </c>
      <c r="B58" s="8" t="inlineStr">
        <is>
          <t>D.sign</t>
        </is>
      </c>
      <c r="C58" s="9" t="inlineStr">
        <is>
          <t>Look &amp; Feel</t>
        </is>
      </c>
      <c r="D58" s="9" t="inlineStr">
        <is>
          <t>Proyecto</t>
        </is>
      </c>
      <c r="E58" s="9" t="inlineStr"/>
      <c r="F58" s="10" t="n">
        <v>20.8</v>
      </c>
      <c r="G58" s="17" t="n">
        <v>0</v>
      </c>
      <c r="H58" s="11" t="n">
        <v>1963110</v>
      </c>
      <c r="I58" s="12" t="n">
        <v>30</v>
      </c>
      <c r="J58" s="12" t="n">
        <v>15</v>
      </c>
      <c r="K58" s="12" t="n">
        <v>20</v>
      </c>
      <c r="L58" s="16" t="inlineStr">
        <is>
          <t>✓</t>
        </is>
      </c>
      <c r="M58" s="9" t="inlineStr">
        <is>
          <t>Proyecto</t>
        </is>
      </c>
      <c r="N58" s="10" t="n">
        <v>20.8</v>
      </c>
      <c r="O58" s="11" t="n">
        <v>1963110</v>
      </c>
      <c r="P58" s="14" t="n">
        <v>0</v>
      </c>
    </row>
    <row r="59">
      <c r="A59" s="7" t="inlineStr">
        <is>
          <t>D6.3</t>
        </is>
      </c>
      <c r="B59" s="8" t="inlineStr">
        <is>
          <t>D.sign</t>
        </is>
      </c>
      <c r="C59" s="15" t="inlineStr">
        <is>
          <t>Modelo tridimensional fase 2 del Espacio Interior</t>
        </is>
      </c>
      <c r="D59" s="15" t="inlineStr">
        <is>
          <t>Espacio Interior</t>
        </is>
      </c>
      <c r="E59" s="15" t="inlineStr"/>
      <c r="F59" s="10" t="n">
        <v>30</v>
      </c>
      <c r="G59" s="17" t="n">
        <v>0</v>
      </c>
      <c r="H59" s="11" t="n">
        <v>2831409</v>
      </c>
      <c r="I59" s="12" t="n">
        <v>30</v>
      </c>
      <c r="J59" s="12" t="n">
        <v>15</v>
      </c>
      <c r="K59" s="12" t="n">
        <v>20</v>
      </c>
      <c r="L59" s="16" t="inlineStr">
        <is>
          <t>✓</t>
        </is>
      </c>
      <c r="M59" s="15" t="inlineStr">
        <is>
          <t>1–200 m²</t>
        </is>
      </c>
      <c r="N59" s="10" t="n">
        <v>30</v>
      </c>
      <c r="O59" s="11" t="n">
        <v>2831409</v>
      </c>
      <c r="P59" s="14" t="n">
        <v>0</v>
      </c>
    </row>
    <row r="60">
      <c r="A60" s="7" t="inlineStr">
        <is>
          <t>D6.4</t>
        </is>
      </c>
      <c r="B60" s="8" t="inlineStr">
        <is>
          <t>D.sign</t>
        </is>
      </c>
      <c r="C60" s="9" t="inlineStr">
        <is>
          <t>Planimetría Arquitectónica de Diseño Interior</t>
        </is>
      </c>
      <c r="D60" s="9" t="inlineStr">
        <is>
          <t>Espacio Interior</t>
        </is>
      </c>
      <c r="E60" s="9" t="inlineStr"/>
      <c r="F60" s="10" t="n">
        <v>92.5</v>
      </c>
      <c r="G60" s="17" t="n">
        <v>0</v>
      </c>
      <c r="H60" s="11" t="n">
        <v>6782910</v>
      </c>
      <c r="I60" s="12" t="n">
        <v>15</v>
      </c>
      <c r="J60" s="12" t="n">
        <v>15</v>
      </c>
      <c r="K60" s="12" t="n">
        <v>20</v>
      </c>
      <c r="L60" s="16" t="inlineStr">
        <is>
          <t>✓</t>
        </is>
      </c>
      <c r="M60" s="9" t="inlineStr">
        <is>
          <t>1–200 m²</t>
        </is>
      </c>
      <c r="N60" s="10" t="n">
        <v>92.5</v>
      </c>
      <c r="O60" s="11" t="n">
        <v>6782910</v>
      </c>
      <c r="P60" s="14" t="n">
        <v>0</v>
      </c>
    </row>
    <row r="61">
      <c r="A61" s="7" t="inlineStr">
        <is>
          <t>D6.5</t>
        </is>
      </c>
      <c r="B61" s="8" t="inlineStr">
        <is>
          <t>D.sign</t>
        </is>
      </c>
      <c r="C61" s="15" t="inlineStr">
        <is>
          <t>Especificaciones, experiencia de compra y cantidades de obra</t>
        </is>
      </c>
      <c r="D61" s="15" t="inlineStr">
        <is>
          <t>Espacio Interior</t>
        </is>
      </c>
      <c r="E61" s="15" t="inlineStr"/>
      <c r="F61" s="10" t="n">
        <v>28</v>
      </c>
      <c r="G61" s="17" t="n">
        <v>0</v>
      </c>
      <c r="H61" s="11" t="n">
        <v>2315878</v>
      </c>
      <c r="I61" s="12" t="n">
        <v>20</v>
      </c>
      <c r="J61" s="12" t="n">
        <v>15</v>
      </c>
      <c r="K61" s="12" t="n">
        <v>20</v>
      </c>
      <c r="L61" s="16" t="inlineStr">
        <is>
          <t>✓</t>
        </is>
      </c>
      <c r="M61" s="15" t="inlineStr">
        <is>
          <t>Und</t>
        </is>
      </c>
      <c r="N61" s="10" t="n">
        <v>28</v>
      </c>
      <c r="O61" s="11" t="n">
        <v>2315878</v>
      </c>
      <c r="P61" s="14" t="n">
        <v>0</v>
      </c>
    </row>
    <row r="62">
      <c r="A62" s="7" t="inlineStr">
        <is>
          <t>D6.6</t>
        </is>
      </c>
      <c r="B62" s="8" t="inlineStr">
        <is>
          <t>D.sign</t>
        </is>
      </c>
      <c r="C62" s="9" t="inlineStr">
        <is>
          <t>Diseña Tu Interior (Fase 1)</t>
        </is>
      </c>
      <c r="D62" s="9" t="inlineStr">
        <is>
          <t>Espacio Interior</t>
        </is>
      </c>
      <c r="E62" s="9" t="inlineStr">
        <is>
          <t>Fase 1</t>
        </is>
      </c>
      <c r="F62" s="10" t="n">
        <v>61</v>
      </c>
      <c r="G62" s="17" t="n">
        <v>0</v>
      </c>
      <c r="H62" s="11" t="n">
        <v>4398529</v>
      </c>
      <c r="I62" s="12" t="n">
        <v>18</v>
      </c>
      <c r="J62" s="12" t="n">
        <v>15</v>
      </c>
      <c r="K62" s="12" t="n">
        <v>20</v>
      </c>
      <c r="L62" s="16" t="inlineStr">
        <is>
          <t>✓</t>
        </is>
      </c>
      <c r="M62" s="9" t="inlineStr">
        <is>
          <t>50 m²</t>
        </is>
      </c>
      <c r="N62" s="10" t="n">
        <v>61</v>
      </c>
      <c r="O62" s="11" t="n">
        <v>4398529</v>
      </c>
      <c r="P62" s="14" t="n">
        <v>0</v>
      </c>
    </row>
    <row r="63">
      <c r="A63" s="7" t="inlineStr">
        <is>
          <t>D6.7</t>
        </is>
      </c>
      <c r="B63" s="8" t="inlineStr">
        <is>
          <t>D.sign</t>
        </is>
      </c>
      <c r="C63" s="15" t="inlineStr">
        <is>
          <t>Renueva tu Interior (Fase 1)</t>
        </is>
      </c>
      <c r="D63" s="15" t="inlineStr">
        <is>
          <t>Espacio Interior</t>
        </is>
      </c>
      <c r="E63" s="15" t="inlineStr">
        <is>
          <t>Fase 1</t>
        </is>
      </c>
      <c r="F63" s="10" t="n">
        <v>69</v>
      </c>
      <c r="G63" s="17" t="n">
        <v>0</v>
      </c>
      <c r="H63" s="11" t="n">
        <v>4975385</v>
      </c>
      <c r="I63" s="12" t="n">
        <v>18</v>
      </c>
      <c r="J63" s="12" t="n">
        <v>15</v>
      </c>
      <c r="K63" s="12" t="n">
        <v>20</v>
      </c>
      <c r="L63" s="16" t="inlineStr">
        <is>
          <t>✓</t>
        </is>
      </c>
      <c r="M63" s="15" t="inlineStr">
        <is>
          <t>PDF/Proyecto</t>
        </is>
      </c>
      <c r="N63" s="10" t="n">
        <v>69</v>
      </c>
      <c r="O63" s="11" t="n">
        <v>4975385</v>
      </c>
      <c r="P63" s="14" t="n">
        <v>0</v>
      </c>
    </row>
    <row r="64">
      <c r="A64" s="7" t="inlineStr">
        <is>
          <t>D7.1</t>
        </is>
      </c>
      <c r="B64" s="8" t="inlineStr">
        <is>
          <t>D.sign</t>
        </is>
      </c>
      <c r="C64" s="9" t="inlineStr">
        <is>
          <t>Select — Servicio 1</t>
        </is>
      </c>
      <c r="D64" s="9" t="inlineStr">
        <is>
          <t>Edificación</t>
        </is>
      </c>
      <c r="E64" s="9" t="inlineStr">
        <is>
          <t>Fase 1</t>
        </is>
      </c>
      <c r="F64" s="10" t="n">
        <v>55.8</v>
      </c>
      <c r="G64" s="17" t="n">
        <v>0</v>
      </c>
      <c r="H64" s="11" t="n">
        <v>4503862</v>
      </c>
      <c r="I64" s="12" t="n">
        <v>20</v>
      </c>
      <c r="J64" s="12" t="n">
        <v>15</v>
      </c>
      <c r="K64" s="12" t="n">
        <v>20</v>
      </c>
      <c r="L64" s="16" t="inlineStr">
        <is>
          <t>✓</t>
        </is>
      </c>
      <c r="M64" s="9" t="inlineStr">
        <is>
          <t>100 m²</t>
        </is>
      </c>
      <c r="N64" s="10" t="n">
        <v>55.8</v>
      </c>
      <c r="O64" s="11" t="n">
        <v>4503862</v>
      </c>
      <c r="P64" s="14" t="n">
        <v>0</v>
      </c>
    </row>
    <row r="65">
      <c r="A65" s="7" t="inlineStr">
        <is>
          <t>D7.2</t>
        </is>
      </c>
      <c r="B65" s="8" t="inlineStr">
        <is>
          <t>D.sign</t>
        </is>
      </c>
      <c r="C65" s="15" t="inlineStr">
        <is>
          <t>Select — Servicio 2</t>
        </is>
      </c>
      <c r="D65" s="15" t="inlineStr">
        <is>
          <t>Edificación</t>
        </is>
      </c>
      <c r="E65" s="15" t="inlineStr">
        <is>
          <t>Fase 1</t>
        </is>
      </c>
      <c r="F65" s="10" t="n">
        <v>24.1</v>
      </c>
      <c r="G65" s="17" t="n">
        <v>0</v>
      </c>
      <c r="H65" s="11" t="n">
        <v>1945217</v>
      </c>
      <c r="I65" s="12" t="n">
        <v>20</v>
      </c>
      <c r="J65" s="12" t="n">
        <v>15</v>
      </c>
      <c r="K65" s="12" t="n">
        <v>20</v>
      </c>
      <c r="L65" s="16" t="inlineStr">
        <is>
          <t>✓</t>
        </is>
      </c>
      <c r="M65" s="15" t="inlineStr">
        <is>
          <t>100 m²</t>
        </is>
      </c>
      <c r="N65" s="10" t="n">
        <v>24.1</v>
      </c>
      <c r="O65" s="11" t="n">
        <v>1945217</v>
      </c>
      <c r="P65" s="14" t="n">
        <v>0</v>
      </c>
    </row>
    <row r="66">
      <c r="A66" s="19" t="inlineStr">
        <is>
          <t>V0.1</t>
        </is>
      </c>
      <c r="B66" s="20" t="inlineStr">
        <is>
          <t>V.sual</t>
        </is>
      </c>
      <c r="C66" s="9" t="inlineStr">
        <is>
          <t>Modelado arquitectónico sobre planos para visualización arquitectónica</t>
        </is>
      </c>
      <c r="D66" s="9" t="inlineStr">
        <is>
          <t>Ed. Exterior</t>
        </is>
      </c>
      <c r="E66" s="9" t="inlineStr"/>
      <c r="F66" s="10" t="n">
        <v>30</v>
      </c>
      <c r="G66" s="17" t="n">
        <v>0</v>
      </c>
      <c r="H66" s="11" t="n">
        <v>2339549</v>
      </c>
      <c r="I66" s="12" t="n">
        <v>20</v>
      </c>
      <c r="J66" s="12" t="n">
        <v>15</v>
      </c>
      <c r="K66" s="12" t="n">
        <v>20</v>
      </c>
      <c r="L66" s="16" t="inlineStr">
        <is>
          <t>✓</t>
        </is>
      </c>
      <c r="M66" s="9" t="inlineStr">
        <is>
          <t>Proyecto</t>
        </is>
      </c>
      <c r="N66" s="10" t="n">
        <v>30</v>
      </c>
      <c r="O66" s="11" t="n">
        <v>2339549</v>
      </c>
      <c r="P66" s="14" t="n">
        <v>0</v>
      </c>
    </row>
    <row r="67">
      <c r="A67" s="19" t="inlineStr">
        <is>
          <t>V0.2</t>
        </is>
      </c>
      <c r="B67" s="20" t="inlineStr">
        <is>
          <t>V.sual</t>
        </is>
      </c>
      <c r="C67" s="15" t="inlineStr">
        <is>
          <t>Modelo tridimensional para visualización de urbanismo</t>
        </is>
      </c>
      <c r="D67" s="15" t="inlineStr">
        <is>
          <t>Urb</t>
        </is>
      </c>
      <c r="E67" s="15" t="inlineStr"/>
      <c r="F67" s="10" t="n">
        <v>36.2</v>
      </c>
      <c r="G67" s="17" t="n">
        <v>0</v>
      </c>
      <c r="H67" s="11" t="n">
        <v>3088365</v>
      </c>
      <c r="I67" s="12" t="n">
        <v>20</v>
      </c>
      <c r="J67" s="12" t="n">
        <v>15</v>
      </c>
      <c r="K67" s="12" t="n">
        <v>20</v>
      </c>
      <c r="L67" s="16" t="inlineStr">
        <is>
          <t>✓</t>
        </is>
      </c>
      <c r="M67" s="15" t="inlineStr">
        <is>
          <t>Proyecto</t>
        </is>
      </c>
      <c r="N67" s="10" t="n">
        <v>36.2</v>
      </c>
      <c r="O67" s="11" t="n">
        <v>3088365</v>
      </c>
      <c r="P67" s="14" t="n">
        <v>0</v>
      </c>
    </row>
    <row r="68">
      <c r="A68" s="19" t="inlineStr">
        <is>
          <t>V0.3</t>
        </is>
      </c>
      <c r="B68" s="20" t="inlineStr">
        <is>
          <t>V.sual</t>
        </is>
      </c>
      <c r="C68" s="9" t="inlineStr">
        <is>
          <t>Modelo tridimensional para visualización de edificios exteriores</t>
        </is>
      </c>
      <c r="D68" s="9" t="inlineStr">
        <is>
          <t>Ed. Exterior</t>
        </is>
      </c>
      <c r="E68" s="9" t="inlineStr"/>
      <c r="F68" s="10" t="n">
        <v>20.5</v>
      </c>
      <c r="G68" s="17" t="n">
        <v>0</v>
      </c>
      <c r="H68" s="11" t="n">
        <v>1702555</v>
      </c>
      <c r="I68" s="12" t="n">
        <v>20</v>
      </c>
      <c r="J68" s="12" t="n">
        <v>15</v>
      </c>
      <c r="K68" s="12" t="n">
        <v>20</v>
      </c>
      <c r="L68" s="16" t="inlineStr">
        <is>
          <t>✓</t>
        </is>
      </c>
      <c r="M68" s="9" t="inlineStr">
        <is>
          <t>Proyecto</t>
        </is>
      </c>
      <c r="N68" s="10" t="n">
        <v>20.5</v>
      </c>
      <c r="O68" s="11" t="n">
        <v>1702555</v>
      </c>
      <c r="P68" s="14" t="n">
        <v>0</v>
      </c>
    </row>
    <row r="69">
      <c r="A69" s="19" t="inlineStr">
        <is>
          <t>V0.4</t>
        </is>
      </c>
      <c r="B69" s="20" t="inlineStr">
        <is>
          <t>V.sual</t>
        </is>
      </c>
      <c r="C69" s="15" t="inlineStr">
        <is>
          <t>Modelo de ambientación interior</t>
        </is>
      </c>
      <c r="D69" s="15" t="inlineStr">
        <is>
          <t>Ed. Interior</t>
        </is>
      </c>
      <c r="E69" s="15" t="inlineStr"/>
      <c r="F69" s="10" t="n">
        <v>18</v>
      </c>
      <c r="G69" s="17" t="n">
        <v>0</v>
      </c>
      <c r="H69" s="11" t="n">
        <v>1776120</v>
      </c>
      <c r="I69" s="12" t="n">
        <v>20</v>
      </c>
      <c r="J69" s="12" t="n">
        <v>15</v>
      </c>
      <c r="K69" s="12" t="n">
        <v>20</v>
      </c>
      <c r="L69" s="16" t="inlineStr">
        <is>
          <t>✓</t>
        </is>
      </c>
      <c r="M69" s="15" t="inlineStr">
        <is>
          <t>Proyecto</t>
        </is>
      </c>
      <c r="N69" s="10" t="n">
        <v>18</v>
      </c>
      <c r="O69" s="11" t="n">
        <v>1776120</v>
      </c>
      <c r="P69" s="14" t="n">
        <v>0</v>
      </c>
    </row>
    <row r="70">
      <c r="A70" s="19" t="inlineStr">
        <is>
          <t>V0.5</t>
        </is>
      </c>
      <c r="B70" s="20" t="inlineStr">
        <is>
          <t>V.sual</t>
        </is>
      </c>
      <c r="C70" s="9" t="inlineStr">
        <is>
          <t>Modelo implantado Gaussian Splatting para plataformas</t>
        </is>
      </c>
      <c r="D70" s="9" t="inlineStr">
        <is>
          <t>Todos</t>
        </is>
      </c>
      <c r="E70" s="9" t="inlineStr"/>
      <c r="F70" s="10" t="n">
        <v>10</v>
      </c>
      <c r="G70" s="17" t="n">
        <v>0</v>
      </c>
      <c r="H70" s="11" t="n">
        <v>1748666</v>
      </c>
      <c r="I70" s="12" t="n">
        <v>20</v>
      </c>
      <c r="J70" s="12" t="n">
        <v>15</v>
      </c>
      <c r="K70" s="12" t="n">
        <v>20</v>
      </c>
      <c r="L70" s="16" t="inlineStr">
        <is>
          <t>✓</t>
        </is>
      </c>
      <c r="M70" s="9" t="inlineStr">
        <is>
          <t>Proyecto</t>
        </is>
      </c>
      <c r="N70" s="10" t="n">
        <v>10</v>
      </c>
      <c r="O70" s="11" t="n">
        <v>1748666</v>
      </c>
      <c r="P70" s="14" t="n">
        <v>0</v>
      </c>
    </row>
    <row r="71">
      <c r="A71" s="19" t="inlineStr">
        <is>
          <t>V1.1</t>
        </is>
      </c>
      <c r="B71" s="20" t="inlineStr">
        <is>
          <t>V.sual</t>
        </is>
      </c>
      <c r="C71" s="15" t="inlineStr">
        <is>
          <t>Pack ilimitado Imágenes de Urbanismo</t>
        </is>
      </c>
      <c r="D71" s="15" t="inlineStr">
        <is>
          <t>Urb</t>
        </is>
      </c>
      <c r="E71" s="15" t="inlineStr"/>
      <c r="F71" s="10" t="n">
        <v>12.4</v>
      </c>
      <c r="G71" s="17" t="n">
        <v>0</v>
      </c>
      <c r="H71" s="11" t="n">
        <v>1095282</v>
      </c>
      <c r="I71" s="12" t="n">
        <v>20</v>
      </c>
      <c r="J71" s="12" t="n">
        <v>15</v>
      </c>
      <c r="K71" s="12" t="n">
        <v>20</v>
      </c>
      <c r="L71" s="16" t="inlineStr">
        <is>
          <t>✓</t>
        </is>
      </c>
      <c r="M71" s="15" t="inlineStr">
        <is>
          <t>Pack</t>
        </is>
      </c>
      <c r="N71" s="10" t="n">
        <v>12.4</v>
      </c>
      <c r="O71" s="11" t="n">
        <v>1095282</v>
      </c>
      <c r="P71" s="14" t="n">
        <v>0</v>
      </c>
    </row>
    <row r="72">
      <c r="A72" s="19" t="inlineStr">
        <is>
          <t>V1.2</t>
        </is>
      </c>
      <c r="B72" s="20" t="inlineStr">
        <is>
          <t>V.sual</t>
        </is>
      </c>
      <c r="C72" s="9" t="inlineStr">
        <is>
          <t>Pack ilimitado Imagen de edificios exteriores</t>
        </is>
      </c>
      <c r="D72" s="9" t="inlineStr">
        <is>
          <t>Ed. Exterior</t>
        </is>
      </c>
      <c r="E72" s="9" t="inlineStr"/>
      <c r="F72" s="10" t="n">
        <v>10.5</v>
      </c>
      <c r="G72" s="17" t="n">
        <v>0</v>
      </c>
      <c r="H72" s="11" t="n">
        <v>887809</v>
      </c>
      <c r="I72" s="12" t="n">
        <v>20</v>
      </c>
      <c r="J72" s="12" t="n">
        <v>15</v>
      </c>
      <c r="K72" s="12" t="n">
        <v>20</v>
      </c>
      <c r="L72" s="16" t="inlineStr">
        <is>
          <t>✓</t>
        </is>
      </c>
      <c r="M72" s="9" t="inlineStr">
        <is>
          <t>Pack</t>
        </is>
      </c>
      <c r="N72" s="10" t="n">
        <v>10.5</v>
      </c>
      <c r="O72" s="11" t="n">
        <v>887809</v>
      </c>
      <c r="P72" s="14" t="n">
        <v>0</v>
      </c>
    </row>
    <row r="73">
      <c r="A73" s="19" t="inlineStr">
        <is>
          <t>V1.3</t>
        </is>
      </c>
      <c r="B73" s="20" t="inlineStr">
        <is>
          <t>V.sual</t>
        </is>
      </c>
      <c r="C73" s="15" t="inlineStr">
        <is>
          <t>Parck ilimitado de Imagen de interiores</t>
        </is>
      </c>
      <c r="D73" s="15" t="inlineStr">
        <is>
          <t>Ed. Interior</t>
        </is>
      </c>
      <c r="E73" s="15" t="inlineStr"/>
      <c r="F73" s="10" t="n">
        <v>14.5</v>
      </c>
      <c r="G73" s="17" t="n">
        <v>0</v>
      </c>
      <c r="H73" s="11" t="n">
        <v>1277199</v>
      </c>
      <c r="I73" s="12" t="n">
        <v>20</v>
      </c>
      <c r="J73" s="12" t="n">
        <v>15</v>
      </c>
      <c r="K73" s="12" t="n">
        <v>20</v>
      </c>
      <c r="L73" s="16" t="inlineStr">
        <is>
          <t>✓</t>
        </is>
      </c>
      <c r="M73" s="15" t="inlineStr">
        <is>
          <t>Pack</t>
        </is>
      </c>
      <c r="N73" s="10" t="n">
        <v>14.5</v>
      </c>
      <c r="O73" s="11" t="n">
        <v>1277199</v>
      </c>
      <c r="P73" s="14" t="n">
        <v>0</v>
      </c>
    </row>
    <row r="74">
      <c r="A74" s="19" t="inlineStr">
        <is>
          <t>V2.1</t>
        </is>
      </c>
      <c r="B74" s="20" t="inlineStr">
        <is>
          <t>V.sual</t>
        </is>
      </c>
      <c r="C74" s="9" t="inlineStr">
        <is>
          <t>2k Video comercial cinematrográfico 2:30 MIN</t>
        </is>
      </c>
      <c r="D74" s="9" t="inlineStr">
        <is>
          <t>Todos</t>
        </is>
      </c>
      <c r="E74" s="9" t="inlineStr"/>
      <c r="F74" s="10" t="n">
        <v>29.5</v>
      </c>
      <c r="G74" s="17" t="n">
        <v>0</v>
      </c>
      <c r="H74" s="11" t="n">
        <v>2584908</v>
      </c>
      <c r="I74" s="12" t="n">
        <v>20</v>
      </c>
      <c r="J74" s="12" t="n">
        <v>15</v>
      </c>
      <c r="K74" s="12" t="n">
        <v>20</v>
      </c>
      <c r="L74" s="16" t="inlineStr">
        <is>
          <t>✓</t>
        </is>
      </c>
      <c r="M74" s="9" t="inlineStr">
        <is>
          <t>Video</t>
        </is>
      </c>
      <c r="N74" s="10" t="n">
        <v>29.5</v>
      </c>
      <c r="O74" s="11" t="n">
        <v>2584908</v>
      </c>
      <c r="P74" s="14" t="n">
        <v>0</v>
      </c>
    </row>
    <row r="75">
      <c r="A75" s="19" t="inlineStr">
        <is>
          <t>V2.2</t>
        </is>
      </c>
      <c r="B75" s="20" t="inlineStr">
        <is>
          <t>V.sual</t>
        </is>
      </c>
      <c r="C75" s="15" t="inlineStr">
        <is>
          <t>Video Recorrido de entendimiento espacial</t>
        </is>
      </c>
      <c r="D75" s="15" t="inlineStr">
        <is>
          <t>Todos</t>
        </is>
      </c>
      <c r="E75" s="15" t="inlineStr"/>
      <c r="F75" s="10" t="n">
        <v>4.5</v>
      </c>
      <c r="G75" s="17" t="n">
        <v>0</v>
      </c>
      <c r="H75" s="11" t="n">
        <v>429966</v>
      </c>
      <c r="I75" s="12" t="n">
        <v>20</v>
      </c>
      <c r="J75" s="12" t="n">
        <v>15</v>
      </c>
      <c r="K75" s="12" t="n">
        <v>20</v>
      </c>
      <c r="L75" s="16" t="inlineStr">
        <is>
          <t>✓</t>
        </is>
      </c>
      <c r="M75" s="15" t="inlineStr">
        <is>
          <t>Video</t>
        </is>
      </c>
      <c r="N75" s="10" t="n">
        <v>4.5</v>
      </c>
      <c r="O75" s="11" t="n">
        <v>429966</v>
      </c>
      <c r="P75" s="14" t="n">
        <v>0</v>
      </c>
    </row>
    <row r="76">
      <c r="A76" s="19" t="inlineStr">
        <is>
          <t>V2.3</t>
        </is>
      </c>
      <c r="B76" s="20" t="inlineStr">
        <is>
          <t>V.sual</t>
        </is>
      </c>
      <c r="C76" s="9" t="inlineStr">
        <is>
          <t>720P Clip video comercial 40 seg cinematrográfico Versión Trailer</t>
        </is>
      </c>
      <c r="D76" s="9" t="inlineStr">
        <is>
          <t>Todos</t>
        </is>
      </c>
      <c r="E76" s="9" t="inlineStr"/>
      <c r="F76" s="10" t="n">
        <v>2.2</v>
      </c>
      <c r="G76" s="17" t="n">
        <v>0</v>
      </c>
      <c r="H76" s="11" t="n">
        <v>530315</v>
      </c>
      <c r="I76" s="12" t="n">
        <v>20</v>
      </c>
      <c r="J76" s="12" t="n">
        <v>15</v>
      </c>
      <c r="K76" s="12" t="n">
        <v>20</v>
      </c>
      <c r="L76" s="16" t="inlineStr">
        <is>
          <t>✓</t>
        </is>
      </c>
      <c r="M76" s="9" t="inlineStr">
        <is>
          <t>Video</t>
        </is>
      </c>
      <c r="N76" s="10" t="n">
        <v>2.2</v>
      </c>
      <c r="O76" s="11" t="n">
        <v>530315</v>
      </c>
      <c r="P76" s="14" t="n">
        <v>0</v>
      </c>
    </row>
    <row r="77">
      <c r="A77" s="19" t="inlineStr">
        <is>
          <t>V2.4</t>
        </is>
      </c>
      <c r="B77" s="20" t="inlineStr">
        <is>
          <t>V.sual</t>
        </is>
      </c>
      <c r="C77" s="15" t="inlineStr">
        <is>
          <t>720P Clip video emocional comercial 1.20 min cinematrográfico Versión Trailer</t>
        </is>
      </c>
      <c r="D77" s="15" t="inlineStr">
        <is>
          <t>Todos</t>
        </is>
      </c>
      <c r="E77" s="15" t="inlineStr"/>
      <c r="F77" s="10" t="n">
        <v>9</v>
      </c>
      <c r="G77" s="17" t="n">
        <v>0</v>
      </c>
      <c r="H77" s="11" t="n">
        <v>1005091</v>
      </c>
      <c r="I77" s="12" t="n">
        <v>20</v>
      </c>
      <c r="J77" s="12" t="n">
        <v>15</v>
      </c>
      <c r="K77" s="12" t="n">
        <v>20</v>
      </c>
      <c r="L77" s="16" t="inlineStr">
        <is>
          <t>✓</t>
        </is>
      </c>
      <c r="M77" s="15" t="inlineStr">
        <is>
          <t>Video</t>
        </is>
      </c>
      <c r="N77" s="10" t="n">
        <v>9</v>
      </c>
      <c r="O77" s="11" t="n">
        <v>1005091</v>
      </c>
      <c r="P77" s="14" t="n">
        <v>0</v>
      </c>
    </row>
    <row r="78">
      <c r="A78" s="19" t="inlineStr">
        <is>
          <t>V2.5</t>
        </is>
      </c>
      <c r="B78" s="20" t="inlineStr">
        <is>
          <t>V.sual</t>
        </is>
      </c>
      <c r="C78" s="9" t="inlineStr">
        <is>
          <t>Escalado de videos hasta 8K</t>
        </is>
      </c>
      <c r="D78" s="9" t="inlineStr">
        <is>
          <t>Todos</t>
        </is>
      </c>
      <c r="E78" s="9" t="inlineStr"/>
      <c r="F78" s="10" t="n">
        <v>1</v>
      </c>
      <c r="G78" s="17" t="n">
        <v>0</v>
      </c>
      <c r="H78" s="11" t="n">
        <v>246158</v>
      </c>
      <c r="I78" s="12" t="n">
        <v>20</v>
      </c>
      <c r="J78" s="12" t="n">
        <v>15</v>
      </c>
      <c r="K78" s="12" t="n">
        <v>20</v>
      </c>
      <c r="L78" s="16" t="inlineStr">
        <is>
          <t>✓</t>
        </is>
      </c>
      <c r="M78" s="9" t="inlineStr">
        <is>
          <t>Video</t>
        </is>
      </c>
      <c r="N78" s="10" t="n">
        <v>1</v>
      </c>
      <c r="O78" s="11" t="n">
        <v>246158</v>
      </c>
      <c r="P78" s="14" t="n">
        <v>0</v>
      </c>
    </row>
    <row r="79">
      <c r="A79" s="19" t="inlineStr">
        <is>
          <t>V3.1</t>
        </is>
      </c>
      <c r="B79" s="20" t="inlineStr">
        <is>
          <t>V.sual</t>
        </is>
      </c>
      <c r="C79" s="15" t="inlineStr">
        <is>
          <t>Recorridos 360 4 imágenes</t>
        </is>
      </c>
      <c r="D79" s="15" t="inlineStr">
        <is>
          <t>Todos</t>
        </is>
      </c>
      <c r="E79" s="15" t="inlineStr"/>
      <c r="F79" s="10" t="n">
        <v>7</v>
      </c>
      <c r="G79" s="17" t="n">
        <v>0</v>
      </c>
      <c r="H79" s="11" t="n">
        <v>752316</v>
      </c>
      <c r="I79" s="12" t="n">
        <v>20</v>
      </c>
      <c r="J79" s="12" t="n">
        <v>15</v>
      </c>
      <c r="K79" s="12" t="n">
        <v>20</v>
      </c>
      <c r="L79" s="16" t="inlineStr">
        <is>
          <t>✓</t>
        </is>
      </c>
      <c r="M79" s="15" t="inlineStr">
        <is>
          <t>Pack</t>
        </is>
      </c>
      <c r="N79" s="10" t="n">
        <v>7</v>
      </c>
      <c r="O79" s="11" t="n">
        <v>752316</v>
      </c>
      <c r="P79" s="14" t="n">
        <v>0</v>
      </c>
    </row>
    <row r="80">
      <c r="A80" s="19" t="inlineStr">
        <is>
          <t>V3.2</t>
        </is>
      </c>
      <c r="B80" s="20" t="inlineStr">
        <is>
          <t>V.sual</t>
        </is>
      </c>
      <c r="C80" s="9" t="inlineStr">
        <is>
          <t>Recorrido en tiempo real para eventos o lanzamientos</t>
        </is>
      </c>
      <c r="D80" s="9" t="inlineStr">
        <is>
          <t>Todos</t>
        </is>
      </c>
      <c r="E80" s="9" t="inlineStr"/>
      <c r="F80" s="10" t="n">
        <v>4.5</v>
      </c>
      <c r="G80" s="17" t="n">
        <v>0</v>
      </c>
      <c r="H80" s="11" t="n">
        <v>414339</v>
      </c>
      <c r="I80" s="12" t="n">
        <v>20</v>
      </c>
      <c r="J80" s="12" t="n">
        <v>15</v>
      </c>
      <c r="K80" s="12" t="n">
        <v>20</v>
      </c>
      <c r="L80" s="16" t="inlineStr">
        <is>
          <t>✓</t>
        </is>
      </c>
      <c r="M80" s="9" t="inlineStr">
        <is>
          <t>Evento</t>
        </is>
      </c>
      <c r="N80" s="10" t="n">
        <v>4.5</v>
      </c>
      <c r="O80" s="11" t="n">
        <v>414339</v>
      </c>
      <c r="P80" s="14" t="n">
        <v>0</v>
      </c>
    </row>
    <row r="81">
      <c r="A81" s="19" t="inlineStr">
        <is>
          <t>V4.1</t>
        </is>
      </c>
      <c r="B81" s="20" t="inlineStr">
        <is>
          <t>V.sual</t>
        </is>
      </c>
      <c r="C81" s="15" t="inlineStr">
        <is>
          <t>Planimetría comercial/ambientada para edificios</t>
        </is>
      </c>
      <c r="D81" s="15" t="inlineStr">
        <is>
          <t>Ed. Exterior</t>
        </is>
      </c>
      <c r="E81" s="15" t="inlineStr"/>
      <c r="F81" s="10" t="n">
        <v>9.5</v>
      </c>
      <c r="G81" s="17" t="n">
        <v>0</v>
      </c>
      <c r="H81" s="11" t="n">
        <v>828721</v>
      </c>
      <c r="I81" s="12" t="n">
        <v>20</v>
      </c>
      <c r="J81" s="12" t="n">
        <v>15</v>
      </c>
      <c r="K81" s="12" t="n">
        <v>20</v>
      </c>
      <c r="L81" s="16" t="inlineStr">
        <is>
          <t>✓</t>
        </is>
      </c>
      <c r="M81" s="15" t="inlineStr">
        <is>
          <t>Proyecto</t>
        </is>
      </c>
      <c r="N81" s="10" t="n">
        <v>9.5</v>
      </c>
      <c r="O81" s="11" t="n">
        <v>828721</v>
      </c>
      <c r="P81" s="14" t="n">
        <v>0</v>
      </c>
    </row>
    <row r="82">
      <c r="A82" s="19" t="inlineStr">
        <is>
          <t>V4.2</t>
        </is>
      </c>
      <c r="B82" s="20" t="inlineStr">
        <is>
          <t>V.sual</t>
        </is>
      </c>
      <c r="C82" s="9" t="inlineStr">
        <is>
          <t>Planimetría comercial para Urbanismos y parcelaciones</t>
        </is>
      </c>
      <c r="D82" s="9" t="inlineStr">
        <is>
          <t>Urb</t>
        </is>
      </c>
      <c r="E82" s="9" t="inlineStr"/>
      <c r="F82" s="10" t="n">
        <v>11</v>
      </c>
      <c r="G82" s="17" t="n">
        <v>0</v>
      </c>
      <c r="H82" s="11" t="n">
        <v>1085407</v>
      </c>
      <c r="I82" s="12" t="n">
        <v>20</v>
      </c>
      <c r="J82" s="12" t="n">
        <v>15</v>
      </c>
      <c r="K82" s="12" t="n">
        <v>20</v>
      </c>
      <c r="L82" s="16" t="inlineStr">
        <is>
          <t>✓</t>
        </is>
      </c>
      <c r="M82" s="9" t="inlineStr">
        <is>
          <t>Proyecto</t>
        </is>
      </c>
      <c r="N82" s="10" t="n">
        <v>11</v>
      </c>
      <c r="O82" s="11" t="n">
        <v>1085407</v>
      </c>
      <c r="P82" s="14" t="n">
        <v>0</v>
      </c>
    </row>
    <row r="83">
      <c r="A83" s="19" t="inlineStr">
        <is>
          <t>V5.1</t>
        </is>
      </c>
      <c r="B83" s="20" t="inlineStr">
        <is>
          <t>V.sual</t>
        </is>
      </c>
      <c r="C83" s="15" t="inlineStr">
        <is>
          <t>Experiencia web inmobiliaria</t>
        </is>
      </c>
      <c r="D83" s="15" t="inlineStr">
        <is>
          <t>Todos</t>
        </is>
      </c>
      <c r="E83" s="15" t="inlineStr"/>
      <c r="F83" s="10" t="n">
        <v>113</v>
      </c>
      <c r="G83" s="17" t="n">
        <v>0</v>
      </c>
      <c r="H83" s="11" t="n">
        <v>6568665</v>
      </c>
      <c r="I83" s="12" t="n">
        <v>20</v>
      </c>
      <c r="J83" s="12" t="n">
        <v>15</v>
      </c>
      <c r="K83" s="12" t="n">
        <v>20</v>
      </c>
      <c r="L83" s="16" t="inlineStr">
        <is>
          <t>✓</t>
        </is>
      </c>
      <c r="M83" s="15" t="inlineStr">
        <is>
          <t>Proyecto</t>
        </is>
      </c>
      <c r="N83" s="10" t="n">
        <v>113</v>
      </c>
      <c r="O83" s="11" t="n">
        <v>6568665</v>
      </c>
      <c r="P83" s="14" t="n">
        <v>0</v>
      </c>
    </row>
    <row r="84">
      <c r="A84" s="19" t="inlineStr">
        <is>
          <t>V5.2</t>
        </is>
      </c>
      <c r="B84" s="20" t="inlineStr">
        <is>
          <t>V.sual</t>
        </is>
      </c>
      <c r="C84" s="9" t="inlineStr">
        <is>
          <t>Brochure con material comercial virtual y para impresión</t>
        </is>
      </c>
      <c r="D84" s="9" t="inlineStr">
        <is>
          <t>Todos</t>
        </is>
      </c>
      <c r="E84" s="9" t="inlineStr"/>
      <c r="F84" s="10" t="n">
        <v>2</v>
      </c>
      <c r="G84" s="17" t="n">
        <v>0</v>
      </c>
      <c r="H84" s="11" t="n">
        <v>108431</v>
      </c>
      <c r="I84" s="12" t="n">
        <v>20</v>
      </c>
      <c r="J84" s="12" t="n">
        <v>15</v>
      </c>
      <c r="K84" s="12" t="n">
        <v>20</v>
      </c>
      <c r="L84" s="16" t="inlineStr">
        <is>
          <t>✓</t>
        </is>
      </c>
      <c r="M84" s="9" t="inlineStr">
        <is>
          <t>Pack</t>
        </is>
      </c>
      <c r="N84" s="10" t="n">
        <v>2</v>
      </c>
      <c r="O84" s="11" t="n">
        <v>108431</v>
      </c>
      <c r="P84" s="14" t="n">
        <v>0</v>
      </c>
    </row>
    <row r="85">
      <c r="A85" s="19" t="inlineStr">
        <is>
          <t>V5.3</t>
        </is>
      </c>
      <c r="B85" s="20" t="inlineStr">
        <is>
          <t>V.sual</t>
        </is>
      </c>
      <c r="C85" s="15" t="inlineStr">
        <is>
          <t>Experiencia web Lite alianza con web3D hasta 100 UND</t>
        </is>
      </c>
      <c r="D85" s="15" t="inlineStr">
        <is>
          <t>Todos</t>
        </is>
      </c>
      <c r="E85" s="15" t="inlineStr"/>
      <c r="F85" s="10" t="n">
        <v>49</v>
      </c>
      <c r="G85" s="17" t="n">
        <v>0</v>
      </c>
      <c r="H85" s="11" t="n">
        <v>4054743</v>
      </c>
      <c r="I85" s="12" t="n">
        <v>20</v>
      </c>
      <c r="J85" s="12" t="n">
        <v>15</v>
      </c>
      <c r="K85" s="12" t="n">
        <v>20</v>
      </c>
      <c r="L85" s="16" t="inlineStr">
        <is>
          <t>✓</t>
        </is>
      </c>
      <c r="M85" s="15" t="inlineStr">
        <is>
          <t>Proyecto</t>
        </is>
      </c>
      <c r="N85" s="10" t="n">
        <v>49</v>
      </c>
      <c r="O85" s="11" t="n">
        <v>4054743</v>
      </c>
      <c r="P85" s="14" t="n">
        <v>0</v>
      </c>
    </row>
    <row r="86">
      <c r="A86" s="19" t="inlineStr">
        <is>
          <t>V5.4</t>
        </is>
      </c>
      <c r="B86" s="20" t="inlineStr">
        <is>
          <t>V.sual</t>
        </is>
      </c>
      <c r="C86" s="9" t="inlineStr">
        <is>
          <t>Experiencia Web Landing Lanzamiento</t>
        </is>
      </c>
      <c r="D86" s="9" t="inlineStr">
        <is>
          <t>Todos</t>
        </is>
      </c>
      <c r="E86" s="9" t="inlineStr"/>
      <c r="F86" s="10" t="n">
        <v>13.5</v>
      </c>
      <c r="G86" s="17" t="n">
        <v>0</v>
      </c>
      <c r="H86" s="11" t="n">
        <v>3148101</v>
      </c>
      <c r="I86" s="12" t="n">
        <v>20</v>
      </c>
      <c r="J86" s="12" t="n">
        <v>15</v>
      </c>
      <c r="K86" s="12" t="n">
        <v>20</v>
      </c>
      <c r="L86" s="16" t="inlineStr">
        <is>
          <t>✓</t>
        </is>
      </c>
      <c r="M86" s="9" t="inlineStr">
        <is>
          <t>Landing</t>
        </is>
      </c>
      <c r="N86" s="10" t="n">
        <v>13.5</v>
      </c>
      <c r="O86" s="11" t="n">
        <v>3148101</v>
      </c>
      <c r="P86" s="14" t="n">
        <v>0</v>
      </c>
    </row>
    <row r="87">
      <c r="A87" s="19" t="inlineStr">
        <is>
          <t>V5.5</t>
        </is>
      </c>
      <c r="B87" s="20" t="inlineStr">
        <is>
          <t>V.sual</t>
        </is>
      </c>
      <c r="C87" s="15" t="inlineStr">
        <is>
          <t>Fichas de lote onWeb</t>
        </is>
      </c>
      <c r="D87" s="15" t="inlineStr">
        <is>
          <t>Todos</t>
        </is>
      </c>
      <c r="E87" s="15" t="inlineStr"/>
      <c r="F87" s="10" t="n">
        <v>7.5</v>
      </c>
      <c r="G87" s="17" t="n">
        <v>0</v>
      </c>
      <c r="H87" s="11" t="n">
        <v>1780827</v>
      </c>
      <c r="I87" s="12" t="n">
        <v>20</v>
      </c>
      <c r="J87" s="12" t="n">
        <v>15</v>
      </c>
      <c r="K87" s="12" t="n">
        <v>20</v>
      </c>
      <c r="L87" s="16" t="inlineStr">
        <is>
          <t>✓</t>
        </is>
      </c>
      <c r="M87" s="15" t="inlineStr">
        <is>
          <t>Pack</t>
        </is>
      </c>
      <c r="N87" s="10" t="n">
        <v>7.5</v>
      </c>
      <c r="O87" s="11" t="n">
        <v>1780827</v>
      </c>
      <c r="P87" s="14" t="n">
        <v>0</v>
      </c>
    </row>
  </sheetData>
  <mergeCells count="7">
    <mergeCell ref="L2:M2"/>
    <mergeCell ref="I2:K2"/>
    <mergeCell ref="N2:P2"/>
    <mergeCell ref="D2:E2"/>
    <mergeCell ref="A1:P1"/>
    <mergeCell ref="F2:H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50" customWidth="1" min="4" max="4"/>
    <col width="18" customWidth="1" min="5" max="5"/>
    <col width="10" customWidth="1" min="6" max="6"/>
    <col width="12" customWidth="1" min="7" max="7"/>
    <col width="18" customWidth="1" min="8" max="8"/>
    <col width="10" customWidth="1" min="9" max="9"/>
    <col width="14" customWidth="1" min="10" max="10"/>
    <col width="18" customWidth="1" min="11" max="11"/>
    <col width="10" customWidth="1" min="12" max="12"/>
    <col width="38" customWidth="1" min="13" max="13"/>
    <col width="32" customWidth="1" min="14" max="14"/>
  </cols>
  <sheetData>
    <row r="1" ht="28" customHeight="1">
      <c r="A1" s="1" t="inlineStr">
        <is>
          <t>CNTXT — Pricing en Valor Unitario  |  Metodología APU  |  Factor = 1 unidad base</t>
        </is>
      </c>
    </row>
    <row r="2" ht="36" customHeight="1">
      <c r="A2" s="21" t="inlineStr">
        <is>
          <t>⚠️  INSTRUCCIONES: Columnas amarillas = deben ser revisadas y ajustadas por el equipo. 'Factor Ref.' = divisor usado (ej: 15 ha → divide entre 15). Las columnas 'Por Unidad' son el VALOR BASE para cotizar multiplicando por la cantidad del proyecto.</t>
        </is>
      </c>
    </row>
    <row r="3" ht="20" customHeight="1">
      <c r="A3" s="2" t="inlineStr">
        <is>
          <t>IDENTIFICACIÓN</t>
        </is>
      </c>
      <c r="E3" s="5" t="inlineStr">
        <is>
          <t>UNIDAD BASE (REVISAR)</t>
        </is>
      </c>
      <c r="G3" s="6" t="inlineStr">
        <is>
          <t>VALORES ACTUALES (referencia)</t>
        </is>
      </c>
      <c r="J3" s="4" t="inlineStr">
        <is>
          <t>APU — VALOR POR 1 UNIDAD</t>
        </is>
      </c>
      <c r="N3" s="3" t="inlineStr">
        <is>
          <t>NOTAS</t>
        </is>
      </c>
    </row>
    <row r="4" ht="32" customHeight="1">
      <c r="A4" s="6" t="inlineStr">
        <is>
          <t>Código</t>
        </is>
      </c>
      <c r="B4" s="6" t="inlineStr">
        <is>
          <t>Línea</t>
        </is>
      </c>
      <c r="C4" s="6" t="inlineStr">
        <is>
          <t>Subcategoría</t>
        </is>
      </c>
      <c r="D4" s="6" t="inlineStr">
        <is>
          <t>Nombre Servicio</t>
        </is>
      </c>
      <c r="E4" s="6" t="inlineStr">
        <is>
          <t>UND Entregable (hoy)</t>
        </is>
      </c>
      <c r="F4" s="6" t="inlineStr">
        <is>
          <t>Factor Ref.</t>
        </is>
      </c>
      <c r="G4" s="6" t="inlineStr">
        <is>
          <t>Horas Totales</t>
        </is>
      </c>
      <c r="H4" s="6" t="inlineStr">
        <is>
          <t>Precio Total (COP)</t>
        </is>
      </c>
      <c r="I4" s="6" t="inlineStr">
        <is>
          <t>Fase</t>
        </is>
      </c>
      <c r="J4" s="6" t="inlineStr">
        <is>
          <t>Horas / Unidad</t>
        </is>
      </c>
      <c r="K4" s="6" t="inlineStr">
        <is>
          <t>COP / Unidad</t>
        </is>
      </c>
      <c r="L4" s="6" t="inlineStr">
        <is>
          <t>Factor ×</t>
        </is>
      </c>
      <c r="M4" s="6" t="inlineStr">
        <is>
          <t>Fórmula</t>
        </is>
      </c>
      <c r="N4" s="6" t="inlineStr">
        <is>
          <t>Notas / Ajuste equipo</t>
        </is>
      </c>
    </row>
    <row r="5">
      <c r="A5" s="7" t="inlineStr">
        <is>
          <t>D0.1</t>
        </is>
      </c>
      <c r="B5" s="8" t="inlineStr">
        <is>
          <t>D.sign</t>
        </is>
      </c>
      <c r="C5" s="15" t="inlineStr">
        <is>
          <t>Proyecto</t>
        </is>
      </c>
      <c r="D5" s="15" t="inlineStr">
        <is>
          <t>Diagnóstico del proyecto y preliminares</t>
        </is>
      </c>
      <c r="E5" s="16" t="inlineStr">
        <is>
          <t>Proyecto</t>
        </is>
      </c>
      <c r="F5" s="22" t="n">
        <v>1</v>
      </c>
      <c r="G5" s="23" t="n">
        <v>7.6</v>
      </c>
      <c r="H5" s="24" t="n">
        <v>696788</v>
      </c>
      <c r="I5" s="15" t="inlineStr">
        <is>
          <t>Fase 1</t>
        </is>
      </c>
      <c r="J5" s="23" t="n">
        <v>7.6</v>
      </c>
      <c r="K5" s="24" t="n">
        <v>696788</v>
      </c>
      <c r="L5" s="15" t="inlineStr">
        <is>
          <t>× cantidad</t>
        </is>
      </c>
      <c r="M5" s="25">
        <f> 7.60 h × cant.  →  COP 696,788 × cant.</f>
        <v/>
      </c>
      <c r="N5" s="26" t="inlineStr"/>
    </row>
    <row r="6">
      <c r="A6" s="7" t="inlineStr">
        <is>
          <t>D0.2</t>
        </is>
      </c>
      <c r="B6" s="8" t="inlineStr">
        <is>
          <t>D.sign</t>
        </is>
      </c>
      <c r="C6" s="9" t="inlineStr">
        <is>
          <t>Proyecto</t>
        </is>
      </c>
      <c r="D6" s="9" t="inlineStr">
        <is>
          <t>Análisis de determinantes y conceptualización</t>
        </is>
      </c>
      <c r="E6" s="16" t="inlineStr">
        <is>
          <t>ha</t>
        </is>
      </c>
      <c r="F6" s="22" t="n">
        <v>1</v>
      </c>
      <c r="G6" s="27" t="n">
        <v>31.2</v>
      </c>
      <c r="H6" s="28" t="n">
        <v>2851396</v>
      </c>
      <c r="I6" s="9" t="inlineStr">
        <is>
          <t>Fase 1</t>
        </is>
      </c>
      <c r="J6" s="27" t="n">
        <v>31.2</v>
      </c>
      <c r="K6" s="28" t="n">
        <v>2851396</v>
      </c>
      <c r="L6" s="9" t="inlineStr">
        <is>
          <t>× cantidad</t>
        </is>
      </c>
      <c r="M6" s="25">
        <f> 31.20 h × cant.  →  COP 2,851,396 × cant.</f>
        <v/>
      </c>
      <c r="N6" s="26" t="inlineStr"/>
    </row>
    <row r="7">
      <c r="A7" s="7" t="inlineStr">
        <is>
          <t>D0.3</t>
        </is>
      </c>
      <c r="B7" s="8" t="inlineStr">
        <is>
          <t>D.sign</t>
        </is>
      </c>
      <c r="C7" s="15" t="inlineStr">
        <is>
          <t>Proyecto</t>
        </is>
      </c>
      <c r="D7" s="15" t="inlineStr">
        <is>
          <t>Presentación de desarrollo arquitectónico</t>
        </is>
      </c>
      <c r="E7" s="16" t="inlineStr">
        <is>
          <t>Proyecto</t>
        </is>
      </c>
      <c r="F7" s="22" t="n">
        <v>1</v>
      </c>
      <c r="G7" s="23" t="n">
        <v>20.7</v>
      </c>
      <c r="H7" s="24" t="n">
        <v>1973852</v>
      </c>
      <c r="I7" s="15" t="inlineStr">
        <is>
          <t>Fase 1</t>
        </is>
      </c>
      <c r="J7" s="23" t="n">
        <v>20.7</v>
      </c>
      <c r="K7" s="24" t="n">
        <v>1973852</v>
      </c>
      <c r="L7" s="15" t="inlineStr">
        <is>
          <t>× cantidad</t>
        </is>
      </c>
      <c r="M7" s="25">
        <f> 20.70 h × cant.  →  COP 1,973,852 × cant.</f>
        <v/>
      </c>
      <c r="N7" s="26" t="inlineStr"/>
    </row>
    <row r="8">
      <c r="A8" s="7" t="inlineStr">
        <is>
          <t>D0.4</t>
        </is>
      </c>
      <c r="B8" s="8" t="inlineStr">
        <is>
          <t>D.sign</t>
        </is>
      </c>
      <c r="C8" s="9" t="inlineStr">
        <is>
          <t>Proyecto</t>
        </is>
      </c>
      <c r="D8" s="9" t="inlineStr">
        <is>
          <t>Presupuesto para ejecución de obra</t>
        </is>
      </c>
      <c r="E8" s="16" t="inlineStr">
        <is>
          <t>Proyecto</t>
        </is>
      </c>
      <c r="F8" s="22" t="n">
        <v>1</v>
      </c>
      <c r="G8" s="29" t="n">
        <v>0</v>
      </c>
      <c r="H8" s="18" t="n">
        <v>0</v>
      </c>
      <c r="I8" s="9" t="inlineStr"/>
      <c r="J8" s="29" t="n">
        <v>0</v>
      </c>
      <c r="K8" s="18" t="n">
        <v>0</v>
      </c>
      <c r="L8" s="9" t="inlineStr">
        <is>
          <t>× cantidad</t>
        </is>
      </c>
      <c r="M8" s="25">
        <f> 0.00 h × cant.  →  COP 0 × cant.</f>
        <v/>
      </c>
      <c r="N8" s="26" t="inlineStr"/>
    </row>
    <row r="9">
      <c r="A9" s="7" t="inlineStr">
        <is>
          <t>D0.5</t>
        </is>
      </c>
      <c r="B9" s="8" t="inlineStr">
        <is>
          <t>D.sign</t>
        </is>
      </c>
      <c r="C9" s="15" t="inlineStr">
        <is>
          <t>Proyecto</t>
        </is>
      </c>
      <c r="D9" s="15" t="inlineStr">
        <is>
          <t>Construcción de Ficha Maestra</t>
        </is>
      </c>
      <c r="E9" s="16" t="inlineStr">
        <is>
          <t>Proyecto</t>
        </is>
      </c>
      <c r="F9" s="22" t="n">
        <v>1</v>
      </c>
      <c r="G9" s="29" t="n">
        <v>0</v>
      </c>
      <c r="H9" s="18" t="n">
        <v>0</v>
      </c>
      <c r="I9" s="15" t="inlineStr"/>
      <c r="J9" s="29" t="n">
        <v>0</v>
      </c>
      <c r="K9" s="18" t="n">
        <v>0</v>
      </c>
      <c r="L9" s="15" t="inlineStr">
        <is>
          <t>× cantidad</t>
        </is>
      </c>
      <c r="M9" s="25">
        <f> 0.00 h × cant.  →  COP 0 × cant.</f>
        <v/>
      </c>
      <c r="N9" s="26" t="inlineStr"/>
    </row>
    <row r="10">
      <c r="A10" s="7" t="inlineStr">
        <is>
          <t>D1.1</t>
        </is>
      </c>
      <c r="B10" s="8" t="inlineStr">
        <is>
          <t>D.sign</t>
        </is>
      </c>
      <c r="C10" s="9" t="inlineStr">
        <is>
          <t>Urbanismo</t>
        </is>
      </c>
      <c r="D10" s="9" t="inlineStr">
        <is>
          <t>Modelo Tridimensional Viewer 360, Escala De Urbanismo (Fase 1)</t>
        </is>
      </c>
      <c r="E10" s="16" t="inlineStr">
        <is>
          <t>Proyecto</t>
        </is>
      </c>
      <c r="F10" s="22" t="n">
        <v>1</v>
      </c>
      <c r="G10" s="27" t="n">
        <v>45</v>
      </c>
      <c r="H10" s="28" t="n">
        <v>4209362</v>
      </c>
      <c r="I10" s="9" t="inlineStr">
        <is>
          <t>Fase 1</t>
        </is>
      </c>
      <c r="J10" s="27" t="n">
        <v>45</v>
      </c>
      <c r="K10" s="28" t="n">
        <v>4209362</v>
      </c>
      <c r="L10" s="9" t="inlineStr">
        <is>
          <t>× cantidad</t>
        </is>
      </c>
      <c r="M10" s="25">
        <f> 45.00 h × cant.  →  COP 4,209,362 × cant.</f>
        <v/>
      </c>
      <c r="N10" s="26" t="inlineStr"/>
    </row>
    <row r="11">
      <c r="A11" s="7" t="inlineStr">
        <is>
          <t>D1.2</t>
        </is>
      </c>
      <c r="B11" s="8" t="inlineStr">
        <is>
          <t>D.sign</t>
        </is>
      </c>
      <c r="C11" s="15" t="inlineStr">
        <is>
          <t>Complementario</t>
        </is>
      </c>
      <c r="D11" s="15" t="inlineStr">
        <is>
          <t>Modelado Tridimensional Viewer 360, Elemento Complementario (Fase 1)</t>
        </is>
      </c>
      <c r="E11" s="30" t="inlineStr">
        <is>
          <t>100 m²</t>
        </is>
      </c>
      <c r="F11" s="31" t="n">
        <v>100</v>
      </c>
      <c r="G11" s="23" t="n">
        <v>18.6</v>
      </c>
      <c r="H11" s="24" t="n">
        <v>1552706</v>
      </c>
      <c r="I11" s="15" t="inlineStr">
        <is>
          <t>Fase 1</t>
        </is>
      </c>
      <c r="J11" s="23" t="n">
        <v>0.186</v>
      </c>
      <c r="K11" s="24" t="n">
        <v>15527</v>
      </c>
      <c r="L11" s="15" t="inlineStr">
        <is>
          <t>× cantidad</t>
        </is>
      </c>
      <c r="M11" s="25">
        <f> 0.19 h × cant.  →  COP 15,527 × cant.</f>
        <v/>
      </c>
      <c r="N11" s="26" t="inlineStr"/>
    </row>
    <row r="12">
      <c r="A12" s="7" t="inlineStr">
        <is>
          <t>D1.3</t>
        </is>
      </c>
      <c r="B12" s="8" t="inlineStr">
        <is>
          <t>D.sign</t>
        </is>
      </c>
      <c r="C12" s="9" t="inlineStr">
        <is>
          <t>Edificación</t>
        </is>
      </c>
      <c r="D12" s="9" t="inlineStr">
        <is>
          <t>Modelo Tridimensional, Viewer 360 150, Edificación (Fase 1)</t>
        </is>
      </c>
      <c r="E12" s="30" t="inlineStr">
        <is>
          <t>100 m²</t>
        </is>
      </c>
      <c r="F12" s="31" t="n">
        <v>100</v>
      </c>
      <c r="G12" s="27" t="n">
        <v>39.3</v>
      </c>
      <c r="H12" s="28" t="n">
        <v>3709146</v>
      </c>
      <c r="I12" s="9" t="inlineStr">
        <is>
          <t>Fase 1</t>
        </is>
      </c>
      <c r="J12" s="27" t="n">
        <v>0.393</v>
      </c>
      <c r="K12" s="28" t="n">
        <v>37091</v>
      </c>
      <c r="L12" s="9" t="inlineStr">
        <is>
          <t>× cantidad</t>
        </is>
      </c>
      <c r="M12" s="25">
        <f> 0.39 h × cant.  →  COP 37,091 × cant.</f>
        <v/>
      </c>
      <c r="N12" s="26" t="inlineStr"/>
    </row>
    <row r="13">
      <c r="A13" s="7" t="inlineStr">
        <is>
          <t>D1.4</t>
        </is>
      </c>
      <c r="B13" s="8" t="inlineStr">
        <is>
          <t>D.sign</t>
        </is>
      </c>
      <c r="C13" s="15" t="inlineStr">
        <is>
          <t>Urbanismo</t>
        </is>
      </c>
      <c r="D13" s="15" t="inlineStr">
        <is>
          <t>Planimetría Arquitectónica del Urbanismo (Fase 1)</t>
        </is>
      </c>
      <c r="E13" s="30" t="inlineStr">
        <is>
          <t>15 ha</t>
        </is>
      </c>
      <c r="F13" s="31" t="n">
        <v>15</v>
      </c>
      <c r="G13" s="23" t="n">
        <v>36.9</v>
      </c>
      <c r="H13" s="24" t="n">
        <v>3482633</v>
      </c>
      <c r="I13" s="15" t="inlineStr">
        <is>
          <t>Fase 1</t>
        </is>
      </c>
      <c r="J13" s="23" t="n">
        <v>2.46</v>
      </c>
      <c r="K13" s="24" t="n">
        <v>232176</v>
      </c>
      <c r="L13" s="15" t="inlineStr">
        <is>
          <t>× cantidad</t>
        </is>
      </c>
      <c r="M13" s="25">
        <f> 2.46 h × cant.  →  COP 232,176 × cant.</f>
        <v/>
      </c>
      <c r="N13" s="26" t="inlineStr"/>
    </row>
    <row r="14">
      <c r="A14" s="7" t="inlineStr">
        <is>
          <t>D1.5</t>
        </is>
      </c>
      <c r="B14" s="8" t="inlineStr">
        <is>
          <t>D.sign</t>
        </is>
      </c>
      <c r="C14" s="9" t="inlineStr">
        <is>
          <t>Complementario</t>
        </is>
      </c>
      <c r="D14" s="9" t="inlineStr">
        <is>
          <t>Planimetría Arquitectónica, Elemento complementario (Fase 1)</t>
        </is>
      </c>
      <c r="E14" s="30" t="inlineStr">
        <is>
          <t>100 m²</t>
        </is>
      </c>
      <c r="F14" s="31" t="n">
        <v>100</v>
      </c>
      <c r="G14" s="27" t="n">
        <v>14.6</v>
      </c>
      <c r="H14" s="28" t="n">
        <v>1174394</v>
      </c>
      <c r="I14" s="9" t="inlineStr">
        <is>
          <t>Fase 1</t>
        </is>
      </c>
      <c r="J14" s="27" t="n">
        <v>0.146</v>
      </c>
      <c r="K14" s="28" t="n">
        <v>11744</v>
      </c>
      <c r="L14" s="9" t="inlineStr">
        <is>
          <t>× cantidad</t>
        </is>
      </c>
      <c r="M14" s="25">
        <f> 0.15 h × cant.  →  COP 11,744 × cant.</f>
        <v/>
      </c>
      <c r="N14" s="26" t="inlineStr"/>
    </row>
    <row r="15">
      <c r="A15" s="7" t="inlineStr">
        <is>
          <t>D1.6</t>
        </is>
      </c>
      <c r="B15" s="8" t="inlineStr">
        <is>
          <t>D.sign</t>
        </is>
      </c>
      <c r="C15" s="15" t="inlineStr">
        <is>
          <t>Edificación</t>
        </is>
      </c>
      <c r="D15" s="15" t="inlineStr">
        <is>
          <t>Planimetría Arquitectónica, Edificación (Fase 1)</t>
        </is>
      </c>
      <c r="E15" s="30" t="inlineStr">
        <is>
          <t>100 m²</t>
        </is>
      </c>
      <c r="F15" s="31" t="n">
        <v>100</v>
      </c>
      <c r="G15" s="23" t="n">
        <v>32.4</v>
      </c>
      <c r="H15" s="24" t="n">
        <v>2611110</v>
      </c>
      <c r="I15" s="15" t="inlineStr">
        <is>
          <t>Fase 1</t>
        </is>
      </c>
      <c r="J15" s="23" t="n">
        <v>0.324</v>
      </c>
      <c r="K15" s="24" t="n">
        <v>26111</v>
      </c>
      <c r="L15" s="15" t="inlineStr">
        <is>
          <t>× cantidad</t>
        </is>
      </c>
      <c r="M15" s="25">
        <f> 0.32 h × cant.  →  COP 26,111 × cant.</f>
        <v/>
      </c>
      <c r="N15" s="26" t="inlineStr"/>
    </row>
    <row r="16">
      <c r="A16" s="7" t="inlineStr">
        <is>
          <t>D1.7</t>
        </is>
      </c>
      <c r="B16" s="8" t="inlineStr">
        <is>
          <t>D.sign</t>
        </is>
      </c>
      <c r="C16" s="9" t="inlineStr">
        <is>
          <t>Urbanismo</t>
        </is>
      </c>
      <c r="D16" s="9" t="inlineStr">
        <is>
          <t>Modelo Tridimensional, Viewer 360, Escala de Urbanismo (Fase 2)</t>
        </is>
      </c>
      <c r="E16" s="16" t="inlineStr">
        <is>
          <t>Und</t>
        </is>
      </c>
      <c r="F16" s="22" t="n">
        <v>1</v>
      </c>
      <c r="G16" s="27" t="n">
        <v>54.2</v>
      </c>
      <c r="H16" s="28" t="n">
        <v>3974418</v>
      </c>
      <c r="I16" s="9" t="inlineStr">
        <is>
          <t>Fase 2</t>
        </is>
      </c>
      <c r="J16" s="27" t="n">
        <v>54.2</v>
      </c>
      <c r="K16" s="28" t="n">
        <v>3974418</v>
      </c>
      <c r="L16" s="9" t="inlineStr">
        <is>
          <t>× cantidad</t>
        </is>
      </c>
      <c r="M16" s="25">
        <f> 54.20 h × cant.  →  COP 3,974,418 × cant.</f>
        <v/>
      </c>
      <c r="N16" s="26" t="inlineStr"/>
    </row>
    <row r="17">
      <c r="A17" s="7" t="inlineStr">
        <is>
          <t>D1.8</t>
        </is>
      </c>
      <c r="B17" s="8" t="inlineStr">
        <is>
          <t>D.sign</t>
        </is>
      </c>
      <c r="C17" s="15" t="inlineStr">
        <is>
          <t>Complementario</t>
        </is>
      </c>
      <c r="D17" s="15" t="inlineStr">
        <is>
          <t>Modelo Tridimensional, Viewer 360, Elemento Complementario (Fase 2)</t>
        </is>
      </c>
      <c r="E17" s="16" t="inlineStr">
        <is>
          <t>Und</t>
        </is>
      </c>
      <c r="F17" s="22" t="n">
        <v>1</v>
      </c>
      <c r="G17" s="23" t="n">
        <v>31</v>
      </c>
      <c r="H17" s="24" t="n">
        <v>2585252</v>
      </c>
      <c r="I17" s="15" t="inlineStr">
        <is>
          <t>Fase 2</t>
        </is>
      </c>
      <c r="J17" s="23" t="n">
        <v>31</v>
      </c>
      <c r="K17" s="24" t="n">
        <v>2585252</v>
      </c>
      <c r="L17" s="15" t="inlineStr">
        <is>
          <t>× cantidad</t>
        </is>
      </c>
      <c r="M17" s="25">
        <f> 31.00 h × cant.  →  COP 2,585,252 × cant.</f>
        <v/>
      </c>
      <c r="N17" s="26" t="inlineStr"/>
    </row>
    <row r="18">
      <c r="A18" s="7" t="inlineStr">
        <is>
          <t>D1.9</t>
        </is>
      </c>
      <c r="B18" s="8" t="inlineStr">
        <is>
          <t>D.sign</t>
        </is>
      </c>
      <c r="C18" s="9" t="inlineStr">
        <is>
          <t>Edificación</t>
        </is>
      </c>
      <c r="D18" s="9" t="inlineStr">
        <is>
          <t>Modelo Tridimensional, Viewer 360, Edificación (Fase 2)</t>
        </is>
      </c>
      <c r="E18" s="30" t="inlineStr">
        <is>
          <t>100 m²</t>
        </is>
      </c>
      <c r="F18" s="31" t="n">
        <v>100</v>
      </c>
      <c r="G18" s="27" t="n">
        <v>50.1</v>
      </c>
      <c r="H18" s="28" t="n">
        <v>3894021</v>
      </c>
      <c r="I18" s="9" t="inlineStr">
        <is>
          <t>Fase 2</t>
        </is>
      </c>
      <c r="J18" s="27" t="n">
        <v>0.501</v>
      </c>
      <c r="K18" s="28" t="n">
        <v>38940</v>
      </c>
      <c r="L18" s="9" t="inlineStr">
        <is>
          <t>× cantidad</t>
        </is>
      </c>
      <c r="M18" s="25">
        <f> 0.50 h × cant.  →  COP 38,940 × cant.</f>
        <v/>
      </c>
      <c r="N18" s="26" t="inlineStr"/>
    </row>
    <row r="19">
      <c r="A19" s="7" t="inlineStr">
        <is>
          <t>D1.10</t>
        </is>
      </c>
      <c r="B19" s="8" t="inlineStr">
        <is>
          <t>D.sign</t>
        </is>
      </c>
      <c r="C19" s="15" t="inlineStr">
        <is>
          <t>Urbanismo</t>
        </is>
      </c>
      <c r="D19" s="15" t="inlineStr">
        <is>
          <t>Planimetría Arquitectónica del Urbanismo (Fase 2)</t>
        </is>
      </c>
      <c r="E19" s="30" t="inlineStr">
        <is>
          <t>15 ha</t>
        </is>
      </c>
      <c r="F19" s="31" t="n">
        <v>15</v>
      </c>
      <c r="G19" s="23" t="n">
        <v>47.2</v>
      </c>
      <c r="H19" s="24" t="n">
        <v>3669797</v>
      </c>
      <c r="I19" s="15" t="inlineStr">
        <is>
          <t>Fase 2</t>
        </is>
      </c>
      <c r="J19" s="23" t="n">
        <v>3.1467</v>
      </c>
      <c r="K19" s="24" t="n">
        <v>244653</v>
      </c>
      <c r="L19" s="15" t="inlineStr">
        <is>
          <t>× cantidad</t>
        </is>
      </c>
      <c r="M19" s="25">
        <f> 3.15 h × cant.  →  COP 244,653 × cant.</f>
        <v/>
      </c>
      <c r="N19" s="26" t="inlineStr"/>
    </row>
    <row r="20">
      <c r="A20" s="7" t="inlineStr">
        <is>
          <t>D1.11</t>
        </is>
      </c>
      <c r="B20" s="8" t="inlineStr">
        <is>
          <t>D.sign</t>
        </is>
      </c>
      <c r="C20" s="9" t="inlineStr">
        <is>
          <t>Complementario</t>
        </is>
      </c>
      <c r="D20" s="9" t="inlineStr">
        <is>
          <t>Planimetría Arquitectónica, Elemento Complementario (Fase 2)</t>
        </is>
      </c>
      <c r="E20" s="16" t="inlineStr">
        <is>
          <t>Und</t>
        </is>
      </c>
      <c r="F20" s="22" t="n">
        <v>1</v>
      </c>
      <c r="G20" s="27" t="n">
        <v>7.3</v>
      </c>
      <c r="H20" s="28" t="n">
        <v>558695</v>
      </c>
      <c r="I20" s="9" t="inlineStr">
        <is>
          <t>Fase 2</t>
        </is>
      </c>
      <c r="J20" s="27" t="n">
        <v>7.3</v>
      </c>
      <c r="K20" s="28" t="n">
        <v>558695</v>
      </c>
      <c r="L20" s="9" t="inlineStr">
        <is>
          <t>× cantidad</t>
        </is>
      </c>
      <c r="M20" s="25">
        <f> 7.30 h × cant.  →  COP 558,695 × cant.</f>
        <v/>
      </c>
      <c r="N20" s="26" t="inlineStr"/>
    </row>
    <row r="21">
      <c r="A21" s="7" t="inlineStr">
        <is>
          <t>D1.12</t>
        </is>
      </c>
      <c r="B21" s="8" t="inlineStr">
        <is>
          <t>D.sign</t>
        </is>
      </c>
      <c r="C21" s="15" t="inlineStr">
        <is>
          <t>Edificación</t>
        </is>
      </c>
      <c r="D21" s="15" t="inlineStr">
        <is>
          <t>Planimetría Arquitectónica, Edificación (Fase 2)</t>
        </is>
      </c>
      <c r="E21" s="30" t="inlineStr">
        <is>
          <t>100 m²</t>
        </is>
      </c>
      <c r="F21" s="31" t="n">
        <v>100</v>
      </c>
      <c r="G21" s="23" t="n">
        <v>17.9</v>
      </c>
      <c r="H21" s="24" t="n">
        <v>1578850</v>
      </c>
      <c r="I21" s="15" t="inlineStr">
        <is>
          <t>Fase 2</t>
        </is>
      </c>
      <c r="J21" s="23" t="n">
        <v>0.179</v>
      </c>
      <c r="K21" s="24" t="n">
        <v>15788</v>
      </c>
      <c r="L21" s="15" t="inlineStr">
        <is>
          <t>× cantidad</t>
        </is>
      </c>
      <c r="M21" s="25">
        <f> 0.18 h × cant.  →  COP 15,788 × cant.</f>
        <v/>
      </c>
      <c r="N21" s="26" t="inlineStr"/>
    </row>
    <row r="22">
      <c r="A22" s="7" t="inlineStr">
        <is>
          <t>D1.13</t>
        </is>
      </c>
      <c r="B22" s="8" t="inlineStr">
        <is>
          <t>D.sign</t>
        </is>
      </c>
      <c r="C22" s="9" t="inlineStr">
        <is>
          <t>Urbanismo</t>
        </is>
      </c>
      <c r="D22" s="9" t="inlineStr">
        <is>
          <t>Especificaciones del Urbanismo (Fase 2)</t>
        </is>
      </c>
      <c r="E22" s="30" t="inlineStr">
        <is>
          <t>15 ha</t>
        </is>
      </c>
      <c r="F22" s="31" t="n">
        <v>15</v>
      </c>
      <c r="G22" s="27" t="n">
        <v>44.2</v>
      </c>
      <c r="H22" s="28" t="n">
        <v>3699708</v>
      </c>
      <c r="I22" s="9" t="inlineStr">
        <is>
          <t>Fase 2</t>
        </is>
      </c>
      <c r="J22" s="27" t="n">
        <v>2.9467</v>
      </c>
      <c r="K22" s="28" t="n">
        <v>246647</v>
      </c>
      <c r="L22" s="9" t="inlineStr">
        <is>
          <t>× cantidad</t>
        </is>
      </c>
      <c r="M22" s="25">
        <f> 2.95 h × cant.  →  COP 246,647 × cant.</f>
        <v/>
      </c>
      <c r="N22" s="26" t="inlineStr"/>
    </row>
    <row r="23">
      <c r="A23" s="7" t="inlineStr">
        <is>
          <t>D1.14</t>
        </is>
      </c>
      <c r="B23" s="8" t="inlineStr">
        <is>
          <t>D.sign</t>
        </is>
      </c>
      <c r="C23" s="15" t="inlineStr">
        <is>
          <t>Complementario</t>
        </is>
      </c>
      <c r="D23" s="15" t="inlineStr">
        <is>
          <t>Especificaciones de Elemento Complementario (Fase 2)</t>
        </is>
      </c>
      <c r="E23" s="16" t="inlineStr">
        <is>
          <t>Und</t>
        </is>
      </c>
      <c r="F23" s="22" t="n">
        <v>1</v>
      </c>
      <c r="G23" s="23" t="n">
        <v>33.4</v>
      </c>
      <c r="H23" s="24" t="n">
        <v>2710124</v>
      </c>
      <c r="I23" s="15" t="inlineStr">
        <is>
          <t>Fase 2</t>
        </is>
      </c>
      <c r="J23" s="23" t="n">
        <v>33.4</v>
      </c>
      <c r="K23" s="24" t="n">
        <v>2710124</v>
      </c>
      <c r="L23" s="15" t="inlineStr">
        <is>
          <t>× cantidad</t>
        </is>
      </c>
      <c r="M23" s="25">
        <f> 33.40 h × cant.  →  COP 2,710,124 × cant.</f>
        <v/>
      </c>
      <c r="N23" s="26" t="inlineStr"/>
    </row>
    <row r="24">
      <c r="A24" s="7" t="inlineStr">
        <is>
          <t>D1.15</t>
        </is>
      </c>
      <c r="B24" s="8" t="inlineStr">
        <is>
          <t>D.sign</t>
        </is>
      </c>
      <c r="C24" s="9" t="inlineStr">
        <is>
          <t>Edificación</t>
        </is>
      </c>
      <c r="D24" s="9" t="inlineStr">
        <is>
          <t>Especificaciones de Edificaciones (Fase 2)</t>
        </is>
      </c>
      <c r="E24" s="16" t="inlineStr">
        <is>
          <t>Und</t>
        </is>
      </c>
      <c r="F24" s="22" t="n">
        <v>1</v>
      </c>
      <c r="G24" s="27" t="n">
        <v>31.4</v>
      </c>
      <c r="H24" s="28" t="n">
        <v>2302523</v>
      </c>
      <c r="I24" s="9" t="inlineStr">
        <is>
          <t>Fase 2</t>
        </is>
      </c>
      <c r="J24" s="27" t="n">
        <v>31.4</v>
      </c>
      <c r="K24" s="28" t="n">
        <v>2302523</v>
      </c>
      <c r="L24" s="9" t="inlineStr">
        <is>
          <t>× cantidad</t>
        </is>
      </c>
      <c r="M24" s="25">
        <f> 31.40 h × cant.  →  COP 2,302,523 × cant.</f>
        <v/>
      </c>
      <c r="N24" s="26" t="inlineStr"/>
    </row>
    <row r="25">
      <c r="A25" s="7" t="inlineStr">
        <is>
          <t>D1.16</t>
        </is>
      </c>
      <c r="B25" s="8" t="inlineStr">
        <is>
          <t>D.sign</t>
        </is>
      </c>
      <c r="C25" s="15" t="inlineStr">
        <is>
          <t>Urbanismo</t>
        </is>
      </c>
      <c r="D25" s="15" t="inlineStr">
        <is>
          <t>Modelo a detalle constructivo de urbanismo</t>
        </is>
      </c>
      <c r="E25" s="30" t="inlineStr">
        <is>
          <t>500–1000 m²</t>
        </is>
      </c>
      <c r="F25" s="31" t="n">
        <v>750</v>
      </c>
      <c r="G25" s="23" t="n">
        <v>67.8</v>
      </c>
      <c r="H25" s="24" t="n">
        <v>6196302</v>
      </c>
      <c r="I25" s="15" t="inlineStr">
        <is>
          <t>Fase 3</t>
        </is>
      </c>
      <c r="J25" s="23" t="n">
        <v>0.09039999999999999</v>
      </c>
      <c r="K25" s="24" t="n">
        <v>8262</v>
      </c>
      <c r="L25" s="15" t="inlineStr">
        <is>
          <t>× cantidad</t>
        </is>
      </c>
      <c r="M25" s="25">
        <f> 0.09 h × cant.  →  COP 8,262 × cant.</f>
        <v/>
      </c>
      <c r="N25" s="26" t="inlineStr"/>
    </row>
    <row r="26">
      <c r="A26" s="7" t="inlineStr">
        <is>
          <t>D1.17</t>
        </is>
      </c>
      <c r="B26" s="8" t="inlineStr">
        <is>
          <t>D.sign</t>
        </is>
      </c>
      <c r="C26" s="9" t="inlineStr">
        <is>
          <t>Edificación</t>
        </is>
      </c>
      <c r="D26" s="9" t="inlineStr">
        <is>
          <t>Modelo a detalle constructivo de edificación</t>
        </is>
      </c>
      <c r="E26" s="30" t="inlineStr">
        <is>
          <t>1–200 m²</t>
        </is>
      </c>
      <c r="F26" s="31" t="n">
        <v>100</v>
      </c>
      <c r="G26" s="27" t="n">
        <v>88.8</v>
      </c>
      <c r="H26" s="28" t="n">
        <v>7090758</v>
      </c>
      <c r="I26" s="9" t="inlineStr">
        <is>
          <t>Fase 3</t>
        </is>
      </c>
      <c r="J26" s="27" t="n">
        <v>0.888</v>
      </c>
      <c r="K26" s="28" t="n">
        <v>70908</v>
      </c>
      <c r="L26" s="9" t="inlineStr">
        <is>
          <t>× cantidad</t>
        </is>
      </c>
      <c r="M26" s="25">
        <f> 0.89 h × cant.  →  COP 70,908 × cant.</f>
        <v/>
      </c>
      <c r="N26" s="26" t="inlineStr"/>
    </row>
    <row r="27">
      <c r="A27" s="7" t="inlineStr">
        <is>
          <t>D1.18</t>
        </is>
      </c>
      <c r="B27" s="8" t="inlineStr">
        <is>
          <t>D.sign</t>
        </is>
      </c>
      <c r="C27" s="15" t="inlineStr">
        <is>
          <t>Urbanismo</t>
        </is>
      </c>
      <c r="D27" s="15" t="inlineStr">
        <is>
          <t>Planimetría Arquitectónica de Detalle para ejecución de obra de Urbanismo</t>
        </is>
      </c>
      <c r="E27" s="30" t="inlineStr">
        <is>
          <t>500–1000 m²</t>
        </is>
      </c>
      <c r="F27" s="31" t="n">
        <v>750</v>
      </c>
      <c r="G27" s="23" t="n">
        <v>170.9</v>
      </c>
      <c r="H27" s="24" t="n">
        <v>15618703</v>
      </c>
      <c r="I27" s="15" t="inlineStr">
        <is>
          <t>Fase 3</t>
        </is>
      </c>
      <c r="J27" s="23" t="n">
        <v>0.2279</v>
      </c>
      <c r="K27" s="24" t="n">
        <v>20825</v>
      </c>
      <c r="L27" s="15" t="inlineStr">
        <is>
          <t>× cantidad</t>
        </is>
      </c>
      <c r="M27" s="25">
        <f> 0.23 h × cant.  →  COP 20,825 × cant.</f>
        <v/>
      </c>
      <c r="N27" s="26" t="inlineStr"/>
    </row>
    <row r="28">
      <c r="A28" s="7" t="inlineStr">
        <is>
          <t>D1.19</t>
        </is>
      </c>
      <c r="B28" s="8" t="inlineStr">
        <is>
          <t>D.sign</t>
        </is>
      </c>
      <c r="C28" s="9" t="inlineStr">
        <is>
          <t>Edificación</t>
        </is>
      </c>
      <c r="D28" s="9" t="inlineStr">
        <is>
          <t>Planimetría Arquitectónica de Detalle para ejecución de obra de Edificación</t>
        </is>
      </c>
      <c r="E28" s="30" t="inlineStr">
        <is>
          <t>1–200 m²</t>
        </is>
      </c>
      <c r="F28" s="31" t="n">
        <v>100</v>
      </c>
      <c r="G28" s="27" t="n">
        <v>67.90000000000001</v>
      </c>
      <c r="H28" s="28" t="n">
        <v>5480507</v>
      </c>
      <c r="I28" s="9" t="inlineStr">
        <is>
          <t>Fase 3</t>
        </is>
      </c>
      <c r="J28" s="27" t="n">
        <v>0.679</v>
      </c>
      <c r="K28" s="28" t="n">
        <v>54805</v>
      </c>
      <c r="L28" s="9" t="inlineStr">
        <is>
          <t>× cantidad</t>
        </is>
      </c>
      <c r="M28" s="25">
        <f> 0.68 h × cant.  →  COP 54,805 × cant.</f>
        <v/>
      </c>
      <c r="N28" s="26" t="inlineStr"/>
    </row>
    <row r="29">
      <c r="A29" s="7" t="inlineStr">
        <is>
          <t>D1.20</t>
        </is>
      </c>
      <c r="B29" s="8" t="inlineStr">
        <is>
          <t>D.sign</t>
        </is>
      </c>
      <c r="C29" s="15" t="inlineStr">
        <is>
          <t>Urbanismo</t>
        </is>
      </c>
      <c r="D29" s="15" t="inlineStr">
        <is>
          <t>Especificaciones del Urbanismo del proyecto</t>
        </is>
      </c>
      <c r="E29" s="30" t="inlineStr">
        <is>
          <t>500–1000 m²</t>
        </is>
      </c>
      <c r="F29" s="31" t="n">
        <v>750</v>
      </c>
      <c r="G29" s="23" t="n">
        <v>45.5</v>
      </c>
      <c r="H29" s="24" t="n">
        <v>3944542</v>
      </c>
      <c r="I29" s="15" t="inlineStr">
        <is>
          <t>Fase 3</t>
        </is>
      </c>
      <c r="J29" s="23" t="n">
        <v>0.0607</v>
      </c>
      <c r="K29" s="24" t="n">
        <v>5259</v>
      </c>
      <c r="L29" s="15" t="inlineStr">
        <is>
          <t>× cantidad</t>
        </is>
      </c>
      <c r="M29" s="25">
        <f> 0.06 h × cant.  →  COP 5,259 × cant.</f>
        <v/>
      </c>
      <c r="N29" s="26" t="inlineStr"/>
    </row>
    <row r="30">
      <c r="A30" s="7" t="inlineStr">
        <is>
          <t>D1.21</t>
        </is>
      </c>
      <c r="B30" s="8" t="inlineStr">
        <is>
          <t>D.sign</t>
        </is>
      </c>
      <c r="C30" s="9" t="inlineStr">
        <is>
          <t>Edificación</t>
        </is>
      </c>
      <c r="D30" s="9" t="inlineStr">
        <is>
          <t>Especificaciones de Edificación</t>
        </is>
      </c>
      <c r="E30" s="30" t="inlineStr">
        <is>
          <t>1–200 m²</t>
        </is>
      </c>
      <c r="F30" s="31" t="n">
        <v>100</v>
      </c>
      <c r="G30" s="27" t="n">
        <v>39.1</v>
      </c>
      <c r="H30" s="28" t="n">
        <v>3155932</v>
      </c>
      <c r="I30" s="9" t="inlineStr">
        <is>
          <t>Fase 3</t>
        </is>
      </c>
      <c r="J30" s="27" t="n">
        <v>0.391</v>
      </c>
      <c r="K30" s="28" t="n">
        <v>31559</v>
      </c>
      <c r="L30" s="9" t="inlineStr">
        <is>
          <t>× cantidad</t>
        </is>
      </c>
      <c r="M30" s="25">
        <f> 0.39 h × cant.  →  COP 31,559 × cant.</f>
        <v/>
      </c>
      <c r="N30" s="26" t="inlineStr"/>
    </row>
    <row r="31">
      <c r="A31" s="7" t="inlineStr">
        <is>
          <t>D1.22</t>
        </is>
      </c>
      <c r="B31" s="8" t="inlineStr">
        <is>
          <t>D.sign</t>
        </is>
      </c>
      <c r="C31" s="15" t="inlineStr">
        <is>
          <t>Urbanismo</t>
        </is>
      </c>
      <c r="D31" s="15" t="inlineStr">
        <is>
          <t>Plano de Punteo para RPH</t>
        </is>
      </c>
      <c r="E31" s="30" t="inlineStr">
        <is>
          <t>10 ha</t>
        </is>
      </c>
      <c r="F31" s="31" t="n">
        <v>10</v>
      </c>
      <c r="G31" s="23" t="n">
        <v>16.2</v>
      </c>
      <c r="H31" s="24" t="n">
        <v>1264691</v>
      </c>
      <c r="I31" s="15" t="inlineStr">
        <is>
          <t>Fase 3</t>
        </is>
      </c>
      <c r="J31" s="23" t="n">
        <v>1.62</v>
      </c>
      <c r="K31" s="24" t="n">
        <v>126469</v>
      </c>
      <c r="L31" s="15" t="inlineStr">
        <is>
          <t>× cantidad</t>
        </is>
      </c>
      <c r="M31" s="25">
        <f> 1.62 h × cant.  →  COP 126,469 × cant.</f>
        <v/>
      </c>
      <c r="N31" s="26" t="inlineStr"/>
    </row>
    <row r="32">
      <c r="A32" s="7" t="inlineStr">
        <is>
          <t>D1.23</t>
        </is>
      </c>
      <c r="B32" s="8" t="inlineStr">
        <is>
          <t>D.sign</t>
        </is>
      </c>
      <c r="C32" s="9" t="inlineStr">
        <is>
          <t>Edificación</t>
        </is>
      </c>
      <c r="D32" s="9" t="inlineStr">
        <is>
          <t>Manual Anexo para RPH</t>
        </is>
      </c>
      <c r="E32" s="16" t="inlineStr">
        <is>
          <t>1 Manual</t>
        </is>
      </c>
      <c r="F32" s="22" t="n">
        <v>1</v>
      </c>
      <c r="G32" s="27" t="n">
        <v>30.5</v>
      </c>
      <c r="H32" s="28" t="n">
        <v>3177887</v>
      </c>
      <c r="I32" s="9" t="inlineStr">
        <is>
          <t>Fase 3</t>
        </is>
      </c>
      <c r="J32" s="27" t="n">
        <v>30.5</v>
      </c>
      <c r="K32" s="28" t="n">
        <v>3177887</v>
      </c>
      <c r="L32" s="9" t="inlineStr">
        <is>
          <t>× cantidad</t>
        </is>
      </c>
      <c r="M32" s="25">
        <f> 30.50 h × cant.  →  COP 3,177,887 × cant.</f>
        <v/>
      </c>
      <c r="N32" s="26" t="inlineStr"/>
    </row>
    <row r="33">
      <c r="A33" s="7" t="inlineStr">
        <is>
          <t>D1.24</t>
        </is>
      </c>
      <c r="B33" s="8" t="inlineStr">
        <is>
          <t>D.sign</t>
        </is>
      </c>
      <c r="C33" s="15" t="inlineStr">
        <is>
          <t>Urbanismo</t>
        </is>
      </c>
      <c r="D33" s="15" t="inlineStr">
        <is>
          <t>Subdivisión Predial y Cabida de un proyecto</t>
        </is>
      </c>
      <c r="E33" s="16" t="inlineStr">
        <is>
          <t>1 Proyecto</t>
        </is>
      </c>
      <c r="F33" s="22" t="n">
        <v>1</v>
      </c>
      <c r="G33" s="23" t="n">
        <v>42.8</v>
      </c>
      <c r="H33" s="24" t="n">
        <v>3897821</v>
      </c>
      <c r="I33" s="15" t="inlineStr"/>
      <c r="J33" s="23" t="n">
        <v>42.8</v>
      </c>
      <c r="K33" s="24" t="n">
        <v>3897821</v>
      </c>
      <c r="L33" s="15" t="inlineStr">
        <is>
          <t>× cantidad</t>
        </is>
      </c>
      <c r="M33" s="25">
        <f> 42.80 h × cant.  →  COP 3,897,821 × cant.</f>
        <v/>
      </c>
      <c r="N33" s="26" t="inlineStr"/>
    </row>
    <row r="34">
      <c r="A34" s="7" t="inlineStr">
        <is>
          <t>D1.25</t>
        </is>
      </c>
      <c r="B34" s="8" t="inlineStr">
        <is>
          <t>D.sign</t>
        </is>
      </c>
      <c r="C34" s="9" t="inlineStr">
        <is>
          <t>Complementario</t>
        </is>
      </c>
      <c r="D34" s="9" t="inlineStr">
        <is>
          <t>Modelo a detalle constructivo de elemento complementario (Fase 3)</t>
        </is>
      </c>
      <c r="E34" s="16" t="inlineStr">
        <is>
          <t>Und</t>
        </is>
      </c>
      <c r="F34" s="22" t="n">
        <v>1</v>
      </c>
      <c r="G34" s="27" t="n">
        <v>14.9</v>
      </c>
      <c r="H34" s="28" t="n">
        <v>1410986</v>
      </c>
      <c r="I34" s="9" t="inlineStr">
        <is>
          <t>Fase 3</t>
        </is>
      </c>
      <c r="J34" s="27" t="n">
        <v>14.9</v>
      </c>
      <c r="K34" s="28" t="n">
        <v>1410986</v>
      </c>
      <c r="L34" s="9" t="inlineStr">
        <is>
          <t>× cantidad</t>
        </is>
      </c>
      <c r="M34" s="25">
        <f> 14.90 h × cant.  →  COP 1,410,986 × cant.</f>
        <v/>
      </c>
      <c r="N34" s="26" t="inlineStr"/>
    </row>
    <row r="35">
      <c r="A35" s="7" t="inlineStr">
        <is>
          <t>D1.26</t>
        </is>
      </c>
      <c r="B35" s="8" t="inlineStr">
        <is>
          <t>D.sign</t>
        </is>
      </c>
      <c r="C35" s="15" t="inlineStr">
        <is>
          <t>Complementario</t>
        </is>
      </c>
      <c r="D35" s="15" t="inlineStr">
        <is>
          <t>Planimetría Arquitectónica, Elemento Complementario (Fase 3)</t>
        </is>
      </c>
      <c r="E35" s="16" t="inlineStr">
        <is>
          <t>Und</t>
        </is>
      </c>
      <c r="F35" s="22" t="n">
        <v>1</v>
      </c>
      <c r="G35" s="23" t="n">
        <v>6.2</v>
      </c>
      <c r="H35" s="24" t="n">
        <v>552329</v>
      </c>
      <c r="I35" s="15" t="inlineStr">
        <is>
          <t>Fase 3</t>
        </is>
      </c>
      <c r="J35" s="23" t="n">
        <v>6.2</v>
      </c>
      <c r="K35" s="24" t="n">
        <v>552329</v>
      </c>
      <c r="L35" s="15" t="inlineStr">
        <is>
          <t>× cantidad</t>
        </is>
      </c>
      <c r="M35" s="25">
        <f> 6.20 h × cant.  →  COP 552,329 × cant.</f>
        <v/>
      </c>
      <c r="N35" s="26" t="inlineStr"/>
    </row>
    <row r="36">
      <c r="A36" s="7" t="inlineStr">
        <is>
          <t>D2.1</t>
        </is>
      </c>
      <c r="B36" s="8" t="inlineStr">
        <is>
          <t>D.sign</t>
        </is>
      </c>
      <c r="C36" s="9" t="inlineStr">
        <is>
          <t>Edificación</t>
        </is>
      </c>
      <c r="D36" s="9" t="inlineStr">
        <is>
          <t>Modelo Tridimensional, Viewer 360 150, Edificación en Altura (Fase 1)</t>
        </is>
      </c>
      <c r="E36" s="30" t="inlineStr">
        <is>
          <t>200 m²</t>
        </is>
      </c>
      <c r="F36" s="31" t="n">
        <v>200</v>
      </c>
      <c r="G36" s="27" t="n">
        <v>254.3</v>
      </c>
      <c r="H36" s="28" t="n">
        <v>24761122</v>
      </c>
      <c r="I36" s="9" t="inlineStr">
        <is>
          <t>Fase 1</t>
        </is>
      </c>
      <c r="J36" s="27" t="n">
        <v>1.2715</v>
      </c>
      <c r="K36" s="28" t="n">
        <v>123806</v>
      </c>
      <c r="L36" s="9" t="inlineStr">
        <is>
          <t>× cantidad</t>
        </is>
      </c>
      <c r="M36" s="25">
        <f> 1.27 h × cant.  →  COP 123,806 × cant.</f>
        <v/>
      </c>
      <c r="N36" s="26" t="inlineStr"/>
    </row>
    <row r="37">
      <c r="A37" s="7" t="inlineStr">
        <is>
          <t>D2.2</t>
        </is>
      </c>
      <c r="B37" s="8" t="inlineStr">
        <is>
          <t>D.sign</t>
        </is>
      </c>
      <c r="C37" s="15" t="inlineStr">
        <is>
          <t>Edificación</t>
        </is>
      </c>
      <c r="D37" s="15" t="inlineStr">
        <is>
          <t>Planimetría Arquitectónica de Edificación en Altura (Fase 1)</t>
        </is>
      </c>
      <c r="E37" s="30" t="inlineStr">
        <is>
          <t>200 m²</t>
        </is>
      </c>
      <c r="F37" s="31" t="n">
        <v>200</v>
      </c>
      <c r="G37" s="23" t="n">
        <v>132.8</v>
      </c>
      <c r="H37" s="24" t="n">
        <v>12533705</v>
      </c>
      <c r="I37" s="15" t="inlineStr">
        <is>
          <t>Fase 1</t>
        </is>
      </c>
      <c r="J37" s="23" t="n">
        <v>0.664</v>
      </c>
      <c r="K37" s="24" t="n">
        <v>62669</v>
      </c>
      <c r="L37" s="15" t="inlineStr">
        <is>
          <t>× cantidad</t>
        </is>
      </c>
      <c r="M37" s="25">
        <f> 0.66 h × cant.  →  COP 62,669 × cant.</f>
        <v/>
      </c>
      <c r="N37" s="26" t="inlineStr"/>
    </row>
    <row r="38">
      <c r="A38" s="7" t="inlineStr">
        <is>
          <t>D2.3</t>
        </is>
      </c>
      <c r="B38" s="8" t="inlineStr">
        <is>
          <t>D.sign</t>
        </is>
      </c>
      <c r="C38" s="9" t="inlineStr">
        <is>
          <t>Edificación</t>
        </is>
      </c>
      <c r="D38" s="9" t="inlineStr">
        <is>
          <t>Modelo Tridimensional, Viewer 360, Edificación en Altura (Fase 2)</t>
        </is>
      </c>
      <c r="E38" s="30" t="inlineStr">
        <is>
          <t>100 m²</t>
        </is>
      </c>
      <c r="F38" s="31" t="n">
        <v>100</v>
      </c>
      <c r="G38" s="27" t="n">
        <v>42.7</v>
      </c>
      <c r="H38" s="28" t="n">
        <v>3091925</v>
      </c>
      <c r="I38" s="9" t="inlineStr">
        <is>
          <t>Fase 2</t>
        </is>
      </c>
      <c r="J38" s="27" t="n">
        <v>0.427</v>
      </c>
      <c r="K38" s="28" t="n">
        <v>30919</v>
      </c>
      <c r="L38" s="9" t="inlineStr">
        <is>
          <t>× cantidad</t>
        </is>
      </c>
      <c r="M38" s="25">
        <f> 0.43 h × cant.  →  COP 30,919 × cant.</f>
        <v/>
      </c>
      <c r="N38" s="26" t="inlineStr"/>
    </row>
    <row r="39">
      <c r="A39" s="7" t="inlineStr">
        <is>
          <t>D2.4</t>
        </is>
      </c>
      <c r="B39" s="8" t="inlineStr">
        <is>
          <t>D.sign</t>
        </is>
      </c>
      <c r="C39" s="15" t="inlineStr">
        <is>
          <t>Edificación</t>
        </is>
      </c>
      <c r="D39" s="15" t="inlineStr">
        <is>
          <t>Planimetría Arquitectónica de Edificación en Altura (Fase 2)</t>
        </is>
      </c>
      <c r="E39" s="30" t="inlineStr">
        <is>
          <t>100 m²</t>
        </is>
      </c>
      <c r="F39" s="31" t="n">
        <v>100</v>
      </c>
      <c r="G39" s="23" t="n">
        <v>17.9</v>
      </c>
      <c r="H39" s="24" t="n">
        <v>1363043</v>
      </c>
      <c r="I39" s="15" t="inlineStr">
        <is>
          <t>Fase 2</t>
        </is>
      </c>
      <c r="J39" s="23" t="n">
        <v>0.179</v>
      </c>
      <c r="K39" s="24" t="n">
        <v>13630</v>
      </c>
      <c r="L39" s="15" t="inlineStr">
        <is>
          <t>× cantidad</t>
        </is>
      </c>
      <c r="M39" s="25">
        <f> 0.18 h × cant.  →  COP 13,630 × cant.</f>
        <v/>
      </c>
      <c r="N39" s="26" t="inlineStr"/>
    </row>
    <row r="40">
      <c r="A40" s="7" t="inlineStr">
        <is>
          <t>D2.5</t>
        </is>
      </c>
      <c r="B40" s="8" t="inlineStr">
        <is>
          <t>D.sign</t>
        </is>
      </c>
      <c r="C40" s="9" t="inlineStr">
        <is>
          <t>Edificación</t>
        </is>
      </c>
      <c r="D40" s="9" t="inlineStr">
        <is>
          <t>Especificaciones de Edificación en Altura (Fase 2)</t>
        </is>
      </c>
      <c r="E40" s="30" t="inlineStr">
        <is>
          <t>200 m²</t>
        </is>
      </c>
      <c r="F40" s="31" t="n">
        <v>200</v>
      </c>
      <c r="G40" s="27" t="n">
        <v>29.4</v>
      </c>
      <c r="H40" s="28" t="n">
        <v>2373003</v>
      </c>
      <c r="I40" s="9" t="inlineStr">
        <is>
          <t>Fase 2</t>
        </is>
      </c>
      <c r="J40" s="27" t="n">
        <v>0.147</v>
      </c>
      <c r="K40" s="28" t="n">
        <v>11865</v>
      </c>
      <c r="L40" s="9" t="inlineStr">
        <is>
          <t>× cantidad</t>
        </is>
      </c>
      <c r="M40" s="25">
        <f> 0.15 h × cant.  →  COP 11,865 × cant.</f>
        <v/>
      </c>
      <c r="N40" s="26" t="inlineStr"/>
    </row>
    <row r="41">
      <c r="A41" s="7" t="inlineStr">
        <is>
          <t>D2.6</t>
        </is>
      </c>
      <c r="B41" s="8" t="inlineStr">
        <is>
          <t>D.sign</t>
        </is>
      </c>
      <c r="C41" s="15" t="inlineStr">
        <is>
          <t>Edificación</t>
        </is>
      </c>
      <c r="D41" s="15" t="inlineStr">
        <is>
          <t>Modelo Tridimensional, Viewer 360, Edificación en Altura (Fase 3)</t>
        </is>
      </c>
      <c r="E41" s="30" t="inlineStr">
        <is>
          <t>1–200 m²</t>
        </is>
      </c>
      <c r="F41" s="31" t="n">
        <v>100</v>
      </c>
      <c r="G41" s="23" t="n">
        <v>74.8</v>
      </c>
      <c r="H41" s="24" t="n">
        <v>5994844</v>
      </c>
      <c r="I41" s="15" t="inlineStr">
        <is>
          <t>Fase 3</t>
        </is>
      </c>
      <c r="J41" s="23" t="n">
        <v>0.748</v>
      </c>
      <c r="K41" s="24" t="n">
        <v>59948</v>
      </c>
      <c r="L41" s="15" t="inlineStr">
        <is>
          <t>× cantidad</t>
        </is>
      </c>
      <c r="M41" s="25">
        <f> 0.75 h × cant.  →  COP 59,948 × cant.</f>
        <v/>
      </c>
      <c r="N41" s="26" t="inlineStr"/>
    </row>
    <row r="42">
      <c r="A42" s="7" t="inlineStr">
        <is>
          <t>D2.7</t>
        </is>
      </c>
      <c r="B42" s="8" t="inlineStr">
        <is>
          <t>D.sign</t>
        </is>
      </c>
      <c r="C42" s="9" t="inlineStr">
        <is>
          <t>Edificación</t>
        </is>
      </c>
      <c r="D42" s="9" t="inlineStr">
        <is>
          <t>Planimetría Arquitectónica de Edificación en Altura (Fase 3)</t>
        </is>
      </c>
      <c r="E42" s="30" t="inlineStr">
        <is>
          <t>1–200 m²</t>
        </is>
      </c>
      <c r="F42" s="31" t="n">
        <v>100</v>
      </c>
      <c r="G42" s="27" t="n">
        <v>80.3</v>
      </c>
      <c r="H42" s="28" t="n">
        <v>6128349</v>
      </c>
      <c r="I42" s="9" t="inlineStr">
        <is>
          <t>Fase 3</t>
        </is>
      </c>
      <c r="J42" s="27" t="n">
        <v>0.803</v>
      </c>
      <c r="K42" s="28" t="n">
        <v>61283</v>
      </c>
      <c r="L42" s="9" t="inlineStr">
        <is>
          <t>× cantidad</t>
        </is>
      </c>
      <c r="M42" s="25">
        <f> 0.80 h × cant.  →  COP 61,283 × cant.</f>
        <v/>
      </c>
      <c r="N42" s="26" t="inlineStr"/>
    </row>
    <row r="43">
      <c r="A43" s="7" t="inlineStr">
        <is>
          <t>D2.8</t>
        </is>
      </c>
      <c r="B43" s="8" t="inlineStr">
        <is>
          <t>D.sign</t>
        </is>
      </c>
      <c r="C43" s="15" t="inlineStr">
        <is>
          <t>Edificación</t>
        </is>
      </c>
      <c r="D43" s="15" t="inlineStr">
        <is>
          <t>Especificaciones de Edificación en Altura Volumen 2 (Fase 3)</t>
        </is>
      </c>
      <c r="E43" s="30" t="inlineStr">
        <is>
          <t>1–200 m²</t>
        </is>
      </c>
      <c r="F43" s="31" t="n">
        <v>100</v>
      </c>
      <c r="G43" s="23" t="n">
        <v>34.7</v>
      </c>
      <c r="H43" s="24" t="n">
        <v>2648241</v>
      </c>
      <c r="I43" s="15" t="inlineStr">
        <is>
          <t>Fase 3</t>
        </is>
      </c>
      <c r="J43" s="23" t="n">
        <v>0.347</v>
      </c>
      <c r="K43" s="24" t="n">
        <v>26482</v>
      </c>
      <c r="L43" s="15" t="inlineStr">
        <is>
          <t>× cantidad</t>
        </is>
      </c>
      <c r="M43" s="25">
        <f> 0.35 h × cant.  →  COP 26,482 × cant.</f>
        <v/>
      </c>
      <c r="N43" s="26" t="inlineStr"/>
    </row>
    <row r="44">
      <c r="A44" s="7" t="inlineStr">
        <is>
          <t>D3.1</t>
        </is>
      </c>
      <c r="B44" s="8" t="inlineStr">
        <is>
          <t>D.sign</t>
        </is>
      </c>
      <c r="C44" s="9" t="inlineStr">
        <is>
          <t>Edificación</t>
        </is>
      </c>
      <c r="D44" s="9" t="inlineStr">
        <is>
          <t>Diagnóstico del proyecto y preliminares</t>
        </is>
      </c>
      <c r="E44" s="30" t="inlineStr">
        <is>
          <t>100 m²</t>
        </is>
      </c>
      <c r="F44" s="31" t="n">
        <v>100</v>
      </c>
      <c r="G44" s="27" t="n">
        <v>38.3</v>
      </c>
      <c r="H44" s="28" t="n">
        <v>3500271</v>
      </c>
      <c r="I44" s="9" t="inlineStr"/>
      <c r="J44" s="27" t="n">
        <v>0.383</v>
      </c>
      <c r="K44" s="28" t="n">
        <v>35003</v>
      </c>
      <c r="L44" s="9" t="inlineStr">
        <is>
          <t>× cantidad</t>
        </is>
      </c>
      <c r="M44" s="25">
        <f> 0.38 h × cant.  →  COP 35,003 × cant.</f>
        <v/>
      </c>
      <c r="N44" s="26" t="inlineStr"/>
    </row>
    <row r="45">
      <c r="A45" s="7" t="inlineStr">
        <is>
          <t>D3.2</t>
        </is>
      </c>
      <c r="B45" s="8" t="inlineStr">
        <is>
          <t>D.sign</t>
        </is>
      </c>
      <c r="C45" s="15" t="inlineStr">
        <is>
          <t>Edificación</t>
        </is>
      </c>
      <c r="D45" s="15" t="inlineStr">
        <is>
          <t>Planimetría Arquitectónica de Vivienda Campestre (Fase 1)</t>
        </is>
      </c>
      <c r="E45" s="30" t="inlineStr">
        <is>
          <t>100 m²</t>
        </is>
      </c>
      <c r="F45" s="31" t="n">
        <v>100</v>
      </c>
      <c r="G45" s="23" t="n">
        <v>34</v>
      </c>
      <c r="H45" s="24" t="n">
        <v>3010582</v>
      </c>
      <c r="I45" s="15" t="inlineStr">
        <is>
          <t>Fase 1</t>
        </is>
      </c>
      <c r="J45" s="23" t="n">
        <v>0.34</v>
      </c>
      <c r="K45" s="24" t="n">
        <v>30106</v>
      </c>
      <c r="L45" s="15" t="inlineStr">
        <is>
          <t>× cantidad</t>
        </is>
      </c>
      <c r="M45" s="25">
        <f> 0.34 h × cant.  →  COP 30,106 × cant.</f>
        <v/>
      </c>
      <c r="N45" s="26" t="inlineStr"/>
    </row>
    <row r="46">
      <c r="A46" s="7" t="inlineStr">
        <is>
          <t>D3.3</t>
        </is>
      </c>
      <c r="B46" s="8" t="inlineStr">
        <is>
          <t>D.sign</t>
        </is>
      </c>
      <c r="C46" s="9" t="inlineStr">
        <is>
          <t>Edificación</t>
        </is>
      </c>
      <c r="D46" s="9" t="inlineStr">
        <is>
          <t>Especificaciones de Vivienda Campestre (Fase 2)</t>
        </is>
      </c>
      <c r="E46" s="30" t="inlineStr">
        <is>
          <t>100 m²</t>
        </is>
      </c>
      <c r="F46" s="31" t="n">
        <v>100</v>
      </c>
      <c r="G46" s="27" t="n">
        <v>23.7</v>
      </c>
      <c r="H46" s="28" t="n">
        <v>2124838</v>
      </c>
      <c r="I46" s="9" t="inlineStr">
        <is>
          <t>Fase 2</t>
        </is>
      </c>
      <c r="J46" s="27" t="n">
        <v>0.237</v>
      </c>
      <c r="K46" s="28" t="n">
        <v>21248</v>
      </c>
      <c r="L46" s="9" t="inlineStr">
        <is>
          <t>× cantidad</t>
        </is>
      </c>
      <c r="M46" s="25">
        <f> 0.24 h × cant.  →  COP 21,248 × cant.</f>
        <v/>
      </c>
      <c r="N46" s="26" t="inlineStr"/>
    </row>
    <row r="47">
      <c r="A47" s="7" t="inlineStr">
        <is>
          <t>D3.4</t>
        </is>
      </c>
      <c r="B47" s="8" t="inlineStr">
        <is>
          <t>D.sign</t>
        </is>
      </c>
      <c r="C47" s="15" t="inlineStr">
        <is>
          <t>Edificación</t>
        </is>
      </c>
      <c r="D47" s="15" t="inlineStr">
        <is>
          <t>Modelo Tridimensional, Viewer 360 150, Vivienda Campestre (Fase 2)</t>
        </is>
      </c>
      <c r="E47" s="30" t="inlineStr">
        <is>
          <t>100 m²</t>
        </is>
      </c>
      <c r="F47" s="31" t="n">
        <v>100</v>
      </c>
      <c r="G47" s="23" t="n">
        <v>34.7</v>
      </c>
      <c r="H47" s="24" t="n">
        <v>3171264</v>
      </c>
      <c r="I47" s="15" t="inlineStr">
        <is>
          <t>Fase 2</t>
        </is>
      </c>
      <c r="J47" s="23" t="n">
        <v>0.347</v>
      </c>
      <c r="K47" s="24" t="n">
        <v>31713</v>
      </c>
      <c r="L47" s="15" t="inlineStr">
        <is>
          <t>× cantidad</t>
        </is>
      </c>
      <c r="M47" s="25">
        <f> 0.35 h × cant.  →  COP 31,713 × cant.</f>
        <v/>
      </c>
      <c r="N47" s="26" t="inlineStr"/>
    </row>
    <row r="48">
      <c r="A48" s="7" t="inlineStr">
        <is>
          <t>D3.5</t>
        </is>
      </c>
      <c r="B48" s="8" t="inlineStr">
        <is>
          <t>D.sign</t>
        </is>
      </c>
      <c r="C48" s="9" t="inlineStr">
        <is>
          <t>Edificación</t>
        </is>
      </c>
      <c r="D48" s="9" t="inlineStr">
        <is>
          <t>Planimetría Arquitectónica de Vivienda Campestre (Fase 2)</t>
        </is>
      </c>
      <c r="E48" s="30" t="inlineStr">
        <is>
          <t>100 m²</t>
        </is>
      </c>
      <c r="F48" s="31" t="n">
        <v>100</v>
      </c>
      <c r="G48" s="27" t="n">
        <v>17.9</v>
      </c>
      <c r="H48" s="28" t="n">
        <v>1632241</v>
      </c>
      <c r="I48" s="9" t="inlineStr">
        <is>
          <t>Fase 2</t>
        </is>
      </c>
      <c r="J48" s="27" t="n">
        <v>0.179</v>
      </c>
      <c r="K48" s="28" t="n">
        <v>16322</v>
      </c>
      <c r="L48" s="9" t="inlineStr">
        <is>
          <t>× cantidad</t>
        </is>
      </c>
      <c r="M48" s="25">
        <f> 0.18 h × cant.  →  COP 16,322 × cant.</f>
        <v/>
      </c>
      <c r="N48" s="26" t="inlineStr"/>
    </row>
    <row r="49">
      <c r="A49" s="7" t="inlineStr">
        <is>
          <t>D3.6</t>
        </is>
      </c>
      <c r="B49" s="8" t="inlineStr">
        <is>
          <t>D.sign</t>
        </is>
      </c>
      <c r="C49" s="15" t="inlineStr">
        <is>
          <t>Edificación</t>
        </is>
      </c>
      <c r="D49" s="15" t="inlineStr">
        <is>
          <t>Replanteo de la vivienda en campo</t>
        </is>
      </c>
      <c r="E49" s="16" t="inlineStr">
        <is>
          <t>1 Replanteo</t>
        </is>
      </c>
      <c r="F49" s="22" t="n">
        <v>1</v>
      </c>
      <c r="G49" s="23" t="n">
        <v>16</v>
      </c>
      <c r="H49" s="24" t="n">
        <v>2572963</v>
      </c>
      <c r="I49" s="15" t="inlineStr"/>
      <c r="J49" s="23" t="n">
        <v>16</v>
      </c>
      <c r="K49" s="24" t="n">
        <v>2572963</v>
      </c>
      <c r="L49" s="15" t="inlineStr">
        <is>
          <t>× cantidad</t>
        </is>
      </c>
      <c r="M49" s="25">
        <f> 16.00 h × cant.  →  COP 2,572,963 × cant.</f>
        <v/>
      </c>
      <c r="N49" s="26" t="inlineStr"/>
    </row>
    <row r="50">
      <c r="A50" s="7" t="inlineStr">
        <is>
          <t>D3.7</t>
        </is>
      </c>
      <c r="B50" s="8" t="inlineStr">
        <is>
          <t>D.sign</t>
        </is>
      </c>
      <c r="C50" s="9" t="inlineStr">
        <is>
          <t>Edificación</t>
        </is>
      </c>
      <c r="D50" s="9" t="inlineStr">
        <is>
          <t>Modelo Tridimensional, Viewer 360 150, Vivienda Campestre (Fase 3)</t>
        </is>
      </c>
      <c r="E50" s="30" t="inlineStr">
        <is>
          <t>1–200 m²</t>
        </is>
      </c>
      <c r="F50" s="31" t="n">
        <v>100</v>
      </c>
      <c r="G50" s="27" t="n">
        <v>56.8</v>
      </c>
      <c r="H50" s="28" t="n">
        <v>4165073</v>
      </c>
      <c r="I50" s="9" t="inlineStr">
        <is>
          <t>Fase 3</t>
        </is>
      </c>
      <c r="J50" s="27" t="n">
        <v>0.5679999999999999</v>
      </c>
      <c r="K50" s="28" t="n">
        <v>41651</v>
      </c>
      <c r="L50" s="9" t="inlineStr">
        <is>
          <t>× cantidad</t>
        </is>
      </c>
      <c r="M50" s="25">
        <f> 0.57 h × cant.  →  COP 41,651 × cant.</f>
        <v/>
      </c>
      <c r="N50" s="26" t="inlineStr"/>
    </row>
    <row r="51">
      <c r="A51" s="7" t="inlineStr">
        <is>
          <t>D3.8</t>
        </is>
      </c>
      <c r="B51" s="8" t="inlineStr">
        <is>
          <t>D.sign</t>
        </is>
      </c>
      <c r="C51" s="15" t="inlineStr">
        <is>
          <t>Edificación</t>
        </is>
      </c>
      <c r="D51" s="15" t="inlineStr">
        <is>
          <t>Planimetría Arquitectónica de Vivienda Campestre (Fase 3)</t>
        </is>
      </c>
      <c r="E51" s="30" t="inlineStr">
        <is>
          <t>1–200 m²</t>
        </is>
      </c>
      <c r="F51" s="31" t="n">
        <v>100</v>
      </c>
      <c r="G51" s="23" t="n">
        <v>49.4</v>
      </c>
      <c r="H51" s="24" t="n">
        <v>4367032</v>
      </c>
      <c r="I51" s="15" t="inlineStr">
        <is>
          <t>Fase 3</t>
        </is>
      </c>
      <c r="J51" s="23" t="n">
        <v>0.494</v>
      </c>
      <c r="K51" s="24" t="n">
        <v>43670</v>
      </c>
      <c r="L51" s="15" t="inlineStr">
        <is>
          <t>× cantidad</t>
        </is>
      </c>
      <c r="M51" s="25">
        <f> 0.49 h × cant.  →  COP 43,670 × cant.</f>
        <v/>
      </c>
      <c r="N51" s="26" t="inlineStr"/>
    </row>
    <row r="52">
      <c r="A52" s="7" t="inlineStr">
        <is>
          <t>D3.9</t>
        </is>
      </c>
      <c r="B52" s="8" t="inlineStr">
        <is>
          <t>D.sign</t>
        </is>
      </c>
      <c r="C52" s="9" t="inlineStr">
        <is>
          <t>Edificación</t>
        </is>
      </c>
      <c r="D52" s="9" t="inlineStr">
        <is>
          <t>Especificaciones de Vivienda Campestre (Fase 3)</t>
        </is>
      </c>
      <c r="E52" s="30" t="inlineStr">
        <is>
          <t>1–200 m²</t>
        </is>
      </c>
      <c r="F52" s="31" t="n">
        <v>100</v>
      </c>
      <c r="G52" s="27" t="n">
        <v>30.1</v>
      </c>
      <c r="H52" s="28" t="n">
        <v>2660884</v>
      </c>
      <c r="I52" s="9" t="inlineStr">
        <is>
          <t>Fase 3</t>
        </is>
      </c>
      <c r="J52" s="27" t="n">
        <v>0.301</v>
      </c>
      <c r="K52" s="28" t="n">
        <v>26609</v>
      </c>
      <c r="L52" s="9" t="inlineStr">
        <is>
          <t>× cantidad</t>
        </is>
      </c>
      <c r="M52" s="25">
        <f> 0.30 h × cant.  →  COP 26,609 × cant.</f>
        <v/>
      </c>
      <c r="N52" s="26" t="inlineStr"/>
    </row>
    <row r="53">
      <c r="A53" s="7" t="inlineStr">
        <is>
          <t>D3.10</t>
        </is>
      </c>
      <c r="B53" s="8" t="inlineStr">
        <is>
          <t>D.sign</t>
        </is>
      </c>
      <c r="C53" s="15" t="inlineStr">
        <is>
          <t>Edificación</t>
        </is>
      </c>
      <c r="D53" s="15" t="inlineStr">
        <is>
          <t>Personal Shopper de lote lite (Fase 1)</t>
        </is>
      </c>
      <c r="E53" s="16" t="inlineStr">
        <is>
          <t>Documento PDF</t>
        </is>
      </c>
      <c r="F53" s="22" t="n">
        <v>1</v>
      </c>
      <c r="G53" s="23" t="n">
        <v>12.9</v>
      </c>
      <c r="H53" s="24" t="n">
        <v>906680</v>
      </c>
      <c r="I53" s="15" t="inlineStr">
        <is>
          <t>Fase 1</t>
        </is>
      </c>
      <c r="J53" s="23" t="n">
        <v>12.9</v>
      </c>
      <c r="K53" s="24" t="n">
        <v>906680</v>
      </c>
      <c r="L53" s="15" t="inlineStr">
        <is>
          <t>× cantidad</t>
        </is>
      </c>
      <c r="M53" s="25">
        <f> 12.90 h × cant.  →  COP 906,680 × cant.</f>
        <v/>
      </c>
      <c r="N53" s="26" t="inlineStr"/>
    </row>
    <row r="54">
      <c r="A54" s="7" t="inlineStr">
        <is>
          <t>D3.11</t>
        </is>
      </c>
      <c r="B54" s="8" t="inlineStr">
        <is>
          <t>D.sign</t>
        </is>
      </c>
      <c r="C54" s="9" t="inlineStr">
        <is>
          <t>Edificación</t>
        </is>
      </c>
      <c r="D54" s="9" t="inlineStr">
        <is>
          <t>Personal Shopper de lote Advanced (Fase 1)</t>
        </is>
      </c>
      <c r="E54" s="16" t="inlineStr">
        <is>
          <t>Documento PDF</t>
        </is>
      </c>
      <c r="F54" s="22" t="n">
        <v>1</v>
      </c>
      <c r="G54" s="27" t="n">
        <v>7.9</v>
      </c>
      <c r="H54" s="28" t="n">
        <v>545247</v>
      </c>
      <c r="I54" s="9" t="inlineStr">
        <is>
          <t>Fase 1</t>
        </is>
      </c>
      <c r="J54" s="27" t="n">
        <v>7.9</v>
      </c>
      <c r="K54" s="28" t="n">
        <v>545247</v>
      </c>
      <c r="L54" s="9" t="inlineStr">
        <is>
          <t>× cantidad</t>
        </is>
      </c>
      <c r="M54" s="25">
        <f> 7.90 h × cant.  →  COP 545,247 × cant.</f>
        <v/>
      </c>
      <c r="N54" s="26" t="inlineStr"/>
    </row>
    <row r="55">
      <c r="A55" s="7" t="inlineStr">
        <is>
          <t>D4.1</t>
        </is>
      </c>
      <c r="B55" s="8" t="inlineStr">
        <is>
          <t>D.sign</t>
        </is>
      </c>
      <c r="C55" s="15" t="inlineStr">
        <is>
          <t>Complementario</t>
        </is>
      </c>
      <c r="D55" s="15" t="inlineStr">
        <is>
          <t>Propuesta Conceptual y de Layout Funcional Tridimensional</t>
        </is>
      </c>
      <c r="E55" s="16" t="inlineStr">
        <is>
          <t>Proyecto</t>
        </is>
      </c>
      <c r="F55" s="22" t="n">
        <v>1</v>
      </c>
      <c r="G55" s="23" t="n">
        <v>56.4</v>
      </c>
      <c r="H55" s="24" t="n">
        <v>5318566</v>
      </c>
      <c r="I55" s="15" t="inlineStr"/>
      <c r="J55" s="23" t="n">
        <v>56.4</v>
      </c>
      <c r="K55" s="24" t="n">
        <v>5318566</v>
      </c>
      <c r="L55" s="15" t="inlineStr">
        <is>
          <t>× cantidad</t>
        </is>
      </c>
      <c r="M55" s="25">
        <f> 56.40 h × cant.  →  COP 5,318,566 × cant.</f>
        <v/>
      </c>
      <c r="N55" s="26" t="inlineStr"/>
    </row>
    <row r="56">
      <c r="A56" s="7" t="inlineStr">
        <is>
          <t>D4.2</t>
        </is>
      </c>
      <c r="B56" s="8" t="inlineStr">
        <is>
          <t>D.sign</t>
        </is>
      </c>
      <c r="C56" s="9" t="inlineStr">
        <is>
          <t>Complementario</t>
        </is>
      </c>
      <c r="D56" s="9" t="inlineStr">
        <is>
          <t>Modelo y Planimetría Arquitectónica Técnica para Montaje de Stand</t>
        </is>
      </c>
      <c r="E56" s="16" t="inlineStr">
        <is>
          <t>Proyecto</t>
        </is>
      </c>
      <c r="F56" s="22" t="n">
        <v>1</v>
      </c>
      <c r="G56" s="27" t="n">
        <v>62.6</v>
      </c>
      <c r="H56" s="28" t="n">
        <v>5908207</v>
      </c>
      <c r="I56" s="9" t="inlineStr"/>
      <c r="J56" s="27" t="n">
        <v>62.6</v>
      </c>
      <c r="K56" s="28" t="n">
        <v>5908207</v>
      </c>
      <c r="L56" s="9" t="inlineStr">
        <is>
          <t>× cantidad</t>
        </is>
      </c>
      <c r="M56" s="25">
        <f> 62.60 h × cant.  →  COP 5,908,207 × cant.</f>
        <v/>
      </c>
      <c r="N56" s="26" t="inlineStr"/>
    </row>
    <row r="57">
      <c r="A57" s="7" t="inlineStr">
        <is>
          <t>D4.3</t>
        </is>
      </c>
      <c r="B57" s="8" t="inlineStr">
        <is>
          <t>D.sign</t>
        </is>
      </c>
      <c r="C57" s="15" t="inlineStr">
        <is>
          <t>Complementario</t>
        </is>
      </c>
      <c r="D57" s="15" t="inlineStr">
        <is>
          <t>Presupuesto, cantidades Para Producción de Stand</t>
        </is>
      </c>
      <c r="E57" s="16" t="inlineStr">
        <is>
          <t>Proyecto</t>
        </is>
      </c>
      <c r="F57" s="22" t="n">
        <v>1</v>
      </c>
      <c r="G57" s="23" t="n">
        <v>53.8</v>
      </c>
      <c r="H57" s="24" t="n">
        <v>4181603</v>
      </c>
      <c r="I57" s="15" t="inlineStr"/>
      <c r="J57" s="23" t="n">
        <v>53.8</v>
      </c>
      <c r="K57" s="24" t="n">
        <v>4181603</v>
      </c>
      <c r="L57" s="15" t="inlineStr">
        <is>
          <t>× cantidad</t>
        </is>
      </c>
      <c r="M57" s="25">
        <f> 53.80 h × cant.  →  COP 4,181,603 × cant.</f>
        <v/>
      </c>
      <c r="N57" s="26" t="inlineStr"/>
    </row>
    <row r="58">
      <c r="A58" s="7" t="inlineStr">
        <is>
          <t>D6.1</t>
        </is>
      </c>
      <c r="B58" s="8" t="inlineStr">
        <is>
          <t>D.sign</t>
        </is>
      </c>
      <c r="C58" s="9" t="inlineStr">
        <is>
          <t>Espacio Interior</t>
        </is>
      </c>
      <c r="D58" s="9" t="inlineStr">
        <is>
          <t>Conceptualización de propuesta y cabida 3D preliminar</t>
        </is>
      </c>
      <c r="E58" s="16" t="inlineStr">
        <is>
          <t>Proyecto</t>
        </is>
      </c>
      <c r="F58" s="22" t="n">
        <v>1</v>
      </c>
      <c r="G58" s="27" t="n">
        <v>44.6</v>
      </c>
      <c r="H58" s="28" t="n">
        <v>4000179</v>
      </c>
      <c r="I58" s="9" t="inlineStr"/>
      <c r="J58" s="27" t="n">
        <v>44.6</v>
      </c>
      <c r="K58" s="28" t="n">
        <v>4000179</v>
      </c>
      <c r="L58" s="9" t="inlineStr">
        <is>
          <t>× cantidad</t>
        </is>
      </c>
      <c r="M58" s="25">
        <f> 44.60 h × cant.  →  COP 4,000,179 × cant.</f>
        <v/>
      </c>
      <c r="N58" s="26" t="inlineStr"/>
    </row>
    <row r="59">
      <c r="A59" s="7" t="inlineStr">
        <is>
          <t>D6.2</t>
        </is>
      </c>
      <c r="B59" s="8" t="inlineStr">
        <is>
          <t>D.sign</t>
        </is>
      </c>
      <c r="C59" s="15" t="inlineStr">
        <is>
          <t>Proyecto</t>
        </is>
      </c>
      <c r="D59" s="15" t="inlineStr">
        <is>
          <t>Look &amp; Feel</t>
        </is>
      </c>
      <c r="E59" s="16" t="inlineStr">
        <is>
          <t>Proyecto</t>
        </is>
      </c>
      <c r="F59" s="22" t="n">
        <v>1</v>
      </c>
      <c r="G59" s="23" t="n">
        <v>20.8</v>
      </c>
      <c r="H59" s="24" t="n">
        <v>1963110</v>
      </c>
      <c r="I59" s="15" t="inlineStr"/>
      <c r="J59" s="23" t="n">
        <v>20.8</v>
      </c>
      <c r="K59" s="24" t="n">
        <v>1963110</v>
      </c>
      <c r="L59" s="15" t="inlineStr">
        <is>
          <t>× cantidad</t>
        </is>
      </c>
      <c r="M59" s="25">
        <f> 20.80 h × cant.  →  COP 1,963,110 × cant.</f>
        <v/>
      </c>
      <c r="N59" s="26" t="inlineStr"/>
    </row>
    <row r="60">
      <c r="A60" s="7" t="inlineStr">
        <is>
          <t>D6.3</t>
        </is>
      </c>
      <c r="B60" s="8" t="inlineStr">
        <is>
          <t>D.sign</t>
        </is>
      </c>
      <c r="C60" s="9" t="inlineStr">
        <is>
          <t>Espacio Interior</t>
        </is>
      </c>
      <c r="D60" s="9" t="inlineStr">
        <is>
          <t>Modelo tridimensional fase 2 del Espacio Interior</t>
        </is>
      </c>
      <c r="E60" s="30" t="inlineStr">
        <is>
          <t>1–200 m²</t>
        </is>
      </c>
      <c r="F60" s="31" t="n">
        <v>100</v>
      </c>
      <c r="G60" s="27" t="n">
        <v>30</v>
      </c>
      <c r="H60" s="28" t="n">
        <v>2831409</v>
      </c>
      <c r="I60" s="9" t="inlineStr"/>
      <c r="J60" s="27" t="n">
        <v>0.3</v>
      </c>
      <c r="K60" s="28" t="n">
        <v>28314</v>
      </c>
      <c r="L60" s="9" t="inlineStr">
        <is>
          <t>× cantidad</t>
        </is>
      </c>
      <c r="M60" s="25">
        <f> 0.30 h × cant.  →  COP 28,314 × cant.</f>
        <v/>
      </c>
      <c r="N60" s="26" t="inlineStr"/>
    </row>
    <row r="61">
      <c r="A61" s="7" t="inlineStr">
        <is>
          <t>D6.4</t>
        </is>
      </c>
      <c r="B61" s="8" t="inlineStr">
        <is>
          <t>D.sign</t>
        </is>
      </c>
      <c r="C61" s="15" t="inlineStr">
        <is>
          <t>Espacio Interior</t>
        </is>
      </c>
      <c r="D61" s="15" t="inlineStr">
        <is>
          <t>Planimetría Arquitectónica de Diseño Interior</t>
        </is>
      </c>
      <c r="E61" s="30" t="inlineStr">
        <is>
          <t>1–200 m²</t>
        </is>
      </c>
      <c r="F61" s="31" t="n">
        <v>100</v>
      </c>
      <c r="G61" s="23" t="n">
        <v>92.5</v>
      </c>
      <c r="H61" s="24" t="n">
        <v>6782910</v>
      </c>
      <c r="I61" s="15" t="inlineStr"/>
      <c r="J61" s="23" t="n">
        <v>0.925</v>
      </c>
      <c r="K61" s="24" t="n">
        <v>67829</v>
      </c>
      <c r="L61" s="15" t="inlineStr">
        <is>
          <t>× cantidad</t>
        </is>
      </c>
      <c r="M61" s="25">
        <f> 0.93 h × cant.  →  COP 67,829 × cant.</f>
        <v/>
      </c>
      <c r="N61" s="26" t="inlineStr"/>
    </row>
    <row r="62">
      <c r="A62" s="7" t="inlineStr">
        <is>
          <t>D6.5</t>
        </is>
      </c>
      <c r="B62" s="8" t="inlineStr">
        <is>
          <t>D.sign</t>
        </is>
      </c>
      <c r="C62" s="9" t="inlineStr">
        <is>
          <t>Espacio Interior</t>
        </is>
      </c>
      <c r="D62" s="9" t="inlineStr">
        <is>
          <t>Especificaciones, experiencia de compra y cantidades de obra</t>
        </is>
      </c>
      <c r="E62" s="16" t="inlineStr">
        <is>
          <t>Und</t>
        </is>
      </c>
      <c r="F62" s="22" t="n">
        <v>1</v>
      </c>
      <c r="G62" s="27" t="n">
        <v>28</v>
      </c>
      <c r="H62" s="28" t="n">
        <v>2315878</v>
      </c>
      <c r="I62" s="9" t="inlineStr"/>
      <c r="J62" s="27" t="n">
        <v>28</v>
      </c>
      <c r="K62" s="28" t="n">
        <v>2315878</v>
      </c>
      <c r="L62" s="9" t="inlineStr">
        <is>
          <t>× cantidad</t>
        </is>
      </c>
      <c r="M62" s="25">
        <f> 28.00 h × cant.  →  COP 2,315,878 × cant.</f>
        <v/>
      </c>
      <c r="N62" s="26" t="inlineStr"/>
    </row>
    <row r="63">
      <c r="A63" s="7" t="inlineStr">
        <is>
          <t>D6.6</t>
        </is>
      </c>
      <c r="B63" s="8" t="inlineStr">
        <is>
          <t>D.sign</t>
        </is>
      </c>
      <c r="C63" s="15" t="inlineStr">
        <is>
          <t>Espacio Interior</t>
        </is>
      </c>
      <c r="D63" s="15" t="inlineStr">
        <is>
          <t>Diseña Tu Interior (Fase 1)</t>
        </is>
      </c>
      <c r="E63" s="30" t="inlineStr">
        <is>
          <t>50 m²</t>
        </is>
      </c>
      <c r="F63" s="31" t="n">
        <v>50</v>
      </c>
      <c r="G63" s="23" t="n">
        <v>61</v>
      </c>
      <c r="H63" s="24" t="n">
        <v>4398529</v>
      </c>
      <c r="I63" s="15" t="inlineStr">
        <is>
          <t>Fase 1</t>
        </is>
      </c>
      <c r="J63" s="23" t="n">
        <v>1.22</v>
      </c>
      <c r="K63" s="24" t="n">
        <v>87971</v>
      </c>
      <c r="L63" s="15" t="inlineStr">
        <is>
          <t>× cantidad</t>
        </is>
      </c>
      <c r="M63" s="25">
        <f> 1.22 h × cant.  →  COP 87,971 × cant.</f>
        <v/>
      </c>
      <c r="N63" s="26" t="inlineStr"/>
    </row>
    <row r="64">
      <c r="A64" s="7" t="inlineStr">
        <is>
          <t>D6.7</t>
        </is>
      </c>
      <c r="B64" s="8" t="inlineStr">
        <is>
          <t>D.sign</t>
        </is>
      </c>
      <c r="C64" s="9" t="inlineStr">
        <is>
          <t>Espacio Interior</t>
        </is>
      </c>
      <c r="D64" s="9" t="inlineStr">
        <is>
          <t>Renueva tu Interior (Fase 1)</t>
        </is>
      </c>
      <c r="E64" s="16" t="inlineStr">
        <is>
          <t>PDF/Proyecto</t>
        </is>
      </c>
      <c r="F64" s="22" t="n">
        <v>1</v>
      </c>
      <c r="G64" s="27" t="n">
        <v>69</v>
      </c>
      <c r="H64" s="28" t="n">
        <v>4975385</v>
      </c>
      <c r="I64" s="9" t="inlineStr">
        <is>
          <t>Fase 1</t>
        </is>
      </c>
      <c r="J64" s="27" t="n">
        <v>69</v>
      </c>
      <c r="K64" s="28" t="n">
        <v>4975385</v>
      </c>
      <c r="L64" s="9" t="inlineStr">
        <is>
          <t>× cantidad</t>
        </is>
      </c>
      <c r="M64" s="25">
        <f> 69.00 h × cant.  →  COP 4,975,385 × cant.</f>
        <v/>
      </c>
      <c r="N64" s="26" t="inlineStr"/>
    </row>
    <row r="65">
      <c r="A65" s="7" t="inlineStr">
        <is>
          <t>D7.1</t>
        </is>
      </c>
      <c r="B65" s="8" t="inlineStr">
        <is>
          <t>D.sign</t>
        </is>
      </c>
      <c r="C65" s="15" t="inlineStr">
        <is>
          <t>Edificación</t>
        </is>
      </c>
      <c r="D65" s="15" t="inlineStr">
        <is>
          <t>Select — Servicio 1</t>
        </is>
      </c>
      <c r="E65" s="30" t="inlineStr">
        <is>
          <t>100 m²</t>
        </is>
      </c>
      <c r="F65" s="31" t="n">
        <v>100</v>
      </c>
      <c r="G65" s="23" t="n">
        <v>55.8</v>
      </c>
      <c r="H65" s="24" t="n">
        <v>4503862</v>
      </c>
      <c r="I65" s="15" t="inlineStr">
        <is>
          <t>Fase 1</t>
        </is>
      </c>
      <c r="J65" s="23" t="n">
        <v>0.5580000000000001</v>
      </c>
      <c r="K65" s="24" t="n">
        <v>45039</v>
      </c>
      <c r="L65" s="15" t="inlineStr">
        <is>
          <t>× cantidad</t>
        </is>
      </c>
      <c r="M65" s="25">
        <f> 0.56 h × cant.  →  COP 45,039 × cant.</f>
        <v/>
      </c>
      <c r="N65" s="26" t="inlineStr"/>
    </row>
    <row r="66">
      <c r="A66" s="7" t="inlineStr">
        <is>
          <t>D7.2</t>
        </is>
      </c>
      <c r="B66" s="8" t="inlineStr">
        <is>
          <t>D.sign</t>
        </is>
      </c>
      <c r="C66" s="9" t="inlineStr">
        <is>
          <t>Edificación</t>
        </is>
      </c>
      <c r="D66" s="9" t="inlineStr">
        <is>
          <t>Select — Servicio 2</t>
        </is>
      </c>
      <c r="E66" s="30" t="inlineStr">
        <is>
          <t>100 m²</t>
        </is>
      </c>
      <c r="F66" s="31" t="n">
        <v>100</v>
      </c>
      <c r="G66" s="27" t="n">
        <v>24.1</v>
      </c>
      <c r="H66" s="28" t="n">
        <v>1945217</v>
      </c>
      <c r="I66" s="9" t="inlineStr">
        <is>
          <t>Fase 1</t>
        </is>
      </c>
      <c r="J66" s="27" t="n">
        <v>0.241</v>
      </c>
      <c r="K66" s="28" t="n">
        <v>19452</v>
      </c>
      <c r="L66" s="9" t="inlineStr">
        <is>
          <t>× cantidad</t>
        </is>
      </c>
      <c r="M66" s="25">
        <f> 0.24 h × cant.  →  COP 19,452 × cant.</f>
        <v/>
      </c>
      <c r="N66" s="26" t="inlineStr"/>
    </row>
    <row r="67">
      <c r="A67" s="19" t="inlineStr">
        <is>
          <t>V0.1</t>
        </is>
      </c>
      <c r="B67" s="20" t="inlineStr">
        <is>
          <t>V.sual</t>
        </is>
      </c>
      <c r="C67" s="15" t="inlineStr">
        <is>
          <t>Ed. Exterior</t>
        </is>
      </c>
      <c r="D67" s="15" t="inlineStr">
        <is>
          <t>Modelado arquitectónico sobre planos para visualización arquitectónica</t>
        </is>
      </c>
      <c r="E67" s="16" t="inlineStr">
        <is>
          <t>Proyecto</t>
        </is>
      </c>
      <c r="F67" s="22" t="n">
        <v>1</v>
      </c>
      <c r="G67" s="23" t="n">
        <v>30</v>
      </c>
      <c r="H67" s="24" t="n">
        <v>2339549</v>
      </c>
      <c r="I67" s="15" t="inlineStr"/>
      <c r="J67" s="23" t="n">
        <v>30</v>
      </c>
      <c r="K67" s="24" t="n">
        <v>2339549</v>
      </c>
      <c r="L67" s="15" t="inlineStr">
        <is>
          <t>× cantidad</t>
        </is>
      </c>
      <c r="M67" s="25">
        <f> 30.00 h × cant.  →  COP 2,339,549 × cant.</f>
        <v/>
      </c>
      <c r="N67" s="26" t="inlineStr"/>
    </row>
    <row r="68">
      <c r="A68" s="19" t="inlineStr">
        <is>
          <t>V0.2</t>
        </is>
      </c>
      <c r="B68" s="20" t="inlineStr">
        <is>
          <t>V.sual</t>
        </is>
      </c>
      <c r="C68" s="9" t="inlineStr">
        <is>
          <t>Urb</t>
        </is>
      </c>
      <c r="D68" s="9" t="inlineStr">
        <is>
          <t>Modelo tridimensional para visualización de urbanismo</t>
        </is>
      </c>
      <c r="E68" s="16" t="inlineStr">
        <is>
          <t>Proyecto</t>
        </is>
      </c>
      <c r="F68" s="22" t="n">
        <v>1</v>
      </c>
      <c r="G68" s="27" t="n">
        <v>36.2</v>
      </c>
      <c r="H68" s="28" t="n">
        <v>3088365</v>
      </c>
      <c r="I68" s="9" t="inlineStr"/>
      <c r="J68" s="27" t="n">
        <v>36.2</v>
      </c>
      <c r="K68" s="28" t="n">
        <v>3088365</v>
      </c>
      <c r="L68" s="9" t="inlineStr">
        <is>
          <t>× cantidad</t>
        </is>
      </c>
      <c r="M68" s="25">
        <f> 36.20 h × cant.  →  COP 3,088,365 × cant.</f>
        <v/>
      </c>
      <c r="N68" s="26" t="inlineStr"/>
    </row>
    <row r="69">
      <c r="A69" s="19" t="inlineStr">
        <is>
          <t>V0.3</t>
        </is>
      </c>
      <c r="B69" s="20" t="inlineStr">
        <is>
          <t>V.sual</t>
        </is>
      </c>
      <c r="C69" s="15" t="inlineStr">
        <is>
          <t>Ed. Exterior</t>
        </is>
      </c>
      <c r="D69" s="15" t="inlineStr">
        <is>
          <t>Modelo tridimensional para visualización de edificios exteriores</t>
        </is>
      </c>
      <c r="E69" s="16" t="inlineStr">
        <is>
          <t>Proyecto</t>
        </is>
      </c>
      <c r="F69" s="22" t="n">
        <v>1</v>
      </c>
      <c r="G69" s="23" t="n">
        <v>20.5</v>
      </c>
      <c r="H69" s="24" t="n">
        <v>1702555</v>
      </c>
      <c r="I69" s="15" t="inlineStr"/>
      <c r="J69" s="23" t="n">
        <v>20.5</v>
      </c>
      <c r="K69" s="24" t="n">
        <v>1702555</v>
      </c>
      <c r="L69" s="15" t="inlineStr">
        <is>
          <t>× cantidad</t>
        </is>
      </c>
      <c r="M69" s="25">
        <f> 20.50 h × cant.  →  COP 1,702,555 × cant.</f>
        <v/>
      </c>
      <c r="N69" s="26" t="inlineStr"/>
    </row>
    <row r="70">
      <c r="A70" s="19" t="inlineStr">
        <is>
          <t>V0.4</t>
        </is>
      </c>
      <c r="B70" s="20" t="inlineStr">
        <is>
          <t>V.sual</t>
        </is>
      </c>
      <c r="C70" s="9" t="inlineStr">
        <is>
          <t>Ed. Interior</t>
        </is>
      </c>
      <c r="D70" s="9" t="inlineStr">
        <is>
          <t>Modelo de ambientación interior</t>
        </is>
      </c>
      <c r="E70" s="16" t="inlineStr">
        <is>
          <t>Proyecto</t>
        </is>
      </c>
      <c r="F70" s="22" t="n">
        <v>1</v>
      </c>
      <c r="G70" s="27" t="n">
        <v>18</v>
      </c>
      <c r="H70" s="28" t="n">
        <v>1776120</v>
      </c>
      <c r="I70" s="9" t="inlineStr"/>
      <c r="J70" s="27" t="n">
        <v>18</v>
      </c>
      <c r="K70" s="28" t="n">
        <v>1776120</v>
      </c>
      <c r="L70" s="9" t="inlineStr">
        <is>
          <t>× cantidad</t>
        </is>
      </c>
      <c r="M70" s="25">
        <f> 18.00 h × cant.  →  COP 1,776,120 × cant.</f>
        <v/>
      </c>
      <c r="N70" s="26" t="inlineStr"/>
    </row>
    <row r="71">
      <c r="A71" s="19" t="inlineStr">
        <is>
          <t>V0.5</t>
        </is>
      </c>
      <c r="B71" s="20" t="inlineStr">
        <is>
          <t>V.sual</t>
        </is>
      </c>
      <c r="C71" s="15" t="inlineStr">
        <is>
          <t>Todos</t>
        </is>
      </c>
      <c r="D71" s="15" t="inlineStr">
        <is>
          <t>Modelo implantado Gaussian Splatting para plataformas</t>
        </is>
      </c>
      <c r="E71" s="16" t="inlineStr">
        <is>
          <t>Proyecto</t>
        </is>
      </c>
      <c r="F71" s="22" t="n">
        <v>1</v>
      </c>
      <c r="G71" s="23" t="n">
        <v>10</v>
      </c>
      <c r="H71" s="24" t="n">
        <v>1748666</v>
      </c>
      <c r="I71" s="15" t="inlineStr"/>
      <c r="J71" s="23" t="n">
        <v>10</v>
      </c>
      <c r="K71" s="24" t="n">
        <v>1748666</v>
      </c>
      <c r="L71" s="15" t="inlineStr">
        <is>
          <t>× cantidad</t>
        </is>
      </c>
      <c r="M71" s="25">
        <f> 10.00 h × cant.  →  COP 1,748,666 × cant.</f>
        <v/>
      </c>
      <c r="N71" s="26" t="inlineStr"/>
    </row>
    <row r="72">
      <c r="A72" s="19" t="inlineStr">
        <is>
          <t>V1.1</t>
        </is>
      </c>
      <c r="B72" s="20" t="inlineStr">
        <is>
          <t>V.sual</t>
        </is>
      </c>
      <c r="C72" s="9" t="inlineStr">
        <is>
          <t>Urb</t>
        </is>
      </c>
      <c r="D72" s="9" t="inlineStr">
        <is>
          <t>Pack ilimitado Imágenes de Urbanismo</t>
        </is>
      </c>
      <c r="E72" s="16" t="inlineStr">
        <is>
          <t>Pack</t>
        </is>
      </c>
      <c r="F72" s="22" t="n">
        <v>1</v>
      </c>
      <c r="G72" s="27" t="n">
        <v>12.4</v>
      </c>
      <c r="H72" s="28" t="n">
        <v>1095282</v>
      </c>
      <c r="I72" s="9" t="inlineStr"/>
      <c r="J72" s="27" t="n">
        <v>12.4</v>
      </c>
      <c r="K72" s="28" t="n">
        <v>1095282</v>
      </c>
      <c r="L72" s="9" t="inlineStr">
        <is>
          <t>× cantidad</t>
        </is>
      </c>
      <c r="M72" s="25">
        <f> 12.40 h × cant.  →  COP 1,095,282 × cant.</f>
        <v/>
      </c>
      <c r="N72" s="26" t="inlineStr"/>
    </row>
    <row r="73">
      <c r="A73" s="19" t="inlineStr">
        <is>
          <t>V1.2</t>
        </is>
      </c>
      <c r="B73" s="20" t="inlineStr">
        <is>
          <t>V.sual</t>
        </is>
      </c>
      <c r="C73" s="15" t="inlineStr">
        <is>
          <t>Ed. Exterior</t>
        </is>
      </c>
      <c r="D73" s="15" t="inlineStr">
        <is>
          <t>Pack ilimitado Imagen de edificios exteriores</t>
        </is>
      </c>
      <c r="E73" s="16" t="inlineStr">
        <is>
          <t>Pack</t>
        </is>
      </c>
      <c r="F73" s="22" t="n">
        <v>1</v>
      </c>
      <c r="G73" s="23" t="n">
        <v>10.5</v>
      </c>
      <c r="H73" s="24" t="n">
        <v>887809</v>
      </c>
      <c r="I73" s="15" t="inlineStr"/>
      <c r="J73" s="23" t="n">
        <v>10.5</v>
      </c>
      <c r="K73" s="24" t="n">
        <v>887809</v>
      </c>
      <c r="L73" s="15" t="inlineStr">
        <is>
          <t>× cantidad</t>
        </is>
      </c>
      <c r="M73" s="25">
        <f> 10.50 h × cant.  →  COP 887,809 × cant.</f>
        <v/>
      </c>
      <c r="N73" s="26" t="inlineStr"/>
    </row>
    <row r="74">
      <c r="A74" s="19" t="inlineStr">
        <is>
          <t>V1.3</t>
        </is>
      </c>
      <c r="B74" s="20" t="inlineStr">
        <is>
          <t>V.sual</t>
        </is>
      </c>
      <c r="C74" s="9" t="inlineStr">
        <is>
          <t>Ed. Interior</t>
        </is>
      </c>
      <c r="D74" s="9" t="inlineStr">
        <is>
          <t>Parck ilimitado de Imagen de interiores</t>
        </is>
      </c>
      <c r="E74" s="16" t="inlineStr">
        <is>
          <t>Pack</t>
        </is>
      </c>
      <c r="F74" s="22" t="n">
        <v>1</v>
      </c>
      <c r="G74" s="27" t="n">
        <v>14.5</v>
      </c>
      <c r="H74" s="28" t="n">
        <v>1277199</v>
      </c>
      <c r="I74" s="9" t="inlineStr"/>
      <c r="J74" s="27" t="n">
        <v>14.5</v>
      </c>
      <c r="K74" s="28" t="n">
        <v>1277199</v>
      </c>
      <c r="L74" s="9" t="inlineStr">
        <is>
          <t>× cantidad</t>
        </is>
      </c>
      <c r="M74" s="25">
        <f> 14.50 h × cant.  →  COP 1,277,199 × cant.</f>
        <v/>
      </c>
      <c r="N74" s="26" t="inlineStr"/>
    </row>
    <row r="75">
      <c r="A75" s="19" t="inlineStr">
        <is>
          <t>V2.1</t>
        </is>
      </c>
      <c r="B75" s="20" t="inlineStr">
        <is>
          <t>V.sual</t>
        </is>
      </c>
      <c r="C75" s="15" t="inlineStr">
        <is>
          <t>Todos</t>
        </is>
      </c>
      <c r="D75" s="15" t="inlineStr">
        <is>
          <t>2k Video comercial cinematrográfico 2:30 MIN</t>
        </is>
      </c>
      <c r="E75" s="16" t="inlineStr">
        <is>
          <t>Video</t>
        </is>
      </c>
      <c r="F75" s="22" t="n">
        <v>1</v>
      </c>
      <c r="G75" s="23" t="n">
        <v>29.5</v>
      </c>
      <c r="H75" s="24" t="n">
        <v>2584908</v>
      </c>
      <c r="I75" s="15" t="inlineStr"/>
      <c r="J75" s="23" t="n">
        <v>29.5</v>
      </c>
      <c r="K75" s="24" t="n">
        <v>2584908</v>
      </c>
      <c r="L75" s="15" t="inlineStr">
        <is>
          <t>× cantidad</t>
        </is>
      </c>
      <c r="M75" s="25">
        <f> 29.50 h × cant.  →  COP 2,584,908 × cant.</f>
        <v/>
      </c>
      <c r="N75" s="26" t="inlineStr"/>
    </row>
    <row r="76">
      <c r="A76" s="19" t="inlineStr">
        <is>
          <t>V2.2</t>
        </is>
      </c>
      <c r="B76" s="20" t="inlineStr">
        <is>
          <t>V.sual</t>
        </is>
      </c>
      <c r="C76" s="9" t="inlineStr">
        <is>
          <t>Todos</t>
        </is>
      </c>
      <c r="D76" s="9" t="inlineStr">
        <is>
          <t>Video Recorrido de entendimiento espacial</t>
        </is>
      </c>
      <c r="E76" s="16" t="inlineStr">
        <is>
          <t>Video</t>
        </is>
      </c>
      <c r="F76" s="22" t="n">
        <v>1</v>
      </c>
      <c r="G76" s="27" t="n">
        <v>4.5</v>
      </c>
      <c r="H76" s="28" t="n">
        <v>429966</v>
      </c>
      <c r="I76" s="9" t="inlineStr"/>
      <c r="J76" s="27" t="n">
        <v>4.5</v>
      </c>
      <c r="K76" s="28" t="n">
        <v>429966</v>
      </c>
      <c r="L76" s="9" t="inlineStr">
        <is>
          <t>× cantidad</t>
        </is>
      </c>
      <c r="M76" s="25">
        <f> 4.50 h × cant.  →  COP 429,966 × cant.</f>
        <v/>
      </c>
      <c r="N76" s="26" t="inlineStr"/>
    </row>
    <row r="77">
      <c r="A77" s="19" t="inlineStr">
        <is>
          <t>V2.3</t>
        </is>
      </c>
      <c r="B77" s="20" t="inlineStr">
        <is>
          <t>V.sual</t>
        </is>
      </c>
      <c r="C77" s="15" t="inlineStr">
        <is>
          <t>Todos</t>
        </is>
      </c>
      <c r="D77" s="15" t="inlineStr">
        <is>
          <t>720P Clip video comercial 40 seg cinematrográfico Versión Trailer</t>
        </is>
      </c>
      <c r="E77" s="16" t="inlineStr">
        <is>
          <t>Video</t>
        </is>
      </c>
      <c r="F77" s="22" t="n">
        <v>1</v>
      </c>
      <c r="G77" s="23" t="n">
        <v>2.2</v>
      </c>
      <c r="H77" s="24" t="n">
        <v>530315</v>
      </c>
      <c r="I77" s="15" t="inlineStr"/>
      <c r="J77" s="23" t="n">
        <v>2.2</v>
      </c>
      <c r="K77" s="24" t="n">
        <v>530315</v>
      </c>
      <c r="L77" s="15" t="inlineStr">
        <is>
          <t>× cantidad</t>
        </is>
      </c>
      <c r="M77" s="25">
        <f> 2.20 h × cant.  →  COP 530,315 × cant.</f>
        <v/>
      </c>
      <c r="N77" s="26" t="inlineStr"/>
    </row>
    <row r="78">
      <c r="A78" s="19" t="inlineStr">
        <is>
          <t>V2.4</t>
        </is>
      </c>
      <c r="B78" s="20" t="inlineStr">
        <is>
          <t>V.sual</t>
        </is>
      </c>
      <c r="C78" s="9" t="inlineStr">
        <is>
          <t>Todos</t>
        </is>
      </c>
      <c r="D78" s="9" t="inlineStr">
        <is>
          <t>720P Clip video emocional comercial 1.20 min cinematrográfico Versión Trailer</t>
        </is>
      </c>
      <c r="E78" s="16" t="inlineStr">
        <is>
          <t>Video</t>
        </is>
      </c>
      <c r="F78" s="22" t="n">
        <v>1</v>
      </c>
      <c r="G78" s="27" t="n">
        <v>9</v>
      </c>
      <c r="H78" s="28" t="n">
        <v>1005091</v>
      </c>
      <c r="I78" s="9" t="inlineStr"/>
      <c r="J78" s="27" t="n">
        <v>9</v>
      </c>
      <c r="K78" s="28" t="n">
        <v>1005091</v>
      </c>
      <c r="L78" s="9" t="inlineStr">
        <is>
          <t>× cantidad</t>
        </is>
      </c>
      <c r="M78" s="25">
        <f> 9.00 h × cant.  →  COP 1,005,091 × cant.</f>
        <v/>
      </c>
      <c r="N78" s="26" t="inlineStr"/>
    </row>
    <row r="79">
      <c r="A79" s="19" t="inlineStr">
        <is>
          <t>V2.5</t>
        </is>
      </c>
      <c r="B79" s="20" t="inlineStr">
        <is>
          <t>V.sual</t>
        </is>
      </c>
      <c r="C79" s="15" t="inlineStr">
        <is>
          <t>Todos</t>
        </is>
      </c>
      <c r="D79" s="15" t="inlineStr">
        <is>
          <t>Escalado de videos hasta 8K</t>
        </is>
      </c>
      <c r="E79" s="16" t="inlineStr">
        <is>
          <t>Video</t>
        </is>
      </c>
      <c r="F79" s="22" t="n">
        <v>1</v>
      </c>
      <c r="G79" s="23" t="n">
        <v>1</v>
      </c>
      <c r="H79" s="24" t="n">
        <v>246158</v>
      </c>
      <c r="I79" s="15" t="inlineStr"/>
      <c r="J79" s="23" t="n">
        <v>1</v>
      </c>
      <c r="K79" s="24" t="n">
        <v>246158</v>
      </c>
      <c r="L79" s="15" t="inlineStr">
        <is>
          <t>× cantidad</t>
        </is>
      </c>
      <c r="M79" s="25">
        <f> 1.00 h × cant.  →  COP 246,158 × cant.</f>
        <v/>
      </c>
      <c r="N79" s="26" t="inlineStr"/>
    </row>
    <row r="80">
      <c r="A80" s="19" t="inlineStr">
        <is>
          <t>V3.1</t>
        </is>
      </c>
      <c r="B80" s="20" t="inlineStr">
        <is>
          <t>V.sual</t>
        </is>
      </c>
      <c r="C80" s="9" t="inlineStr">
        <is>
          <t>Todos</t>
        </is>
      </c>
      <c r="D80" s="9" t="inlineStr">
        <is>
          <t>Recorridos 360 4 imágenes</t>
        </is>
      </c>
      <c r="E80" s="16" t="inlineStr">
        <is>
          <t>Pack</t>
        </is>
      </c>
      <c r="F80" s="22" t="n">
        <v>1</v>
      </c>
      <c r="G80" s="27" t="n">
        <v>7</v>
      </c>
      <c r="H80" s="28" t="n">
        <v>752316</v>
      </c>
      <c r="I80" s="9" t="inlineStr"/>
      <c r="J80" s="27" t="n">
        <v>7</v>
      </c>
      <c r="K80" s="28" t="n">
        <v>752316</v>
      </c>
      <c r="L80" s="9" t="inlineStr">
        <is>
          <t>× cantidad</t>
        </is>
      </c>
      <c r="M80" s="25">
        <f> 7.00 h × cant.  →  COP 752,316 × cant.</f>
        <v/>
      </c>
      <c r="N80" s="26" t="inlineStr"/>
    </row>
    <row r="81">
      <c r="A81" s="19" t="inlineStr">
        <is>
          <t>V3.2</t>
        </is>
      </c>
      <c r="B81" s="20" t="inlineStr">
        <is>
          <t>V.sual</t>
        </is>
      </c>
      <c r="C81" s="15" t="inlineStr">
        <is>
          <t>Todos</t>
        </is>
      </c>
      <c r="D81" s="15" t="inlineStr">
        <is>
          <t>Recorrido en tiempo real para eventos o lanzamientos</t>
        </is>
      </c>
      <c r="E81" s="16" t="inlineStr">
        <is>
          <t>Evento</t>
        </is>
      </c>
      <c r="F81" s="22" t="n">
        <v>1</v>
      </c>
      <c r="G81" s="23" t="n">
        <v>4.5</v>
      </c>
      <c r="H81" s="24" t="n">
        <v>414339</v>
      </c>
      <c r="I81" s="15" t="inlineStr"/>
      <c r="J81" s="23" t="n">
        <v>4.5</v>
      </c>
      <c r="K81" s="24" t="n">
        <v>414339</v>
      </c>
      <c r="L81" s="15" t="inlineStr">
        <is>
          <t>× cantidad</t>
        </is>
      </c>
      <c r="M81" s="25">
        <f> 4.50 h × cant.  →  COP 414,339 × cant.</f>
        <v/>
      </c>
      <c r="N81" s="26" t="inlineStr"/>
    </row>
    <row r="82">
      <c r="A82" s="19" t="inlineStr">
        <is>
          <t>V4.1</t>
        </is>
      </c>
      <c r="B82" s="20" t="inlineStr">
        <is>
          <t>V.sual</t>
        </is>
      </c>
      <c r="C82" s="9" t="inlineStr">
        <is>
          <t>Ed. Exterior</t>
        </is>
      </c>
      <c r="D82" s="9" t="inlineStr">
        <is>
          <t>Planimetría comercial/ambientada para edificios</t>
        </is>
      </c>
      <c r="E82" s="16" t="inlineStr">
        <is>
          <t>Proyecto</t>
        </is>
      </c>
      <c r="F82" s="22" t="n">
        <v>1</v>
      </c>
      <c r="G82" s="27" t="n">
        <v>9.5</v>
      </c>
      <c r="H82" s="28" t="n">
        <v>828721</v>
      </c>
      <c r="I82" s="9" t="inlineStr"/>
      <c r="J82" s="27" t="n">
        <v>9.5</v>
      </c>
      <c r="K82" s="28" t="n">
        <v>828721</v>
      </c>
      <c r="L82" s="9" t="inlineStr">
        <is>
          <t>× cantidad</t>
        </is>
      </c>
      <c r="M82" s="25">
        <f> 9.50 h × cant.  →  COP 828,721 × cant.</f>
        <v/>
      </c>
      <c r="N82" s="26" t="inlineStr"/>
    </row>
    <row r="83">
      <c r="A83" s="19" t="inlineStr">
        <is>
          <t>V4.2</t>
        </is>
      </c>
      <c r="B83" s="20" t="inlineStr">
        <is>
          <t>V.sual</t>
        </is>
      </c>
      <c r="C83" s="15" t="inlineStr">
        <is>
          <t>Urb</t>
        </is>
      </c>
      <c r="D83" s="15" t="inlineStr">
        <is>
          <t>Planimetría comercial para Urbanismos y parcelaciones</t>
        </is>
      </c>
      <c r="E83" s="16" t="inlineStr">
        <is>
          <t>Proyecto</t>
        </is>
      </c>
      <c r="F83" s="22" t="n">
        <v>1</v>
      </c>
      <c r="G83" s="23" t="n">
        <v>11</v>
      </c>
      <c r="H83" s="24" t="n">
        <v>1085407</v>
      </c>
      <c r="I83" s="15" t="inlineStr"/>
      <c r="J83" s="23" t="n">
        <v>11</v>
      </c>
      <c r="K83" s="24" t="n">
        <v>1085407</v>
      </c>
      <c r="L83" s="15" t="inlineStr">
        <is>
          <t>× cantidad</t>
        </is>
      </c>
      <c r="M83" s="25">
        <f> 11.00 h × cant.  →  COP 1,085,407 × cant.</f>
        <v/>
      </c>
      <c r="N83" s="26" t="inlineStr"/>
    </row>
    <row r="84">
      <c r="A84" s="19" t="inlineStr">
        <is>
          <t>V5.1</t>
        </is>
      </c>
      <c r="B84" s="20" t="inlineStr">
        <is>
          <t>V.sual</t>
        </is>
      </c>
      <c r="C84" s="9" t="inlineStr">
        <is>
          <t>Todos</t>
        </is>
      </c>
      <c r="D84" s="9" t="inlineStr">
        <is>
          <t>Experiencia web inmobiliaria</t>
        </is>
      </c>
      <c r="E84" s="16" t="inlineStr">
        <is>
          <t>Proyecto</t>
        </is>
      </c>
      <c r="F84" s="22" t="n">
        <v>1</v>
      </c>
      <c r="G84" s="27" t="n">
        <v>113</v>
      </c>
      <c r="H84" s="28" t="n">
        <v>6568665</v>
      </c>
      <c r="I84" s="9" t="inlineStr"/>
      <c r="J84" s="27" t="n">
        <v>113</v>
      </c>
      <c r="K84" s="28" t="n">
        <v>6568665</v>
      </c>
      <c r="L84" s="9" t="inlineStr">
        <is>
          <t>× cantidad</t>
        </is>
      </c>
      <c r="M84" s="25">
        <f> 113.00 h × cant.  →  COP 6,568,665 × cant.</f>
        <v/>
      </c>
      <c r="N84" s="26" t="inlineStr"/>
    </row>
    <row r="85">
      <c r="A85" s="19" t="inlineStr">
        <is>
          <t>V5.2</t>
        </is>
      </c>
      <c r="B85" s="20" t="inlineStr">
        <is>
          <t>V.sual</t>
        </is>
      </c>
      <c r="C85" s="15" t="inlineStr">
        <is>
          <t>Todos</t>
        </is>
      </c>
      <c r="D85" s="15" t="inlineStr">
        <is>
          <t>Brochure con material comercial virtual y para impresión</t>
        </is>
      </c>
      <c r="E85" s="16" t="inlineStr">
        <is>
          <t>Pack</t>
        </is>
      </c>
      <c r="F85" s="22" t="n">
        <v>1</v>
      </c>
      <c r="G85" s="23" t="n">
        <v>2</v>
      </c>
      <c r="H85" s="24" t="n">
        <v>108431</v>
      </c>
      <c r="I85" s="15" t="inlineStr"/>
      <c r="J85" s="23" t="n">
        <v>2</v>
      </c>
      <c r="K85" s="24" t="n">
        <v>108431</v>
      </c>
      <c r="L85" s="15" t="inlineStr">
        <is>
          <t>× cantidad</t>
        </is>
      </c>
      <c r="M85" s="25">
        <f> 2.00 h × cant.  →  COP 108,431 × cant.</f>
        <v/>
      </c>
      <c r="N85" s="26" t="inlineStr"/>
    </row>
    <row r="86">
      <c r="A86" s="19" t="inlineStr">
        <is>
          <t>V5.3</t>
        </is>
      </c>
      <c r="B86" s="20" t="inlineStr">
        <is>
          <t>V.sual</t>
        </is>
      </c>
      <c r="C86" s="9" t="inlineStr">
        <is>
          <t>Todos</t>
        </is>
      </c>
      <c r="D86" s="9" t="inlineStr">
        <is>
          <t>Experiencia web Lite alianza con web3D hasta 100 UND</t>
        </is>
      </c>
      <c r="E86" s="16" t="inlineStr">
        <is>
          <t>Proyecto</t>
        </is>
      </c>
      <c r="F86" s="22" t="n">
        <v>1</v>
      </c>
      <c r="G86" s="27" t="n">
        <v>49</v>
      </c>
      <c r="H86" s="28" t="n">
        <v>4054743</v>
      </c>
      <c r="I86" s="9" t="inlineStr"/>
      <c r="J86" s="27" t="n">
        <v>49</v>
      </c>
      <c r="K86" s="28" t="n">
        <v>4054743</v>
      </c>
      <c r="L86" s="9" t="inlineStr">
        <is>
          <t>× cantidad</t>
        </is>
      </c>
      <c r="M86" s="25">
        <f> 49.00 h × cant.  →  COP 4,054,743 × cant.</f>
        <v/>
      </c>
      <c r="N86" s="26" t="inlineStr"/>
    </row>
    <row r="87">
      <c r="A87" s="19" t="inlineStr">
        <is>
          <t>V5.4</t>
        </is>
      </c>
      <c r="B87" s="20" t="inlineStr">
        <is>
          <t>V.sual</t>
        </is>
      </c>
      <c r="C87" s="15" t="inlineStr">
        <is>
          <t>Todos</t>
        </is>
      </c>
      <c r="D87" s="15" t="inlineStr">
        <is>
          <t>Experiencia Web Landing Lanzamiento</t>
        </is>
      </c>
      <c r="E87" s="16" t="inlineStr">
        <is>
          <t>Landing</t>
        </is>
      </c>
      <c r="F87" s="22" t="n">
        <v>1</v>
      </c>
      <c r="G87" s="23" t="n">
        <v>13.5</v>
      </c>
      <c r="H87" s="24" t="n">
        <v>3148101</v>
      </c>
      <c r="I87" s="15" t="inlineStr"/>
      <c r="J87" s="23" t="n">
        <v>13.5</v>
      </c>
      <c r="K87" s="24" t="n">
        <v>3148101</v>
      </c>
      <c r="L87" s="15" t="inlineStr">
        <is>
          <t>× cantidad</t>
        </is>
      </c>
      <c r="M87" s="25">
        <f> 13.50 h × cant.  →  COP 3,148,101 × cant.</f>
        <v/>
      </c>
      <c r="N87" s="26" t="inlineStr"/>
    </row>
    <row r="88">
      <c r="A88" s="19" t="inlineStr">
        <is>
          <t>V5.5</t>
        </is>
      </c>
      <c r="B88" s="20" t="inlineStr">
        <is>
          <t>V.sual</t>
        </is>
      </c>
      <c r="C88" s="9" t="inlineStr">
        <is>
          <t>Todos</t>
        </is>
      </c>
      <c r="D88" s="9" t="inlineStr">
        <is>
          <t>Fichas de lote onWeb</t>
        </is>
      </c>
      <c r="E88" s="16" t="inlineStr">
        <is>
          <t>Pack</t>
        </is>
      </c>
      <c r="F88" s="22" t="n">
        <v>1</v>
      </c>
      <c r="G88" s="27" t="n">
        <v>7.5</v>
      </c>
      <c r="H88" s="28" t="n">
        <v>1780827</v>
      </c>
      <c r="I88" s="9" t="inlineStr"/>
      <c r="J88" s="27" t="n">
        <v>7.5</v>
      </c>
      <c r="K88" s="28" t="n">
        <v>1780827</v>
      </c>
      <c r="L88" s="9" t="inlineStr">
        <is>
          <t>× cantidad</t>
        </is>
      </c>
      <c r="M88" s="25">
        <f> 7.50 h × cant.  →  COP 1,780,827 × cant.</f>
        <v/>
      </c>
      <c r="N88" s="26" t="inlineStr"/>
    </row>
    <row r="90" ht="22" customHeight="1">
      <c r="A90" s="32" t="inlineStr">
        <is>
          <t xml:space="preserve">  RESUMEN: 84 servicios totales  |  62 D.sign  |  22 V.sual  |  Servicios con factor≠1 = 37</t>
        </is>
      </c>
    </row>
  </sheetData>
  <mergeCells count="8">
    <mergeCell ref="N3"/>
    <mergeCell ref="A3:D3"/>
    <mergeCell ref="A2:N2"/>
    <mergeCell ref="J3:M3"/>
    <mergeCell ref="A90:N90"/>
    <mergeCell ref="G3:I3"/>
    <mergeCell ref="E3:F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2026-04-11T17:24:23Z</dcterms:created>
  <dcterms:modified xmlns:dcterms="http://purl.org/dc/terms/" xmlns:xsi="http://www.w3.org/2001/XMLSchema-instance" xsi:type="dcterms:W3CDTF">2026-04-11T17:24:24Z</dcterms:modified>
</cp:coreProperties>
</file>