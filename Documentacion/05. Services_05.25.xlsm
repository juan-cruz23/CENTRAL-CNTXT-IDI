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slicers/slicer4.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581d5ad9b81ef569/Escritorio/"/>
    </mc:Choice>
  </mc:AlternateContent>
  <xr:revisionPtr revIDLastSave="0" documentId="8_{5F530B8E-40AD-443A-B637-3A892F3426B7}" xr6:coauthVersionLast="47" xr6:coauthVersionMax="47" xr10:uidLastSave="{00000000-0000-0000-0000-000000000000}"/>
  <bookViews>
    <workbookView xWindow="-4805" yWindow="-9705" windowWidth="15375" windowHeight="7785" tabRatio="741" firstSheet="4" activeTab="1" xr2:uid="{00000000-000D-0000-FFFF-FFFF00000000}"/>
  </bookViews>
  <sheets>
    <sheet name="Dolores o Deseos" sheetId="13" r:id="rId1"/>
    <sheet name="V.sual DATA" sheetId="3" r:id="rId2"/>
    <sheet name="Detalle1" sheetId="17" r:id="rId3"/>
    <sheet name="Acciones por Servicio" sheetId="16" r:id="rId4"/>
    <sheet name="D.sign DATA" sheetId="6" r:id="rId5"/>
    <sheet name="Buscador de dolor" sheetId="15" r:id="rId6"/>
    <sheet name="Listas" sheetId="4" r:id="rId7"/>
    <sheet name="Servicios" sheetId="12" r:id="rId8"/>
  </sheets>
  <definedNames>
    <definedName name="_xlnm._FilterDatabase" localSheetId="4" hidden="1">'D.sign DATA'!$D$4:$AF$1377</definedName>
    <definedName name="_xlnm._FilterDatabase" localSheetId="1" hidden="1">'V.sual DATA'!$C$3:$AF$145</definedName>
    <definedName name="_xlcn.WorksheetConnection_01.Services_D.V._25.09.23.xlsmDesign_Data1" hidden="1">D.sign_Data[]</definedName>
    <definedName name="_xlcn.WorksheetConnection_01.Services_D.V._25.09.23.xlsmVisual_Data1" hidden="1">V.sual_Data[]</definedName>
    <definedName name="_xlcn.WorksheetConnection_01.Services_Enero.xlsmV.sual_Descripciones1" hidden="1">Descripciones[]</definedName>
    <definedName name="_xleta.LOOKUP" hidden="1" xlm="1">#NAME?</definedName>
    <definedName name="SegmentaciónDeDatos_Actividades_Claves">#REF!</definedName>
    <definedName name="SegmentaciónDeDatos_CATEGORÍA1">#N/A</definedName>
    <definedName name="SegmentaciónDeDatos_CÓDIGO">#N/A</definedName>
    <definedName name="SegmentaciónDeDatos_CÓDIGO1">#N/A</definedName>
    <definedName name="SegmentaciónDeDatos_FASE_DE_DESARROLLO">#N/A</definedName>
    <definedName name="SegmentaciónDeDatos_FASES">#N/A</definedName>
    <definedName name="SegmentaciónDeDatos_LÍNEA">#N/A</definedName>
    <definedName name="SegmentaciónDeDatos_MOTOR1">#N/A</definedName>
    <definedName name="SegmentaciónDeDatos_NECESIDAD_O_DESEO">#N/A</definedName>
    <definedName name="SegmentaciónDeDatos_Producto_o_Servicio">#REF!</definedName>
    <definedName name="SegmentaciónDeDatos_RESPONSABLE">#N/A</definedName>
    <definedName name="SegmentaciónDeDatos_SUB_CATEGORÍA1">#N/A</definedName>
    <definedName name="SegmentaciónDeDatos_TIPO_DE_CLIENTE">#N/A</definedName>
    <definedName name="SegmentaciónDeDatos_TIPO_DE_SERVICIO">#N/A</definedName>
  </definedNames>
  <calcPr calcId="191028"/>
  <pivotCaches>
    <pivotCache cacheId="0" r:id="rId9"/>
    <pivotCache cacheId="1" r:id="rId10"/>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V sual_Descripciones" name="V sual_Descripciones" connection="WorksheetConnection_01. Services_Enero.xlsm!V.sual_Descripciones"/>
          <x15:modelTable id="Visual_Data" name="Visual_Data" connection="WorksheetConnection_01. Services_D.V._25.09.23.xlsm!Visual_Data"/>
          <x15:modelTable id="Design_Data" name="Design_Data" connection="WorksheetConnection_01. Services_D.V._25.09.23.xlsm!Design_Data"/>
        </x15:modelTables>
        <x15:modelRelationships>
          <x15:modelRelationship fromTable="Design_Data" fromColumn="CÓDIGO" toTable="V sual_Descripciones" toColumn="CÓDIGO"/>
          <x15:modelRelationship fromTable="Visual_Data" fromColumn="CÓDIGO" toTable="V sual_Descripciones" toColumn="CÓDIGO"/>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40" i="6" l="1"/>
  <c r="P340" i="6"/>
  <c r="Q340" i="6"/>
  <c r="R340" i="6"/>
  <c r="U340" i="6"/>
  <c r="V340" i="6"/>
  <c r="W340" i="6"/>
  <c r="Y340" i="6"/>
  <c r="AA340" i="6"/>
  <c r="AB340" i="6"/>
  <c r="AD340" i="6"/>
  <c r="AE340" i="6"/>
  <c r="AF340" i="6"/>
  <c r="AG340" i="6"/>
  <c r="Y146" i="3"/>
  <c r="W146" i="3"/>
  <c r="M146" i="3"/>
  <c r="D3" i="12"/>
  <c r="P59" i="3"/>
  <c r="U59" i="3"/>
  <c r="K5" i="16"/>
  <c r="M5" i="16"/>
  <c r="L5" i="16"/>
  <c r="I6" i="16"/>
  <c r="I7" i="16"/>
  <c r="I8" i="16"/>
  <c r="I9" i="16"/>
  <c r="I5" i="16"/>
  <c r="Q5" i="16"/>
  <c r="R5" i="16"/>
  <c r="L6" i="16"/>
  <c r="L7" i="16"/>
  <c r="L8" i="16"/>
  <c r="L9" i="16"/>
  <c r="K6" i="16"/>
  <c r="M6" i="16" s="1"/>
  <c r="K7" i="16"/>
  <c r="M7" i="16" s="1"/>
  <c r="K8" i="16"/>
  <c r="M8" i="16" s="1"/>
  <c r="K9" i="16"/>
  <c r="M9" i="16" s="1"/>
  <c r="Q6" i="16"/>
  <c r="R6" i="16" s="1"/>
  <c r="F6" i="16"/>
  <c r="F7" i="16"/>
  <c r="F8" i="16"/>
  <c r="F9" i="16"/>
  <c r="F10" i="16"/>
  <c r="F11" i="16"/>
  <c r="F12" i="16"/>
  <c r="F13" i="16"/>
  <c r="F14" i="16"/>
  <c r="F15" i="16"/>
  <c r="F16" i="16"/>
  <c r="F17" i="16"/>
  <c r="F18" i="16"/>
  <c r="F19" i="16"/>
  <c r="F20" i="16"/>
  <c r="F21" i="16"/>
  <c r="F22" i="16"/>
  <c r="F23" i="16"/>
  <c r="F5" i="16"/>
  <c r="F4" i="16"/>
  <c r="D26" i="12"/>
  <c r="F26" i="12"/>
  <c r="D27" i="12"/>
  <c r="F27" i="12"/>
  <c r="D25" i="12"/>
  <c r="F25" i="12"/>
  <c r="D24" i="12"/>
  <c r="F24" i="12"/>
  <c r="D23" i="12"/>
  <c r="F23" i="12"/>
  <c r="F21" i="12"/>
  <c r="U88" i="3"/>
  <c r="P88" i="3"/>
  <c r="U87" i="3"/>
  <c r="P87" i="3"/>
  <c r="N87" i="3"/>
  <c r="O87" i="3" s="1"/>
  <c r="U86" i="3"/>
  <c r="P86" i="3"/>
  <c r="N86" i="3"/>
  <c r="O86" i="3" s="1"/>
  <c r="U85" i="3"/>
  <c r="P85" i="3"/>
  <c r="N85" i="3"/>
  <c r="O85" i="3" s="1"/>
  <c r="U84" i="3"/>
  <c r="P84" i="3"/>
  <c r="N84" i="3"/>
  <c r="O84" i="3" s="1"/>
  <c r="N88" i="3"/>
  <c r="O88" i="3" s="1"/>
  <c r="N1377" i="6"/>
  <c r="O1376" i="6"/>
  <c r="P1376" i="6" s="1"/>
  <c r="Q1376" i="6"/>
  <c r="R1376" i="6"/>
  <c r="V1376" i="6"/>
  <c r="U83" i="3"/>
  <c r="P83" i="3"/>
  <c r="N83" i="3"/>
  <c r="O83" i="3" s="1"/>
  <c r="U82" i="3"/>
  <c r="P82" i="3"/>
  <c r="N82" i="3"/>
  <c r="O82" i="3" s="1"/>
  <c r="U81" i="3"/>
  <c r="P81" i="3"/>
  <c r="N81" i="3"/>
  <c r="O81" i="3" s="1"/>
  <c r="U80" i="3"/>
  <c r="P80" i="3"/>
  <c r="N80" i="3"/>
  <c r="O80" i="3" s="1"/>
  <c r="N58" i="3"/>
  <c r="O58" i="3" s="1"/>
  <c r="P58" i="3"/>
  <c r="U58" i="3"/>
  <c r="N57" i="3"/>
  <c r="O57" i="3" s="1"/>
  <c r="P57" i="3"/>
  <c r="U57" i="3"/>
  <c r="N55" i="3"/>
  <c r="O55" i="3" s="1"/>
  <c r="P55" i="3"/>
  <c r="U55" i="3"/>
  <c r="N54" i="3"/>
  <c r="O54" i="3" s="1"/>
  <c r="P54" i="3"/>
  <c r="U54" i="3"/>
  <c r="N53" i="3"/>
  <c r="O53" i="3" s="1"/>
  <c r="P53" i="3"/>
  <c r="U53" i="3"/>
  <c r="N56" i="3"/>
  <c r="O56" i="3" s="1"/>
  <c r="P56" i="3"/>
  <c r="U56" i="3"/>
  <c r="N52" i="3"/>
  <c r="O52" i="3" s="1"/>
  <c r="P52" i="3"/>
  <c r="T52" i="3"/>
  <c r="U52" i="3"/>
  <c r="V52" i="3"/>
  <c r="X52" i="3"/>
  <c r="Z52" i="3"/>
  <c r="AA52" i="3"/>
  <c r="AC52" i="3"/>
  <c r="AD52" i="3"/>
  <c r="AE52" i="3"/>
  <c r="AF52" i="3"/>
  <c r="N51" i="3"/>
  <c r="O51" i="3" s="1"/>
  <c r="P51" i="3"/>
  <c r="U51" i="3"/>
  <c r="N13" i="3"/>
  <c r="Q1126" i="6"/>
  <c r="V1126" i="6"/>
  <c r="Q73" i="6"/>
  <c r="V73" i="6"/>
  <c r="Q75" i="6"/>
  <c r="V75" i="6"/>
  <c r="Q76" i="6"/>
  <c r="V76" i="6"/>
  <c r="Q74" i="6"/>
  <c r="V74" i="6"/>
  <c r="Q72" i="6"/>
  <c r="V72" i="6"/>
  <c r="Q71" i="6"/>
  <c r="V71" i="6"/>
  <c r="Q70" i="6"/>
  <c r="V70" i="6"/>
  <c r="Q77" i="6"/>
  <c r="V77" i="6"/>
  <c r="Q69" i="6"/>
  <c r="V69" i="6"/>
  <c r="Q68" i="6"/>
  <c r="V68" i="6"/>
  <c r="Q67" i="6"/>
  <c r="V67" i="6"/>
  <c r="Q82" i="6"/>
  <c r="V82" i="6"/>
  <c r="Q83" i="6"/>
  <c r="V83" i="6"/>
  <c r="Q81" i="6"/>
  <c r="V81" i="6"/>
  <c r="Q80" i="6"/>
  <c r="V80" i="6"/>
  <c r="Q84" i="6"/>
  <c r="V84" i="6"/>
  <c r="Q79" i="6"/>
  <c r="V79" i="6"/>
  <c r="Q85" i="6"/>
  <c r="V85" i="6"/>
  <c r="Q86" i="6"/>
  <c r="V86" i="6"/>
  <c r="Q88" i="6"/>
  <c r="V88" i="6"/>
  <c r="Q87" i="6"/>
  <c r="V87" i="6"/>
  <c r="Q78" i="6"/>
  <c r="V78" i="6"/>
  <c r="Q66" i="6"/>
  <c r="V66" i="6"/>
  <c r="Q65" i="6"/>
  <c r="V65" i="6"/>
  <c r="F53" i="12"/>
  <c r="Q529" i="6"/>
  <c r="V529" i="6"/>
  <c r="Q528" i="6"/>
  <c r="V528" i="6"/>
  <c r="Q527" i="6"/>
  <c r="V527" i="6"/>
  <c r="Q526" i="6"/>
  <c r="V526" i="6"/>
  <c r="Q533" i="6"/>
  <c r="V533" i="6"/>
  <c r="Q532" i="6"/>
  <c r="V532" i="6"/>
  <c r="Q531" i="6"/>
  <c r="V531" i="6"/>
  <c r="Q535" i="6"/>
  <c r="V535" i="6"/>
  <c r="Q534" i="6"/>
  <c r="V534" i="6"/>
  <c r="Q530" i="6"/>
  <c r="V530" i="6"/>
  <c r="Q525" i="6"/>
  <c r="V525" i="6"/>
  <c r="Q524" i="6"/>
  <c r="V524" i="6"/>
  <c r="Q523" i="6"/>
  <c r="V523" i="6"/>
  <c r="Q522" i="6"/>
  <c r="V522" i="6"/>
  <c r="Q521" i="6"/>
  <c r="V521" i="6"/>
  <c r="Q520" i="6"/>
  <c r="V520" i="6"/>
  <c r="F52" i="12"/>
  <c r="U145" i="3"/>
  <c r="U144" i="3"/>
  <c r="U143" i="3"/>
  <c r="U142" i="3"/>
  <c r="U141" i="3"/>
  <c r="P145" i="3"/>
  <c r="P144" i="3"/>
  <c r="P143" i="3"/>
  <c r="P142" i="3"/>
  <c r="P141" i="3"/>
  <c r="N145" i="3"/>
  <c r="O145" i="3" s="1"/>
  <c r="N144" i="3"/>
  <c r="O144" i="3" s="1"/>
  <c r="N143" i="3"/>
  <c r="O143" i="3" s="1"/>
  <c r="N142" i="3"/>
  <c r="O142" i="3" s="1"/>
  <c r="N141" i="3"/>
  <c r="O141" i="3" s="1"/>
  <c r="P136" i="3"/>
  <c r="P139" i="3"/>
  <c r="N140" i="3"/>
  <c r="O140" i="3" s="1"/>
  <c r="P140" i="3"/>
  <c r="U140" i="3"/>
  <c r="U139" i="3"/>
  <c r="P137" i="3"/>
  <c r="P138" i="3"/>
  <c r="U137" i="3"/>
  <c r="U138" i="3"/>
  <c r="U136" i="3"/>
  <c r="N135" i="3"/>
  <c r="O135" i="3" s="1"/>
  <c r="P135" i="3"/>
  <c r="T135" i="3" s="1"/>
  <c r="U135" i="3"/>
  <c r="V135" i="3"/>
  <c r="X135" i="3"/>
  <c r="Z135" i="3"/>
  <c r="AA135" i="3"/>
  <c r="AC135" i="3"/>
  <c r="AD135" i="3"/>
  <c r="AE135" i="3"/>
  <c r="AF135" i="3"/>
  <c r="N134" i="3"/>
  <c r="O134" i="3" s="1"/>
  <c r="P134" i="3"/>
  <c r="U134" i="3"/>
  <c r="N132" i="3"/>
  <c r="O132" i="3" s="1"/>
  <c r="N133" i="3"/>
  <c r="O133" i="3" s="1"/>
  <c r="P132" i="3"/>
  <c r="P133" i="3"/>
  <c r="U132" i="3"/>
  <c r="U133" i="3"/>
  <c r="N131" i="3"/>
  <c r="O131" i="3" s="1"/>
  <c r="P131" i="3"/>
  <c r="U131" i="3"/>
  <c r="F16" i="12"/>
  <c r="F89" i="12"/>
  <c r="Q900" i="6"/>
  <c r="V900" i="6"/>
  <c r="Q901" i="6"/>
  <c r="V901" i="6"/>
  <c r="Q902" i="6"/>
  <c r="V902" i="6"/>
  <c r="Q903" i="6"/>
  <c r="V903" i="6"/>
  <c r="Q904" i="6"/>
  <c r="V904" i="6"/>
  <c r="Q905" i="6"/>
  <c r="V905" i="6"/>
  <c r="Q906" i="6"/>
  <c r="V906" i="6"/>
  <c r="Q907" i="6"/>
  <c r="V907" i="6"/>
  <c r="Q908" i="6"/>
  <c r="V908" i="6"/>
  <c r="Q909" i="6"/>
  <c r="V909" i="6"/>
  <c r="Q910" i="6"/>
  <c r="V910" i="6"/>
  <c r="Q911" i="6"/>
  <c r="V911" i="6"/>
  <c r="Q912" i="6"/>
  <c r="V912" i="6"/>
  <c r="Q913" i="6"/>
  <c r="V913" i="6"/>
  <c r="Q914" i="6"/>
  <c r="V914" i="6"/>
  <c r="Q915" i="6"/>
  <c r="V915" i="6"/>
  <c r="Q916" i="6"/>
  <c r="V916" i="6"/>
  <c r="Q917" i="6"/>
  <c r="V917" i="6"/>
  <c r="Q918" i="6"/>
  <c r="V918" i="6"/>
  <c r="Q919" i="6"/>
  <c r="V919" i="6"/>
  <c r="Q920" i="6"/>
  <c r="V920" i="6"/>
  <c r="Q921" i="6"/>
  <c r="V921" i="6"/>
  <c r="Q922" i="6"/>
  <c r="V922" i="6"/>
  <c r="Q923" i="6"/>
  <c r="V923" i="6"/>
  <c r="Q924" i="6"/>
  <c r="V924" i="6"/>
  <c r="Q925" i="6"/>
  <c r="V925" i="6"/>
  <c r="Q926" i="6"/>
  <c r="V926" i="6"/>
  <c r="Q927" i="6"/>
  <c r="V927" i="6"/>
  <c r="Q928" i="6"/>
  <c r="V928" i="6"/>
  <c r="Q929" i="6"/>
  <c r="V929" i="6"/>
  <c r="Q930" i="6"/>
  <c r="V930" i="6"/>
  <c r="Q931" i="6"/>
  <c r="V931" i="6"/>
  <c r="Q932" i="6"/>
  <c r="V932" i="6"/>
  <c r="Q933" i="6"/>
  <c r="V933" i="6"/>
  <c r="Q934" i="6"/>
  <c r="V934" i="6"/>
  <c r="Q935" i="6"/>
  <c r="V935" i="6"/>
  <c r="Q937" i="6"/>
  <c r="V937" i="6"/>
  <c r="Q936" i="6"/>
  <c r="V936" i="6"/>
  <c r="Q899" i="6"/>
  <c r="V899" i="6"/>
  <c r="Q898" i="6"/>
  <c r="V898" i="6"/>
  <c r="Q845" i="6"/>
  <c r="V845" i="6"/>
  <c r="F87" i="12"/>
  <c r="Q827" i="6"/>
  <c r="V827" i="6"/>
  <c r="Q828" i="6"/>
  <c r="V828" i="6"/>
  <c r="Q829" i="6"/>
  <c r="V829" i="6"/>
  <c r="Q830" i="6"/>
  <c r="V830" i="6"/>
  <c r="Q831" i="6"/>
  <c r="V831" i="6"/>
  <c r="Q832" i="6"/>
  <c r="V832" i="6"/>
  <c r="Q833" i="6"/>
  <c r="V833" i="6"/>
  <c r="Q834" i="6"/>
  <c r="V834" i="6"/>
  <c r="Q836" i="6"/>
  <c r="V836" i="6"/>
  <c r="Q838" i="6"/>
  <c r="V838" i="6"/>
  <c r="Q839" i="6"/>
  <c r="V839" i="6"/>
  <c r="Q837" i="6"/>
  <c r="V837" i="6"/>
  <c r="Q840" i="6"/>
  <c r="V840" i="6"/>
  <c r="Q841" i="6"/>
  <c r="V841" i="6"/>
  <c r="Q842" i="6"/>
  <c r="V842" i="6"/>
  <c r="Q843" i="6"/>
  <c r="V843" i="6"/>
  <c r="Q844" i="6"/>
  <c r="V844" i="6"/>
  <c r="Q849" i="6"/>
  <c r="V849" i="6"/>
  <c r="Q850" i="6"/>
  <c r="V850" i="6"/>
  <c r="Q848" i="6"/>
  <c r="V848" i="6"/>
  <c r="Q847" i="6"/>
  <c r="V847" i="6"/>
  <c r="Q846" i="6"/>
  <c r="V846" i="6"/>
  <c r="Q835" i="6"/>
  <c r="V835" i="6"/>
  <c r="Q826" i="6"/>
  <c r="V826" i="6"/>
  <c r="Q825" i="6"/>
  <c r="V825" i="6"/>
  <c r="Q824" i="6"/>
  <c r="V824" i="6"/>
  <c r="Q823" i="6"/>
  <c r="V823" i="6"/>
  <c r="V793" i="6"/>
  <c r="Q1227" i="6"/>
  <c r="V1227" i="6"/>
  <c r="Q1238" i="6"/>
  <c r="V1238" i="6"/>
  <c r="Q1237" i="6"/>
  <c r="V1237" i="6"/>
  <c r="Q1236" i="6"/>
  <c r="V1236" i="6"/>
  <c r="Q1235" i="6"/>
  <c r="V1235" i="6"/>
  <c r="Q1234" i="6"/>
  <c r="V1234" i="6"/>
  <c r="Q1233" i="6"/>
  <c r="V1233" i="6"/>
  <c r="Q1232" i="6"/>
  <c r="V1232" i="6"/>
  <c r="Q1231" i="6"/>
  <c r="V1231" i="6"/>
  <c r="Q1230" i="6"/>
  <c r="V1230" i="6"/>
  <c r="Q1229" i="6"/>
  <c r="V1229" i="6"/>
  <c r="Q1228" i="6"/>
  <c r="V1228" i="6"/>
  <c r="Q1226" i="6"/>
  <c r="V1226" i="6"/>
  <c r="Q1224" i="6"/>
  <c r="V1224" i="6"/>
  <c r="Q1223" i="6"/>
  <c r="V1223" i="6"/>
  <c r="Q1220" i="6"/>
  <c r="V1220" i="6"/>
  <c r="Q1215" i="6"/>
  <c r="V1215" i="6"/>
  <c r="Q1214" i="6"/>
  <c r="V1214" i="6"/>
  <c r="F86" i="12"/>
  <c r="Q1225" i="6"/>
  <c r="V1225" i="6"/>
  <c r="Q1222" i="6"/>
  <c r="V1222" i="6"/>
  <c r="Q1221" i="6"/>
  <c r="V1221" i="6"/>
  <c r="Q1219" i="6"/>
  <c r="V1219" i="6"/>
  <c r="Q1218" i="6"/>
  <c r="V1218" i="6"/>
  <c r="Q1217" i="6"/>
  <c r="V1217" i="6"/>
  <c r="Q1216" i="6"/>
  <c r="V1216" i="6"/>
  <c r="Q1375" i="6"/>
  <c r="V1375" i="6"/>
  <c r="Q1374" i="6"/>
  <c r="V1374" i="6"/>
  <c r="F85" i="12"/>
  <c r="Q1373" i="6"/>
  <c r="V1373" i="6"/>
  <c r="Q1372" i="6"/>
  <c r="V1372" i="6"/>
  <c r="V1362" i="6"/>
  <c r="Q1362" i="6"/>
  <c r="V1363" i="6"/>
  <c r="Q1363" i="6"/>
  <c r="Q1371" i="6"/>
  <c r="V1371" i="6"/>
  <c r="Q1370" i="6"/>
  <c r="V1370" i="6"/>
  <c r="Q1369" i="6"/>
  <c r="V1369" i="6"/>
  <c r="Q1368" i="6"/>
  <c r="V1368" i="6"/>
  <c r="Q1367" i="6"/>
  <c r="V1367" i="6"/>
  <c r="Q1366" i="6"/>
  <c r="V1366" i="6"/>
  <c r="Q1365" i="6"/>
  <c r="V1365" i="6"/>
  <c r="Q1364" i="6"/>
  <c r="V1364" i="6"/>
  <c r="Q1361" i="6"/>
  <c r="V1361" i="6"/>
  <c r="Q1360" i="6"/>
  <c r="V1360" i="6"/>
  <c r="Q1356" i="6"/>
  <c r="V1356" i="6"/>
  <c r="Q1355" i="6"/>
  <c r="V1355" i="6"/>
  <c r="Q1358" i="6"/>
  <c r="V1358" i="6"/>
  <c r="Q1357" i="6"/>
  <c r="V1357" i="6"/>
  <c r="Q1354" i="6"/>
  <c r="V1354" i="6"/>
  <c r="Q1353" i="6"/>
  <c r="V1353" i="6"/>
  <c r="Q1352" i="6"/>
  <c r="V1352" i="6"/>
  <c r="Q1351" i="6"/>
  <c r="V1351" i="6"/>
  <c r="Q1350" i="6"/>
  <c r="V1350" i="6"/>
  <c r="Q1349" i="6"/>
  <c r="V1349" i="6"/>
  <c r="Q1348" i="6"/>
  <c r="V1348" i="6"/>
  <c r="Q1347" i="6"/>
  <c r="V1347" i="6"/>
  <c r="Q1346" i="6"/>
  <c r="V1346" i="6"/>
  <c r="Q1345" i="6"/>
  <c r="V1345" i="6"/>
  <c r="Q1359" i="6"/>
  <c r="V1359" i="6"/>
  <c r="Q1344" i="6"/>
  <c r="V1344" i="6"/>
  <c r="M11" i="12"/>
  <c r="M12" i="12"/>
  <c r="M13" i="12"/>
  <c r="M14" i="12"/>
  <c r="D84" i="12" s="1"/>
  <c r="F84" i="12" s="1"/>
  <c r="M15" i="12"/>
  <c r="M17" i="12"/>
  <c r="M18" i="12"/>
  <c r="M19" i="12"/>
  <c r="C91" i="12"/>
  <c r="N130" i="3"/>
  <c r="O130" i="3" s="1"/>
  <c r="P130" i="3"/>
  <c r="G91" i="12"/>
  <c r="H91" i="12"/>
  <c r="I91" i="12"/>
  <c r="J91" i="12"/>
  <c r="E91" i="12"/>
  <c r="K91" i="12"/>
  <c r="H5" i="16"/>
  <c r="S5" i="16" l="1"/>
  <c r="U1376" i="6"/>
  <c r="W1376" i="6" s="1"/>
  <c r="AA1376" i="6" s="1"/>
  <c r="T144" i="3"/>
  <c r="V144" i="3" s="1"/>
  <c r="T145" i="3"/>
  <c r="V145" i="3" s="1"/>
  <c r="Z144" i="3"/>
  <c r="X144" i="3"/>
  <c r="AA144" i="3" s="1"/>
  <c r="Z145" i="3"/>
  <c r="X145" i="3"/>
  <c r="AA145" i="3" s="1"/>
  <c r="B91" i="12"/>
  <c r="M8" i="12"/>
  <c r="M7" i="12"/>
  <c r="M6" i="12"/>
  <c r="M5" i="12"/>
  <c r="M4" i="12"/>
  <c r="M3" i="12"/>
  <c r="D9" i="12" s="1"/>
  <c r="F9" i="12" s="1"/>
  <c r="M28" i="12"/>
  <c r="M29" i="12"/>
  <c r="M10" i="12"/>
  <c r="D90" i="12" s="1"/>
  <c r="F90" i="12" s="1"/>
  <c r="Y1376" i="6" l="1"/>
  <c r="AB1376" i="6"/>
  <c r="AD1376" i="6" s="1"/>
  <c r="AF1376" i="6" s="1"/>
  <c r="D20" i="12"/>
  <c r="F20" i="12" s="1"/>
  <c r="D22" i="12"/>
  <c r="F22" i="12" s="1"/>
  <c r="AC145" i="3"/>
  <c r="AC144" i="3"/>
  <c r="D18" i="12"/>
  <c r="F18" i="12" s="1"/>
  <c r="D19" i="12"/>
  <c r="F19" i="12" s="1"/>
  <c r="D64" i="12"/>
  <c r="F64" i="12" s="1"/>
  <c r="D63" i="12"/>
  <c r="F63" i="12" s="1"/>
  <c r="D65" i="12"/>
  <c r="F65" i="12" s="1"/>
  <c r="D66" i="12"/>
  <c r="F66" i="12" s="1"/>
  <c r="D83" i="12"/>
  <c r="F83" i="12" s="1"/>
  <c r="D56" i="12"/>
  <c r="F56" i="12" s="1"/>
  <c r="D57" i="12"/>
  <c r="F57" i="12" s="1"/>
  <c r="D58" i="12"/>
  <c r="F58" i="12" s="1"/>
  <c r="D60" i="12"/>
  <c r="F60" i="12" s="1"/>
  <c r="D59" i="12"/>
  <c r="F59" i="12" s="1"/>
  <c r="D61" i="12"/>
  <c r="F61" i="12" s="1"/>
  <c r="D54" i="12"/>
  <c r="F54" i="12" s="1"/>
  <c r="D62" i="12"/>
  <c r="F62" i="12" s="1"/>
  <c r="D55" i="12"/>
  <c r="F55" i="12" s="1"/>
  <c r="D30" i="12"/>
  <c r="F30" i="12" s="1"/>
  <c r="D38" i="12"/>
  <c r="F38" i="12" s="1"/>
  <c r="D46" i="12"/>
  <c r="F46" i="12" s="1"/>
  <c r="D34" i="12"/>
  <c r="F34" i="12" s="1"/>
  <c r="D35" i="12"/>
  <c r="F35" i="12" s="1"/>
  <c r="D31" i="12"/>
  <c r="F31" i="12" s="1"/>
  <c r="D39" i="12"/>
  <c r="F39" i="12" s="1"/>
  <c r="D47" i="12"/>
  <c r="F47" i="12" s="1"/>
  <c r="D50" i="12"/>
  <c r="F50" i="12" s="1"/>
  <c r="D51" i="12"/>
  <c r="F51" i="12" s="1"/>
  <c r="D45" i="12"/>
  <c r="F45" i="12" s="1"/>
  <c r="D32" i="12"/>
  <c r="F32" i="12" s="1"/>
  <c r="D40" i="12"/>
  <c r="F40" i="12" s="1"/>
  <c r="D48" i="12"/>
  <c r="F48" i="12" s="1"/>
  <c r="D43" i="12"/>
  <c r="F43" i="12" s="1"/>
  <c r="D33" i="12"/>
  <c r="F33" i="12" s="1"/>
  <c r="D41" i="12"/>
  <c r="F41" i="12" s="1"/>
  <c r="D49" i="12"/>
  <c r="F49" i="12" s="1"/>
  <c r="D42" i="12"/>
  <c r="F42" i="12" s="1"/>
  <c r="D37" i="12"/>
  <c r="F37" i="12" s="1"/>
  <c r="D28" i="12"/>
  <c r="F28" i="12" s="1"/>
  <c r="D36" i="12"/>
  <c r="F36" i="12" s="1"/>
  <c r="D44" i="12"/>
  <c r="F44" i="12" s="1"/>
  <c r="D29" i="12"/>
  <c r="F29" i="12" s="1"/>
  <c r="D80" i="12"/>
  <c r="F80" i="12" s="1"/>
  <c r="D81" i="12"/>
  <c r="F81" i="12" s="1"/>
  <c r="D76" i="12"/>
  <c r="F76" i="12" s="1"/>
  <c r="D77" i="12"/>
  <c r="F77" i="12" s="1"/>
  <c r="D79" i="12"/>
  <c r="F79" i="12" s="1"/>
  <c r="D82" i="12"/>
  <c r="F82" i="12" s="1"/>
  <c r="D75" i="12"/>
  <c r="F75" i="12" s="1"/>
  <c r="D78" i="12"/>
  <c r="F78" i="12" s="1"/>
  <c r="D4" i="12"/>
  <c r="F4" i="12" s="1"/>
  <c r="D8" i="12"/>
  <c r="F8" i="12" s="1"/>
  <c r="D6" i="12"/>
  <c r="F6" i="12" s="1"/>
  <c r="D68" i="12"/>
  <c r="F68" i="12" s="1"/>
  <c r="D69" i="12"/>
  <c r="F69" i="12" s="1"/>
  <c r="D71" i="12"/>
  <c r="F71" i="12" s="1"/>
  <c r="D67" i="12"/>
  <c r="F67" i="12" s="1"/>
  <c r="D70" i="12"/>
  <c r="F70" i="12" s="1"/>
  <c r="D12" i="12"/>
  <c r="F12" i="12" s="1"/>
  <c r="D17" i="12"/>
  <c r="F17" i="12" s="1"/>
  <c r="D7" i="12"/>
  <c r="F7" i="12" s="1"/>
  <c r="D5" i="12"/>
  <c r="F5" i="12" s="1"/>
  <c r="D10" i="12"/>
  <c r="F10" i="12" s="1"/>
  <c r="D13" i="12"/>
  <c r="F13" i="12" s="1"/>
  <c r="D14" i="12"/>
  <c r="F14" i="12" s="1"/>
  <c r="D72" i="12"/>
  <c r="F72" i="12" s="1"/>
  <c r="D73" i="12"/>
  <c r="F73" i="12" s="1"/>
  <c r="D74" i="12"/>
  <c r="F74" i="12" s="1"/>
  <c r="D15" i="12"/>
  <c r="F15" i="12" s="1"/>
  <c r="D11" i="12"/>
  <c r="F11" i="12" s="1"/>
  <c r="E1377" i="6"/>
  <c r="B1377" i="6"/>
  <c r="F1377" i="6"/>
  <c r="G1377" i="6"/>
  <c r="H1377" i="6"/>
  <c r="I1377" i="6"/>
  <c r="J1377" i="6"/>
  <c r="K1377" i="6"/>
  <c r="L1377" i="6"/>
  <c r="M1377" i="6"/>
  <c r="AE1376" i="6" l="1"/>
  <c r="AG1376" i="6" s="1"/>
  <c r="AE144" i="3"/>
  <c r="AD144" i="3"/>
  <c r="AE145" i="3"/>
  <c r="AD145" i="3"/>
  <c r="F3" i="12"/>
  <c r="D340" i="6" s="1"/>
  <c r="D91" i="12"/>
  <c r="AC1377" i="6"/>
  <c r="E28" i="4"/>
  <c r="E27" i="4"/>
  <c r="E26" i="4"/>
  <c r="P89" i="3"/>
  <c r="P116" i="3"/>
  <c r="P117" i="3"/>
  <c r="P118" i="3"/>
  <c r="P119" i="3"/>
  <c r="P120" i="3"/>
  <c r="N19" i="3"/>
  <c r="N37" i="3"/>
  <c r="N60" i="3"/>
  <c r="N69" i="3"/>
  <c r="N89" i="3"/>
  <c r="N90" i="3"/>
  <c r="N116" i="3"/>
  <c r="N117" i="3"/>
  <c r="N118" i="3"/>
  <c r="N119" i="3"/>
  <c r="N120" i="3"/>
  <c r="D1126" i="6" l="1"/>
  <c r="D1376" i="6"/>
  <c r="D88" i="6"/>
  <c r="D87" i="6"/>
  <c r="D86" i="6"/>
  <c r="D85" i="6"/>
  <c r="D84" i="6"/>
  <c r="D83" i="6"/>
  <c r="D82" i="6"/>
  <c r="D81" i="6"/>
  <c r="D80" i="6"/>
  <c r="D79" i="6"/>
  <c r="D78" i="6"/>
  <c r="D77" i="6"/>
  <c r="D76" i="6"/>
  <c r="D75" i="6"/>
  <c r="D74" i="6"/>
  <c r="D73" i="6"/>
  <c r="D72" i="6"/>
  <c r="D71" i="6"/>
  <c r="D70" i="6"/>
  <c r="D69" i="6"/>
  <c r="D68" i="6"/>
  <c r="D67" i="6"/>
  <c r="D66" i="6"/>
  <c r="D65" i="6"/>
  <c r="D538" i="6"/>
  <c r="D537" i="6"/>
  <c r="D536" i="6"/>
  <c r="D535" i="6"/>
  <c r="D534" i="6"/>
  <c r="D533" i="6"/>
  <c r="D532" i="6"/>
  <c r="D531" i="6"/>
  <c r="D530" i="6"/>
  <c r="D529" i="6"/>
  <c r="D528" i="6"/>
  <c r="D527" i="6"/>
  <c r="D526" i="6"/>
  <c r="D525" i="6"/>
  <c r="D524" i="6"/>
  <c r="D523" i="6"/>
  <c r="D522" i="6"/>
  <c r="D521" i="6"/>
  <c r="D520" i="6"/>
  <c r="AF145" i="3"/>
  <c r="AF144" i="3"/>
  <c r="D899" i="6"/>
  <c r="D900" i="6"/>
  <c r="D901" i="6"/>
  <c r="D902" i="6"/>
  <c r="D903" i="6"/>
  <c r="D904" i="6"/>
  <c r="D905" i="6"/>
  <c r="D906" i="6"/>
  <c r="D907" i="6"/>
  <c r="D908" i="6"/>
  <c r="D909" i="6"/>
  <c r="D910" i="6"/>
  <c r="D911" i="6"/>
  <c r="D912" i="6"/>
  <c r="D913" i="6"/>
  <c r="D914" i="6"/>
  <c r="D915" i="6"/>
  <c r="D916" i="6"/>
  <c r="D917" i="6"/>
  <c r="D918" i="6"/>
  <c r="D919" i="6"/>
  <c r="D920" i="6"/>
  <c r="D921" i="6"/>
  <c r="D922" i="6"/>
  <c r="D923" i="6"/>
  <c r="D924" i="6"/>
  <c r="D925" i="6"/>
  <c r="D926" i="6"/>
  <c r="D927" i="6"/>
  <c r="D928" i="6"/>
  <c r="D929" i="6"/>
  <c r="D930" i="6"/>
  <c r="D931" i="6"/>
  <c r="D932" i="6"/>
  <c r="D933" i="6"/>
  <c r="D934" i="6"/>
  <c r="D935" i="6"/>
  <c r="D936" i="6"/>
  <c r="D937" i="6"/>
  <c r="D943" i="6"/>
  <c r="D942" i="6"/>
  <c r="D941" i="6"/>
  <c r="D940" i="6"/>
  <c r="D939" i="6"/>
  <c r="D938" i="6"/>
  <c r="D898" i="6"/>
  <c r="D845" i="6"/>
  <c r="D1227" i="6"/>
  <c r="D850" i="6"/>
  <c r="D849" i="6"/>
  <c r="D848" i="6"/>
  <c r="D847" i="6"/>
  <c r="D846" i="6"/>
  <c r="D844" i="6"/>
  <c r="D843" i="6"/>
  <c r="D842" i="6"/>
  <c r="D841" i="6"/>
  <c r="D840" i="6"/>
  <c r="D839" i="6"/>
  <c r="D838" i="6"/>
  <c r="D837" i="6"/>
  <c r="D836" i="6"/>
  <c r="D835" i="6"/>
  <c r="D834" i="6"/>
  <c r="D833" i="6"/>
  <c r="D832" i="6"/>
  <c r="D831" i="6"/>
  <c r="D830" i="6"/>
  <c r="D829" i="6"/>
  <c r="D828" i="6"/>
  <c r="D827" i="6"/>
  <c r="D826" i="6"/>
  <c r="D825" i="6"/>
  <c r="D824" i="6"/>
  <c r="D823" i="6"/>
  <c r="D1226" i="6"/>
  <c r="D1228" i="6"/>
  <c r="D1229" i="6"/>
  <c r="D1230" i="6"/>
  <c r="D1231" i="6"/>
  <c r="D1232" i="6"/>
  <c r="D1233" i="6"/>
  <c r="D1234" i="6"/>
  <c r="D1235" i="6"/>
  <c r="D1236" i="6"/>
  <c r="D1237" i="6"/>
  <c r="D1238" i="6"/>
  <c r="D1224" i="6"/>
  <c r="D1223" i="6"/>
  <c r="D1220" i="6"/>
  <c r="D1215" i="6"/>
  <c r="D1214" i="6"/>
  <c r="D1375" i="6"/>
  <c r="D1225" i="6"/>
  <c r="D1222" i="6"/>
  <c r="D1221" i="6"/>
  <c r="D1219" i="6"/>
  <c r="D1218" i="6"/>
  <c r="D1217" i="6"/>
  <c r="D1216" i="6"/>
  <c r="F91" i="12"/>
  <c r="D892" i="6"/>
  <c r="D1137" i="6"/>
  <c r="D1301" i="6"/>
  <c r="D596" i="6"/>
  <c r="D1044" i="6"/>
  <c r="D1107" i="6"/>
  <c r="D1129" i="6"/>
  <c r="D1293" i="6"/>
  <c r="D715" i="6"/>
  <c r="D867" i="6"/>
  <c r="D1285" i="6"/>
  <c r="D776" i="6"/>
  <c r="D323" i="6"/>
  <c r="D1322" i="6"/>
  <c r="D1051" i="6"/>
  <c r="D1074" i="6"/>
  <c r="D993" i="6"/>
  <c r="D808" i="6"/>
  <c r="D1004" i="6"/>
  <c r="D1011" i="6"/>
  <c r="D820" i="6"/>
  <c r="D1323" i="6"/>
  <c r="D1312" i="6"/>
  <c r="D1255" i="6"/>
  <c r="D1319" i="6"/>
  <c r="D1020" i="6"/>
  <c r="D1200" i="6"/>
  <c r="D1003" i="6"/>
  <c r="D727" i="6"/>
  <c r="D1254" i="6"/>
  <c r="D1010" i="6"/>
  <c r="D589" i="6"/>
  <c r="D1182" i="6"/>
  <c r="D889" i="6"/>
  <c r="D796" i="6"/>
  <c r="D783" i="6"/>
  <c r="D750" i="6"/>
  <c r="D1181" i="6"/>
  <c r="D1327" i="6"/>
  <c r="D743" i="6"/>
  <c r="D897" i="6"/>
  <c r="D1313" i="6"/>
  <c r="D1337" i="6"/>
  <c r="D1336" i="6"/>
  <c r="D1153" i="6"/>
  <c r="D628" i="6"/>
  <c r="D1176" i="6"/>
  <c r="D979" i="6"/>
  <c r="D691" i="6"/>
  <c r="D962" i="6"/>
  <c r="D381" i="6"/>
  <c r="D1134" i="6"/>
  <c r="D813" i="6"/>
  <c r="D373" i="6"/>
  <c r="D43" i="6"/>
  <c r="D1261" i="6"/>
  <c r="D1330" i="6"/>
  <c r="D1084" i="6"/>
  <c r="D1276" i="6"/>
  <c r="D1190" i="6"/>
  <c r="D1286" i="6"/>
  <c r="D1278" i="6"/>
  <c r="D1277" i="6"/>
  <c r="D964" i="6"/>
  <c r="D1341" i="6"/>
  <c r="D1160" i="6"/>
  <c r="D947" i="6"/>
  <c r="D564" i="6"/>
  <c r="D1175" i="6"/>
  <c r="D946" i="6"/>
  <c r="D316" i="6"/>
  <c r="D741" i="6"/>
  <c r="D1188" i="6"/>
  <c r="D1239" i="6"/>
  <c r="D1018" i="6"/>
  <c r="D620" i="6"/>
  <c r="D1248" i="6"/>
  <c r="D1036" i="6"/>
  <c r="D132" i="6"/>
  <c r="D1264" i="6"/>
  <c r="D1115" i="6"/>
  <c r="D875" i="6"/>
  <c r="D420" i="6"/>
  <c r="D1135" i="6"/>
  <c r="D822" i="6"/>
  <c r="D92" i="6"/>
  <c r="D1065" i="6"/>
  <c r="D251" i="6"/>
  <c r="D803" i="6"/>
  <c r="D1114" i="6"/>
  <c r="D814" i="6"/>
  <c r="D36" i="6"/>
  <c r="D1057" i="6"/>
  <c r="D187" i="6"/>
  <c r="D795" i="6"/>
  <c r="D1340" i="6"/>
  <c r="D1332" i="6"/>
  <c r="D980" i="6"/>
  <c r="D164" i="6"/>
  <c r="D1342" i="6"/>
  <c r="D1012" i="6"/>
  <c r="D1075" i="6"/>
  <c r="D807" i="6"/>
  <c r="D195" i="6"/>
  <c r="D1090" i="6"/>
  <c r="D766" i="6"/>
  <c r="D1275" i="6"/>
  <c r="D1009" i="6"/>
  <c r="D1282" i="6"/>
  <c r="D292" i="6"/>
  <c r="D800" i="6"/>
  <c r="D1329" i="6"/>
  <c r="D453" i="6"/>
  <c r="D1161" i="6"/>
  <c r="D485" i="6"/>
  <c r="D860" i="6"/>
  <c r="D1270" i="6"/>
  <c r="D1333" i="6"/>
  <c r="D44" i="6"/>
  <c r="D1136" i="6"/>
  <c r="D1043" i="6"/>
  <c r="D775" i="6"/>
  <c r="D484" i="6"/>
  <c r="D1292" i="6"/>
  <c r="D1151" i="6"/>
  <c r="D1050" i="6"/>
  <c r="D882" i="6"/>
  <c r="D726" i="6"/>
  <c r="D220" i="6"/>
  <c r="D1212" i="6"/>
  <c r="D1097" i="6"/>
  <c r="D969" i="6"/>
  <c r="D683" i="6"/>
  <c r="D1120" i="6"/>
  <c r="D1119" i="6"/>
  <c r="D1339" i="6"/>
  <c r="D736" i="6"/>
  <c r="D1310" i="6"/>
  <c r="D1193" i="6"/>
  <c r="D1100" i="6"/>
  <c r="D1343" i="6"/>
  <c r="D768" i="6"/>
  <c r="D1145" i="6"/>
  <c r="D1294" i="6"/>
  <c r="D1247" i="6"/>
  <c r="D1128" i="6"/>
  <c r="D1035" i="6"/>
  <c r="D883" i="6"/>
  <c r="D751" i="6"/>
  <c r="D452" i="6"/>
  <c r="D1284" i="6"/>
  <c r="D1143" i="6"/>
  <c r="D1026" i="6"/>
  <c r="D858" i="6"/>
  <c r="D652" i="6"/>
  <c r="D124" i="6"/>
  <c r="D1198" i="6"/>
  <c r="D1073" i="6"/>
  <c r="D945" i="6"/>
  <c r="D588" i="6"/>
  <c r="D1056" i="6"/>
  <c r="D1055" i="6"/>
  <c r="D228" i="6"/>
  <c r="D692" i="6"/>
  <c r="D1302" i="6"/>
  <c r="D792" i="6"/>
  <c r="D760" i="6"/>
  <c r="D1076" i="6"/>
  <c r="D1192" i="6"/>
  <c r="D1099" i="6"/>
  <c r="D987" i="6"/>
  <c r="D815" i="6"/>
  <c r="D711" i="6"/>
  <c r="D227" i="6"/>
  <c r="D1205" i="6"/>
  <c r="D1106" i="6"/>
  <c r="D986" i="6"/>
  <c r="D790" i="6"/>
  <c r="D477" i="6"/>
  <c r="D1299" i="6"/>
  <c r="D1158" i="6"/>
  <c r="D1033" i="6"/>
  <c r="D865" i="6"/>
  <c r="D35" i="6"/>
  <c r="D644" i="6"/>
  <c r="D675" i="6"/>
  <c r="D115" i="6"/>
  <c r="D1060" i="6"/>
  <c r="D1177" i="6"/>
  <c r="D784" i="6"/>
  <c r="D1309" i="6"/>
  <c r="D1316" i="6"/>
  <c r="D1092" i="6"/>
  <c r="D1334" i="6"/>
  <c r="D100" i="6"/>
  <c r="D752" i="6"/>
  <c r="D1168" i="6"/>
  <c r="D1067" i="6"/>
  <c r="D971" i="6"/>
  <c r="D791" i="6"/>
  <c r="D595" i="6"/>
  <c r="D163" i="6"/>
  <c r="D1199" i="6"/>
  <c r="D1082" i="6"/>
  <c r="D954" i="6"/>
  <c r="D758" i="6"/>
  <c r="D349" i="6"/>
  <c r="D1268" i="6"/>
  <c r="D1127" i="6"/>
  <c r="D1001" i="6"/>
  <c r="D749" i="6"/>
  <c r="D1189" i="6"/>
  <c r="D1210" i="6"/>
  <c r="D733" i="6"/>
  <c r="D155" i="6"/>
  <c r="D1165" i="6"/>
  <c r="D764" i="6"/>
  <c r="D1180" i="6"/>
  <c r="D771" i="6"/>
  <c r="D805" i="6"/>
  <c r="D556" i="6"/>
  <c r="D1274" i="6"/>
  <c r="D1024" i="6"/>
  <c r="D341" i="6"/>
  <c r="D1031" i="6"/>
  <c r="D1296" i="6"/>
  <c r="D797" i="6"/>
  <c r="D508" i="6"/>
  <c r="D1267" i="6"/>
  <c r="D1016" i="6"/>
  <c r="D244" i="6"/>
  <c r="D999" i="6"/>
  <c r="D1094" i="6"/>
  <c r="D773" i="6"/>
  <c r="D380" i="6"/>
  <c r="D952" i="6"/>
  <c r="D1297" i="6"/>
  <c r="D895" i="6"/>
  <c r="D1325" i="6"/>
  <c r="D948" i="6"/>
  <c r="D1206" i="6"/>
  <c r="D1152" i="6"/>
  <c r="D1091" i="6"/>
  <c r="D1027" i="6"/>
  <c r="D963" i="6"/>
  <c r="D859" i="6"/>
  <c r="D767" i="6"/>
  <c r="D659" i="6"/>
  <c r="D388" i="6"/>
  <c r="D131" i="6"/>
  <c r="D1269" i="6"/>
  <c r="D1191" i="6"/>
  <c r="D1066" i="6"/>
  <c r="D1002" i="6"/>
  <c r="D806" i="6"/>
  <c r="D742" i="6"/>
  <c r="D557" i="6"/>
  <c r="D284" i="6"/>
  <c r="D1315" i="6"/>
  <c r="D1253" i="6"/>
  <c r="D1174" i="6"/>
  <c r="D1113" i="6"/>
  <c r="D1049" i="6"/>
  <c r="D985" i="6"/>
  <c r="D881" i="6"/>
  <c r="D789" i="6"/>
  <c r="D725" i="6"/>
  <c r="D444" i="6"/>
  <c r="D123" i="6"/>
  <c r="D1260" i="6"/>
  <c r="D1149" i="6"/>
  <c r="D992" i="6"/>
  <c r="D756" i="6"/>
  <c r="D116" i="6"/>
  <c r="D1156" i="6"/>
  <c r="D991" i="6"/>
  <c r="D739" i="6"/>
  <c r="D744" i="6"/>
  <c r="D1256" i="6"/>
  <c r="D517" i="6"/>
  <c r="D988" i="6"/>
  <c r="D1169" i="6"/>
  <c r="D196" i="6"/>
  <c r="D1328" i="6"/>
  <c r="D972" i="6"/>
  <c r="D1116" i="6"/>
  <c r="D1271" i="6"/>
  <c r="D660" i="6"/>
  <c r="D1326" i="6"/>
  <c r="D956" i="6"/>
  <c r="D565" i="6"/>
  <c r="D1185" i="6"/>
  <c r="D260" i="6"/>
  <c r="D728" i="6"/>
  <c r="D1108" i="6"/>
  <c r="D1324" i="6"/>
  <c r="D1320" i="6"/>
  <c r="D868" i="6"/>
  <c r="D884" i="6"/>
  <c r="D1207" i="6"/>
  <c r="D389" i="6"/>
  <c r="D1318" i="6"/>
  <c r="D852" i="6"/>
  <c r="D1317" i="6"/>
  <c r="D816" i="6"/>
  <c r="D1144" i="6"/>
  <c r="D1083" i="6"/>
  <c r="D1019" i="6"/>
  <c r="D955" i="6"/>
  <c r="D851" i="6"/>
  <c r="D759" i="6"/>
  <c r="D627" i="6"/>
  <c r="D356" i="6"/>
  <c r="D99" i="6"/>
  <c r="D1262" i="6"/>
  <c r="D1183" i="6"/>
  <c r="D1121" i="6"/>
  <c r="D1058" i="6"/>
  <c r="D994" i="6"/>
  <c r="D890" i="6"/>
  <c r="D798" i="6"/>
  <c r="D734" i="6"/>
  <c r="D509" i="6"/>
  <c r="D252" i="6"/>
  <c r="D1307" i="6"/>
  <c r="D1245" i="6"/>
  <c r="D1166" i="6"/>
  <c r="D1105" i="6"/>
  <c r="D1041" i="6"/>
  <c r="D977" i="6"/>
  <c r="D873" i="6"/>
  <c r="D781" i="6"/>
  <c r="D707" i="6"/>
  <c r="D412" i="6"/>
  <c r="D91" i="6"/>
  <c r="D1244" i="6"/>
  <c r="D1141" i="6"/>
  <c r="D960" i="6"/>
  <c r="D732" i="6"/>
  <c r="D60" i="6"/>
  <c r="D1124" i="6"/>
  <c r="D967" i="6"/>
  <c r="D731" i="6"/>
  <c r="D1155" i="6"/>
  <c r="D500" i="6"/>
  <c r="D1030" i="6"/>
  <c r="D291" i="6"/>
  <c r="D1308" i="6"/>
  <c r="D1246" i="6"/>
  <c r="D1167" i="6"/>
  <c r="D1042" i="6"/>
  <c r="D978" i="6"/>
  <c r="D874" i="6"/>
  <c r="D782" i="6"/>
  <c r="D708" i="6"/>
  <c r="D445" i="6"/>
  <c r="D188" i="6"/>
  <c r="D1291" i="6"/>
  <c r="D1204" i="6"/>
  <c r="D1150" i="6"/>
  <c r="D1089" i="6"/>
  <c r="D1025" i="6"/>
  <c r="D961" i="6"/>
  <c r="D857" i="6"/>
  <c r="D765" i="6"/>
  <c r="D651" i="6"/>
  <c r="D348" i="6"/>
  <c r="D1306" i="6"/>
  <c r="D1088" i="6"/>
  <c r="D888" i="6"/>
  <c r="D612" i="6"/>
  <c r="D1266" i="6"/>
  <c r="D1095" i="6"/>
  <c r="D887" i="6"/>
  <c r="D1263" i="6"/>
  <c r="D1331" i="6"/>
  <c r="D996" i="6"/>
  <c r="D1068" i="6"/>
  <c r="D1321" i="6"/>
  <c r="D876" i="6"/>
  <c r="D1338" i="6"/>
  <c r="D1240" i="6"/>
  <c r="D421" i="6"/>
  <c r="D1335" i="6"/>
  <c r="D1028" i="6"/>
  <c r="D1052" i="6"/>
  <c r="D357" i="6"/>
  <c r="D1201" i="6"/>
  <c r="D324" i="6"/>
  <c r="D1184" i="6"/>
  <c r="D1122" i="6"/>
  <c r="D1059" i="6"/>
  <c r="D995" i="6"/>
  <c r="D891" i="6"/>
  <c r="D799" i="6"/>
  <c r="D735" i="6"/>
  <c r="D516" i="6"/>
  <c r="D259" i="6"/>
  <c r="D1300" i="6"/>
  <c r="D1213" i="6"/>
  <c r="D1159" i="6"/>
  <c r="D1098" i="6"/>
  <c r="D1034" i="6"/>
  <c r="D970" i="6"/>
  <c r="D866" i="6"/>
  <c r="D774" i="6"/>
  <c r="D684" i="6"/>
  <c r="D413" i="6"/>
  <c r="D156" i="6"/>
  <c r="D1283" i="6"/>
  <c r="D1142" i="6"/>
  <c r="D1081" i="6"/>
  <c r="D1017" i="6"/>
  <c r="D953" i="6"/>
  <c r="D821" i="6"/>
  <c r="D757" i="6"/>
  <c r="D619" i="6"/>
  <c r="D315" i="6"/>
  <c r="D1290" i="6"/>
  <c r="D1197" i="6"/>
  <c r="D1080" i="6"/>
  <c r="D856" i="6"/>
  <c r="D501" i="6"/>
  <c r="D1259" i="6"/>
  <c r="D1063" i="6"/>
  <c r="D863" i="6"/>
  <c r="D468" i="6"/>
  <c r="D862" i="6"/>
  <c r="D372" i="6"/>
  <c r="D770" i="6"/>
  <c r="D668" i="6"/>
  <c r="D1202" i="6"/>
  <c r="D1138" i="6"/>
  <c r="D885" i="6"/>
  <c r="D1133" i="6"/>
  <c r="D1072" i="6"/>
  <c r="D1008" i="6"/>
  <c r="D944" i="6"/>
  <c r="D812" i="6"/>
  <c r="D748" i="6"/>
  <c r="D581" i="6"/>
  <c r="D308" i="6"/>
  <c r="D28" i="6"/>
  <c r="D1251" i="6"/>
  <c r="D1172" i="6"/>
  <c r="D1111" i="6"/>
  <c r="D1047" i="6"/>
  <c r="D983" i="6"/>
  <c r="D879" i="6"/>
  <c r="D787" i="6"/>
  <c r="D723" i="6"/>
  <c r="D436" i="6"/>
  <c r="D1280" i="6"/>
  <c r="D1062" i="6"/>
  <c r="D738" i="6"/>
  <c r="D1109" i="6"/>
  <c r="D1125" i="6"/>
  <c r="D1064" i="6"/>
  <c r="D1000" i="6"/>
  <c r="D896" i="6"/>
  <c r="D804" i="6"/>
  <c r="D740" i="6"/>
  <c r="D549" i="6"/>
  <c r="D276" i="6"/>
  <c r="D1305" i="6"/>
  <c r="D1243" i="6"/>
  <c r="D1164" i="6"/>
  <c r="D1103" i="6"/>
  <c r="D1039" i="6"/>
  <c r="D975" i="6"/>
  <c r="D871" i="6"/>
  <c r="D779" i="6"/>
  <c r="D700" i="6"/>
  <c r="D404" i="6"/>
  <c r="D1038" i="6"/>
  <c r="D699" i="6"/>
  <c r="D1085" i="6"/>
  <c r="D283" i="6"/>
  <c r="D1314" i="6"/>
  <c r="D1252" i="6"/>
  <c r="D1173" i="6"/>
  <c r="D1112" i="6"/>
  <c r="D1048" i="6"/>
  <c r="D984" i="6"/>
  <c r="D880" i="6"/>
  <c r="D788" i="6"/>
  <c r="D724" i="6"/>
  <c r="D469" i="6"/>
  <c r="D212" i="6"/>
  <c r="D1289" i="6"/>
  <c r="D1148" i="6"/>
  <c r="D1087" i="6"/>
  <c r="D1023" i="6"/>
  <c r="D959" i="6"/>
  <c r="D855" i="6"/>
  <c r="D763" i="6"/>
  <c r="D643" i="6"/>
  <c r="D243" i="6"/>
  <c r="D1203" i="6"/>
  <c r="D966" i="6"/>
  <c r="D397" i="6"/>
  <c r="D716" i="6"/>
  <c r="D1104" i="6"/>
  <c r="D1040" i="6"/>
  <c r="D976" i="6"/>
  <c r="D872" i="6"/>
  <c r="D780" i="6"/>
  <c r="D703" i="6"/>
  <c r="D437" i="6"/>
  <c r="D180" i="6"/>
  <c r="D1281" i="6"/>
  <c r="D1140" i="6"/>
  <c r="D1079" i="6"/>
  <c r="D1015" i="6"/>
  <c r="D951" i="6"/>
  <c r="D819" i="6"/>
  <c r="D755" i="6"/>
  <c r="D580" i="6"/>
  <c r="D179" i="6"/>
  <c r="D1187" i="6"/>
  <c r="D894" i="6"/>
  <c r="D268" i="6"/>
  <c r="D203" i="6"/>
  <c r="D476" i="6"/>
  <c r="D219" i="6"/>
  <c r="D1298" i="6"/>
  <c r="D1211" i="6"/>
  <c r="D1157" i="6"/>
  <c r="D1096" i="6"/>
  <c r="D1032" i="6"/>
  <c r="D968" i="6"/>
  <c r="D864" i="6"/>
  <c r="D772" i="6"/>
  <c r="D676" i="6"/>
  <c r="D405" i="6"/>
  <c r="D148" i="6"/>
  <c r="D1273" i="6"/>
  <c r="D1196" i="6"/>
  <c r="D1132" i="6"/>
  <c r="D1071" i="6"/>
  <c r="D1007" i="6"/>
  <c r="D811" i="6"/>
  <c r="D747" i="6"/>
  <c r="D548" i="6"/>
  <c r="D147" i="6"/>
  <c r="D1163" i="6"/>
  <c r="D870" i="6"/>
  <c r="D172" i="6"/>
  <c r="D171" i="6"/>
  <c r="D140" i="6"/>
  <c r="D1077" i="6"/>
  <c r="D594" i="6"/>
  <c r="D1279" i="6"/>
  <c r="D1013" i="6"/>
  <c r="D106" i="6"/>
  <c r="D1249" i="6"/>
  <c r="D965" i="6"/>
  <c r="D98" i="6"/>
  <c r="D633" i="6"/>
  <c r="D499" i="6"/>
  <c r="D426" i="6"/>
  <c r="D451" i="6"/>
  <c r="D313" i="6"/>
  <c r="D419" i="6"/>
  <c r="D648" i="6"/>
  <c r="D258" i="6"/>
  <c r="D94" i="6"/>
  <c r="D396" i="6"/>
  <c r="D178" i="6"/>
  <c r="D611" i="6"/>
  <c r="D339" i="6"/>
  <c r="D59" i="6"/>
  <c r="D1258" i="6"/>
  <c r="D1139" i="6"/>
  <c r="D1014" i="6"/>
  <c r="D818" i="6"/>
  <c r="D604" i="6"/>
  <c r="D52" i="6"/>
  <c r="D1186" i="6"/>
  <c r="D1061" i="6"/>
  <c r="D861" i="6"/>
  <c r="D714" i="6"/>
  <c r="D379" i="6"/>
  <c r="D34" i="6"/>
  <c r="D216" i="6"/>
  <c r="D307" i="6"/>
  <c r="D27" i="6"/>
  <c r="D1242" i="6"/>
  <c r="D1123" i="6"/>
  <c r="D998" i="6"/>
  <c r="D802" i="6"/>
  <c r="D541" i="6"/>
  <c r="D1311" i="6"/>
  <c r="D1170" i="6"/>
  <c r="D1045" i="6"/>
  <c r="D817" i="6"/>
  <c r="D698" i="6"/>
  <c r="D363" i="6"/>
  <c r="D689" i="6"/>
  <c r="D440" i="6"/>
  <c r="D275" i="6"/>
  <c r="D1304" i="6"/>
  <c r="D1209" i="6"/>
  <c r="D1102" i="6"/>
  <c r="D974" i="6"/>
  <c r="D778" i="6"/>
  <c r="D429" i="6"/>
  <c r="D1287" i="6"/>
  <c r="D1146" i="6"/>
  <c r="D1021" i="6"/>
  <c r="D753" i="6"/>
  <c r="D626" i="6"/>
  <c r="D290" i="6"/>
  <c r="D665" i="6"/>
  <c r="D239" i="6"/>
  <c r="D211" i="6"/>
  <c r="D1288" i="6"/>
  <c r="D1195" i="6"/>
  <c r="D1078" i="6"/>
  <c r="D950" i="6"/>
  <c r="D754" i="6"/>
  <c r="D332" i="6"/>
  <c r="D1265" i="6"/>
  <c r="D989" i="6"/>
  <c r="D667" i="6"/>
  <c r="D579" i="6"/>
  <c r="D194" i="6"/>
  <c r="D554" i="6"/>
  <c r="D402" i="6"/>
  <c r="D432" i="6"/>
  <c r="D49" i="6"/>
  <c r="D551" i="6"/>
  <c r="D640" i="6"/>
  <c r="D14" i="6"/>
  <c r="D570" i="6"/>
  <c r="D369" i="6"/>
  <c r="D1179" i="6"/>
  <c r="D1118" i="6"/>
  <c r="D1054" i="6"/>
  <c r="D990" i="6"/>
  <c r="D886" i="6"/>
  <c r="D794" i="6"/>
  <c r="D730" i="6"/>
  <c r="D493" i="6"/>
  <c r="D236" i="6"/>
  <c r="D1303" i="6"/>
  <c r="D1241" i="6"/>
  <c r="D1162" i="6"/>
  <c r="D1101" i="6"/>
  <c r="D1037" i="6"/>
  <c r="D957" i="6"/>
  <c r="D785" i="6"/>
  <c r="D364" i="6"/>
  <c r="D690" i="6"/>
  <c r="D491" i="6"/>
  <c r="D306" i="6"/>
  <c r="D170" i="6"/>
  <c r="D681" i="6"/>
  <c r="D546" i="6"/>
  <c r="D25" i="6"/>
  <c r="D120" i="6"/>
  <c r="D423" i="6"/>
  <c r="D1250" i="6"/>
  <c r="D1171" i="6"/>
  <c r="D1110" i="6"/>
  <c r="D1046" i="6"/>
  <c r="D982" i="6"/>
  <c r="D878" i="6"/>
  <c r="D786" i="6"/>
  <c r="D719" i="6"/>
  <c r="D461" i="6"/>
  <c r="D204" i="6"/>
  <c r="D1295" i="6"/>
  <c r="D1208" i="6"/>
  <c r="D1154" i="6"/>
  <c r="D1093" i="6"/>
  <c r="D1029" i="6"/>
  <c r="D949" i="6"/>
  <c r="D769" i="6"/>
  <c r="D331" i="6"/>
  <c r="D634" i="6"/>
  <c r="D483" i="6"/>
  <c r="D298" i="6"/>
  <c r="D162" i="6"/>
  <c r="D673" i="6"/>
  <c r="D458" i="6"/>
  <c r="D680" i="6"/>
  <c r="D512" i="6"/>
  <c r="D415" i="6"/>
  <c r="D1147" i="6"/>
  <c r="D1086" i="6"/>
  <c r="D1022" i="6"/>
  <c r="D958" i="6"/>
  <c r="D854" i="6"/>
  <c r="D762" i="6"/>
  <c r="D636" i="6"/>
  <c r="D365" i="6"/>
  <c r="D108" i="6"/>
  <c r="D1272" i="6"/>
  <c r="D1194" i="6"/>
  <c r="D1130" i="6"/>
  <c r="D1069" i="6"/>
  <c r="D1005" i="6"/>
  <c r="D869" i="6"/>
  <c r="D695" i="6"/>
  <c r="D722" i="6"/>
  <c r="D587" i="6"/>
  <c r="D387" i="6"/>
  <c r="D250" i="6"/>
  <c r="D42" i="6"/>
  <c r="D601" i="6"/>
  <c r="D394" i="6"/>
  <c r="D377" i="6"/>
  <c r="D384" i="6"/>
  <c r="D590" i="6"/>
  <c r="D518" i="6"/>
  <c r="D1131" i="6"/>
  <c r="D1070" i="6"/>
  <c r="D1006" i="6"/>
  <c r="D810" i="6"/>
  <c r="D746" i="6"/>
  <c r="D573" i="6"/>
  <c r="D300" i="6"/>
  <c r="D20" i="6"/>
  <c r="D1257" i="6"/>
  <c r="D1178" i="6"/>
  <c r="D1117" i="6"/>
  <c r="D1053" i="6"/>
  <c r="D973" i="6"/>
  <c r="D853" i="6"/>
  <c r="D635" i="6"/>
  <c r="D706" i="6"/>
  <c r="D507" i="6"/>
  <c r="D371" i="6"/>
  <c r="D186" i="6"/>
  <c r="D26" i="6"/>
  <c r="D562" i="6"/>
  <c r="D297" i="6"/>
  <c r="D240" i="6"/>
  <c r="D31" i="6"/>
  <c r="D241" i="6"/>
  <c r="D497" i="6"/>
  <c r="D112" i="6"/>
  <c r="D183" i="6"/>
  <c r="D407" i="6"/>
  <c r="D446" i="6"/>
  <c r="D474" i="6"/>
  <c r="D209" i="6"/>
  <c r="D473" i="6"/>
  <c r="D104" i="6"/>
  <c r="D111" i="6"/>
  <c r="D222" i="6"/>
  <c r="D398" i="6"/>
  <c r="D201" i="6"/>
  <c r="D409" i="6"/>
  <c r="D584" i="6"/>
  <c r="D39" i="6"/>
  <c r="D166" i="6"/>
  <c r="D390" i="6"/>
  <c r="D205" i="6"/>
  <c r="D567" i="6"/>
  <c r="D62" i="6"/>
  <c r="D997" i="6"/>
  <c r="D893" i="6"/>
  <c r="D777" i="6"/>
  <c r="D603" i="6"/>
  <c r="D139" i="6"/>
  <c r="D658" i="6"/>
  <c r="D571" i="6"/>
  <c r="D443" i="6"/>
  <c r="D355" i="6"/>
  <c r="D242" i="6"/>
  <c r="D130" i="6"/>
  <c r="D18" i="6"/>
  <c r="D625" i="6"/>
  <c r="D378" i="6"/>
  <c r="D177" i="6"/>
  <c r="D616" i="6"/>
  <c r="D345" i="6"/>
  <c r="D24" i="6"/>
  <c r="D368" i="6"/>
  <c r="D694" i="6"/>
  <c r="D351" i="6"/>
  <c r="D717" i="6"/>
  <c r="D333" i="6"/>
  <c r="D460" i="6"/>
  <c r="D107" i="6"/>
  <c r="D650" i="6"/>
  <c r="D563" i="6"/>
  <c r="D435" i="6"/>
  <c r="D322" i="6"/>
  <c r="D234" i="6"/>
  <c r="D122" i="6"/>
  <c r="D10" i="6"/>
  <c r="D617" i="6"/>
  <c r="D490" i="6"/>
  <c r="D329" i="6"/>
  <c r="D113" i="6"/>
  <c r="D553" i="6"/>
  <c r="D280" i="6"/>
  <c r="D639" i="6"/>
  <c r="D255" i="6"/>
  <c r="D622" i="6"/>
  <c r="D278" i="6"/>
  <c r="D605" i="6"/>
  <c r="D261" i="6"/>
  <c r="D981" i="6"/>
  <c r="D877" i="6"/>
  <c r="D761" i="6"/>
  <c r="D428" i="6"/>
  <c r="D51" i="6"/>
  <c r="D642" i="6"/>
  <c r="D515" i="6"/>
  <c r="D427" i="6"/>
  <c r="D314" i="6"/>
  <c r="D226" i="6"/>
  <c r="D114" i="6"/>
  <c r="D697" i="6"/>
  <c r="D609" i="6"/>
  <c r="D482" i="6"/>
  <c r="D321" i="6"/>
  <c r="D57" i="6"/>
  <c r="D505" i="6"/>
  <c r="D248" i="6"/>
  <c r="D591" i="6"/>
  <c r="D247" i="6"/>
  <c r="D614" i="6"/>
  <c r="D230" i="6"/>
  <c r="D597" i="6"/>
  <c r="D253" i="6"/>
  <c r="D189" i="6"/>
  <c r="D466" i="6"/>
  <c r="D386" i="6"/>
  <c r="D305" i="6"/>
  <c r="D193" i="6"/>
  <c r="D41" i="6"/>
  <c r="D632" i="6"/>
  <c r="D489" i="6"/>
  <c r="D361" i="6"/>
  <c r="D232" i="6"/>
  <c r="D32" i="6"/>
  <c r="D576" i="6"/>
  <c r="D376" i="6"/>
  <c r="D191" i="6"/>
  <c r="D23" i="6"/>
  <c r="D559" i="6"/>
  <c r="D359" i="6"/>
  <c r="D214" i="6"/>
  <c r="D6" i="6"/>
  <c r="D542" i="6"/>
  <c r="D382" i="6"/>
  <c r="D197" i="6"/>
  <c r="D809" i="6"/>
  <c r="D745" i="6"/>
  <c r="D572" i="6"/>
  <c r="D299" i="6"/>
  <c r="D19" i="6"/>
  <c r="D682" i="6"/>
  <c r="D618" i="6"/>
  <c r="D555" i="6"/>
  <c r="D475" i="6"/>
  <c r="D411" i="6"/>
  <c r="D347" i="6"/>
  <c r="D282" i="6"/>
  <c r="D218" i="6"/>
  <c r="D154" i="6"/>
  <c r="D90" i="6"/>
  <c r="D721" i="6"/>
  <c r="D657" i="6"/>
  <c r="D593" i="6"/>
  <c r="D514" i="6"/>
  <c r="D450" i="6"/>
  <c r="D370" i="6"/>
  <c r="D273" i="6"/>
  <c r="D145" i="6"/>
  <c r="D712" i="6"/>
  <c r="D585" i="6"/>
  <c r="D441" i="6"/>
  <c r="D312" i="6"/>
  <c r="D184" i="6"/>
  <c r="D16" i="6"/>
  <c r="D504" i="6"/>
  <c r="D319" i="6"/>
  <c r="D175" i="6"/>
  <c r="D686" i="6"/>
  <c r="D487" i="6"/>
  <c r="D343" i="6"/>
  <c r="D158" i="6"/>
  <c r="D669" i="6"/>
  <c r="D510" i="6"/>
  <c r="D325" i="6"/>
  <c r="D141" i="6"/>
  <c r="D801" i="6"/>
  <c r="D737" i="6"/>
  <c r="D540" i="6"/>
  <c r="D267" i="6"/>
  <c r="D12" i="6"/>
  <c r="D674" i="6"/>
  <c r="D610" i="6"/>
  <c r="D547" i="6"/>
  <c r="D467" i="6"/>
  <c r="D403" i="6"/>
  <c r="D338" i="6"/>
  <c r="D274" i="6"/>
  <c r="D210" i="6"/>
  <c r="D146" i="6"/>
  <c r="D58" i="6"/>
  <c r="D713" i="6"/>
  <c r="D649" i="6"/>
  <c r="D586" i="6"/>
  <c r="D506" i="6"/>
  <c r="D442" i="6"/>
  <c r="D362" i="6"/>
  <c r="D265" i="6"/>
  <c r="D137" i="6"/>
  <c r="D704" i="6"/>
  <c r="D577" i="6"/>
  <c r="D433" i="6"/>
  <c r="D304" i="6"/>
  <c r="D176" i="6"/>
  <c r="D655" i="6"/>
  <c r="D496" i="6"/>
  <c r="D311" i="6"/>
  <c r="D127" i="6"/>
  <c r="D678" i="6"/>
  <c r="D479" i="6"/>
  <c r="D294" i="6"/>
  <c r="D150" i="6"/>
  <c r="D661" i="6"/>
  <c r="D462" i="6"/>
  <c r="D317" i="6"/>
  <c r="D133" i="6"/>
  <c r="D793" i="6"/>
  <c r="D729" i="6"/>
  <c r="D492" i="6"/>
  <c r="D235" i="6"/>
  <c r="D11" i="6"/>
  <c r="D666" i="6"/>
  <c r="D602" i="6"/>
  <c r="D539" i="6"/>
  <c r="D459" i="6"/>
  <c r="D395" i="6"/>
  <c r="D330" i="6"/>
  <c r="D266" i="6"/>
  <c r="D202" i="6"/>
  <c r="D138" i="6"/>
  <c r="D50" i="6"/>
  <c r="D705" i="6"/>
  <c r="D641" i="6"/>
  <c r="D578" i="6"/>
  <c r="D498" i="6"/>
  <c r="D434" i="6"/>
  <c r="D337" i="6"/>
  <c r="D257" i="6"/>
  <c r="D129" i="6"/>
  <c r="D696" i="6"/>
  <c r="D569" i="6"/>
  <c r="D425" i="6"/>
  <c r="D296" i="6"/>
  <c r="D168" i="6"/>
  <c r="D647" i="6"/>
  <c r="D448" i="6"/>
  <c r="D303" i="6"/>
  <c r="D119" i="6"/>
  <c r="D630" i="6"/>
  <c r="D471" i="6"/>
  <c r="D286" i="6"/>
  <c r="D102" i="6"/>
  <c r="D653" i="6"/>
  <c r="D454" i="6"/>
  <c r="D269" i="6"/>
  <c r="D125" i="6"/>
  <c r="D249" i="6"/>
  <c r="D185" i="6"/>
  <c r="D121" i="6"/>
  <c r="D33" i="6"/>
  <c r="D688" i="6"/>
  <c r="D624" i="6"/>
  <c r="D561" i="6"/>
  <c r="D481" i="6"/>
  <c r="D417" i="6"/>
  <c r="D353" i="6"/>
  <c r="D288" i="6"/>
  <c r="D224" i="6"/>
  <c r="D160" i="6"/>
  <c r="D96" i="6"/>
  <c r="D8" i="6"/>
  <c r="D631" i="6"/>
  <c r="D568" i="6"/>
  <c r="D488" i="6"/>
  <c r="D424" i="6"/>
  <c r="D360" i="6"/>
  <c r="D295" i="6"/>
  <c r="D231" i="6"/>
  <c r="D167" i="6"/>
  <c r="D103" i="6"/>
  <c r="D15" i="6"/>
  <c r="D670" i="6"/>
  <c r="D606" i="6"/>
  <c r="D543" i="6"/>
  <c r="D463" i="6"/>
  <c r="D399" i="6"/>
  <c r="D334" i="6"/>
  <c r="D270" i="6"/>
  <c r="D206" i="6"/>
  <c r="D142" i="6"/>
  <c r="D54" i="6"/>
  <c r="D709" i="6"/>
  <c r="D645" i="6"/>
  <c r="D582" i="6"/>
  <c r="D502" i="6"/>
  <c r="D438" i="6"/>
  <c r="D374" i="6"/>
  <c r="D309" i="6"/>
  <c r="D245" i="6"/>
  <c r="D181" i="6"/>
  <c r="D117" i="6"/>
  <c r="D152" i="6"/>
  <c r="D64" i="6"/>
  <c r="D687" i="6"/>
  <c r="D623" i="6"/>
  <c r="D560" i="6"/>
  <c r="D480" i="6"/>
  <c r="D416" i="6"/>
  <c r="D352" i="6"/>
  <c r="D287" i="6"/>
  <c r="D223" i="6"/>
  <c r="D159" i="6"/>
  <c r="D95" i="6"/>
  <c r="D7" i="6"/>
  <c r="D662" i="6"/>
  <c r="D598" i="6"/>
  <c r="D519" i="6"/>
  <c r="D455" i="6"/>
  <c r="D391" i="6"/>
  <c r="D326" i="6"/>
  <c r="D262" i="6"/>
  <c r="D198" i="6"/>
  <c r="D134" i="6"/>
  <c r="D46" i="6"/>
  <c r="D701" i="6"/>
  <c r="D637" i="6"/>
  <c r="D574" i="6"/>
  <c r="D494" i="6"/>
  <c r="D430" i="6"/>
  <c r="D366" i="6"/>
  <c r="D301" i="6"/>
  <c r="D237" i="6"/>
  <c r="D173" i="6"/>
  <c r="D109" i="6"/>
  <c r="D233" i="6"/>
  <c r="D169" i="6"/>
  <c r="D105" i="6"/>
  <c r="D17" i="6"/>
  <c r="D672" i="6"/>
  <c r="D608" i="6"/>
  <c r="D545" i="6"/>
  <c r="D465" i="6"/>
  <c r="D401" i="6"/>
  <c r="D336" i="6"/>
  <c r="D272" i="6"/>
  <c r="D208" i="6"/>
  <c r="D144" i="6"/>
  <c r="D56" i="6"/>
  <c r="D679" i="6"/>
  <c r="D615" i="6"/>
  <c r="D552" i="6"/>
  <c r="D472" i="6"/>
  <c r="D408" i="6"/>
  <c r="D344" i="6"/>
  <c r="D279" i="6"/>
  <c r="D215" i="6"/>
  <c r="D151" i="6"/>
  <c r="D63" i="6"/>
  <c r="D718" i="6"/>
  <c r="D654" i="6"/>
  <c r="D511" i="6"/>
  <c r="D447" i="6"/>
  <c r="D383" i="6"/>
  <c r="D318" i="6"/>
  <c r="D254" i="6"/>
  <c r="D190" i="6"/>
  <c r="D126" i="6"/>
  <c r="D38" i="6"/>
  <c r="D693" i="6"/>
  <c r="D629" i="6"/>
  <c r="D566" i="6"/>
  <c r="D486" i="6"/>
  <c r="D422" i="6"/>
  <c r="D358" i="6"/>
  <c r="D293" i="6"/>
  <c r="D229" i="6"/>
  <c r="D165" i="6"/>
  <c r="D101" i="6"/>
  <c r="D418" i="6"/>
  <c r="D354" i="6"/>
  <c r="D289" i="6"/>
  <c r="D225" i="6"/>
  <c r="D161" i="6"/>
  <c r="D97" i="6"/>
  <c r="D9" i="6"/>
  <c r="D664" i="6"/>
  <c r="D600" i="6"/>
  <c r="D457" i="6"/>
  <c r="D393" i="6"/>
  <c r="D328" i="6"/>
  <c r="D264" i="6"/>
  <c r="D200" i="6"/>
  <c r="D136" i="6"/>
  <c r="D48" i="6"/>
  <c r="D671" i="6"/>
  <c r="D607" i="6"/>
  <c r="D544" i="6"/>
  <c r="D464" i="6"/>
  <c r="D400" i="6"/>
  <c r="D335" i="6"/>
  <c r="D271" i="6"/>
  <c r="D207" i="6"/>
  <c r="D143" i="6"/>
  <c r="D55" i="6"/>
  <c r="D710" i="6"/>
  <c r="D646" i="6"/>
  <c r="D583" i="6"/>
  <c r="D503" i="6"/>
  <c r="D439" i="6"/>
  <c r="D375" i="6"/>
  <c r="D310" i="6"/>
  <c r="D246" i="6"/>
  <c r="D182" i="6"/>
  <c r="D118" i="6"/>
  <c r="D30" i="6"/>
  <c r="D685" i="6"/>
  <c r="D621" i="6"/>
  <c r="D558" i="6"/>
  <c r="D478" i="6"/>
  <c r="D414" i="6"/>
  <c r="D350" i="6"/>
  <c r="D285" i="6"/>
  <c r="D221" i="6"/>
  <c r="D157" i="6"/>
  <c r="D93" i="6"/>
  <c r="D410" i="6"/>
  <c r="D346" i="6"/>
  <c r="D281" i="6"/>
  <c r="D217" i="6"/>
  <c r="D153" i="6"/>
  <c r="D89" i="6"/>
  <c r="D720" i="6"/>
  <c r="D656" i="6"/>
  <c r="D592" i="6"/>
  <c r="D513" i="6"/>
  <c r="D449" i="6"/>
  <c r="D385" i="6"/>
  <c r="D320" i="6"/>
  <c r="D256" i="6"/>
  <c r="D192" i="6"/>
  <c r="D128" i="6"/>
  <c r="D40" i="6"/>
  <c r="D663" i="6"/>
  <c r="D599" i="6"/>
  <c r="D456" i="6"/>
  <c r="D392" i="6"/>
  <c r="D327" i="6"/>
  <c r="D263" i="6"/>
  <c r="D199" i="6"/>
  <c r="D135" i="6"/>
  <c r="D47" i="6"/>
  <c r="D702" i="6"/>
  <c r="D638" i="6"/>
  <c r="D575" i="6"/>
  <c r="D495" i="6"/>
  <c r="D431" i="6"/>
  <c r="D367" i="6"/>
  <c r="D302" i="6"/>
  <c r="D238" i="6"/>
  <c r="D174" i="6"/>
  <c r="D110" i="6"/>
  <c r="D22" i="6"/>
  <c r="D677" i="6"/>
  <c r="D613" i="6"/>
  <c r="D550" i="6"/>
  <c r="D470" i="6"/>
  <c r="D406" i="6"/>
  <c r="D342" i="6"/>
  <c r="D277" i="6"/>
  <c r="D213" i="6"/>
  <c r="D149" i="6"/>
  <c r="D29" i="6"/>
  <c r="D61" i="6"/>
  <c r="D53" i="6"/>
  <c r="D45" i="6"/>
  <c r="D37" i="6"/>
  <c r="D21" i="6"/>
  <c r="D13" i="6"/>
  <c r="D5" i="6"/>
  <c r="E29" i="4"/>
  <c r="U130" i="3" l="1"/>
  <c r="U9" i="3"/>
  <c r="D1377" i="6"/>
  <c r="V1010" i="6"/>
  <c r="V789" i="6"/>
  <c r="V777" i="6"/>
  <c r="V785" i="6"/>
  <c r="V765" i="6"/>
  <c r="V727" i="6"/>
  <c r="V718" i="6"/>
  <c r="V738" i="6"/>
  <c r="V746" i="6"/>
  <c r="V754" i="6"/>
  <c r="V707" i="6"/>
  <c r="V714" i="6"/>
  <c r="V700" i="6"/>
  <c r="V668" i="6"/>
  <c r="V676" i="6"/>
  <c r="V684" i="6"/>
  <c r="V692" i="6"/>
  <c r="V654" i="6"/>
  <c r="V662" i="6"/>
  <c r="V648" i="6"/>
  <c r="V792" i="6"/>
  <c r="V780" i="6"/>
  <c r="V772" i="6"/>
  <c r="V722" i="6"/>
  <c r="V759" i="6"/>
  <c r="V733" i="6"/>
  <c r="V741" i="6"/>
  <c r="V749" i="6"/>
  <c r="V757" i="6"/>
  <c r="V710" i="6"/>
  <c r="V787" i="6"/>
  <c r="V775" i="6"/>
  <c r="V783" i="6"/>
  <c r="V767" i="6"/>
  <c r="V725" i="6"/>
  <c r="V721" i="6"/>
  <c r="V736" i="6"/>
  <c r="V744" i="6"/>
  <c r="V752" i="6"/>
  <c r="V761" i="6"/>
  <c r="V713" i="6"/>
  <c r="V698" i="6"/>
  <c r="V666" i="6"/>
  <c r="V674" i="6"/>
  <c r="V682" i="6"/>
  <c r="V690" i="6"/>
  <c r="V652" i="6"/>
  <c r="V660" i="6"/>
  <c r="V646" i="6"/>
  <c r="V640" i="6"/>
  <c r="V601" i="6"/>
  <c r="V606" i="6"/>
  <c r="V611" i="6"/>
  <c r="V619" i="6"/>
  <c r="V627" i="6"/>
  <c r="V635" i="6"/>
  <c r="V565" i="6"/>
  <c r="V571" i="6"/>
  <c r="V579" i="6"/>
  <c r="V587" i="6"/>
  <c r="V790" i="6"/>
  <c r="V788" i="6"/>
  <c r="V776" i="6"/>
  <c r="V784" i="6"/>
  <c r="V766" i="6"/>
  <c r="V726" i="6"/>
  <c r="V730" i="6"/>
  <c r="V737" i="6"/>
  <c r="V745" i="6"/>
  <c r="V753" i="6"/>
  <c r="V762" i="6"/>
  <c r="V706" i="6"/>
  <c r="V699" i="6"/>
  <c r="V667" i="6"/>
  <c r="V675" i="6"/>
  <c r="V683" i="6"/>
  <c r="V691" i="6"/>
  <c r="V653" i="6"/>
  <c r="V661" i="6"/>
  <c r="V770" i="6"/>
  <c r="V728" i="6"/>
  <c r="V739" i="6"/>
  <c r="V755" i="6"/>
  <c r="V715" i="6"/>
  <c r="V701" i="6"/>
  <c r="V705" i="6"/>
  <c r="V678" i="6"/>
  <c r="V695" i="6"/>
  <c r="V644" i="6"/>
  <c r="V641" i="6"/>
  <c r="V569" i="6"/>
  <c r="V1089" i="6"/>
  <c r="V1077" i="6"/>
  <c r="V1071" i="6"/>
  <c r="V1028" i="6"/>
  <c r="V1036" i="6"/>
  <c r="V1044" i="6"/>
  <c r="V1052" i="6"/>
  <c r="V1060" i="6"/>
  <c r="V781" i="6"/>
  <c r="V723" i="6"/>
  <c r="V734" i="6"/>
  <c r="V750" i="6"/>
  <c r="V711" i="6"/>
  <c r="V947" i="6"/>
  <c r="V670" i="6"/>
  <c r="V771" i="6"/>
  <c r="V791" i="6"/>
  <c r="V782" i="6"/>
  <c r="V724" i="6"/>
  <c r="V735" i="6"/>
  <c r="V751" i="6"/>
  <c r="V712" i="6"/>
  <c r="V671" i="6"/>
  <c r="V688" i="6"/>
  <c r="V655" i="6"/>
  <c r="V659" i="6"/>
  <c r="V593" i="6"/>
  <c r="V596" i="6"/>
  <c r="V599" i="6"/>
  <c r="V602" i="6"/>
  <c r="V638" i="6"/>
  <c r="V563" i="6"/>
  <c r="V566" i="6"/>
  <c r="V582" i="6"/>
  <c r="V585" i="6"/>
  <c r="V588" i="6"/>
  <c r="V1090" i="6"/>
  <c r="V1078" i="6"/>
  <c r="V1072" i="6"/>
  <c r="V1029" i="6"/>
  <c r="V1037" i="6"/>
  <c r="V1045" i="6"/>
  <c r="V1053" i="6"/>
  <c r="V1061" i="6"/>
  <c r="V1069" i="6"/>
  <c r="V778" i="6"/>
  <c r="V764" i="6"/>
  <c r="V731" i="6"/>
  <c r="V747" i="6"/>
  <c r="V708" i="6"/>
  <c r="V717" i="6"/>
  <c r="V703" i="6"/>
  <c r="V680" i="6"/>
  <c r="V693" i="6"/>
  <c r="V697" i="6"/>
  <c r="V642" i="6"/>
  <c r="V665" i="6"/>
  <c r="V605" i="6"/>
  <c r="V608" i="6"/>
  <c r="V614" i="6"/>
  <c r="V617" i="6"/>
  <c r="V620" i="6"/>
  <c r="V623" i="6"/>
  <c r="V626" i="6"/>
  <c r="V629" i="6"/>
  <c r="V632" i="6"/>
  <c r="V570" i="6"/>
  <c r="V573" i="6"/>
  <c r="V576" i="6"/>
  <c r="V773" i="6"/>
  <c r="V769" i="6"/>
  <c r="V743" i="6"/>
  <c r="V673" i="6"/>
  <c r="V696" i="6"/>
  <c r="V657" i="6"/>
  <c r="V624" i="6"/>
  <c r="V634" i="6"/>
  <c r="V639" i="6"/>
  <c r="V581" i="6"/>
  <c r="V589" i="6"/>
  <c r="V1087" i="6"/>
  <c r="V1074" i="6"/>
  <c r="V1027" i="6"/>
  <c r="V1034" i="6"/>
  <c r="V1041" i="6"/>
  <c r="V1059" i="6"/>
  <c r="V1066" i="6"/>
  <c r="V1093" i="6"/>
  <c r="V1021" i="6"/>
  <c r="V1012" i="6"/>
  <c r="V1120" i="6"/>
  <c r="V1107" i="6"/>
  <c r="V1098" i="6"/>
  <c r="V1342" i="6"/>
  <c r="V1339" i="6"/>
  <c r="V1267" i="6"/>
  <c r="V1265" i="6"/>
  <c r="V1331" i="6"/>
  <c r="V774" i="6"/>
  <c r="V729" i="6"/>
  <c r="V756" i="6"/>
  <c r="V658" i="6"/>
  <c r="V643" i="6"/>
  <c r="V649" i="6"/>
  <c r="V610" i="6"/>
  <c r="V615" i="6"/>
  <c r="V625" i="6"/>
  <c r="V630" i="6"/>
  <c r="V572" i="6"/>
  <c r="V577" i="6"/>
  <c r="V592" i="6"/>
  <c r="V1084" i="6"/>
  <c r="V1024" i="6"/>
  <c r="V1031" i="6"/>
  <c r="V1038" i="6"/>
  <c r="V1056" i="6"/>
  <c r="V1063" i="6"/>
  <c r="V1096" i="6"/>
  <c r="V1022" i="6"/>
  <c r="V1136" i="6"/>
  <c r="V1130" i="6"/>
  <c r="V1114" i="6"/>
  <c r="V1110" i="6"/>
  <c r="V1101" i="6"/>
  <c r="V1334" i="6"/>
  <c r="V1270" i="6"/>
  <c r="V1329" i="6"/>
  <c r="V1121" i="6"/>
  <c r="V768" i="6"/>
  <c r="V719" i="6"/>
  <c r="V758" i="6"/>
  <c r="V685" i="6"/>
  <c r="V650" i="6"/>
  <c r="V597" i="6"/>
  <c r="V567" i="6"/>
  <c r="V568" i="6"/>
  <c r="V586" i="6"/>
  <c r="V590" i="6"/>
  <c r="V1088" i="6"/>
  <c r="V1075" i="6"/>
  <c r="V1082" i="6"/>
  <c r="V1035" i="6"/>
  <c r="V1042" i="6"/>
  <c r="V1049" i="6"/>
  <c r="V1067" i="6"/>
  <c r="V1019" i="6"/>
  <c r="V1017" i="6"/>
  <c r="V1133" i="6"/>
  <c r="V1123" i="6"/>
  <c r="V1112" i="6"/>
  <c r="V1105" i="6"/>
  <c r="V779" i="6"/>
  <c r="V742" i="6"/>
  <c r="V760" i="6"/>
  <c r="V669" i="6"/>
  <c r="V681" i="6"/>
  <c r="V694" i="6"/>
  <c r="V647" i="6"/>
  <c r="V631" i="6"/>
  <c r="V1085" i="6"/>
  <c r="V1083" i="6"/>
  <c r="V1023" i="6"/>
  <c r="V1064" i="6"/>
  <c r="V1094" i="6"/>
  <c r="V1132" i="6"/>
  <c r="V1117" i="6"/>
  <c r="V1106" i="6"/>
  <c r="V1269" i="6"/>
  <c r="V1278" i="6"/>
  <c r="V1286" i="6"/>
  <c r="V1294" i="6"/>
  <c r="V1299" i="6"/>
  <c r="V1307" i="6"/>
  <c r="V1312" i="6"/>
  <c r="V1320" i="6"/>
  <c r="V1006" i="6"/>
  <c r="V978" i="6"/>
  <c r="V984" i="6"/>
  <c r="V988" i="6"/>
  <c r="V992" i="6"/>
  <c r="V996" i="6"/>
  <c r="V1000" i="6"/>
  <c r="V720" i="6"/>
  <c r="V594" i="6"/>
  <c r="V600" i="6"/>
  <c r="V616" i="6"/>
  <c r="V578" i="6"/>
  <c r="V584" i="6"/>
  <c r="V1047" i="6"/>
  <c r="V1058" i="6"/>
  <c r="V1018" i="6"/>
  <c r="V1013" i="6"/>
  <c r="V1129" i="6"/>
  <c r="V1113" i="6"/>
  <c r="V1336" i="6"/>
  <c r="V1340" i="6"/>
  <c r="V1266" i="6"/>
  <c r="V1273" i="6"/>
  <c r="V1281" i="6"/>
  <c r="V1289" i="6"/>
  <c r="V1302" i="6"/>
  <c r="V1315" i="6"/>
  <c r="V1323" i="6"/>
  <c r="U14" i="3"/>
  <c r="V856" i="6"/>
  <c r="V860" i="6"/>
  <c r="V864" i="6"/>
  <c r="V870" i="6"/>
  <c r="V874" i="6"/>
  <c r="V879" i="6"/>
  <c r="V748" i="6"/>
  <c r="V672" i="6"/>
  <c r="V686" i="6"/>
  <c r="V609" i="6"/>
  <c r="V1086" i="6"/>
  <c r="V1079" i="6"/>
  <c r="V1070" i="6"/>
  <c r="V1025" i="6"/>
  <c r="V1030" i="6"/>
  <c r="V1135" i="6"/>
  <c r="V1111" i="6"/>
  <c r="V1102" i="6"/>
  <c r="V1333" i="6"/>
  <c r="V1337" i="6"/>
  <c r="V1328" i="6"/>
  <c r="V1276" i="6"/>
  <c r="V1284" i="6"/>
  <c r="V1292" i="6"/>
  <c r="V1297" i="6"/>
  <c r="V1305" i="6"/>
  <c r="V1310" i="6"/>
  <c r="V1318" i="6"/>
  <c r="V1326" i="6"/>
  <c r="V1204" i="6"/>
  <c r="V1004" i="6"/>
  <c r="V981" i="6"/>
  <c r="V985" i="6"/>
  <c r="V989" i="6"/>
  <c r="V993" i="6"/>
  <c r="V997" i="6"/>
  <c r="V1001" i="6"/>
  <c r="V976" i="6"/>
  <c r="V950" i="6"/>
  <c r="V954" i="6"/>
  <c r="V958" i="6"/>
  <c r="V962" i="6"/>
  <c r="V966" i="6"/>
  <c r="V970" i="6"/>
  <c r="V974" i="6"/>
  <c r="V944" i="6"/>
  <c r="V941" i="6"/>
  <c r="V857" i="6"/>
  <c r="V861" i="6"/>
  <c r="V871" i="6"/>
  <c r="V880" i="6"/>
  <c r="V884" i="6"/>
  <c r="V709" i="6"/>
  <c r="V687" i="6"/>
  <c r="V651" i="6"/>
  <c r="V633" i="6"/>
  <c r="V1032" i="6"/>
  <c r="V1043" i="6"/>
  <c r="V1048" i="6"/>
  <c r="V1054" i="6"/>
  <c r="V1065" i="6"/>
  <c r="V1091" i="6"/>
  <c r="V1095" i="6"/>
  <c r="V1016" i="6"/>
  <c r="V1127" i="6"/>
  <c r="V1115" i="6"/>
  <c r="V1099" i="6"/>
  <c r="V1332" i="6"/>
  <c r="V1264" i="6"/>
  <c r="V1118" i="6"/>
  <c r="V1279" i="6"/>
  <c r="V1287" i="6"/>
  <c r="V1295" i="6"/>
  <c r="V1300" i="6"/>
  <c r="V1308" i="6"/>
  <c r="V1313" i="6"/>
  <c r="V1321" i="6"/>
  <c r="U17" i="3"/>
  <c r="V865" i="6"/>
  <c r="V875" i="6"/>
  <c r="V679" i="6"/>
  <c r="V656" i="6"/>
  <c r="V621" i="6"/>
  <c r="V1080" i="6"/>
  <c r="V1026" i="6"/>
  <c r="V1122" i="6"/>
  <c r="V1335" i="6"/>
  <c r="V1125" i="6"/>
  <c r="V1288" i="6"/>
  <c r="V1314" i="6"/>
  <c r="V982" i="6"/>
  <c r="V990" i="6"/>
  <c r="V998" i="6"/>
  <c r="V977" i="6"/>
  <c r="V952" i="6"/>
  <c r="V959" i="6"/>
  <c r="V945" i="6"/>
  <c r="V894" i="6"/>
  <c r="V867" i="6"/>
  <c r="V877" i="6"/>
  <c r="V876" i="6"/>
  <c r="V891" i="6"/>
  <c r="V802" i="6"/>
  <c r="V811" i="6"/>
  <c r="V816" i="6"/>
  <c r="V820" i="6"/>
  <c r="V130" i="6"/>
  <c r="V57" i="6"/>
  <c r="V62" i="6"/>
  <c r="V44" i="6"/>
  <c r="V35" i="6"/>
  <c r="V821" i="6"/>
  <c r="V129" i="6"/>
  <c r="V54" i="6"/>
  <c r="V63" i="6"/>
  <c r="V43" i="6"/>
  <c r="V1092" i="6"/>
  <c r="V1338" i="6"/>
  <c r="V1268" i="6"/>
  <c r="V1285" i="6"/>
  <c r="V1306" i="6"/>
  <c r="V1311" i="6"/>
  <c r="V888" i="6"/>
  <c r="V799" i="6"/>
  <c r="V763" i="6"/>
  <c r="V607" i="6"/>
  <c r="V622" i="6"/>
  <c r="V637" i="6"/>
  <c r="V575" i="6"/>
  <c r="V1039" i="6"/>
  <c r="V1050" i="6"/>
  <c r="V1020" i="6"/>
  <c r="V1014" i="6"/>
  <c r="V1108" i="6"/>
  <c r="V1272" i="6"/>
  <c r="V1330" i="6"/>
  <c r="V1283" i="6"/>
  <c r="V1304" i="6"/>
  <c r="V1309" i="6"/>
  <c r="V1325" i="6"/>
  <c r="U44" i="3"/>
  <c r="V975" i="6"/>
  <c r="V965" i="6"/>
  <c r="V972" i="6"/>
  <c r="V946" i="6"/>
  <c r="V855" i="6"/>
  <c r="V862" i="6"/>
  <c r="V883" i="6"/>
  <c r="V851" i="6"/>
  <c r="V822" i="6"/>
  <c r="V807" i="6"/>
  <c r="V812" i="6"/>
  <c r="V796" i="6"/>
  <c r="V134" i="6"/>
  <c r="V53" i="6"/>
  <c r="V58" i="6"/>
  <c r="V48" i="6"/>
  <c r="V39" i="6"/>
  <c r="V34" i="6"/>
  <c r="V689" i="6"/>
  <c r="V1040" i="6"/>
  <c r="V1051" i="6"/>
  <c r="V863" i="6"/>
  <c r="V852" i="6"/>
  <c r="V804" i="6"/>
  <c r="V813" i="6"/>
  <c r="V702" i="6"/>
  <c r="V663" i="6"/>
  <c r="V595" i="6"/>
  <c r="V564" i="6"/>
  <c r="V580" i="6"/>
  <c r="V591" i="6"/>
  <c r="V1081" i="6"/>
  <c r="V1274" i="6"/>
  <c r="V1290" i="6"/>
  <c r="V1316" i="6"/>
  <c r="V1005" i="6"/>
  <c r="V983" i="6"/>
  <c r="V991" i="6"/>
  <c r="V999" i="6"/>
  <c r="V953" i="6"/>
  <c r="V960" i="6"/>
  <c r="V967" i="6"/>
  <c r="V895" i="6"/>
  <c r="V878" i="6"/>
  <c r="V885" i="6"/>
  <c r="V892" i="6"/>
  <c r="V803" i="6"/>
  <c r="V808" i="6"/>
  <c r="V817" i="6"/>
  <c r="V612" i="6"/>
  <c r="V1062" i="6"/>
  <c r="V1128" i="6"/>
  <c r="V1100" i="6"/>
  <c r="V948" i="6"/>
  <c r="V955" i="6"/>
  <c r="V973" i="6"/>
  <c r="V943" i="6"/>
  <c r="V872" i="6"/>
  <c r="V732" i="6"/>
  <c r="V704" i="6"/>
  <c r="V645" i="6"/>
  <c r="V598" i="6"/>
  <c r="V628" i="6"/>
  <c r="V1015" i="6"/>
  <c r="V1109" i="6"/>
  <c r="V1119" i="6"/>
  <c r="V1280" i="6"/>
  <c r="V1301" i="6"/>
  <c r="V1322" i="6"/>
  <c r="U28" i="3"/>
  <c r="V979" i="6"/>
  <c r="V986" i="6"/>
  <c r="V994" i="6"/>
  <c r="V1002" i="6"/>
  <c r="V961" i="6"/>
  <c r="V968" i="6"/>
  <c r="V939" i="6"/>
  <c r="V858" i="6"/>
  <c r="V886" i="6"/>
  <c r="V893" i="6"/>
  <c r="V800" i="6"/>
  <c r="V809" i="6"/>
  <c r="V818" i="6"/>
  <c r="V132" i="6"/>
  <c r="V55" i="6"/>
  <c r="V64" i="6"/>
  <c r="V42" i="6"/>
  <c r="V37" i="6"/>
  <c r="V613" i="6"/>
  <c r="V583" i="6"/>
  <c r="V740" i="6"/>
  <c r="V1033" i="6"/>
  <c r="V1282" i="6"/>
  <c r="V1296" i="6"/>
  <c r="V1324" i="6"/>
  <c r="V951" i="6"/>
  <c r="V889" i="6"/>
  <c r="V798" i="6"/>
  <c r="V131" i="6"/>
  <c r="V56" i="6"/>
  <c r="V50" i="6"/>
  <c r="V1011" i="6"/>
  <c r="V1103" i="6"/>
  <c r="V1341" i="6"/>
  <c r="V815" i="6"/>
  <c r="V49" i="6"/>
  <c r="V40" i="6"/>
  <c r="V868" i="6"/>
  <c r="V819" i="6"/>
  <c r="V1131" i="6"/>
  <c r="V1343" i="6"/>
  <c r="V1291" i="6"/>
  <c r="V1213" i="6"/>
  <c r="V854" i="6"/>
  <c r="V897" i="6"/>
  <c r="V794" i="6"/>
  <c r="V52" i="6"/>
  <c r="V618" i="6"/>
  <c r="V1104" i="6"/>
  <c r="V1327" i="6"/>
  <c r="V1277" i="6"/>
  <c r="V795" i="6"/>
  <c r="V949" i="6"/>
  <c r="V859" i="6"/>
  <c r="V814" i="6"/>
  <c r="V716" i="6"/>
  <c r="V664" i="6"/>
  <c r="V636" i="6"/>
  <c r="V969" i="6"/>
  <c r="V882" i="6"/>
  <c r="V890" i="6"/>
  <c r="V805" i="6"/>
  <c r="V60" i="6"/>
  <c r="V786" i="6"/>
  <c r="V1003" i="6"/>
  <c r="V963" i="6"/>
  <c r="V810" i="6"/>
  <c r="V133" i="6"/>
  <c r="V61" i="6"/>
  <c r="V1097" i="6"/>
  <c r="V1057" i="6"/>
  <c r="V1134" i="6"/>
  <c r="V987" i="6"/>
  <c r="V938" i="6"/>
  <c r="V887" i="6"/>
  <c r="V797" i="6"/>
  <c r="V1068" i="6"/>
  <c r="V1298" i="6"/>
  <c r="U13" i="3"/>
  <c r="V995" i="6"/>
  <c r="V956" i="6"/>
  <c r="V971" i="6"/>
  <c r="V866" i="6"/>
  <c r="V853" i="6"/>
  <c r="V128" i="6"/>
  <c r="V59" i="6"/>
  <c r="V47" i="6"/>
  <c r="V38" i="6"/>
  <c r="V574" i="6"/>
  <c r="V1076" i="6"/>
  <c r="V1124" i="6"/>
  <c r="V896" i="6"/>
  <c r="V806" i="6"/>
  <c r="V135" i="6"/>
  <c r="V51" i="6"/>
  <c r="V46" i="6"/>
  <c r="V873" i="6"/>
  <c r="V45" i="6"/>
  <c r="V36" i="6"/>
  <c r="V677" i="6"/>
  <c r="V604" i="6"/>
  <c r="V1073" i="6"/>
  <c r="V1055" i="6"/>
  <c r="V1319" i="6"/>
  <c r="V942" i="6"/>
  <c r="V869" i="6"/>
  <c r="V136" i="6"/>
  <c r="V1293" i="6"/>
  <c r="V964" i="6"/>
  <c r="V881" i="6"/>
  <c r="V801" i="6"/>
  <c r="V41" i="6"/>
  <c r="V603" i="6"/>
  <c r="V1046" i="6"/>
  <c r="V1116" i="6"/>
  <c r="V1271" i="6"/>
  <c r="V1275" i="6"/>
  <c r="V1303" i="6"/>
  <c r="V1317" i="6"/>
  <c r="V980" i="6"/>
  <c r="V957" i="6"/>
  <c r="V940" i="6"/>
  <c r="V252" i="6"/>
  <c r="V1250" i="6"/>
  <c r="V1263" i="6"/>
  <c r="V1256" i="6"/>
  <c r="V1254" i="6"/>
  <c r="V1255" i="6"/>
  <c r="V1257" i="6"/>
  <c r="V1258" i="6"/>
  <c r="V1259" i="6"/>
  <c r="V1260" i="6"/>
  <c r="V1261" i="6"/>
  <c r="V1262" i="6"/>
  <c r="V98" i="6"/>
  <c r="V447" i="6"/>
  <c r="V475" i="6"/>
  <c r="V478" i="6"/>
  <c r="V539" i="6"/>
  <c r="V263" i="6"/>
  <c r="V269" i="6"/>
  <c r="V450" i="6"/>
  <c r="V481" i="6"/>
  <c r="U108" i="3"/>
  <c r="V479" i="6"/>
  <c r="U77" i="3"/>
  <c r="V550" i="6"/>
  <c r="V164" i="6"/>
  <c r="V349" i="6"/>
  <c r="V29" i="6"/>
  <c r="V189" i="6"/>
  <c r="V286" i="6"/>
  <c r="V149" i="6"/>
  <c r="V92" i="6"/>
  <c r="V1178" i="6"/>
  <c r="V203" i="6"/>
  <c r="V262" i="6"/>
  <c r="V395" i="6"/>
  <c r="V154" i="6"/>
  <c r="V443" i="6"/>
  <c r="V91" i="6"/>
  <c r="V182" i="6"/>
  <c r="V467" i="6"/>
  <c r="V162" i="6"/>
  <c r="V111" i="6"/>
  <c r="V1174" i="6"/>
  <c r="V153" i="6"/>
  <c r="V296" i="6"/>
  <c r="V169" i="6"/>
  <c r="V334" i="6"/>
  <c r="V238" i="6"/>
  <c r="V125" i="6"/>
  <c r="V458" i="6"/>
  <c r="V321" i="6"/>
  <c r="V466" i="6"/>
  <c r="V95" i="6"/>
  <c r="V1209" i="6"/>
  <c r="U37" i="3"/>
  <c r="V552" i="6"/>
  <c r="V318" i="6"/>
  <c r="V208" i="6"/>
  <c r="V351" i="6"/>
  <c r="V490" i="6"/>
  <c r="V330" i="6"/>
  <c r="V119" i="6"/>
  <c r="U73" i="3"/>
  <c r="V506" i="6"/>
  <c r="V230" i="6"/>
  <c r="V537" i="6"/>
  <c r="V551" i="6"/>
  <c r="V399" i="6"/>
  <c r="U70" i="3"/>
  <c r="V1186" i="6"/>
  <c r="V127" i="6"/>
  <c r="V379" i="6"/>
  <c r="V423" i="6"/>
  <c r="V1173" i="6"/>
  <c r="V416" i="6"/>
  <c r="V488" i="6"/>
  <c r="V266" i="6"/>
  <c r="V197" i="6"/>
  <c r="V339" i="6"/>
  <c r="V366" i="6"/>
  <c r="V425" i="6"/>
  <c r="V505" i="6"/>
  <c r="V30" i="6"/>
  <c r="V152" i="6"/>
  <c r="V267" i="6"/>
  <c r="V184" i="6"/>
  <c r="V18" i="6"/>
  <c r="U119" i="3"/>
  <c r="V396" i="6"/>
  <c r="V138" i="6"/>
  <c r="V274" i="6"/>
  <c r="V329" i="6"/>
  <c r="V283" i="6"/>
  <c r="V545" i="6"/>
  <c r="V139" i="6"/>
  <c r="V254" i="6"/>
  <c r="V204" i="6"/>
  <c r="U22" i="3"/>
  <c r="V370" i="6"/>
  <c r="V538" i="6"/>
  <c r="V26" i="6"/>
  <c r="V247" i="6"/>
  <c r="V186" i="6"/>
  <c r="V342" i="6"/>
  <c r="V217" i="6"/>
  <c r="V371" i="6"/>
  <c r="V1158" i="6"/>
  <c r="V158" i="6"/>
  <c r="V405" i="6"/>
  <c r="V114" i="6"/>
  <c r="V452" i="6"/>
  <c r="V151" i="6"/>
  <c r="U71" i="3"/>
  <c r="V390" i="6"/>
  <c r="V287" i="6"/>
  <c r="V432" i="6"/>
  <c r="V104" i="6"/>
  <c r="V160" i="6"/>
  <c r="V309" i="6"/>
  <c r="V348" i="6"/>
  <c r="U115" i="3"/>
  <c r="V392" i="6"/>
  <c r="V1195" i="6"/>
  <c r="V510" i="6"/>
  <c r="V1210" i="6"/>
  <c r="V219" i="6"/>
  <c r="V316" i="6"/>
  <c r="V202" i="6"/>
  <c r="V332" i="6"/>
  <c r="V1167" i="6"/>
  <c r="V554" i="6"/>
  <c r="U7" i="3"/>
  <c r="V435" i="6"/>
  <c r="V508" i="6"/>
  <c r="V275" i="6"/>
  <c r="V212" i="6"/>
  <c r="U96" i="3"/>
  <c r="V442" i="6"/>
  <c r="V549" i="6"/>
  <c r="V1242" i="6"/>
  <c r="V258" i="6"/>
  <c r="V199" i="6"/>
  <c r="V15" i="6"/>
  <c r="V259" i="6"/>
  <c r="V459" i="6"/>
  <c r="V1179" i="6"/>
  <c r="V187" i="6"/>
  <c r="V145" i="6"/>
  <c r="V200" i="6"/>
  <c r="U42" i="3"/>
  <c r="V333" i="6"/>
  <c r="V148" i="6"/>
  <c r="V1190" i="6"/>
  <c r="V338" i="6"/>
  <c r="V486" i="6"/>
  <c r="V211" i="6"/>
  <c r="V96" i="6"/>
  <c r="V179" i="6"/>
  <c r="V494" i="6"/>
  <c r="V355" i="6"/>
  <c r="V304" i="6"/>
  <c r="V245" i="6"/>
  <c r="V557" i="6"/>
  <c r="U113" i="3"/>
  <c r="V7" i="6"/>
  <c r="V28" i="6"/>
  <c r="V406" i="6"/>
  <c r="U76" i="3"/>
  <c r="V495" i="6"/>
  <c r="V362" i="6"/>
  <c r="U122" i="3"/>
  <c r="U118" i="3"/>
  <c r="V357" i="6"/>
  <c r="V437" i="6"/>
  <c r="V1166" i="6"/>
  <c r="V311" i="6"/>
  <c r="V159" i="6"/>
  <c r="V101" i="6"/>
  <c r="V430" i="6"/>
  <c r="V448" i="6"/>
  <c r="V1159" i="6"/>
  <c r="V1180" i="6"/>
  <c r="U4" i="3"/>
  <c r="V1145" i="6"/>
  <c r="V256" i="6"/>
  <c r="V519" i="6"/>
  <c r="V422" i="6"/>
  <c r="V381" i="6"/>
  <c r="U111" i="3"/>
  <c r="U26" i="3"/>
  <c r="V1164" i="6"/>
  <c r="U5" i="3"/>
  <c r="U103" i="3"/>
  <c r="U64" i="3"/>
  <c r="U100" i="3"/>
  <c r="V1148" i="6"/>
  <c r="V1206" i="6"/>
  <c r="V373" i="6"/>
  <c r="U34" i="3"/>
  <c r="U61" i="3"/>
  <c r="U116" i="3"/>
  <c r="V1181" i="6"/>
  <c r="V378" i="6"/>
  <c r="V393" i="6"/>
  <c r="V476" i="6"/>
  <c r="V426" i="6"/>
  <c r="V540" i="6"/>
  <c r="V515" i="6"/>
  <c r="V105" i="6"/>
  <c r="V140" i="6"/>
  <c r="V155" i="6"/>
  <c r="V228" i="6"/>
  <c r="V260" i="6"/>
  <c r="V328" i="6"/>
  <c r="U18" i="3"/>
  <c r="U98" i="3"/>
  <c r="V1150" i="6"/>
  <c r="V352" i="6"/>
  <c r="V382" i="6"/>
  <c r="V461" i="6"/>
  <c r="V407" i="6"/>
  <c r="U12" i="3"/>
  <c r="U101" i="3"/>
  <c r="V8" i="6"/>
  <c r="V438" i="6"/>
  <c r="V400" i="6"/>
  <c r="V482" i="6"/>
  <c r="V504" i="6"/>
  <c r="V99" i="6"/>
  <c r="V121" i="6"/>
  <c r="V218" i="6"/>
  <c r="V255" i="6"/>
  <c r="V322" i="6"/>
  <c r="V183" i="6"/>
  <c r="V205" i="6"/>
  <c r="V335" i="6"/>
  <c r="U67" i="3"/>
  <c r="U125" i="3"/>
  <c r="V1185" i="6"/>
  <c r="V297" i="6"/>
  <c r="V455" i="6"/>
  <c r="V409" i="6"/>
  <c r="V483" i="6"/>
  <c r="V558" i="6"/>
  <c r="V516" i="6"/>
  <c r="V106" i="6"/>
  <c r="V122" i="6"/>
  <c r="V1246" i="6"/>
  <c r="V161" i="6"/>
  <c r="V225" i="6"/>
  <c r="V251" i="6"/>
  <c r="V310" i="6"/>
  <c r="V210" i="6"/>
  <c r="V336" i="6"/>
  <c r="V1146" i="6"/>
  <c r="V300" i="6"/>
  <c r="V428" i="6"/>
  <c r="V496" i="6"/>
  <c r="V107" i="6"/>
  <c r="V231" i="6"/>
  <c r="V312" i="6"/>
  <c r="V195" i="6"/>
  <c r="V306" i="6"/>
  <c r="V1147" i="6"/>
  <c r="V301" i="6"/>
  <c r="V413" i="6"/>
  <c r="V1141" i="6"/>
  <c r="V6" i="6"/>
  <c r="U8" i="3"/>
  <c r="V1143" i="6"/>
  <c r="V16" i="6"/>
  <c r="V389" i="6"/>
  <c r="V398" i="6"/>
  <c r="V1200" i="6"/>
  <c r="V499" i="6"/>
  <c r="V117" i="6"/>
  <c r="V1253" i="6"/>
  <c r="V220" i="6"/>
  <c r="V276" i="6"/>
  <c r="V173" i="6"/>
  <c r="U112" i="3"/>
  <c r="V1182" i="6"/>
  <c r="V285" i="6"/>
  <c r="V465" i="6"/>
  <c r="V427" i="6"/>
  <c r="U79" i="3"/>
  <c r="V364" i="6"/>
  <c r="V454" i="6"/>
  <c r="V1201" i="6"/>
  <c r="V509" i="6"/>
  <c r="V120" i="6"/>
  <c r="V1251" i="6"/>
  <c r="V223" i="6"/>
  <c r="V277" i="6"/>
  <c r="V178" i="6"/>
  <c r="V213" i="6"/>
  <c r="V308" i="6"/>
  <c r="U16" i="3"/>
  <c r="U90" i="3"/>
  <c r="V1163" i="6"/>
  <c r="V376" i="6"/>
  <c r="V463" i="6"/>
  <c r="V1187" i="6"/>
  <c r="V553" i="6"/>
  <c r="V19" i="6"/>
  <c r="V116" i="6"/>
  <c r="V1241" i="6"/>
  <c r="V146" i="6"/>
  <c r="V241" i="6"/>
  <c r="V273" i="6"/>
  <c r="V168" i="6"/>
  <c r="V198" i="6"/>
  <c r="V345" i="6"/>
  <c r="U72" i="3"/>
  <c r="V380" i="6"/>
  <c r="V1198" i="6"/>
  <c r="V21" i="6"/>
  <c r="V1212" i="6"/>
  <c r="V242" i="6"/>
  <c r="V170" i="6"/>
  <c r="V1208" i="6"/>
  <c r="V397" i="6"/>
  <c r="V497" i="6"/>
  <c r="V108" i="6"/>
  <c r="V1249" i="6"/>
  <c r="V233" i="6"/>
  <c r="V313" i="6"/>
  <c r="V188" i="6"/>
  <c r="V307" i="6"/>
  <c r="U129" i="3"/>
  <c r="V387" i="6"/>
  <c r="V420" i="6"/>
  <c r="V559" i="6"/>
  <c r="V112" i="6"/>
  <c r="V226" i="6"/>
  <c r="V317" i="6"/>
  <c r="V191" i="6"/>
  <c r="V302" i="6"/>
  <c r="U109" i="3"/>
  <c r="V492" i="6"/>
  <c r="V326" i="6"/>
  <c r="V249" i="6"/>
  <c r="V1243" i="6"/>
  <c r="V176" i="6"/>
  <c r="V502" i="6"/>
  <c r="U60" i="3"/>
  <c r="V270" i="6"/>
  <c r="V1191" i="6"/>
  <c r="V343" i="6"/>
  <c r="V27" i="6"/>
  <c r="V350" i="6"/>
  <c r="V325" i="6"/>
  <c r="V215" i="6"/>
  <c r="V124" i="6"/>
  <c r="V512" i="6"/>
  <c r="V404" i="6"/>
  <c r="V13" i="6"/>
  <c r="U40" i="3"/>
  <c r="V171" i="6"/>
  <c r="V243" i="6"/>
  <c r="V518" i="6"/>
  <c r="V1199" i="6"/>
  <c r="V1169" i="6"/>
  <c r="V346" i="6"/>
  <c r="V180" i="6"/>
  <c r="V221" i="6"/>
  <c r="V31" i="6"/>
  <c r="V485" i="6"/>
  <c r="V359" i="6"/>
  <c r="U6" i="3"/>
  <c r="V305" i="6"/>
  <c r="V194" i="6"/>
  <c r="V1009" i="6"/>
  <c r="V246" i="6"/>
  <c r="V137" i="6"/>
  <c r="V90" i="6"/>
  <c r="V542" i="6"/>
  <c r="V401" i="6"/>
  <c r="V384" i="6"/>
  <c r="V1142" i="6"/>
  <c r="V331" i="6"/>
  <c r="V201" i="6"/>
  <c r="V327" i="6"/>
  <c r="V239" i="6"/>
  <c r="V1239" i="6"/>
  <c r="V23" i="6"/>
  <c r="V546" i="6"/>
  <c r="V446" i="6"/>
  <c r="V1162" i="6"/>
  <c r="V1193" i="6"/>
  <c r="V449" i="6"/>
  <c r="V374" i="6"/>
  <c r="U117" i="3"/>
  <c r="V1007" i="6"/>
  <c r="V236" i="6"/>
  <c r="V1244" i="6"/>
  <c r="V20" i="6"/>
  <c r="V484" i="6"/>
  <c r="V464" i="6"/>
  <c r="V284" i="6"/>
  <c r="V1149" i="6"/>
  <c r="V361" i="6"/>
  <c r="V1160" i="6"/>
  <c r="U69" i="3"/>
  <c r="U95" i="3"/>
  <c r="U62" i="3"/>
  <c r="U33" i="3"/>
  <c r="U24" i="3"/>
  <c r="V166" i="6"/>
  <c r="U15" i="3"/>
  <c r="U41" i="3"/>
  <c r="U74" i="3"/>
  <c r="U107" i="3"/>
  <c r="U23" i="3"/>
  <c r="U27" i="3"/>
  <c r="U49" i="3"/>
  <c r="U89" i="3"/>
  <c r="U114" i="3"/>
  <c r="V1137" i="6"/>
  <c r="V1152" i="6"/>
  <c r="V1168" i="6"/>
  <c r="V1184" i="6"/>
  <c r="V14" i="6"/>
  <c r="V365" i="6"/>
  <c r="V282" i="6"/>
  <c r="U19" i="3"/>
  <c r="U30" i="3"/>
  <c r="U92" i="3"/>
  <c r="U104" i="3"/>
  <c r="U127" i="3"/>
  <c r="V1154" i="6"/>
  <c r="V1175" i="6"/>
  <c r="V11" i="6"/>
  <c r="V367" i="6"/>
  <c r="V289" i="6"/>
  <c r="V385" i="6"/>
  <c r="V440" i="6"/>
  <c r="V456" i="6"/>
  <c r="V472" i="6"/>
  <c r="V402" i="6"/>
  <c r="V418" i="6"/>
  <c r="V1188" i="6"/>
  <c r="V480" i="6"/>
  <c r="V544" i="6"/>
  <c r="V560" i="6"/>
  <c r="V507" i="6"/>
  <c r="V491" i="6"/>
  <c r="V97" i="6"/>
  <c r="V113" i="6"/>
  <c r="V32" i="6"/>
  <c r="V144" i="6"/>
  <c r="V1248" i="6"/>
  <c r="V163" i="6"/>
  <c r="V216" i="6"/>
  <c r="V232" i="6"/>
  <c r="V248" i="6"/>
  <c r="V264" i="6"/>
  <c r="V280" i="6"/>
  <c r="V320" i="6"/>
  <c r="V181" i="6"/>
  <c r="U21" i="3"/>
  <c r="U39" i="3"/>
  <c r="U46" i="3"/>
  <c r="U93" i="3"/>
  <c r="U106" i="3"/>
  <c r="U128" i="3"/>
  <c r="V1155" i="6"/>
  <c r="V1177" i="6"/>
  <c r="V12" i="6"/>
  <c r="V368" i="6"/>
  <c r="V291" i="6"/>
  <c r="V386" i="6"/>
  <c r="V441" i="6"/>
  <c r="V457" i="6"/>
  <c r="V473" i="6"/>
  <c r="V403" i="6"/>
  <c r="V419" i="6"/>
  <c r="V1189" i="6"/>
  <c r="U10" i="3"/>
  <c r="U78" i="3"/>
  <c r="U99" i="3"/>
  <c r="U36" i="3"/>
  <c r="U38" i="3"/>
  <c r="U94" i="3"/>
  <c r="U105" i="3"/>
  <c r="U126" i="3"/>
  <c r="V1156" i="6"/>
  <c r="V1176" i="6"/>
  <c r="V10" i="6"/>
  <c r="V369" i="6"/>
  <c r="V290" i="6"/>
  <c r="U68" i="3"/>
  <c r="V1139" i="6"/>
  <c r="V1165" i="6"/>
  <c r="V5" i="6"/>
  <c r="V372" i="6"/>
  <c r="V298" i="6"/>
  <c r="V436" i="6"/>
  <c r="V460" i="6"/>
  <c r="V394" i="6"/>
  <c r="V414" i="6"/>
  <c r="V1192" i="6"/>
  <c r="V536" i="6"/>
  <c r="V556" i="6"/>
  <c r="V511" i="6"/>
  <c r="V89" i="6"/>
  <c r="V109" i="6"/>
  <c r="V123" i="6"/>
  <c r="V1240" i="6"/>
  <c r="V147" i="6"/>
  <c r="V224" i="6"/>
  <c r="V244" i="6"/>
  <c r="V268" i="6"/>
  <c r="V315" i="6"/>
  <c r="V185" i="6"/>
  <c r="U63" i="3"/>
  <c r="U123" i="3"/>
  <c r="V1161" i="6"/>
  <c r="V1205" i="6"/>
  <c r="V363" i="6"/>
  <c r="V295" i="6"/>
  <c r="V433" i="6"/>
  <c r="V453" i="6"/>
  <c r="V477" i="6"/>
  <c r="V411" i="6"/>
  <c r="V431" i="6"/>
  <c r="U65" i="3"/>
  <c r="U124" i="3"/>
  <c r="V1183" i="6"/>
  <c r="V375" i="6"/>
  <c r="V391" i="6"/>
  <c r="V462" i="6"/>
  <c r="V408" i="6"/>
  <c r="V1194" i="6"/>
  <c r="V541" i="6"/>
  <c r="V562" i="6"/>
  <c r="V514" i="6"/>
  <c r="V94" i="6"/>
  <c r="V115" i="6"/>
  <c r="V126" i="6"/>
  <c r="V1245" i="6"/>
  <c r="V150" i="6"/>
  <c r="V229" i="6"/>
  <c r="V250" i="6"/>
  <c r="V271" i="6"/>
  <c r="V1008" i="6"/>
  <c r="V167" i="6"/>
  <c r="V513" i="6"/>
  <c r="V388" i="6"/>
  <c r="U97" i="3"/>
  <c r="U25" i="3"/>
  <c r="V281" i="6"/>
  <c r="V103" i="6"/>
  <c r="V293" i="6"/>
  <c r="V303" i="6"/>
  <c r="V227" i="6"/>
  <c r="V561" i="6"/>
  <c r="V1138" i="6"/>
  <c r="V192" i="6"/>
  <c r="V421" i="6"/>
  <c r="U32" i="3"/>
  <c r="V207" i="6"/>
  <c r="V175" i="6"/>
  <c r="V279" i="6"/>
  <c r="V237" i="6"/>
  <c r="V157" i="6"/>
  <c r="V143" i="6"/>
  <c r="V102" i="6"/>
  <c r="V501" i="6"/>
  <c r="V1203" i="6"/>
  <c r="V474" i="6"/>
  <c r="V292" i="6"/>
  <c r="V1157" i="6"/>
  <c r="U47" i="3"/>
  <c r="V347" i="6"/>
  <c r="V196" i="6"/>
  <c r="V265" i="6"/>
  <c r="V222" i="6"/>
  <c r="V33" i="6"/>
  <c r="V22" i="6"/>
  <c r="V555" i="6"/>
  <c r="V429" i="6"/>
  <c r="V451" i="6"/>
  <c r="V360" i="6"/>
  <c r="U120" i="3"/>
  <c r="V337" i="6"/>
  <c r="V319" i="6"/>
  <c r="V253" i="6"/>
  <c r="V1247" i="6"/>
  <c r="V118" i="6"/>
  <c r="V517" i="6"/>
  <c r="V543" i="6"/>
  <c r="V412" i="6"/>
  <c r="V434" i="6"/>
  <c r="V1207" i="6"/>
  <c r="V341" i="6"/>
  <c r="V206" i="6"/>
  <c r="V190" i="6"/>
  <c r="V174" i="6"/>
  <c r="V323" i="6"/>
  <c r="V278" i="6"/>
  <c r="V257" i="6"/>
  <c r="V235" i="6"/>
  <c r="V214" i="6"/>
  <c r="V156" i="6"/>
  <c r="V1252" i="6"/>
  <c r="V142" i="6"/>
  <c r="V25" i="6"/>
  <c r="V100" i="6"/>
  <c r="V489" i="6"/>
  <c r="V500" i="6"/>
  <c r="V547" i="6"/>
  <c r="V1202" i="6"/>
  <c r="V417" i="6"/>
  <c r="V471" i="6"/>
  <c r="V439" i="6"/>
  <c r="V288" i="6"/>
  <c r="V9" i="6"/>
  <c r="V1153" i="6"/>
  <c r="U102" i="3"/>
  <c r="U45" i="3"/>
  <c r="U29" i="3"/>
  <c r="V344" i="6"/>
  <c r="V17" i="6"/>
  <c r="V209" i="6"/>
  <c r="V193" i="6"/>
  <c r="V172" i="6"/>
  <c r="V314" i="6"/>
  <c r="V261" i="6"/>
  <c r="V234" i="6"/>
  <c r="V165" i="6"/>
  <c r="V141" i="6"/>
  <c r="V110" i="6"/>
  <c r="V493" i="6"/>
  <c r="V498" i="6"/>
  <c r="V487" i="6"/>
  <c r="V424" i="6"/>
  <c r="V470" i="6"/>
  <c r="V383" i="6"/>
  <c r="V354" i="6"/>
  <c r="V1151" i="6"/>
  <c r="U43" i="3"/>
  <c r="V1197" i="6"/>
  <c r="V415" i="6"/>
  <c r="V469" i="6"/>
  <c r="V445" i="6"/>
  <c r="V299" i="6"/>
  <c r="V358" i="6"/>
  <c r="V1171" i="6"/>
  <c r="V1140" i="6"/>
  <c r="V177" i="6"/>
  <c r="V324" i="6"/>
  <c r="V272" i="6"/>
  <c r="V240" i="6"/>
  <c r="V1211" i="6"/>
  <c r="V24" i="6"/>
  <c r="V93" i="6"/>
  <c r="V503" i="6"/>
  <c r="V548" i="6"/>
  <c r="V1196" i="6"/>
  <c r="V410" i="6"/>
  <c r="V468" i="6"/>
  <c r="V444" i="6"/>
  <c r="V294" i="6"/>
  <c r="V356" i="6"/>
  <c r="V1170" i="6"/>
  <c r="U121" i="3"/>
  <c r="V377" i="6"/>
  <c r="V353" i="6"/>
  <c r="V1172" i="6"/>
  <c r="V1144" i="6"/>
  <c r="U110" i="3"/>
  <c r="U75" i="3"/>
  <c r="U35" i="3"/>
  <c r="U11" i="3"/>
  <c r="U48" i="3"/>
  <c r="U91" i="3"/>
  <c r="U66" i="3"/>
  <c r="U31" i="3"/>
  <c r="U20" i="3"/>
  <c r="A4" i="15" a="1"/>
  <c r="I20" i="15" s="1"/>
  <c r="D29" i="4"/>
  <c r="J23" i="4"/>
  <c r="I23" i="4"/>
  <c r="G23" i="4"/>
  <c r="E23" i="4"/>
  <c r="D23" i="4"/>
  <c r="C23" i="4"/>
  <c r="B23" i="4"/>
  <c r="A23" i="4"/>
  <c r="H17" i="4"/>
  <c r="F17" i="4"/>
  <c r="H16" i="4"/>
  <c r="F16" i="4"/>
  <c r="H15" i="4"/>
  <c r="F15" i="4"/>
  <c r="H14" i="4"/>
  <c r="F14" i="4"/>
  <c r="H13" i="4"/>
  <c r="F13" i="4"/>
  <c r="J9" i="4"/>
  <c r="K4" i="4" s="1"/>
  <c r="I9" i="4"/>
  <c r="G9" i="4"/>
  <c r="E9" i="4"/>
  <c r="D9" i="4"/>
  <c r="C9" i="4"/>
  <c r="H6" i="4"/>
  <c r="H5" i="4"/>
  <c r="F5" i="4"/>
  <c r="H4" i="4"/>
  <c r="F4" i="4"/>
  <c r="H3" i="4"/>
  <c r="F3" i="4"/>
  <c r="Z1377" i="6"/>
  <c r="X1377" i="6"/>
  <c r="T1377" i="6"/>
  <c r="S1377" i="6"/>
  <c r="O120" i="3"/>
  <c r="O119" i="3"/>
  <c r="O118" i="3"/>
  <c r="O117" i="3"/>
  <c r="O116" i="3"/>
  <c r="O90" i="3"/>
  <c r="O89" i="3"/>
  <c r="O69" i="3"/>
  <c r="O60" i="3"/>
  <c r="O37" i="3"/>
  <c r="O19" i="3"/>
  <c r="N59" i="3" l="1"/>
  <c r="N139" i="3"/>
  <c r="O139" i="3" s="1"/>
  <c r="N137" i="3"/>
  <c r="O137" i="3" s="1"/>
  <c r="N138" i="3"/>
  <c r="O138" i="3" s="1"/>
  <c r="N136" i="3"/>
  <c r="O136" i="3" s="1"/>
  <c r="Q53" i="3"/>
  <c r="T53" i="3" s="1"/>
  <c r="V53" i="3" s="1"/>
  <c r="Q58" i="3"/>
  <c r="T58" i="3" s="1"/>
  <c r="V58" i="3" s="1"/>
  <c r="Q57" i="3"/>
  <c r="T57" i="3" s="1"/>
  <c r="V57" i="3" s="1"/>
  <c r="Q55" i="3"/>
  <c r="T55" i="3" s="1"/>
  <c r="V55" i="3" s="1"/>
  <c r="Q54" i="3"/>
  <c r="T54" i="3" s="1"/>
  <c r="V54" i="3" s="1"/>
  <c r="Q56" i="3"/>
  <c r="T56" i="3" s="1"/>
  <c r="V56" i="3" s="1"/>
  <c r="Q51" i="3"/>
  <c r="T51" i="3" s="1"/>
  <c r="V51" i="3" s="1"/>
  <c r="Q143" i="3"/>
  <c r="T143" i="3" s="1"/>
  <c r="V143" i="3" s="1"/>
  <c r="Q142" i="3"/>
  <c r="T142" i="3" s="1"/>
  <c r="V142" i="3" s="1"/>
  <c r="Q141" i="3"/>
  <c r="T141" i="3" s="1"/>
  <c r="V141" i="3" s="1"/>
  <c r="Q140" i="3"/>
  <c r="T140" i="3" s="1"/>
  <c r="V140" i="3" s="1"/>
  <c r="Q134" i="3"/>
  <c r="T134" i="3" s="1"/>
  <c r="V134" i="3" s="1"/>
  <c r="Q132" i="3"/>
  <c r="T132" i="3" s="1"/>
  <c r="V132" i="3" s="1"/>
  <c r="Q133" i="3"/>
  <c r="T133" i="3" s="1"/>
  <c r="V133" i="3" s="1"/>
  <c r="Q131" i="3"/>
  <c r="T131" i="3" s="1"/>
  <c r="V131" i="3" s="1"/>
  <c r="Q130" i="3"/>
  <c r="T130" i="3" s="1"/>
  <c r="V130" i="3"/>
  <c r="O73" i="6"/>
  <c r="P73" i="6" s="1"/>
  <c r="O75" i="6"/>
  <c r="P75" i="6" s="1"/>
  <c r="O76" i="6"/>
  <c r="P76" i="6" s="1"/>
  <c r="O74" i="6"/>
  <c r="P74" i="6" s="1"/>
  <c r="O72" i="6"/>
  <c r="P72" i="6" s="1"/>
  <c r="O71" i="6"/>
  <c r="P71" i="6" s="1"/>
  <c r="O70" i="6"/>
  <c r="P70" i="6" s="1"/>
  <c r="O77" i="6"/>
  <c r="P77" i="6" s="1"/>
  <c r="O69" i="6"/>
  <c r="P69" i="6" s="1"/>
  <c r="O68" i="6"/>
  <c r="P68" i="6" s="1"/>
  <c r="O67" i="6"/>
  <c r="P67" i="6" s="1"/>
  <c r="O82" i="6"/>
  <c r="P82" i="6" s="1"/>
  <c r="O83" i="6"/>
  <c r="P83" i="6" s="1"/>
  <c r="O81" i="6"/>
  <c r="P81" i="6" s="1"/>
  <c r="O80" i="6"/>
  <c r="P80" i="6" s="1"/>
  <c r="O84" i="6"/>
  <c r="P84" i="6" s="1"/>
  <c r="O79" i="6"/>
  <c r="P79" i="6" s="1"/>
  <c r="O85" i="6"/>
  <c r="P85" i="6" s="1"/>
  <c r="O86" i="6"/>
  <c r="P86" i="6" s="1"/>
  <c r="O88" i="6"/>
  <c r="P88" i="6" s="1"/>
  <c r="O87" i="6"/>
  <c r="P87" i="6" s="1"/>
  <c r="O78" i="6"/>
  <c r="P78" i="6" s="1"/>
  <c r="O66" i="6"/>
  <c r="P66" i="6" s="1"/>
  <c r="O65" i="6"/>
  <c r="P65" i="6" s="1"/>
  <c r="O1375" i="6"/>
  <c r="P1375" i="6" s="1"/>
  <c r="O1374" i="6"/>
  <c r="P1374" i="6" s="1"/>
  <c r="O1373" i="6"/>
  <c r="P1373" i="6" s="1"/>
  <c r="O1372" i="6"/>
  <c r="P1372" i="6" s="1"/>
  <c r="O1363" i="6"/>
  <c r="P1363" i="6" s="1"/>
  <c r="O1371" i="6"/>
  <c r="P1371" i="6" s="1"/>
  <c r="O1370" i="6"/>
  <c r="P1370" i="6" s="1"/>
  <c r="O1368" i="6"/>
  <c r="P1368" i="6" s="1"/>
  <c r="O1367" i="6"/>
  <c r="P1367" i="6" s="1"/>
  <c r="O1366" i="6"/>
  <c r="P1366" i="6" s="1"/>
  <c r="O1365" i="6"/>
  <c r="P1365" i="6" s="1"/>
  <c r="O1360" i="6"/>
  <c r="P1360" i="6" s="1"/>
  <c r="O1356" i="6"/>
  <c r="P1356" i="6" s="1"/>
  <c r="O1355" i="6"/>
  <c r="P1355" i="6" s="1"/>
  <c r="O1358" i="6"/>
  <c r="P1358" i="6" s="1"/>
  <c r="O1357" i="6"/>
  <c r="P1357" i="6" s="1"/>
  <c r="O1354" i="6"/>
  <c r="P1354" i="6" s="1"/>
  <c r="O1353" i="6"/>
  <c r="P1353" i="6" s="1"/>
  <c r="O1351" i="6"/>
  <c r="P1351" i="6" s="1"/>
  <c r="O1350" i="6"/>
  <c r="P1350" i="6" s="1"/>
  <c r="O1349" i="6"/>
  <c r="P1349" i="6" s="1"/>
  <c r="O1348" i="6"/>
  <c r="P1348" i="6" s="1"/>
  <c r="O1346" i="6"/>
  <c r="P1346" i="6" s="1"/>
  <c r="O1359" i="6"/>
  <c r="P1359" i="6" s="1"/>
  <c r="O1126" i="6"/>
  <c r="P1126" i="6" s="1"/>
  <c r="O529" i="6"/>
  <c r="P529" i="6" s="1"/>
  <c r="O528" i="6"/>
  <c r="P528" i="6" s="1"/>
  <c r="O527" i="6"/>
  <c r="P527" i="6" s="1"/>
  <c r="O526" i="6"/>
  <c r="P526" i="6" s="1"/>
  <c r="O533" i="6"/>
  <c r="P533" i="6" s="1"/>
  <c r="O532" i="6"/>
  <c r="P532" i="6" s="1"/>
  <c r="O531" i="6"/>
  <c r="P531" i="6" s="1"/>
  <c r="O535" i="6"/>
  <c r="P535" i="6" s="1"/>
  <c r="O534" i="6"/>
  <c r="P534" i="6" s="1"/>
  <c r="O530" i="6"/>
  <c r="P530" i="6" s="1"/>
  <c r="O525" i="6"/>
  <c r="P525" i="6" s="1"/>
  <c r="O524" i="6"/>
  <c r="P524" i="6" s="1"/>
  <c r="O523" i="6"/>
  <c r="P523" i="6" s="1"/>
  <c r="O522" i="6"/>
  <c r="P522" i="6" s="1"/>
  <c r="O521" i="6"/>
  <c r="P521" i="6" s="1"/>
  <c r="O520" i="6"/>
  <c r="P520" i="6" s="1"/>
  <c r="O900" i="6"/>
  <c r="P900" i="6" s="1"/>
  <c r="O901" i="6"/>
  <c r="P901" i="6" s="1"/>
  <c r="O902" i="6"/>
  <c r="P902" i="6" s="1"/>
  <c r="O903" i="6"/>
  <c r="P903" i="6" s="1"/>
  <c r="O904" i="6"/>
  <c r="P904" i="6" s="1"/>
  <c r="O905" i="6"/>
  <c r="P905" i="6" s="1"/>
  <c r="O906" i="6"/>
  <c r="P906" i="6" s="1"/>
  <c r="O907" i="6"/>
  <c r="P907" i="6" s="1"/>
  <c r="O908" i="6"/>
  <c r="P908" i="6" s="1"/>
  <c r="O909" i="6"/>
  <c r="P909" i="6" s="1"/>
  <c r="O910" i="6"/>
  <c r="P910" i="6" s="1"/>
  <c r="O911" i="6"/>
  <c r="P911" i="6" s="1"/>
  <c r="O912" i="6"/>
  <c r="P912" i="6" s="1"/>
  <c r="O913" i="6"/>
  <c r="P913" i="6" s="1"/>
  <c r="O914" i="6"/>
  <c r="P914" i="6" s="1"/>
  <c r="O915" i="6"/>
  <c r="P915" i="6" s="1"/>
  <c r="O916" i="6"/>
  <c r="P916" i="6" s="1"/>
  <c r="O917" i="6"/>
  <c r="P917" i="6" s="1"/>
  <c r="O918" i="6"/>
  <c r="P918" i="6" s="1"/>
  <c r="O919" i="6"/>
  <c r="P919" i="6" s="1"/>
  <c r="O920" i="6"/>
  <c r="P920" i="6" s="1"/>
  <c r="O921" i="6"/>
  <c r="P921" i="6" s="1"/>
  <c r="O922" i="6"/>
  <c r="P922" i="6" s="1"/>
  <c r="O923" i="6"/>
  <c r="P923" i="6" s="1"/>
  <c r="O924" i="6"/>
  <c r="P924" i="6" s="1"/>
  <c r="O925" i="6"/>
  <c r="P925" i="6" s="1"/>
  <c r="O926" i="6"/>
  <c r="P926" i="6" s="1"/>
  <c r="O927" i="6"/>
  <c r="P927" i="6" s="1"/>
  <c r="O928" i="6"/>
  <c r="P928" i="6" s="1"/>
  <c r="O929" i="6"/>
  <c r="P929" i="6" s="1"/>
  <c r="O930" i="6"/>
  <c r="P930" i="6" s="1"/>
  <c r="O931" i="6"/>
  <c r="P931" i="6" s="1"/>
  <c r="O932" i="6"/>
  <c r="P932" i="6" s="1"/>
  <c r="O933" i="6"/>
  <c r="P933" i="6" s="1"/>
  <c r="O934" i="6"/>
  <c r="P934" i="6" s="1"/>
  <c r="O935" i="6"/>
  <c r="P935" i="6" s="1"/>
  <c r="O937" i="6"/>
  <c r="P937" i="6" s="1"/>
  <c r="O936" i="6"/>
  <c r="P936" i="6" s="1"/>
  <c r="O899" i="6"/>
  <c r="P899" i="6" s="1"/>
  <c r="O898" i="6"/>
  <c r="P898" i="6" s="1"/>
  <c r="O845" i="6"/>
  <c r="P845" i="6" s="1"/>
  <c r="O827" i="6"/>
  <c r="P827" i="6" s="1"/>
  <c r="O828" i="6"/>
  <c r="P828" i="6" s="1"/>
  <c r="O829" i="6"/>
  <c r="P829" i="6" s="1"/>
  <c r="O830" i="6"/>
  <c r="P830" i="6" s="1"/>
  <c r="O831" i="6"/>
  <c r="P831" i="6" s="1"/>
  <c r="O832" i="6"/>
  <c r="P832" i="6" s="1"/>
  <c r="O833" i="6"/>
  <c r="P833" i="6" s="1"/>
  <c r="O834" i="6"/>
  <c r="P834" i="6" s="1"/>
  <c r="O836" i="6"/>
  <c r="P836" i="6" s="1"/>
  <c r="O838" i="6"/>
  <c r="P838" i="6" s="1"/>
  <c r="O839" i="6"/>
  <c r="P839" i="6" s="1"/>
  <c r="O837" i="6"/>
  <c r="P837" i="6" s="1"/>
  <c r="O840" i="6"/>
  <c r="P840" i="6" s="1"/>
  <c r="O841" i="6"/>
  <c r="P841" i="6" s="1"/>
  <c r="O842" i="6"/>
  <c r="P842" i="6" s="1"/>
  <c r="O843" i="6"/>
  <c r="P843" i="6" s="1"/>
  <c r="O844" i="6"/>
  <c r="P844" i="6" s="1"/>
  <c r="O849" i="6"/>
  <c r="P849" i="6" s="1"/>
  <c r="O850" i="6"/>
  <c r="P850" i="6" s="1"/>
  <c r="O848" i="6"/>
  <c r="P848" i="6" s="1"/>
  <c r="O847" i="6"/>
  <c r="P847" i="6" s="1"/>
  <c r="O846" i="6"/>
  <c r="P846" i="6" s="1"/>
  <c r="O835" i="6"/>
  <c r="P835" i="6" s="1"/>
  <c r="O826" i="6"/>
  <c r="P826" i="6" s="1"/>
  <c r="O825" i="6"/>
  <c r="P825" i="6" s="1"/>
  <c r="O824" i="6"/>
  <c r="P824" i="6" s="1"/>
  <c r="O823" i="6"/>
  <c r="P823" i="6" s="1"/>
  <c r="O793" i="6"/>
  <c r="P793" i="6" s="1"/>
  <c r="O1227" i="6"/>
  <c r="P1227" i="6" s="1"/>
  <c r="O1226" i="6"/>
  <c r="P1226" i="6" s="1"/>
  <c r="O1228" i="6"/>
  <c r="P1228" i="6" s="1"/>
  <c r="O1229" i="6"/>
  <c r="P1229" i="6" s="1"/>
  <c r="O1230" i="6"/>
  <c r="P1230" i="6" s="1"/>
  <c r="O1231" i="6"/>
  <c r="P1231" i="6" s="1"/>
  <c r="O1232" i="6"/>
  <c r="P1232" i="6" s="1"/>
  <c r="O1233" i="6"/>
  <c r="P1233" i="6" s="1"/>
  <c r="O1234" i="6"/>
  <c r="P1234" i="6" s="1"/>
  <c r="O1235" i="6"/>
  <c r="P1235" i="6" s="1"/>
  <c r="O1236" i="6"/>
  <c r="P1236" i="6" s="1"/>
  <c r="O1237" i="6"/>
  <c r="P1237" i="6" s="1"/>
  <c r="O1238" i="6"/>
  <c r="P1238" i="6" s="1"/>
  <c r="O1224" i="6"/>
  <c r="P1224" i="6" s="1"/>
  <c r="O1223" i="6"/>
  <c r="P1223" i="6" s="1"/>
  <c r="O1220" i="6"/>
  <c r="P1220" i="6" s="1"/>
  <c r="O1215" i="6"/>
  <c r="P1215" i="6" s="1"/>
  <c r="O1214" i="6"/>
  <c r="P1214" i="6" s="1"/>
  <c r="O1225" i="6"/>
  <c r="P1225" i="6" s="1"/>
  <c r="O1222" i="6"/>
  <c r="P1222" i="6" s="1"/>
  <c r="O1221" i="6"/>
  <c r="P1221" i="6" s="1"/>
  <c r="O1219" i="6"/>
  <c r="P1219" i="6" s="1"/>
  <c r="O1218" i="6"/>
  <c r="P1218" i="6" s="1"/>
  <c r="O1217" i="6"/>
  <c r="P1217" i="6" s="1"/>
  <c r="O1216" i="6"/>
  <c r="P1216" i="6" s="1"/>
  <c r="O339" i="6"/>
  <c r="P339" i="6" s="1"/>
  <c r="O1362" i="6"/>
  <c r="P1362" i="6" s="1"/>
  <c r="O1369" i="6"/>
  <c r="P1369" i="6" s="1"/>
  <c r="O1364" i="6"/>
  <c r="P1364" i="6" s="1"/>
  <c r="O1361" i="6"/>
  <c r="P1361" i="6" s="1"/>
  <c r="O1352" i="6"/>
  <c r="P1352" i="6" s="1"/>
  <c r="O1347" i="6"/>
  <c r="P1347" i="6" s="1"/>
  <c r="O1345" i="6"/>
  <c r="P1345" i="6" s="1"/>
  <c r="O1344" i="6"/>
  <c r="P1344" i="6" s="1"/>
  <c r="N44" i="3"/>
  <c r="O44" i="3" s="1"/>
  <c r="P44" i="3"/>
  <c r="X130" i="3"/>
  <c r="Z130" i="3"/>
  <c r="O787" i="6"/>
  <c r="P787" i="6" s="1"/>
  <c r="O775" i="6"/>
  <c r="P775" i="6" s="1"/>
  <c r="O783" i="6"/>
  <c r="P783" i="6" s="1"/>
  <c r="O767" i="6"/>
  <c r="P767" i="6" s="1"/>
  <c r="O725" i="6"/>
  <c r="P725" i="6" s="1"/>
  <c r="O721" i="6"/>
  <c r="P721" i="6" s="1"/>
  <c r="O736" i="6"/>
  <c r="P736" i="6" s="1"/>
  <c r="O744" i="6"/>
  <c r="P744" i="6" s="1"/>
  <c r="O752" i="6"/>
  <c r="P752" i="6" s="1"/>
  <c r="O761" i="6"/>
  <c r="P761" i="6" s="1"/>
  <c r="O713" i="6"/>
  <c r="P713" i="6" s="1"/>
  <c r="O698" i="6"/>
  <c r="P698" i="6" s="1"/>
  <c r="O666" i="6"/>
  <c r="P666" i="6" s="1"/>
  <c r="O674" i="6"/>
  <c r="P674" i="6" s="1"/>
  <c r="O682" i="6"/>
  <c r="P682" i="6" s="1"/>
  <c r="O690" i="6"/>
  <c r="P690" i="6" s="1"/>
  <c r="O652" i="6"/>
  <c r="P652" i="6" s="1"/>
  <c r="O660" i="6"/>
  <c r="P660" i="6" s="1"/>
  <c r="O646" i="6"/>
  <c r="P646" i="6" s="1"/>
  <c r="O640" i="6"/>
  <c r="P640" i="6" s="1"/>
  <c r="O790" i="6"/>
  <c r="P790" i="6" s="1"/>
  <c r="O778" i="6"/>
  <c r="P778" i="6" s="1"/>
  <c r="O770" i="6"/>
  <c r="P770" i="6" s="1"/>
  <c r="O764" i="6"/>
  <c r="P764" i="6" s="1"/>
  <c r="O728" i="6"/>
  <c r="P728" i="6" s="1"/>
  <c r="O731" i="6"/>
  <c r="P731" i="6" s="1"/>
  <c r="O739" i="6"/>
  <c r="P739" i="6" s="1"/>
  <c r="O747" i="6"/>
  <c r="P747" i="6" s="1"/>
  <c r="O755" i="6"/>
  <c r="P755" i="6" s="1"/>
  <c r="O708" i="6"/>
  <c r="P708" i="6" s="1"/>
  <c r="O715" i="6"/>
  <c r="P715" i="6" s="1"/>
  <c r="O773" i="6"/>
  <c r="P773" i="6" s="1"/>
  <c r="O781" i="6"/>
  <c r="P781" i="6" s="1"/>
  <c r="O769" i="6"/>
  <c r="P769" i="6" s="1"/>
  <c r="O723" i="6"/>
  <c r="P723" i="6" s="1"/>
  <c r="O719" i="6"/>
  <c r="P719" i="6" s="1"/>
  <c r="O734" i="6"/>
  <c r="P734" i="6" s="1"/>
  <c r="O742" i="6"/>
  <c r="P742" i="6" s="1"/>
  <c r="O750" i="6"/>
  <c r="P750" i="6" s="1"/>
  <c r="O758" i="6"/>
  <c r="P758" i="6" s="1"/>
  <c r="O711" i="6"/>
  <c r="P711" i="6" s="1"/>
  <c r="O704" i="6"/>
  <c r="P704" i="6" s="1"/>
  <c r="O672" i="6"/>
  <c r="P672" i="6" s="1"/>
  <c r="O680" i="6"/>
  <c r="P680" i="6" s="1"/>
  <c r="O688" i="6"/>
  <c r="P688" i="6" s="1"/>
  <c r="O696" i="6"/>
  <c r="P696" i="6" s="1"/>
  <c r="O658" i="6"/>
  <c r="P658" i="6" s="1"/>
  <c r="O644" i="6"/>
  <c r="P644" i="6" s="1"/>
  <c r="O664" i="6"/>
  <c r="P664" i="6" s="1"/>
  <c r="O594" i="6"/>
  <c r="P594" i="6" s="1"/>
  <c r="O599" i="6"/>
  <c r="P599" i="6" s="1"/>
  <c r="O604" i="6"/>
  <c r="P604" i="6" s="1"/>
  <c r="O617" i="6"/>
  <c r="P617" i="6" s="1"/>
  <c r="O625" i="6"/>
  <c r="P625" i="6" s="1"/>
  <c r="O633" i="6"/>
  <c r="P633" i="6" s="1"/>
  <c r="O563" i="6"/>
  <c r="P563" i="6" s="1"/>
  <c r="O577" i="6"/>
  <c r="P577" i="6" s="1"/>
  <c r="O585" i="6"/>
  <c r="P585" i="6" s="1"/>
  <c r="O788" i="6"/>
  <c r="P788" i="6" s="1"/>
  <c r="O786" i="6"/>
  <c r="P786" i="6" s="1"/>
  <c r="O774" i="6"/>
  <c r="P774" i="6" s="1"/>
  <c r="O782" i="6"/>
  <c r="P782" i="6" s="1"/>
  <c r="O768" i="6"/>
  <c r="P768" i="6" s="1"/>
  <c r="O724" i="6"/>
  <c r="P724" i="6" s="1"/>
  <c r="O720" i="6"/>
  <c r="P720" i="6" s="1"/>
  <c r="O735" i="6"/>
  <c r="P735" i="6" s="1"/>
  <c r="O743" i="6"/>
  <c r="P743" i="6" s="1"/>
  <c r="O751" i="6"/>
  <c r="P751" i="6" s="1"/>
  <c r="O760" i="6"/>
  <c r="P760" i="6" s="1"/>
  <c r="O712" i="6"/>
  <c r="P712" i="6" s="1"/>
  <c r="O947" i="6"/>
  <c r="P947" i="6" s="1"/>
  <c r="O705" i="6"/>
  <c r="P705" i="6" s="1"/>
  <c r="O673" i="6"/>
  <c r="P673" i="6" s="1"/>
  <c r="O681" i="6"/>
  <c r="P681" i="6" s="1"/>
  <c r="O689" i="6"/>
  <c r="P689" i="6" s="1"/>
  <c r="O697" i="6"/>
  <c r="P697" i="6" s="1"/>
  <c r="O659" i="6"/>
  <c r="P659" i="6" s="1"/>
  <c r="O645" i="6"/>
  <c r="P645" i="6" s="1"/>
  <c r="O789" i="6"/>
  <c r="P789" i="6" s="1"/>
  <c r="O776" i="6"/>
  <c r="P776" i="6" s="1"/>
  <c r="O766" i="6"/>
  <c r="P766" i="6" s="1"/>
  <c r="O730" i="6"/>
  <c r="P730" i="6" s="1"/>
  <c r="O745" i="6"/>
  <c r="P745" i="6" s="1"/>
  <c r="O762" i="6"/>
  <c r="P762" i="6" s="1"/>
  <c r="O670" i="6"/>
  <c r="P670" i="6" s="1"/>
  <c r="O683" i="6"/>
  <c r="P683" i="6" s="1"/>
  <c r="O687" i="6"/>
  <c r="P687" i="6" s="1"/>
  <c r="O654" i="6"/>
  <c r="P654" i="6" s="1"/>
  <c r="O613" i="6"/>
  <c r="P613" i="6" s="1"/>
  <c r="O616" i="6"/>
  <c r="P616" i="6" s="1"/>
  <c r="O619" i="6"/>
  <c r="P619" i="6" s="1"/>
  <c r="O622" i="6"/>
  <c r="P622" i="6" s="1"/>
  <c r="O592" i="6"/>
  <c r="P592" i="6" s="1"/>
  <c r="O1087" i="6"/>
  <c r="P1087" i="6" s="1"/>
  <c r="O1075" i="6"/>
  <c r="P1075" i="6" s="1"/>
  <c r="O1083" i="6"/>
  <c r="P1083" i="6" s="1"/>
  <c r="O1026" i="6"/>
  <c r="P1026" i="6" s="1"/>
  <c r="O1034" i="6"/>
  <c r="P1034" i="6" s="1"/>
  <c r="O1042" i="6"/>
  <c r="P1042" i="6" s="1"/>
  <c r="O1050" i="6"/>
  <c r="P1050" i="6" s="1"/>
  <c r="O1058" i="6"/>
  <c r="P1058" i="6" s="1"/>
  <c r="O1066" i="6"/>
  <c r="P1066" i="6" s="1"/>
  <c r="O771" i="6"/>
  <c r="P771" i="6" s="1"/>
  <c r="O729" i="6"/>
  <c r="P729" i="6" s="1"/>
  <c r="O740" i="6"/>
  <c r="P740" i="6" s="1"/>
  <c r="O756" i="6"/>
  <c r="P756" i="6" s="1"/>
  <c r="O716" i="6"/>
  <c r="P716" i="6" s="1"/>
  <c r="O702" i="6"/>
  <c r="P702" i="6" s="1"/>
  <c r="O675" i="6"/>
  <c r="P675" i="6" s="1"/>
  <c r="O679" i="6"/>
  <c r="P679" i="6" s="1"/>
  <c r="O791" i="6"/>
  <c r="P791" i="6" s="1"/>
  <c r="O777" i="6"/>
  <c r="P777" i="6" s="1"/>
  <c r="O765" i="6"/>
  <c r="P765" i="6" s="1"/>
  <c r="O772" i="6"/>
  <c r="P772" i="6" s="1"/>
  <c r="O759" i="6"/>
  <c r="P759" i="6" s="1"/>
  <c r="O741" i="6"/>
  <c r="P741" i="6" s="1"/>
  <c r="O757" i="6"/>
  <c r="P757" i="6" s="1"/>
  <c r="O717" i="6"/>
  <c r="P717" i="6" s="1"/>
  <c r="O699" i="6"/>
  <c r="P699" i="6" s="1"/>
  <c r="O703" i="6"/>
  <c r="P703" i="6" s="1"/>
  <c r="O676" i="6"/>
  <c r="P676" i="6" s="1"/>
  <c r="O693" i="6"/>
  <c r="P693" i="6" s="1"/>
  <c r="O642" i="6"/>
  <c r="P642" i="6" s="1"/>
  <c r="O650" i="6"/>
  <c r="P650" i="6" s="1"/>
  <c r="O611" i="6"/>
  <c r="P611" i="6" s="1"/>
  <c r="O614" i="6"/>
  <c r="P614" i="6" s="1"/>
  <c r="O1088" i="6"/>
  <c r="P1088" i="6" s="1"/>
  <c r="O1076" i="6"/>
  <c r="P1076" i="6" s="1"/>
  <c r="O1070" i="6"/>
  <c r="P1070" i="6" s="1"/>
  <c r="O1027" i="6"/>
  <c r="P1027" i="6" s="1"/>
  <c r="O1035" i="6"/>
  <c r="P1035" i="6" s="1"/>
  <c r="O1043" i="6"/>
  <c r="P1043" i="6" s="1"/>
  <c r="O1051" i="6"/>
  <c r="P1051" i="6" s="1"/>
  <c r="O1059" i="6"/>
  <c r="P1059" i="6" s="1"/>
  <c r="O1067" i="6"/>
  <c r="P1067" i="6" s="1"/>
  <c r="O1093" i="6"/>
  <c r="P1093" i="6" s="1"/>
  <c r="O792" i="6"/>
  <c r="P792" i="6" s="1"/>
  <c r="O784" i="6"/>
  <c r="P784" i="6" s="1"/>
  <c r="O726" i="6"/>
  <c r="P726" i="6" s="1"/>
  <c r="O737" i="6"/>
  <c r="P737" i="6" s="1"/>
  <c r="O753" i="6"/>
  <c r="P753" i="6" s="1"/>
  <c r="O706" i="6"/>
  <c r="P706" i="6" s="1"/>
  <c r="O668" i="6"/>
  <c r="P668" i="6" s="1"/>
  <c r="O685" i="6"/>
  <c r="P685" i="6" s="1"/>
  <c r="O656" i="6"/>
  <c r="P656" i="6" s="1"/>
  <c r="O647" i="6"/>
  <c r="P647" i="6" s="1"/>
  <c r="O597" i="6"/>
  <c r="P597" i="6" s="1"/>
  <c r="O600" i="6"/>
  <c r="P600" i="6" s="1"/>
  <c r="O603" i="6"/>
  <c r="P603" i="6" s="1"/>
  <c r="O636" i="6"/>
  <c r="P636" i="6" s="1"/>
  <c r="O639" i="6"/>
  <c r="P639" i="6" s="1"/>
  <c r="O564" i="6"/>
  <c r="P564" i="6" s="1"/>
  <c r="O568" i="6"/>
  <c r="P568" i="6" s="1"/>
  <c r="O580" i="6"/>
  <c r="P580" i="6" s="1"/>
  <c r="O727" i="6"/>
  <c r="P727" i="6" s="1"/>
  <c r="O733" i="6"/>
  <c r="P733" i="6" s="1"/>
  <c r="O710" i="6"/>
  <c r="P710" i="6" s="1"/>
  <c r="O643" i="6"/>
  <c r="P643" i="6" s="1"/>
  <c r="O649" i="6"/>
  <c r="P649" i="6" s="1"/>
  <c r="O641" i="6"/>
  <c r="P641" i="6" s="1"/>
  <c r="O596" i="6"/>
  <c r="P596" i="6" s="1"/>
  <c r="O601" i="6"/>
  <c r="P601" i="6" s="1"/>
  <c r="O606" i="6"/>
  <c r="P606" i="6" s="1"/>
  <c r="O620" i="6"/>
  <c r="P620" i="6" s="1"/>
  <c r="O630" i="6"/>
  <c r="P630" i="6" s="1"/>
  <c r="O572" i="6"/>
  <c r="P572" i="6" s="1"/>
  <c r="O586" i="6"/>
  <c r="P586" i="6" s="1"/>
  <c r="O1082" i="6"/>
  <c r="P1082" i="6" s="1"/>
  <c r="O1024" i="6"/>
  <c r="P1024" i="6" s="1"/>
  <c r="O1031" i="6"/>
  <c r="P1031" i="6" s="1"/>
  <c r="O1049" i="6"/>
  <c r="P1049" i="6" s="1"/>
  <c r="O1056" i="6"/>
  <c r="P1056" i="6" s="1"/>
  <c r="O1063" i="6"/>
  <c r="P1063" i="6" s="1"/>
  <c r="O1019" i="6"/>
  <c r="P1019" i="6" s="1"/>
  <c r="O1017" i="6"/>
  <c r="P1017" i="6" s="1"/>
  <c r="O1133" i="6"/>
  <c r="P1133" i="6" s="1"/>
  <c r="O1123" i="6"/>
  <c r="P1123" i="6" s="1"/>
  <c r="O1112" i="6"/>
  <c r="P1112" i="6" s="1"/>
  <c r="O1105" i="6"/>
  <c r="P1105" i="6" s="1"/>
  <c r="O1337" i="6"/>
  <c r="P1337" i="6" s="1"/>
  <c r="O1125" i="6"/>
  <c r="P1125" i="6" s="1"/>
  <c r="O746" i="6"/>
  <c r="P746" i="6" s="1"/>
  <c r="O667" i="6"/>
  <c r="P667" i="6" s="1"/>
  <c r="O684" i="6"/>
  <c r="P684" i="6" s="1"/>
  <c r="O691" i="6"/>
  <c r="P691" i="6" s="1"/>
  <c r="O602" i="6"/>
  <c r="P602" i="6" s="1"/>
  <c r="O621" i="6"/>
  <c r="P621" i="6" s="1"/>
  <c r="O635" i="6"/>
  <c r="P635" i="6" s="1"/>
  <c r="O567" i="6"/>
  <c r="P567" i="6" s="1"/>
  <c r="O582" i="6"/>
  <c r="P582" i="6" s="1"/>
  <c r="O590" i="6"/>
  <c r="P590" i="6" s="1"/>
  <c r="O1079" i="6"/>
  <c r="P1079" i="6" s="1"/>
  <c r="O1072" i="6"/>
  <c r="P1072" i="6" s="1"/>
  <c r="O1028" i="6"/>
  <c r="P1028" i="6" s="1"/>
  <c r="O1046" i="6"/>
  <c r="P1046" i="6" s="1"/>
  <c r="O1053" i="6"/>
  <c r="P1053" i="6" s="1"/>
  <c r="O1060" i="6"/>
  <c r="P1060" i="6" s="1"/>
  <c r="O1091" i="6"/>
  <c r="P1091" i="6" s="1"/>
  <c r="O1094" i="6"/>
  <c r="P1094" i="6" s="1"/>
  <c r="O1015" i="6"/>
  <c r="P1015" i="6" s="1"/>
  <c r="O1013" i="6"/>
  <c r="P1013" i="6" s="1"/>
  <c r="O1128" i="6"/>
  <c r="P1128" i="6" s="1"/>
  <c r="O1108" i="6"/>
  <c r="P1108" i="6" s="1"/>
  <c r="O1099" i="6"/>
  <c r="P1099" i="6" s="1"/>
  <c r="O1343" i="6"/>
  <c r="P1343" i="6" s="1"/>
  <c r="O1340" i="6"/>
  <c r="P1340" i="6" s="1"/>
  <c r="O1268" i="6"/>
  <c r="P1268" i="6" s="1"/>
  <c r="O1327" i="6"/>
  <c r="P1327" i="6" s="1"/>
  <c r="O1118" i="6"/>
  <c r="P1118" i="6" s="1"/>
  <c r="O779" i="6"/>
  <c r="P779" i="6" s="1"/>
  <c r="O748" i="6"/>
  <c r="P748" i="6" s="1"/>
  <c r="O700" i="6"/>
  <c r="P700" i="6" s="1"/>
  <c r="O677" i="6"/>
  <c r="P677" i="6" s="1"/>
  <c r="O692" i="6"/>
  <c r="P692" i="6" s="1"/>
  <c r="O653" i="6"/>
  <c r="P653" i="6" s="1"/>
  <c r="O607" i="6"/>
  <c r="P607" i="6" s="1"/>
  <c r="O612" i="6"/>
  <c r="P612" i="6" s="1"/>
  <c r="O626" i="6"/>
  <c r="P626" i="6" s="1"/>
  <c r="O631" i="6"/>
  <c r="P631" i="6" s="1"/>
  <c r="O573" i="6"/>
  <c r="P573" i="6" s="1"/>
  <c r="O578" i="6"/>
  <c r="P578" i="6" s="1"/>
  <c r="O583" i="6"/>
  <c r="P583" i="6" s="1"/>
  <c r="O1085" i="6"/>
  <c r="P1085" i="6" s="1"/>
  <c r="O1025" i="6"/>
  <c r="P1025" i="6" s="1"/>
  <c r="O1032" i="6"/>
  <c r="P1032" i="6" s="1"/>
  <c r="O1039" i="6"/>
  <c r="P1039" i="6" s="1"/>
  <c r="O1057" i="6"/>
  <c r="P1057" i="6" s="1"/>
  <c r="O1064" i="6"/>
  <c r="P1064" i="6" s="1"/>
  <c r="O1097" i="6"/>
  <c r="P1097" i="6" s="1"/>
  <c r="O1131" i="6"/>
  <c r="P1131" i="6" s="1"/>
  <c r="O1134" i="6"/>
  <c r="P1134" i="6" s="1"/>
  <c r="O1115" i="6"/>
  <c r="P1115" i="6" s="1"/>
  <c r="O1111" i="6"/>
  <c r="P1111" i="6" s="1"/>
  <c r="O661" i="6"/>
  <c r="P661" i="6" s="1"/>
  <c r="O593" i="6"/>
  <c r="P593" i="6" s="1"/>
  <c r="O608" i="6"/>
  <c r="P608" i="6" s="1"/>
  <c r="O615" i="6"/>
  <c r="P615" i="6" s="1"/>
  <c r="O623" i="6"/>
  <c r="P623" i="6" s="1"/>
  <c r="O638" i="6"/>
  <c r="P638" i="6" s="1"/>
  <c r="O570" i="6"/>
  <c r="P570" i="6" s="1"/>
  <c r="O576" i="6"/>
  <c r="P576" i="6" s="1"/>
  <c r="O584" i="6"/>
  <c r="P584" i="6" s="1"/>
  <c r="O1030" i="6"/>
  <c r="P1030" i="6" s="1"/>
  <c r="O1036" i="6"/>
  <c r="P1036" i="6" s="1"/>
  <c r="O1041" i="6"/>
  <c r="P1041" i="6" s="1"/>
  <c r="O1047" i="6"/>
  <c r="P1047" i="6" s="1"/>
  <c r="O1052" i="6"/>
  <c r="P1052" i="6" s="1"/>
  <c r="O1069" i="6"/>
  <c r="P1069" i="6" s="1"/>
  <c r="O1016" i="6"/>
  <c r="P1016" i="6" s="1"/>
  <c r="O1135" i="6"/>
  <c r="P1135" i="6" s="1"/>
  <c r="O1110" i="6"/>
  <c r="P1110" i="6" s="1"/>
  <c r="O1102" i="6"/>
  <c r="P1102" i="6" s="1"/>
  <c r="O1333" i="6"/>
  <c r="P1333" i="6" s="1"/>
  <c r="O1328" i="6"/>
  <c r="P1328" i="6" s="1"/>
  <c r="O1331" i="6"/>
  <c r="P1331" i="6" s="1"/>
  <c r="O1276" i="6"/>
  <c r="P1276" i="6" s="1"/>
  <c r="O1284" i="6"/>
  <c r="P1284" i="6" s="1"/>
  <c r="O1292" i="6"/>
  <c r="P1292" i="6" s="1"/>
  <c r="O1297" i="6"/>
  <c r="P1297" i="6" s="1"/>
  <c r="O1305" i="6"/>
  <c r="P1305" i="6" s="1"/>
  <c r="O1310" i="6"/>
  <c r="P1310" i="6" s="1"/>
  <c r="O1318" i="6"/>
  <c r="P1318" i="6" s="1"/>
  <c r="O1326" i="6"/>
  <c r="P1326" i="6" s="1"/>
  <c r="O1204" i="6"/>
  <c r="P1204" i="6" s="1"/>
  <c r="O780" i="6"/>
  <c r="P780" i="6" s="1"/>
  <c r="O707" i="6"/>
  <c r="P707" i="6" s="1"/>
  <c r="O671" i="6"/>
  <c r="P671" i="6" s="1"/>
  <c r="O686" i="6"/>
  <c r="P686" i="6" s="1"/>
  <c r="O695" i="6"/>
  <c r="P695" i="6" s="1"/>
  <c r="O648" i="6"/>
  <c r="P648" i="6" s="1"/>
  <c r="O609" i="6"/>
  <c r="P609" i="6" s="1"/>
  <c r="O624" i="6"/>
  <c r="P624" i="6" s="1"/>
  <c r="O632" i="6"/>
  <c r="P632" i="6" s="1"/>
  <c r="O1086" i="6"/>
  <c r="P1086" i="6" s="1"/>
  <c r="O1078" i="6"/>
  <c r="P1078" i="6" s="1"/>
  <c r="O1054" i="6"/>
  <c r="P1054" i="6" s="1"/>
  <c r="O1065" i="6"/>
  <c r="P1065" i="6" s="1"/>
  <c r="O1095" i="6"/>
  <c r="P1095" i="6" s="1"/>
  <c r="O1127" i="6"/>
  <c r="P1127" i="6" s="1"/>
  <c r="O1114" i="6"/>
  <c r="P1114" i="6" s="1"/>
  <c r="O1098" i="6"/>
  <c r="P1098" i="6" s="1"/>
  <c r="O1332" i="6"/>
  <c r="P1332" i="6" s="1"/>
  <c r="O1270" i="6"/>
  <c r="P1270" i="6" s="1"/>
  <c r="O1264" i="6"/>
  <c r="P1264" i="6" s="1"/>
  <c r="O1279" i="6"/>
  <c r="P1279" i="6" s="1"/>
  <c r="O1287" i="6"/>
  <c r="P1287" i="6" s="1"/>
  <c r="O1295" i="6"/>
  <c r="P1295" i="6" s="1"/>
  <c r="O1300" i="6"/>
  <c r="P1300" i="6" s="1"/>
  <c r="O1308" i="6"/>
  <c r="P1308" i="6" s="1"/>
  <c r="O1313" i="6"/>
  <c r="P1313" i="6" s="1"/>
  <c r="O1321" i="6"/>
  <c r="P1321" i="6" s="1"/>
  <c r="O718" i="6"/>
  <c r="P718" i="6" s="1"/>
  <c r="O709" i="6"/>
  <c r="P709" i="6" s="1"/>
  <c r="O662" i="6"/>
  <c r="P662" i="6" s="1"/>
  <c r="O651" i="6"/>
  <c r="P651" i="6" s="1"/>
  <c r="O595" i="6"/>
  <c r="P595" i="6" s="1"/>
  <c r="O618" i="6"/>
  <c r="P618" i="6" s="1"/>
  <c r="O571" i="6"/>
  <c r="P571" i="6" s="1"/>
  <c r="O579" i="6"/>
  <c r="P579" i="6" s="1"/>
  <c r="O591" i="6"/>
  <c r="P591" i="6" s="1"/>
  <c r="O1037" i="6"/>
  <c r="P1037" i="6" s="1"/>
  <c r="O1048" i="6"/>
  <c r="P1048" i="6" s="1"/>
  <c r="O1020" i="6"/>
  <c r="P1020" i="6" s="1"/>
  <c r="O1014" i="6"/>
  <c r="P1014" i="6" s="1"/>
  <c r="O1130" i="6"/>
  <c r="P1130" i="6" s="1"/>
  <c r="O1107" i="6"/>
  <c r="P1107" i="6" s="1"/>
  <c r="O1341" i="6"/>
  <c r="P1341" i="6" s="1"/>
  <c r="O1267" i="6"/>
  <c r="P1267" i="6" s="1"/>
  <c r="O1271" i="6"/>
  <c r="P1271" i="6" s="1"/>
  <c r="O1274" i="6"/>
  <c r="P1274" i="6" s="1"/>
  <c r="O1282" i="6"/>
  <c r="P1282" i="6" s="1"/>
  <c r="O1290" i="6"/>
  <c r="P1290" i="6" s="1"/>
  <c r="O1303" i="6"/>
  <c r="P1303" i="6" s="1"/>
  <c r="O1316" i="6"/>
  <c r="P1316" i="6" s="1"/>
  <c r="O1324" i="6"/>
  <c r="P1324" i="6" s="1"/>
  <c r="O785" i="6"/>
  <c r="P785" i="6" s="1"/>
  <c r="O732" i="6"/>
  <c r="P732" i="6" s="1"/>
  <c r="O749" i="6"/>
  <c r="P749" i="6" s="1"/>
  <c r="O701" i="6"/>
  <c r="P701" i="6" s="1"/>
  <c r="O663" i="6"/>
  <c r="P663" i="6" s="1"/>
  <c r="O610" i="6"/>
  <c r="P610" i="6" s="1"/>
  <c r="O627" i="6"/>
  <c r="P627" i="6" s="1"/>
  <c r="O587" i="6"/>
  <c r="P587" i="6" s="1"/>
  <c r="O1089" i="6"/>
  <c r="P1089" i="6" s="1"/>
  <c r="O1074" i="6"/>
  <c r="P1074" i="6" s="1"/>
  <c r="O1080" i="6"/>
  <c r="P1080" i="6" s="1"/>
  <c r="O1071" i="6"/>
  <c r="P1071" i="6" s="1"/>
  <c r="O1061" i="6"/>
  <c r="P1061" i="6" s="1"/>
  <c r="O1136" i="6"/>
  <c r="P1136" i="6" s="1"/>
  <c r="O1120" i="6"/>
  <c r="P1120" i="6" s="1"/>
  <c r="O1104" i="6"/>
  <c r="P1104" i="6" s="1"/>
  <c r="O1103" i="6"/>
  <c r="P1103" i="6" s="1"/>
  <c r="O1334" i="6"/>
  <c r="P1334" i="6" s="1"/>
  <c r="O1338" i="6"/>
  <c r="P1338" i="6" s="1"/>
  <c r="O1329" i="6"/>
  <c r="P1329" i="6" s="1"/>
  <c r="O1124" i="6"/>
  <c r="P1124" i="6" s="1"/>
  <c r="O1277" i="6"/>
  <c r="P1277" i="6" s="1"/>
  <c r="O1285" i="6"/>
  <c r="P1285" i="6" s="1"/>
  <c r="O1293" i="6"/>
  <c r="P1293" i="6" s="1"/>
  <c r="O1298" i="6"/>
  <c r="P1298" i="6" s="1"/>
  <c r="O1306" i="6"/>
  <c r="P1306" i="6" s="1"/>
  <c r="O1311" i="6"/>
  <c r="P1311" i="6" s="1"/>
  <c r="O1319" i="6"/>
  <c r="P1319" i="6" s="1"/>
  <c r="O763" i="6"/>
  <c r="P763" i="6" s="1"/>
  <c r="O605" i="6"/>
  <c r="P605" i="6" s="1"/>
  <c r="O637" i="6"/>
  <c r="P637" i="6" s="1"/>
  <c r="O575" i="6"/>
  <c r="P575" i="6" s="1"/>
  <c r="O589" i="6"/>
  <c r="P589" i="6" s="1"/>
  <c r="O1038" i="6"/>
  <c r="P1038" i="6" s="1"/>
  <c r="O1018" i="6"/>
  <c r="P1018" i="6" s="1"/>
  <c r="O1012" i="6"/>
  <c r="P1012" i="6" s="1"/>
  <c r="O1113" i="6"/>
  <c r="P1113" i="6" s="1"/>
  <c r="O1278" i="6"/>
  <c r="P1278" i="6" s="1"/>
  <c r="O1294" i="6"/>
  <c r="P1294" i="6" s="1"/>
  <c r="O1299" i="6"/>
  <c r="P1299" i="6" s="1"/>
  <c r="O1320" i="6"/>
  <c r="P1320" i="6" s="1"/>
  <c r="O598" i="6"/>
  <c r="P598" i="6" s="1"/>
  <c r="O581" i="6"/>
  <c r="P581" i="6" s="1"/>
  <c r="O1275" i="6"/>
  <c r="P1275" i="6" s="1"/>
  <c r="O1291" i="6"/>
  <c r="P1291" i="6" s="1"/>
  <c r="O657" i="6"/>
  <c r="P657" i="6" s="1"/>
  <c r="O1090" i="6"/>
  <c r="P1090" i="6" s="1"/>
  <c r="O1081" i="6"/>
  <c r="P1081" i="6" s="1"/>
  <c r="O1062" i="6"/>
  <c r="P1062" i="6" s="1"/>
  <c r="O1092" i="6"/>
  <c r="P1092" i="6" s="1"/>
  <c r="O1100" i="6"/>
  <c r="P1100" i="6" s="1"/>
  <c r="O1336" i="6"/>
  <c r="P1336" i="6" s="1"/>
  <c r="O1266" i="6"/>
  <c r="P1266" i="6" s="1"/>
  <c r="O1273" i="6"/>
  <c r="P1273" i="6" s="1"/>
  <c r="O1289" i="6"/>
  <c r="P1289" i="6" s="1"/>
  <c r="O1315" i="6"/>
  <c r="P1315" i="6" s="1"/>
  <c r="O565" i="6"/>
  <c r="P565" i="6" s="1"/>
  <c r="O1317" i="6"/>
  <c r="P1317" i="6" s="1"/>
  <c r="O722" i="6"/>
  <c r="P722" i="6" s="1"/>
  <c r="O754" i="6"/>
  <c r="P754" i="6" s="1"/>
  <c r="O1029" i="6"/>
  <c r="P1029" i="6" s="1"/>
  <c r="O1040" i="6"/>
  <c r="P1040" i="6" s="1"/>
  <c r="O1021" i="6"/>
  <c r="P1021" i="6" s="1"/>
  <c r="O1022" i="6"/>
  <c r="P1022" i="6" s="1"/>
  <c r="O1109" i="6"/>
  <c r="P1109" i="6" s="1"/>
  <c r="O1342" i="6"/>
  <c r="P1342" i="6" s="1"/>
  <c r="O1265" i="6"/>
  <c r="P1265" i="6" s="1"/>
  <c r="O1119" i="6"/>
  <c r="P1119" i="6" s="1"/>
  <c r="O1280" i="6"/>
  <c r="P1280" i="6" s="1"/>
  <c r="O1296" i="6"/>
  <c r="P1296" i="6" s="1"/>
  <c r="O1301" i="6"/>
  <c r="P1301" i="6" s="1"/>
  <c r="O1322" i="6"/>
  <c r="P1322" i="6" s="1"/>
  <c r="O628" i="6"/>
  <c r="P628" i="6" s="1"/>
  <c r="O1084" i="6"/>
  <c r="P1084" i="6" s="1"/>
  <c r="O1117" i="6"/>
  <c r="P1117" i="6" s="1"/>
  <c r="O714" i="6"/>
  <c r="P714" i="6" s="1"/>
  <c r="O566" i="6"/>
  <c r="P566" i="6" s="1"/>
  <c r="O1073" i="6"/>
  <c r="P1073" i="6" s="1"/>
  <c r="O1033" i="6"/>
  <c r="P1033" i="6" s="1"/>
  <c r="O1044" i="6"/>
  <c r="P1044" i="6" s="1"/>
  <c r="O1055" i="6"/>
  <c r="P1055" i="6" s="1"/>
  <c r="O1129" i="6"/>
  <c r="P1129" i="6" s="1"/>
  <c r="O1101" i="6"/>
  <c r="P1101" i="6" s="1"/>
  <c r="O1339" i="6"/>
  <c r="P1339" i="6" s="1"/>
  <c r="O1269" i="6"/>
  <c r="P1269" i="6" s="1"/>
  <c r="O1286" i="6"/>
  <c r="P1286" i="6" s="1"/>
  <c r="O1307" i="6"/>
  <c r="P1307" i="6" s="1"/>
  <c r="O1312" i="6"/>
  <c r="P1312" i="6" s="1"/>
  <c r="O1213" i="6"/>
  <c r="P1213" i="6" s="1"/>
  <c r="O738" i="6"/>
  <c r="P738" i="6" s="1"/>
  <c r="O669" i="6"/>
  <c r="P669" i="6" s="1"/>
  <c r="O694" i="6"/>
  <c r="P694" i="6" s="1"/>
  <c r="O629" i="6"/>
  <c r="P629" i="6" s="1"/>
  <c r="O569" i="6"/>
  <c r="P569" i="6" s="1"/>
  <c r="O655" i="6"/>
  <c r="P655" i="6" s="1"/>
  <c r="O634" i="6"/>
  <c r="P634" i="6" s="1"/>
  <c r="O1068" i="6"/>
  <c r="P1068" i="6" s="1"/>
  <c r="O1122" i="6"/>
  <c r="P1122" i="6" s="1"/>
  <c r="O1121" i="6"/>
  <c r="P1121" i="6" s="1"/>
  <c r="O1325" i="6"/>
  <c r="P1325" i="6" s="1"/>
  <c r="O1304" i="6"/>
  <c r="P1304" i="6" s="1"/>
  <c r="O1023" i="6"/>
  <c r="P1023" i="6" s="1"/>
  <c r="O1011" i="6"/>
  <c r="P1011" i="6" s="1"/>
  <c r="O1330" i="6"/>
  <c r="P1330" i="6" s="1"/>
  <c r="O1309" i="6"/>
  <c r="P1309" i="6" s="1"/>
  <c r="O1283" i="6"/>
  <c r="P1283" i="6" s="1"/>
  <c r="O678" i="6"/>
  <c r="P678" i="6" s="1"/>
  <c r="O1132" i="6"/>
  <c r="P1132" i="6" s="1"/>
  <c r="O1106" i="6"/>
  <c r="P1106" i="6" s="1"/>
  <c r="O1281" i="6"/>
  <c r="P1281" i="6" s="1"/>
  <c r="O665" i="6"/>
  <c r="P665" i="6" s="1"/>
  <c r="O574" i="6"/>
  <c r="P574" i="6" s="1"/>
  <c r="O1116" i="6"/>
  <c r="P1116" i="6" s="1"/>
  <c r="O1314" i="6"/>
  <c r="P1314" i="6" s="1"/>
  <c r="O1045" i="6"/>
  <c r="P1045" i="6" s="1"/>
  <c r="O1288" i="6"/>
  <c r="P1288" i="6" s="1"/>
  <c r="O1302" i="6"/>
  <c r="P1302" i="6" s="1"/>
  <c r="O1272" i="6"/>
  <c r="P1272" i="6" s="1"/>
  <c r="O1335" i="6"/>
  <c r="P1335" i="6" s="1"/>
  <c r="O1323" i="6"/>
  <c r="P1323" i="6" s="1"/>
  <c r="O588" i="6"/>
  <c r="P588" i="6" s="1"/>
  <c r="O1077" i="6"/>
  <c r="P1077" i="6" s="1"/>
  <c r="O1096" i="6"/>
  <c r="P1096" i="6" s="1"/>
  <c r="Q792" i="6"/>
  <c r="Q780" i="6"/>
  <c r="Q772" i="6"/>
  <c r="Q722" i="6"/>
  <c r="Q759" i="6"/>
  <c r="Q733" i="6"/>
  <c r="Q741" i="6"/>
  <c r="Q749" i="6"/>
  <c r="Q757" i="6"/>
  <c r="Q710" i="6"/>
  <c r="Q717" i="6"/>
  <c r="Q703" i="6"/>
  <c r="Q671" i="6"/>
  <c r="Q679" i="6"/>
  <c r="Q687" i="6"/>
  <c r="Q695" i="6"/>
  <c r="Q657" i="6"/>
  <c r="Q643" i="6"/>
  <c r="Q651" i="6"/>
  <c r="Q593" i="6"/>
  <c r="Q787" i="6"/>
  <c r="Q775" i="6"/>
  <c r="Q783" i="6"/>
  <c r="Q767" i="6"/>
  <c r="Q725" i="6"/>
  <c r="Q721" i="6"/>
  <c r="Q736" i="6"/>
  <c r="Q744" i="6"/>
  <c r="Q752" i="6"/>
  <c r="Q761" i="6"/>
  <c r="Q713" i="6"/>
  <c r="Q790" i="6"/>
  <c r="Q778" i="6"/>
  <c r="Q770" i="6"/>
  <c r="Q764" i="6"/>
  <c r="Q728" i="6"/>
  <c r="Q731" i="6"/>
  <c r="Q739" i="6"/>
  <c r="Q747" i="6"/>
  <c r="Q755" i="6"/>
  <c r="Q708" i="6"/>
  <c r="Q715" i="6"/>
  <c r="Q701" i="6"/>
  <c r="Q669" i="6"/>
  <c r="Q677" i="6"/>
  <c r="Q685" i="6"/>
  <c r="Q693" i="6"/>
  <c r="Q655" i="6"/>
  <c r="Q663" i="6"/>
  <c r="Q649" i="6"/>
  <c r="Q596" i="6"/>
  <c r="Q609" i="6"/>
  <c r="Q614" i="6"/>
  <c r="Q622" i="6"/>
  <c r="Q630" i="6"/>
  <c r="Q638" i="6"/>
  <c r="Q569" i="6"/>
  <c r="Q574" i="6"/>
  <c r="Q582" i="6"/>
  <c r="Q773" i="6"/>
  <c r="Q791" i="6"/>
  <c r="Q779" i="6"/>
  <c r="Q771" i="6"/>
  <c r="Q763" i="6"/>
  <c r="Q729" i="6"/>
  <c r="Q732" i="6"/>
  <c r="Q740" i="6"/>
  <c r="Q748" i="6"/>
  <c r="Q756" i="6"/>
  <c r="Q709" i="6"/>
  <c r="Q716" i="6"/>
  <c r="Q702" i="6"/>
  <c r="Q670" i="6"/>
  <c r="Q678" i="6"/>
  <c r="Q686" i="6"/>
  <c r="Q694" i="6"/>
  <c r="Q656" i="6"/>
  <c r="Q642" i="6"/>
  <c r="Q781" i="6"/>
  <c r="Q723" i="6"/>
  <c r="Q734" i="6"/>
  <c r="Q750" i="6"/>
  <c r="Q711" i="6"/>
  <c r="Q947" i="6"/>
  <c r="Q674" i="6"/>
  <c r="Q691" i="6"/>
  <c r="Q658" i="6"/>
  <c r="Q662" i="6"/>
  <c r="Q648" i="6"/>
  <c r="Q664" i="6"/>
  <c r="Q595" i="6"/>
  <c r="Q598" i="6"/>
  <c r="Q601" i="6"/>
  <c r="Q604" i="6"/>
  <c r="Q607" i="6"/>
  <c r="Q625" i="6"/>
  <c r="Q628" i="6"/>
  <c r="Q631" i="6"/>
  <c r="Q634" i="6"/>
  <c r="Q637" i="6"/>
  <c r="Q567" i="6"/>
  <c r="Q565" i="6"/>
  <c r="Q572" i="6"/>
  <c r="Q575" i="6"/>
  <c r="Q578" i="6"/>
  <c r="Q581" i="6"/>
  <c r="Q584" i="6"/>
  <c r="Q587" i="6"/>
  <c r="Q590" i="6"/>
  <c r="Q1085" i="6"/>
  <c r="Q1080" i="6"/>
  <c r="Q1023" i="6"/>
  <c r="Q1031" i="6"/>
  <c r="Q1039" i="6"/>
  <c r="Q1047" i="6"/>
  <c r="Q1055" i="6"/>
  <c r="Q1063" i="6"/>
  <c r="Q789" i="6"/>
  <c r="Q776" i="6"/>
  <c r="Q766" i="6"/>
  <c r="Q730" i="6"/>
  <c r="Q745" i="6"/>
  <c r="Q762" i="6"/>
  <c r="Q666" i="6"/>
  <c r="Q683" i="6"/>
  <c r="Q782" i="6"/>
  <c r="Q724" i="6"/>
  <c r="Q777" i="6"/>
  <c r="Q765" i="6"/>
  <c r="Q718" i="6"/>
  <c r="Q746" i="6"/>
  <c r="Q707" i="6"/>
  <c r="Q667" i="6"/>
  <c r="Q680" i="6"/>
  <c r="Q684" i="6"/>
  <c r="Q697" i="6"/>
  <c r="Q646" i="6"/>
  <c r="Q665" i="6"/>
  <c r="Q605" i="6"/>
  <c r="Q608" i="6"/>
  <c r="Q617" i="6"/>
  <c r="Q620" i="6"/>
  <c r="Q623" i="6"/>
  <c r="Q626" i="6"/>
  <c r="Q629" i="6"/>
  <c r="Q632" i="6"/>
  <c r="Q635" i="6"/>
  <c r="Q570" i="6"/>
  <c r="Q573" i="6"/>
  <c r="Q576" i="6"/>
  <c r="Q579" i="6"/>
  <c r="Q1086" i="6"/>
  <c r="Q1081" i="6"/>
  <c r="Q1024" i="6"/>
  <c r="Q1032" i="6"/>
  <c r="Q1040" i="6"/>
  <c r="Q1048" i="6"/>
  <c r="Q1056" i="6"/>
  <c r="Q1064" i="6"/>
  <c r="Q769" i="6"/>
  <c r="Q719" i="6"/>
  <c r="Q742" i="6"/>
  <c r="Q758" i="6"/>
  <c r="Q699" i="6"/>
  <c r="Q672" i="6"/>
  <c r="Q676" i="6"/>
  <c r="Q689" i="6"/>
  <c r="Q660" i="6"/>
  <c r="Q650" i="6"/>
  <c r="Q594" i="6"/>
  <c r="Q611" i="6"/>
  <c r="Q785" i="6"/>
  <c r="Q774" i="6"/>
  <c r="Q727" i="6"/>
  <c r="Q754" i="6"/>
  <c r="Q705" i="6"/>
  <c r="Q682" i="6"/>
  <c r="Q690" i="6"/>
  <c r="Q610" i="6"/>
  <c r="Q615" i="6"/>
  <c r="Q566" i="6"/>
  <c r="Q577" i="6"/>
  <c r="Q592" i="6"/>
  <c r="Q1084" i="6"/>
  <c r="Q1078" i="6"/>
  <c r="Q1071" i="6"/>
  <c r="Q1038" i="6"/>
  <c r="Q1045" i="6"/>
  <c r="Q1052" i="6"/>
  <c r="Q1096" i="6"/>
  <c r="Q1022" i="6"/>
  <c r="Q1136" i="6"/>
  <c r="Q1130" i="6"/>
  <c r="Q1114" i="6"/>
  <c r="Q1110" i="6"/>
  <c r="Q1101" i="6"/>
  <c r="Q1334" i="6"/>
  <c r="Q1270" i="6"/>
  <c r="Q1329" i="6"/>
  <c r="Q1121" i="6"/>
  <c r="Q768" i="6"/>
  <c r="Q735" i="6"/>
  <c r="Q712" i="6"/>
  <c r="Q698" i="6"/>
  <c r="Q675" i="6"/>
  <c r="Q652" i="6"/>
  <c r="Q641" i="6"/>
  <c r="Q597" i="6"/>
  <c r="Q606" i="6"/>
  <c r="Q568" i="6"/>
  <c r="Q586" i="6"/>
  <c r="Q1088" i="6"/>
  <c r="Q1075" i="6"/>
  <c r="Q1082" i="6"/>
  <c r="Q1035" i="6"/>
  <c r="Q1042" i="6"/>
  <c r="Q1049" i="6"/>
  <c r="Q1067" i="6"/>
  <c r="Q1019" i="6"/>
  <c r="Q1017" i="6"/>
  <c r="Q1133" i="6"/>
  <c r="Q1123" i="6"/>
  <c r="Q1112" i="6"/>
  <c r="Q1105" i="6"/>
  <c r="Q1337" i="6"/>
  <c r="Q1125" i="6"/>
  <c r="Q737" i="6"/>
  <c r="Q706" i="6"/>
  <c r="Q668" i="6"/>
  <c r="Q659" i="6"/>
  <c r="Q644" i="6"/>
  <c r="Q602" i="6"/>
  <c r="Q616" i="6"/>
  <c r="Q621" i="6"/>
  <c r="Q636" i="6"/>
  <c r="Q1079" i="6"/>
  <c r="Q1072" i="6"/>
  <c r="Q1028" i="6"/>
  <c r="Q1046" i="6"/>
  <c r="Q1053" i="6"/>
  <c r="Q1060" i="6"/>
  <c r="Q1091" i="6"/>
  <c r="Q1094" i="6"/>
  <c r="Q1015" i="6"/>
  <c r="Q1013" i="6"/>
  <c r="Q1128" i="6"/>
  <c r="Q1108" i="6"/>
  <c r="Q1099" i="6"/>
  <c r="Q720" i="6"/>
  <c r="Q600" i="6"/>
  <c r="Q1077" i="6"/>
  <c r="Q1058" i="6"/>
  <c r="Q1018" i="6"/>
  <c r="Q1012" i="6"/>
  <c r="Q1129" i="6"/>
  <c r="Q1113" i="6"/>
  <c r="Q1336" i="6"/>
  <c r="Q1340" i="6"/>
  <c r="Q1266" i="6"/>
  <c r="Q1273" i="6"/>
  <c r="Q1281" i="6"/>
  <c r="Q1289" i="6"/>
  <c r="Q1302" i="6"/>
  <c r="Q1315" i="6"/>
  <c r="Q1323" i="6"/>
  <c r="Q743" i="6"/>
  <c r="Q661" i="6"/>
  <c r="Q639" i="6"/>
  <c r="Q1070" i="6"/>
  <c r="Q1025" i="6"/>
  <c r="Q1030" i="6"/>
  <c r="Q1036" i="6"/>
  <c r="Q1041" i="6"/>
  <c r="Q1069" i="6"/>
  <c r="Q1135" i="6"/>
  <c r="Q1111" i="6"/>
  <c r="Q1102" i="6"/>
  <c r="Q1333" i="6"/>
  <c r="Q1328" i="6"/>
  <c r="Q1331" i="6"/>
  <c r="Q1276" i="6"/>
  <c r="Q1284" i="6"/>
  <c r="Q1292" i="6"/>
  <c r="Q1297" i="6"/>
  <c r="Q1305" i="6"/>
  <c r="Q1310" i="6"/>
  <c r="Q1318" i="6"/>
  <c r="Q1326" i="6"/>
  <c r="Q1204" i="6"/>
  <c r="Q1004" i="6"/>
  <c r="Q981" i="6"/>
  <c r="Q985" i="6"/>
  <c r="Q989" i="6"/>
  <c r="Q993" i="6"/>
  <c r="Q997" i="6"/>
  <c r="Q1001" i="6"/>
  <c r="Q976" i="6"/>
  <c r="Q950" i="6"/>
  <c r="Q954" i="6"/>
  <c r="Q958" i="6"/>
  <c r="Q962" i="6"/>
  <c r="Q966" i="6"/>
  <c r="Q970" i="6"/>
  <c r="Q974" i="6"/>
  <c r="Q944" i="6"/>
  <c r="Q941" i="6"/>
  <c r="Q784" i="6"/>
  <c r="Q700" i="6"/>
  <c r="Q696" i="6"/>
  <c r="Q624" i="6"/>
  <c r="Q633" i="6"/>
  <c r="Q563" i="6"/>
  <c r="Q585" i="6"/>
  <c r="Q1087" i="6"/>
  <c r="Q1043" i="6"/>
  <c r="Q1054" i="6"/>
  <c r="Q1059" i="6"/>
  <c r="Q1065" i="6"/>
  <c r="Q1095" i="6"/>
  <c r="Q1016" i="6"/>
  <c r="Q1127" i="6"/>
  <c r="Q1115" i="6"/>
  <c r="Q1098" i="6"/>
  <c r="Q1332" i="6"/>
  <c r="Q1264" i="6"/>
  <c r="Q1118" i="6"/>
  <c r="Q1279" i="6"/>
  <c r="Q1287" i="6"/>
  <c r="Q1295" i="6"/>
  <c r="Q1300" i="6"/>
  <c r="Q1308" i="6"/>
  <c r="Q1313" i="6"/>
  <c r="Q1321" i="6"/>
  <c r="Q857" i="6"/>
  <c r="Q861" i="6"/>
  <c r="Q865" i="6"/>
  <c r="Q871" i="6"/>
  <c r="Q875" i="6"/>
  <c r="Q880" i="6"/>
  <c r="Q884" i="6"/>
  <c r="Q876" i="6"/>
  <c r="Q887" i="6"/>
  <c r="Q890" i="6"/>
  <c r="Q896" i="6"/>
  <c r="Q800" i="6"/>
  <c r="Q804" i="6"/>
  <c r="Q808" i="6"/>
  <c r="Q812" i="6"/>
  <c r="Q816" i="6"/>
  <c r="Q794" i="6"/>
  <c r="Q798" i="6"/>
  <c r="Q135" i="6"/>
  <c r="Q132" i="6"/>
  <c r="Q128" i="6"/>
  <c r="Q673" i="6"/>
  <c r="Q653" i="6"/>
  <c r="Q603" i="6"/>
  <c r="Q618" i="6"/>
  <c r="Q564" i="6"/>
  <c r="Q571" i="6"/>
  <c r="Q580" i="6"/>
  <c r="Q591" i="6"/>
  <c r="Q1026" i="6"/>
  <c r="Q1037" i="6"/>
  <c r="Q1020" i="6"/>
  <c r="Q1014" i="6"/>
  <c r="Q1134" i="6"/>
  <c r="Q1107" i="6"/>
  <c r="Q1341" i="6"/>
  <c r="Q1267" i="6"/>
  <c r="Q1271" i="6"/>
  <c r="Q1274" i="6"/>
  <c r="Q1282" i="6"/>
  <c r="Q1290" i="6"/>
  <c r="Q1303" i="6"/>
  <c r="Q1316" i="6"/>
  <c r="Q1324" i="6"/>
  <c r="Q979" i="6"/>
  <c r="Q982" i="6"/>
  <c r="Q986" i="6"/>
  <c r="Q990" i="6"/>
  <c r="Q994" i="6"/>
  <c r="Q998" i="6"/>
  <c r="Q1002" i="6"/>
  <c r="Q975" i="6"/>
  <c r="Q951" i="6"/>
  <c r="Q955" i="6"/>
  <c r="Q959" i="6"/>
  <c r="Q963" i="6"/>
  <c r="Q967" i="6"/>
  <c r="Q971" i="6"/>
  <c r="Q939" i="6"/>
  <c r="Q946" i="6"/>
  <c r="Q938" i="6"/>
  <c r="Q751" i="6"/>
  <c r="Q640" i="6"/>
  <c r="Q1089" i="6"/>
  <c r="Q1050" i="6"/>
  <c r="Q1061" i="6"/>
  <c r="Q1132" i="6"/>
  <c r="Q1106" i="6"/>
  <c r="Q1272" i="6"/>
  <c r="Q1330" i="6"/>
  <c r="Q1283" i="6"/>
  <c r="Q1304" i="6"/>
  <c r="Q1309" i="6"/>
  <c r="Q1325" i="6"/>
  <c r="Q965" i="6"/>
  <c r="Q972" i="6"/>
  <c r="Q855" i="6"/>
  <c r="Q862" i="6"/>
  <c r="Q883" i="6"/>
  <c r="Q851" i="6"/>
  <c r="Q822" i="6"/>
  <c r="Q807" i="6"/>
  <c r="Q796" i="6"/>
  <c r="Q134" i="6"/>
  <c r="Q726" i="6"/>
  <c r="Q1029" i="6"/>
  <c r="Q1021" i="6"/>
  <c r="Q1109" i="6"/>
  <c r="Q1265" i="6"/>
  <c r="Q1322" i="6"/>
  <c r="Q984" i="6"/>
  <c r="Q992" i="6"/>
  <c r="Q961" i="6"/>
  <c r="Q858" i="6"/>
  <c r="Q809" i="6"/>
  <c r="Q753" i="6"/>
  <c r="Q681" i="6"/>
  <c r="Q589" i="6"/>
  <c r="Q1027" i="6"/>
  <c r="Q1120" i="6"/>
  <c r="Q1278" i="6"/>
  <c r="Q1294" i="6"/>
  <c r="Q1299" i="6"/>
  <c r="Q1320" i="6"/>
  <c r="Q1005" i="6"/>
  <c r="Q983" i="6"/>
  <c r="Q991" i="6"/>
  <c r="Q999" i="6"/>
  <c r="Q953" i="6"/>
  <c r="Q960" i="6"/>
  <c r="Q895" i="6"/>
  <c r="Q870" i="6"/>
  <c r="Q878" i="6"/>
  <c r="Q885" i="6"/>
  <c r="Q892" i="6"/>
  <c r="Q803" i="6"/>
  <c r="Q817" i="6"/>
  <c r="Q821" i="6"/>
  <c r="Q129" i="6"/>
  <c r="Q136" i="6"/>
  <c r="Q645" i="6"/>
  <c r="Q1083" i="6"/>
  <c r="Q1006" i="6"/>
  <c r="Q1000" i="6"/>
  <c r="Q968" i="6"/>
  <c r="Q886" i="6"/>
  <c r="Q688" i="6"/>
  <c r="Q612" i="6"/>
  <c r="Q627" i="6"/>
  <c r="Q1090" i="6"/>
  <c r="Q1051" i="6"/>
  <c r="Q1062" i="6"/>
  <c r="Q1092" i="6"/>
  <c r="Q1100" i="6"/>
  <c r="Q1338" i="6"/>
  <c r="Q1268" i="6"/>
  <c r="Q1285" i="6"/>
  <c r="Q1306" i="6"/>
  <c r="Q1311" i="6"/>
  <c r="Q948" i="6"/>
  <c r="Q973" i="6"/>
  <c r="Q943" i="6"/>
  <c r="Q856" i="6"/>
  <c r="Q863" i="6"/>
  <c r="Q872" i="6"/>
  <c r="Q852" i="6"/>
  <c r="Q888" i="6"/>
  <c r="Q799" i="6"/>
  <c r="Q813" i="6"/>
  <c r="Q795" i="6"/>
  <c r="Q760" i="6"/>
  <c r="Q704" i="6"/>
  <c r="Q1342" i="6"/>
  <c r="Q1119" i="6"/>
  <c r="Q1280" i="6"/>
  <c r="Q1301" i="6"/>
  <c r="Q879" i="6"/>
  <c r="Q893" i="6"/>
  <c r="Q692" i="6"/>
  <c r="Q613" i="6"/>
  <c r="Q583" i="6"/>
  <c r="Q1074" i="6"/>
  <c r="Q1066" i="6"/>
  <c r="Q1093" i="6"/>
  <c r="Q1117" i="6"/>
  <c r="Q1343" i="6"/>
  <c r="Q1327" i="6"/>
  <c r="Q1275" i="6"/>
  <c r="Q1291" i="6"/>
  <c r="Q1296" i="6"/>
  <c r="Q1317" i="6"/>
  <c r="Q949" i="6"/>
  <c r="Q956" i="6"/>
  <c r="Q942" i="6"/>
  <c r="Q864" i="6"/>
  <c r="Q873" i="6"/>
  <c r="Q881" i="6"/>
  <c r="Q853" i="6"/>
  <c r="Q889" i="6"/>
  <c r="Q805" i="6"/>
  <c r="Q814" i="6"/>
  <c r="Q797" i="6"/>
  <c r="Q786" i="6"/>
  <c r="Q714" i="6"/>
  <c r="Q647" i="6"/>
  <c r="Q599" i="6"/>
  <c r="Q1076" i="6"/>
  <c r="Q1073" i="6"/>
  <c r="Q1011" i="6"/>
  <c r="Q1103" i="6"/>
  <c r="Q1339" i="6"/>
  <c r="Q988" i="6"/>
  <c r="Q969" i="6"/>
  <c r="Q894" i="6"/>
  <c r="Q860" i="6"/>
  <c r="Q882" i="6"/>
  <c r="Q802" i="6"/>
  <c r="Q815" i="6"/>
  <c r="Q1034" i="6"/>
  <c r="Q1298" i="6"/>
  <c r="Q995" i="6"/>
  <c r="Q952" i="6"/>
  <c r="Q866" i="6"/>
  <c r="Q130" i="6"/>
  <c r="Q819" i="6"/>
  <c r="Q133" i="6"/>
  <c r="Q978" i="6"/>
  <c r="Q874" i="6"/>
  <c r="Q1307" i="6"/>
  <c r="Q964" i="6"/>
  <c r="Q877" i="6"/>
  <c r="Q738" i="6"/>
  <c r="Q1068" i="6"/>
  <c r="Q1122" i="6"/>
  <c r="Q1312" i="6"/>
  <c r="Q820" i="6"/>
  <c r="Q810" i="6"/>
  <c r="Q588" i="6"/>
  <c r="Q1104" i="6"/>
  <c r="Q1277" i="6"/>
  <c r="Q1319" i="6"/>
  <c r="Q945" i="6"/>
  <c r="Q869" i="6"/>
  <c r="Q1293" i="6"/>
  <c r="Q977" i="6"/>
  <c r="Q859" i="6"/>
  <c r="Q811" i="6"/>
  <c r="Q654" i="6"/>
  <c r="Q1044" i="6"/>
  <c r="Q1124" i="6"/>
  <c r="Q1286" i="6"/>
  <c r="Q891" i="6"/>
  <c r="Q806" i="6"/>
  <c r="Q818" i="6"/>
  <c r="Q793" i="6"/>
  <c r="Q1116" i="6"/>
  <c r="Q1269" i="6"/>
  <c r="Q1314" i="6"/>
  <c r="Q980" i="6"/>
  <c r="Q996" i="6"/>
  <c r="Q957" i="6"/>
  <c r="Q940" i="6"/>
  <c r="Q867" i="6"/>
  <c r="Q868" i="6"/>
  <c r="Q897" i="6"/>
  <c r="Q1097" i="6"/>
  <c r="Q788" i="6"/>
  <c r="Q1057" i="6"/>
  <c r="Q987" i="6"/>
  <c r="Q801" i="6"/>
  <c r="Q619" i="6"/>
  <c r="Q1033" i="6"/>
  <c r="Q1335" i="6"/>
  <c r="Q131" i="6"/>
  <c r="Q1131" i="6"/>
  <c r="Q1288" i="6"/>
  <c r="Q1213" i="6"/>
  <c r="Q1003" i="6"/>
  <c r="Q854" i="6"/>
  <c r="P13" i="3"/>
  <c r="P14" i="3"/>
  <c r="P28" i="3"/>
  <c r="P17" i="3"/>
  <c r="P9" i="3"/>
  <c r="K14" i="4"/>
  <c r="K18" i="4"/>
  <c r="N36" i="3"/>
  <c r="O36" i="3" s="1"/>
  <c r="N33" i="3"/>
  <c r="O33" i="3" s="1"/>
  <c r="Q54" i="6"/>
  <c r="Q58" i="6"/>
  <c r="Q62" i="6"/>
  <c r="Q49" i="6"/>
  <c r="Q45" i="6"/>
  <c r="Q41" i="6"/>
  <c r="Q37" i="6"/>
  <c r="Q53" i="6"/>
  <c r="Q48" i="6"/>
  <c r="Q39" i="6"/>
  <c r="Q38" i="6"/>
  <c r="Q63" i="6"/>
  <c r="Q43" i="6"/>
  <c r="Q34" i="6"/>
  <c r="Q47" i="6"/>
  <c r="Q59" i="6"/>
  <c r="Q51" i="6"/>
  <c r="Q60" i="6"/>
  <c r="Q46" i="6"/>
  <c r="Q40" i="6"/>
  <c r="Q44" i="6"/>
  <c r="Q55" i="6"/>
  <c r="Q50" i="6"/>
  <c r="Q57" i="6"/>
  <c r="Q36" i="6"/>
  <c r="Q61" i="6"/>
  <c r="Q35" i="6"/>
  <c r="Q64" i="6"/>
  <c r="Q56" i="6"/>
  <c r="Q52" i="6"/>
  <c r="Q42" i="6"/>
  <c r="R1334" i="6"/>
  <c r="O58" i="6"/>
  <c r="P58" i="6" s="1"/>
  <c r="O64" i="6"/>
  <c r="P64" i="6" s="1"/>
  <c r="O61" i="6"/>
  <c r="P61" i="6" s="1"/>
  <c r="O52" i="6"/>
  <c r="P52" i="6" s="1"/>
  <c r="O55" i="6"/>
  <c r="P55" i="6" s="1"/>
  <c r="O57" i="6"/>
  <c r="P57" i="6" s="1"/>
  <c r="O63" i="6"/>
  <c r="P63" i="6" s="1"/>
  <c r="O48" i="6"/>
  <c r="P48" i="6" s="1"/>
  <c r="O47" i="6"/>
  <c r="P47" i="6" s="1"/>
  <c r="O44" i="6"/>
  <c r="P44" i="6" s="1"/>
  <c r="O42" i="6"/>
  <c r="P42" i="6" s="1"/>
  <c r="O36" i="6"/>
  <c r="P36" i="6" s="1"/>
  <c r="O46" i="6"/>
  <c r="P46" i="6" s="1"/>
  <c r="O38" i="6"/>
  <c r="P38" i="6" s="1"/>
  <c r="O54" i="6"/>
  <c r="P54" i="6" s="1"/>
  <c r="O60" i="6"/>
  <c r="P60" i="6" s="1"/>
  <c r="O39" i="6"/>
  <c r="P39" i="6" s="1"/>
  <c r="O34" i="6"/>
  <c r="P34" i="6" s="1"/>
  <c r="O37" i="6"/>
  <c r="P37" i="6" s="1"/>
  <c r="O56" i="6"/>
  <c r="P56" i="6" s="1"/>
  <c r="O53" i="6"/>
  <c r="P53" i="6" s="1"/>
  <c r="O41" i="6"/>
  <c r="P41" i="6" s="1"/>
  <c r="O45" i="6"/>
  <c r="P45" i="6" s="1"/>
  <c r="O43" i="6"/>
  <c r="P43" i="6" s="1"/>
  <c r="O35" i="6"/>
  <c r="P35" i="6" s="1"/>
  <c r="O51" i="6"/>
  <c r="P51" i="6" s="1"/>
  <c r="O62" i="6"/>
  <c r="P62" i="6" s="1"/>
  <c r="O50" i="6"/>
  <c r="P50" i="6" s="1"/>
  <c r="O49" i="6"/>
  <c r="P49" i="6" s="1"/>
  <c r="O59" i="6"/>
  <c r="P59" i="6" s="1"/>
  <c r="O40" i="6"/>
  <c r="P40" i="6" s="1"/>
  <c r="O1006" i="6"/>
  <c r="P1006" i="6" s="1"/>
  <c r="O978" i="6"/>
  <c r="P978" i="6" s="1"/>
  <c r="O984" i="6"/>
  <c r="P984" i="6" s="1"/>
  <c r="O988" i="6"/>
  <c r="P988" i="6" s="1"/>
  <c r="O992" i="6"/>
  <c r="P992" i="6" s="1"/>
  <c r="O996" i="6"/>
  <c r="P996" i="6" s="1"/>
  <c r="O1000" i="6"/>
  <c r="P1000" i="6" s="1"/>
  <c r="O977" i="6"/>
  <c r="P977" i="6" s="1"/>
  <c r="O949" i="6"/>
  <c r="P949" i="6" s="1"/>
  <c r="O953" i="6"/>
  <c r="P953" i="6" s="1"/>
  <c r="O957" i="6"/>
  <c r="P957" i="6" s="1"/>
  <c r="O961" i="6"/>
  <c r="P961" i="6" s="1"/>
  <c r="O965" i="6"/>
  <c r="P965" i="6" s="1"/>
  <c r="O1005" i="6"/>
  <c r="P1005" i="6" s="1"/>
  <c r="O980" i="6"/>
  <c r="P980" i="6" s="1"/>
  <c r="O983" i="6"/>
  <c r="P983" i="6" s="1"/>
  <c r="O987" i="6"/>
  <c r="P987" i="6" s="1"/>
  <c r="O991" i="6"/>
  <c r="P991" i="6" s="1"/>
  <c r="O995" i="6"/>
  <c r="P995" i="6" s="1"/>
  <c r="O999" i="6"/>
  <c r="P999" i="6" s="1"/>
  <c r="O1003" i="6"/>
  <c r="P1003" i="6" s="1"/>
  <c r="O948" i="6"/>
  <c r="P948" i="6" s="1"/>
  <c r="O952" i="6"/>
  <c r="P952" i="6" s="1"/>
  <c r="O979" i="6"/>
  <c r="P979" i="6" s="1"/>
  <c r="O982" i="6"/>
  <c r="P982" i="6" s="1"/>
  <c r="O986" i="6"/>
  <c r="P986" i="6" s="1"/>
  <c r="O990" i="6"/>
  <c r="P990" i="6" s="1"/>
  <c r="O994" i="6"/>
  <c r="P994" i="6" s="1"/>
  <c r="O998" i="6"/>
  <c r="P998" i="6" s="1"/>
  <c r="O1002" i="6"/>
  <c r="P1002" i="6" s="1"/>
  <c r="O975" i="6"/>
  <c r="P975" i="6" s="1"/>
  <c r="O951" i="6"/>
  <c r="P951" i="6" s="1"/>
  <c r="O955" i="6"/>
  <c r="P955" i="6" s="1"/>
  <c r="O959" i="6"/>
  <c r="P959" i="6" s="1"/>
  <c r="O963" i="6"/>
  <c r="P963" i="6" s="1"/>
  <c r="O1004" i="6"/>
  <c r="P1004" i="6" s="1"/>
  <c r="O981" i="6"/>
  <c r="P981" i="6" s="1"/>
  <c r="O985" i="6"/>
  <c r="P985" i="6" s="1"/>
  <c r="O989" i="6"/>
  <c r="P989" i="6" s="1"/>
  <c r="O993" i="6"/>
  <c r="P993" i="6" s="1"/>
  <c r="O997" i="6"/>
  <c r="P997" i="6" s="1"/>
  <c r="O1001" i="6"/>
  <c r="P1001" i="6" s="1"/>
  <c r="O976" i="6"/>
  <c r="P976" i="6" s="1"/>
  <c r="O950" i="6"/>
  <c r="P950" i="6" s="1"/>
  <c r="O954" i="6"/>
  <c r="P954" i="6" s="1"/>
  <c r="O972" i="6"/>
  <c r="P972" i="6" s="1"/>
  <c r="O895" i="6"/>
  <c r="P895" i="6" s="1"/>
  <c r="O855" i="6"/>
  <c r="P855" i="6" s="1"/>
  <c r="O859" i="6"/>
  <c r="P859" i="6" s="1"/>
  <c r="O863" i="6"/>
  <c r="P863" i="6" s="1"/>
  <c r="O867" i="6"/>
  <c r="P867" i="6" s="1"/>
  <c r="O873" i="6"/>
  <c r="P873" i="6" s="1"/>
  <c r="O878" i="6"/>
  <c r="P878" i="6" s="1"/>
  <c r="O882" i="6"/>
  <c r="P882" i="6" s="1"/>
  <c r="O853" i="6"/>
  <c r="P853" i="6" s="1"/>
  <c r="O886" i="6"/>
  <c r="P886" i="6" s="1"/>
  <c r="O970" i="6"/>
  <c r="P970" i="6" s="1"/>
  <c r="O945" i="6"/>
  <c r="P945" i="6" s="1"/>
  <c r="O946" i="6"/>
  <c r="P946" i="6" s="1"/>
  <c r="O968" i="6"/>
  <c r="P968" i="6" s="1"/>
  <c r="O894" i="6"/>
  <c r="P894" i="6" s="1"/>
  <c r="O854" i="6"/>
  <c r="P854" i="6" s="1"/>
  <c r="O858" i="6"/>
  <c r="P858" i="6" s="1"/>
  <c r="O862" i="6"/>
  <c r="P862" i="6" s="1"/>
  <c r="O866" i="6"/>
  <c r="P866" i="6" s="1"/>
  <c r="O872" i="6"/>
  <c r="P872" i="6" s="1"/>
  <c r="O958" i="6"/>
  <c r="P958" i="6" s="1"/>
  <c r="O966" i="6"/>
  <c r="P966" i="6" s="1"/>
  <c r="O973" i="6"/>
  <c r="P973" i="6" s="1"/>
  <c r="O939" i="6"/>
  <c r="P939" i="6" s="1"/>
  <c r="O941" i="6"/>
  <c r="P941" i="6" s="1"/>
  <c r="O956" i="6"/>
  <c r="P956" i="6" s="1"/>
  <c r="O962" i="6"/>
  <c r="P962" i="6" s="1"/>
  <c r="O969" i="6"/>
  <c r="P969" i="6" s="1"/>
  <c r="O971" i="6"/>
  <c r="P971" i="6" s="1"/>
  <c r="O960" i="6"/>
  <c r="P960" i="6" s="1"/>
  <c r="O857" i="6"/>
  <c r="P857" i="6" s="1"/>
  <c r="O874" i="6"/>
  <c r="P874" i="6" s="1"/>
  <c r="O869" i="6"/>
  <c r="P869" i="6" s="1"/>
  <c r="O889" i="6"/>
  <c r="P889" i="6" s="1"/>
  <c r="O893" i="6"/>
  <c r="P893" i="6" s="1"/>
  <c r="O799" i="6"/>
  <c r="P799" i="6" s="1"/>
  <c r="O803" i="6"/>
  <c r="P803" i="6" s="1"/>
  <c r="O807" i="6"/>
  <c r="P807" i="6" s="1"/>
  <c r="O860" i="6"/>
  <c r="P860" i="6" s="1"/>
  <c r="O974" i="6"/>
  <c r="P974" i="6" s="1"/>
  <c r="O861" i="6"/>
  <c r="P861" i="6" s="1"/>
  <c r="O879" i="6"/>
  <c r="P879" i="6" s="1"/>
  <c r="O888" i="6"/>
  <c r="P888" i="6" s="1"/>
  <c r="O892" i="6"/>
  <c r="P892" i="6" s="1"/>
  <c r="O822" i="6"/>
  <c r="P822" i="6" s="1"/>
  <c r="O802" i="6"/>
  <c r="P802" i="6" s="1"/>
  <c r="O938" i="6"/>
  <c r="P938" i="6" s="1"/>
  <c r="O864" i="6"/>
  <c r="P864" i="6" s="1"/>
  <c r="O881" i="6"/>
  <c r="P881" i="6" s="1"/>
  <c r="O876" i="6"/>
  <c r="P876" i="6" s="1"/>
  <c r="O944" i="6"/>
  <c r="P944" i="6" s="1"/>
  <c r="O870" i="6"/>
  <c r="P870" i="6" s="1"/>
  <c r="O875" i="6"/>
  <c r="P875" i="6" s="1"/>
  <c r="O852" i="6"/>
  <c r="P852" i="6" s="1"/>
  <c r="O940" i="6"/>
  <c r="P940" i="6" s="1"/>
  <c r="O896" i="6"/>
  <c r="P896" i="6" s="1"/>
  <c r="O805" i="6"/>
  <c r="P805" i="6" s="1"/>
  <c r="O815" i="6"/>
  <c r="P815" i="6" s="1"/>
  <c r="O819" i="6"/>
  <c r="P819" i="6" s="1"/>
  <c r="O797" i="6"/>
  <c r="P797" i="6" s="1"/>
  <c r="O136" i="6"/>
  <c r="P136" i="6" s="1"/>
  <c r="O129" i="6"/>
  <c r="P129" i="6" s="1"/>
  <c r="O856" i="6"/>
  <c r="P856" i="6" s="1"/>
  <c r="O871" i="6"/>
  <c r="P871" i="6" s="1"/>
  <c r="O897" i="6"/>
  <c r="P897" i="6" s="1"/>
  <c r="O806" i="6"/>
  <c r="P806" i="6" s="1"/>
  <c r="O809" i="6"/>
  <c r="P809" i="6" s="1"/>
  <c r="O943" i="6"/>
  <c r="P943" i="6" s="1"/>
  <c r="O800" i="6"/>
  <c r="P800" i="6" s="1"/>
  <c r="O814" i="6"/>
  <c r="P814" i="6" s="1"/>
  <c r="O818" i="6"/>
  <c r="P818" i="6" s="1"/>
  <c r="O795" i="6"/>
  <c r="P795" i="6" s="1"/>
  <c r="O821" i="6"/>
  <c r="P821" i="6" s="1"/>
  <c r="O134" i="6"/>
  <c r="P134" i="6" s="1"/>
  <c r="O964" i="6"/>
  <c r="P964" i="6" s="1"/>
  <c r="O885" i="6"/>
  <c r="P885" i="6" s="1"/>
  <c r="O887" i="6"/>
  <c r="P887" i="6" s="1"/>
  <c r="O801" i="6"/>
  <c r="P801" i="6" s="1"/>
  <c r="O810" i="6"/>
  <c r="P810" i="6" s="1"/>
  <c r="O817" i="6"/>
  <c r="P817" i="6" s="1"/>
  <c r="O877" i="6"/>
  <c r="P877" i="6" s="1"/>
  <c r="O804" i="6"/>
  <c r="P804" i="6" s="1"/>
  <c r="O811" i="6"/>
  <c r="P811" i="6" s="1"/>
  <c r="O812" i="6"/>
  <c r="P812" i="6" s="1"/>
  <c r="O128" i="6"/>
  <c r="P128" i="6" s="1"/>
  <c r="O942" i="6"/>
  <c r="P942" i="6" s="1"/>
  <c r="O883" i="6"/>
  <c r="P883" i="6" s="1"/>
  <c r="O890" i="6"/>
  <c r="P890" i="6" s="1"/>
  <c r="O130" i="6"/>
  <c r="P130" i="6" s="1"/>
  <c r="O884" i="6"/>
  <c r="P884" i="6" s="1"/>
  <c r="O135" i="6"/>
  <c r="P135" i="6" s="1"/>
  <c r="O133" i="6"/>
  <c r="P133" i="6" s="1"/>
  <c r="O868" i="6"/>
  <c r="P868" i="6" s="1"/>
  <c r="O891" i="6"/>
  <c r="P891" i="6" s="1"/>
  <c r="O816" i="6"/>
  <c r="P816" i="6" s="1"/>
  <c r="O798" i="6"/>
  <c r="P798" i="6" s="1"/>
  <c r="O967" i="6"/>
  <c r="P967" i="6" s="1"/>
  <c r="O851" i="6"/>
  <c r="P851" i="6" s="1"/>
  <c r="O808" i="6"/>
  <c r="P808" i="6" s="1"/>
  <c r="O794" i="6"/>
  <c r="P794" i="6" s="1"/>
  <c r="O813" i="6"/>
  <c r="P813" i="6" s="1"/>
  <c r="O796" i="6"/>
  <c r="P796" i="6" s="1"/>
  <c r="O132" i="6"/>
  <c r="P132" i="6" s="1"/>
  <c r="O865" i="6"/>
  <c r="P865" i="6" s="1"/>
  <c r="O131" i="6"/>
  <c r="P131" i="6" s="1"/>
  <c r="O880" i="6"/>
  <c r="P880" i="6" s="1"/>
  <c r="O820" i="6"/>
  <c r="P820" i="6" s="1"/>
  <c r="N28" i="3"/>
  <c r="O28" i="3" s="1"/>
  <c r="N17" i="3"/>
  <c r="O17" i="3" s="1"/>
  <c r="N9" i="3"/>
  <c r="O9" i="3" s="1"/>
  <c r="N14" i="3"/>
  <c r="O14" i="3" s="1"/>
  <c r="O13" i="3"/>
  <c r="Q1250" i="6"/>
  <c r="Q1010" i="6"/>
  <c r="O1250" i="6"/>
  <c r="P1250" i="6" s="1"/>
  <c r="O1010" i="6"/>
  <c r="P1010" i="6" s="1"/>
  <c r="R1257" i="6"/>
  <c r="O172" i="6"/>
  <c r="P172" i="6" s="1"/>
  <c r="O1256" i="6"/>
  <c r="P1256" i="6" s="1"/>
  <c r="O1254" i="6"/>
  <c r="P1254" i="6" s="1"/>
  <c r="O1257" i="6"/>
  <c r="P1257" i="6" s="1"/>
  <c r="O1259" i="6"/>
  <c r="P1259" i="6" s="1"/>
  <c r="O1260" i="6"/>
  <c r="P1260" i="6" s="1"/>
  <c r="O1262" i="6"/>
  <c r="P1262" i="6" s="1"/>
  <c r="O1263" i="6"/>
  <c r="P1263" i="6" s="1"/>
  <c r="O1255" i="6"/>
  <c r="P1255" i="6" s="1"/>
  <c r="O1258" i="6"/>
  <c r="P1258" i="6" s="1"/>
  <c r="O1261" i="6"/>
  <c r="P1261" i="6" s="1"/>
  <c r="Q166" i="6"/>
  <c r="Q1260" i="6"/>
  <c r="Q1259" i="6"/>
  <c r="Q1261" i="6"/>
  <c r="Q1263" i="6"/>
  <c r="Q1256" i="6"/>
  <c r="Q1254" i="6"/>
  <c r="Q1255" i="6"/>
  <c r="Q1257" i="6"/>
  <c r="Q1258" i="6"/>
  <c r="Q1262" i="6"/>
  <c r="O262" i="6"/>
  <c r="P262" i="6" s="1"/>
  <c r="O1171" i="6"/>
  <c r="P1171" i="6" s="1"/>
  <c r="O352" i="6"/>
  <c r="P352" i="6" s="1"/>
  <c r="O25" i="6"/>
  <c r="P25" i="6" s="1"/>
  <c r="O288" i="6"/>
  <c r="P288" i="6" s="1"/>
  <c r="O1144" i="6"/>
  <c r="P1144" i="6" s="1"/>
  <c r="O416" i="6"/>
  <c r="P416" i="6" s="1"/>
  <c r="O1150" i="6"/>
  <c r="P1150" i="6" s="1"/>
  <c r="O1182" i="6"/>
  <c r="P1182" i="6" s="1"/>
  <c r="O358" i="6"/>
  <c r="P358" i="6" s="1"/>
  <c r="O299" i="6"/>
  <c r="P299" i="6" s="1"/>
  <c r="O537" i="6"/>
  <c r="P537" i="6" s="1"/>
  <c r="O143" i="6"/>
  <c r="P143" i="6" s="1"/>
  <c r="O317" i="6"/>
  <c r="P317" i="6" s="1"/>
  <c r="O1161" i="6"/>
  <c r="P1161" i="6" s="1"/>
  <c r="O1205" i="6"/>
  <c r="P1205" i="6" s="1"/>
  <c r="O363" i="6"/>
  <c r="P363" i="6" s="1"/>
  <c r="O459" i="6"/>
  <c r="P459" i="6" s="1"/>
  <c r="O558" i="6"/>
  <c r="P558" i="6" s="1"/>
  <c r="O197" i="6"/>
  <c r="P197" i="6" s="1"/>
  <c r="O1166" i="6"/>
  <c r="P1166" i="6" s="1"/>
  <c r="O7" i="6"/>
  <c r="P7" i="6" s="1"/>
  <c r="O376" i="6"/>
  <c r="P376" i="6" s="1"/>
  <c r="O395" i="6"/>
  <c r="P395" i="6" s="1"/>
  <c r="O510" i="6"/>
  <c r="P510" i="6" s="1"/>
  <c r="O232" i="6"/>
  <c r="P232" i="6" s="1"/>
  <c r="O1155" i="6"/>
  <c r="P1155" i="6" s="1"/>
  <c r="O1177" i="6"/>
  <c r="P1177" i="6" s="1"/>
  <c r="O12" i="6"/>
  <c r="P12" i="6" s="1"/>
  <c r="O368" i="6"/>
  <c r="P368" i="6" s="1"/>
  <c r="O438" i="6"/>
  <c r="P438" i="6" s="1"/>
  <c r="O1191" i="6"/>
  <c r="P1191" i="6" s="1"/>
  <c r="O91" i="6"/>
  <c r="P91" i="6" s="1"/>
  <c r="O147" i="6"/>
  <c r="P147" i="6" s="1"/>
  <c r="O348" i="6"/>
  <c r="P348" i="6" s="1"/>
  <c r="O351" i="6"/>
  <c r="P351" i="6" s="1"/>
  <c r="O344" i="6"/>
  <c r="P344" i="6" s="1"/>
  <c r="O308" i="6"/>
  <c r="P308" i="6" s="1"/>
  <c r="O209" i="6"/>
  <c r="P209" i="6" s="1"/>
  <c r="O202" i="6"/>
  <c r="P202" i="6" s="1"/>
  <c r="O194" i="6"/>
  <c r="P194" i="6" s="1"/>
  <c r="O188" i="6"/>
  <c r="P188" i="6" s="1"/>
  <c r="O185" i="6"/>
  <c r="P185" i="6" s="1"/>
  <c r="O177" i="6"/>
  <c r="P177" i="6" s="1"/>
  <c r="O170" i="6"/>
  <c r="P170" i="6" s="1"/>
  <c r="O327" i="6"/>
  <c r="P327" i="6" s="1"/>
  <c r="O319" i="6"/>
  <c r="P319" i="6" s="1"/>
  <c r="O315" i="6"/>
  <c r="P315" i="6" s="1"/>
  <c r="O280" i="6"/>
  <c r="P280" i="6" s="1"/>
  <c r="O274" i="6"/>
  <c r="P274" i="6" s="1"/>
  <c r="O267" i="6"/>
  <c r="P267" i="6" s="1"/>
  <c r="O259" i="6"/>
  <c r="P259" i="6" s="1"/>
  <c r="O252" i="6"/>
  <c r="P252" i="6" s="1"/>
  <c r="O246" i="6"/>
  <c r="P246" i="6" s="1"/>
  <c r="O238" i="6"/>
  <c r="P238" i="6" s="1"/>
  <c r="O231" i="6"/>
  <c r="P231" i="6" s="1"/>
  <c r="O224" i="6"/>
  <c r="P224" i="6" s="1"/>
  <c r="O216" i="6"/>
  <c r="P216" i="6" s="1"/>
  <c r="O146" i="6"/>
  <c r="P146" i="6" s="1"/>
  <c r="O158" i="6"/>
  <c r="P158" i="6" s="1"/>
  <c r="O1247" i="6"/>
  <c r="P1247" i="6" s="1"/>
  <c r="O1241" i="6"/>
  <c r="P1241" i="6" s="1"/>
  <c r="O1210" i="6"/>
  <c r="P1210" i="6" s="1"/>
  <c r="O142" i="6"/>
  <c r="P142" i="6" s="1"/>
  <c r="O137" i="6"/>
  <c r="P137" i="6" s="1"/>
  <c r="O122" i="6"/>
  <c r="P122" i="6" s="1"/>
  <c r="O29" i="6"/>
  <c r="P29" i="6" s="1"/>
  <c r="O24" i="6"/>
  <c r="P24" i="6" s="1"/>
  <c r="O112" i="6"/>
  <c r="P112" i="6" s="1"/>
  <c r="O104" i="6"/>
  <c r="P104" i="6" s="1"/>
  <c r="O97" i="6"/>
  <c r="P97" i="6" s="1"/>
  <c r="O23" i="6"/>
  <c r="P23" i="6" s="1"/>
  <c r="O493" i="6"/>
  <c r="P493" i="6" s="1"/>
  <c r="O488" i="6"/>
  <c r="P488" i="6" s="1"/>
  <c r="O514" i="6"/>
  <c r="P514" i="6" s="1"/>
  <c r="O509" i="6"/>
  <c r="P509" i="6" s="1"/>
  <c r="O504" i="6"/>
  <c r="P504" i="6" s="1"/>
  <c r="O498" i="6"/>
  <c r="P498" i="6" s="1"/>
  <c r="O562" i="6"/>
  <c r="P562" i="6" s="1"/>
  <c r="O557" i="6"/>
  <c r="P557" i="6" s="1"/>
  <c r="O551" i="6"/>
  <c r="P551" i="6" s="1"/>
  <c r="O546" i="6"/>
  <c r="P546" i="6" s="1"/>
  <c r="O541" i="6"/>
  <c r="P541" i="6" s="1"/>
  <c r="O487" i="6"/>
  <c r="P487" i="6" s="1"/>
  <c r="O482" i="6"/>
  <c r="P482" i="6" s="1"/>
  <c r="O1201" i="6"/>
  <c r="P1201" i="6" s="1"/>
  <c r="O1195" i="6"/>
  <c r="P1195" i="6" s="1"/>
  <c r="O1190" i="6"/>
  <c r="P1190" i="6" s="1"/>
  <c r="O431" i="6"/>
  <c r="P431" i="6" s="1"/>
  <c r="O425" i="6"/>
  <c r="P425" i="6" s="1"/>
  <c r="O420" i="6"/>
  <c r="P420" i="6" s="1"/>
  <c r="O415" i="6"/>
  <c r="P415" i="6" s="1"/>
  <c r="O409" i="6"/>
  <c r="P409" i="6" s="1"/>
  <c r="O404" i="6"/>
  <c r="P404" i="6" s="1"/>
  <c r="O399" i="6"/>
  <c r="P399" i="6" s="1"/>
  <c r="O479" i="6"/>
  <c r="P479" i="6" s="1"/>
  <c r="O474" i="6"/>
  <c r="P474" i="6" s="1"/>
  <c r="O469" i="6"/>
  <c r="P469" i="6" s="1"/>
  <c r="O463" i="6"/>
  <c r="P463" i="6" s="1"/>
  <c r="O458" i="6"/>
  <c r="P458" i="6" s="1"/>
  <c r="O453" i="6"/>
  <c r="P453" i="6" s="1"/>
  <c r="O447" i="6"/>
  <c r="P447" i="6" s="1"/>
  <c r="O442" i="6"/>
  <c r="P442" i="6" s="1"/>
  <c r="O437" i="6"/>
  <c r="P437" i="6" s="1"/>
  <c r="O392" i="6"/>
  <c r="P392" i="6" s="1"/>
  <c r="O387" i="6"/>
  <c r="P387" i="6" s="1"/>
  <c r="O382" i="6"/>
  <c r="P382" i="6" s="1"/>
  <c r="O297" i="6"/>
  <c r="P297" i="6" s="1"/>
  <c r="O292" i="6"/>
  <c r="P292" i="6" s="1"/>
  <c r="O287" i="6"/>
  <c r="P287" i="6" s="1"/>
  <c r="O380" i="6"/>
  <c r="P380" i="6" s="1"/>
  <c r="O375" i="6"/>
  <c r="P375" i="6" s="1"/>
  <c r="O349" i="6"/>
  <c r="P349" i="6" s="1"/>
  <c r="O341" i="6"/>
  <c r="P341" i="6" s="1"/>
  <c r="O307" i="6"/>
  <c r="P307" i="6" s="1"/>
  <c r="O208" i="6"/>
  <c r="P208" i="6" s="1"/>
  <c r="O200" i="6"/>
  <c r="P200" i="6" s="1"/>
  <c r="O193" i="6"/>
  <c r="P193" i="6" s="1"/>
  <c r="O182" i="6"/>
  <c r="P182" i="6" s="1"/>
  <c r="O176" i="6"/>
  <c r="P176" i="6" s="1"/>
  <c r="O169" i="6"/>
  <c r="P169" i="6" s="1"/>
  <c r="O324" i="6"/>
  <c r="P324" i="6" s="1"/>
  <c r="O1009" i="6"/>
  <c r="P1009" i="6" s="1"/>
  <c r="O313" i="6"/>
  <c r="P313" i="6" s="1"/>
  <c r="O279" i="6"/>
  <c r="P279" i="6" s="1"/>
  <c r="O272" i="6"/>
  <c r="P272" i="6" s="1"/>
  <c r="O264" i="6"/>
  <c r="P264" i="6" s="1"/>
  <c r="O258" i="6"/>
  <c r="P258" i="6" s="1"/>
  <c r="O251" i="6"/>
  <c r="P251" i="6" s="1"/>
  <c r="O243" i="6"/>
  <c r="P243" i="6" s="1"/>
  <c r="O236" i="6"/>
  <c r="P236" i="6" s="1"/>
  <c r="O230" i="6"/>
  <c r="P230" i="6" s="1"/>
  <c r="O222" i="6"/>
  <c r="P222" i="6" s="1"/>
  <c r="O215" i="6"/>
  <c r="P215" i="6" s="1"/>
  <c r="O151" i="6"/>
  <c r="P151" i="6" s="1"/>
  <c r="O163" i="6"/>
  <c r="P163" i="6" s="1"/>
  <c r="O157" i="6"/>
  <c r="P157" i="6" s="1"/>
  <c r="O1253" i="6"/>
  <c r="P1253" i="6" s="1"/>
  <c r="O1246" i="6"/>
  <c r="P1246" i="6" s="1"/>
  <c r="O1239" i="6"/>
  <c r="P1239" i="6" s="1"/>
  <c r="O1209" i="6"/>
  <c r="P1209" i="6" s="1"/>
  <c r="O141" i="6"/>
  <c r="P141" i="6" s="1"/>
  <c r="O126" i="6"/>
  <c r="P126" i="6" s="1"/>
  <c r="O121" i="6"/>
  <c r="P121" i="6" s="1"/>
  <c r="O28" i="6"/>
  <c r="P28" i="6" s="1"/>
  <c r="O118" i="6"/>
  <c r="P118" i="6" s="1"/>
  <c r="O110" i="6"/>
  <c r="P110" i="6" s="1"/>
  <c r="O103" i="6"/>
  <c r="P103" i="6" s="1"/>
  <c r="O94" i="6"/>
  <c r="P94" i="6" s="1"/>
  <c r="O22" i="6"/>
  <c r="P22" i="6" s="1"/>
  <c r="O492" i="6"/>
  <c r="P492" i="6" s="1"/>
  <c r="O518" i="6"/>
  <c r="P518" i="6" s="1"/>
  <c r="O513" i="6"/>
  <c r="P513" i="6" s="1"/>
  <c r="O508" i="6"/>
  <c r="P508" i="6" s="1"/>
  <c r="O502" i="6"/>
  <c r="P502" i="6" s="1"/>
  <c r="O497" i="6"/>
  <c r="P497" i="6" s="1"/>
  <c r="O561" i="6"/>
  <c r="P561" i="6" s="1"/>
  <c r="O555" i="6"/>
  <c r="P555" i="6" s="1"/>
  <c r="O550" i="6"/>
  <c r="P550" i="6" s="1"/>
  <c r="O545" i="6"/>
  <c r="P545" i="6" s="1"/>
  <c r="O539" i="6"/>
  <c r="P539" i="6" s="1"/>
  <c r="O486" i="6"/>
  <c r="P486" i="6" s="1"/>
  <c r="O481" i="6"/>
  <c r="P481" i="6" s="1"/>
  <c r="O1199" i="6"/>
  <c r="P1199" i="6" s="1"/>
  <c r="O1194" i="6"/>
  <c r="P1194" i="6" s="1"/>
  <c r="O1189" i="6"/>
  <c r="P1189" i="6" s="1"/>
  <c r="O429" i="6"/>
  <c r="P429" i="6" s="1"/>
  <c r="O424" i="6"/>
  <c r="P424" i="6" s="1"/>
  <c r="O419" i="6"/>
  <c r="P419" i="6" s="1"/>
  <c r="O413" i="6"/>
  <c r="P413" i="6" s="1"/>
  <c r="O408" i="6"/>
  <c r="P408" i="6" s="1"/>
  <c r="O403" i="6"/>
  <c r="P403" i="6" s="1"/>
  <c r="O397" i="6"/>
  <c r="P397" i="6" s="1"/>
  <c r="O478" i="6"/>
  <c r="P478" i="6" s="1"/>
  <c r="O473" i="6"/>
  <c r="P473" i="6" s="1"/>
  <c r="O467" i="6"/>
  <c r="P467" i="6" s="1"/>
  <c r="O462" i="6"/>
  <c r="P462" i="6" s="1"/>
  <c r="O457" i="6"/>
  <c r="P457" i="6" s="1"/>
  <c r="O451" i="6"/>
  <c r="P451" i="6" s="1"/>
  <c r="O446" i="6"/>
  <c r="P446" i="6" s="1"/>
  <c r="O441" i="6"/>
  <c r="P441" i="6" s="1"/>
  <c r="O435" i="6"/>
  <c r="P435" i="6" s="1"/>
  <c r="O391" i="6"/>
  <c r="P391" i="6" s="1"/>
  <c r="O386" i="6"/>
  <c r="P386" i="6" s="1"/>
  <c r="O301" i="6"/>
  <c r="P301" i="6" s="1"/>
  <c r="O347" i="6"/>
  <c r="P347" i="6" s="1"/>
  <c r="O18" i="6"/>
  <c r="P18" i="6" s="1"/>
  <c r="O305" i="6"/>
  <c r="P305" i="6" s="1"/>
  <c r="O213" i="6"/>
  <c r="P213" i="6" s="1"/>
  <c r="O205" i="6"/>
  <c r="P205" i="6" s="1"/>
  <c r="O198" i="6"/>
  <c r="P198" i="6" s="1"/>
  <c r="O192" i="6"/>
  <c r="P192" i="6" s="1"/>
  <c r="O181" i="6"/>
  <c r="P181" i="6" s="1"/>
  <c r="O174" i="6"/>
  <c r="P174" i="6" s="1"/>
  <c r="O323" i="6"/>
  <c r="P323" i="6" s="1"/>
  <c r="O318" i="6"/>
  <c r="P318" i="6" s="1"/>
  <c r="O311" i="6"/>
  <c r="P311" i="6" s="1"/>
  <c r="O278" i="6"/>
  <c r="P278" i="6" s="1"/>
  <c r="O270" i="6"/>
  <c r="P270" i="6" s="1"/>
  <c r="O263" i="6"/>
  <c r="P263" i="6" s="1"/>
  <c r="O256" i="6"/>
  <c r="P256" i="6" s="1"/>
  <c r="O248" i="6"/>
  <c r="P248" i="6" s="1"/>
  <c r="O242" i="6"/>
  <c r="P242" i="6" s="1"/>
  <c r="O235" i="6"/>
  <c r="P235" i="6" s="1"/>
  <c r="O227" i="6"/>
  <c r="P227" i="6" s="1"/>
  <c r="O220" i="6"/>
  <c r="P220" i="6" s="1"/>
  <c r="O214" i="6"/>
  <c r="P214" i="6" s="1"/>
  <c r="O149" i="6"/>
  <c r="P149" i="6" s="1"/>
  <c r="O162" i="6"/>
  <c r="P162" i="6" s="1"/>
  <c r="O155" i="6"/>
  <c r="P155" i="6" s="1"/>
  <c r="O1252" i="6"/>
  <c r="P1252" i="6" s="1"/>
  <c r="O1244" i="6"/>
  <c r="P1244" i="6" s="1"/>
  <c r="O145" i="6"/>
  <c r="P145" i="6" s="1"/>
  <c r="O139" i="6"/>
  <c r="P139" i="6" s="1"/>
  <c r="O125" i="6"/>
  <c r="P125" i="6" s="1"/>
  <c r="O32" i="6"/>
  <c r="P32" i="6" s="1"/>
  <c r="O26" i="6"/>
  <c r="P26" i="6" s="1"/>
  <c r="O116" i="6"/>
  <c r="P116" i="6" s="1"/>
  <c r="O109" i="6"/>
  <c r="P109" i="6" s="1"/>
  <c r="O100" i="6"/>
  <c r="P100" i="6" s="1"/>
  <c r="O92" i="6"/>
  <c r="P92" i="6" s="1"/>
  <c r="O21" i="6"/>
  <c r="P21" i="6" s="1"/>
  <c r="O490" i="6"/>
  <c r="P490" i="6" s="1"/>
  <c r="O517" i="6"/>
  <c r="P517" i="6" s="1"/>
  <c r="O512" i="6"/>
  <c r="P512" i="6" s="1"/>
  <c r="O506" i="6"/>
  <c r="P506" i="6" s="1"/>
  <c r="O501" i="6"/>
  <c r="P501" i="6" s="1"/>
  <c r="O496" i="6"/>
  <c r="P496" i="6" s="1"/>
  <c r="O559" i="6"/>
  <c r="P559" i="6" s="1"/>
  <c r="O554" i="6"/>
  <c r="P554" i="6" s="1"/>
  <c r="O549" i="6"/>
  <c r="P549" i="6" s="1"/>
  <c r="O543" i="6"/>
  <c r="P543" i="6" s="1"/>
  <c r="O538" i="6"/>
  <c r="P538" i="6" s="1"/>
  <c r="O485" i="6"/>
  <c r="P485" i="6" s="1"/>
  <c r="O1203" i="6"/>
  <c r="P1203" i="6" s="1"/>
  <c r="O1198" i="6"/>
  <c r="P1198" i="6" s="1"/>
  <c r="O1193" i="6"/>
  <c r="P1193" i="6" s="1"/>
  <c r="O1187" i="6"/>
  <c r="P1187" i="6" s="1"/>
  <c r="O428" i="6"/>
  <c r="P428" i="6" s="1"/>
  <c r="O423" i="6"/>
  <c r="P423" i="6" s="1"/>
  <c r="O417" i="6"/>
  <c r="P417" i="6" s="1"/>
  <c r="O412" i="6"/>
  <c r="P412" i="6" s="1"/>
  <c r="O407" i="6"/>
  <c r="P407" i="6" s="1"/>
  <c r="O401" i="6"/>
  <c r="P401" i="6" s="1"/>
  <c r="O396" i="6"/>
  <c r="P396" i="6" s="1"/>
  <c r="O477" i="6"/>
  <c r="P477" i="6" s="1"/>
  <c r="O471" i="6"/>
  <c r="P471" i="6" s="1"/>
  <c r="O466" i="6"/>
  <c r="P466" i="6" s="1"/>
  <c r="O461" i="6"/>
  <c r="P461" i="6" s="1"/>
  <c r="O455" i="6"/>
  <c r="P455" i="6" s="1"/>
  <c r="O450" i="6"/>
  <c r="P450" i="6" s="1"/>
  <c r="O445" i="6"/>
  <c r="P445" i="6" s="1"/>
  <c r="O439" i="6"/>
  <c r="P439" i="6" s="1"/>
  <c r="O434" i="6"/>
  <c r="P434" i="6" s="1"/>
  <c r="O390" i="6"/>
  <c r="P390" i="6" s="1"/>
  <c r="O384" i="6"/>
  <c r="P384" i="6" s="1"/>
  <c r="O300" i="6"/>
  <c r="P300" i="6" s="1"/>
  <c r="O295" i="6"/>
  <c r="P295" i="6" s="1"/>
  <c r="O289" i="6"/>
  <c r="P289" i="6" s="1"/>
  <c r="O284" i="6"/>
  <c r="P284" i="6" s="1"/>
  <c r="O378" i="6"/>
  <c r="P378" i="6" s="1"/>
  <c r="O372" i="6"/>
  <c r="P372" i="6" s="1"/>
  <c r="O1139" i="6"/>
  <c r="P1139" i="6" s="1"/>
  <c r="O1146" i="6"/>
  <c r="P1146" i="6" s="1"/>
  <c r="O1151" i="6"/>
  <c r="P1151" i="6" s="1"/>
  <c r="O1157" i="6"/>
  <c r="P1157" i="6" s="1"/>
  <c r="O1162" i="6"/>
  <c r="P1162" i="6" s="1"/>
  <c r="O1167" i="6"/>
  <c r="P1167" i="6" s="1"/>
  <c r="O1173" i="6"/>
  <c r="P1173" i="6" s="1"/>
  <c r="O1178" i="6"/>
  <c r="P1178" i="6" s="1"/>
  <c r="O1183" i="6"/>
  <c r="P1183" i="6" s="1"/>
  <c r="O1207" i="6"/>
  <c r="P1207" i="6" s="1"/>
  <c r="O8" i="6"/>
  <c r="P8" i="6" s="1"/>
  <c r="O13" i="6"/>
  <c r="P13" i="6" s="1"/>
  <c r="O354" i="6"/>
  <c r="P354" i="6" s="1"/>
  <c r="O359" i="6"/>
  <c r="P359" i="6" s="1"/>
  <c r="O364" i="6"/>
  <c r="P364" i="6" s="1"/>
  <c r="O370" i="6"/>
  <c r="P370" i="6" s="1"/>
  <c r="O379" i="6"/>
  <c r="P379" i="6" s="1"/>
  <c r="O291" i="6"/>
  <c r="P291" i="6" s="1"/>
  <c r="O383" i="6"/>
  <c r="P383" i="6" s="1"/>
  <c r="O443" i="6"/>
  <c r="P443" i="6" s="1"/>
  <c r="O465" i="6"/>
  <c r="P465" i="6" s="1"/>
  <c r="O400" i="6"/>
  <c r="P400" i="6" s="1"/>
  <c r="O421" i="6"/>
  <c r="P421" i="6" s="1"/>
  <c r="O1197" i="6"/>
  <c r="P1197" i="6" s="1"/>
  <c r="O542" i="6"/>
  <c r="P542" i="6" s="1"/>
  <c r="O494" i="6"/>
  <c r="P494" i="6" s="1"/>
  <c r="O516" i="6"/>
  <c r="P516" i="6" s="1"/>
  <c r="O98" i="6"/>
  <c r="P98" i="6" s="1"/>
  <c r="O30" i="6"/>
  <c r="P30" i="6" s="1"/>
  <c r="O1212" i="6"/>
  <c r="P1212" i="6" s="1"/>
  <c r="O240" i="6"/>
  <c r="P240" i="6" s="1"/>
  <c r="O268" i="6"/>
  <c r="P268" i="6" s="1"/>
  <c r="O320" i="6"/>
  <c r="P320" i="6" s="1"/>
  <c r="O180" i="6"/>
  <c r="P180" i="6" s="1"/>
  <c r="O204" i="6"/>
  <c r="P204" i="6" s="1"/>
  <c r="O303" i="6"/>
  <c r="P303" i="6" s="1"/>
  <c r="O1147" i="6"/>
  <c r="P1147" i="6" s="1"/>
  <c r="O1153" i="6"/>
  <c r="P1153" i="6" s="1"/>
  <c r="O1158" i="6"/>
  <c r="P1158" i="6" s="1"/>
  <c r="O1163" i="6"/>
  <c r="P1163" i="6" s="1"/>
  <c r="O1169" i="6"/>
  <c r="P1169" i="6" s="1"/>
  <c r="O1174" i="6"/>
  <c r="P1174" i="6" s="1"/>
  <c r="O1179" i="6"/>
  <c r="P1179" i="6" s="1"/>
  <c r="O1185" i="6"/>
  <c r="P1185" i="6" s="1"/>
  <c r="O1208" i="6"/>
  <c r="P1208" i="6" s="1"/>
  <c r="O9" i="6"/>
  <c r="P9" i="6" s="1"/>
  <c r="O15" i="6"/>
  <c r="P15" i="6" s="1"/>
  <c r="O355" i="6"/>
  <c r="P355" i="6" s="1"/>
  <c r="O360" i="6"/>
  <c r="P360" i="6" s="1"/>
  <c r="O366" i="6"/>
  <c r="P366" i="6" s="1"/>
  <c r="O371" i="6"/>
  <c r="P371" i="6" s="1"/>
  <c r="O283" i="6"/>
  <c r="P283" i="6" s="1"/>
  <c r="O293" i="6"/>
  <c r="P293" i="6" s="1"/>
  <c r="O388" i="6"/>
  <c r="P388" i="6" s="1"/>
  <c r="O449" i="6"/>
  <c r="P449" i="6" s="1"/>
  <c r="O470" i="6"/>
  <c r="P470" i="6" s="1"/>
  <c r="O405" i="6"/>
  <c r="P405" i="6" s="1"/>
  <c r="O427" i="6"/>
  <c r="P427" i="6" s="1"/>
  <c r="O1202" i="6"/>
  <c r="P1202" i="6" s="1"/>
  <c r="O547" i="6"/>
  <c r="P547" i="6" s="1"/>
  <c r="O500" i="6"/>
  <c r="P500" i="6" s="1"/>
  <c r="O489" i="6"/>
  <c r="P489" i="6" s="1"/>
  <c r="O106" i="6"/>
  <c r="P106" i="6" s="1"/>
  <c r="O124" i="6"/>
  <c r="P124" i="6" s="1"/>
  <c r="O1242" i="6"/>
  <c r="P1242" i="6" s="1"/>
  <c r="O219" i="6"/>
  <c r="P219" i="6" s="1"/>
  <c r="O247" i="6"/>
  <c r="P247" i="6" s="1"/>
  <c r="O275" i="6"/>
  <c r="P275" i="6" s="1"/>
  <c r="O186" i="6"/>
  <c r="P186" i="6" s="1"/>
  <c r="O210" i="6"/>
  <c r="P210" i="6" s="1"/>
  <c r="O154" i="6"/>
  <c r="P154" i="6" s="1"/>
  <c r="O1142" i="6"/>
  <c r="P1142" i="6" s="1"/>
  <c r="O1149" i="6"/>
  <c r="P1149" i="6" s="1"/>
  <c r="O1154" i="6"/>
  <c r="P1154" i="6" s="1"/>
  <c r="O1159" i="6"/>
  <c r="P1159" i="6" s="1"/>
  <c r="O1165" i="6"/>
  <c r="P1165" i="6" s="1"/>
  <c r="O1170" i="6"/>
  <c r="P1170" i="6" s="1"/>
  <c r="O1175" i="6"/>
  <c r="P1175" i="6" s="1"/>
  <c r="O1181" i="6"/>
  <c r="P1181" i="6" s="1"/>
  <c r="O1186" i="6"/>
  <c r="P1186" i="6" s="1"/>
  <c r="O5" i="6"/>
  <c r="P5" i="6" s="1"/>
  <c r="O11" i="6"/>
  <c r="P11" i="6" s="1"/>
  <c r="O16" i="6"/>
  <c r="P16" i="6" s="1"/>
  <c r="O356" i="6"/>
  <c r="P356" i="6" s="1"/>
  <c r="O362" i="6"/>
  <c r="P362" i="6" s="1"/>
  <c r="O367" i="6"/>
  <c r="P367" i="6" s="1"/>
  <c r="O374" i="6"/>
  <c r="P374" i="6" s="1"/>
  <c r="O285" i="6"/>
  <c r="P285" i="6" s="1"/>
  <c r="O296" i="6"/>
  <c r="P296" i="6" s="1"/>
  <c r="O433" i="6"/>
  <c r="P433" i="6" s="1"/>
  <c r="O454" i="6"/>
  <c r="P454" i="6" s="1"/>
  <c r="O475" i="6"/>
  <c r="P475" i="6" s="1"/>
  <c r="O411" i="6"/>
  <c r="P411" i="6" s="1"/>
  <c r="O432" i="6"/>
  <c r="P432" i="6" s="1"/>
  <c r="O483" i="6"/>
  <c r="P483" i="6" s="1"/>
  <c r="O553" i="6"/>
  <c r="P553" i="6" s="1"/>
  <c r="O505" i="6"/>
  <c r="P505" i="6" s="1"/>
  <c r="O19" i="6"/>
  <c r="P19" i="6" s="1"/>
  <c r="O115" i="6"/>
  <c r="P115" i="6" s="1"/>
  <c r="O138" i="6"/>
  <c r="P138" i="6" s="1"/>
  <c r="O1248" i="6"/>
  <c r="P1248" i="6" s="1"/>
  <c r="O161" i="6"/>
  <c r="P161" i="6" s="1"/>
  <c r="O226" i="6"/>
  <c r="P226" i="6" s="1"/>
  <c r="O254" i="6"/>
  <c r="P254" i="6" s="1"/>
  <c r="O310" i="6"/>
  <c r="P310" i="6" s="1"/>
  <c r="O189" i="6"/>
  <c r="P189" i="6" s="1"/>
  <c r="O345" i="6"/>
  <c r="P345" i="6" s="1"/>
  <c r="V1377" i="6"/>
  <c r="O1143" i="6"/>
  <c r="P1143" i="6" s="1"/>
  <c r="O1148" i="6"/>
  <c r="P1148" i="6" s="1"/>
  <c r="O1152" i="6"/>
  <c r="P1152" i="6" s="1"/>
  <c r="O1156" i="6"/>
  <c r="P1156" i="6" s="1"/>
  <c r="O1160" i="6"/>
  <c r="P1160" i="6" s="1"/>
  <c r="O1164" i="6"/>
  <c r="P1164" i="6" s="1"/>
  <c r="O1168" i="6"/>
  <c r="P1168" i="6" s="1"/>
  <c r="O1172" i="6"/>
  <c r="P1172" i="6" s="1"/>
  <c r="O1176" i="6"/>
  <c r="P1176" i="6" s="1"/>
  <c r="O1180" i="6"/>
  <c r="P1180" i="6" s="1"/>
  <c r="O1184" i="6"/>
  <c r="P1184" i="6" s="1"/>
  <c r="O1206" i="6"/>
  <c r="P1206" i="6" s="1"/>
  <c r="O6" i="6"/>
  <c r="P6" i="6" s="1"/>
  <c r="O10" i="6"/>
  <c r="P10" i="6" s="1"/>
  <c r="O14" i="6"/>
  <c r="P14" i="6" s="1"/>
  <c r="O353" i="6"/>
  <c r="P353" i="6" s="1"/>
  <c r="O357" i="6"/>
  <c r="P357" i="6" s="1"/>
  <c r="O361" i="6"/>
  <c r="P361" i="6" s="1"/>
  <c r="O365" i="6"/>
  <c r="P365" i="6" s="1"/>
  <c r="O369" i="6"/>
  <c r="P369" i="6" s="1"/>
  <c r="O373" i="6"/>
  <c r="P373" i="6" s="1"/>
  <c r="O377" i="6"/>
  <c r="P377" i="6" s="1"/>
  <c r="O282" i="6"/>
  <c r="P282" i="6" s="1"/>
  <c r="O286" i="6"/>
  <c r="P286" i="6" s="1"/>
  <c r="O290" i="6"/>
  <c r="P290" i="6" s="1"/>
  <c r="O294" i="6"/>
  <c r="P294" i="6" s="1"/>
  <c r="O298" i="6"/>
  <c r="P298" i="6" s="1"/>
  <c r="O381" i="6"/>
  <c r="P381" i="6" s="1"/>
  <c r="O385" i="6"/>
  <c r="P385" i="6" s="1"/>
  <c r="O389" i="6"/>
  <c r="P389" i="6" s="1"/>
  <c r="O393" i="6"/>
  <c r="P393" i="6" s="1"/>
  <c r="O436" i="6"/>
  <c r="P436" i="6" s="1"/>
  <c r="O440" i="6"/>
  <c r="P440" i="6" s="1"/>
  <c r="O444" i="6"/>
  <c r="P444" i="6" s="1"/>
  <c r="O448" i="6"/>
  <c r="P448" i="6" s="1"/>
  <c r="O452" i="6"/>
  <c r="P452" i="6" s="1"/>
  <c r="O456" i="6"/>
  <c r="P456" i="6" s="1"/>
  <c r="O460" i="6"/>
  <c r="P460" i="6" s="1"/>
  <c r="O464" i="6"/>
  <c r="P464" i="6" s="1"/>
  <c r="O468" i="6"/>
  <c r="P468" i="6" s="1"/>
  <c r="O472" i="6"/>
  <c r="P472" i="6" s="1"/>
  <c r="O476" i="6"/>
  <c r="P476" i="6" s="1"/>
  <c r="O394" i="6"/>
  <c r="P394" i="6" s="1"/>
  <c r="O398" i="6"/>
  <c r="P398" i="6" s="1"/>
  <c r="O402" i="6"/>
  <c r="P402" i="6" s="1"/>
  <c r="O406" i="6"/>
  <c r="P406" i="6" s="1"/>
  <c r="O410" i="6"/>
  <c r="P410" i="6" s="1"/>
  <c r="O414" i="6"/>
  <c r="P414" i="6" s="1"/>
  <c r="O418" i="6"/>
  <c r="P418" i="6" s="1"/>
  <c r="O422" i="6"/>
  <c r="P422" i="6" s="1"/>
  <c r="O426" i="6"/>
  <c r="P426" i="6" s="1"/>
  <c r="O430" i="6"/>
  <c r="P430" i="6" s="1"/>
  <c r="O1188" i="6"/>
  <c r="P1188" i="6" s="1"/>
  <c r="O1192" i="6"/>
  <c r="P1192" i="6" s="1"/>
  <c r="O1196" i="6"/>
  <c r="P1196" i="6" s="1"/>
  <c r="O1200" i="6"/>
  <c r="P1200" i="6" s="1"/>
  <c r="O480" i="6"/>
  <c r="P480" i="6" s="1"/>
  <c r="O484" i="6"/>
  <c r="P484" i="6" s="1"/>
  <c r="O536" i="6"/>
  <c r="P536" i="6" s="1"/>
  <c r="O540" i="6"/>
  <c r="P540" i="6" s="1"/>
  <c r="O544" i="6"/>
  <c r="P544" i="6" s="1"/>
  <c r="O548" i="6"/>
  <c r="P548" i="6" s="1"/>
  <c r="O552" i="6"/>
  <c r="P552" i="6" s="1"/>
  <c r="O556" i="6"/>
  <c r="P556" i="6" s="1"/>
  <c r="O560" i="6"/>
  <c r="P560" i="6" s="1"/>
  <c r="O495" i="6"/>
  <c r="P495" i="6" s="1"/>
  <c r="O499" i="6"/>
  <c r="P499" i="6" s="1"/>
  <c r="O503" i="6"/>
  <c r="P503" i="6" s="1"/>
  <c r="O507" i="6"/>
  <c r="P507" i="6" s="1"/>
  <c r="O511" i="6"/>
  <c r="P511" i="6" s="1"/>
  <c r="O515" i="6"/>
  <c r="P515" i="6" s="1"/>
  <c r="O519" i="6"/>
  <c r="P519" i="6" s="1"/>
  <c r="O491" i="6"/>
  <c r="P491" i="6" s="1"/>
  <c r="O20" i="6"/>
  <c r="P20" i="6" s="1"/>
  <c r="O89" i="6"/>
  <c r="P89" i="6" s="1"/>
  <c r="O95" i="6"/>
  <c r="P95" i="6" s="1"/>
  <c r="O101" i="6"/>
  <c r="P101" i="6" s="1"/>
  <c r="O107" i="6"/>
  <c r="P107" i="6" s="1"/>
  <c r="O113" i="6"/>
  <c r="P113" i="6" s="1"/>
  <c r="O119" i="6"/>
  <c r="P119" i="6" s="1"/>
  <c r="O27" i="6"/>
  <c r="P27" i="6" s="1"/>
  <c r="O31" i="6"/>
  <c r="P31" i="6" s="1"/>
  <c r="O123" i="6"/>
  <c r="P123" i="6" s="1"/>
  <c r="O127" i="6"/>
  <c r="P127" i="6" s="1"/>
  <c r="O140" i="6"/>
  <c r="P140" i="6" s="1"/>
  <c r="O144" i="6"/>
  <c r="P144" i="6" s="1"/>
  <c r="O1211" i="6"/>
  <c r="P1211" i="6" s="1"/>
  <c r="O1240" i="6"/>
  <c r="P1240" i="6" s="1"/>
  <c r="O1245" i="6"/>
  <c r="P1245" i="6" s="1"/>
  <c r="O1251" i="6"/>
  <c r="P1251" i="6" s="1"/>
  <c r="O159" i="6"/>
  <c r="P159" i="6" s="1"/>
  <c r="O165" i="6"/>
  <c r="P165" i="6" s="1"/>
  <c r="O150" i="6"/>
  <c r="P150" i="6" s="1"/>
  <c r="O218" i="6"/>
  <c r="P218" i="6" s="1"/>
  <c r="O223" i="6"/>
  <c r="P223" i="6" s="1"/>
  <c r="O228" i="6"/>
  <c r="P228" i="6" s="1"/>
  <c r="O234" i="6"/>
  <c r="P234" i="6" s="1"/>
  <c r="O239" i="6"/>
  <c r="P239" i="6" s="1"/>
  <c r="O244" i="6"/>
  <c r="P244" i="6" s="1"/>
  <c r="O250" i="6"/>
  <c r="P250" i="6" s="1"/>
  <c r="O255" i="6"/>
  <c r="P255" i="6" s="1"/>
  <c r="O260" i="6"/>
  <c r="P260" i="6" s="1"/>
  <c r="O266" i="6"/>
  <c r="P266" i="6" s="1"/>
  <c r="O271" i="6"/>
  <c r="P271" i="6" s="1"/>
  <c r="O276" i="6"/>
  <c r="P276" i="6" s="1"/>
  <c r="O309" i="6"/>
  <c r="P309" i="6" s="1"/>
  <c r="O314" i="6"/>
  <c r="P314" i="6" s="1"/>
  <c r="O1007" i="6"/>
  <c r="P1007" i="6" s="1"/>
  <c r="O322" i="6"/>
  <c r="P322" i="6" s="1"/>
  <c r="O328" i="6"/>
  <c r="P328" i="6" s="1"/>
  <c r="O168" i="6"/>
  <c r="P168" i="6" s="1"/>
  <c r="O173" i="6"/>
  <c r="P173" i="6" s="1"/>
  <c r="O178" i="6"/>
  <c r="P178" i="6" s="1"/>
  <c r="O184" i="6"/>
  <c r="P184" i="6" s="1"/>
  <c r="O190" i="6"/>
  <c r="P190" i="6" s="1"/>
  <c r="O196" i="6"/>
  <c r="P196" i="6" s="1"/>
  <c r="O201" i="6"/>
  <c r="P201" i="6" s="1"/>
  <c r="O206" i="6"/>
  <c r="P206" i="6" s="1"/>
  <c r="O212" i="6"/>
  <c r="P212" i="6" s="1"/>
  <c r="O304" i="6"/>
  <c r="P304" i="6" s="1"/>
  <c r="O343" i="6"/>
  <c r="P343" i="6" s="1"/>
  <c r="K5" i="4"/>
  <c r="O17" i="6"/>
  <c r="P17" i="6" s="1"/>
  <c r="O166" i="6"/>
  <c r="P166" i="6" s="1"/>
  <c r="O1249" i="6"/>
  <c r="P1249" i="6" s="1"/>
  <c r="O156" i="6"/>
  <c r="P156" i="6" s="1"/>
  <c r="O160" i="6"/>
  <c r="P160" i="6" s="1"/>
  <c r="O164" i="6"/>
  <c r="P164" i="6" s="1"/>
  <c r="O148" i="6"/>
  <c r="P148" i="6" s="1"/>
  <c r="O152" i="6"/>
  <c r="P152" i="6" s="1"/>
  <c r="O153" i="6"/>
  <c r="P153" i="6" s="1"/>
  <c r="O217" i="6"/>
  <c r="P217" i="6" s="1"/>
  <c r="O221" i="6"/>
  <c r="P221" i="6" s="1"/>
  <c r="O225" i="6"/>
  <c r="P225" i="6" s="1"/>
  <c r="O229" i="6"/>
  <c r="P229" i="6" s="1"/>
  <c r="O233" i="6"/>
  <c r="P233" i="6" s="1"/>
  <c r="O237" i="6"/>
  <c r="P237" i="6" s="1"/>
  <c r="O241" i="6"/>
  <c r="P241" i="6" s="1"/>
  <c r="O245" i="6"/>
  <c r="P245" i="6" s="1"/>
  <c r="O249" i="6"/>
  <c r="P249" i="6" s="1"/>
  <c r="O253" i="6"/>
  <c r="P253" i="6" s="1"/>
  <c r="O257" i="6"/>
  <c r="P257" i="6" s="1"/>
  <c r="O261" i="6"/>
  <c r="P261" i="6" s="1"/>
  <c r="O265" i="6"/>
  <c r="P265" i="6" s="1"/>
  <c r="O269" i="6"/>
  <c r="P269" i="6" s="1"/>
  <c r="O273" i="6"/>
  <c r="P273" i="6" s="1"/>
  <c r="O277" i="6"/>
  <c r="P277" i="6" s="1"/>
  <c r="O281" i="6"/>
  <c r="P281" i="6" s="1"/>
  <c r="O312" i="6"/>
  <c r="P312" i="6" s="1"/>
  <c r="O316" i="6"/>
  <c r="P316" i="6" s="1"/>
  <c r="O1008" i="6"/>
  <c r="P1008" i="6" s="1"/>
  <c r="O321" i="6"/>
  <c r="P321" i="6" s="1"/>
  <c r="O325" i="6"/>
  <c r="P325" i="6" s="1"/>
  <c r="O167" i="6"/>
  <c r="P167" i="6" s="1"/>
  <c r="O171" i="6"/>
  <c r="P171" i="6" s="1"/>
  <c r="O175" i="6"/>
  <c r="P175" i="6" s="1"/>
  <c r="O179" i="6"/>
  <c r="P179" i="6" s="1"/>
  <c r="O183" i="6"/>
  <c r="P183" i="6" s="1"/>
  <c r="O187" i="6"/>
  <c r="P187" i="6" s="1"/>
  <c r="O191" i="6"/>
  <c r="P191" i="6" s="1"/>
  <c r="O195" i="6"/>
  <c r="P195" i="6" s="1"/>
  <c r="O199" i="6"/>
  <c r="P199" i="6" s="1"/>
  <c r="O203" i="6"/>
  <c r="P203" i="6" s="1"/>
  <c r="O207" i="6"/>
  <c r="P207" i="6" s="1"/>
  <c r="O211" i="6"/>
  <c r="P211" i="6" s="1"/>
  <c r="O302" i="6"/>
  <c r="P302" i="6" s="1"/>
  <c r="O306" i="6"/>
  <c r="P306" i="6" s="1"/>
  <c r="O342" i="6"/>
  <c r="P342" i="6" s="1"/>
  <c r="O346" i="6"/>
  <c r="P346" i="6" s="1"/>
  <c r="O350" i="6"/>
  <c r="P350" i="6" s="1"/>
  <c r="O33" i="6"/>
  <c r="P33" i="6" s="1"/>
  <c r="O326" i="6"/>
  <c r="P326" i="6" s="1"/>
  <c r="O333" i="6"/>
  <c r="P333" i="6" s="1"/>
  <c r="O1140" i="6"/>
  <c r="P1140" i="6" s="1"/>
  <c r="K17" i="4"/>
  <c r="O1141" i="6"/>
  <c r="P1141" i="6" s="1"/>
  <c r="O337" i="6"/>
  <c r="P337" i="6" s="1"/>
  <c r="O1137" i="6"/>
  <c r="P1137" i="6" s="1"/>
  <c r="K13" i="4"/>
  <c r="K16" i="4"/>
  <c r="O1138" i="6"/>
  <c r="P1138" i="6" s="1"/>
  <c r="O1145" i="6"/>
  <c r="P1145" i="6" s="1"/>
  <c r="O329" i="6"/>
  <c r="P329" i="6" s="1"/>
  <c r="K15" i="4"/>
  <c r="P42" i="3"/>
  <c r="P79" i="3"/>
  <c r="P108" i="3"/>
  <c r="P26" i="3"/>
  <c r="P68" i="3"/>
  <c r="P97" i="3"/>
  <c r="P121" i="3"/>
  <c r="P4" i="3"/>
  <c r="P12" i="3"/>
  <c r="P77" i="3"/>
  <c r="P98" i="3"/>
  <c r="P122" i="3"/>
  <c r="P78" i="3"/>
  <c r="P6" i="3"/>
  <c r="P16" i="3"/>
  <c r="P32" i="3"/>
  <c r="P49" i="3"/>
  <c r="P100" i="3"/>
  <c r="P104" i="3"/>
  <c r="P112" i="3"/>
  <c r="P7" i="3"/>
  <c r="P34" i="3"/>
  <c r="P46" i="3"/>
  <c r="P101" i="3"/>
  <c r="P105" i="3"/>
  <c r="P109" i="3"/>
  <c r="P113" i="3"/>
  <c r="P5" i="3"/>
  <c r="P15" i="3"/>
  <c r="P31" i="3"/>
  <c r="P48" i="3"/>
  <c r="P99" i="3"/>
  <c r="P107" i="3"/>
  <c r="P115" i="3"/>
  <c r="P8" i="3"/>
  <c r="P35" i="3"/>
  <c r="P47" i="3"/>
  <c r="P102" i="3"/>
  <c r="P106" i="3"/>
  <c r="P110" i="3"/>
  <c r="P114" i="3"/>
  <c r="P103" i="3"/>
  <c r="P111" i="3"/>
  <c r="R1170" i="6"/>
  <c r="R1163" i="6"/>
  <c r="R111" i="6"/>
  <c r="R367" i="6"/>
  <c r="R280" i="6"/>
  <c r="R249" i="6"/>
  <c r="R155" i="6"/>
  <c r="R156" i="6"/>
  <c r="N26" i="3"/>
  <c r="O26" i="3" s="1"/>
  <c r="N68" i="3"/>
  <c r="O68" i="3" s="1"/>
  <c r="N97" i="3"/>
  <c r="O97" i="3" s="1"/>
  <c r="N121" i="3"/>
  <c r="O121" i="3" s="1"/>
  <c r="N4" i="3"/>
  <c r="N12" i="3"/>
  <c r="O12" i="3" s="1"/>
  <c r="N77" i="3"/>
  <c r="O77" i="3" s="1"/>
  <c r="N98" i="3"/>
  <c r="O98" i="3" s="1"/>
  <c r="N122" i="3"/>
  <c r="O122" i="3" s="1"/>
  <c r="N42" i="3"/>
  <c r="O42" i="3" s="1"/>
  <c r="N78" i="3"/>
  <c r="O78" i="3" s="1"/>
  <c r="N108" i="3"/>
  <c r="O108" i="3" s="1"/>
  <c r="N79" i="3"/>
  <c r="O79" i="3" s="1"/>
  <c r="N7" i="3"/>
  <c r="O7" i="3" s="1"/>
  <c r="N34" i="3"/>
  <c r="O34" i="3" s="1"/>
  <c r="N46" i="3"/>
  <c r="O46" i="3" s="1"/>
  <c r="N101" i="3"/>
  <c r="O101" i="3" s="1"/>
  <c r="N105" i="3"/>
  <c r="O105" i="3" s="1"/>
  <c r="N109" i="3"/>
  <c r="O109" i="3" s="1"/>
  <c r="N113" i="3"/>
  <c r="O113" i="3" s="1"/>
  <c r="N5" i="3"/>
  <c r="O5" i="3" s="1"/>
  <c r="N15" i="3"/>
  <c r="O15" i="3" s="1"/>
  <c r="N8" i="3"/>
  <c r="O8" i="3" s="1"/>
  <c r="N35" i="3"/>
  <c r="O35" i="3" s="1"/>
  <c r="N47" i="3"/>
  <c r="O47" i="3" s="1"/>
  <c r="N102" i="3"/>
  <c r="O102" i="3" s="1"/>
  <c r="N106" i="3"/>
  <c r="O106" i="3" s="1"/>
  <c r="N110" i="3"/>
  <c r="O110" i="3" s="1"/>
  <c r="N114" i="3"/>
  <c r="O114" i="3" s="1"/>
  <c r="N31" i="3"/>
  <c r="O31" i="3" s="1"/>
  <c r="N32" i="3"/>
  <c r="O32" i="3" s="1"/>
  <c r="N103" i="3"/>
  <c r="O103" i="3" s="1"/>
  <c r="N111" i="3"/>
  <c r="O111" i="3" s="1"/>
  <c r="N16" i="3"/>
  <c r="O16" i="3" s="1"/>
  <c r="N48" i="3"/>
  <c r="O48" i="3" s="1"/>
  <c r="N104" i="3"/>
  <c r="O104" i="3" s="1"/>
  <c r="N112" i="3"/>
  <c r="O112" i="3" s="1"/>
  <c r="N49" i="3"/>
  <c r="O49" i="3" s="1"/>
  <c r="N99" i="3"/>
  <c r="O99" i="3" s="1"/>
  <c r="N107" i="3"/>
  <c r="O107" i="3" s="1"/>
  <c r="N115" i="3"/>
  <c r="O115" i="3" s="1"/>
  <c r="N6" i="3"/>
  <c r="O6" i="3" s="1"/>
  <c r="N100" i="3"/>
  <c r="O100" i="3" s="1"/>
  <c r="Q1140" i="6"/>
  <c r="Q1137" i="6"/>
  <c r="Q1141" i="6"/>
  <c r="Q326" i="6"/>
  <c r="Q329" i="6"/>
  <c r="Q333" i="6"/>
  <c r="Q337" i="6"/>
  <c r="Q1138" i="6"/>
  <c r="Q330" i="6"/>
  <c r="Q334" i="6"/>
  <c r="Q338" i="6"/>
  <c r="Q1145" i="6"/>
  <c r="Q33" i="6"/>
  <c r="Q332" i="6"/>
  <c r="Q331" i="6"/>
  <c r="Q335" i="6"/>
  <c r="Q339" i="6"/>
  <c r="Q336" i="6"/>
  <c r="N18" i="3"/>
  <c r="O18" i="3" s="1"/>
  <c r="N22" i="3"/>
  <c r="O22" i="3" s="1"/>
  <c r="N29" i="3"/>
  <c r="O29" i="3" s="1"/>
  <c r="N39" i="3"/>
  <c r="O39" i="3" s="1"/>
  <c r="N45" i="3"/>
  <c r="O45" i="3" s="1"/>
  <c r="N64" i="3"/>
  <c r="O64" i="3" s="1"/>
  <c r="N72" i="3"/>
  <c r="O72" i="3" s="1"/>
  <c r="N76" i="3"/>
  <c r="O76" i="3" s="1"/>
  <c r="N93" i="3"/>
  <c r="O93" i="3" s="1"/>
  <c r="N125" i="3"/>
  <c r="O125" i="3" s="1"/>
  <c r="N129" i="3"/>
  <c r="O129" i="3" s="1"/>
  <c r="N24" i="3"/>
  <c r="O24" i="3" s="1"/>
  <c r="N41" i="3"/>
  <c r="O41" i="3" s="1"/>
  <c r="N23" i="3"/>
  <c r="O23" i="3" s="1"/>
  <c r="N30" i="3"/>
  <c r="O30" i="3" s="1"/>
  <c r="N40" i="3"/>
  <c r="O40" i="3" s="1"/>
  <c r="N50" i="3"/>
  <c r="N61" i="3"/>
  <c r="O61" i="3" s="1"/>
  <c r="N65" i="3"/>
  <c r="O65" i="3" s="1"/>
  <c r="N73" i="3"/>
  <c r="O73" i="3" s="1"/>
  <c r="N94" i="3"/>
  <c r="O94" i="3" s="1"/>
  <c r="N126" i="3"/>
  <c r="O126" i="3" s="1"/>
  <c r="N10" i="3"/>
  <c r="O10" i="3" s="1"/>
  <c r="N20" i="3"/>
  <c r="O20" i="3" s="1"/>
  <c r="N11" i="3"/>
  <c r="O11" i="3" s="1"/>
  <c r="N25" i="3"/>
  <c r="O25" i="3" s="1"/>
  <c r="N62" i="3"/>
  <c r="O62" i="3" s="1"/>
  <c r="N75" i="3"/>
  <c r="O75" i="3" s="1"/>
  <c r="N96" i="3"/>
  <c r="O96" i="3" s="1"/>
  <c r="N123" i="3"/>
  <c r="O123" i="3" s="1"/>
  <c r="N63" i="3"/>
  <c r="O63" i="3" s="1"/>
  <c r="N70" i="3"/>
  <c r="O70" i="3" s="1"/>
  <c r="N91" i="3"/>
  <c r="O91" i="3" s="1"/>
  <c r="N124" i="3"/>
  <c r="O124" i="3" s="1"/>
  <c r="N21" i="3"/>
  <c r="O21" i="3" s="1"/>
  <c r="N38" i="3"/>
  <c r="O38" i="3" s="1"/>
  <c r="N67" i="3"/>
  <c r="O67" i="3" s="1"/>
  <c r="N95" i="3"/>
  <c r="O95" i="3" s="1"/>
  <c r="N27" i="3"/>
  <c r="O27" i="3" s="1"/>
  <c r="N43" i="3"/>
  <c r="O43" i="3" s="1"/>
  <c r="N66" i="3"/>
  <c r="O66" i="3" s="1"/>
  <c r="N71" i="3"/>
  <c r="O71" i="3" s="1"/>
  <c r="N92" i="3"/>
  <c r="O92" i="3" s="1"/>
  <c r="N127" i="3"/>
  <c r="O127" i="3" s="1"/>
  <c r="N74" i="3"/>
  <c r="O74" i="3" s="1"/>
  <c r="N128" i="3"/>
  <c r="O128" i="3" s="1"/>
  <c r="O1243" i="6"/>
  <c r="P1243" i="6" s="1"/>
  <c r="F23" i="4"/>
  <c r="H9" i="4"/>
  <c r="P11" i="3"/>
  <c r="P21" i="3"/>
  <c r="P25" i="3"/>
  <c r="P27" i="3"/>
  <c r="P38" i="3"/>
  <c r="P43" i="3"/>
  <c r="P63" i="3"/>
  <c r="P67" i="3"/>
  <c r="P71" i="3"/>
  <c r="P75" i="3"/>
  <c r="P92" i="3"/>
  <c r="P96" i="3"/>
  <c r="P18" i="3"/>
  <c r="P22" i="3"/>
  <c r="P29" i="3"/>
  <c r="P36" i="3"/>
  <c r="P39" i="3"/>
  <c r="P45" i="3"/>
  <c r="P64" i="3"/>
  <c r="P72" i="3"/>
  <c r="P76" i="3"/>
  <c r="P93" i="3"/>
  <c r="P125" i="3"/>
  <c r="P129" i="3"/>
  <c r="P66" i="3"/>
  <c r="P74" i="3"/>
  <c r="P91" i="3"/>
  <c r="P123" i="3"/>
  <c r="P23" i="3"/>
  <c r="P30" i="3"/>
  <c r="P40" i="3"/>
  <c r="P50" i="3"/>
  <c r="P61" i="3"/>
  <c r="P65" i="3"/>
  <c r="P73" i="3"/>
  <c r="P94" i="3"/>
  <c r="P126" i="3"/>
  <c r="P10" i="3"/>
  <c r="P20" i="3"/>
  <c r="P24" i="3"/>
  <c r="P33" i="3"/>
  <c r="P41" i="3"/>
  <c r="P62" i="3"/>
  <c r="P70" i="3"/>
  <c r="P95" i="3"/>
  <c r="P127" i="3"/>
  <c r="P124" i="3"/>
  <c r="P128" i="3"/>
  <c r="P37" i="3"/>
  <c r="P60" i="3"/>
  <c r="P19" i="3"/>
  <c r="P69" i="3"/>
  <c r="P90" i="3"/>
  <c r="F9" i="4"/>
  <c r="Q1139" i="6"/>
  <c r="Q1142" i="6"/>
  <c r="Q1143" i="6"/>
  <c r="Q1147" i="6"/>
  <c r="Q1151" i="6"/>
  <c r="Q1155" i="6"/>
  <c r="Q1159" i="6"/>
  <c r="Q1163" i="6"/>
  <c r="Q1167" i="6"/>
  <c r="Q1171" i="6"/>
  <c r="Q1175" i="6"/>
  <c r="Q1179" i="6"/>
  <c r="Q1183" i="6"/>
  <c r="Q1205" i="6"/>
  <c r="Q5" i="6"/>
  <c r="Q9" i="6"/>
  <c r="Q13" i="6"/>
  <c r="Q352" i="6"/>
  <c r="Q356" i="6"/>
  <c r="Q360" i="6"/>
  <c r="Q364" i="6"/>
  <c r="Q368" i="6"/>
  <c r="Q372" i="6"/>
  <c r="Q376" i="6"/>
  <c r="Q380" i="6"/>
  <c r="Q285" i="6"/>
  <c r="Q289" i="6"/>
  <c r="Q293" i="6"/>
  <c r="Q297" i="6"/>
  <c r="Q301" i="6"/>
  <c r="Q384" i="6"/>
  <c r="Q388" i="6"/>
  <c r="Q392" i="6"/>
  <c r="Q435" i="6"/>
  <c r="Q439" i="6"/>
  <c r="Q443" i="6"/>
  <c r="Q447" i="6"/>
  <c r="Q451" i="6"/>
  <c r="Q455" i="6"/>
  <c r="Q459" i="6"/>
  <c r="Q463" i="6"/>
  <c r="Q467" i="6"/>
  <c r="Q471" i="6"/>
  <c r="Q475" i="6"/>
  <c r="Q479" i="6"/>
  <c r="Q397" i="6"/>
  <c r="Q401" i="6"/>
  <c r="Q405" i="6"/>
  <c r="Q409" i="6"/>
  <c r="Q413" i="6"/>
  <c r="Q417" i="6"/>
  <c r="Q421" i="6"/>
  <c r="Q425" i="6"/>
  <c r="Q429" i="6"/>
  <c r="Q1187" i="6"/>
  <c r="Q1191" i="6"/>
  <c r="Q1195" i="6"/>
  <c r="Q1199" i="6"/>
  <c r="Q1203" i="6"/>
  <c r="Q483" i="6"/>
  <c r="Q487" i="6"/>
  <c r="Q539" i="6"/>
  <c r="Q543" i="6"/>
  <c r="Q547" i="6"/>
  <c r="Q551" i="6"/>
  <c r="Q555" i="6"/>
  <c r="Q559" i="6"/>
  <c r="Q494" i="6"/>
  <c r="Q498" i="6"/>
  <c r="Q1144" i="6"/>
  <c r="Q1148" i="6"/>
  <c r="Q1152" i="6"/>
  <c r="Q1156" i="6"/>
  <c r="Q1160" i="6"/>
  <c r="Q1164" i="6"/>
  <c r="Q1168" i="6"/>
  <c r="Q1172" i="6"/>
  <c r="Q1176" i="6"/>
  <c r="Q1180" i="6"/>
  <c r="Q1184" i="6"/>
  <c r="Q1206" i="6"/>
  <c r="Q6" i="6"/>
  <c r="Q10" i="6"/>
  <c r="Q14" i="6"/>
  <c r="Q353" i="6"/>
  <c r="Q357" i="6"/>
  <c r="Q361" i="6"/>
  <c r="Q365" i="6"/>
  <c r="Q369" i="6"/>
  <c r="Q373" i="6"/>
  <c r="Q377" i="6"/>
  <c r="Q282" i="6"/>
  <c r="Q286" i="6"/>
  <c r="Q290" i="6"/>
  <c r="Q294" i="6"/>
  <c r="Q298" i="6"/>
  <c r="Q381" i="6"/>
  <c r="Q385" i="6"/>
  <c r="Q389" i="6"/>
  <c r="Q393" i="6"/>
  <c r="Q436" i="6"/>
  <c r="Q440" i="6"/>
  <c r="Q444" i="6"/>
  <c r="Q448" i="6"/>
  <c r="Q452" i="6"/>
  <c r="Q456" i="6"/>
  <c r="Q460" i="6"/>
  <c r="Q464" i="6"/>
  <c r="Q468" i="6"/>
  <c r="Q472" i="6"/>
  <c r="Q476" i="6"/>
  <c r="Q394" i="6"/>
  <c r="Q398" i="6"/>
  <c r="Q402" i="6"/>
  <c r="Q406" i="6"/>
  <c r="Q410" i="6"/>
  <c r="Q414" i="6"/>
  <c r="Q418" i="6"/>
  <c r="Q422" i="6"/>
  <c r="Q426" i="6"/>
  <c r="Q430" i="6"/>
  <c r="Q1188" i="6"/>
  <c r="Q1192" i="6"/>
  <c r="Q1196" i="6"/>
  <c r="Q1200" i="6"/>
  <c r="Q480" i="6"/>
  <c r="Q484" i="6"/>
  <c r="Q536" i="6"/>
  <c r="Q540" i="6"/>
  <c r="Q544" i="6"/>
  <c r="Q548" i="6"/>
  <c r="Q552" i="6"/>
  <c r="Q556" i="6"/>
  <c r="Q560" i="6"/>
  <c r="Q495" i="6"/>
  <c r="Q499" i="6"/>
  <c r="Q1146" i="6"/>
  <c r="Q1154" i="6"/>
  <c r="Q1162" i="6"/>
  <c r="Q1170" i="6"/>
  <c r="Q1178" i="6"/>
  <c r="Q1186" i="6"/>
  <c r="Q8" i="6"/>
  <c r="Q16" i="6"/>
  <c r="Q359" i="6"/>
  <c r="Q367" i="6"/>
  <c r="Q375" i="6"/>
  <c r="Q284" i="6"/>
  <c r="Q292" i="6"/>
  <c r="Q300" i="6"/>
  <c r="Q387" i="6"/>
  <c r="Q434" i="6"/>
  <c r="Q442" i="6"/>
  <c r="Q450" i="6"/>
  <c r="Q458" i="6"/>
  <c r="Q466" i="6"/>
  <c r="Q474" i="6"/>
  <c r="Q396" i="6"/>
  <c r="Q404" i="6"/>
  <c r="Q412" i="6"/>
  <c r="Q420" i="6"/>
  <c r="Q428" i="6"/>
  <c r="Q1190" i="6"/>
  <c r="Q1198" i="6"/>
  <c r="Q482" i="6"/>
  <c r="Q538" i="6"/>
  <c r="Q546" i="6"/>
  <c r="Q554" i="6"/>
  <c r="Q562" i="6"/>
  <c r="Q501" i="6"/>
  <c r="Q505" i="6"/>
  <c r="Q509" i="6"/>
  <c r="Q513" i="6"/>
  <c r="Q517" i="6"/>
  <c r="Q489" i="6"/>
  <c r="Q493" i="6"/>
  <c r="Q22" i="6"/>
  <c r="Q91" i="6"/>
  <c r="Q95" i="6"/>
  <c r="Q99" i="6"/>
  <c r="Q103" i="6"/>
  <c r="Q107" i="6"/>
  <c r="Q111" i="6"/>
  <c r="Q115" i="6"/>
  <c r="Q119" i="6"/>
  <c r="Q26" i="6"/>
  <c r="Q30" i="6"/>
  <c r="Q121" i="6"/>
  <c r="Q125" i="6"/>
  <c r="Q138" i="6"/>
  <c r="Q142" i="6"/>
  <c r="Q1209" i="6"/>
  <c r="Q1242" i="6"/>
  <c r="Q1246" i="6"/>
  <c r="Q1251" i="6"/>
  <c r="Q157" i="6"/>
  <c r="Q161" i="6"/>
  <c r="Q165" i="6"/>
  <c r="Q149" i="6"/>
  <c r="Q214" i="6"/>
  <c r="Q218" i="6"/>
  <c r="Q222" i="6"/>
  <c r="Q226" i="6"/>
  <c r="Q230" i="6"/>
  <c r="Q234" i="6"/>
  <c r="Q238" i="6"/>
  <c r="Q242" i="6"/>
  <c r="Q246" i="6"/>
  <c r="Q250" i="6"/>
  <c r="Q254" i="6"/>
  <c r="Q258" i="6"/>
  <c r="Q262" i="6"/>
  <c r="Q266" i="6"/>
  <c r="Q270" i="6"/>
  <c r="Q274" i="6"/>
  <c r="Q278" i="6"/>
  <c r="Q309" i="6"/>
  <c r="Q313" i="6"/>
  <c r="Q317" i="6"/>
  <c r="Q1009" i="6"/>
  <c r="Q322" i="6"/>
  <c r="Q167" i="6"/>
  <c r="Q171" i="6"/>
  <c r="Q175" i="6"/>
  <c r="Q179" i="6"/>
  <c r="Q183" i="6"/>
  <c r="Q187" i="6"/>
  <c r="Q191" i="6"/>
  <c r="Q195" i="6"/>
  <c r="Q199" i="6"/>
  <c r="Q203" i="6"/>
  <c r="Q207" i="6"/>
  <c r="Q211" i="6"/>
  <c r="Q302" i="6"/>
  <c r="Q306" i="6"/>
  <c r="Q342" i="6"/>
  <c r="Q346" i="6"/>
  <c r="Q350" i="6"/>
  <c r="Q1149" i="6"/>
  <c r="Q1157" i="6"/>
  <c r="Q1165" i="6"/>
  <c r="Q1173" i="6"/>
  <c r="Q1181" i="6"/>
  <c r="Q1207" i="6"/>
  <c r="Q11" i="6"/>
  <c r="Q354" i="6"/>
  <c r="Q362" i="6"/>
  <c r="Q370" i="6"/>
  <c r="Q378" i="6"/>
  <c r="Q287" i="6"/>
  <c r="Q295" i="6"/>
  <c r="Q382" i="6"/>
  <c r="Q390" i="6"/>
  <c r="Q437" i="6"/>
  <c r="Q445" i="6"/>
  <c r="Q453" i="6"/>
  <c r="Q461" i="6"/>
  <c r="Q469" i="6"/>
  <c r="Q477" i="6"/>
  <c r="Q399" i="6"/>
  <c r="Q407" i="6"/>
  <c r="Q415" i="6"/>
  <c r="Q423" i="6"/>
  <c r="Q431" i="6"/>
  <c r="Q1193" i="6"/>
  <c r="Q1201" i="6"/>
  <c r="Q485" i="6"/>
  <c r="Q541" i="6"/>
  <c r="Q549" i="6"/>
  <c r="Q557" i="6"/>
  <c r="Q496" i="6"/>
  <c r="Q502" i="6"/>
  <c r="Q506" i="6"/>
  <c r="Q510" i="6"/>
  <c r="Q514" i="6"/>
  <c r="Q518" i="6"/>
  <c r="Q490" i="6"/>
  <c r="Q19" i="6"/>
  <c r="Q23" i="6"/>
  <c r="Q92" i="6"/>
  <c r="Q96" i="6"/>
  <c r="Q100" i="6"/>
  <c r="Q104" i="6"/>
  <c r="Q108" i="6"/>
  <c r="Q112" i="6"/>
  <c r="Q116" i="6"/>
  <c r="Q120" i="6"/>
  <c r="Q27" i="6"/>
  <c r="Q31" i="6"/>
  <c r="Q122" i="6"/>
  <c r="Q126" i="6"/>
  <c r="Q139" i="6"/>
  <c r="Q143" i="6"/>
  <c r="Q1210" i="6"/>
  <c r="Q1239" i="6"/>
  <c r="Q1243" i="6"/>
  <c r="Q1247" i="6"/>
  <c r="Q1252" i="6"/>
  <c r="Q158" i="6"/>
  <c r="Q162" i="6"/>
  <c r="Q146" i="6"/>
  <c r="Q150" i="6"/>
  <c r="Q215" i="6"/>
  <c r="Q219" i="6"/>
  <c r="Q223" i="6"/>
  <c r="Q227" i="6"/>
  <c r="Q231" i="6"/>
  <c r="Q235" i="6"/>
  <c r="Q239" i="6"/>
  <c r="Q243" i="6"/>
  <c r="Q247" i="6"/>
  <c r="Q251" i="6"/>
  <c r="Q255" i="6"/>
  <c r="Q259" i="6"/>
  <c r="Q263" i="6"/>
  <c r="Q267" i="6"/>
  <c r="Q271" i="6"/>
  <c r="Q275" i="6"/>
  <c r="Q279" i="6"/>
  <c r="Q310" i="6"/>
  <c r="Q314" i="6"/>
  <c r="Q318" i="6"/>
  <c r="Q319" i="6"/>
  <c r="Q323" i="6"/>
  <c r="Q327" i="6"/>
  <c r="Q168" i="6"/>
  <c r="Q172" i="6"/>
  <c r="Q176" i="6"/>
  <c r="Q180" i="6"/>
  <c r="Q184" i="6"/>
  <c r="Q188" i="6"/>
  <c r="Q192" i="6"/>
  <c r="Q196" i="6"/>
  <c r="Q200" i="6"/>
  <c r="Q204" i="6"/>
  <c r="Q208" i="6"/>
  <c r="Q212" i="6"/>
  <c r="Q303" i="6"/>
  <c r="Q307" i="6"/>
  <c r="Q154" i="6"/>
  <c r="Q343" i="6"/>
  <c r="Q347" i="6"/>
  <c r="Q351" i="6"/>
  <c r="Q1161" i="6"/>
  <c r="Q1177" i="6"/>
  <c r="Q7" i="6"/>
  <c r="Q358" i="6"/>
  <c r="Q374" i="6"/>
  <c r="Q291" i="6"/>
  <c r="Q386" i="6"/>
  <c r="Q433" i="6"/>
  <c r="Q449" i="6"/>
  <c r="Q465" i="6"/>
  <c r="Q395" i="6"/>
  <c r="Q411" i="6"/>
  <c r="Q1189" i="6"/>
  <c r="Q481" i="6"/>
  <c r="Q545" i="6"/>
  <c r="Q561" i="6"/>
  <c r="Q504" i="6"/>
  <c r="Q512" i="6"/>
  <c r="Q488" i="6"/>
  <c r="Q21" i="6"/>
  <c r="Q94" i="6"/>
  <c r="Q102" i="6"/>
  <c r="Q106" i="6"/>
  <c r="Q114" i="6"/>
  <c r="Q25" i="6"/>
  <c r="Q137" i="6"/>
  <c r="Q1212" i="6"/>
  <c r="Q1245" i="6"/>
  <c r="Q160" i="6"/>
  <c r="Q148" i="6"/>
  <c r="Q153" i="6"/>
  <c r="Q221" i="6"/>
  <c r="Q229" i="6"/>
  <c r="Q237" i="6"/>
  <c r="Q245" i="6"/>
  <c r="Q253" i="6"/>
  <c r="Q261" i="6"/>
  <c r="Q269" i="6"/>
  <c r="Q277" i="6"/>
  <c r="Q312" i="6"/>
  <c r="Q1008" i="6"/>
  <c r="Q325" i="6"/>
  <c r="Q170" i="6"/>
  <c r="Q178" i="6"/>
  <c r="Q186" i="6"/>
  <c r="Q190" i="6"/>
  <c r="Q198" i="6"/>
  <c r="Q206" i="6"/>
  <c r="Q341" i="6"/>
  <c r="Q349" i="6"/>
  <c r="Q1150" i="6"/>
  <c r="Q1158" i="6"/>
  <c r="Q1166" i="6"/>
  <c r="Q1174" i="6"/>
  <c r="Q1182" i="6"/>
  <c r="Q1208" i="6"/>
  <c r="Q12" i="6"/>
  <c r="Q355" i="6"/>
  <c r="Q363" i="6"/>
  <c r="Q371" i="6"/>
  <c r="Q379" i="6"/>
  <c r="Q288" i="6"/>
  <c r="Q296" i="6"/>
  <c r="Q383" i="6"/>
  <c r="Q391" i="6"/>
  <c r="Q438" i="6"/>
  <c r="Q446" i="6"/>
  <c r="Q454" i="6"/>
  <c r="Q462" i="6"/>
  <c r="Q470" i="6"/>
  <c r="Q478" i="6"/>
  <c r="Q400" i="6"/>
  <c r="Q408" i="6"/>
  <c r="Q416" i="6"/>
  <c r="Q424" i="6"/>
  <c r="Q432" i="6"/>
  <c r="Q1194" i="6"/>
  <c r="Q1202" i="6"/>
  <c r="Q486" i="6"/>
  <c r="Q542" i="6"/>
  <c r="Q550" i="6"/>
  <c r="Q558" i="6"/>
  <c r="Q497" i="6"/>
  <c r="Q503" i="6"/>
  <c r="Q507" i="6"/>
  <c r="Q511" i="6"/>
  <c r="Q515" i="6"/>
  <c r="Q519" i="6"/>
  <c r="Q491" i="6"/>
  <c r="Q20" i="6"/>
  <c r="Q89" i="6"/>
  <c r="Q93" i="6"/>
  <c r="Q97" i="6"/>
  <c r="Q101" i="6"/>
  <c r="Q105" i="6"/>
  <c r="Q109" i="6"/>
  <c r="Q113" i="6"/>
  <c r="Q117" i="6"/>
  <c r="Q24" i="6"/>
  <c r="Q28" i="6"/>
  <c r="Q32" i="6"/>
  <c r="Q123" i="6"/>
  <c r="Q127" i="6"/>
  <c r="Q140" i="6"/>
  <c r="Q144" i="6"/>
  <c r="Q1211" i="6"/>
  <c r="Q1240" i="6"/>
  <c r="Q1244" i="6"/>
  <c r="Q1248" i="6"/>
  <c r="Q1253" i="6"/>
  <c r="Q155" i="6"/>
  <c r="Q159" i="6"/>
  <c r="Q163" i="6"/>
  <c r="Q147" i="6"/>
  <c r="Q151" i="6"/>
  <c r="Q216" i="6"/>
  <c r="Q220" i="6"/>
  <c r="Q224" i="6"/>
  <c r="Q228" i="6"/>
  <c r="Q232" i="6"/>
  <c r="Q236" i="6"/>
  <c r="Q240" i="6"/>
  <c r="Q244" i="6"/>
  <c r="Q248" i="6"/>
  <c r="Q252" i="6"/>
  <c r="Q256" i="6"/>
  <c r="Q260" i="6"/>
  <c r="Q264" i="6"/>
  <c r="Q268" i="6"/>
  <c r="Q272" i="6"/>
  <c r="Q276" i="6"/>
  <c r="Q280" i="6"/>
  <c r="Q311" i="6"/>
  <c r="Q315" i="6"/>
  <c r="Q1007" i="6"/>
  <c r="Q320" i="6"/>
  <c r="Q324" i="6"/>
  <c r="Q328" i="6"/>
  <c r="Q169" i="6"/>
  <c r="Q173" i="6"/>
  <c r="Q177" i="6"/>
  <c r="Q181" i="6"/>
  <c r="Q185" i="6"/>
  <c r="Q189" i="6"/>
  <c r="Q193" i="6"/>
  <c r="Q197" i="6"/>
  <c r="Q201" i="6"/>
  <c r="Q205" i="6"/>
  <c r="Q209" i="6"/>
  <c r="Q213" i="6"/>
  <c r="Q304" i="6"/>
  <c r="Q308" i="6"/>
  <c r="Q17" i="6"/>
  <c r="Q344" i="6"/>
  <c r="Q348" i="6"/>
  <c r="Q1153" i="6"/>
  <c r="Q1169" i="6"/>
  <c r="Q1185" i="6"/>
  <c r="Q15" i="6"/>
  <c r="Q366" i="6"/>
  <c r="Q283" i="6"/>
  <c r="Q299" i="6"/>
  <c r="Q441" i="6"/>
  <c r="Q457" i="6"/>
  <c r="Q473" i="6"/>
  <c r="Q403" i="6"/>
  <c r="Q419" i="6"/>
  <c r="Q427" i="6"/>
  <c r="Q1197" i="6"/>
  <c r="Q537" i="6"/>
  <c r="Q553" i="6"/>
  <c r="Q500" i="6"/>
  <c r="Q508" i="6"/>
  <c r="Q516" i="6"/>
  <c r="Q492" i="6"/>
  <c r="Q90" i="6"/>
  <c r="Q98" i="6"/>
  <c r="Q110" i="6"/>
  <c r="Q118" i="6"/>
  <c r="Q29" i="6"/>
  <c r="Q124" i="6"/>
  <c r="Q141" i="6"/>
  <c r="Q145" i="6"/>
  <c r="Q1241" i="6"/>
  <c r="Q1249" i="6"/>
  <c r="Q156" i="6"/>
  <c r="Q164" i="6"/>
  <c r="Q152" i="6"/>
  <c r="Q217" i="6"/>
  <c r="Q225" i="6"/>
  <c r="Q233" i="6"/>
  <c r="Q241" i="6"/>
  <c r="Q249" i="6"/>
  <c r="Q257" i="6"/>
  <c r="Q265" i="6"/>
  <c r="Q273" i="6"/>
  <c r="Q281" i="6"/>
  <c r="Q316" i="6"/>
  <c r="Q321" i="6"/>
  <c r="Q174" i="6"/>
  <c r="Q182" i="6"/>
  <c r="Q194" i="6"/>
  <c r="Q202" i="6"/>
  <c r="Q210" i="6"/>
  <c r="Q305" i="6"/>
  <c r="Q18" i="6"/>
  <c r="Q345" i="6"/>
  <c r="A5" i="15"/>
  <c r="D6" i="15"/>
  <c r="G7" i="15"/>
  <c r="A9" i="15"/>
  <c r="D10" i="15"/>
  <c r="G11" i="15"/>
  <c r="A13" i="15"/>
  <c r="D14" i="15"/>
  <c r="G15" i="15"/>
  <c r="A17" i="15"/>
  <c r="D18" i="15"/>
  <c r="G19" i="15"/>
  <c r="O332" i="6"/>
  <c r="P332" i="6" s="1"/>
  <c r="O336" i="6"/>
  <c r="P336" i="6" s="1"/>
  <c r="B5" i="15"/>
  <c r="E6" i="15"/>
  <c r="H7" i="15"/>
  <c r="B9" i="15"/>
  <c r="E10" i="15"/>
  <c r="H11" i="15"/>
  <c r="B13" i="15"/>
  <c r="E14" i="15"/>
  <c r="H15" i="15"/>
  <c r="B17" i="15"/>
  <c r="E18" i="15"/>
  <c r="H19" i="15"/>
  <c r="C5" i="15"/>
  <c r="F6" i="15"/>
  <c r="I7" i="15"/>
  <c r="C9" i="15"/>
  <c r="F10" i="15"/>
  <c r="I11" i="15"/>
  <c r="C13" i="15"/>
  <c r="F14" i="15"/>
  <c r="I15" i="15"/>
  <c r="C17" i="15"/>
  <c r="F18" i="15"/>
  <c r="I19" i="15"/>
  <c r="A4" i="15"/>
  <c r="D5" i="15"/>
  <c r="G6" i="15"/>
  <c r="A8" i="15"/>
  <c r="D9" i="15"/>
  <c r="G10" i="15"/>
  <c r="A12" i="15"/>
  <c r="D13" i="15"/>
  <c r="G14" i="15"/>
  <c r="A16" i="15"/>
  <c r="D17" i="15"/>
  <c r="G18" i="15"/>
  <c r="A20" i="15"/>
  <c r="K6" i="4"/>
  <c r="H23" i="4"/>
  <c r="B4" i="15"/>
  <c r="E5" i="15"/>
  <c r="H6" i="15"/>
  <c r="B8" i="15"/>
  <c r="E9" i="15"/>
  <c r="H10" i="15"/>
  <c r="B12" i="15"/>
  <c r="E13" i="15"/>
  <c r="H14" i="15"/>
  <c r="B16" i="15"/>
  <c r="E17" i="15"/>
  <c r="H18" i="15"/>
  <c r="B20" i="15"/>
  <c r="K7" i="4"/>
  <c r="C4" i="15"/>
  <c r="F5" i="15"/>
  <c r="I6" i="15"/>
  <c r="C8" i="15"/>
  <c r="F9" i="15"/>
  <c r="I10" i="15"/>
  <c r="C12" i="15"/>
  <c r="F13" i="15"/>
  <c r="I14" i="15"/>
  <c r="C16" i="15"/>
  <c r="F17" i="15"/>
  <c r="I18" i="15"/>
  <c r="C20" i="15"/>
  <c r="K8" i="4"/>
  <c r="D4" i="15"/>
  <c r="G5" i="15"/>
  <c r="A7" i="15"/>
  <c r="D8" i="15"/>
  <c r="G9" i="15"/>
  <c r="A11" i="15"/>
  <c r="D12" i="15"/>
  <c r="G13" i="15"/>
  <c r="A15" i="15"/>
  <c r="D16" i="15"/>
  <c r="G17" i="15"/>
  <c r="A19" i="15"/>
  <c r="D20" i="15"/>
  <c r="O330" i="6"/>
  <c r="P330" i="6" s="1"/>
  <c r="O334" i="6"/>
  <c r="P334" i="6" s="1"/>
  <c r="O338" i="6"/>
  <c r="P338" i="6" s="1"/>
  <c r="K19" i="4"/>
  <c r="E4" i="15"/>
  <c r="H5" i="15"/>
  <c r="B7" i="15"/>
  <c r="E8" i="15"/>
  <c r="H9" i="15"/>
  <c r="B11" i="15"/>
  <c r="E12" i="15"/>
  <c r="H13" i="15"/>
  <c r="B15" i="15"/>
  <c r="E16" i="15"/>
  <c r="H17" i="15"/>
  <c r="B19" i="15"/>
  <c r="E20" i="15"/>
  <c r="O90" i="6"/>
  <c r="P90" i="6" s="1"/>
  <c r="O93" i="6"/>
  <c r="P93" i="6" s="1"/>
  <c r="O96" i="6"/>
  <c r="P96" i="6" s="1"/>
  <c r="O99" i="6"/>
  <c r="P99" i="6" s="1"/>
  <c r="O102" i="6"/>
  <c r="P102" i="6" s="1"/>
  <c r="O105" i="6"/>
  <c r="P105" i="6" s="1"/>
  <c r="O108" i="6"/>
  <c r="P108" i="6" s="1"/>
  <c r="O111" i="6"/>
  <c r="P111" i="6" s="1"/>
  <c r="O114" i="6"/>
  <c r="P114" i="6" s="1"/>
  <c r="O117" i="6"/>
  <c r="P117" i="6" s="1"/>
  <c r="O120" i="6"/>
  <c r="P120" i="6" s="1"/>
  <c r="K3" i="4"/>
  <c r="K21" i="4"/>
  <c r="F4" i="15"/>
  <c r="I5" i="15"/>
  <c r="C7" i="15"/>
  <c r="F8" i="15"/>
  <c r="I9" i="15"/>
  <c r="C11" i="15"/>
  <c r="F12" i="15"/>
  <c r="I13" i="15"/>
  <c r="C15" i="15"/>
  <c r="F16" i="15"/>
  <c r="I17" i="15"/>
  <c r="C19" i="15"/>
  <c r="F20" i="15"/>
  <c r="G4" i="15"/>
  <c r="A6" i="15"/>
  <c r="D7" i="15"/>
  <c r="G8" i="15"/>
  <c r="A10" i="15"/>
  <c r="D11" i="15"/>
  <c r="G12" i="15"/>
  <c r="A14" i="15"/>
  <c r="D15" i="15"/>
  <c r="G16" i="15"/>
  <c r="A18" i="15"/>
  <c r="D19" i="15"/>
  <c r="G20" i="15"/>
  <c r="O331" i="6"/>
  <c r="P331" i="6" s="1"/>
  <c r="O335" i="6"/>
  <c r="P335" i="6" s="1"/>
  <c r="H4" i="15"/>
  <c r="B6" i="15"/>
  <c r="E7" i="15"/>
  <c r="H8" i="15"/>
  <c r="B10" i="15"/>
  <c r="E11" i="15"/>
  <c r="H12" i="15"/>
  <c r="B14" i="15"/>
  <c r="E15" i="15"/>
  <c r="H16" i="15"/>
  <c r="B18" i="15"/>
  <c r="E19" i="15"/>
  <c r="H20" i="15"/>
  <c r="I4" i="15"/>
  <c r="C6" i="15"/>
  <c r="F7" i="15"/>
  <c r="I8" i="15"/>
  <c r="C10" i="15"/>
  <c r="F11" i="15"/>
  <c r="I12" i="15"/>
  <c r="C14" i="15"/>
  <c r="F15" i="15"/>
  <c r="I16" i="15"/>
  <c r="C18" i="15"/>
  <c r="F19" i="15"/>
  <c r="Q59" i="3" l="1"/>
  <c r="T59" i="3" s="1"/>
  <c r="V59" i="3" s="1"/>
  <c r="Q139" i="3"/>
  <c r="Q137" i="3"/>
  <c r="Q138" i="3"/>
  <c r="Q136" i="3"/>
  <c r="Q88" i="3"/>
  <c r="T88" i="3" s="1"/>
  <c r="V88" i="3" s="1"/>
  <c r="Q87" i="3"/>
  <c r="T87" i="3" s="1"/>
  <c r="V87" i="3" s="1"/>
  <c r="Q86" i="3"/>
  <c r="T86" i="3" s="1"/>
  <c r="V86" i="3" s="1"/>
  <c r="Q85" i="3"/>
  <c r="T85" i="3" s="1"/>
  <c r="V85" i="3" s="1"/>
  <c r="Q84" i="3"/>
  <c r="T84" i="3" s="1"/>
  <c r="V84" i="3" s="1"/>
  <c r="Q83" i="3"/>
  <c r="T83" i="3" s="1"/>
  <c r="V83" i="3" s="1"/>
  <c r="Q82" i="3"/>
  <c r="T82" i="3" s="1"/>
  <c r="V82" i="3" s="1"/>
  <c r="Q81" i="3"/>
  <c r="T81" i="3" s="1"/>
  <c r="V81" i="3" s="1"/>
  <c r="Q80" i="3"/>
  <c r="T80" i="3" s="1"/>
  <c r="V80" i="3" s="1"/>
  <c r="X131" i="3"/>
  <c r="Z131" i="3"/>
  <c r="AA131" i="3" s="1"/>
  <c r="X133" i="3"/>
  <c r="Z133" i="3"/>
  <c r="AA133" i="3" s="1"/>
  <c r="Z132" i="3"/>
  <c r="X132" i="3"/>
  <c r="AA132" i="3"/>
  <c r="X134" i="3"/>
  <c r="Z134" i="3"/>
  <c r="AA134" i="3"/>
  <c r="X140" i="3"/>
  <c r="Z140" i="3"/>
  <c r="AA140" i="3"/>
  <c r="Z141" i="3"/>
  <c r="X141" i="3"/>
  <c r="AA141" i="3" s="1"/>
  <c r="Z142" i="3"/>
  <c r="X142" i="3"/>
  <c r="AA142" i="3" s="1"/>
  <c r="Z143" i="3"/>
  <c r="X143" i="3"/>
  <c r="AA143" i="3" s="1"/>
  <c r="X51" i="3"/>
  <c r="Z51" i="3"/>
  <c r="AA51" i="3"/>
  <c r="X56" i="3"/>
  <c r="Z56" i="3"/>
  <c r="AA56" i="3"/>
  <c r="X54" i="3"/>
  <c r="Z54" i="3"/>
  <c r="AA54" i="3"/>
  <c r="X55" i="3"/>
  <c r="Z55" i="3"/>
  <c r="AA55" i="3"/>
  <c r="X57" i="3"/>
  <c r="Z57" i="3"/>
  <c r="AA57" i="3"/>
  <c r="X58" i="3"/>
  <c r="Z58" i="3"/>
  <c r="AA58" i="3"/>
  <c r="X53" i="3"/>
  <c r="Z53" i="3"/>
  <c r="AA53" i="3"/>
  <c r="T136" i="3"/>
  <c r="V136" i="3" s="1"/>
  <c r="T138" i="3"/>
  <c r="V138" i="3" s="1"/>
  <c r="T137" i="3"/>
  <c r="V137" i="3" s="1"/>
  <c r="T139" i="3"/>
  <c r="V139" i="3" s="1"/>
  <c r="R73" i="6"/>
  <c r="U73" i="6" s="1"/>
  <c r="W73" i="6" s="1"/>
  <c r="R75" i="6"/>
  <c r="U75" i="6" s="1"/>
  <c r="W75" i="6" s="1"/>
  <c r="R76" i="6"/>
  <c r="U76" i="6" s="1"/>
  <c r="W76" i="6" s="1"/>
  <c r="R74" i="6"/>
  <c r="U74" i="6" s="1"/>
  <c r="W74" i="6" s="1"/>
  <c r="R72" i="6"/>
  <c r="U72" i="6" s="1"/>
  <c r="W72" i="6" s="1"/>
  <c r="R71" i="6"/>
  <c r="U71" i="6" s="1"/>
  <c r="W71" i="6" s="1"/>
  <c r="R70" i="6"/>
  <c r="U70" i="6" s="1"/>
  <c r="W70" i="6" s="1"/>
  <c r="R77" i="6"/>
  <c r="U77" i="6" s="1"/>
  <c r="W77" i="6" s="1"/>
  <c r="R69" i="6"/>
  <c r="U69" i="6" s="1"/>
  <c r="W69" i="6" s="1"/>
  <c r="R68" i="6"/>
  <c r="U68" i="6" s="1"/>
  <c r="W68" i="6" s="1"/>
  <c r="R67" i="6"/>
  <c r="U67" i="6" s="1"/>
  <c r="W67" i="6" s="1"/>
  <c r="R82" i="6"/>
  <c r="U82" i="6" s="1"/>
  <c r="W82" i="6" s="1"/>
  <c r="R83" i="6"/>
  <c r="U83" i="6" s="1"/>
  <c r="W83" i="6" s="1"/>
  <c r="R81" i="6"/>
  <c r="U81" i="6" s="1"/>
  <c r="W81" i="6" s="1"/>
  <c r="R80" i="6"/>
  <c r="U80" i="6" s="1"/>
  <c r="W80" i="6" s="1"/>
  <c r="R84" i="6"/>
  <c r="U84" i="6" s="1"/>
  <c r="W84" i="6" s="1"/>
  <c r="R79" i="6"/>
  <c r="U79" i="6" s="1"/>
  <c r="W79" i="6" s="1"/>
  <c r="R85" i="6"/>
  <c r="U85" i="6" s="1"/>
  <c r="W85" i="6" s="1"/>
  <c r="R86" i="6"/>
  <c r="U86" i="6" s="1"/>
  <c r="W86" i="6" s="1"/>
  <c r="R88" i="6"/>
  <c r="U88" i="6" s="1"/>
  <c r="W88" i="6" s="1"/>
  <c r="R87" i="6"/>
  <c r="U87" i="6" s="1"/>
  <c r="W87" i="6" s="1"/>
  <c r="R78" i="6"/>
  <c r="U78" i="6" s="1"/>
  <c r="W78" i="6" s="1"/>
  <c r="R66" i="6"/>
  <c r="U66" i="6" s="1"/>
  <c r="W66" i="6" s="1"/>
  <c r="R65" i="6"/>
  <c r="U65" i="6" s="1"/>
  <c r="W65" i="6" s="1"/>
  <c r="R1126" i="6"/>
  <c r="U1126" i="6" s="1"/>
  <c r="W1126" i="6" s="1"/>
  <c r="R529" i="6"/>
  <c r="U529" i="6" s="1"/>
  <c r="W529" i="6" s="1"/>
  <c r="R528" i="6"/>
  <c r="U528" i="6" s="1"/>
  <c r="W528" i="6" s="1"/>
  <c r="R527" i="6"/>
  <c r="U527" i="6" s="1"/>
  <c r="W527" i="6" s="1"/>
  <c r="R526" i="6"/>
  <c r="U526" i="6" s="1"/>
  <c r="W526" i="6" s="1"/>
  <c r="R533" i="6"/>
  <c r="U533" i="6" s="1"/>
  <c r="W533" i="6" s="1"/>
  <c r="R532" i="6"/>
  <c r="U532" i="6" s="1"/>
  <c r="W532" i="6" s="1"/>
  <c r="R531" i="6"/>
  <c r="U531" i="6" s="1"/>
  <c r="W531" i="6" s="1"/>
  <c r="R535" i="6"/>
  <c r="U535" i="6" s="1"/>
  <c r="W535" i="6" s="1"/>
  <c r="R534" i="6"/>
  <c r="U534" i="6" s="1"/>
  <c r="W534" i="6" s="1"/>
  <c r="R530" i="6"/>
  <c r="U530" i="6" s="1"/>
  <c r="W530" i="6" s="1"/>
  <c r="R525" i="6"/>
  <c r="U525" i="6" s="1"/>
  <c r="W525" i="6" s="1"/>
  <c r="R524" i="6"/>
  <c r="U524" i="6" s="1"/>
  <c r="W524" i="6" s="1"/>
  <c r="R523" i="6"/>
  <c r="U523" i="6" s="1"/>
  <c r="W523" i="6" s="1"/>
  <c r="R522" i="6"/>
  <c r="U522" i="6" s="1"/>
  <c r="W522" i="6" s="1"/>
  <c r="R521" i="6"/>
  <c r="U521" i="6" s="1"/>
  <c r="W521" i="6" s="1"/>
  <c r="R520" i="6"/>
  <c r="U520" i="6" s="1"/>
  <c r="W520" i="6" s="1"/>
  <c r="R900" i="6"/>
  <c r="U900" i="6" s="1"/>
  <c r="W900" i="6" s="1"/>
  <c r="R901" i="6"/>
  <c r="U901" i="6" s="1"/>
  <c r="W901" i="6" s="1"/>
  <c r="R902" i="6"/>
  <c r="U902" i="6" s="1"/>
  <c r="W902" i="6" s="1"/>
  <c r="R903" i="6"/>
  <c r="U903" i="6" s="1"/>
  <c r="W903" i="6" s="1"/>
  <c r="R904" i="6"/>
  <c r="U904" i="6" s="1"/>
  <c r="W904" i="6" s="1"/>
  <c r="R905" i="6"/>
  <c r="U905" i="6" s="1"/>
  <c r="W905" i="6" s="1"/>
  <c r="R906" i="6"/>
  <c r="U906" i="6" s="1"/>
  <c r="W906" i="6" s="1"/>
  <c r="R907" i="6"/>
  <c r="U907" i="6" s="1"/>
  <c r="W907" i="6" s="1"/>
  <c r="R908" i="6"/>
  <c r="U908" i="6" s="1"/>
  <c r="W908" i="6" s="1"/>
  <c r="R909" i="6"/>
  <c r="U909" i="6" s="1"/>
  <c r="W909" i="6" s="1"/>
  <c r="R910" i="6"/>
  <c r="U910" i="6" s="1"/>
  <c r="W910" i="6" s="1"/>
  <c r="R911" i="6"/>
  <c r="U911" i="6" s="1"/>
  <c r="W911" i="6" s="1"/>
  <c r="R912" i="6"/>
  <c r="U912" i="6" s="1"/>
  <c r="W912" i="6" s="1"/>
  <c r="R913" i="6"/>
  <c r="U913" i="6" s="1"/>
  <c r="W913" i="6" s="1"/>
  <c r="R914" i="6"/>
  <c r="U914" i="6" s="1"/>
  <c r="W914" i="6" s="1"/>
  <c r="R915" i="6"/>
  <c r="U915" i="6" s="1"/>
  <c r="W915" i="6" s="1"/>
  <c r="R916" i="6"/>
  <c r="U916" i="6" s="1"/>
  <c r="W916" i="6" s="1"/>
  <c r="R917" i="6"/>
  <c r="U917" i="6" s="1"/>
  <c r="W917" i="6" s="1"/>
  <c r="R918" i="6"/>
  <c r="U918" i="6" s="1"/>
  <c r="W918" i="6" s="1"/>
  <c r="R919" i="6"/>
  <c r="U919" i="6" s="1"/>
  <c r="W919" i="6" s="1"/>
  <c r="R920" i="6"/>
  <c r="U920" i="6" s="1"/>
  <c r="W920" i="6" s="1"/>
  <c r="R921" i="6"/>
  <c r="U921" i="6" s="1"/>
  <c r="W921" i="6" s="1"/>
  <c r="R922" i="6"/>
  <c r="U922" i="6" s="1"/>
  <c r="W922" i="6" s="1"/>
  <c r="R923" i="6"/>
  <c r="U923" i="6" s="1"/>
  <c r="W923" i="6" s="1"/>
  <c r="R924" i="6"/>
  <c r="U924" i="6" s="1"/>
  <c r="W924" i="6" s="1"/>
  <c r="R925" i="6"/>
  <c r="U925" i="6" s="1"/>
  <c r="W925" i="6" s="1"/>
  <c r="R926" i="6"/>
  <c r="U926" i="6" s="1"/>
  <c r="W926" i="6" s="1"/>
  <c r="R927" i="6"/>
  <c r="U927" i="6" s="1"/>
  <c r="W927" i="6" s="1"/>
  <c r="R928" i="6"/>
  <c r="U928" i="6" s="1"/>
  <c r="W928" i="6" s="1"/>
  <c r="R929" i="6"/>
  <c r="U929" i="6" s="1"/>
  <c r="W929" i="6" s="1"/>
  <c r="R930" i="6"/>
  <c r="U930" i="6" s="1"/>
  <c r="W930" i="6" s="1"/>
  <c r="R931" i="6"/>
  <c r="U931" i="6" s="1"/>
  <c r="W931" i="6" s="1"/>
  <c r="R932" i="6"/>
  <c r="U932" i="6" s="1"/>
  <c r="W932" i="6" s="1"/>
  <c r="R933" i="6"/>
  <c r="U933" i="6" s="1"/>
  <c r="W933" i="6" s="1"/>
  <c r="R934" i="6"/>
  <c r="U934" i="6" s="1"/>
  <c r="W934" i="6" s="1"/>
  <c r="R935" i="6"/>
  <c r="U935" i="6" s="1"/>
  <c r="W935" i="6" s="1"/>
  <c r="R937" i="6"/>
  <c r="U937" i="6" s="1"/>
  <c r="W937" i="6" s="1"/>
  <c r="R936" i="6"/>
  <c r="U936" i="6" s="1"/>
  <c r="W936" i="6" s="1"/>
  <c r="R899" i="6"/>
  <c r="U899" i="6" s="1"/>
  <c r="W899" i="6" s="1"/>
  <c r="R898" i="6"/>
  <c r="U898" i="6" s="1"/>
  <c r="W898" i="6" s="1"/>
  <c r="R845" i="6"/>
  <c r="U845" i="6" s="1"/>
  <c r="W845" i="6" s="1"/>
  <c r="R827" i="6"/>
  <c r="U827" i="6" s="1"/>
  <c r="W827" i="6" s="1"/>
  <c r="R828" i="6"/>
  <c r="U828" i="6" s="1"/>
  <c r="W828" i="6" s="1"/>
  <c r="R829" i="6"/>
  <c r="U829" i="6" s="1"/>
  <c r="W829" i="6" s="1"/>
  <c r="R830" i="6"/>
  <c r="U830" i="6" s="1"/>
  <c r="W830" i="6" s="1"/>
  <c r="R831" i="6"/>
  <c r="U831" i="6" s="1"/>
  <c r="W831" i="6" s="1"/>
  <c r="R832" i="6"/>
  <c r="U832" i="6" s="1"/>
  <c r="W832" i="6" s="1"/>
  <c r="R833" i="6"/>
  <c r="U833" i="6" s="1"/>
  <c r="W833" i="6" s="1"/>
  <c r="R834" i="6"/>
  <c r="U834" i="6" s="1"/>
  <c r="W834" i="6" s="1"/>
  <c r="R836" i="6"/>
  <c r="U836" i="6" s="1"/>
  <c r="W836" i="6" s="1"/>
  <c r="R838" i="6"/>
  <c r="U838" i="6" s="1"/>
  <c r="W838" i="6" s="1"/>
  <c r="R839" i="6"/>
  <c r="U839" i="6" s="1"/>
  <c r="W839" i="6" s="1"/>
  <c r="R837" i="6"/>
  <c r="U837" i="6" s="1"/>
  <c r="W837" i="6" s="1"/>
  <c r="R840" i="6"/>
  <c r="U840" i="6" s="1"/>
  <c r="W840" i="6" s="1"/>
  <c r="R841" i="6"/>
  <c r="U841" i="6" s="1"/>
  <c r="W841" i="6" s="1"/>
  <c r="R842" i="6"/>
  <c r="U842" i="6" s="1"/>
  <c r="W842" i="6" s="1"/>
  <c r="R843" i="6"/>
  <c r="U843" i="6" s="1"/>
  <c r="W843" i="6" s="1"/>
  <c r="R844" i="6"/>
  <c r="U844" i="6" s="1"/>
  <c r="W844" i="6" s="1"/>
  <c r="R849" i="6"/>
  <c r="U849" i="6" s="1"/>
  <c r="W849" i="6" s="1"/>
  <c r="R850" i="6"/>
  <c r="U850" i="6" s="1"/>
  <c r="W850" i="6" s="1"/>
  <c r="R848" i="6"/>
  <c r="U848" i="6" s="1"/>
  <c r="W848" i="6" s="1"/>
  <c r="R847" i="6"/>
  <c r="U847" i="6" s="1"/>
  <c r="W847" i="6" s="1"/>
  <c r="R846" i="6"/>
  <c r="U846" i="6" s="1"/>
  <c r="W846" i="6" s="1"/>
  <c r="R835" i="6"/>
  <c r="U835" i="6" s="1"/>
  <c r="W835" i="6" s="1"/>
  <c r="R826" i="6"/>
  <c r="U826" i="6" s="1"/>
  <c r="W826" i="6" s="1"/>
  <c r="R825" i="6"/>
  <c r="U825" i="6" s="1"/>
  <c r="W825" i="6" s="1"/>
  <c r="R824" i="6"/>
  <c r="U824" i="6" s="1"/>
  <c r="W824" i="6" s="1"/>
  <c r="R823" i="6"/>
  <c r="U823" i="6" s="1"/>
  <c r="W823" i="6" s="1"/>
  <c r="R1375" i="6"/>
  <c r="U1375" i="6" s="1"/>
  <c r="W1375" i="6" s="1"/>
  <c r="R1374" i="6"/>
  <c r="U1374" i="6" s="1"/>
  <c r="W1374" i="6" s="1"/>
  <c r="R1373" i="6"/>
  <c r="U1373" i="6" s="1"/>
  <c r="W1373" i="6" s="1"/>
  <c r="R1372" i="6"/>
  <c r="U1372" i="6" s="1"/>
  <c r="W1372" i="6" s="1"/>
  <c r="R1363" i="6"/>
  <c r="U1363" i="6" s="1"/>
  <c r="W1363" i="6" s="1"/>
  <c r="R1371" i="6"/>
  <c r="U1371" i="6" s="1"/>
  <c r="W1371" i="6" s="1"/>
  <c r="R1370" i="6"/>
  <c r="U1370" i="6" s="1"/>
  <c r="W1370" i="6" s="1"/>
  <c r="R1368" i="6"/>
  <c r="U1368" i="6" s="1"/>
  <c r="W1368" i="6" s="1"/>
  <c r="R1367" i="6"/>
  <c r="U1367" i="6" s="1"/>
  <c r="W1367" i="6" s="1"/>
  <c r="R1366" i="6"/>
  <c r="U1366" i="6" s="1"/>
  <c r="W1366" i="6" s="1"/>
  <c r="R1365" i="6"/>
  <c r="U1365" i="6" s="1"/>
  <c r="W1365" i="6" s="1"/>
  <c r="R1360" i="6"/>
  <c r="U1360" i="6" s="1"/>
  <c r="W1360" i="6" s="1"/>
  <c r="R1356" i="6"/>
  <c r="U1356" i="6" s="1"/>
  <c r="W1356" i="6" s="1"/>
  <c r="R1355" i="6"/>
  <c r="U1355" i="6" s="1"/>
  <c r="W1355" i="6" s="1"/>
  <c r="R1358" i="6"/>
  <c r="U1358" i="6" s="1"/>
  <c r="W1358" i="6" s="1"/>
  <c r="R1357" i="6"/>
  <c r="U1357" i="6" s="1"/>
  <c r="W1357" i="6" s="1"/>
  <c r="R1354" i="6"/>
  <c r="U1354" i="6" s="1"/>
  <c r="W1354" i="6" s="1"/>
  <c r="R1353" i="6"/>
  <c r="U1353" i="6" s="1"/>
  <c r="W1353" i="6" s="1"/>
  <c r="R1351" i="6"/>
  <c r="U1351" i="6" s="1"/>
  <c r="W1351" i="6" s="1"/>
  <c r="R1350" i="6"/>
  <c r="U1350" i="6" s="1"/>
  <c r="W1350" i="6" s="1"/>
  <c r="R1349" i="6"/>
  <c r="U1349" i="6" s="1"/>
  <c r="W1349" i="6" s="1"/>
  <c r="R1348" i="6"/>
  <c r="U1348" i="6" s="1"/>
  <c r="W1348" i="6" s="1"/>
  <c r="R1346" i="6"/>
  <c r="U1346" i="6" s="1"/>
  <c r="W1346" i="6" s="1"/>
  <c r="R1359" i="6"/>
  <c r="U1359" i="6" s="1"/>
  <c r="W1359" i="6" s="1"/>
  <c r="R1145" i="6"/>
  <c r="R1362" i="6"/>
  <c r="U1362" i="6" s="1"/>
  <c r="W1362" i="6" s="1"/>
  <c r="R1369" i="6"/>
  <c r="U1369" i="6" s="1"/>
  <c r="W1369" i="6" s="1"/>
  <c r="R1364" i="6"/>
  <c r="U1364" i="6" s="1"/>
  <c r="W1364" i="6" s="1"/>
  <c r="R1361" i="6"/>
  <c r="U1361" i="6" s="1"/>
  <c r="W1361" i="6" s="1"/>
  <c r="R1352" i="6"/>
  <c r="U1352" i="6" s="1"/>
  <c r="W1352" i="6" s="1"/>
  <c r="R1347" i="6"/>
  <c r="U1347" i="6" s="1"/>
  <c r="W1347" i="6" s="1"/>
  <c r="R1345" i="6"/>
  <c r="U1345" i="6" s="1"/>
  <c r="W1345" i="6" s="1"/>
  <c r="R1344" i="6"/>
  <c r="U1344" i="6" s="1"/>
  <c r="W1344" i="6" s="1"/>
  <c r="R1313" i="6"/>
  <c r="R1227" i="6"/>
  <c r="U1227" i="6" s="1"/>
  <c r="W1227" i="6" s="1"/>
  <c r="R1238" i="6"/>
  <c r="U1238" i="6" s="1"/>
  <c r="W1238" i="6" s="1"/>
  <c r="R1237" i="6"/>
  <c r="U1237" i="6" s="1"/>
  <c r="W1237" i="6" s="1"/>
  <c r="R1236" i="6"/>
  <c r="U1236" i="6" s="1"/>
  <c r="W1236" i="6" s="1"/>
  <c r="R1235" i="6"/>
  <c r="U1235" i="6" s="1"/>
  <c r="W1235" i="6" s="1"/>
  <c r="R1234" i="6"/>
  <c r="U1234" i="6" s="1"/>
  <c r="W1234" i="6" s="1"/>
  <c r="R1233" i="6"/>
  <c r="U1233" i="6" s="1"/>
  <c r="W1233" i="6" s="1"/>
  <c r="R1232" i="6"/>
  <c r="U1232" i="6" s="1"/>
  <c r="W1232" i="6" s="1"/>
  <c r="R1231" i="6"/>
  <c r="U1231" i="6" s="1"/>
  <c r="W1231" i="6" s="1"/>
  <c r="R1230" i="6"/>
  <c r="U1230" i="6" s="1"/>
  <c r="W1230" i="6" s="1"/>
  <c r="R1229" i="6"/>
  <c r="U1229" i="6" s="1"/>
  <c r="W1229" i="6" s="1"/>
  <c r="R1228" i="6"/>
  <c r="U1228" i="6" s="1"/>
  <c r="W1228" i="6" s="1"/>
  <c r="R1226" i="6"/>
  <c r="U1226" i="6" s="1"/>
  <c r="W1226" i="6" s="1"/>
  <c r="R1224" i="6"/>
  <c r="U1224" i="6" s="1"/>
  <c r="W1224" i="6" s="1"/>
  <c r="R1223" i="6"/>
  <c r="U1223" i="6" s="1"/>
  <c r="W1223" i="6" s="1"/>
  <c r="R1220" i="6"/>
  <c r="U1220" i="6" s="1"/>
  <c r="W1220" i="6" s="1"/>
  <c r="R1215" i="6"/>
  <c r="U1215" i="6" s="1"/>
  <c r="W1215" i="6" s="1"/>
  <c r="R1214" i="6"/>
  <c r="U1214" i="6" s="1"/>
  <c r="W1214" i="6" s="1"/>
  <c r="R1225" i="6"/>
  <c r="U1225" i="6" s="1"/>
  <c r="W1225" i="6" s="1"/>
  <c r="R1222" i="6"/>
  <c r="U1222" i="6" s="1"/>
  <c r="W1222" i="6" s="1"/>
  <c r="R1221" i="6"/>
  <c r="U1221" i="6" s="1"/>
  <c r="W1221" i="6" s="1"/>
  <c r="R1219" i="6"/>
  <c r="U1219" i="6" s="1"/>
  <c r="W1219" i="6" s="1"/>
  <c r="R1218" i="6"/>
  <c r="U1218" i="6" s="1"/>
  <c r="W1218" i="6" s="1"/>
  <c r="R1217" i="6"/>
  <c r="U1217" i="6" s="1"/>
  <c r="W1217" i="6" s="1"/>
  <c r="R1216" i="6"/>
  <c r="U1216" i="6" s="1"/>
  <c r="W1216" i="6" s="1"/>
  <c r="R405" i="6"/>
  <c r="U405" i="6" s="1"/>
  <c r="W405" i="6" s="1"/>
  <c r="AA405" i="6" s="1"/>
  <c r="R29" i="6"/>
  <c r="R164" i="6"/>
  <c r="R237" i="6"/>
  <c r="R1174" i="6"/>
  <c r="R489" i="6"/>
  <c r="U489" i="6" s="1"/>
  <c r="W489" i="6" s="1"/>
  <c r="Y489" i="6" s="1"/>
  <c r="R492" i="6"/>
  <c r="U492" i="6" s="1"/>
  <c r="W492" i="6" s="1"/>
  <c r="Y492" i="6" s="1"/>
  <c r="R473" i="6"/>
  <c r="U473" i="6" s="1"/>
  <c r="W473" i="6" s="1"/>
  <c r="AA473" i="6" s="1"/>
  <c r="R766" i="6"/>
  <c r="U766" i="6" s="1"/>
  <c r="W766" i="6" s="1"/>
  <c r="Y766" i="6" s="1"/>
  <c r="R252" i="6"/>
  <c r="R515" i="6"/>
  <c r="R28" i="6"/>
  <c r="R1248" i="6"/>
  <c r="U1248" i="6" s="1"/>
  <c r="W1248" i="6" s="1"/>
  <c r="Y1248" i="6" s="1"/>
  <c r="R203" i="6"/>
  <c r="U203" i="6" s="1"/>
  <c r="W203" i="6" s="1"/>
  <c r="AA203" i="6" s="1"/>
  <c r="R558" i="6"/>
  <c r="U558" i="6" s="1"/>
  <c r="W558" i="6" s="1"/>
  <c r="Y558" i="6" s="1"/>
  <c r="R561" i="6"/>
  <c r="U561" i="6" s="1"/>
  <c r="W561" i="6" s="1"/>
  <c r="AA561" i="6" s="1"/>
  <c r="R433" i="6"/>
  <c r="U433" i="6" s="1"/>
  <c r="W433" i="6" s="1"/>
  <c r="AA433" i="6" s="1"/>
  <c r="R761" i="6"/>
  <c r="R123" i="6"/>
  <c r="R539" i="6"/>
  <c r="R1196" i="6"/>
  <c r="U1196" i="6" s="1"/>
  <c r="W1196" i="6" s="1"/>
  <c r="AA1196" i="6" s="1"/>
  <c r="R514" i="6"/>
  <c r="U514" i="6" s="1"/>
  <c r="W514" i="6" s="1"/>
  <c r="Y514" i="6" s="1"/>
  <c r="R118" i="6"/>
  <c r="U118" i="6" s="1"/>
  <c r="W118" i="6" s="1"/>
  <c r="AA118" i="6" s="1"/>
  <c r="R171" i="6"/>
  <c r="U171" i="6" s="1"/>
  <c r="W171" i="6" s="1"/>
  <c r="Y171" i="6" s="1"/>
  <c r="R1202" i="6"/>
  <c r="R481" i="6"/>
  <c r="R15" i="6"/>
  <c r="R130" i="6"/>
  <c r="R1033" i="6"/>
  <c r="U1033" i="6" s="1"/>
  <c r="W1033" i="6" s="1"/>
  <c r="Y1033" i="6" s="1"/>
  <c r="R241" i="6"/>
  <c r="U241" i="6" s="1"/>
  <c r="W241" i="6" s="1"/>
  <c r="Y241" i="6" s="1"/>
  <c r="R308" i="6"/>
  <c r="U308" i="6" s="1"/>
  <c r="W308" i="6" s="1"/>
  <c r="AA308" i="6" s="1"/>
  <c r="R456" i="6"/>
  <c r="U456" i="6" s="1"/>
  <c r="W456" i="6" s="1"/>
  <c r="Y456" i="6" s="1"/>
  <c r="R1195" i="6"/>
  <c r="R503" i="6"/>
  <c r="R274" i="6"/>
  <c r="R416" i="6"/>
  <c r="R419" i="6"/>
  <c r="U419" i="6" s="1"/>
  <c r="W419" i="6" s="1"/>
  <c r="AA419" i="6" s="1"/>
  <c r="R1168" i="6"/>
  <c r="U1168" i="6" s="1"/>
  <c r="W1168" i="6" s="1"/>
  <c r="Y1168" i="6" s="1"/>
  <c r="R811" i="6"/>
  <c r="U811" i="6" s="1"/>
  <c r="W811" i="6" s="1"/>
  <c r="AA811" i="6" s="1"/>
  <c r="R1022" i="6"/>
  <c r="U1022" i="6" s="1"/>
  <c r="W1022" i="6" s="1"/>
  <c r="AA1022" i="6" s="1"/>
  <c r="R1199" i="6"/>
  <c r="U1199" i="6" s="1"/>
  <c r="W1199" i="6" s="1"/>
  <c r="Y1199" i="6" s="1"/>
  <c r="R178" i="6"/>
  <c r="R351" i="6"/>
  <c r="R455" i="6"/>
  <c r="U455" i="6" s="1"/>
  <c r="W455" i="6" s="1"/>
  <c r="Y455" i="6" s="1"/>
  <c r="R430" i="6"/>
  <c r="U430" i="6" s="1"/>
  <c r="W430" i="6" s="1"/>
  <c r="AA430" i="6" s="1"/>
  <c r="R242" i="6"/>
  <c r="R464" i="6"/>
  <c r="U464" i="6" s="1"/>
  <c r="W464" i="6" s="1"/>
  <c r="AA464" i="6" s="1"/>
  <c r="R468" i="6"/>
  <c r="U468" i="6" s="1"/>
  <c r="W468" i="6" s="1"/>
  <c r="Y468" i="6" s="1"/>
  <c r="R885" i="6"/>
  <c r="U885" i="6" s="1"/>
  <c r="W885" i="6" s="1"/>
  <c r="AA885" i="6" s="1"/>
  <c r="R619" i="6"/>
  <c r="R1241" i="6"/>
  <c r="R277" i="6"/>
  <c r="R200" i="6"/>
  <c r="U200" i="6" s="1"/>
  <c r="W200" i="6" s="1"/>
  <c r="AA200" i="6" s="1"/>
  <c r="R346" i="6"/>
  <c r="U346" i="6" s="1"/>
  <c r="W346" i="6" s="1"/>
  <c r="AA346" i="6" s="1"/>
  <c r="R440" i="6"/>
  <c r="U440" i="6" s="1"/>
  <c r="W440" i="6" s="1"/>
  <c r="AA440" i="6" s="1"/>
  <c r="R149" i="6"/>
  <c r="U149" i="6" s="1"/>
  <c r="W149" i="6" s="1"/>
  <c r="Y149" i="6" s="1"/>
  <c r="R383" i="6"/>
  <c r="U383" i="6" s="1"/>
  <c r="W383" i="6" s="1"/>
  <c r="Y383" i="6" s="1"/>
  <c r="R387" i="6"/>
  <c r="R964" i="6"/>
  <c r="R213" i="6"/>
  <c r="U213" i="6" s="1"/>
  <c r="W213" i="6" s="1"/>
  <c r="AA213" i="6" s="1"/>
  <c r="R235" i="6"/>
  <c r="U235" i="6" s="1"/>
  <c r="W235" i="6" s="1"/>
  <c r="AA235" i="6" s="1"/>
  <c r="R1007" i="6"/>
  <c r="U1007" i="6" s="1"/>
  <c r="W1007" i="6" s="1"/>
  <c r="Y1007" i="6" s="1"/>
  <c r="R186" i="6"/>
  <c r="U186" i="6" s="1"/>
  <c r="W186" i="6" s="1"/>
  <c r="AA186" i="6" s="1"/>
  <c r="R389" i="6"/>
  <c r="U389" i="6" s="1"/>
  <c r="W389" i="6" s="1"/>
  <c r="Y389" i="6" s="1"/>
  <c r="R142" i="6"/>
  <c r="U142" i="6" s="1"/>
  <c r="W142" i="6" s="1"/>
  <c r="Y142" i="6" s="1"/>
  <c r="R360" i="6"/>
  <c r="R364" i="6"/>
  <c r="R749" i="6"/>
  <c r="R710" i="6"/>
  <c r="U710" i="6" s="1"/>
  <c r="W710" i="6" s="1"/>
  <c r="Y710" i="6" s="1"/>
  <c r="R687" i="6"/>
  <c r="U687" i="6" s="1"/>
  <c r="W687" i="6" s="1"/>
  <c r="AA687" i="6" s="1"/>
  <c r="R657" i="6"/>
  <c r="U657" i="6" s="1"/>
  <c r="W657" i="6" s="1"/>
  <c r="AA657" i="6" s="1"/>
  <c r="R651" i="6"/>
  <c r="U651" i="6" s="1"/>
  <c r="W651" i="6" s="1"/>
  <c r="Y651" i="6" s="1"/>
  <c r="R621" i="6"/>
  <c r="R637" i="6"/>
  <c r="U637" i="6" s="1"/>
  <c r="W637" i="6" s="1"/>
  <c r="AA637" i="6" s="1"/>
  <c r="R1079" i="6"/>
  <c r="U1079" i="6" s="1"/>
  <c r="W1079" i="6" s="1"/>
  <c r="Y1079" i="6" s="1"/>
  <c r="R1030" i="6"/>
  <c r="U1030" i="6" s="1"/>
  <c r="W1030" i="6" s="1"/>
  <c r="AA1030" i="6" s="1"/>
  <c r="R1046" i="6"/>
  <c r="U1046" i="6" s="1"/>
  <c r="W1046" i="6" s="1"/>
  <c r="AA1046" i="6" s="1"/>
  <c r="R574" i="6"/>
  <c r="U574" i="6" s="1"/>
  <c r="W574" i="6" s="1"/>
  <c r="Y574" i="6" s="1"/>
  <c r="R1021" i="6"/>
  <c r="U1021" i="6" s="1"/>
  <c r="W1021" i="6" s="1"/>
  <c r="Y1021" i="6" s="1"/>
  <c r="R586" i="6"/>
  <c r="U586" i="6" s="1"/>
  <c r="W586" i="6" s="1"/>
  <c r="AA586" i="6" s="1"/>
  <c r="R742" i="6"/>
  <c r="U742" i="6" s="1"/>
  <c r="W742" i="6" s="1"/>
  <c r="Y742" i="6" s="1"/>
  <c r="R609" i="6"/>
  <c r="R1012" i="6"/>
  <c r="U1012" i="6" s="1"/>
  <c r="W1012" i="6" s="1"/>
  <c r="Y1012" i="6" s="1"/>
  <c r="R585" i="6"/>
  <c r="R567" i="6"/>
  <c r="U567" i="6" s="1"/>
  <c r="W567" i="6" s="1"/>
  <c r="Y567" i="6" s="1"/>
  <c r="R770" i="6"/>
  <c r="U770" i="6" s="1"/>
  <c r="W770" i="6" s="1"/>
  <c r="AA770" i="6" s="1"/>
  <c r="R682" i="6"/>
  <c r="U682" i="6" s="1"/>
  <c r="W682" i="6" s="1"/>
  <c r="Y682" i="6" s="1"/>
  <c r="R634" i="6"/>
  <c r="U634" i="6" s="1"/>
  <c r="W634" i="6" s="1"/>
  <c r="AA634" i="6" s="1"/>
  <c r="R1049" i="6"/>
  <c r="U1049" i="6" s="1"/>
  <c r="W1049" i="6" s="1"/>
  <c r="Y1049" i="6" s="1"/>
  <c r="R779" i="6"/>
  <c r="R763" i="6"/>
  <c r="U763" i="6" s="1"/>
  <c r="W763" i="6" s="1"/>
  <c r="AA763" i="6" s="1"/>
  <c r="R701" i="6"/>
  <c r="R614" i="6"/>
  <c r="U614" i="6" s="1"/>
  <c r="W614" i="6" s="1"/>
  <c r="AA614" i="6" s="1"/>
  <c r="R566" i="6"/>
  <c r="R648" i="6"/>
  <c r="U648" i="6" s="1"/>
  <c r="W648" i="6" s="1"/>
  <c r="Y648" i="6" s="1"/>
  <c r="R780" i="6"/>
  <c r="U780" i="6" s="1"/>
  <c r="W780" i="6" s="1"/>
  <c r="Y780" i="6" s="1"/>
  <c r="R698" i="6"/>
  <c r="U698" i="6" s="1"/>
  <c r="W698" i="6" s="1"/>
  <c r="Y698" i="6" s="1"/>
  <c r="R692" i="6"/>
  <c r="U692" i="6" s="1"/>
  <c r="W692" i="6" s="1"/>
  <c r="Y692" i="6" s="1"/>
  <c r="R1031" i="6"/>
  <c r="U1031" i="6" s="1"/>
  <c r="W1031" i="6" s="1"/>
  <c r="Y1031" i="6" s="1"/>
  <c r="R1068" i="6"/>
  <c r="R713" i="6"/>
  <c r="U713" i="6" s="1"/>
  <c r="W713" i="6" s="1"/>
  <c r="Y713" i="6" s="1"/>
  <c r="R630" i="6"/>
  <c r="U630" i="6" s="1"/>
  <c r="W630" i="6" s="1"/>
  <c r="Y630" i="6" s="1"/>
  <c r="R656" i="6"/>
  <c r="U656" i="6" s="1"/>
  <c r="W656" i="6" s="1"/>
  <c r="Y656" i="6" s="1"/>
  <c r="R1063" i="6"/>
  <c r="U1063" i="6" s="1"/>
  <c r="W1063" i="6" s="1"/>
  <c r="Y1063" i="6" s="1"/>
  <c r="R724" i="6"/>
  <c r="U724" i="6" s="1"/>
  <c r="W724" i="6" s="1"/>
  <c r="AA724" i="6" s="1"/>
  <c r="R1072" i="6"/>
  <c r="R1014" i="6"/>
  <c r="U1014" i="6" s="1"/>
  <c r="W1014" i="6" s="1"/>
  <c r="Y1014" i="6" s="1"/>
  <c r="R1128" i="6"/>
  <c r="U1128" i="6" s="1"/>
  <c r="W1128" i="6" s="1"/>
  <c r="Y1128" i="6" s="1"/>
  <c r="R1108" i="6"/>
  <c r="U1108" i="6" s="1"/>
  <c r="W1108" i="6" s="1"/>
  <c r="Y1108" i="6" s="1"/>
  <c r="R1099" i="6"/>
  <c r="U1099" i="6" s="1"/>
  <c r="W1099" i="6" s="1"/>
  <c r="Y1099" i="6" s="1"/>
  <c r="R1335" i="6"/>
  <c r="R1266" i="6"/>
  <c r="R1264" i="6"/>
  <c r="U1264" i="6" s="1"/>
  <c r="W1264" i="6" s="1"/>
  <c r="Y1264" i="6" s="1"/>
  <c r="R1274" i="6"/>
  <c r="R1282" i="6"/>
  <c r="U1282" i="6" s="1"/>
  <c r="W1282" i="6" s="1"/>
  <c r="AA1282" i="6" s="1"/>
  <c r="R1290" i="6"/>
  <c r="U1290" i="6" s="1"/>
  <c r="W1290" i="6" s="1"/>
  <c r="Y1290" i="6" s="1"/>
  <c r="R1298" i="6"/>
  <c r="U1298" i="6" s="1"/>
  <c r="W1298" i="6" s="1"/>
  <c r="Y1298" i="6" s="1"/>
  <c r="R1306" i="6"/>
  <c r="U1306" i="6" s="1"/>
  <c r="W1306" i="6" s="1"/>
  <c r="Y1306" i="6" s="1"/>
  <c r="R1314" i="6"/>
  <c r="R1322" i="6"/>
  <c r="U1322" i="6" s="1"/>
  <c r="W1322" i="6" s="1"/>
  <c r="R1006" i="6"/>
  <c r="U1006" i="6" s="1"/>
  <c r="W1006" i="6" s="1"/>
  <c r="R984" i="6"/>
  <c r="R992" i="6"/>
  <c r="U992" i="6" s="1"/>
  <c r="W992" i="6" s="1"/>
  <c r="AA992" i="6" s="1"/>
  <c r="R1000" i="6"/>
  <c r="R949" i="6"/>
  <c r="U949" i="6" s="1"/>
  <c r="W949" i="6" s="1"/>
  <c r="AA949" i="6" s="1"/>
  <c r="R957" i="6"/>
  <c r="U957" i="6" s="1"/>
  <c r="W957" i="6" s="1"/>
  <c r="AA957" i="6" s="1"/>
  <c r="R965" i="6"/>
  <c r="R973" i="6"/>
  <c r="U973" i="6" s="1"/>
  <c r="W973" i="6" s="1"/>
  <c r="Y973" i="6" s="1"/>
  <c r="R942" i="6"/>
  <c r="U942" i="6" s="1"/>
  <c r="W942" i="6" s="1"/>
  <c r="Y942" i="6" s="1"/>
  <c r="R857" i="6"/>
  <c r="R865" i="6"/>
  <c r="U865" i="6" s="1"/>
  <c r="W865" i="6" s="1"/>
  <c r="AA865" i="6" s="1"/>
  <c r="R875" i="6"/>
  <c r="U875" i="6" s="1"/>
  <c r="W875" i="6" s="1"/>
  <c r="Y875" i="6" s="1"/>
  <c r="R884" i="6"/>
  <c r="U884" i="6" s="1"/>
  <c r="W884" i="6" s="1"/>
  <c r="AA884" i="6" s="1"/>
  <c r="R887" i="6"/>
  <c r="U887" i="6" s="1"/>
  <c r="W887" i="6" s="1"/>
  <c r="Y887" i="6" s="1"/>
  <c r="R896" i="6"/>
  <c r="R804" i="6"/>
  <c r="U804" i="6" s="1"/>
  <c r="W804" i="6" s="1"/>
  <c r="AA804" i="6" s="1"/>
  <c r="R812" i="6"/>
  <c r="U812" i="6" s="1"/>
  <c r="W812" i="6" s="1"/>
  <c r="Y812" i="6" s="1"/>
  <c r="R794" i="6"/>
  <c r="R135" i="6"/>
  <c r="U135" i="6" s="1"/>
  <c r="W135" i="6" s="1"/>
  <c r="Y135" i="6" s="1"/>
  <c r="R128" i="6"/>
  <c r="R1260" i="6"/>
  <c r="U1260" i="6" s="1"/>
  <c r="W1260" i="6" s="1"/>
  <c r="R1164" i="6"/>
  <c r="U1164" i="6" s="1"/>
  <c r="W1164" i="6" s="1"/>
  <c r="Y1164" i="6" s="1"/>
  <c r="R1165" i="6"/>
  <c r="R11" i="6"/>
  <c r="U11" i="6" s="1"/>
  <c r="W11" i="6" s="1"/>
  <c r="AA11" i="6" s="1"/>
  <c r="R378" i="6"/>
  <c r="U378" i="6" s="1"/>
  <c r="W378" i="6" s="1"/>
  <c r="AA378" i="6" s="1"/>
  <c r="R390" i="6"/>
  <c r="U390" i="6" s="1"/>
  <c r="W390" i="6" s="1"/>
  <c r="AA390" i="6" s="1"/>
  <c r="R751" i="6"/>
  <c r="R712" i="6"/>
  <c r="U712" i="6" s="1"/>
  <c r="W712" i="6" s="1"/>
  <c r="Y712" i="6" s="1"/>
  <c r="R689" i="6"/>
  <c r="U689" i="6" s="1"/>
  <c r="W689" i="6" s="1"/>
  <c r="AA689" i="6" s="1"/>
  <c r="R659" i="6"/>
  <c r="U659" i="6" s="1"/>
  <c r="W659" i="6" s="1"/>
  <c r="AA659" i="6" s="1"/>
  <c r="R665" i="6"/>
  <c r="R623" i="6"/>
  <c r="R639" i="6"/>
  <c r="U639" i="6" s="1"/>
  <c r="W639" i="6" s="1"/>
  <c r="Y639" i="6" s="1"/>
  <c r="R1081" i="6"/>
  <c r="U1081" i="6" s="1"/>
  <c r="W1081" i="6" s="1"/>
  <c r="AA1081" i="6" s="1"/>
  <c r="R1032" i="6"/>
  <c r="U1032" i="6" s="1"/>
  <c r="W1032" i="6" s="1"/>
  <c r="Y1032" i="6" s="1"/>
  <c r="R1048" i="6"/>
  <c r="R576" i="6"/>
  <c r="U576" i="6" s="1"/>
  <c r="W576" i="6" s="1"/>
  <c r="Y576" i="6" s="1"/>
  <c r="R596" i="6"/>
  <c r="U596" i="6" s="1"/>
  <c r="W596" i="6" s="1"/>
  <c r="Y596" i="6" s="1"/>
  <c r="R588" i="6"/>
  <c r="R758" i="6"/>
  <c r="U758" i="6" s="1"/>
  <c r="W758" i="6" s="1"/>
  <c r="Y758" i="6" s="1"/>
  <c r="R620" i="6"/>
  <c r="U620" i="6" s="1"/>
  <c r="W620" i="6" s="1"/>
  <c r="Y620" i="6" s="1"/>
  <c r="R595" i="6"/>
  <c r="U595" i="6" s="1"/>
  <c r="W595" i="6" s="1"/>
  <c r="Y595" i="6" s="1"/>
  <c r="R1043" i="6"/>
  <c r="U1043" i="6" s="1"/>
  <c r="W1043" i="6" s="1"/>
  <c r="AA1043" i="6" s="1"/>
  <c r="R581" i="6"/>
  <c r="U581" i="6" s="1"/>
  <c r="W581" i="6" s="1"/>
  <c r="AA581" i="6" s="1"/>
  <c r="R764" i="6"/>
  <c r="U764" i="6" s="1"/>
  <c r="W764" i="6" s="1"/>
  <c r="AA764" i="6" s="1"/>
  <c r="R740" i="6"/>
  <c r="U740" i="6" s="1"/>
  <c r="W740" i="6" s="1"/>
  <c r="Y740" i="6" s="1"/>
  <c r="R575" i="6"/>
  <c r="R1015" i="6"/>
  <c r="U1015" i="6" s="1"/>
  <c r="W1015" i="6" s="1"/>
  <c r="Y1015" i="6" s="1"/>
  <c r="R781" i="6"/>
  <c r="U781" i="6" s="1"/>
  <c r="W781" i="6" s="1"/>
  <c r="Y781" i="6" s="1"/>
  <c r="R725" i="6"/>
  <c r="R705" i="6"/>
  <c r="R587" i="6"/>
  <c r="U587" i="6" s="1"/>
  <c r="W587" i="6" s="1"/>
  <c r="AA587" i="6" s="1"/>
  <c r="R1027" i="6"/>
  <c r="U1027" i="6" s="1"/>
  <c r="W1027" i="6" s="1"/>
  <c r="AA1027" i="6" s="1"/>
  <c r="R624" i="6"/>
  <c r="U624" i="6" s="1"/>
  <c r="W624" i="6" s="1"/>
  <c r="AA624" i="6" s="1"/>
  <c r="R784" i="6"/>
  <c r="R704" i="6"/>
  <c r="U704" i="6" s="1"/>
  <c r="W704" i="6" s="1"/>
  <c r="AA704" i="6" s="1"/>
  <c r="R662" i="6"/>
  <c r="U662" i="6" s="1"/>
  <c r="W662" i="6" s="1"/>
  <c r="AA662" i="6" s="1"/>
  <c r="R1047" i="6"/>
  <c r="R1020" i="6"/>
  <c r="U1020" i="6" s="1"/>
  <c r="W1020" i="6" s="1"/>
  <c r="Y1020" i="6" s="1"/>
  <c r="R947" i="6"/>
  <c r="U947" i="6" s="1"/>
  <c r="W947" i="6" s="1"/>
  <c r="Y947" i="6" s="1"/>
  <c r="R571" i="6"/>
  <c r="U571" i="6" s="1"/>
  <c r="W571" i="6" s="1"/>
  <c r="AA571" i="6" s="1"/>
  <c r="R610" i="6"/>
  <c r="U610" i="6" s="1"/>
  <c r="W610" i="6" s="1"/>
  <c r="Y610" i="6" s="1"/>
  <c r="R1069" i="6"/>
  <c r="R720" i="6"/>
  <c r="R622" i="6"/>
  <c r="U622" i="6" s="1"/>
  <c r="W622" i="6" s="1"/>
  <c r="AA622" i="6" s="1"/>
  <c r="R1135" i="6"/>
  <c r="R1129" i="6"/>
  <c r="U1129" i="6" s="1"/>
  <c r="W1129" i="6" s="1"/>
  <c r="Y1129" i="6" s="1"/>
  <c r="R1117" i="6"/>
  <c r="U1117" i="6" s="1"/>
  <c r="W1117" i="6" s="1"/>
  <c r="Y1117" i="6" s="1"/>
  <c r="R1109" i="6"/>
  <c r="U1109" i="6" s="1"/>
  <c r="W1109" i="6" s="1"/>
  <c r="Y1109" i="6" s="1"/>
  <c r="R1100" i="6"/>
  <c r="U1100" i="6" s="1"/>
  <c r="W1100" i="6" s="1"/>
  <c r="AA1100" i="6" s="1"/>
  <c r="R1124" i="6"/>
  <c r="R1336" i="6"/>
  <c r="R1267" i="6"/>
  <c r="U1267" i="6" s="1"/>
  <c r="W1267" i="6" s="1"/>
  <c r="Y1267" i="6" s="1"/>
  <c r="R1265" i="6"/>
  <c r="U1265" i="6" s="1"/>
  <c r="W1265" i="6" s="1"/>
  <c r="Y1265" i="6" s="1"/>
  <c r="R1275" i="6"/>
  <c r="U1275" i="6" s="1"/>
  <c r="W1275" i="6" s="1"/>
  <c r="Y1275" i="6" s="1"/>
  <c r="R1283" i="6"/>
  <c r="U1283" i="6" s="1"/>
  <c r="W1283" i="6" s="1"/>
  <c r="Y1283" i="6" s="1"/>
  <c r="R1291" i="6"/>
  <c r="U1291" i="6" s="1"/>
  <c r="W1291" i="6" s="1"/>
  <c r="AA1291" i="6" s="1"/>
  <c r="R1299" i="6"/>
  <c r="U1299" i="6" s="1"/>
  <c r="W1299" i="6" s="1"/>
  <c r="AA1299" i="6" s="1"/>
  <c r="R1307" i="6"/>
  <c r="R1315" i="6"/>
  <c r="R1323" i="6"/>
  <c r="U1323" i="6" s="1"/>
  <c r="W1323" i="6" s="1"/>
  <c r="Y1323" i="6" s="1"/>
  <c r="R1004" i="6"/>
  <c r="U1004" i="6" s="1"/>
  <c r="W1004" i="6" s="1"/>
  <c r="Y1004" i="6" s="1"/>
  <c r="R985" i="6"/>
  <c r="U985" i="6" s="1"/>
  <c r="W985" i="6" s="1"/>
  <c r="Y985" i="6" s="1"/>
  <c r="R993" i="6"/>
  <c r="U993" i="6" s="1"/>
  <c r="W993" i="6" s="1"/>
  <c r="Y993" i="6" s="1"/>
  <c r="R1001" i="6"/>
  <c r="U1001" i="6" s="1"/>
  <c r="W1001" i="6" s="1"/>
  <c r="R950" i="6"/>
  <c r="U950" i="6" s="1"/>
  <c r="W950" i="6" s="1"/>
  <c r="AA950" i="6" s="1"/>
  <c r="R958" i="6"/>
  <c r="R966" i="6"/>
  <c r="U966" i="6" s="1"/>
  <c r="W966" i="6" s="1"/>
  <c r="Y966" i="6" s="1"/>
  <c r="R974" i="6"/>
  <c r="R941" i="6"/>
  <c r="R858" i="6"/>
  <c r="U858" i="6" s="1"/>
  <c r="W858" i="6" s="1"/>
  <c r="Y858" i="6" s="1"/>
  <c r="R866" i="6"/>
  <c r="U866" i="6" s="1"/>
  <c r="W866" i="6" s="1"/>
  <c r="Y866" i="6" s="1"/>
  <c r="R877" i="6"/>
  <c r="U877" i="6" s="1"/>
  <c r="W877" i="6" s="1"/>
  <c r="AA877" i="6" s="1"/>
  <c r="R852" i="6"/>
  <c r="U852" i="6" s="1"/>
  <c r="W852" i="6" s="1"/>
  <c r="Y852" i="6" s="1"/>
  <c r="R851" i="6"/>
  <c r="R897" i="6"/>
  <c r="R805" i="6"/>
  <c r="U805" i="6" s="1"/>
  <c r="W805" i="6" s="1"/>
  <c r="Y805" i="6" s="1"/>
  <c r="R813" i="6"/>
  <c r="U813" i="6" s="1"/>
  <c r="W813" i="6" s="1"/>
  <c r="Y813" i="6" s="1"/>
  <c r="R796" i="6"/>
  <c r="U796" i="6" s="1"/>
  <c r="W796" i="6" s="1"/>
  <c r="AA796" i="6" s="1"/>
  <c r="R133" i="6"/>
  <c r="U133" i="6" s="1"/>
  <c r="W133" i="6" s="1"/>
  <c r="Y133" i="6" s="1"/>
  <c r="R1261" i="6"/>
  <c r="U1261" i="6" s="1"/>
  <c r="W1261" i="6" s="1"/>
  <c r="R737" i="6"/>
  <c r="U737" i="6" s="1"/>
  <c r="W737" i="6" s="1"/>
  <c r="AA737" i="6" s="1"/>
  <c r="R753" i="6"/>
  <c r="R706" i="6"/>
  <c r="U706" i="6" s="1"/>
  <c r="W706" i="6" s="1"/>
  <c r="Y706" i="6" s="1"/>
  <c r="R691" i="6"/>
  <c r="U691" i="6" s="1"/>
  <c r="W691" i="6" s="1"/>
  <c r="Y691" i="6" s="1"/>
  <c r="R661" i="6"/>
  <c r="R641" i="6"/>
  <c r="R625" i="6"/>
  <c r="U625" i="6" s="1"/>
  <c r="W625" i="6" s="1"/>
  <c r="AA625" i="6" s="1"/>
  <c r="R563" i="6"/>
  <c r="U563" i="6" s="1"/>
  <c r="W563" i="6" s="1"/>
  <c r="AA563" i="6" s="1"/>
  <c r="R1083" i="6"/>
  <c r="U1083" i="6" s="1"/>
  <c r="W1083" i="6" s="1"/>
  <c r="AA1083" i="6" s="1"/>
  <c r="R1034" i="6"/>
  <c r="R1050" i="6"/>
  <c r="U1050" i="6" s="1"/>
  <c r="W1050" i="6" s="1"/>
  <c r="Y1050" i="6" s="1"/>
  <c r="R578" i="6"/>
  <c r="U578" i="6" s="1"/>
  <c r="W578" i="6" s="1"/>
  <c r="AA578" i="6" s="1"/>
  <c r="R598" i="6"/>
  <c r="R590" i="6"/>
  <c r="U590" i="6" s="1"/>
  <c r="W590" i="6" s="1"/>
  <c r="Y590" i="6" s="1"/>
  <c r="R696" i="6"/>
  <c r="U696" i="6" s="1"/>
  <c r="W696" i="6" s="1"/>
  <c r="AA696" i="6" s="1"/>
  <c r="R636" i="6"/>
  <c r="U636" i="6" s="1"/>
  <c r="W636" i="6" s="1"/>
  <c r="AA636" i="6" s="1"/>
  <c r="R569" i="6"/>
  <c r="U569" i="6" s="1"/>
  <c r="W569" i="6" s="1"/>
  <c r="AA569" i="6" s="1"/>
  <c r="R709" i="6"/>
  <c r="R1023" i="6"/>
  <c r="U1023" i="6" s="1"/>
  <c r="W1023" i="6" s="1"/>
  <c r="Y1023" i="6" s="1"/>
  <c r="R726" i="6"/>
  <c r="U726" i="6" s="1"/>
  <c r="W726" i="6" s="1"/>
  <c r="Y726" i="6" s="1"/>
  <c r="R756" i="6"/>
  <c r="U756" i="6" s="1"/>
  <c r="W756" i="6" s="1"/>
  <c r="Y756" i="6" s="1"/>
  <c r="R1017" i="6"/>
  <c r="U1017" i="6" s="1"/>
  <c r="W1017" i="6" s="1"/>
  <c r="Y1017" i="6" s="1"/>
  <c r="R783" i="6"/>
  <c r="U783" i="6" s="1"/>
  <c r="W783" i="6" s="1"/>
  <c r="Y783" i="6" s="1"/>
  <c r="R727" i="6"/>
  <c r="U727" i="6" s="1"/>
  <c r="W727" i="6" s="1"/>
  <c r="AA727" i="6" s="1"/>
  <c r="R669" i="6"/>
  <c r="R1045" i="6"/>
  <c r="U1045" i="6" s="1"/>
  <c r="W1045" i="6" s="1"/>
  <c r="Y1045" i="6" s="1"/>
  <c r="R650" i="6"/>
  <c r="R1039" i="6"/>
  <c r="U1039" i="6" s="1"/>
  <c r="W1039" i="6" s="1"/>
  <c r="AA1039" i="6" s="1"/>
  <c r="R768" i="6"/>
  <c r="U768" i="6" s="1"/>
  <c r="W768" i="6" s="1"/>
  <c r="AA768" i="6" s="1"/>
  <c r="R668" i="6"/>
  <c r="U668" i="6" s="1"/>
  <c r="W668" i="6" s="1"/>
  <c r="AA668" i="6" s="1"/>
  <c r="R597" i="6"/>
  <c r="U597" i="6" s="1"/>
  <c r="W597" i="6" s="1"/>
  <c r="AA597" i="6" s="1"/>
  <c r="R1056" i="6"/>
  <c r="U1056" i="6" s="1"/>
  <c r="W1056" i="6" s="1"/>
  <c r="AA1056" i="6" s="1"/>
  <c r="R787" i="6"/>
  <c r="R703" i="6"/>
  <c r="U703" i="6" s="1"/>
  <c r="W703" i="6" s="1"/>
  <c r="Y703" i="6" s="1"/>
  <c r="R1078" i="6"/>
  <c r="U1078" i="6" s="1"/>
  <c r="W1078" i="6" s="1"/>
  <c r="Y1078" i="6" s="1"/>
  <c r="R626" i="6"/>
  <c r="U626" i="6" s="1"/>
  <c r="W626" i="6" s="1"/>
  <c r="AA626" i="6" s="1"/>
  <c r="R788" i="6"/>
  <c r="U788" i="6" s="1"/>
  <c r="W788" i="6" s="1"/>
  <c r="Y788" i="6" s="1"/>
  <c r="R733" i="6"/>
  <c r="U733" i="6" s="1"/>
  <c r="W733" i="6" s="1"/>
  <c r="AA733" i="6" s="1"/>
  <c r="R1053" i="6"/>
  <c r="U1053" i="6" s="1"/>
  <c r="W1053" i="6" s="1"/>
  <c r="AA1053" i="6" s="1"/>
  <c r="R1136" i="6"/>
  <c r="U1136" i="6" s="1"/>
  <c r="W1136" i="6" s="1"/>
  <c r="Y1136" i="6" s="1"/>
  <c r="R1130" i="6"/>
  <c r="R1114" i="6"/>
  <c r="R1110" i="6"/>
  <c r="U1110" i="6" s="1"/>
  <c r="W1110" i="6" s="1"/>
  <c r="Y1110" i="6" s="1"/>
  <c r="R1101" i="6"/>
  <c r="U1101" i="6" s="1"/>
  <c r="W1101" i="6" s="1"/>
  <c r="Y1101" i="6" s="1"/>
  <c r="R1125" i="6"/>
  <c r="U1125" i="6" s="1"/>
  <c r="W1125" i="6" s="1"/>
  <c r="AA1125" i="6" s="1"/>
  <c r="R1337" i="6"/>
  <c r="R1268" i="6"/>
  <c r="U1268" i="6" s="1"/>
  <c r="W1268" i="6" s="1"/>
  <c r="Y1268" i="6" s="1"/>
  <c r="R1327" i="6"/>
  <c r="U1327" i="6" s="1"/>
  <c r="W1327" i="6" s="1"/>
  <c r="Y1327" i="6" s="1"/>
  <c r="R1276" i="6"/>
  <c r="R1284" i="6"/>
  <c r="R1292" i="6"/>
  <c r="U1292" i="6" s="1"/>
  <c r="W1292" i="6" s="1"/>
  <c r="Y1292" i="6" s="1"/>
  <c r="R1300" i="6"/>
  <c r="U1300" i="6" s="1"/>
  <c r="W1300" i="6" s="1"/>
  <c r="Y1300" i="6" s="1"/>
  <c r="R1308" i="6"/>
  <c r="U1308" i="6" s="1"/>
  <c r="W1308" i="6" s="1"/>
  <c r="AA1308" i="6" s="1"/>
  <c r="R1316" i="6"/>
  <c r="U1316" i="6" s="1"/>
  <c r="W1316" i="6" s="1"/>
  <c r="AA1316" i="6" s="1"/>
  <c r="R1324" i="6"/>
  <c r="U1324" i="6" s="1"/>
  <c r="W1324" i="6" s="1"/>
  <c r="Y1324" i="6" s="1"/>
  <c r="R979" i="6"/>
  <c r="U979" i="6" s="1"/>
  <c r="W979" i="6" s="1"/>
  <c r="Y979" i="6" s="1"/>
  <c r="R986" i="6"/>
  <c r="R994" i="6"/>
  <c r="U994" i="6" s="1"/>
  <c r="W994" i="6" s="1"/>
  <c r="Y994" i="6" s="1"/>
  <c r="R1002" i="6"/>
  <c r="U1002" i="6" s="1"/>
  <c r="W1002" i="6" s="1"/>
  <c r="Y1002" i="6" s="1"/>
  <c r="R951" i="6"/>
  <c r="U951" i="6" s="1"/>
  <c r="W951" i="6" s="1"/>
  <c r="Y951" i="6" s="1"/>
  <c r="R959" i="6"/>
  <c r="U959" i="6" s="1"/>
  <c r="W959" i="6" s="1"/>
  <c r="AA959" i="6" s="1"/>
  <c r="R967" i="6"/>
  <c r="U967" i="6" s="1"/>
  <c r="W967" i="6" s="1"/>
  <c r="AA967" i="6" s="1"/>
  <c r="R939" i="6"/>
  <c r="U939" i="6" s="1"/>
  <c r="W939" i="6" s="1"/>
  <c r="Y939" i="6" s="1"/>
  <c r="R938" i="6"/>
  <c r="U938" i="6" s="1"/>
  <c r="W938" i="6" s="1"/>
  <c r="AA938" i="6" s="1"/>
  <c r="R859" i="6"/>
  <c r="R867" i="6"/>
  <c r="U867" i="6" s="1"/>
  <c r="W867" i="6" s="1"/>
  <c r="AA867" i="6" s="1"/>
  <c r="R878" i="6"/>
  <c r="U878" i="6" s="1"/>
  <c r="W878" i="6" s="1"/>
  <c r="AA878" i="6" s="1"/>
  <c r="R853" i="6"/>
  <c r="U853" i="6" s="1"/>
  <c r="W853" i="6" s="1"/>
  <c r="Y853" i="6" s="1"/>
  <c r="R888" i="6"/>
  <c r="U888" i="6" s="1"/>
  <c r="W888" i="6" s="1"/>
  <c r="AA888" i="6" s="1"/>
  <c r="R822" i="6"/>
  <c r="U822" i="6" s="1"/>
  <c r="W822" i="6" s="1"/>
  <c r="AA822" i="6" s="1"/>
  <c r="R806" i="6"/>
  <c r="U806" i="6" s="1"/>
  <c r="W806" i="6" s="1"/>
  <c r="Y806" i="6" s="1"/>
  <c r="R814" i="6"/>
  <c r="U814" i="6" s="1"/>
  <c r="W814" i="6" s="1"/>
  <c r="AA814" i="6" s="1"/>
  <c r="R795" i="6"/>
  <c r="R134" i="6"/>
  <c r="R1263" i="6"/>
  <c r="U1263" i="6" s="1"/>
  <c r="W1263" i="6" s="1"/>
  <c r="R1172" i="6"/>
  <c r="U1172" i="6" s="1"/>
  <c r="W1172" i="6" s="1"/>
  <c r="Y1172" i="6" s="1"/>
  <c r="R1173" i="6"/>
  <c r="U1173" i="6" s="1"/>
  <c r="W1173" i="6" s="1"/>
  <c r="AA1173" i="6" s="1"/>
  <c r="R354" i="6"/>
  <c r="U354" i="6" s="1"/>
  <c r="W354" i="6" s="1"/>
  <c r="AA354" i="6" s="1"/>
  <c r="R287" i="6"/>
  <c r="U287" i="6" s="1"/>
  <c r="W287" i="6" s="1"/>
  <c r="Y287" i="6" s="1"/>
  <c r="R437" i="6"/>
  <c r="U437" i="6" s="1"/>
  <c r="W437" i="6" s="1"/>
  <c r="AA437" i="6" s="1"/>
  <c r="R739" i="6"/>
  <c r="R755" i="6"/>
  <c r="U755" i="6" s="1"/>
  <c r="W755" i="6" s="1"/>
  <c r="Y755" i="6" s="1"/>
  <c r="R715" i="6"/>
  <c r="U715" i="6" s="1"/>
  <c r="W715" i="6" s="1"/>
  <c r="AA715" i="6" s="1"/>
  <c r="R693" i="6"/>
  <c r="U693" i="6" s="1"/>
  <c r="W693" i="6" s="1"/>
  <c r="AA693" i="6" s="1"/>
  <c r="R663" i="6"/>
  <c r="U663" i="6" s="1"/>
  <c r="W663" i="6" s="1"/>
  <c r="AA663" i="6" s="1"/>
  <c r="R611" i="6"/>
  <c r="U611" i="6" s="1"/>
  <c r="W611" i="6" s="1"/>
  <c r="AA611" i="6" s="1"/>
  <c r="R627" i="6"/>
  <c r="U627" i="6" s="1"/>
  <c r="W627" i="6" s="1"/>
  <c r="Y627" i="6" s="1"/>
  <c r="R565" i="6"/>
  <c r="U565" i="6" s="1"/>
  <c r="W565" i="6" s="1"/>
  <c r="R1071" i="6"/>
  <c r="R1036" i="6"/>
  <c r="R1052" i="6"/>
  <c r="U1052" i="6" s="1"/>
  <c r="W1052" i="6" s="1"/>
  <c r="Y1052" i="6" s="1"/>
  <c r="R1091" i="6"/>
  <c r="R600" i="6"/>
  <c r="U600" i="6" s="1"/>
  <c r="W600" i="6" s="1"/>
  <c r="AA600" i="6" s="1"/>
  <c r="R591" i="6"/>
  <c r="U591" i="6" s="1"/>
  <c r="W591" i="6" s="1"/>
  <c r="Y591" i="6" s="1"/>
  <c r="R644" i="6"/>
  <c r="U644" i="6" s="1"/>
  <c r="W644" i="6" s="1"/>
  <c r="Y644" i="6" s="1"/>
  <c r="R577" i="6"/>
  <c r="U577" i="6" s="1"/>
  <c r="W577" i="6" s="1"/>
  <c r="AA577" i="6" s="1"/>
  <c r="R1029" i="6"/>
  <c r="R686" i="6"/>
  <c r="U686" i="6" s="1"/>
  <c r="W686" i="6" s="1"/>
  <c r="Y686" i="6" s="1"/>
  <c r="R1057" i="6"/>
  <c r="U1057" i="6" s="1"/>
  <c r="W1057" i="6" s="1"/>
  <c r="Y1057" i="6" s="1"/>
  <c r="R730" i="6"/>
  <c r="U730" i="6" s="1"/>
  <c r="W730" i="6" s="1"/>
  <c r="AA730" i="6" s="1"/>
  <c r="R716" i="6"/>
  <c r="U716" i="6" s="1"/>
  <c r="W716" i="6" s="1"/>
  <c r="AA716" i="6" s="1"/>
  <c r="R1087" i="6"/>
  <c r="U1087" i="6" s="1"/>
  <c r="W1087" i="6" s="1"/>
  <c r="AA1087" i="6" s="1"/>
  <c r="R789" i="6"/>
  <c r="U789" i="6" s="1"/>
  <c r="W789" i="6" s="1"/>
  <c r="Y789" i="6" s="1"/>
  <c r="R785" i="6"/>
  <c r="U785" i="6" s="1"/>
  <c r="W785" i="6" s="1"/>
  <c r="Y785" i="6" s="1"/>
  <c r="R719" i="6"/>
  <c r="R673" i="6"/>
  <c r="U673" i="6" s="1"/>
  <c r="W673" i="6" s="1"/>
  <c r="R688" i="6"/>
  <c r="R1088" i="6"/>
  <c r="U1088" i="6" s="1"/>
  <c r="W1088" i="6" s="1"/>
  <c r="AA1088" i="6" s="1"/>
  <c r="R1055" i="6"/>
  <c r="U1055" i="6" s="1"/>
  <c r="W1055" i="6" s="1"/>
  <c r="Y1055" i="6" s="1"/>
  <c r="R722" i="6"/>
  <c r="U722" i="6" s="1"/>
  <c r="W722" i="6" s="1"/>
  <c r="AA722" i="6" s="1"/>
  <c r="R672" i="6"/>
  <c r="U672" i="6" s="1"/>
  <c r="W672" i="6" s="1"/>
  <c r="AA672" i="6" s="1"/>
  <c r="R616" i="6"/>
  <c r="U616" i="6" s="1"/>
  <c r="W616" i="6" s="1"/>
  <c r="Y616" i="6" s="1"/>
  <c r="R1058" i="6"/>
  <c r="R723" i="6"/>
  <c r="U723" i="6" s="1"/>
  <c r="W723" i="6" s="1"/>
  <c r="AA723" i="6" s="1"/>
  <c r="R667" i="6"/>
  <c r="U667" i="6" s="1"/>
  <c r="W667" i="6" s="1"/>
  <c r="Y667" i="6" s="1"/>
  <c r="R606" i="6"/>
  <c r="U606" i="6" s="1"/>
  <c r="W606" i="6" s="1"/>
  <c r="Y606" i="6" s="1"/>
  <c r="R583" i="6"/>
  <c r="R792" i="6"/>
  <c r="U792" i="6" s="1"/>
  <c r="W792" i="6" s="1"/>
  <c r="Y792" i="6" s="1"/>
  <c r="R744" i="6"/>
  <c r="U744" i="6" s="1"/>
  <c r="W744" i="6" s="1"/>
  <c r="AA744" i="6" s="1"/>
  <c r="R638" i="6"/>
  <c r="U638" i="6" s="1"/>
  <c r="W638" i="6" s="1"/>
  <c r="Y638" i="6" s="1"/>
  <c r="R1131" i="6"/>
  <c r="R1134" i="6"/>
  <c r="U1134" i="6" s="1"/>
  <c r="W1134" i="6" s="1"/>
  <c r="Y1134" i="6" s="1"/>
  <c r="R1115" i="6"/>
  <c r="R1111" i="6"/>
  <c r="U1111" i="6" s="1"/>
  <c r="W1111" i="6" s="1"/>
  <c r="AA1111" i="6" s="1"/>
  <c r="R1102" i="6"/>
  <c r="U1102" i="6" s="1"/>
  <c r="W1102" i="6" s="1"/>
  <c r="Y1102" i="6" s="1"/>
  <c r="R1332" i="6"/>
  <c r="U1332" i="6" s="1"/>
  <c r="W1332" i="6" s="1"/>
  <c r="Y1332" i="6" s="1"/>
  <c r="R1338" i="6"/>
  <c r="U1338" i="6" s="1"/>
  <c r="W1338" i="6" s="1"/>
  <c r="AA1338" i="6" s="1"/>
  <c r="R1269" i="6"/>
  <c r="U1269" i="6" s="1"/>
  <c r="W1269" i="6" s="1"/>
  <c r="AA1269" i="6" s="1"/>
  <c r="R1328" i="6"/>
  <c r="R1277" i="6"/>
  <c r="U1277" i="6" s="1"/>
  <c r="W1277" i="6" s="1"/>
  <c r="AA1277" i="6" s="1"/>
  <c r="R1285" i="6"/>
  <c r="U1285" i="6" s="1"/>
  <c r="W1285" i="6" s="1"/>
  <c r="Y1285" i="6" s="1"/>
  <c r="R1293" i="6"/>
  <c r="U1293" i="6" s="1"/>
  <c r="W1293" i="6" s="1"/>
  <c r="Y1293" i="6" s="1"/>
  <c r="R1301" i="6"/>
  <c r="U1301" i="6" s="1"/>
  <c r="W1301" i="6" s="1"/>
  <c r="AA1301" i="6" s="1"/>
  <c r="R1309" i="6"/>
  <c r="R1317" i="6"/>
  <c r="U1317" i="6" s="1"/>
  <c r="W1317" i="6" s="1"/>
  <c r="Y1317" i="6" s="1"/>
  <c r="R1325" i="6"/>
  <c r="U1325" i="6" s="1"/>
  <c r="W1325" i="6" s="1"/>
  <c r="Y1325" i="6" s="1"/>
  <c r="R980" i="6"/>
  <c r="R987" i="6"/>
  <c r="R995" i="6"/>
  <c r="U995" i="6" s="1"/>
  <c r="W995" i="6" s="1"/>
  <c r="Y995" i="6" s="1"/>
  <c r="R1003" i="6"/>
  <c r="R952" i="6"/>
  <c r="U952" i="6" s="1"/>
  <c r="W952" i="6" s="1"/>
  <c r="Y952" i="6" s="1"/>
  <c r="R960" i="6"/>
  <c r="U960" i="6" s="1"/>
  <c r="W960" i="6" s="1"/>
  <c r="Y960" i="6" s="1"/>
  <c r="R968" i="6"/>
  <c r="U968" i="6" s="1"/>
  <c r="W968" i="6" s="1"/>
  <c r="R940" i="6"/>
  <c r="U940" i="6" s="1"/>
  <c r="W940" i="6" s="1"/>
  <c r="Y940" i="6" s="1"/>
  <c r="R894" i="6"/>
  <c r="R860" i="6"/>
  <c r="R870" i="6"/>
  <c r="U870" i="6" s="1"/>
  <c r="W870" i="6" s="1"/>
  <c r="Y870" i="6" s="1"/>
  <c r="R879" i="6"/>
  <c r="U879" i="6" s="1"/>
  <c r="W879" i="6" s="1"/>
  <c r="Y879" i="6" s="1"/>
  <c r="R868" i="6"/>
  <c r="U868" i="6" s="1"/>
  <c r="W868" i="6" s="1"/>
  <c r="Y868" i="6" s="1"/>
  <c r="R889" i="6"/>
  <c r="U889" i="6" s="1"/>
  <c r="W889" i="6" s="1"/>
  <c r="AA889" i="6" s="1"/>
  <c r="R799" i="6"/>
  <c r="U799" i="6" s="1"/>
  <c r="W799" i="6" s="1"/>
  <c r="AA799" i="6" s="1"/>
  <c r="R807" i="6"/>
  <c r="U807" i="6" s="1"/>
  <c r="W807" i="6" s="1"/>
  <c r="AA807" i="6" s="1"/>
  <c r="R815" i="6"/>
  <c r="R797" i="6"/>
  <c r="U797" i="6" s="1"/>
  <c r="W797" i="6" s="1"/>
  <c r="AA797" i="6" s="1"/>
  <c r="R136" i="6"/>
  <c r="U136" i="6" s="1"/>
  <c r="W136" i="6" s="1"/>
  <c r="AA136" i="6" s="1"/>
  <c r="R1250" i="6"/>
  <c r="U1250" i="6" s="1"/>
  <c r="W1250" i="6" s="1"/>
  <c r="Y1250" i="6" s="1"/>
  <c r="R1256" i="6"/>
  <c r="R1144" i="6"/>
  <c r="U1144" i="6" s="1"/>
  <c r="W1144" i="6" s="1"/>
  <c r="Y1144" i="6" s="1"/>
  <c r="R1176" i="6"/>
  <c r="U1176" i="6" s="1"/>
  <c r="W1176" i="6" s="1"/>
  <c r="AA1176" i="6" s="1"/>
  <c r="R1177" i="6"/>
  <c r="U1177" i="6" s="1"/>
  <c r="W1177" i="6" s="1"/>
  <c r="AA1177" i="6" s="1"/>
  <c r="R358" i="6"/>
  <c r="R291" i="6"/>
  <c r="U291" i="6" s="1"/>
  <c r="W291" i="6" s="1"/>
  <c r="AA291" i="6" s="1"/>
  <c r="R741" i="6"/>
  <c r="U741" i="6" s="1"/>
  <c r="W741" i="6" s="1"/>
  <c r="Y741" i="6" s="1"/>
  <c r="R757" i="6"/>
  <c r="U757" i="6" s="1"/>
  <c r="W757" i="6" s="1"/>
  <c r="AA757" i="6" s="1"/>
  <c r="R717" i="6"/>
  <c r="R695" i="6"/>
  <c r="U695" i="6" s="1"/>
  <c r="W695" i="6" s="1"/>
  <c r="Y695" i="6" s="1"/>
  <c r="R643" i="6"/>
  <c r="U643" i="6" s="1"/>
  <c r="W643" i="6" s="1"/>
  <c r="AA643" i="6" s="1"/>
  <c r="R613" i="6"/>
  <c r="U613" i="6" s="1"/>
  <c r="W613" i="6" s="1"/>
  <c r="AA613" i="6" s="1"/>
  <c r="R629" i="6"/>
  <c r="R568" i="6"/>
  <c r="U568" i="6" s="1"/>
  <c r="W568" i="6" s="1"/>
  <c r="Y568" i="6" s="1"/>
  <c r="R1073" i="6"/>
  <c r="U1073" i="6" s="1"/>
  <c r="W1073" i="6" s="1"/>
  <c r="Y1073" i="6" s="1"/>
  <c r="R1038" i="6"/>
  <c r="U1038" i="6" s="1"/>
  <c r="W1038" i="6" s="1"/>
  <c r="Y1038" i="6" s="1"/>
  <c r="R1054" i="6"/>
  <c r="U1054" i="6" s="1"/>
  <c r="W1054" i="6" s="1"/>
  <c r="Y1054" i="6" s="1"/>
  <c r="R1093" i="6"/>
  <c r="U1093" i="6" s="1"/>
  <c r="W1093" i="6" s="1"/>
  <c r="Y1093" i="6" s="1"/>
  <c r="R602" i="6"/>
  <c r="U602" i="6" s="1"/>
  <c r="W602" i="6" s="1"/>
  <c r="AA602" i="6" s="1"/>
  <c r="R1016" i="6"/>
  <c r="U1016" i="6" s="1"/>
  <c r="W1016" i="6" s="1"/>
  <c r="Y1016" i="6" s="1"/>
  <c r="R601" i="6"/>
  <c r="U601" i="6" s="1"/>
  <c r="W601" i="6" s="1"/>
  <c r="R592" i="6"/>
  <c r="U592" i="6" s="1"/>
  <c r="W592" i="6" s="1"/>
  <c r="AA592" i="6" s="1"/>
  <c r="R1018" i="6"/>
  <c r="U1018" i="6" s="1"/>
  <c r="W1018" i="6" s="1"/>
  <c r="Y1018" i="6" s="1"/>
  <c r="R564" i="6"/>
  <c r="U564" i="6" s="1"/>
  <c r="W564" i="6" s="1"/>
  <c r="Y564" i="6" s="1"/>
  <c r="R1065" i="6"/>
  <c r="R735" i="6"/>
  <c r="U735" i="6" s="1"/>
  <c r="W735" i="6" s="1"/>
  <c r="Y735" i="6" s="1"/>
  <c r="R694" i="6"/>
  <c r="U694" i="6" s="1"/>
  <c r="W694" i="6" s="1"/>
  <c r="Y694" i="6" s="1"/>
  <c r="R1089" i="6"/>
  <c r="U1089" i="6" s="1"/>
  <c r="W1089" i="6" s="1"/>
  <c r="Y1089" i="6" s="1"/>
  <c r="R791" i="6"/>
  <c r="U791" i="6" s="1"/>
  <c r="W791" i="6" s="1"/>
  <c r="R771" i="6"/>
  <c r="U771" i="6" s="1"/>
  <c r="W771" i="6" s="1"/>
  <c r="R718" i="6"/>
  <c r="U718" i="6" s="1"/>
  <c r="W718" i="6" s="1"/>
  <c r="AA718" i="6" s="1"/>
  <c r="R675" i="6"/>
  <c r="U675" i="6" s="1"/>
  <c r="W675" i="6" s="1"/>
  <c r="AA675" i="6" s="1"/>
  <c r="R658" i="6"/>
  <c r="R1074" i="6"/>
  <c r="U1074" i="6" s="1"/>
  <c r="W1074" i="6" s="1"/>
  <c r="AA1074" i="6" s="1"/>
  <c r="R1061" i="6"/>
  <c r="U1061" i="6" s="1"/>
  <c r="W1061" i="6" s="1"/>
  <c r="AA1061" i="6" s="1"/>
  <c r="R728" i="6"/>
  <c r="U728" i="6" s="1"/>
  <c r="W728" i="6" s="1"/>
  <c r="AA728" i="6" s="1"/>
  <c r="R678" i="6"/>
  <c r="R632" i="6"/>
  <c r="U632" i="6" s="1"/>
  <c r="W632" i="6" s="1"/>
  <c r="AA632" i="6" s="1"/>
  <c r="R1060" i="6"/>
  <c r="U1060" i="6" s="1"/>
  <c r="W1060" i="6" s="1"/>
  <c r="Y1060" i="6" s="1"/>
  <c r="R729" i="6"/>
  <c r="U729" i="6" s="1"/>
  <c r="W729" i="6" s="1"/>
  <c r="AA729" i="6" s="1"/>
  <c r="R671" i="6"/>
  <c r="U671" i="6" s="1"/>
  <c r="W671" i="6" s="1"/>
  <c r="AA671" i="6" s="1"/>
  <c r="R612" i="6"/>
  <c r="U612" i="6" s="1"/>
  <c r="W612" i="6" s="1"/>
  <c r="Y612" i="6" s="1"/>
  <c r="R1025" i="6"/>
  <c r="U1025" i="6" s="1"/>
  <c r="W1025" i="6" s="1"/>
  <c r="Y1025" i="6" s="1"/>
  <c r="R774" i="6"/>
  <c r="U774" i="6" s="1"/>
  <c r="W774" i="6" s="1"/>
  <c r="R702" i="6"/>
  <c r="R579" i="6"/>
  <c r="U579" i="6" s="1"/>
  <c r="W579" i="6" s="1"/>
  <c r="Y579" i="6" s="1"/>
  <c r="R1132" i="6"/>
  <c r="U1132" i="6" s="1"/>
  <c r="W1132" i="6" s="1"/>
  <c r="AA1132" i="6" s="1"/>
  <c r="R1122" i="6"/>
  <c r="U1122" i="6" s="1"/>
  <c r="W1122" i="6" s="1"/>
  <c r="AA1122" i="6" s="1"/>
  <c r="R1116" i="6"/>
  <c r="U1116" i="6" s="1"/>
  <c r="W1116" i="6" s="1"/>
  <c r="Y1116" i="6" s="1"/>
  <c r="R1104" i="6"/>
  <c r="U1104" i="6" s="1"/>
  <c r="W1104" i="6" s="1"/>
  <c r="Y1104" i="6" s="1"/>
  <c r="R1103" i="6"/>
  <c r="U1103" i="6" s="1"/>
  <c r="W1103" i="6" s="1"/>
  <c r="Y1103" i="6" s="1"/>
  <c r="R1342" i="6"/>
  <c r="U1342" i="6" s="1"/>
  <c r="W1342" i="6" s="1"/>
  <c r="Y1342" i="6" s="1"/>
  <c r="R1339" i="6"/>
  <c r="R1270" i="6"/>
  <c r="U1270" i="6" s="1"/>
  <c r="W1270" i="6" s="1"/>
  <c r="Y1270" i="6" s="1"/>
  <c r="R1329" i="6"/>
  <c r="U1329" i="6" s="1"/>
  <c r="W1329" i="6" s="1"/>
  <c r="R1278" i="6"/>
  <c r="U1278" i="6" s="1"/>
  <c r="W1278" i="6" s="1"/>
  <c r="Y1278" i="6" s="1"/>
  <c r="R1286" i="6"/>
  <c r="U1286" i="6" s="1"/>
  <c r="W1286" i="6" s="1"/>
  <c r="Y1286" i="6" s="1"/>
  <c r="R1294" i="6"/>
  <c r="R1302" i="6"/>
  <c r="U1302" i="6" s="1"/>
  <c r="W1302" i="6" s="1"/>
  <c r="AA1302" i="6" s="1"/>
  <c r="R1310" i="6"/>
  <c r="U1310" i="6" s="1"/>
  <c r="W1310" i="6" s="1"/>
  <c r="R1318" i="6"/>
  <c r="R1326" i="6"/>
  <c r="U1326" i="6" s="1"/>
  <c r="W1326" i="6" s="1"/>
  <c r="R978" i="6"/>
  <c r="U978" i="6" s="1"/>
  <c r="W978" i="6" s="1"/>
  <c r="Y978" i="6" s="1"/>
  <c r="R988" i="6"/>
  <c r="U988" i="6" s="1"/>
  <c r="W988" i="6" s="1"/>
  <c r="Y988" i="6" s="1"/>
  <c r="R996" i="6"/>
  <c r="U996" i="6" s="1"/>
  <c r="W996" i="6" s="1"/>
  <c r="Y996" i="6" s="1"/>
  <c r="R977" i="6"/>
  <c r="U977" i="6" s="1"/>
  <c r="W977" i="6" s="1"/>
  <c r="AA977" i="6" s="1"/>
  <c r="R953" i="6"/>
  <c r="U953" i="6" s="1"/>
  <c r="W953" i="6" s="1"/>
  <c r="Y953" i="6" s="1"/>
  <c r="R961" i="6"/>
  <c r="U961" i="6" s="1"/>
  <c r="W961" i="6" s="1"/>
  <c r="AA961" i="6" s="1"/>
  <c r="R969" i="6"/>
  <c r="R945" i="6"/>
  <c r="U945" i="6" s="1"/>
  <c r="W945" i="6" s="1"/>
  <c r="Y945" i="6" s="1"/>
  <c r="R895" i="6"/>
  <c r="R861" i="6"/>
  <c r="U861" i="6" s="1"/>
  <c r="W861" i="6" s="1"/>
  <c r="AA861" i="6" s="1"/>
  <c r="R871" i="6"/>
  <c r="U871" i="6" s="1"/>
  <c r="W871" i="6" s="1"/>
  <c r="AA871" i="6" s="1"/>
  <c r="R880" i="6"/>
  <c r="R876" i="6"/>
  <c r="U876" i="6" s="1"/>
  <c r="W876" i="6" s="1"/>
  <c r="AA876" i="6" s="1"/>
  <c r="R890" i="6"/>
  <c r="U890" i="6" s="1"/>
  <c r="W890" i="6" s="1"/>
  <c r="Y890" i="6" s="1"/>
  <c r="R800" i="6"/>
  <c r="R808" i="6"/>
  <c r="R816" i="6"/>
  <c r="U816" i="6" s="1"/>
  <c r="W816" i="6" s="1"/>
  <c r="AA816" i="6" s="1"/>
  <c r="R798" i="6"/>
  <c r="U798" i="6" s="1"/>
  <c r="W798" i="6" s="1"/>
  <c r="Y798" i="6" s="1"/>
  <c r="R132" i="6"/>
  <c r="U132" i="6" s="1"/>
  <c r="W132" i="6" s="1"/>
  <c r="Y132" i="6" s="1"/>
  <c r="R1010" i="6"/>
  <c r="U1010" i="6" s="1"/>
  <c r="W1010" i="6" s="1"/>
  <c r="AA1010" i="6" s="1"/>
  <c r="R1254" i="6"/>
  <c r="U1254" i="6" s="1"/>
  <c r="W1254" i="6" s="1"/>
  <c r="R1148" i="6"/>
  <c r="U1148" i="6" s="1"/>
  <c r="W1148" i="6" s="1"/>
  <c r="Y1148" i="6" s="1"/>
  <c r="R1149" i="6"/>
  <c r="R1181" i="6"/>
  <c r="U1181" i="6" s="1"/>
  <c r="W1181" i="6" s="1"/>
  <c r="Y1181" i="6" s="1"/>
  <c r="R362" i="6"/>
  <c r="U362" i="6" s="1"/>
  <c r="W362" i="6" s="1"/>
  <c r="Y362" i="6" s="1"/>
  <c r="R295" i="6"/>
  <c r="U295" i="6" s="1"/>
  <c r="W295" i="6" s="1"/>
  <c r="AA295" i="6" s="1"/>
  <c r="R445" i="6"/>
  <c r="U445" i="6" s="1"/>
  <c r="W445" i="6" s="1"/>
  <c r="AA445" i="6" s="1"/>
  <c r="R743" i="6"/>
  <c r="U743" i="6" s="1"/>
  <c r="W743" i="6" s="1"/>
  <c r="Y743" i="6" s="1"/>
  <c r="R760" i="6"/>
  <c r="U760" i="6" s="1"/>
  <c r="W760" i="6" s="1"/>
  <c r="Y760" i="6" s="1"/>
  <c r="R681" i="6"/>
  <c r="U681" i="6" s="1"/>
  <c r="W681" i="6" s="1"/>
  <c r="AA681" i="6" s="1"/>
  <c r="R697" i="6"/>
  <c r="R645" i="6"/>
  <c r="U645" i="6" s="1"/>
  <c r="W645" i="6" s="1"/>
  <c r="Y645" i="6" s="1"/>
  <c r="R615" i="6"/>
  <c r="R631" i="6"/>
  <c r="U631" i="6" s="1"/>
  <c r="W631" i="6" s="1"/>
  <c r="Y631" i="6" s="1"/>
  <c r="R1086" i="6"/>
  <c r="U1086" i="6" s="1"/>
  <c r="W1086" i="6" s="1"/>
  <c r="Y1086" i="6" s="1"/>
  <c r="R1024" i="6"/>
  <c r="U1024" i="6" s="1"/>
  <c r="W1024" i="6" s="1"/>
  <c r="AA1024" i="6" s="1"/>
  <c r="R1040" i="6"/>
  <c r="U1040" i="6" s="1"/>
  <c r="W1040" i="6" s="1"/>
  <c r="AA1040" i="6" s="1"/>
  <c r="R594" i="6"/>
  <c r="U594" i="6" s="1"/>
  <c r="W594" i="6" s="1"/>
  <c r="AA594" i="6" s="1"/>
  <c r="R1095" i="6"/>
  <c r="R580" i="6"/>
  <c r="U580" i="6" s="1"/>
  <c r="W580" i="6" s="1"/>
  <c r="AA580" i="6" s="1"/>
  <c r="R1011" i="6"/>
  <c r="U1011" i="6" s="1"/>
  <c r="W1011" i="6" s="1"/>
  <c r="AA1011" i="6" s="1"/>
  <c r="R603" i="6"/>
  <c r="U603" i="6" s="1"/>
  <c r="W603" i="6" s="1"/>
  <c r="Y603" i="6" s="1"/>
  <c r="R1070" i="6"/>
  <c r="U1070" i="6" s="1"/>
  <c r="W1070" i="6" s="1"/>
  <c r="Y1070" i="6" s="1"/>
  <c r="R750" i="6"/>
  <c r="R1090" i="6"/>
  <c r="U1090" i="6" s="1"/>
  <c r="W1090" i="6" s="1"/>
  <c r="Y1090" i="6" s="1"/>
  <c r="R1092" i="6"/>
  <c r="U1092" i="6" s="1"/>
  <c r="W1092" i="6" s="1"/>
  <c r="Y1092" i="6" s="1"/>
  <c r="R700" i="6"/>
  <c r="R642" i="6"/>
  <c r="U642" i="6" s="1"/>
  <c r="W642" i="6" s="1"/>
  <c r="AA642" i="6" s="1"/>
  <c r="R1084" i="6"/>
  <c r="U1084" i="6" s="1"/>
  <c r="W1084" i="6" s="1"/>
  <c r="Y1084" i="6" s="1"/>
  <c r="R773" i="6"/>
  <c r="R769" i="6"/>
  <c r="U769" i="6" s="1"/>
  <c r="W769" i="6" s="1"/>
  <c r="AA769" i="6" s="1"/>
  <c r="R732" i="6"/>
  <c r="U732" i="6" s="1"/>
  <c r="W732" i="6" s="1"/>
  <c r="Y732" i="6" s="1"/>
  <c r="R679" i="6"/>
  <c r="U679" i="6" s="1"/>
  <c r="W679" i="6" s="1"/>
  <c r="AA679" i="6" s="1"/>
  <c r="R664" i="6"/>
  <c r="U664" i="6" s="1"/>
  <c r="W664" i="6" s="1"/>
  <c r="AA664" i="6" s="1"/>
  <c r="R1041" i="6"/>
  <c r="R1067" i="6"/>
  <c r="R759" i="6"/>
  <c r="U759" i="6" s="1"/>
  <c r="W759" i="6" s="1"/>
  <c r="Y759" i="6" s="1"/>
  <c r="R738" i="6"/>
  <c r="U738" i="6" s="1"/>
  <c r="W738" i="6" s="1"/>
  <c r="AA738" i="6" s="1"/>
  <c r="R573" i="6"/>
  <c r="U573" i="6" s="1"/>
  <c r="W573" i="6" s="1"/>
  <c r="AA573" i="6" s="1"/>
  <c r="R1062" i="6"/>
  <c r="U1062" i="6" s="1"/>
  <c r="W1062" i="6" s="1"/>
  <c r="Y1062" i="6" s="1"/>
  <c r="R721" i="6"/>
  <c r="U721" i="6" s="1"/>
  <c r="W721" i="6" s="1"/>
  <c r="AA721" i="6" s="1"/>
  <c r="R677" i="6"/>
  <c r="U677" i="6" s="1"/>
  <c r="W677" i="6" s="1"/>
  <c r="Y677" i="6" s="1"/>
  <c r="R1076" i="6"/>
  <c r="R654" i="6"/>
  <c r="U654" i="6" s="1"/>
  <c r="W654" i="6" s="1"/>
  <c r="Y654" i="6" s="1"/>
  <c r="R782" i="6"/>
  <c r="U782" i="6" s="1"/>
  <c r="W782" i="6" s="1"/>
  <c r="Y782" i="6" s="1"/>
  <c r="R670" i="6"/>
  <c r="U670" i="6" s="1"/>
  <c r="W670" i="6" s="1"/>
  <c r="Y670" i="6" s="1"/>
  <c r="R652" i="6"/>
  <c r="U652" i="6" s="1"/>
  <c r="W652" i="6" s="1"/>
  <c r="Y652" i="6" s="1"/>
  <c r="R1133" i="6"/>
  <c r="U1133" i="6" s="1"/>
  <c r="W1133" i="6" s="1"/>
  <c r="Y1133" i="6" s="1"/>
  <c r="R1123" i="6"/>
  <c r="U1123" i="6" s="1"/>
  <c r="W1123" i="6" s="1"/>
  <c r="AA1123" i="6" s="1"/>
  <c r="R1112" i="6"/>
  <c r="U1112" i="6" s="1"/>
  <c r="W1112" i="6" s="1"/>
  <c r="Y1112" i="6" s="1"/>
  <c r="R1105" i="6"/>
  <c r="R1118" i="6"/>
  <c r="U1118" i="6" s="1"/>
  <c r="W1118" i="6" s="1"/>
  <c r="Y1118" i="6" s="1"/>
  <c r="R1343" i="6"/>
  <c r="U1343" i="6" s="1"/>
  <c r="W1343" i="6" s="1"/>
  <c r="Y1343" i="6" s="1"/>
  <c r="R1340" i="6"/>
  <c r="U1340" i="6" s="1"/>
  <c r="W1340" i="6" s="1"/>
  <c r="Y1340" i="6" s="1"/>
  <c r="R1271" i="6"/>
  <c r="U1271" i="6" s="1"/>
  <c r="W1271" i="6" s="1"/>
  <c r="Y1271" i="6" s="1"/>
  <c r="R1330" i="6"/>
  <c r="U1330" i="6" s="1"/>
  <c r="W1330" i="6" s="1"/>
  <c r="AA1330" i="6" s="1"/>
  <c r="R1279" i="6"/>
  <c r="U1279" i="6" s="1"/>
  <c r="W1279" i="6" s="1"/>
  <c r="AA1279" i="6" s="1"/>
  <c r="R1287" i="6"/>
  <c r="U1287" i="6" s="1"/>
  <c r="W1287" i="6" s="1"/>
  <c r="Y1287" i="6" s="1"/>
  <c r="R1295" i="6"/>
  <c r="U1295" i="6" s="1"/>
  <c r="W1295" i="6" s="1"/>
  <c r="R1303" i="6"/>
  <c r="U1303" i="6" s="1"/>
  <c r="W1303" i="6" s="1"/>
  <c r="AA1303" i="6" s="1"/>
  <c r="R1311" i="6"/>
  <c r="U1311" i="6" s="1"/>
  <c r="W1311" i="6" s="1"/>
  <c r="Y1311" i="6" s="1"/>
  <c r="R1319" i="6"/>
  <c r="U1319" i="6" s="1"/>
  <c r="W1319" i="6" s="1"/>
  <c r="Y1319" i="6" s="1"/>
  <c r="R1213" i="6"/>
  <c r="U1213" i="6" s="1"/>
  <c r="W1213" i="6" s="1"/>
  <c r="Y1213" i="6" s="1"/>
  <c r="R981" i="6"/>
  <c r="U981" i="6" s="1"/>
  <c r="W981" i="6" s="1"/>
  <c r="Y981" i="6" s="1"/>
  <c r="R989" i="6"/>
  <c r="U989" i="6" s="1"/>
  <c r="W989" i="6" s="1"/>
  <c r="Y989" i="6" s="1"/>
  <c r="R997" i="6"/>
  <c r="U997" i="6" s="1"/>
  <c r="W997" i="6" s="1"/>
  <c r="Y997" i="6" s="1"/>
  <c r="R976" i="6"/>
  <c r="R954" i="6"/>
  <c r="U954" i="6" s="1"/>
  <c r="W954" i="6" s="1"/>
  <c r="Y954" i="6" s="1"/>
  <c r="R962" i="6"/>
  <c r="R970" i="6"/>
  <c r="U970" i="6" s="1"/>
  <c r="W970" i="6" s="1"/>
  <c r="Y970" i="6" s="1"/>
  <c r="R944" i="6"/>
  <c r="U944" i="6" s="1"/>
  <c r="W944" i="6" s="1"/>
  <c r="Y944" i="6" s="1"/>
  <c r="R854" i="6"/>
  <c r="U854" i="6" s="1"/>
  <c r="W854" i="6" s="1"/>
  <c r="R862" i="6"/>
  <c r="U862" i="6" s="1"/>
  <c r="W862" i="6" s="1"/>
  <c r="AA862" i="6" s="1"/>
  <c r="R872" i="6"/>
  <c r="U872" i="6" s="1"/>
  <c r="W872" i="6" s="1"/>
  <c r="Y872" i="6" s="1"/>
  <c r="R745" i="6"/>
  <c r="R762" i="6"/>
  <c r="U762" i="6" s="1"/>
  <c r="W762" i="6" s="1"/>
  <c r="AA762" i="6" s="1"/>
  <c r="R683" i="6"/>
  <c r="U683" i="6" s="1"/>
  <c r="W683" i="6" s="1"/>
  <c r="Y683" i="6" s="1"/>
  <c r="R653" i="6"/>
  <c r="U653" i="6" s="1"/>
  <c r="W653" i="6" s="1"/>
  <c r="Y653" i="6" s="1"/>
  <c r="R647" i="6"/>
  <c r="U647" i="6" s="1"/>
  <c r="W647" i="6" s="1"/>
  <c r="Y647" i="6" s="1"/>
  <c r="R617" i="6"/>
  <c r="U617" i="6" s="1"/>
  <c r="W617" i="6" s="1"/>
  <c r="AA617" i="6" s="1"/>
  <c r="R633" i="6"/>
  <c r="U633" i="6" s="1"/>
  <c r="W633" i="6" s="1"/>
  <c r="AA633" i="6" s="1"/>
  <c r="R1075" i="6"/>
  <c r="U1075" i="6" s="1"/>
  <c r="W1075" i="6" s="1"/>
  <c r="Y1075" i="6" s="1"/>
  <c r="R1026" i="6"/>
  <c r="R1042" i="6"/>
  <c r="U1042" i="6" s="1"/>
  <c r="W1042" i="6" s="1"/>
  <c r="AA1042" i="6" s="1"/>
  <c r="R570" i="6"/>
  <c r="U570" i="6" s="1"/>
  <c r="W570" i="6" s="1"/>
  <c r="Y570" i="6" s="1"/>
  <c r="R1097" i="6"/>
  <c r="U1097" i="6" s="1"/>
  <c r="W1097" i="6" s="1"/>
  <c r="R582" i="6"/>
  <c r="U582" i="6" s="1"/>
  <c r="W582" i="6" s="1"/>
  <c r="Y582" i="6" s="1"/>
  <c r="R1013" i="6"/>
  <c r="U1013" i="6" s="1"/>
  <c r="W1013" i="6" s="1"/>
  <c r="Y1013" i="6" s="1"/>
  <c r="R605" i="6"/>
  <c r="U605" i="6" s="1"/>
  <c r="W605" i="6" s="1"/>
  <c r="Y605" i="6" s="1"/>
  <c r="R1035" i="6"/>
  <c r="U1035" i="6" s="1"/>
  <c r="W1035" i="6" s="1"/>
  <c r="Y1035" i="6" s="1"/>
  <c r="R711" i="6"/>
  <c r="R707" i="6"/>
  <c r="U707" i="6" s="1"/>
  <c r="W707" i="6" s="1"/>
  <c r="AA707" i="6" s="1"/>
  <c r="R786" i="6"/>
  <c r="U786" i="6" s="1"/>
  <c r="W786" i="6" s="1"/>
  <c r="Y786" i="6" s="1"/>
  <c r="R666" i="6"/>
  <c r="U666" i="6" s="1"/>
  <c r="W666" i="6" s="1"/>
  <c r="AA666" i="6" s="1"/>
  <c r="R599" i="6"/>
  <c r="R1082" i="6"/>
  <c r="U1082" i="6" s="1"/>
  <c r="W1082" i="6" s="1"/>
  <c r="AA1082" i="6" s="1"/>
  <c r="R775" i="6"/>
  <c r="U775" i="6" s="1"/>
  <c r="W775" i="6" s="1"/>
  <c r="AA775" i="6" s="1"/>
  <c r="R767" i="6"/>
  <c r="U767" i="6" s="1"/>
  <c r="W767" i="6" s="1"/>
  <c r="Y767" i="6" s="1"/>
  <c r="R736" i="6"/>
  <c r="R660" i="6"/>
  <c r="U660" i="6" s="1"/>
  <c r="W660" i="6" s="1"/>
  <c r="AA660" i="6" s="1"/>
  <c r="R608" i="6"/>
  <c r="U608" i="6" s="1"/>
  <c r="W608" i="6" s="1"/>
  <c r="AA608" i="6" s="1"/>
  <c r="R1094" i="6"/>
  <c r="R790" i="6"/>
  <c r="U790" i="6" s="1"/>
  <c r="W790" i="6" s="1"/>
  <c r="Y790" i="6" s="1"/>
  <c r="R731" i="6"/>
  <c r="U731" i="6" s="1"/>
  <c r="W731" i="6" s="1"/>
  <c r="Y731" i="6" s="1"/>
  <c r="R754" i="6"/>
  <c r="U754" i="6" s="1"/>
  <c r="W754" i="6" s="1"/>
  <c r="Y754" i="6" s="1"/>
  <c r="R589" i="6"/>
  <c r="U589" i="6" s="1"/>
  <c r="W589" i="6" s="1"/>
  <c r="AA589" i="6" s="1"/>
  <c r="R1064" i="6"/>
  <c r="R734" i="6"/>
  <c r="R690" i="6"/>
  <c r="U690" i="6" s="1"/>
  <c r="W690" i="6" s="1"/>
  <c r="Y690" i="6" s="1"/>
  <c r="R1096" i="6"/>
  <c r="U1096" i="6" s="1"/>
  <c r="W1096" i="6" s="1"/>
  <c r="Y1096" i="6" s="1"/>
  <c r="R1085" i="6"/>
  <c r="U1085" i="6" s="1"/>
  <c r="W1085" i="6" s="1"/>
  <c r="Y1085" i="6" s="1"/>
  <c r="R772" i="6"/>
  <c r="R676" i="6"/>
  <c r="U676" i="6" s="1"/>
  <c r="W676" i="6" s="1"/>
  <c r="AA676" i="6" s="1"/>
  <c r="R646" i="6"/>
  <c r="U646" i="6" s="1"/>
  <c r="W646" i="6" s="1"/>
  <c r="Y646" i="6" s="1"/>
  <c r="R1127" i="6"/>
  <c r="R1113" i="6"/>
  <c r="U1113" i="6" s="1"/>
  <c r="W1113" i="6" s="1"/>
  <c r="Y1113" i="6" s="1"/>
  <c r="R1106" i="6"/>
  <c r="U1106" i="6" s="1"/>
  <c r="W1106" i="6" s="1"/>
  <c r="Y1106" i="6" s="1"/>
  <c r="R1119" i="6"/>
  <c r="U1119" i="6" s="1"/>
  <c r="W1119" i="6" s="1"/>
  <c r="Y1119" i="6" s="1"/>
  <c r="R1333" i="6"/>
  <c r="U1333" i="6" s="1"/>
  <c r="W1333" i="6" s="1"/>
  <c r="Y1333" i="6" s="1"/>
  <c r="R1341" i="6"/>
  <c r="U1341" i="6" s="1"/>
  <c r="W1341" i="6" s="1"/>
  <c r="Y1341" i="6" s="1"/>
  <c r="R1272" i="6"/>
  <c r="U1272" i="6" s="1"/>
  <c r="W1272" i="6" s="1"/>
  <c r="Y1272" i="6" s="1"/>
  <c r="R1331" i="6"/>
  <c r="U1331" i="6" s="1"/>
  <c r="W1331" i="6" s="1"/>
  <c r="Y1331" i="6" s="1"/>
  <c r="R1280" i="6"/>
  <c r="U1280" i="6" s="1"/>
  <c r="W1280" i="6" s="1"/>
  <c r="Y1280" i="6" s="1"/>
  <c r="R1288" i="6"/>
  <c r="U1288" i="6" s="1"/>
  <c r="W1288" i="6" s="1"/>
  <c r="AA1288" i="6" s="1"/>
  <c r="R1296" i="6"/>
  <c r="U1296" i="6" s="1"/>
  <c r="W1296" i="6" s="1"/>
  <c r="AA1296" i="6" s="1"/>
  <c r="R1304" i="6"/>
  <c r="U1304" i="6" s="1"/>
  <c r="W1304" i="6" s="1"/>
  <c r="Y1304" i="6" s="1"/>
  <c r="R1312" i="6"/>
  <c r="U1312" i="6" s="1"/>
  <c r="W1312" i="6" s="1"/>
  <c r="AA1312" i="6" s="1"/>
  <c r="R1320" i="6"/>
  <c r="U1320" i="6" s="1"/>
  <c r="W1320" i="6" s="1"/>
  <c r="Y1320" i="6" s="1"/>
  <c r="R1204" i="6"/>
  <c r="U1204" i="6" s="1"/>
  <c r="W1204" i="6" s="1"/>
  <c r="AA1204" i="6" s="1"/>
  <c r="R982" i="6"/>
  <c r="U982" i="6" s="1"/>
  <c r="W982" i="6" s="1"/>
  <c r="Y982" i="6" s="1"/>
  <c r="R990" i="6"/>
  <c r="U990" i="6" s="1"/>
  <c r="W990" i="6" s="1"/>
  <c r="Y990" i="6" s="1"/>
  <c r="R998" i="6"/>
  <c r="U998" i="6" s="1"/>
  <c r="W998" i="6" s="1"/>
  <c r="Y998" i="6" s="1"/>
  <c r="R975" i="6"/>
  <c r="U975" i="6" s="1"/>
  <c r="W975" i="6" s="1"/>
  <c r="Y975" i="6" s="1"/>
  <c r="R955" i="6"/>
  <c r="U955" i="6" s="1"/>
  <c r="W955" i="6" s="1"/>
  <c r="Y955" i="6" s="1"/>
  <c r="R963" i="6"/>
  <c r="U963" i="6" s="1"/>
  <c r="W963" i="6" s="1"/>
  <c r="Y963" i="6" s="1"/>
  <c r="R971" i="6"/>
  <c r="U971" i="6" s="1"/>
  <c r="W971" i="6" s="1"/>
  <c r="Y971" i="6" s="1"/>
  <c r="R946" i="6"/>
  <c r="U946" i="6" s="1"/>
  <c r="W946" i="6" s="1"/>
  <c r="AA946" i="6" s="1"/>
  <c r="R855" i="6"/>
  <c r="U855" i="6" s="1"/>
  <c r="W855" i="6" s="1"/>
  <c r="AA855" i="6" s="1"/>
  <c r="R863" i="6"/>
  <c r="R873" i="6"/>
  <c r="U873" i="6" s="1"/>
  <c r="W873" i="6" s="1"/>
  <c r="AA873" i="6" s="1"/>
  <c r="R882" i="6"/>
  <c r="U882" i="6" s="1"/>
  <c r="W882" i="6" s="1"/>
  <c r="AA882" i="6" s="1"/>
  <c r="R886" i="6"/>
  <c r="U886" i="6" s="1"/>
  <c r="W886" i="6" s="1"/>
  <c r="Y886" i="6" s="1"/>
  <c r="R892" i="6"/>
  <c r="U892" i="6" s="1"/>
  <c r="W892" i="6" s="1"/>
  <c r="Y892" i="6" s="1"/>
  <c r="R802" i="6"/>
  <c r="U802" i="6" s="1"/>
  <c r="W802" i="6" s="1"/>
  <c r="AA802" i="6" s="1"/>
  <c r="R19" i="6"/>
  <c r="U19" i="6" s="1"/>
  <c r="W19" i="6" s="1"/>
  <c r="AA19" i="6" s="1"/>
  <c r="R112" i="6"/>
  <c r="R192" i="6"/>
  <c r="U192" i="6" s="1"/>
  <c r="W192" i="6" s="1"/>
  <c r="Y192" i="6" s="1"/>
  <c r="R1253" i="6"/>
  <c r="U1253" i="6" s="1"/>
  <c r="W1253" i="6" s="1"/>
  <c r="AA1253" i="6" s="1"/>
  <c r="R231" i="6"/>
  <c r="R173" i="6"/>
  <c r="U173" i="6" s="1"/>
  <c r="W173" i="6" s="1"/>
  <c r="AA173" i="6" s="1"/>
  <c r="R229" i="6"/>
  <c r="U229" i="6" s="1"/>
  <c r="W229" i="6" s="1"/>
  <c r="Y229" i="6" s="1"/>
  <c r="R1252" i="6"/>
  <c r="U1252" i="6" s="1"/>
  <c r="W1252" i="6" s="1"/>
  <c r="AA1252" i="6" s="1"/>
  <c r="R24" i="6"/>
  <c r="U24" i="6" s="1"/>
  <c r="W24" i="6" s="1"/>
  <c r="AA24" i="6" s="1"/>
  <c r="R507" i="6"/>
  <c r="U507" i="6" s="1"/>
  <c r="W507" i="6" s="1"/>
  <c r="AA507" i="6" s="1"/>
  <c r="R1188" i="6"/>
  <c r="U1188" i="6" s="1"/>
  <c r="W1188" i="6" s="1"/>
  <c r="AA1188" i="6" s="1"/>
  <c r="R446" i="6"/>
  <c r="R347" i="6"/>
  <c r="U347" i="6" s="1"/>
  <c r="W347" i="6" s="1"/>
  <c r="Y347" i="6" s="1"/>
  <c r="R194" i="6"/>
  <c r="U194" i="6" s="1"/>
  <c r="W194" i="6" s="1"/>
  <c r="Y194" i="6" s="1"/>
  <c r="R314" i="6"/>
  <c r="U314" i="6" s="1"/>
  <c r="W314" i="6" s="1"/>
  <c r="AA314" i="6" s="1"/>
  <c r="R244" i="6"/>
  <c r="U244" i="6" s="1"/>
  <c r="W244" i="6" s="1"/>
  <c r="AA244" i="6" s="1"/>
  <c r="R159" i="6"/>
  <c r="U159" i="6" s="1"/>
  <c r="W159" i="6" s="1"/>
  <c r="Y159" i="6" s="1"/>
  <c r="R120" i="6"/>
  <c r="U120" i="6" s="1"/>
  <c r="W120" i="6" s="1"/>
  <c r="Y120" i="6" s="1"/>
  <c r="R506" i="6"/>
  <c r="R1187" i="6"/>
  <c r="U1187" i="6" s="1"/>
  <c r="W1187" i="6" s="1"/>
  <c r="AA1187" i="6" s="1"/>
  <c r="R444" i="6"/>
  <c r="R342" i="6"/>
  <c r="U342" i="6" s="1"/>
  <c r="W342" i="6" s="1"/>
  <c r="Y342" i="6" s="1"/>
  <c r="R181" i="6"/>
  <c r="U181" i="6" s="1"/>
  <c r="W181" i="6" s="1"/>
  <c r="AA181" i="6" s="1"/>
  <c r="R275" i="6"/>
  <c r="U275" i="6" s="1"/>
  <c r="W275" i="6" s="1"/>
  <c r="AA275" i="6" s="1"/>
  <c r="R232" i="6"/>
  <c r="U232" i="6" s="1"/>
  <c r="W232" i="6" s="1"/>
  <c r="Y232" i="6" s="1"/>
  <c r="R1243" i="6"/>
  <c r="U1243" i="6" s="1"/>
  <c r="W1243" i="6" s="1"/>
  <c r="AA1243" i="6" s="1"/>
  <c r="R113" i="6"/>
  <c r="U113" i="6" s="1"/>
  <c r="W113" i="6" s="1"/>
  <c r="AA113" i="6" s="1"/>
  <c r="R495" i="6"/>
  <c r="U495" i="6" s="1"/>
  <c r="W495" i="6" s="1"/>
  <c r="Y495" i="6" s="1"/>
  <c r="R422" i="6"/>
  <c r="U422" i="6" s="1"/>
  <c r="W422" i="6" s="1"/>
  <c r="Y422" i="6" s="1"/>
  <c r="R301" i="6"/>
  <c r="U301" i="6" s="1"/>
  <c r="W301" i="6" s="1"/>
  <c r="AA301" i="6" s="1"/>
  <c r="R384" i="6"/>
  <c r="U384" i="6" s="1"/>
  <c r="W384" i="6" s="1"/>
  <c r="AA384" i="6" s="1"/>
  <c r="R361" i="6"/>
  <c r="U361" i="6" s="1"/>
  <c r="W361" i="6" s="1"/>
  <c r="Y361" i="6" s="1"/>
  <c r="R1166" i="6"/>
  <c r="U1166" i="6" s="1"/>
  <c r="W1166" i="6" s="1"/>
  <c r="Y1166" i="6" s="1"/>
  <c r="R199" i="6"/>
  <c r="R167" i="6"/>
  <c r="U167" i="6" s="1"/>
  <c r="W167" i="6" s="1"/>
  <c r="AA167" i="6" s="1"/>
  <c r="R270" i="6"/>
  <c r="U270" i="6" s="1"/>
  <c r="W270" i="6" s="1"/>
  <c r="AA270" i="6" s="1"/>
  <c r="R238" i="6"/>
  <c r="R165" i="6"/>
  <c r="U165" i="6" s="1"/>
  <c r="W165" i="6" s="1"/>
  <c r="Y165" i="6" s="1"/>
  <c r="R138" i="6"/>
  <c r="U138" i="6" s="1"/>
  <c r="W138" i="6" s="1"/>
  <c r="Y138" i="6" s="1"/>
  <c r="R107" i="6"/>
  <c r="U107" i="6" s="1"/>
  <c r="W107" i="6" s="1"/>
  <c r="Y107" i="6" s="1"/>
  <c r="R517" i="6"/>
  <c r="U517" i="6" s="1"/>
  <c r="W517" i="6" s="1"/>
  <c r="AA517" i="6" s="1"/>
  <c r="R554" i="6"/>
  <c r="U554" i="6" s="1"/>
  <c r="W554" i="6" s="1"/>
  <c r="Y554" i="6" s="1"/>
  <c r="R1198" i="6"/>
  <c r="U1198" i="6" s="1"/>
  <c r="W1198" i="6" s="1"/>
  <c r="Y1198" i="6" s="1"/>
  <c r="R412" i="6"/>
  <c r="U412" i="6" s="1"/>
  <c r="W412" i="6" s="1"/>
  <c r="Y412" i="6" s="1"/>
  <c r="R459" i="6"/>
  <c r="U459" i="6" s="1"/>
  <c r="W459" i="6" s="1"/>
  <c r="AA459" i="6" s="1"/>
  <c r="R298" i="6"/>
  <c r="U298" i="6" s="1"/>
  <c r="W298" i="6" s="1"/>
  <c r="Y298" i="6" s="1"/>
  <c r="R355" i="6"/>
  <c r="U355" i="6" s="1"/>
  <c r="W355" i="6" s="1"/>
  <c r="Y355" i="6" s="1"/>
  <c r="R1155" i="6"/>
  <c r="U1155" i="6" s="1"/>
  <c r="W1155" i="6" s="1"/>
  <c r="Y1155" i="6" s="1"/>
  <c r="R488" i="6"/>
  <c r="U488" i="6" s="1"/>
  <c r="W488" i="6" s="1"/>
  <c r="Y488" i="6" s="1"/>
  <c r="R557" i="6"/>
  <c r="U557" i="6" s="1"/>
  <c r="W557" i="6" s="1"/>
  <c r="Y557" i="6" s="1"/>
  <c r="R1201" i="6"/>
  <c r="U1201" i="6" s="1"/>
  <c r="W1201" i="6" s="1"/>
  <c r="Y1201" i="6" s="1"/>
  <c r="R415" i="6"/>
  <c r="U415" i="6" s="1"/>
  <c r="W415" i="6" s="1"/>
  <c r="AA415" i="6" s="1"/>
  <c r="R463" i="6"/>
  <c r="R381" i="6"/>
  <c r="U381" i="6" s="1"/>
  <c r="W381" i="6" s="1"/>
  <c r="Y381" i="6" s="1"/>
  <c r="R359" i="6"/>
  <c r="U359" i="6" s="1"/>
  <c r="W359" i="6" s="1"/>
  <c r="Y359" i="6" s="1"/>
  <c r="R1162" i="6"/>
  <c r="U1162" i="6" s="1"/>
  <c r="W1162" i="6" s="1"/>
  <c r="AA1162" i="6" s="1"/>
  <c r="R469" i="6"/>
  <c r="U469" i="6" s="1"/>
  <c r="W469" i="6" s="1"/>
  <c r="AA469" i="6" s="1"/>
  <c r="R386" i="6"/>
  <c r="U386" i="6" s="1"/>
  <c r="W386" i="6" s="1"/>
  <c r="Y386" i="6" s="1"/>
  <c r="R7" i="6"/>
  <c r="U7" i="6" s="1"/>
  <c r="W7" i="6" s="1"/>
  <c r="AA7" i="6" s="1"/>
  <c r="R1160" i="6"/>
  <c r="R1255" i="6"/>
  <c r="R131" i="6"/>
  <c r="U131" i="6" s="1"/>
  <c r="W131" i="6" s="1"/>
  <c r="Y131" i="6" s="1"/>
  <c r="R810" i="6"/>
  <c r="U810" i="6" s="1"/>
  <c r="W810" i="6" s="1"/>
  <c r="Y810" i="6" s="1"/>
  <c r="R883" i="6"/>
  <c r="U883" i="6" s="1"/>
  <c r="W883" i="6" s="1"/>
  <c r="Y883" i="6" s="1"/>
  <c r="R956" i="6"/>
  <c r="U956" i="6" s="1"/>
  <c r="W956" i="6" s="1"/>
  <c r="Y956" i="6" s="1"/>
  <c r="R1305" i="6"/>
  <c r="U1305" i="6" s="1"/>
  <c r="W1305" i="6" s="1"/>
  <c r="Y1305" i="6" s="1"/>
  <c r="R1121" i="6"/>
  <c r="U1121" i="6" s="1"/>
  <c r="W1121" i="6" s="1"/>
  <c r="Y1121" i="6" s="1"/>
  <c r="R1059" i="6"/>
  <c r="U1059" i="6" s="1"/>
  <c r="W1059" i="6" s="1"/>
  <c r="Y1059" i="6" s="1"/>
  <c r="R776" i="6"/>
  <c r="R618" i="6"/>
  <c r="U618" i="6" s="1"/>
  <c r="W618" i="6" s="1"/>
  <c r="AA618" i="6" s="1"/>
  <c r="R584" i="6"/>
  <c r="U584" i="6" s="1"/>
  <c r="W584" i="6" s="1"/>
  <c r="AA584" i="6" s="1"/>
  <c r="R649" i="6"/>
  <c r="U649" i="6" s="1"/>
  <c r="W649" i="6" s="1"/>
  <c r="Y649" i="6" s="1"/>
  <c r="R413" i="6"/>
  <c r="U413" i="6" s="1"/>
  <c r="W413" i="6" s="1"/>
  <c r="Y413" i="6" s="1"/>
  <c r="R429" i="6"/>
  <c r="U429" i="6" s="1"/>
  <c r="W429" i="6" s="1"/>
  <c r="AA429" i="6" s="1"/>
  <c r="R421" i="6"/>
  <c r="U421" i="6" s="1"/>
  <c r="W421" i="6" s="1"/>
  <c r="AA421" i="6" s="1"/>
  <c r="R162" i="6"/>
  <c r="U162" i="6" s="1"/>
  <c r="W162" i="6" s="1"/>
  <c r="AA162" i="6" s="1"/>
  <c r="R460" i="6"/>
  <c r="R494" i="6"/>
  <c r="U494" i="6" s="1"/>
  <c r="W494" i="6" s="1"/>
  <c r="Y494" i="6" s="1"/>
  <c r="R174" i="6"/>
  <c r="U174" i="6" s="1"/>
  <c r="W174" i="6" s="1"/>
  <c r="AA174" i="6" s="1"/>
  <c r="R143" i="6"/>
  <c r="U143" i="6" s="1"/>
  <c r="W143" i="6" s="1"/>
  <c r="AA143" i="6" s="1"/>
  <c r="R352" i="6"/>
  <c r="U352" i="6" s="1"/>
  <c r="W352" i="6" s="1"/>
  <c r="Y352" i="6" s="1"/>
  <c r="R152" i="6"/>
  <c r="U152" i="6" s="1"/>
  <c r="W152" i="6" s="1"/>
  <c r="AA152" i="6" s="1"/>
  <c r="R396" i="6"/>
  <c r="R212" i="6"/>
  <c r="U212" i="6" s="1"/>
  <c r="W212" i="6" s="1"/>
  <c r="Y212" i="6" s="1"/>
  <c r="R168" i="6"/>
  <c r="R267" i="6"/>
  <c r="U267" i="6" s="1"/>
  <c r="W267" i="6" s="1"/>
  <c r="AA267" i="6" s="1"/>
  <c r="R224" i="6"/>
  <c r="U224" i="6" s="1"/>
  <c r="W224" i="6" s="1"/>
  <c r="Y224" i="6" s="1"/>
  <c r="R1245" i="6"/>
  <c r="U1245" i="6" s="1"/>
  <c r="W1245" i="6" s="1"/>
  <c r="Y1245" i="6" s="1"/>
  <c r="R116" i="6"/>
  <c r="U116" i="6" s="1"/>
  <c r="W116" i="6" s="1"/>
  <c r="AA116" i="6" s="1"/>
  <c r="R499" i="6"/>
  <c r="U499" i="6" s="1"/>
  <c r="W499" i="6" s="1"/>
  <c r="Y499" i="6" s="1"/>
  <c r="R426" i="6"/>
  <c r="U426" i="6" s="1"/>
  <c r="W426" i="6" s="1"/>
  <c r="Y426" i="6" s="1"/>
  <c r="R391" i="6"/>
  <c r="U391" i="6" s="1"/>
  <c r="W391" i="6" s="1"/>
  <c r="Y391" i="6" s="1"/>
  <c r="R343" i="6"/>
  <c r="U343" i="6" s="1"/>
  <c r="W343" i="6" s="1"/>
  <c r="Y343" i="6" s="1"/>
  <c r="R189" i="6"/>
  <c r="U189" i="6" s="1"/>
  <c r="W189" i="6" s="1"/>
  <c r="AA189" i="6" s="1"/>
  <c r="R281" i="6"/>
  <c r="U281" i="6" s="1"/>
  <c r="W281" i="6" s="1"/>
  <c r="AA281" i="6" s="1"/>
  <c r="R239" i="6"/>
  <c r="U239" i="6" s="1"/>
  <c r="W239" i="6" s="1"/>
  <c r="Y239" i="6" s="1"/>
  <c r="R1249" i="6"/>
  <c r="U1249" i="6" s="1"/>
  <c r="W1249" i="6" s="1"/>
  <c r="Y1249" i="6" s="1"/>
  <c r="R114" i="6"/>
  <c r="R498" i="6"/>
  <c r="U498" i="6" s="1"/>
  <c r="W498" i="6" s="1"/>
  <c r="Y498" i="6" s="1"/>
  <c r="R425" i="6"/>
  <c r="R385" i="6"/>
  <c r="R306" i="6"/>
  <c r="U306" i="6" s="1"/>
  <c r="W306" i="6" s="1"/>
  <c r="Y306" i="6" s="1"/>
  <c r="R176" i="6"/>
  <c r="U176" i="6" s="1"/>
  <c r="W176" i="6" s="1"/>
  <c r="AA176" i="6" s="1"/>
  <c r="R269" i="6"/>
  <c r="U269" i="6" s="1"/>
  <c r="W269" i="6" s="1"/>
  <c r="AA269" i="6" s="1"/>
  <c r="R227" i="6"/>
  <c r="U227" i="6" s="1"/>
  <c r="W227" i="6" s="1"/>
  <c r="AA227" i="6" s="1"/>
  <c r="R1212" i="6"/>
  <c r="U1212" i="6" s="1"/>
  <c r="W1212" i="6" s="1"/>
  <c r="Y1212" i="6" s="1"/>
  <c r="R108" i="6"/>
  <c r="U108" i="6" s="1"/>
  <c r="W108" i="6" s="1"/>
  <c r="Y108" i="6" s="1"/>
  <c r="R556" i="6"/>
  <c r="U556" i="6" s="1"/>
  <c r="W556" i="6" s="1"/>
  <c r="AA556" i="6" s="1"/>
  <c r="R414" i="6"/>
  <c r="U414" i="6" s="1"/>
  <c r="W414" i="6" s="1"/>
  <c r="Y414" i="6" s="1"/>
  <c r="R379" i="6"/>
  <c r="U379" i="6" s="1"/>
  <c r="W379" i="6" s="1"/>
  <c r="AA379" i="6" s="1"/>
  <c r="R300" i="6"/>
  <c r="U300" i="6" s="1"/>
  <c r="W300" i="6" s="1"/>
  <c r="AA300" i="6" s="1"/>
  <c r="R356" i="6"/>
  <c r="U356" i="6" s="1"/>
  <c r="W356" i="6" s="1"/>
  <c r="Y356" i="6" s="1"/>
  <c r="R1158" i="6"/>
  <c r="U1158" i="6" s="1"/>
  <c r="W1158" i="6" s="1"/>
  <c r="AA1158" i="6" s="1"/>
  <c r="R195" i="6"/>
  <c r="U195" i="6" s="1"/>
  <c r="W195" i="6" s="1"/>
  <c r="AA195" i="6" s="1"/>
  <c r="R322" i="6"/>
  <c r="U322" i="6" s="1"/>
  <c r="W322" i="6" s="1"/>
  <c r="AA322" i="6" s="1"/>
  <c r="R266" i="6"/>
  <c r="U266" i="6" s="1"/>
  <c r="W266" i="6" s="1"/>
  <c r="AA266" i="6" s="1"/>
  <c r="R234" i="6"/>
  <c r="U234" i="6" s="1"/>
  <c r="W234" i="6" s="1"/>
  <c r="AA234" i="6" s="1"/>
  <c r="R161" i="6"/>
  <c r="U161" i="6" s="1"/>
  <c r="W161" i="6" s="1"/>
  <c r="Y161" i="6" s="1"/>
  <c r="R125" i="6"/>
  <c r="R103" i="6"/>
  <c r="U103" i="6" s="1"/>
  <c r="W103" i="6" s="1"/>
  <c r="AA103" i="6" s="1"/>
  <c r="R513" i="6"/>
  <c r="U513" i="6" s="1"/>
  <c r="W513" i="6" s="1"/>
  <c r="Y513" i="6" s="1"/>
  <c r="R550" i="6"/>
  <c r="R1194" i="6"/>
  <c r="U1194" i="6" s="1"/>
  <c r="W1194" i="6" s="1"/>
  <c r="AA1194" i="6" s="1"/>
  <c r="R408" i="6"/>
  <c r="U408" i="6" s="1"/>
  <c r="W408" i="6" s="1"/>
  <c r="AA408" i="6" s="1"/>
  <c r="R454" i="6"/>
  <c r="R293" i="6"/>
  <c r="U293" i="6" s="1"/>
  <c r="W293" i="6" s="1"/>
  <c r="AA293" i="6" s="1"/>
  <c r="R14" i="6"/>
  <c r="U14" i="6" s="1"/>
  <c r="W14" i="6" s="1"/>
  <c r="Y14" i="6" s="1"/>
  <c r="R1147" i="6"/>
  <c r="U1147" i="6" s="1"/>
  <c r="W1147" i="6" s="1"/>
  <c r="AA1147" i="6" s="1"/>
  <c r="R516" i="6"/>
  <c r="U516" i="6" s="1"/>
  <c r="W516" i="6" s="1"/>
  <c r="AA516" i="6" s="1"/>
  <c r="R553" i="6"/>
  <c r="U553" i="6" s="1"/>
  <c r="W553" i="6" s="1"/>
  <c r="AA553" i="6" s="1"/>
  <c r="R1197" i="6"/>
  <c r="U1197" i="6" s="1"/>
  <c r="W1197" i="6" s="1"/>
  <c r="AA1197" i="6" s="1"/>
  <c r="R411" i="6"/>
  <c r="R458" i="6"/>
  <c r="U458" i="6" s="1"/>
  <c r="W458" i="6" s="1"/>
  <c r="AA458" i="6" s="1"/>
  <c r="R297" i="6"/>
  <c r="U297" i="6" s="1"/>
  <c r="W297" i="6" s="1"/>
  <c r="Y297" i="6" s="1"/>
  <c r="R353" i="6"/>
  <c r="U353" i="6" s="1"/>
  <c r="W353" i="6" s="1"/>
  <c r="Y353" i="6" s="1"/>
  <c r="R1154" i="6"/>
  <c r="U1154" i="6" s="1"/>
  <c r="W1154" i="6" s="1"/>
  <c r="AA1154" i="6" s="1"/>
  <c r="R465" i="6"/>
  <c r="U465" i="6" s="1"/>
  <c r="W465" i="6" s="1"/>
  <c r="AA465" i="6" s="1"/>
  <c r="R382" i="6"/>
  <c r="U382" i="6" s="1"/>
  <c r="W382" i="6" s="1"/>
  <c r="Y382" i="6" s="1"/>
  <c r="R1207" i="6"/>
  <c r="U1207" i="6" s="1"/>
  <c r="W1207" i="6" s="1"/>
  <c r="AA1207" i="6" s="1"/>
  <c r="R1156" i="6"/>
  <c r="U1156" i="6" s="1"/>
  <c r="W1156" i="6" s="1"/>
  <c r="Y1156" i="6" s="1"/>
  <c r="R1262" i="6"/>
  <c r="U1262" i="6" s="1"/>
  <c r="W1262" i="6" s="1"/>
  <c r="R793" i="6"/>
  <c r="R809" i="6"/>
  <c r="U809" i="6" s="1"/>
  <c r="W809" i="6" s="1"/>
  <c r="Y809" i="6" s="1"/>
  <c r="R881" i="6"/>
  <c r="U881" i="6" s="1"/>
  <c r="W881" i="6" s="1"/>
  <c r="AA881" i="6" s="1"/>
  <c r="R948" i="6"/>
  <c r="U948" i="6" s="1"/>
  <c r="W948" i="6" s="1"/>
  <c r="Y948" i="6" s="1"/>
  <c r="R1297" i="6"/>
  <c r="U1297" i="6" s="1"/>
  <c r="W1297" i="6" s="1"/>
  <c r="Y1297" i="6" s="1"/>
  <c r="R1098" i="6"/>
  <c r="U1098" i="6" s="1"/>
  <c r="W1098" i="6" s="1"/>
  <c r="Y1098" i="6" s="1"/>
  <c r="R748" i="6"/>
  <c r="R746" i="6"/>
  <c r="U746" i="6" s="1"/>
  <c r="W746" i="6" s="1"/>
  <c r="Y746" i="6" s="1"/>
  <c r="R674" i="6"/>
  <c r="U674" i="6" s="1"/>
  <c r="W674" i="6" s="1"/>
  <c r="AA674" i="6" s="1"/>
  <c r="R1019" i="6"/>
  <c r="U1019" i="6" s="1"/>
  <c r="W1019" i="6" s="1"/>
  <c r="Y1019" i="6" s="1"/>
  <c r="R655" i="6"/>
  <c r="U655" i="6" s="1"/>
  <c r="W655" i="6" s="1"/>
  <c r="AA655" i="6" s="1"/>
  <c r="R220" i="6"/>
  <c r="U220" i="6" s="1"/>
  <c r="W220" i="6" s="1"/>
  <c r="Y220" i="6" s="1"/>
  <c r="R450" i="6"/>
  <c r="U450" i="6" s="1"/>
  <c r="W450" i="6" s="1"/>
  <c r="AA450" i="6" s="1"/>
  <c r="R345" i="6"/>
  <c r="U345" i="6" s="1"/>
  <c r="W345" i="6" s="1"/>
  <c r="Y345" i="6" s="1"/>
  <c r="R341" i="6"/>
  <c r="U341" i="6" s="1"/>
  <c r="W341" i="6" s="1"/>
  <c r="Y341" i="6" s="1"/>
  <c r="R1211" i="6"/>
  <c r="U1211" i="6" s="1"/>
  <c r="W1211" i="6" s="1"/>
  <c r="Y1211" i="6" s="1"/>
  <c r="R373" i="6"/>
  <c r="U373" i="6" s="1"/>
  <c r="W373" i="6" s="1"/>
  <c r="AA373" i="6" s="1"/>
  <c r="R483" i="6"/>
  <c r="U483" i="6" s="1"/>
  <c r="W483" i="6" s="1"/>
  <c r="AA483" i="6" s="1"/>
  <c r="R324" i="6"/>
  <c r="U324" i="6" s="1"/>
  <c r="W324" i="6" s="1"/>
  <c r="Y324" i="6" s="1"/>
  <c r="R25" i="6"/>
  <c r="U25" i="6" s="1"/>
  <c r="W25" i="6" s="1"/>
  <c r="AA25" i="6" s="1"/>
  <c r="R349" i="6"/>
  <c r="U349" i="6" s="1"/>
  <c r="W349" i="6" s="1"/>
  <c r="Y349" i="6" s="1"/>
  <c r="R1247" i="6"/>
  <c r="U1247" i="6" s="1"/>
  <c r="W1247" i="6" s="1"/>
  <c r="Y1247" i="6" s="1"/>
  <c r="R435" i="6"/>
  <c r="R206" i="6"/>
  <c r="R328" i="6"/>
  <c r="U328" i="6" s="1"/>
  <c r="W328" i="6" s="1"/>
  <c r="AA328" i="6" s="1"/>
  <c r="R261" i="6"/>
  <c r="U261" i="6" s="1"/>
  <c r="W261" i="6" s="1"/>
  <c r="AA261" i="6" s="1"/>
  <c r="R219" i="6"/>
  <c r="U219" i="6" s="1"/>
  <c r="W219" i="6" s="1"/>
  <c r="Y219" i="6" s="1"/>
  <c r="R1240" i="6"/>
  <c r="U1240" i="6" s="1"/>
  <c r="W1240" i="6" s="1"/>
  <c r="Y1240" i="6" s="1"/>
  <c r="R110" i="6"/>
  <c r="U110" i="6" s="1"/>
  <c r="W110" i="6" s="1"/>
  <c r="Y110" i="6" s="1"/>
  <c r="R560" i="6"/>
  <c r="U560" i="6" s="1"/>
  <c r="W560" i="6" s="1"/>
  <c r="Y560" i="6" s="1"/>
  <c r="R418" i="6"/>
  <c r="R290" i="6"/>
  <c r="U290" i="6" s="1"/>
  <c r="W290" i="6" s="1"/>
  <c r="Y290" i="6" s="1"/>
  <c r="R154" i="6"/>
  <c r="U154" i="6" s="1"/>
  <c r="W154" i="6" s="1"/>
  <c r="AA154" i="6" s="1"/>
  <c r="R182" i="6"/>
  <c r="U182" i="6" s="1"/>
  <c r="W182" i="6" s="1"/>
  <c r="Y182" i="6" s="1"/>
  <c r="R276" i="6"/>
  <c r="U276" i="6" s="1"/>
  <c r="W276" i="6" s="1"/>
  <c r="AA276" i="6" s="1"/>
  <c r="R233" i="6"/>
  <c r="U233" i="6" s="1"/>
  <c r="W233" i="6" s="1"/>
  <c r="Y233" i="6" s="1"/>
  <c r="R1244" i="6"/>
  <c r="U1244" i="6" s="1"/>
  <c r="W1244" i="6" s="1"/>
  <c r="AA1244" i="6" s="1"/>
  <c r="R109" i="6"/>
  <c r="U109" i="6" s="1"/>
  <c r="W109" i="6" s="1"/>
  <c r="AA109" i="6" s="1"/>
  <c r="R559" i="6"/>
  <c r="R417" i="6"/>
  <c r="U417" i="6" s="1"/>
  <c r="W417" i="6" s="1"/>
  <c r="Y417" i="6" s="1"/>
  <c r="R285" i="6"/>
  <c r="U285" i="6" s="1"/>
  <c r="W285" i="6" s="1"/>
  <c r="AA285" i="6" s="1"/>
  <c r="R209" i="6"/>
  <c r="U209" i="6" s="1"/>
  <c r="W209" i="6" s="1"/>
  <c r="AA209" i="6" s="1"/>
  <c r="R170" i="6"/>
  <c r="U170" i="6" s="1"/>
  <c r="W170" i="6" s="1"/>
  <c r="AA170" i="6" s="1"/>
  <c r="R264" i="6"/>
  <c r="U264" i="6" s="1"/>
  <c r="W264" i="6" s="1"/>
  <c r="AA264" i="6" s="1"/>
  <c r="R221" i="6"/>
  <c r="U221" i="6" s="1"/>
  <c r="W221" i="6" s="1"/>
  <c r="Y221" i="6" s="1"/>
  <c r="R144" i="6"/>
  <c r="U144" i="6" s="1"/>
  <c r="W144" i="6" s="1"/>
  <c r="AA144" i="6" s="1"/>
  <c r="R101" i="6"/>
  <c r="R548" i="6"/>
  <c r="R406" i="6"/>
  <c r="U406" i="6" s="1"/>
  <c r="W406" i="6" s="1"/>
  <c r="Y406" i="6" s="1"/>
  <c r="R357" i="6"/>
  <c r="U357" i="6" s="1"/>
  <c r="W357" i="6" s="1"/>
  <c r="AA357" i="6" s="1"/>
  <c r="R294" i="6"/>
  <c r="U294" i="6" s="1"/>
  <c r="W294" i="6" s="1"/>
  <c r="Y294" i="6" s="1"/>
  <c r="R16" i="6"/>
  <c r="U16" i="6" s="1"/>
  <c r="W16" i="6" s="1"/>
  <c r="AA16" i="6" s="1"/>
  <c r="R1150" i="6"/>
  <c r="R191" i="6"/>
  <c r="U191" i="6" s="1"/>
  <c r="W191" i="6" s="1"/>
  <c r="Y191" i="6" s="1"/>
  <c r="R1009" i="6"/>
  <c r="R262" i="6"/>
  <c r="R230" i="6"/>
  <c r="U230" i="6" s="1"/>
  <c r="W230" i="6" s="1"/>
  <c r="Y230" i="6" s="1"/>
  <c r="R157" i="6"/>
  <c r="U157" i="6" s="1"/>
  <c r="W157" i="6" s="1"/>
  <c r="AA157" i="6" s="1"/>
  <c r="R121" i="6"/>
  <c r="U121" i="6" s="1"/>
  <c r="W121" i="6" s="1"/>
  <c r="Y121" i="6" s="1"/>
  <c r="R99" i="6"/>
  <c r="U99" i="6" s="1"/>
  <c r="W99" i="6" s="1"/>
  <c r="AA99" i="6" s="1"/>
  <c r="R509" i="6"/>
  <c r="U509" i="6" s="1"/>
  <c r="W509" i="6" s="1"/>
  <c r="AA509" i="6" s="1"/>
  <c r="R546" i="6"/>
  <c r="R1190" i="6"/>
  <c r="R404" i="6"/>
  <c r="U404" i="6" s="1"/>
  <c r="W404" i="6" s="1"/>
  <c r="Y404" i="6" s="1"/>
  <c r="R448" i="6"/>
  <c r="U448" i="6" s="1"/>
  <c r="W448" i="6" s="1"/>
  <c r="Y448" i="6" s="1"/>
  <c r="R288" i="6"/>
  <c r="U288" i="6" s="1"/>
  <c r="W288" i="6" s="1"/>
  <c r="AA288" i="6" s="1"/>
  <c r="R9" i="6"/>
  <c r="U9" i="6" s="1"/>
  <c r="W9" i="6" s="1"/>
  <c r="AA9" i="6" s="1"/>
  <c r="R102" i="6"/>
  <c r="U102" i="6" s="1"/>
  <c r="W102" i="6" s="1"/>
  <c r="AA102" i="6" s="1"/>
  <c r="R512" i="6"/>
  <c r="U512" i="6" s="1"/>
  <c r="W512" i="6" s="1"/>
  <c r="Y512" i="6" s="1"/>
  <c r="R549" i="6"/>
  <c r="U549" i="6" s="1"/>
  <c r="W549" i="6" s="1"/>
  <c r="Y549" i="6" s="1"/>
  <c r="R1193" i="6"/>
  <c r="R407" i="6"/>
  <c r="U407" i="6" s="1"/>
  <c r="W407" i="6" s="1"/>
  <c r="Y407" i="6" s="1"/>
  <c r="R452" i="6"/>
  <c r="U452" i="6" s="1"/>
  <c r="W452" i="6" s="1"/>
  <c r="AA452" i="6" s="1"/>
  <c r="R292" i="6"/>
  <c r="U292" i="6" s="1"/>
  <c r="W292" i="6" s="1"/>
  <c r="Y292" i="6" s="1"/>
  <c r="R13" i="6"/>
  <c r="U13" i="6" s="1"/>
  <c r="W13" i="6" s="1"/>
  <c r="AA13" i="6" s="1"/>
  <c r="R1146" i="6"/>
  <c r="U1146" i="6" s="1"/>
  <c r="W1146" i="6" s="1"/>
  <c r="Y1146" i="6" s="1"/>
  <c r="R461" i="6"/>
  <c r="U461" i="6" s="1"/>
  <c r="W461" i="6" s="1"/>
  <c r="AA461" i="6" s="1"/>
  <c r="R299" i="6"/>
  <c r="U299" i="6" s="1"/>
  <c r="W299" i="6" s="1"/>
  <c r="AA299" i="6" s="1"/>
  <c r="R1185" i="6"/>
  <c r="R1152" i="6"/>
  <c r="U1152" i="6" s="1"/>
  <c r="W1152" i="6" s="1"/>
  <c r="Y1152" i="6" s="1"/>
  <c r="R1258" i="6"/>
  <c r="U1258" i="6" s="1"/>
  <c r="W1258" i="6" s="1"/>
  <c r="R821" i="6"/>
  <c r="U821" i="6" s="1"/>
  <c r="W821" i="6" s="1"/>
  <c r="R803" i="6"/>
  <c r="U803" i="6" s="1"/>
  <c r="W803" i="6" s="1"/>
  <c r="AA803" i="6" s="1"/>
  <c r="R874" i="6"/>
  <c r="U874" i="6" s="1"/>
  <c r="W874" i="6" s="1"/>
  <c r="AA874" i="6" s="1"/>
  <c r="R999" i="6"/>
  <c r="U999" i="6" s="1"/>
  <c r="W999" i="6" s="1"/>
  <c r="Y999" i="6" s="1"/>
  <c r="R1289" i="6"/>
  <c r="U1289" i="6" s="1"/>
  <c r="W1289" i="6" s="1"/>
  <c r="Y1289" i="6" s="1"/>
  <c r="R1107" i="6"/>
  <c r="U1107" i="6" s="1"/>
  <c r="W1107" i="6" s="1"/>
  <c r="AA1107" i="6" s="1"/>
  <c r="R640" i="6"/>
  <c r="R628" i="6"/>
  <c r="U628" i="6" s="1"/>
  <c r="W628" i="6" s="1"/>
  <c r="Y628" i="6" s="1"/>
  <c r="R778" i="6"/>
  <c r="U778" i="6" s="1"/>
  <c r="W778" i="6" s="1"/>
  <c r="AA778" i="6" s="1"/>
  <c r="R572" i="6"/>
  <c r="U572" i="6" s="1"/>
  <c r="W572" i="6" s="1"/>
  <c r="AA572" i="6" s="1"/>
  <c r="R685" i="6"/>
  <c r="U685" i="6" s="1"/>
  <c r="W685" i="6" s="1"/>
  <c r="AA685" i="6" s="1"/>
  <c r="R272" i="6"/>
  <c r="U272" i="6" s="1"/>
  <c r="W272" i="6" s="1"/>
  <c r="AA272" i="6" s="1"/>
  <c r="R185" i="6"/>
  <c r="U185" i="6" s="1"/>
  <c r="W185" i="6" s="1"/>
  <c r="AA185" i="6" s="1"/>
  <c r="R197" i="6"/>
  <c r="U197" i="6" s="1"/>
  <c r="W197" i="6" s="1"/>
  <c r="Y197" i="6" s="1"/>
  <c r="R31" i="6"/>
  <c r="U31" i="6" s="1"/>
  <c r="W31" i="6" s="1"/>
  <c r="AA31" i="6" s="1"/>
  <c r="R18" i="6"/>
  <c r="U18" i="6" s="1"/>
  <c r="W18" i="6" s="1"/>
  <c r="AA18" i="6" s="1"/>
  <c r="R471" i="6"/>
  <c r="U471" i="6" s="1"/>
  <c r="W471" i="6" s="1"/>
  <c r="Y471" i="6" s="1"/>
  <c r="R279" i="6"/>
  <c r="U279" i="6" s="1"/>
  <c r="W279" i="6" s="1"/>
  <c r="AA279" i="6" s="1"/>
  <c r="R100" i="6"/>
  <c r="U100" i="6" s="1"/>
  <c r="W100" i="6" s="1"/>
  <c r="AA100" i="6" s="1"/>
  <c r="R208" i="6"/>
  <c r="U208" i="6" s="1"/>
  <c r="W208" i="6" s="1"/>
  <c r="AA208" i="6" s="1"/>
  <c r="R137" i="6"/>
  <c r="U137" i="6" s="1"/>
  <c r="W137" i="6" s="1"/>
  <c r="AA137" i="6" s="1"/>
  <c r="R1182" i="6"/>
  <c r="R201" i="6"/>
  <c r="R323" i="6"/>
  <c r="U323" i="6" s="1"/>
  <c r="W323" i="6" s="1"/>
  <c r="AA323" i="6" s="1"/>
  <c r="R256" i="6"/>
  <c r="U256" i="6" s="1"/>
  <c r="W256" i="6" s="1"/>
  <c r="AA256" i="6" s="1"/>
  <c r="R153" i="6"/>
  <c r="U153" i="6" s="1"/>
  <c r="W153" i="6" s="1"/>
  <c r="AA153" i="6" s="1"/>
  <c r="R1210" i="6"/>
  <c r="U1210" i="6" s="1"/>
  <c r="W1210" i="6" s="1"/>
  <c r="AA1210" i="6" s="1"/>
  <c r="R105" i="6"/>
  <c r="U105" i="6" s="1"/>
  <c r="W105" i="6" s="1"/>
  <c r="Y105" i="6" s="1"/>
  <c r="R552" i="6"/>
  <c r="U552" i="6" s="1"/>
  <c r="W552" i="6" s="1"/>
  <c r="Y552" i="6" s="1"/>
  <c r="R410" i="6"/>
  <c r="R368" i="6"/>
  <c r="R307" i="6"/>
  <c r="U307" i="6" s="1"/>
  <c r="W307" i="6" s="1"/>
  <c r="AA307" i="6" s="1"/>
  <c r="R177" i="6"/>
  <c r="U177" i="6" s="1"/>
  <c r="W177" i="6" s="1"/>
  <c r="Y177" i="6" s="1"/>
  <c r="R271" i="6"/>
  <c r="U271" i="6" s="1"/>
  <c r="W271" i="6" s="1"/>
  <c r="Y271" i="6" s="1"/>
  <c r="R228" i="6"/>
  <c r="U228" i="6" s="1"/>
  <c r="W228" i="6" s="1"/>
  <c r="AA228" i="6" s="1"/>
  <c r="R1239" i="6"/>
  <c r="U1239" i="6" s="1"/>
  <c r="W1239" i="6" s="1"/>
  <c r="Y1239" i="6" s="1"/>
  <c r="R104" i="6"/>
  <c r="U104" i="6" s="1"/>
  <c r="W104" i="6" s="1"/>
  <c r="AA104" i="6" s="1"/>
  <c r="R551" i="6"/>
  <c r="R409" i="6"/>
  <c r="U409" i="6" s="1"/>
  <c r="W409" i="6" s="1"/>
  <c r="Y409" i="6" s="1"/>
  <c r="R363" i="6"/>
  <c r="U363" i="6" s="1"/>
  <c r="W363" i="6" s="1"/>
  <c r="AA363" i="6" s="1"/>
  <c r="R204" i="6"/>
  <c r="U204" i="6" s="1"/>
  <c r="W204" i="6" s="1"/>
  <c r="Y204" i="6" s="1"/>
  <c r="R325" i="6"/>
  <c r="U325" i="6" s="1"/>
  <c r="W325" i="6" s="1"/>
  <c r="AA325" i="6" s="1"/>
  <c r="R259" i="6"/>
  <c r="U259" i="6" s="1"/>
  <c r="W259" i="6" s="1"/>
  <c r="AA259" i="6" s="1"/>
  <c r="R216" i="6"/>
  <c r="U216" i="6" s="1"/>
  <c r="W216" i="6" s="1"/>
  <c r="AA216" i="6" s="1"/>
  <c r="R139" i="6"/>
  <c r="U139" i="6" s="1"/>
  <c r="W139" i="6" s="1"/>
  <c r="AA139" i="6" s="1"/>
  <c r="R93" i="6"/>
  <c r="R540" i="6"/>
  <c r="R397" i="6"/>
  <c r="U397" i="6" s="1"/>
  <c r="W397" i="6" s="1"/>
  <c r="Y397" i="6" s="1"/>
  <c r="R1205" i="6"/>
  <c r="U1205" i="6" s="1"/>
  <c r="W1205" i="6" s="1"/>
  <c r="Y1205" i="6" s="1"/>
  <c r="R289" i="6"/>
  <c r="U289" i="6" s="1"/>
  <c r="W289" i="6" s="1"/>
  <c r="Y289" i="6" s="1"/>
  <c r="R10" i="6"/>
  <c r="U10" i="6" s="1"/>
  <c r="W10" i="6" s="1"/>
  <c r="Y10" i="6" s="1"/>
  <c r="R1142" i="6"/>
  <c r="U1142" i="6" s="1"/>
  <c r="W1142" i="6" s="1"/>
  <c r="Y1142" i="6" s="1"/>
  <c r="R187" i="6"/>
  <c r="U187" i="6" s="1"/>
  <c r="W187" i="6" s="1"/>
  <c r="AA187" i="6" s="1"/>
  <c r="R317" i="6"/>
  <c r="R258" i="6"/>
  <c r="U258" i="6" s="1"/>
  <c r="W258" i="6" s="1"/>
  <c r="AA258" i="6" s="1"/>
  <c r="R226" i="6"/>
  <c r="U226" i="6" s="1"/>
  <c r="W226" i="6" s="1"/>
  <c r="Y226" i="6" s="1"/>
  <c r="R1251" i="6"/>
  <c r="U1251" i="6" s="1"/>
  <c r="W1251" i="6" s="1"/>
  <c r="Y1251" i="6" s="1"/>
  <c r="R30" i="6"/>
  <c r="U30" i="6" s="1"/>
  <c r="W30" i="6" s="1"/>
  <c r="Y30" i="6" s="1"/>
  <c r="R95" i="6"/>
  <c r="U95" i="6" s="1"/>
  <c r="W95" i="6" s="1"/>
  <c r="Y95" i="6" s="1"/>
  <c r="R505" i="6"/>
  <c r="U505" i="6" s="1"/>
  <c r="W505" i="6" s="1"/>
  <c r="Y505" i="6" s="1"/>
  <c r="R542" i="6"/>
  <c r="U542" i="6" s="1"/>
  <c r="W542" i="6" s="1"/>
  <c r="AA542" i="6" s="1"/>
  <c r="R432" i="6"/>
  <c r="R400" i="6"/>
  <c r="R443" i="6"/>
  <c r="U443" i="6" s="1"/>
  <c r="W443" i="6" s="1"/>
  <c r="AA443" i="6" s="1"/>
  <c r="R282" i="6"/>
  <c r="U282" i="6" s="1"/>
  <c r="W282" i="6" s="1"/>
  <c r="Y282" i="6" s="1"/>
  <c r="R1208" i="6"/>
  <c r="U1208" i="6" s="1"/>
  <c r="W1208" i="6" s="1"/>
  <c r="AA1208" i="6" s="1"/>
  <c r="R98" i="6"/>
  <c r="U98" i="6" s="1"/>
  <c r="W98" i="6" s="1"/>
  <c r="AA98" i="6" s="1"/>
  <c r="R508" i="6"/>
  <c r="U508" i="6" s="1"/>
  <c r="W508" i="6" s="1"/>
  <c r="Y508" i="6" s="1"/>
  <c r="R545" i="6"/>
  <c r="U545" i="6" s="1"/>
  <c r="W545" i="6" s="1"/>
  <c r="Y545" i="6" s="1"/>
  <c r="R1189" i="6"/>
  <c r="R403" i="6"/>
  <c r="U403" i="6" s="1"/>
  <c r="W403" i="6" s="1"/>
  <c r="Y403" i="6" s="1"/>
  <c r="R447" i="6"/>
  <c r="U447" i="6" s="1"/>
  <c r="W447" i="6" s="1"/>
  <c r="Y447" i="6" s="1"/>
  <c r="R286" i="6"/>
  <c r="U286" i="6" s="1"/>
  <c r="W286" i="6" s="1"/>
  <c r="Y286" i="6" s="1"/>
  <c r="R8" i="6"/>
  <c r="U8" i="6" s="1"/>
  <c r="W8" i="6" s="1"/>
  <c r="AA8" i="6" s="1"/>
  <c r="R1139" i="6"/>
  <c r="U1139" i="6" s="1"/>
  <c r="W1139" i="6" s="1"/>
  <c r="Y1139" i="6" s="1"/>
  <c r="R457" i="6"/>
  <c r="U457" i="6" s="1"/>
  <c r="W457" i="6" s="1"/>
  <c r="AA457" i="6" s="1"/>
  <c r="R283" i="6"/>
  <c r="U283" i="6" s="1"/>
  <c r="W283" i="6" s="1"/>
  <c r="AA283" i="6" s="1"/>
  <c r="R1169" i="6"/>
  <c r="R166" i="6"/>
  <c r="U166" i="6" s="1"/>
  <c r="W166" i="6" s="1"/>
  <c r="AA166" i="6" s="1"/>
  <c r="R820" i="6"/>
  <c r="U820" i="6" s="1"/>
  <c r="W820" i="6" s="1"/>
  <c r="AA820" i="6" s="1"/>
  <c r="R801" i="6"/>
  <c r="U801" i="6" s="1"/>
  <c r="W801" i="6" s="1"/>
  <c r="Y801" i="6" s="1"/>
  <c r="R864" i="6"/>
  <c r="U864" i="6" s="1"/>
  <c r="W864" i="6" s="1"/>
  <c r="Y864" i="6" s="1"/>
  <c r="R991" i="6"/>
  <c r="U991" i="6" s="1"/>
  <c r="W991" i="6" s="1"/>
  <c r="Y991" i="6" s="1"/>
  <c r="R1281" i="6"/>
  <c r="U1281" i="6" s="1"/>
  <c r="W1281" i="6" s="1"/>
  <c r="Y1281" i="6" s="1"/>
  <c r="R1120" i="6"/>
  <c r="U1120" i="6" s="1"/>
  <c r="W1120" i="6" s="1"/>
  <c r="Y1120" i="6" s="1"/>
  <c r="R752" i="6"/>
  <c r="U752" i="6" s="1"/>
  <c r="W752" i="6" s="1"/>
  <c r="Y752" i="6" s="1"/>
  <c r="R593" i="6"/>
  <c r="U593" i="6" s="1"/>
  <c r="W593" i="6" s="1"/>
  <c r="AA593" i="6" s="1"/>
  <c r="R684" i="6"/>
  <c r="U684" i="6" s="1"/>
  <c r="W684" i="6" s="1"/>
  <c r="Y684" i="6" s="1"/>
  <c r="R1044" i="6"/>
  <c r="U1044" i="6" s="1"/>
  <c r="W1044" i="6" s="1"/>
  <c r="Y1044" i="6" s="1"/>
  <c r="R708" i="6"/>
  <c r="U708" i="6" s="1"/>
  <c r="W708" i="6" s="1"/>
  <c r="AA708" i="6" s="1"/>
  <c r="R304" i="6"/>
  <c r="U304" i="6" s="1"/>
  <c r="W304" i="6" s="1"/>
  <c r="Y304" i="6" s="1"/>
  <c r="R316" i="6"/>
  <c r="U316" i="6" s="1"/>
  <c r="W316" i="6" s="1"/>
  <c r="Y316" i="6" s="1"/>
  <c r="R180" i="6"/>
  <c r="U180" i="6" s="1"/>
  <c r="W180" i="6" s="1"/>
  <c r="AA180" i="6" s="1"/>
  <c r="R106" i="6"/>
  <c r="R202" i="6"/>
  <c r="U202" i="6" s="1"/>
  <c r="W202" i="6" s="1"/>
  <c r="AA202" i="6" s="1"/>
  <c r="R296" i="6"/>
  <c r="U296" i="6" s="1"/>
  <c r="W296" i="6" s="1"/>
  <c r="AA296" i="6" s="1"/>
  <c r="R257" i="6"/>
  <c r="U257" i="6" s="1"/>
  <c r="W257" i="6" s="1"/>
  <c r="Y257" i="6" s="1"/>
  <c r="R510" i="6"/>
  <c r="U510" i="6" s="1"/>
  <c r="W510" i="6" s="1"/>
  <c r="AA510" i="6" s="1"/>
  <c r="R169" i="6"/>
  <c r="U169" i="6" s="1"/>
  <c r="W169" i="6" s="1"/>
  <c r="Y169" i="6" s="1"/>
  <c r="R117" i="6"/>
  <c r="U117" i="6" s="1"/>
  <c r="W117" i="6" s="1"/>
  <c r="AA117" i="6" s="1"/>
  <c r="R348" i="6"/>
  <c r="U348" i="6" s="1"/>
  <c r="W348" i="6" s="1"/>
  <c r="Y348" i="6" s="1"/>
  <c r="R196" i="6"/>
  <c r="R1008" i="6"/>
  <c r="R251" i="6"/>
  <c r="U251" i="6" s="1"/>
  <c r="W251" i="6" s="1"/>
  <c r="Y251" i="6" s="1"/>
  <c r="R151" i="6"/>
  <c r="U151" i="6" s="1"/>
  <c r="W151" i="6" s="1"/>
  <c r="AA151" i="6" s="1"/>
  <c r="R141" i="6"/>
  <c r="U141" i="6" s="1"/>
  <c r="W141" i="6" s="1"/>
  <c r="AA141" i="6" s="1"/>
  <c r="R97" i="6"/>
  <c r="U97" i="6" s="1"/>
  <c r="W97" i="6" s="1"/>
  <c r="Y97" i="6" s="1"/>
  <c r="R544" i="6"/>
  <c r="U544" i="6" s="1"/>
  <c r="W544" i="6" s="1"/>
  <c r="Y544" i="6" s="1"/>
  <c r="R402" i="6"/>
  <c r="U402" i="6" s="1"/>
  <c r="W402" i="6" s="1"/>
  <c r="Y402" i="6" s="1"/>
  <c r="R12" i="6"/>
  <c r="U12" i="6" s="1"/>
  <c r="W12" i="6" s="1"/>
  <c r="AA12" i="6" s="1"/>
  <c r="R303" i="6"/>
  <c r="R172" i="6"/>
  <c r="U172" i="6" s="1"/>
  <c r="W172" i="6" s="1"/>
  <c r="AA172" i="6" s="1"/>
  <c r="R265" i="6"/>
  <c r="U265" i="6" s="1"/>
  <c r="W265" i="6" s="1"/>
  <c r="Y265" i="6" s="1"/>
  <c r="R223" i="6"/>
  <c r="U223" i="6" s="1"/>
  <c r="W223" i="6" s="1"/>
  <c r="AA223" i="6" s="1"/>
  <c r="R145" i="6"/>
  <c r="U145" i="6" s="1"/>
  <c r="W145" i="6" s="1"/>
  <c r="AA145" i="6" s="1"/>
  <c r="R96" i="6"/>
  <c r="U96" i="6" s="1"/>
  <c r="W96" i="6" s="1"/>
  <c r="AA96" i="6" s="1"/>
  <c r="R543" i="6"/>
  <c r="U543" i="6" s="1"/>
  <c r="W543" i="6" s="1"/>
  <c r="AA543" i="6" s="1"/>
  <c r="R401" i="6"/>
  <c r="R6" i="6"/>
  <c r="U6" i="6" s="1"/>
  <c r="W6" i="6" s="1"/>
  <c r="Y6" i="6" s="1"/>
  <c r="R198" i="6"/>
  <c r="U198" i="6" s="1"/>
  <c r="W198" i="6" s="1"/>
  <c r="Y198" i="6" s="1"/>
  <c r="R320" i="6"/>
  <c r="U320" i="6" s="1"/>
  <c r="W320" i="6" s="1"/>
  <c r="Y320" i="6" s="1"/>
  <c r="R253" i="6"/>
  <c r="U253" i="6" s="1"/>
  <c r="W253" i="6" s="1"/>
  <c r="AA253" i="6" s="1"/>
  <c r="R148" i="6"/>
  <c r="U148" i="6" s="1"/>
  <c r="W148" i="6" s="1"/>
  <c r="AA148" i="6" s="1"/>
  <c r="R124" i="6"/>
  <c r="R20" i="6"/>
  <c r="U20" i="6" s="1"/>
  <c r="W20" i="6" s="1"/>
  <c r="Y20" i="6" s="1"/>
  <c r="R484" i="6"/>
  <c r="R472" i="6"/>
  <c r="R1159" i="6"/>
  <c r="U1159" i="6" s="1"/>
  <c r="W1159" i="6" s="1"/>
  <c r="Y1159" i="6" s="1"/>
  <c r="R284" i="6"/>
  <c r="U284" i="6" s="1"/>
  <c r="W284" i="6" s="1"/>
  <c r="Y284" i="6" s="1"/>
  <c r="R5" i="6"/>
  <c r="U5" i="6" s="1"/>
  <c r="W5" i="6" s="1"/>
  <c r="Y5" i="6" s="1"/>
  <c r="R302" i="6"/>
  <c r="U302" i="6" s="1"/>
  <c r="W302" i="6" s="1"/>
  <c r="Y302" i="6" s="1"/>
  <c r="R183" i="6"/>
  <c r="U183" i="6" s="1"/>
  <c r="W183" i="6" s="1"/>
  <c r="Y183" i="6" s="1"/>
  <c r="R313" i="6"/>
  <c r="U313" i="6" s="1"/>
  <c r="W313" i="6" s="1"/>
  <c r="AA313" i="6" s="1"/>
  <c r="R254" i="6"/>
  <c r="R222" i="6"/>
  <c r="U222" i="6" s="1"/>
  <c r="W222" i="6" s="1"/>
  <c r="Y222" i="6" s="1"/>
  <c r="R1246" i="6"/>
  <c r="U1246" i="6" s="1"/>
  <c r="W1246" i="6" s="1"/>
  <c r="Y1246" i="6" s="1"/>
  <c r="R26" i="6"/>
  <c r="U26" i="6" s="1"/>
  <c r="W26" i="6" s="1"/>
  <c r="Y26" i="6" s="1"/>
  <c r="R91" i="6"/>
  <c r="U91" i="6" s="1"/>
  <c r="W91" i="6" s="1"/>
  <c r="AA91" i="6" s="1"/>
  <c r="R501" i="6"/>
  <c r="U501" i="6" s="1"/>
  <c r="W501" i="6" s="1"/>
  <c r="Y501" i="6" s="1"/>
  <c r="R538" i="6"/>
  <c r="U538" i="6" s="1"/>
  <c r="W538" i="6" s="1"/>
  <c r="Y538" i="6" s="1"/>
  <c r="R428" i="6"/>
  <c r="U428" i="6" s="1"/>
  <c r="W428" i="6" s="1"/>
  <c r="Y428" i="6" s="1"/>
  <c r="R394" i="6"/>
  <c r="R438" i="6"/>
  <c r="R376" i="6"/>
  <c r="U376" i="6" s="1"/>
  <c r="W376" i="6" s="1"/>
  <c r="AA376" i="6" s="1"/>
  <c r="R1184" i="6"/>
  <c r="U1184" i="6" s="1"/>
  <c r="W1184" i="6" s="1"/>
  <c r="Y1184" i="6" s="1"/>
  <c r="R94" i="6"/>
  <c r="U94" i="6" s="1"/>
  <c r="W94" i="6" s="1"/>
  <c r="Y94" i="6" s="1"/>
  <c r="R504" i="6"/>
  <c r="U504" i="6" s="1"/>
  <c r="W504" i="6" s="1"/>
  <c r="AA504" i="6" s="1"/>
  <c r="R541" i="6"/>
  <c r="U541" i="6" s="1"/>
  <c r="W541" i="6" s="1"/>
  <c r="AA541" i="6" s="1"/>
  <c r="R431" i="6"/>
  <c r="U431" i="6" s="1"/>
  <c r="W431" i="6" s="1"/>
  <c r="AA431" i="6" s="1"/>
  <c r="R398" i="6"/>
  <c r="U398" i="6" s="1"/>
  <c r="W398" i="6" s="1"/>
  <c r="Y398" i="6" s="1"/>
  <c r="R442" i="6"/>
  <c r="U442" i="6" s="1"/>
  <c r="W442" i="6" s="1"/>
  <c r="Y442" i="6" s="1"/>
  <c r="R380" i="6"/>
  <c r="U380" i="6" s="1"/>
  <c r="W380" i="6" s="1"/>
  <c r="Y380" i="6" s="1"/>
  <c r="R1206" i="6"/>
  <c r="U1206" i="6" s="1"/>
  <c r="W1206" i="6" s="1"/>
  <c r="Y1206" i="6" s="1"/>
  <c r="R399" i="6"/>
  <c r="U399" i="6" s="1"/>
  <c r="W399" i="6" s="1"/>
  <c r="AA399" i="6" s="1"/>
  <c r="R453" i="6"/>
  <c r="U453" i="6" s="1"/>
  <c r="W453" i="6" s="1"/>
  <c r="AA453" i="6" s="1"/>
  <c r="R374" i="6"/>
  <c r="U374" i="6" s="1"/>
  <c r="W374" i="6" s="1"/>
  <c r="Y374" i="6" s="1"/>
  <c r="R1161" i="6"/>
  <c r="U1161" i="6" s="1"/>
  <c r="W1161" i="6" s="1"/>
  <c r="Y1161" i="6" s="1"/>
  <c r="R819" i="6"/>
  <c r="R893" i="6"/>
  <c r="U893" i="6" s="1"/>
  <c r="W893" i="6" s="1"/>
  <c r="Y893" i="6" s="1"/>
  <c r="R856" i="6"/>
  <c r="U856" i="6" s="1"/>
  <c r="W856" i="6" s="1"/>
  <c r="Y856" i="6" s="1"/>
  <c r="R983" i="6"/>
  <c r="U983" i="6" s="1"/>
  <c r="W983" i="6" s="1"/>
  <c r="Y983" i="6" s="1"/>
  <c r="R1273" i="6"/>
  <c r="U1273" i="6" s="1"/>
  <c r="W1273" i="6" s="1"/>
  <c r="Y1273" i="6" s="1"/>
  <c r="R1066" i="6"/>
  <c r="U1066" i="6" s="1"/>
  <c r="W1066" i="6" s="1"/>
  <c r="AA1066" i="6" s="1"/>
  <c r="R699" i="6"/>
  <c r="U699" i="6" s="1"/>
  <c r="W699" i="6" s="1"/>
  <c r="Y699" i="6" s="1"/>
  <c r="R604" i="6"/>
  <c r="U604" i="6" s="1"/>
  <c r="W604" i="6" s="1"/>
  <c r="Y604" i="6" s="1"/>
  <c r="R1028" i="6"/>
  <c r="R747" i="6"/>
  <c r="U747" i="6" s="1"/>
  <c r="W747" i="6" s="1"/>
  <c r="Y747" i="6" s="1"/>
  <c r="R247" i="6"/>
  <c r="U247" i="6" s="1"/>
  <c r="W247" i="6" s="1"/>
  <c r="AA247" i="6" s="1"/>
  <c r="R311" i="6"/>
  <c r="U311" i="6" s="1"/>
  <c r="W311" i="6" s="1"/>
  <c r="AA311" i="6" s="1"/>
  <c r="R518" i="6"/>
  <c r="U518" i="6" s="1"/>
  <c r="W518" i="6" s="1"/>
  <c r="AA518" i="6" s="1"/>
  <c r="R268" i="6"/>
  <c r="R1151" i="6"/>
  <c r="U1151" i="6" s="1"/>
  <c r="W1151" i="6" s="1"/>
  <c r="AA1151" i="6" s="1"/>
  <c r="R236" i="6"/>
  <c r="U236" i="6" s="1"/>
  <c r="W236" i="6" s="1"/>
  <c r="AA236" i="6" s="1"/>
  <c r="R547" i="6"/>
  <c r="U547" i="6" s="1"/>
  <c r="W547" i="6" s="1"/>
  <c r="AA547" i="6" s="1"/>
  <c r="R319" i="6"/>
  <c r="U319" i="6" s="1"/>
  <c r="W319" i="6" s="1"/>
  <c r="AA319" i="6" s="1"/>
  <c r="R92" i="6"/>
  <c r="U92" i="6" s="1"/>
  <c r="W92" i="6" s="1"/>
  <c r="AA92" i="6" s="1"/>
  <c r="R344" i="6"/>
  <c r="U344" i="6" s="1"/>
  <c r="W344" i="6" s="1"/>
  <c r="Y344" i="6" s="1"/>
  <c r="R190" i="6"/>
  <c r="U190" i="6" s="1"/>
  <c r="W190" i="6" s="1"/>
  <c r="AA190" i="6" s="1"/>
  <c r="R315" i="6"/>
  <c r="U315" i="6" s="1"/>
  <c r="W315" i="6" s="1"/>
  <c r="AA315" i="6" s="1"/>
  <c r="R245" i="6"/>
  <c r="U245" i="6" s="1"/>
  <c r="W245" i="6" s="1"/>
  <c r="AA245" i="6" s="1"/>
  <c r="R146" i="6"/>
  <c r="R127" i="6"/>
  <c r="U127" i="6" s="1"/>
  <c r="W127" i="6" s="1"/>
  <c r="Y127" i="6" s="1"/>
  <c r="R89" i="6"/>
  <c r="U89" i="6" s="1"/>
  <c r="W89" i="6" s="1"/>
  <c r="AA89" i="6" s="1"/>
  <c r="R536" i="6"/>
  <c r="U536" i="6" s="1"/>
  <c r="W536" i="6" s="1"/>
  <c r="AA536" i="6" s="1"/>
  <c r="R478" i="6"/>
  <c r="U478" i="6" s="1"/>
  <c r="W478" i="6" s="1"/>
  <c r="AA478" i="6" s="1"/>
  <c r="R1175" i="6"/>
  <c r="U1175" i="6" s="1"/>
  <c r="W1175" i="6" s="1"/>
  <c r="AA1175" i="6" s="1"/>
  <c r="R210" i="6"/>
  <c r="U210" i="6" s="1"/>
  <c r="W210" i="6" s="1"/>
  <c r="AA210" i="6" s="1"/>
  <c r="R327" i="6"/>
  <c r="U327" i="6" s="1"/>
  <c r="W327" i="6" s="1"/>
  <c r="AA327" i="6" s="1"/>
  <c r="R260" i="6"/>
  <c r="U260" i="6" s="1"/>
  <c r="W260" i="6" s="1"/>
  <c r="AA260" i="6" s="1"/>
  <c r="R217" i="6"/>
  <c r="R140" i="6"/>
  <c r="U140" i="6" s="1"/>
  <c r="W140" i="6" s="1"/>
  <c r="Y140" i="6" s="1"/>
  <c r="R23" i="6"/>
  <c r="U23" i="6" s="1"/>
  <c r="W23" i="6" s="1"/>
  <c r="Y23" i="6" s="1"/>
  <c r="R487" i="6"/>
  <c r="U487" i="6" s="1"/>
  <c r="W487" i="6" s="1"/>
  <c r="AA487" i="6" s="1"/>
  <c r="R476" i="6"/>
  <c r="U476" i="6" s="1"/>
  <c r="W476" i="6" s="1"/>
  <c r="AA476" i="6" s="1"/>
  <c r="R1167" i="6"/>
  <c r="U1167" i="6" s="1"/>
  <c r="W1167" i="6" s="1"/>
  <c r="AA1167" i="6" s="1"/>
  <c r="R193" i="6"/>
  <c r="U193" i="6" s="1"/>
  <c r="W193" i="6" s="1"/>
  <c r="AA193" i="6" s="1"/>
  <c r="R318" i="6"/>
  <c r="U318" i="6" s="1"/>
  <c r="W318" i="6" s="1"/>
  <c r="Y318" i="6" s="1"/>
  <c r="R248" i="6"/>
  <c r="R163" i="6"/>
  <c r="U163" i="6" s="1"/>
  <c r="W163" i="6" s="1"/>
  <c r="AA163" i="6" s="1"/>
  <c r="R32" i="6"/>
  <c r="U32" i="6" s="1"/>
  <c r="W32" i="6" s="1"/>
  <c r="Y32" i="6" s="1"/>
  <c r="R519" i="6"/>
  <c r="U519" i="6" s="1"/>
  <c r="W519" i="6" s="1"/>
  <c r="AA519" i="6" s="1"/>
  <c r="R1200" i="6"/>
  <c r="U1200" i="6" s="1"/>
  <c r="W1200" i="6" s="1"/>
  <c r="Y1200" i="6" s="1"/>
  <c r="R462" i="6"/>
  <c r="R439" i="6"/>
  <c r="U439" i="6" s="1"/>
  <c r="W439" i="6" s="1"/>
  <c r="Y439" i="6" s="1"/>
  <c r="R377" i="6"/>
  <c r="R1186" i="6"/>
  <c r="U1186" i="6" s="1"/>
  <c r="W1186" i="6" s="1"/>
  <c r="AA1186" i="6" s="1"/>
  <c r="R211" i="6"/>
  <c r="U211" i="6" s="1"/>
  <c r="W211" i="6" s="1"/>
  <c r="Y211" i="6" s="1"/>
  <c r="R179" i="6"/>
  <c r="U179" i="6" s="1"/>
  <c r="W179" i="6" s="1"/>
  <c r="AA179" i="6" s="1"/>
  <c r="R309" i="6"/>
  <c r="U309" i="6" s="1"/>
  <c r="W309" i="6" s="1"/>
  <c r="AA309" i="6" s="1"/>
  <c r="R250" i="6"/>
  <c r="U250" i="6" s="1"/>
  <c r="W250" i="6" s="1"/>
  <c r="Y250" i="6" s="1"/>
  <c r="R218" i="6"/>
  <c r="U218" i="6" s="1"/>
  <c r="W218" i="6" s="1"/>
  <c r="Y218" i="6" s="1"/>
  <c r="R1242" i="6"/>
  <c r="U1242" i="6" s="1"/>
  <c r="W1242" i="6" s="1"/>
  <c r="Y1242" i="6" s="1"/>
  <c r="R119" i="6"/>
  <c r="R22" i="6"/>
  <c r="U22" i="6" s="1"/>
  <c r="W22" i="6" s="1"/>
  <c r="Y22" i="6" s="1"/>
  <c r="R497" i="6"/>
  <c r="U497" i="6" s="1"/>
  <c r="W497" i="6" s="1"/>
  <c r="Y497" i="6" s="1"/>
  <c r="R486" i="6"/>
  <c r="U486" i="6" s="1"/>
  <c r="W486" i="6" s="1"/>
  <c r="Y486" i="6" s="1"/>
  <c r="R424" i="6"/>
  <c r="U424" i="6" s="1"/>
  <c r="W424" i="6" s="1"/>
  <c r="AA424" i="6" s="1"/>
  <c r="R475" i="6"/>
  <c r="U475" i="6" s="1"/>
  <c r="W475" i="6" s="1"/>
  <c r="AA475" i="6" s="1"/>
  <c r="R393" i="6"/>
  <c r="U393" i="6" s="1"/>
  <c r="W393" i="6" s="1"/>
  <c r="Y393" i="6" s="1"/>
  <c r="R371" i="6"/>
  <c r="U371" i="6" s="1"/>
  <c r="W371" i="6" s="1"/>
  <c r="Y371" i="6" s="1"/>
  <c r="R1179" i="6"/>
  <c r="R90" i="6"/>
  <c r="R500" i="6"/>
  <c r="U500" i="6" s="1"/>
  <c r="W500" i="6" s="1"/>
  <c r="Y500" i="6" s="1"/>
  <c r="R537" i="6"/>
  <c r="U537" i="6" s="1"/>
  <c r="W537" i="6" s="1"/>
  <c r="AA537" i="6" s="1"/>
  <c r="R427" i="6"/>
  <c r="U427" i="6" s="1"/>
  <c r="W427" i="6" s="1"/>
  <c r="Y427" i="6" s="1"/>
  <c r="R479" i="6"/>
  <c r="U479" i="6" s="1"/>
  <c r="W479" i="6" s="1"/>
  <c r="Y479" i="6" s="1"/>
  <c r="R436" i="6"/>
  <c r="U436" i="6" s="1"/>
  <c r="W436" i="6" s="1"/>
  <c r="Y436" i="6" s="1"/>
  <c r="R375" i="6"/>
  <c r="U375" i="6" s="1"/>
  <c r="W375" i="6" s="1"/>
  <c r="AA375" i="6" s="1"/>
  <c r="R1183" i="6"/>
  <c r="U1183" i="6" s="1"/>
  <c r="W1183" i="6" s="1"/>
  <c r="Y1183" i="6" s="1"/>
  <c r="R395" i="6"/>
  <c r="U395" i="6" s="1"/>
  <c r="W395" i="6" s="1"/>
  <c r="AA395" i="6" s="1"/>
  <c r="R449" i="6"/>
  <c r="U449" i="6" s="1"/>
  <c r="W449" i="6" s="1"/>
  <c r="Y449" i="6" s="1"/>
  <c r="R370" i="6"/>
  <c r="U370" i="6" s="1"/>
  <c r="W370" i="6" s="1"/>
  <c r="Y370" i="6" s="1"/>
  <c r="R1157" i="6"/>
  <c r="U1157" i="6" s="1"/>
  <c r="W1157" i="6" s="1"/>
  <c r="Y1157" i="6" s="1"/>
  <c r="R818" i="6"/>
  <c r="U818" i="6" s="1"/>
  <c r="W818" i="6" s="1"/>
  <c r="AA818" i="6" s="1"/>
  <c r="R891" i="6"/>
  <c r="R943" i="6"/>
  <c r="U943" i="6" s="1"/>
  <c r="W943" i="6" s="1"/>
  <c r="Y943" i="6" s="1"/>
  <c r="R1005" i="6"/>
  <c r="U1005" i="6" s="1"/>
  <c r="W1005" i="6" s="1"/>
  <c r="Y1005" i="6" s="1"/>
  <c r="R1037" i="6"/>
  <c r="U1037" i="6" s="1"/>
  <c r="W1037" i="6" s="1"/>
  <c r="Y1037" i="6" s="1"/>
  <c r="R1080" i="6"/>
  <c r="U1080" i="6" s="1"/>
  <c r="W1080" i="6" s="1"/>
  <c r="AA1080" i="6" s="1"/>
  <c r="R765" i="6"/>
  <c r="U765" i="6" s="1"/>
  <c r="W765" i="6" s="1"/>
  <c r="Y765" i="6" s="1"/>
  <c r="R1051" i="6"/>
  <c r="U1051" i="6" s="1"/>
  <c r="W1051" i="6" s="1"/>
  <c r="Y1051" i="6" s="1"/>
  <c r="R1077" i="6"/>
  <c r="U1077" i="6" s="1"/>
  <c r="W1077" i="6" s="1"/>
  <c r="Y1077" i="6" s="1"/>
  <c r="R147" i="6"/>
  <c r="U147" i="6" s="1"/>
  <c r="W147" i="6" s="1"/>
  <c r="Y147" i="6" s="1"/>
  <c r="R263" i="6"/>
  <c r="U263" i="6" s="1"/>
  <c r="W263" i="6" s="1"/>
  <c r="Y263" i="6" s="1"/>
  <c r="R555" i="6"/>
  <c r="U555" i="6" s="1"/>
  <c r="W555" i="6" s="1"/>
  <c r="AA555" i="6" s="1"/>
  <c r="R225" i="6"/>
  <c r="U225" i="6" s="1"/>
  <c r="W225" i="6" s="1"/>
  <c r="AA225" i="6" s="1"/>
  <c r="R305" i="6"/>
  <c r="U305" i="6" s="1"/>
  <c r="W305" i="6" s="1"/>
  <c r="Y305" i="6" s="1"/>
  <c r="R215" i="6"/>
  <c r="U215" i="6" s="1"/>
  <c r="W215" i="6" s="1"/>
  <c r="AA215" i="6" s="1"/>
  <c r="R1191" i="6"/>
  <c r="U1191" i="6" s="1"/>
  <c r="W1191" i="6" s="1"/>
  <c r="AA1191" i="6" s="1"/>
  <c r="R273" i="6"/>
  <c r="U273" i="6" s="1"/>
  <c r="W273" i="6" s="1"/>
  <c r="Y273" i="6" s="1"/>
  <c r="R502" i="6"/>
  <c r="U502" i="6" s="1"/>
  <c r="W502" i="6" s="1"/>
  <c r="AA502" i="6" s="1"/>
  <c r="R17" i="6"/>
  <c r="U17" i="6" s="1"/>
  <c r="W17" i="6" s="1"/>
  <c r="Y17" i="6" s="1"/>
  <c r="R184" i="6"/>
  <c r="U184" i="6" s="1"/>
  <c r="W184" i="6" s="1"/>
  <c r="AA184" i="6" s="1"/>
  <c r="R310" i="6"/>
  <c r="U310" i="6" s="1"/>
  <c r="W310" i="6" s="1"/>
  <c r="AA310" i="6" s="1"/>
  <c r="R240" i="6"/>
  <c r="U240" i="6" s="1"/>
  <c r="W240" i="6" s="1"/>
  <c r="AA240" i="6" s="1"/>
  <c r="R160" i="6"/>
  <c r="U160" i="6" s="1"/>
  <c r="W160" i="6" s="1"/>
  <c r="AA160" i="6" s="1"/>
  <c r="R122" i="6"/>
  <c r="U122" i="6" s="1"/>
  <c r="W122" i="6" s="1"/>
  <c r="AA122" i="6" s="1"/>
  <c r="R491" i="6"/>
  <c r="U491" i="6" s="1"/>
  <c r="W491" i="6" s="1"/>
  <c r="AA491" i="6" s="1"/>
  <c r="R480" i="6"/>
  <c r="U480" i="6" s="1"/>
  <c r="W480" i="6" s="1"/>
  <c r="Y480" i="6" s="1"/>
  <c r="R467" i="6"/>
  <c r="U467" i="6" s="1"/>
  <c r="W467" i="6" s="1"/>
  <c r="AA467" i="6" s="1"/>
  <c r="R1143" i="6"/>
  <c r="U1143" i="6" s="1"/>
  <c r="W1143" i="6" s="1"/>
  <c r="Y1143" i="6" s="1"/>
  <c r="R205" i="6"/>
  <c r="U205" i="6" s="1"/>
  <c r="W205" i="6" s="1"/>
  <c r="AA205" i="6" s="1"/>
  <c r="R321" i="6"/>
  <c r="U321" i="6" s="1"/>
  <c r="W321" i="6" s="1"/>
  <c r="Y321" i="6" s="1"/>
  <c r="R255" i="6"/>
  <c r="U255" i="6" s="1"/>
  <c r="W255" i="6" s="1"/>
  <c r="AA255" i="6" s="1"/>
  <c r="R150" i="6"/>
  <c r="U150" i="6" s="1"/>
  <c r="W150" i="6" s="1"/>
  <c r="AA150" i="6" s="1"/>
  <c r="R126" i="6"/>
  <c r="U126" i="6" s="1"/>
  <c r="W126" i="6" s="1"/>
  <c r="AA126" i="6" s="1"/>
  <c r="R490" i="6"/>
  <c r="R1203" i="6"/>
  <c r="U1203" i="6" s="1"/>
  <c r="W1203" i="6" s="1"/>
  <c r="Y1203" i="6" s="1"/>
  <c r="R466" i="6"/>
  <c r="U466" i="6" s="1"/>
  <c r="W466" i="6" s="1"/>
  <c r="Y466" i="6" s="1"/>
  <c r="R350" i="6"/>
  <c r="U350" i="6" s="1"/>
  <c r="W350" i="6" s="1"/>
  <c r="AA350" i="6" s="1"/>
  <c r="R188" i="6"/>
  <c r="U188" i="6" s="1"/>
  <c r="W188" i="6" s="1"/>
  <c r="Y188" i="6" s="1"/>
  <c r="R312" i="6"/>
  <c r="U312" i="6" s="1"/>
  <c r="W312" i="6" s="1"/>
  <c r="AA312" i="6" s="1"/>
  <c r="R243" i="6"/>
  <c r="U243" i="6" s="1"/>
  <c r="W243" i="6" s="1"/>
  <c r="Y243" i="6" s="1"/>
  <c r="R158" i="6"/>
  <c r="U158" i="6" s="1"/>
  <c r="W158" i="6" s="1"/>
  <c r="AA158" i="6" s="1"/>
  <c r="R27" i="6"/>
  <c r="U27" i="6" s="1"/>
  <c r="W27" i="6" s="1"/>
  <c r="AA27" i="6" s="1"/>
  <c r="R511" i="6"/>
  <c r="U511" i="6" s="1"/>
  <c r="W511" i="6" s="1"/>
  <c r="AA511" i="6" s="1"/>
  <c r="R1192" i="6"/>
  <c r="U1192" i="6" s="1"/>
  <c r="W1192" i="6" s="1"/>
  <c r="Y1192" i="6" s="1"/>
  <c r="R451" i="6"/>
  <c r="U451" i="6" s="1"/>
  <c r="W451" i="6" s="1"/>
  <c r="Y451" i="6" s="1"/>
  <c r="R434" i="6"/>
  <c r="U434" i="6" s="1"/>
  <c r="W434" i="6" s="1"/>
  <c r="Y434" i="6" s="1"/>
  <c r="R372" i="6"/>
  <c r="U372" i="6" s="1"/>
  <c r="W372" i="6" s="1"/>
  <c r="Y372" i="6" s="1"/>
  <c r="R1180" i="6"/>
  <c r="U1180" i="6" s="1"/>
  <c r="W1180" i="6" s="1"/>
  <c r="Y1180" i="6" s="1"/>
  <c r="R207" i="6"/>
  <c r="U207" i="6" s="1"/>
  <c r="W207" i="6" s="1"/>
  <c r="Y207" i="6" s="1"/>
  <c r="R175" i="6"/>
  <c r="U175" i="6" s="1"/>
  <c r="W175" i="6" s="1"/>
  <c r="Y175" i="6" s="1"/>
  <c r="R278" i="6"/>
  <c r="U278" i="6" s="1"/>
  <c r="W278" i="6" s="1"/>
  <c r="AA278" i="6" s="1"/>
  <c r="R246" i="6"/>
  <c r="U246" i="6" s="1"/>
  <c r="W246" i="6" s="1"/>
  <c r="AA246" i="6" s="1"/>
  <c r="R214" i="6"/>
  <c r="U214" i="6" s="1"/>
  <c r="W214" i="6" s="1"/>
  <c r="AA214" i="6" s="1"/>
  <c r="R1209" i="6"/>
  <c r="U1209" i="6" s="1"/>
  <c r="W1209" i="6" s="1"/>
  <c r="Y1209" i="6" s="1"/>
  <c r="R115" i="6"/>
  <c r="U115" i="6" s="1"/>
  <c r="W115" i="6" s="1"/>
  <c r="Y115" i="6" s="1"/>
  <c r="R493" i="6"/>
  <c r="U493" i="6" s="1"/>
  <c r="W493" i="6" s="1"/>
  <c r="AA493" i="6" s="1"/>
  <c r="R562" i="6"/>
  <c r="U562" i="6" s="1"/>
  <c r="W562" i="6" s="1"/>
  <c r="Y562" i="6" s="1"/>
  <c r="R482" i="6"/>
  <c r="U482" i="6" s="1"/>
  <c r="W482" i="6" s="1"/>
  <c r="Y482" i="6" s="1"/>
  <c r="R420" i="6"/>
  <c r="U420" i="6" s="1"/>
  <c r="W420" i="6" s="1"/>
  <c r="Y420" i="6" s="1"/>
  <c r="R470" i="6"/>
  <c r="U470" i="6" s="1"/>
  <c r="W470" i="6" s="1"/>
  <c r="Y470" i="6" s="1"/>
  <c r="R388" i="6"/>
  <c r="U388" i="6" s="1"/>
  <c r="W388" i="6" s="1"/>
  <c r="Y388" i="6" s="1"/>
  <c r="R365" i="6"/>
  <c r="U365" i="6" s="1"/>
  <c r="W365" i="6" s="1"/>
  <c r="Y365" i="6" s="1"/>
  <c r="R1171" i="6"/>
  <c r="U1171" i="6" s="1"/>
  <c r="W1171" i="6" s="1"/>
  <c r="AA1171" i="6" s="1"/>
  <c r="R21" i="6"/>
  <c r="R496" i="6"/>
  <c r="U496" i="6" s="1"/>
  <c r="W496" i="6" s="1"/>
  <c r="Y496" i="6" s="1"/>
  <c r="R485" i="6"/>
  <c r="U485" i="6" s="1"/>
  <c r="W485" i="6" s="1"/>
  <c r="Y485" i="6" s="1"/>
  <c r="R423" i="6"/>
  <c r="U423" i="6" s="1"/>
  <c r="W423" i="6" s="1"/>
  <c r="AA423" i="6" s="1"/>
  <c r="R474" i="6"/>
  <c r="U474" i="6" s="1"/>
  <c r="W474" i="6" s="1"/>
  <c r="Y474" i="6" s="1"/>
  <c r="R392" i="6"/>
  <c r="U392" i="6" s="1"/>
  <c r="W392" i="6" s="1"/>
  <c r="Y392" i="6" s="1"/>
  <c r="R369" i="6"/>
  <c r="U369" i="6" s="1"/>
  <c r="W369" i="6" s="1"/>
  <c r="Y369" i="6" s="1"/>
  <c r="R1178" i="6"/>
  <c r="U1178" i="6" s="1"/>
  <c r="W1178" i="6" s="1"/>
  <c r="Y1178" i="6" s="1"/>
  <c r="R477" i="6"/>
  <c r="U477" i="6" s="1"/>
  <c r="W477" i="6" s="1"/>
  <c r="AA477" i="6" s="1"/>
  <c r="R441" i="6"/>
  <c r="U441" i="6" s="1"/>
  <c r="W441" i="6" s="1"/>
  <c r="Y441" i="6" s="1"/>
  <c r="R366" i="6"/>
  <c r="U366" i="6" s="1"/>
  <c r="W366" i="6" s="1"/>
  <c r="Y366" i="6" s="1"/>
  <c r="R1153" i="6"/>
  <c r="U1153" i="6" s="1"/>
  <c r="W1153" i="6" s="1"/>
  <c r="AA1153" i="6" s="1"/>
  <c r="R1259" i="6"/>
  <c r="U1259" i="6" s="1"/>
  <c r="W1259" i="6" s="1"/>
  <c r="R129" i="6"/>
  <c r="U129" i="6" s="1"/>
  <c r="W129" i="6" s="1"/>
  <c r="AA129" i="6" s="1"/>
  <c r="R817" i="6"/>
  <c r="U817" i="6" s="1"/>
  <c r="W817" i="6" s="1"/>
  <c r="AA817" i="6" s="1"/>
  <c r="R869" i="6"/>
  <c r="U869" i="6" s="1"/>
  <c r="W869" i="6" s="1"/>
  <c r="AA869" i="6" s="1"/>
  <c r="R972" i="6"/>
  <c r="U972" i="6" s="1"/>
  <c r="W972" i="6" s="1"/>
  <c r="Y972" i="6" s="1"/>
  <c r="R1321" i="6"/>
  <c r="U1321" i="6" s="1"/>
  <c r="W1321" i="6" s="1"/>
  <c r="Y1321" i="6" s="1"/>
  <c r="R680" i="6"/>
  <c r="U680" i="6" s="1"/>
  <c r="W680" i="6" s="1"/>
  <c r="AA680" i="6" s="1"/>
  <c r="R714" i="6"/>
  <c r="U714" i="6" s="1"/>
  <c r="W714" i="6" s="1"/>
  <c r="Y714" i="6" s="1"/>
  <c r="R777" i="6"/>
  <c r="U777" i="6" s="1"/>
  <c r="W777" i="6" s="1"/>
  <c r="AA777" i="6" s="1"/>
  <c r="R607" i="6"/>
  <c r="U607" i="6" s="1"/>
  <c r="W607" i="6" s="1"/>
  <c r="Y607" i="6" s="1"/>
  <c r="R635" i="6"/>
  <c r="U635" i="6" s="1"/>
  <c r="W635" i="6" s="1"/>
  <c r="AA635" i="6" s="1"/>
  <c r="AA130" i="3"/>
  <c r="AC130" i="3" s="1"/>
  <c r="AD130" i="3" s="1"/>
  <c r="U1065" i="6"/>
  <c r="W1065" i="6" s="1"/>
  <c r="Y1065" i="6" s="1"/>
  <c r="U1309" i="6"/>
  <c r="W1309" i="6" s="1"/>
  <c r="Y1309" i="6" s="1"/>
  <c r="U1328" i="6"/>
  <c r="W1328" i="6" s="1"/>
  <c r="AA1328" i="6" s="1"/>
  <c r="U787" i="6"/>
  <c r="W787" i="6" s="1"/>
  <c r="AA787" i="6" s="1"/>
  <c r="U669" i="6"/>
  <c r="W669" i="6" s="1"/>
  <c r="Y669" i="6" s="1"/>
  <c r="U1315" i="6"/>
  <c r="W1315" i="6" s="1"/>
  <c r="Y1315" i="6" s="1"/>
  <c r="U623" i="6"/>
  <c r="W623" i="6" s="1"/>
  <c r="AA623" i="6" s="1"/>
  <c r="U1318" i="6"/>
  <c r="W1318" i="6" s="1"/>
  <c r="Y1318" i="6" s="1"/>
  <c r="U583" i="6"/>
  <c r="W583" i="6" s="1"/>
  <c r="AA583" i="6" s="1"/>
  <c r="U1041" i="6"/>
  <c r="W1041" i="6" s="1"/>
  <c r="Y1041" i="6" s="1"/>
  <c r="U1307" i="6"/>
  <c r="W1307" i="6" s="1"/>
  <c r="Y1307" i="6" s="1"/>
  <c r="U720" i="6"/>
  <c r="W720" i="6" s="1"/>
  <c r="Y720" i="6" s="1"/>
  <c r="U658" i="6"/>
  <c r="W658" i="6" s="1"/>
  <c r="AA658" i="6" s="1"/>
  <c r="U1115" i="6"/>
  <c r="W1115" i="6" s="1"/>
  <c r="AA1115" i="6" s="1"/>
  <c r="U1058" i="6"/>
  <c r="W1058" i="6" s="1"/>
  <c r="Y1058" i="6" s="1"/>
  <c r="U739" i="6"/>
  <c r="W739" i="6" s="1"/>
  <c r="Y739" i="6" s="1"/>
  <c r="U598" i="6"/>
  <c r="W598" i="6" s="1"/>
  <c r="AA598" i="6" s="1"/>
  <c r="U1069" i="6"/>
  <c r="W1069" i="6" s="1"/>
  <c r="Y1069" i="6" s="1"/>
  <c r="U1048" i="6"/>
  <c r="W1048" i="6" s="1"/>
  <c r="AA1048" i="6" s="1"/>
  <c r="U588" i="6"/>
  <c r="W588" i="6" s="1"/>
  <c r="AA588" i="6" s="1"/>
  <c r="U702" i="6"/>
  <c r="W702" i="6" s="1"/>
  <c r="AA702" i="6" s="1"/>
  <c r="U678" i="6"/>
  <c r="W678" i="6" s="1"/>
  <c r="Y678" i="6" s="1"/>
  <c r="U1095" i="6"/>
  <c r="W1095" i="6" s="1"/>
  <c r="AA1095" i="6" s="1"/>
  <c r="U629" i="6"/>
  <c r="W629" i="6" s="1"/>
  <c r="Y629" i="6" s="1"/>
  <c r="U709" i="6"/>
  <c r="W709" i="6" s="1"/>
  <c r="AA709" i="6" s="1"/>
  <c r="U661" i="6"/>
  <c r="W661" i="6" s="1"/>
  <c r="AA661" i="6" s="1"/>
  <c r="U1339" i="6"/>
  <c r="W1339" i="6" s="1"/>
  <c r="Y1339" i="6" s="1"/>
  <c r="U717" i="6"/>
  <c r="W717" i="6" s="1"/>
  <c r="Y717" i="6" s="1"/>
  <c r="U1029" i="6"/>
  <c r="W1029" i="6" s="1"/>
  <c r="AA1029" i="6" s="1"/>
  <c r="U1276" i="6"/>
  <c r="W1276" i="6" s="1"/>
  <c r="Y1276" i="6" s="1"/>
  <c r="U1135" i="6"/>
  <c r="W1135" i="6" s="1"/>
  <c r="AA1135" i="6" s="1"/>
  <c r="U1294" i="6"/>
  <c r="W1294" i="6" s="1"/>
  <c r="Y1294" i="6" s="1"/>
  <c r="U1034" i="6"/>
  <c r="W1034" i="6" s="1"/>
  <c r="Y1034" i="6" s="1"/>
  <c r="U753" i="6"/>
  <c r="W753" i="6" s="1"/>
  <c r="AA753" i="6" s="1"/>
  <c r="U1336" i="6"/>
  <c r="W1336" i="6" s="1"/>
  <c r="Y1336" i="6" s="1"/>
  <c r="U1047" i="6"/>
  <c r="W1047" i="6" s="1"/>
  <c r="Y1047" i="6" s="1"/>
  <c r="U701" i="6"/>
  <c r="W701" i="6" s="1"/>
  <c r="AA701" i="6" s="1"/>
  <c r="U779" i="6"/>
  <c r="W779" i="6" s="1"/>
  <c r="AA779" i="6" s="1"/>
  <c r="U585" i="6"/>
  <c r="W585" i="6" s="1"/>
  <c r="AA585" i="6" s="1"/>
  <c r="U749" i="6"/>
  <c r="W749" i="6" s="1"/>
  <c r="AA749" i="6" s="1"/>
  <c r="U1334" i="6"/>
  <c r="W1334" i="6" s="1"/>
  <c r="Y1334" i="6" s="1"/>
  <c r="U761" i="6"/>
  <c r="W761" i="6" s="1"/>
  <c r="Y761" i="6" s="1"/>
  <c r="U1131" i="6"/>
  <c r="W1131" i="6" s="1"/>
  <c r="Y1131" i="6" s="1"/>
  <c r="U1071" i="6"/>
  <c r="W1071" i="6" s="1"/>
  <c r="AA1071" i="6" s="1"/>
  <c r="U1114" i="6"/>
  <c r="W1114" i="6" s="1"/>
  <c r="Y1114" i="6" s="1"/>
  <c r="U575" i="6"/>
  <c r="W575" i="6" s="1"/>
  <c r="AA575" i="6" s="1"/>
  <c r="U1072" i="6"/>
  <c r="W1072" i="6" s="1"/>
  <c r="Y1072" i="6" s="1"/>
  <c r="U609" i="6"/>
  <c r="W609" i="6" s="1"/>
  <c r="AA609" i="6" s="1"/>
  <c r="U621" i="6"/>
  <c r="W621" i="6" s="1"/>
  <c r="Y621" i="6" s="1"/>
  <c r="U1127" i="6"/>
  <c r="W1127" i="6" s="1"/>
  <c r="Y1127" i="6" s="1"/>
  <c r="U772" i="6"/>
  <c r="W772" i="6" s="1"/>
  <c r="AA772" i="6" s="1"/>
  <c r="U1094" i="6"/>
  <c r="W1094" i="6" s="1"/>
  <c r="AA1094" i="6" s="1"/>
  <c r="U599" i="6"/>
  <c r="W599" i="6" s="1"/>
  <c r="Y599" i="6" s="1"/>
  <c r="U711" i="6"/>
  <c r="W711" i="6" s="1"/>
  <c r="Y711" i="6" s="1"/>
  <c r="U688" i="6"/>
  <c r="W688" i="6" s="1"/>
  <c r="AA688" i="6" s="1"/>
  <c r="U1284" i="6"/>
  <c r="W1284" i="6" s="1"/>
  <c r="AA1284" i="6" s="1"/>
  <c r="U1337" i="6"/>
  <c r="W1337" i="6" s="1"/>
  <c r="Y1337" i="6" s="1"/>
  <c r="U1130" i="6"/>
  <c r="W1130" i="6" s="1"/>
  <c r="Y1130" i="6" s="1"/>
  <c r="U650" i="6"/>
  <c r="W650" i="6" s="1"/>
  <c r="Y650" i="6" s="1"/>
  <c r="U641" i="6"/>
  <c r="W641" i="6" s="1"/>
  <c r="AA641" i="6" s="1"/>
  <c r="Q23" i="3"/>
  <c r="T23" i="3" s="1"/>
  <c r="V23" i="3" s="1"/>
  <c r="Q44" i="3"/>
  <c r="T44" i="3" s="1"/>
  <c r="V44" i="3" s="1"/>
  <c r="U1124" i="6"/>
  <c r="W1124" i="6" s="1"/>
  <c r="Y1124" i="6" s="1"/>
  <c r="U784" i="6"/>
  <c r="W784" i="6" s="1"/>
  <c r="Y784" i="6" s="1"/>
  <c r="U705" i="6"/>
  <c r="W705" i="6" s="1"/>
  <c r="Y705" i="6" s="1"/>
  <c r="U725" i="6"/>
  <c r="W725" i="6" s="1"/>
  <c r="AA725" i="6" s="1"/>
  <c r="U665" i="6"/>
  <c r="W665" i="6" s="1"/>
  <c r="Y665" i="6" s="1"/>
  <c r="U751" i="6"/>
  <c r="W751" i="6" s="1"/>
  <c r="Y751" i="6" s="1"/>
  <c r="U1036" i="6"/>
  <c r="W1036" i="6" s="1"/>
  <c r="Y1036" i="6" s="1"/>
  <c r="U1314" i="6"/>
  <c r="W1314" i="6" s="1"/>
  <c r="AA1314" i="6" s="1"/>
  <c r="U1274" i="6"/>
  <c r="W1274" i="6" s="1"/>
  <c r="Y1274" i="6" s="1"/>
  <c r="U1266" i="6"/>
  <c r="W1266" i="6" s="1"/>
  <c r="Y1266" i="6" s="1"/>
  <c r="U1335" i="6"/>
  <c r="W1335" i="6" s="1"/>
  <c r="Y1335" i="6" s="1"/>
  <c r="U1068" i="6"/>
  <c r="W1068" i="6" s="1"/>
  <c r="Y1068" i="6" s="1"/>
  <c r="U566" i="6"/>
  <c r="W566" i="6" s="1"/>
  <c r="AA566" i="6" s="1"/>
  <c r="U1091" i="6"/>
  <c r="W1091" i="6" s="1"/>
  <c r="Y1091" i="6" s="1"/>
  <c r="U1313" i="6"/>
  <c r="W1313" i="6" s="1"/>
  <c r="Y1313" i="6" s="1"/>
  <c r="U748" i="6"/>
  <c r="W748" i="6" s="1"/>
  <c r="Y748" i="6" s="1"/>
  <c r="U640" i="6"/>
  <c r="W640" i="6" s="1"/>
  <c r="AA640" i="6" s="1"/>
  <c r="U776" i="6"/>
  <c r="W776" i="6" s="1"/>
  <c r="AA776" i="6" s="1"/>
  <c r="U1028" i="6"/>
  <c r="W1028" i="6" s="1"/>
  <c r="AA1028" i="6" s="1"/>
  <c r="U619" i="6"/>
  <c r="W619" i="6" s="1"/>
  <c r="AA619" i="6" s="1"/>
  <c r="U719" i="6"/>
  <c r="W719" i="6" s="1"/>
  <c r="AA719" i="6" s="1"/>
  <c r="U734" i="6"/>
  <c r="W734" i="6" s="1"/>
  <c r="Y734" i="6" s="1"/>
  <c r="U1064" i="6"/>
  <c r="W1064" i="6" s="1"/>
  <c r="AA1064" i="6" s="1"/>
  <c r="U736" i="6"/>
  <c r="W736" i="6" s="1"/>
  <c r="Y736" i="6" s="1"/>
  <c r="U1026" i="6"/>
  <c r="W1026" i="6" s="1"/>
  <c r="Y1026" i="6" s="1"/>
  <c r="U745" i="6"/>
  <c r="W745" i="6" s="1"/>
  <c r="Y745" i="6" s="1"/>
  <c r="U1105" i="6"/>
  <c r="W1105" i="6" s="1"/>
  <c r="AA1105" i="6" s="1"/>
  <c r="U1076" i="6"/>
  <c r="W1076" i="6" s="1"/>
  <c r="Y1076" i="6" s="1"/>
  <c r="U1067" i="6"/>
  <c r="W1067" i="6" s="1"/>
  <c r="Y1067" i="6" s="1"/>
  <c r="U773" i="6"/>
  <c r="W773" i="6" s="1"/>
  <c r="AA773" i="6" s="1"/>
  <c r="U700" i="6"/>
  <c r="W700" i="6" s="1"/>
  <c r="Y700" i="6" s="1"/>
  <c r="U750" i="6"/>
  <c r="W750" i="6" s="1"/>
  <c r="AA750" i="6" s="1"/>
  <c r="U615" i="6"/>
  <c r="W615" i="6" s="1"/>
  <c r="Y615" i="6" s="1"/>
  <c r="U697" i="6"/>
  <c r="W697" i="6" s="1"/>
  <c r="AA697" i="6" s="1"/>
  <c r="Y632" i="6"/>
  <c r="AA791" i="6"/>
  <c r="Y791" i="6"/>
  <c r="Y601" i="6"/>
  <c r="AA601" i="6"/>
  <c r="Y723" i="6"/>
  <c r="Y730" i="6"/>
  <c r="AA1015" i="6"/>
  <c r="U860" i="6"/>
  <c r="W860" i="6" s="1"/>
  <c r="Y860" i="6" s="1"/>
  <c r="U894" i="6"/>
  <c r="W894" i="6" s="1"/>
  <c r="Y894" i="6" s="1"/>
  <c r="U1003" i="6"/>
  <c r="W1003" i="6" s="1"/>
  <c r="AA1003" i="6" s="1"/>
  <c r="U808" i="6"/>
  <c r="W808" i="6" s="1"/>
  <c r="Y808" i="6" s="1"/>
  <c r="U969" i="6"/>
  <c r="W969" i="6" s="1"/>
  <c r="AA969" i="6" s="1"/>
  <c r="U986" i="6"/>
  <c r="W986" i="6" s="1"/>
  <c r="Y986" i="6" s="1"/>
  <c r="U880" i="6"/>
  <c r="W880" i="6" s="1"/>
  <c r="Y880" i="6" s="1"/>
  <c r="U134" i="6"/>
  <c r="W134" i="6" s="1"/>
  <c r="Y134" i="6" s="1"/>
  <c r="U962" i="6"/>
  <c r="W962" i="6" s="1"/>
  <c r="Y962" i="6" s="1"/>
  <c r="U859" i="6"/>
  <c r="W859" i="6" s="1"/>
  <c r="AA859" i="6" s="1"/>
  <c r="U987" i="6"/>
  <c r="W987" i="6" s="1"/>
  <c r="AA987" i="6" s="1"/>
  <c r="U815" i="6"/>
  <c r="W815" i="6" s="1"/>
  <c r="AA815" i="6" s="1"/>
  <c r="U800" i="6"/>
  <c r="W800" i="6" s="1"/>
  <c r="Y800" i="6" s="1"/>
  <c r="U795" i="6"/>
  <c r="W795" i="6" s="1"/>
  <c r="AA795" i="6" s="1"/>
  <c r="U895" i="6"/>
  <c r="W895" i="6" s="1"/>
  <c r="AA895" i="6" s="1"/>
  <c r="U980" i="6"/>
  <c r="W980" i="6" s="1"/>
  <c r="Y980" i="6" s="1"/>
  <c r="U130" i="6"/>
  <c r="W130" i="6" s="1"/>
  <c r="Y130" i="6" s="1"/>
  <c r="U1000" i="6"/>
  <c r="W1000" i="6" s="1"/>
  <c r="AA1000" i="6" s="1"/>
  <c r="U896" i="6"/>
  <c r="W896" i="6" s="1"/>
  <c r="Y896" i="6" s="1"/>
  <c r="U891" i="6"/>
  <c r="W891" i="6" s="1"/>
  <c r="Y891" i="6" s="1"/>
  <c r="U857" i="6"/>
  <c r="W857" i="6" s="1"/>
  <c r="AA857" i="6" s="1"/>
  <c r="U965" i="6"/>
  <c r="W965" i="6" s="1"/>
  <c r="AA965" i="6" s="1"/>
  <c r="U128" i="6"/>
  <c r="W128" i="6" s="1"/>
  <c r="AA128" i="6" s="1"/>
  <c r="U794" i="6"/>
  <c r="W794" i="6" s="1"/>
  <c r="AA794" i="6" s="1"/>
  <c r="U976" i="6"/>
  <c r="W976" i="6" s="1"/>
  <c r="Y976" i="6" s="1"/>
  <c r="U984" i="6"/>
  <c r="W984" i="6" s="1"/>
  <c r="Y984" i="6" s="1"/>
  <c r="U964" i="6"/>
  <c r="W964" i="6" s="1"/>
  <c r="Y964" i="6" s="1"/>
  <c r="U863" i="6"/>
  <c r="W863" i="6" s="1"/>
  <c r="Y863" i="6" s="1"/>
  <c r="U851" i="6"/>
  <c r="W851" i="6" s="1"/>
  <c r="Y851" i="6" s="1"/>
  <c r="U819" i="6"/>
  <c r="W819" i="6" s="1"/>
  <c r="AA819" i="6" s="1"/>
  <c r="U897" i="6"/>
  <c r="W897" i="6" s="1"/>
  <c r="Y897" i="6" s="1"/>
  <c r="U941" i="6"/>
  <c r="W941" i="6" s="1"/>
  <c r="Y941" i="6" s="1"/>
  <c r="U974" i="6"/>
  <c r="W974" i="6" s="1"/>
  <c r="Y974" i="6" s="1"/>
  <c r="U958" i="6"/>
  <c r="W958" i="6" s="1"/>
  <c r="Y958" i="6" s="1"/>
  <c r="R51" i="6"/>
  <c r="U51" i="6" s="1"/>
  <c r="W51" i="6" s="1"/>
  <c r="R52" i="6"/>
  <c r="U52" i="6" s="1"/>
  <c r="W52" i="6" s="1"/>
  <c r="R53" i="6"/>
  <c r="U53" i="6" s="1"/>
  <c r="W53" i="6" s="1"/>
  <c r="R54" i="6"/>
  <c r="U54" i="6" s="1"/>
  <c r="W54" i="6" s="1"/>
  <c r="AA54" i="6" s="1"/>
  <c r="R55" i="6"/>
  <c r="U55" i="6" s="1"/>
  <c r="W55" i="6" s="1"/>
  <c r="R56" i="6"/>
  <c r="U56" i="6" s="1"/>
  <c r="W56" i="6" s="1"/>
  <c r="R57" i="6"/>
  <c r="U57" i="6" s="1"/>
  <c r="W57" i="6" s="1"/>
  <c r="Y57" i="6" s="1"/>
  <c r="R58" i="6"/>
  <c r="U58" i="6" s="1"/>
  <c r="W58" i="6" s="1"/>
  <c r="R59" i="6"/>
  <c r="U59" i="6" s="1"/>
  <c r="W59" i="6" s="1"/>
  <c r="R60" i="6"/>
  <c r="U60" i="6" s="1"/>
  <c r="W60" i="6" s="1"/>
  <c r="Y60" i="6" s="1"/>
  <c r="R61" i="6"/>
  <c r="U61" i="6" s="1"/>
  <c r="W61" i="6" s="1"/>
  <c r="R62" i="6"/>
  <c r="U62" i="6" s="1"/>
  <c r="W62" i="6" s="1"/>
  <c r="Y62" i="6" s="1"/>
  <c r="R63" i="6"/>
  <c r="U63" i="6" s="1"/>
  <c r="W63" i="6" s="1"/>
  <c r="Y63" i="6" s="1"/>
  <c r="R64" i="6"/>
  <c r="U64" i="6" s="1"/>
  <c r="W64" i="6" s="1"/>
  <c r="R50" i="6"/>
  <c r="U50" i="6" s="1"/>
  <c r="W50" i="6" s="1"/>
  <c r="R49" i="6"/>
  <c r="U49" i="6" s="1"/>
  <c r="W49" i="6" s="1"/>
  <c r="R48" i="6"/>
  <c r="U48" i="6" s="1"/>
  <c r="W48" i="6" s="1"/>
  <c r="R47" i="6"/>
  <c r="U47" i="6" s="1"/>
  <c r="W47" i="6" s="1"/>
  <c r="R46" i="6"/>
  <c r="U46" i="6" s="1"/>
  <c r="W46" i="6" s="1"/>
  <c r="R45" i="6"/>
  <c r="U45" i="6" s="1"/>
  <c r="W45" i="6" s="1"/>
  <c r="AA45" i="6" s="1"/>
  <c r="R44" i="6"/>
  <c r="U44" i="6" s="1"/>
  <c r="W44" i="6" s="1"/>
  <c r="Y44" i="6" s="1"/>
  <c r="R43" i="6"/>
  <c r="U43" i="6" s="1"/>
  <c r="W43" i="6" s="1"/>
  <c r="R42" i="6"/>
  <c r="U42" i="6" s="1"/>
  <c r="W42" i="6" s="1"/>
  <c r="R41" i="6"/>
  <c r="U41" i="6" s="1"/>
  <c r="W41" i="6" s="1"/>
  <c r="R40" i="6"/>
  <c r="U40" i="6" s="1"/>
  <c r="W40" i="6" s="1"/>
  <c r="R39" i="6"/>
  <c r="U39" i="6" s="1"/>
  <c r="W39" i="6" s="1"/>
  <c r="R38" i="6"/>
  <c r="U38" i="6" s="1"/>
  <c r="W38" i="6" s="1"/>
  <c r="AA38" i="6" s="1"/>
  <c r="R37" i="6"/>
  <c r="U37" i="6" s="1"/>
  <c r="W37" i="6" s="1"/>
  <c r="R36" i="6"/>
  <c r="U36" i="6" s="1"/>
  <c r="W36" i="6" s="1"/>
  <c r="AA36" i="6" s="1"/>
  <c r="R35" i="6"/>
  <c r="U35" i="6" s="1"/>
  <c r="W35" i="6" s="1"/>
  <c r="Y35" i="6" s="1"/>
  <c r="R34" i="6"/>
  <c r="U34" i="6" s="1"/>
  <c r="W34" i="6" s="1"/>
  <c r="Y1322" i="6"/>
  <c r="AA1322" i="6"/>
  <c r="Y1295" i="6"/>
  <c r="AA1295" i="6"/>
  <c r="O50" i="3"/>
  <c r="U50" i="3"/>
  <c r="Q28" i="3"/>
  <c r="T28" i="3" s="1"/>
  <c r="V28" i="3" s="1"/>
  <c r="Q9" i="3"/>
  <c r="T9" i="3" s="1"/>
  <c r="V9" i="3" s="1"/>
  <c r="Q13" i="3"/>
  <c r="T13" i="3" s="1"/>
  <c r="V13" i="3" s="1"/>
  <c r="Q14" i="3"/>
  <c r="T14" i="3" s="1"/>
  <c r="V14" i="3" s="1"/>
  <c r="Q17" i="3"/>
  <c r="T17" i="3" s="1"/>
  <c r="V17" i="3" s="1"/>
  <c r="U1255" i="6"/>
  <c r="W1255" i="6" s="1"/>
  <c r="AA1255" i="6" s="1"/>
  <c r="Q92" i="3"/>
  <c r="T92" i="3" s="1"/>
  <c r="V92" i="3" s="1"/>
  <c r="X92" i="3" s="1"/>
  <c r="Q29" i="3"/>
  <c r="T29" i="3" s="1"/>
  <c r="V29" i="3" s="1"/>
  <c r="X29" i="3" s="1"/>
  <c r="Q43" i="3"/>
  <c r="T43" i="3" s="1"/>
  <c r="V43" i="3" s="1"/>
  <c r="Z43" i="3" s="1"/>
  <c r="Q11" i="3"/>
  <c r="T11" i="3" s="1"/>
  <c r="V11" i="3" s="1"/>
  <c r="Z11" i="3" s="1"/>
  <c r="Q72" i="3"/>
  <c r="T72" i="3" s="1"/>
  <c r="V72" i="3" s="1"/>
  <c r="X72" i="3" s="1"/>
  <c r="Q127" i="3"/>
  <c r="T127" i="3" s="1"/>
  <c r="V127" i="3" s="1"/>
  <c r="Z127" i="3" s="1"/>
  <c r="Q95" i="3"/>
  <c r="T95" i="3" s="1"/>
  <c r="V95" i="3" s="1"/>
  <c r="X95" i="3" s="1"/>
  <c r="Q66" i="3"/>
  <c r="T66" i="3" s="1"/>
  <c r="V66" i="3" s="1"/>
  <c r="X66" i="3" s="1"/>
  <c r="Q33" i="3"/>
  <c r="T33" i="3" s="1"/>
  <c r="V33" i="3" s="1"/>
  <c r="X33" i="3" s="1"/>
  <c r="Q73" i="3"/>
  <c r="T73" i="3" s="1"/>
  <c r="V73" i="3" s="1"/>
  <c r="X73" i="3" s="1"/>
  <c r="Q40" i="3"/>
  <c r="T40" i="3" s="1"/>
  <c r="V40" i="3" s="1"/>
  <c r="Z40" i="3" s="1"/>
  <c r="Q71" i="3"/>
  <c r="T71" i="3" s="1"/>
  <c r="V71" i="3" s="1"/>
  <c r="X71" i="3" s="1"/>
  <c r="Q22" i="3"/>
  <c r="T22" i="3" s="1"/>
  <c r="V22" i="3" s="1"/>
  <c r="X22" i="3" s="1"/>
  <c r="Q63" i="3"/>
  <c r="T63" i="3" s="1"/>
  <c r="V63" i="3" s="1"/>
  <c r="X63" i="3" s="1"/>
  <c r="Q96" i="3"/>
  <c r="T96" i="3" s="1"/>
  <c r="V96" i="3" s="1"/>
  <c r="X96" i="3" s="1"/>
  <c r="Q18" i="3"/>
  <c r="T18" i="3" s="1"/>
  <c r="V18" i="3" s="1"/>
  <c r="Z18" i="3" s="1"/>
  <c r="Q38" i="3"/>
  <c r="T38" i="3" s="1"/>
  <c r="V38" i="3" s="1"/>
  <c r="Z38" i="3" s="1"/>
  <c r="Q125" i="3"/>
  <c r="T125" i="3" s="1"/>
  <c r="V125" i="3" s="1"/>
  <c r="X125" i="3" s="1"/>
  <c r="Q64" i="3"/>
  <c r="T64" i="3" s="1"/>
  <c r="V64" i="3" s="1"/>
  <c r="X64" i="3" s="1"/>
  <c r="Q123" i="3"/>
  <c r="T123" i="3" s="1"/>
  <c r="V123" i="3" s="1"/>
  <c r="X123" i="3" s="1"/>
  <c r="Q91" i="3"/>
  <c r="T91" i="3" s="1"/>
  <c r="V91" i="3" s="1"/>
  <c r="Z91" i="3" s="1"/>
  <c r="Q62" i="3"/>
  <c r="T62" i="3" s="1"/>
  <c r="V62" i="3" s="1"/>
  <c r="Z62" i="3" s="1"/>
  <c r="Q24" i="3"/>
  <c r="T24" i="3" s="1"/>
  <c r="V24" i="3" s="1"/>
  <c r="Z24" i="3" s="1"/>
  <c r="Q65" i="3"/>
  <c r="T65" i="3" s="1"/>
  <c r="V65" i="3" s="1"/>
  <c r="X65" i="3" s="1"/>
  <c r="U1257" i="6"/>
  <c r="W1257" i="6" s="1"/>
  <c r="Q45" i="3"/>
  <c r="T45" i="3" s="1"/>
  <c r="V45" i="3" s="1"/>
  <c r="X45" i="3" s="1"/>
  <c r="Q25" i="3"/>
  <c r="T25" i="3" s="1"/>
  <c r="V25" i="3" s="1"/>
  <c r="Q129" i="3"/>
  <c r="T129" i="3" s="1"/>
  <c r="V129" i="3" s="1"/>
  <c r="X129" i="3" s="1"/>
  <c r="Q76" i="3"/>
  <c r="T76" i="3" s="1"/>
  <c r="V76" i="3" s="1"/>
  <c r="X76" i="3" s="1"/>
  <c r="Q75" i="3"/>
  <c r="T75" i="3" s="1"/>
  <c r="V75" i="3" s="1"/>
  <c r="Z75" i="3" s="1"/>
  <c r="Q27" i="3"/>
  <c r="T27" i="3" s="1"/>
  <c r="V27" i="3" s="1"/>
  <c r="X27" i="3" s="1"/>
  <c r="Q74" i="3"/>
  <c r="T74" i="3" s="1"/>
  <c r="V74" i="3" s="1"/>
  <c r="Z74" i="3" s="1"/>
  <c r="Q41" i="3"/>
  <c r="T41" i="3" s="1"/>
  <c r="V41" i="3" s="1"/>
  <c r="Z41" i="3" s="1"/>
  <c r="Q20" i="3"/>
  <c r="T20" i="3" s="1"/>
  <c r="V20" i="3" s="1"/>
  <c r="Z20" i="3" s="1"/>
  <c r="Q61" i="3"/>
  <c r="T61" i="3" s="1"/>
  <c r="V61" i="3" s="1"/>
  <c r="Z61" i="3" s="1"/>
  <c r="Q30" i="3"/>
  <c r="T30" i="3" s="1"/>
  <c r="V30" i="3" s="1"/>
  <c r="Z30" i="3" s="1"/>
  <c r="Q93" i="3"/>
  <c r="T93" i="3" s="1"/>
  <c r="V93" i="3" s="1"/>
  <c r="Z93" i="3" s="1"/>
  <c r="Q126" i="3"/>
  <c r="T126" i="3" s="1"/>
  <c r="V126" i="3" s="1"/>
  <c r="Z126" i="3" s="1"/>
  <c r="Q124" i="3"/>
  <c r="T124" i="3" s="1"/>
  <c r="V124" i="3" s="1"/>
  <c r="Z124" i="3" s="1"/>
  <c r="Q128" i="3"/>
  <c r="T128" i="3" s="1"/>
  <c r="V128" i="3" s="1"/>
  <c r="Q39" i="3"/>
  <c r="T39" i="3" s="1"/>
  <c r="V39" i="3" s="1"/>
  <c r="Z39" i="3" s="1"/>
  <c r="Q67" i="3"/>
  <c r="T67" i="3" s="1"/>
  <c r="V67" i="3" s="1"/>
  <c r="Z67" i="3" s="1"/>
  <c r="Q21" i="3"/>
  <c r="T21" i="3" s="1"/>
  <c r="V21" i="3" s="1"/>
  <c r="X21" i="3" s="1"/>
  <c r="Q36" i="3"/>
  <c r="Q70" i="3"/>
  <c r="T70" i="3" s="1"/>
  <c r="V70" i="3" s="1"/>
  <c r="X70" i="3" s="1"/>
  <c r="Q10" i="3"/>
  <c r="T10" i="3" s="1"/>
  <c r="V10" i="3" s="1"/>
  <c r="X10" i="3" s="1"/>
  <c r="Q94" i="3"/>
  <c r="T94" i="3" s="1"/>
  <c r="V94" i="3" s="1"/>
  <c r="X94" i="3" s="1"/>
  <c r="Q50" i="3"/>
  <c r="U1256" i="6"/>
  <c r="W1256" i="6" s="1"/>
  <c r="Q112" i="3"/>
  <c r="T112" i="3" s="1"/>
  <c r="V112" i="3" s="1"/>
  <c r="X112" i="3" s="1"/>
  <c r="U1185" i="6"/>
  <c r="W1185" i="6" s="1"/>
  <c r="Y1185" i="6" s="1"/>
  <c r="U367" i="6"/>
  <c r="W367" i="6" s="1"/>
  <c r="Y367" i="6" s="1"/>
  <c r="Q35" i="3"/>
  <c r="T35" i="3" s="1"/>
  <c r="V35" i="3" s="1"/>
  <c r="Z35" i="3" s="1"/>
  <c r="U124" i="6"/>
  <c r="W124" i="6" s="1"/>
  <c r="AA124" i="6" s="1"/>
  <c r="U360" i="6"/>
  <c r="W360" i="6" s="1"/>
  <c r="AA360" i="6" s="1"/>
  <c r="U1163" i="6"/>
  <c r="W1163" i="6" s="1"/>
  <c r="Y1163" i="6" s="1"/>
  <c r="U432" i="6"/>
  <c r="W432" i="6" s="1"/>
  <c r="AA432" i="6" s="1"/>
  <c r="U1189" i="6"/>
  <c r="W1189" i="6" s="1"/>
  <c r="Y1189" i="6" s="1"/>
  <c r="U1150" i="6"/>
  <c r="W1150" i="6" s="1"/>
  <c r="Y1150" i="6" s="1"/>
  <c r="U1008" i="6"/>
  <c r="W1008" i="6" s="1"/>
  <c r="AA1008" i="6" s="1"/>
  <c r="U559" i="6"/>
  <c r="W559" i="6" s="1"/>
  <c r="Y559" i="6" s="1"/>
  <c r="Q103" i="3"/>
  <c r="T103" i="3" s="1"/>
  <c r="V103" i="3" s="1"/>
  <c r="Z103" i="3" s="1"/>
  <c r="U248" i="6"/>
  <c r="W248" i="6" s="1"/>
  <c r="Y248" i="6" s="1"/>
  <c r="U238" i="6"/>
  <c r="W238" i="6" s="1"/>
  <c r="Y238" i="6" s="1"/>
  <c r="Q6" i="3"/>
  <c r="T6" i="3" s="1"/>
  <c r="V6" i="3" s="1"/>
  <c r="Z6" i="3" s="1"/>
  <c r="Q105" i="3"/>
  <c r="T105" i="3" s="1"/>
  <c r="V105" i="3" s="1"/>
  <c r="Z105" i="3" s="1"/>
  <c r="Q5" i="3"/>
  <c r="U268" i="6"/>
  <c r="W268" i="6" s="1"/>
  <c r="AA268" i="6" s="1"/>
  <c r="U400" i="6"/>
  <c r="W400" i="6" s="1"/>
  <c r="AA400" i="6" s="1"/>
  <c r="U1170" i="6"/>
  <c r="W1170" i="6" s="1"/>
  <c r="AA1170" i="6" s="1"/>
  <c r="Q34" i="3"/>
  <c r="T34" i="3" s="1"/>
  <c r="V34" i="3" s="1"/>
  <c r="X34" i="3" s="1"/>
  <c r="Q7" i="3"/>
  <c r="T7" i="3" s="1"/>
  <c r="V7" i="3" s="1"/>
  <c r="X7" i="3" s="1"/>
  <c r="Q102" i="3"/>
  <c r="T102" i="3" s="1"/>
  <c r="V102" i="3" s="1"/>
  <c r="X102" i="3" s="1"/>
  <c r="R330" i="6"/>
  <c r="U330" i="6" s="1"/>
  <c r="W330" i="6" s="1"/>
  <c r="Y330" i="6" s="1"/>
  <c r="Q101" i="3"/>
  <c r="T101" i="3" s="1"/>
  <c r="V101" i="3" s="1"/>
  <c r="X101" i="3" s="1"/>
  <c r="Q46" i="3"/>
  <c r="T46" i="3" s="1"/>
  <c r="V46" i="3" s="1"/>
  <c r="X46" i="3" s="1"/>
  <c r="Q99" i="3"/>
  <c r="T99" i="3" s="1"/>
  <c r="V99" i="3" s="1"/>
  <c r="Z99" i="3" s="1"/>
  <c r="Q114" i="3"/>
  <c r="T114" i="3" s="1"/>
  <c r="V114" i="3" s="1"/>
  <c r="X114" i="3" s="1"/>
  <c r="U249" i="6"/>
  <c r="W249" i="6" s="1"/>
  <c r="Y249" i="6" s="1"/>
  <c r="U206" i="6"/>
  <c r="W206" i="6" s="1"/>
  <c r="AA206" i="6" s="1"/>
  <c r="U548" i="6"/>
  <c r="W548" i="6" s="1"/>
  <c r="AA548" i="6" s="1"/>
  <c r="U460" i="6"/>
  <c r="W460" i="6" s="1"/>
  <c r="Y460" i="6" s="1"/>
  <c r="Q100" i="3"/>
  <c r="T100" i="3" s="1"/>
  <c r="V100" i="3" s="1"/>
  <c r="Z100" i="3" s="1"/>
  <c r="Q32" i="3"/>
  <c r="T32" i="3" s="1"/>
  <c r="V32" i="3" s="1"/>
  <c r="Q111" i="3"/>
  <c r="T111" i="3" s="1"/>
  <c r="V111" i="3" s="1"/>
  <c r="X111" i="3" s="1"/>
  <c r="Q48" i="3"/>
  <c r="T48" i="3" s="1"/>
  <c r="V48" i="3" s="1"/>
  <c r="Z48" i="3" s="1"/>
  <c r="Q110" i="3"/>
  <c r="T110" i="3" s="1"/>
  <c r="V110" i="3" s="1"/>
  <c r="Z110" i="3" s="1"/>
  <c r="Q8" i="3"/>
  <c r="T8" i="3" s="1"/>
  <c r="V8" i="3" s="1"/>
  <c r="X8" i="3" s="1"/>
  <c r="U1241" i="6"/>
  <c r="W1241" i="6" s="1"/>
  <c r="AA1241" i="6" s="1"/>
  <c r="Q104" i="3"/>
  <c r="T104" i="3" s="1"/>
  <c r="V104" i="3" s="1"/>
  <c r="X104" i="3" s="1"/>
  <c r="Q115" i="3"/>
  <c r="T115" i="3" s="1"/>
  <c r="V115" i="3" s="1"/>
  <c r="Q31" i="3"/>
  <c r="T31" i="3" s="1"/>
  <c r="V31" i="3" s="1"/>
  <c r="X31" i="3" s="1"/>
  <c r="Q47" i="3"/>
  <c r="T47" i="3" s="1"/>
  <c r="V47" i="3" s="1"/>
  <c r="Z47" i="3" s="1"/>
  <c r="U252" i="6"/>
  <c r="W252" i="6" s="1"/>
  <c r="AA252" i="6" s="1"/>
  <c r="U123" i="6"/>
  <c r="W123" i="6" s="1"/>
  <c r="Y123" i="6" s="1"/>
  <c r="U1174" i="6"/>
  <c r="W1174" i="6" s="1"/>
  <c r="Y1174" i="6" s="1"/>
  <c r="U418" i="6"/>
  <c r="W418" i="6" s="1"/>
  <c r="AA418" i="6" s="1"/>
  <c r="U435" i="6"/>
  <c r="W435" i="6" s="1"/>
  <c r="AA435" i="6" s="1"/>
  <c r="Q109" i="3"/>
  <c r="T109" i="3" s="1"/>
  <c r="V109" i="3" s="1"/>
  <c r="X109" i="3" s="1"/>
  <c r="Q16" i="3"/>
  <c r="T16" i="3" s="1"/>
  <c r="V16" i="3" s="1"/>
  <c r="X16" i="3" s="1"/>
  <c r="Q49" i="3"/>
  <c r="T49" i="3" s="1"/>
  <c r="V49" i="3" s="1"/>
  <c r="X49" i="3" s="1"/>
  <c r="Q113" i="3"/>
  <c r="T113" i="3" s="1"/>
  <c r="V113" i="3" s="1"/>
  <c r="Q107" i="3"/>
  <c r="T107" i="3" s="1"/>
  <c r="V107" i="3" s="1"/>
  <c r="Z107" i="3" s="1"/>
  <c r="Q15" i="3"/>
  <c r="T15" i="3" s="1"/>
  <c r="V15" i="3" s="1"/>
  <c r="Z15" i="3" s="1"/>
  <c r="Q106" i="3"/>
  <c r="T106" i="3" s="1"/>
  <c r="V106" i="3" s="1"/>
  <c r="Z106" i="3" s="1"/>
  <c r="R1138" i="6"/>
  <c r="U1138" i="6" s="1"/>
  <c r="W1138" i="6" s="1"/>
  <c r="AA1138" i="6" s="1"/>
  <c r="U196" i="6"/>
  <c r="W196" i="6" s="1"/>
  <c r="AA196" i="6" s="1"/>
  <c r="U29" i="6"/>
  <c r="W29" i="6" s="1"/>
  <c r="AA29" i="6" s="1"/>
  <c r="U231" i="6"/>
  <c r="W231" i="6" s="1"/>
  <c r="AA231" i="6" s="1"/>
  <c r="U506" i="6"/>
  <c r="W506" i="6" s="1"/>
  <c r="AA506" i="6" s="1"/>
  <c r="U1193" i="6"/>
  <c r="W1193" i="6" s="1"/>
  <c r="Y1193" i="6" s="1"/>
  <c r="U1165" i="6"/>
  <c r="W1165" i="6" s="1"/>
  <c r="AA1165" i="6" s="1"/>
  <c r="U217" i="6"/>
  <c r="W217" i="6" s="1"/>
  <c r="AA217" i="6" s="1"/>
  <c r="U515" i="6"/>
  <c r="W515" i="6" s="1"/>
  <c r="Y515" i="6" s="1"/>
  <c r="U1182" i="6"/>
  <c r="W1182" i="6" s="1"/>
  <c r="AA1182" i="6" s="1"/>
  <c r="U178" i="6"/>
  <c r="W178" i="6" s="1"/>
  <c r="AA178" i="6" s="1"/>
  <c r="U21" i="6"/>
  <c r="W21" i="6" s="1"/>
  <c r="Y21" i="6" s="1"/>
  <c r="U351" i="6"/>
  <c r="W351" i="6" s="1"/>
  <c r="Y351" i="6" s="1"/>
  <c r="U546" i="6"/>
  <c r="W546" i="6" s="1"/>
  <c r="Y546" i="6" s="1"/>
  <c r="U1190" i="6"/>
  <c r="W1190" i="6" s="1"/>
  <c r="Y1190" i="6" s="1"/>
  <c r="U484" i="6"/>
  <c r="W484" i="6" s="1"/>
  <c r="Y484" i="6" s="1"/>
  <c r="U444" i="6"/>
  <c r="W444" i="6" s="1"/>
  <c r="AA444" i="6" s="1"/>
  <c r="U401" i="6"/>
  <c r="W401" i="6" s="1"/>
  <c r="AA401" i="6" s="1"/>
  <c r="U1149" i="6"/>
  <c r="W1149" i="6" s="1"/>
  <c r="Y1149" i="6" s="1"/>
  <c r="U472" i="6"/>
  <c r="W472" i="6" s="1"/>
  <c r="AA472" i="6" s="1"/>
  <c r="U368" i="6"/>
  <c r="W368" i="6" s="1"/>
  <c r="Y368" i="6" s="1"/>
  <c r="U125" i="6"/>
  <c r="W125" i="6" s="1"/>
  <c r="Y125" i="6" s="1"/>
  <c r="R335" i="6"/>
  <c r="U335" i="6" s="1"/>
  <c r="W335" i="6" s="1"/>
  <c r="AA335" i="6" s="1"/>
  <c r="R329" i="6"/>
  <c r="U329" i="6" s="1"/>
  <c r="W329" i="6" s="1"/>
  <c r="AA329" i="6" s="1"/>
  <c r="R336" i="6"/>
  <c r="U336" i="6" s="1"/>
  <c r="W336" i="6" s="1"/>
  <c r="Y336" i="6" s="1"/>
  <c r="R33" i="6"/>
  <c r="U33" i="6" s="1"/>
  <c r="W33" i="6" s="1"/>
  <c r="R1141" i="6"/>
  <c r="U1141" i="6" s="1"/>
  <c r="W1141" i="6" s="1"/>
  <c r="U156" i="6"/>
  <c r="W156" i="6" s="1"/>
  <c r="AA156" i="6" s="1"/>
  <c r="U410" i="6"/>
  <c r="W410" i="6" s="1"/>
  <c r="Y410" i="6" s="1"/>
  <c r="R331" i="6"/>
  <c r="U331" i="6" s="1"/>
  <c r="W331" i="6" s="1"/>
  <c r="AA331" i="6" s="1"/>
  <c r="R326" i="6"/>
  <c r="U326" i="6" s="1"/>
  <c r="W326" i="6" s="1"/>
  <c r="AA326" i="6" s="1"/>
  <c r="R332" i="6"/>
  <c r="U332" i="6" s="1"/>
  <c r="W332" i="6" s="1"/>
  <c r="AA332" i="6" s="1"/>
  <c r="R338" i="6"/>
  <c r="U338" i="6" s="1"/>
  <c r="W338" i="6" s="1"/>
  <c r="Y338" i="6" s="1"/>
  <c r="R337" i="6"/>
  <c r="U337" i="6" s="1"/>
  <c r="W337" i="6" s="1"/>
  <c r="AA337" i="6" s="1"/>
  <c r="R1140" i="6"/>
  <c r="U1140" i="6" s="1"/>
  <c r="W1140" i="6" s="1"/>
  <c r="Y1140" i="6" s="1"/>
  <c r="R1137" i="6"/>
  <c r="U1137" i="6" s="1"/>
  <c r="W1137" i="6" s="1"/>
  <c r="R339" i="6"/>
  <c r="U339" i="6" s="1"/>
  <c r="W339" i="6" s="1"/>
  <c r="Y339" i="6" s="1"/>
  <c r="R334" i="6"/>
  <c r="U334" i="6" s="1"/>
  <c r="W334" i="6" s="1"/>
  <c r="Y334" i="6" s="1"/>
  <c r="R333" i="6"/>
  <c r="U333" i="6" s="1"/>
  <c r="W333" i="6" s="1"/>
  <c r="U237" i="6"/>
  <c r="W237" i="6" s="1"/>
  <c r="Y237" i="6" s="1"/>
  <c r="U199" i="6"/>
  <c r="W199" i="6" s="1"/>
  <c r="Y199" i="6" s="1"/>
  <c r="U277" i="6"/>
  <c r="W277" i="6" s="1"/>
  <c r="AA277" i="6" s="1"/>
  <c r="U303" i="6"/>
  <c r="W303" i="6" s="1"/>
  <c r="Y303" i="6" s="1"/>
  <c r="U425" i="6"/>
  <c r="W425" i="6" s="1"/>
  <c r="AA425" i="6" s="1"/>
  <c r="U481" i="6"/>
  <c r="W481" i="6" s="1"/>
  <c r="AA481" i="6" s="1"/>
  <c r="U364" i="6"/>
  <c r="W364" i="6" s="1"/>
  <c r="Y364" i="6" s="1"/>
  <c r="U1145" i="6"/>
  <c r="W1145" i="6" s="1"/>
  <c r="AA1145" i="6" s="1"/>
  <c r="U463" i="6"/>
  <c r="W463" i="6" s="1"/>
  <c r="Y463" i="6" s="1"/>
  <c r="U155" i="6"/>
  <c r="W155" i="6" s="1"/>
  <c r="Y155" i="6" s="1"/>
  <c r="U1009" i="6"/>
  <c r="W1009" i="6" s="1"/>
  <c r="Y1009" i="6" s="1"/>
  <c r="U262" i="6"/>
  <c r="W262" i="6" s="1"/>
  <c r="Y262" i="6" s="1"/>
  <c r="U387" i="6"/>
  <c r="W387" i="6" s="1"/>
  <c r="Y387" i="6" s="1"/>
  <c r="U446" i="6"/>
  <c r="W446" i="6" s="1"/>
  <c r="Y446" i="6" s="1"/>
  <c r="U358" i="6"/>
  <c r="W358" i="6" s="1"/>
  <c r="Y358" i="6" s="1"/>
  <c r="U377" i="6"/>
  <c r="W377" i="6" s="1"/>
  <c r="Y377" i="6" s="1"/>
  <c r="U1202" i="6"/>
  <c r="W1202" i="6" s="1"/>
  <c r="Y1202" i="6" s="1"/>
  <c r="U416" i="6"/>
  <c r="W416" i="6" s="1"/>
  <c r="AA416" i="6" s="1"/>
  <c r="U438" i="6"/>
  <c r="W438" i="6" s="1"/>
  <c r="Y438" i="6" s="1"/>
  <c r="U106" i="6"/>
  <c r="W106" i="6" s="1"/>
  <c r="AA106" i="6" s="1"/>
  <c r="U317" i="6"/>
  <c r="W317" i="6" s="1"/>
  <c r="AA317" i="6" s="1"/>
  <c r="U274" i="6"/>
  <c r="W274" i="6" s="1"/>
  <c r="Y274" i="6" s="1"/>
  <c r="U242" i="6"/>
  <c r="W242" i="6" s="1"/>
  <c r="AA242" i="6" s="1"/>
  <c r="U462" i="6"/>
  <c r="W462" i="6" s="1"/>
  <c r="Y462" i="6" s="1"/>
  <c r="U396" i="6"/>
  <c r="W396" i="6" s="1"/>
  <c r="Y396" i="6" s="1"/>
  <c r="U385" i="6"/>
  <c r="W385" i="6" s="1"/>
  <c r="AA385" i="6" s="1"/>
  <c r="U1160" i="6"/>
  <c r="W1160" i="6" s="1"/>
  <c r="AA1160" i="6" s="1"/>
  <c r="U146" i="6"/>
  <c r="W146" i="6" s="1"/>
  <c r="AA146" i="6" s="1"/>
  <c r="U551" i="6"/>
  <c r="W551" i="6" s="1"/>
  <c r="AA551" i="6" s="1"/>
  <c r="U503" i="6"/>
  <c r="W503" i="6" s="1"/>
  <c r="AA503" i="6" s="1"/>
  <c r="U540" i="6"/>
  <c r="W540" i="6" s="1"/>
  <c r="AA540" i="6" s="1"/>
  <c r="U254" i="6"/>
  <c r="W254" i="6" s="1"/>
  <c r="AA254" i="6" s="1"/>
  <c r="U119" i="6"/>
  <c r="W119" i="6" s="1"/>
  <c r="Y119" i="6" s="1"/>
  <c r="U550" i="6"/>
  <c r="W550" i="6" s="1"/>
  <c r="Y550" i="6" s="1"/>
  <c r="U454" i="6"/>
  <c r="W454" i="6" s="1"/>
  <c r="AA454" i="6" s="1"/>
  <c r="U1179" i="6"/>
  <c r="W1179" i="6" s="1"/>
  <c r="Y1179" i="6" s="1"/>
  <c r="U1169" i="6"/>
  <c r="W1169" i="6" s="1"/>
  <c r="AA1169" i="6" s="1"/>
  <c r="U93" i="6"/>
  <c r="W93" i="6" s="1"/>
  <c r="Y93" i="6" s="1"/>
  <c r="U90" i="6"/>
  <c r="W90" i="6" s="1"/>
  <c r="Y90" i="6" s="1"/>
  <c r="U15" i="6"/>
  <c r="W15" i="6" s="1"/>
  <c r="Y15" i="6" s="1"/>
  <c r="U201" i="6"/>
  <c r="W201" i="6" s="1"/>
  <c r="Y201" i="6" s="1"/>
  <c r="U411" i="6"/>
  <c r="W411" i="6" s="1"/>
  <c r="Y411" i="6" s="1"/>
  <c r="U539" i="6"/>
  <c r="W539" i="6" s="1"/>
  <c r="Y539" i="6" s="1"/>
  <c r="U112" i="6"/>
  <c r="W112" i="6" s="1"/>
  <c r="AA112" i="6" s="1"/>
  <c r="U168" i="6"/>
  <c r="W168" i="6" s="1"/>
  <c r="Y168" i="6" s="1"/>
  <c r="U490" i="6"/>
  <c r="W490" i="6" s="1"/>
  <c r="Y490" i="6" s="1"/>
  <c r="U280" i="6"/>
  <c r="W280" i="6" s="1"/>
  <c r="Y280" i="6" s="1"/>
  <c r="U101" i="6"/>
  <c r="W101" i="6" s="1"/>
  <c r="Y101" i="6" s="1"/>
  <c r="U394" i="6"/>
  <c r="W394" i="6" s="1"/>
  <c r="AA394" i="6" s="1"/>
  <c r="U164" i="6"/>
  <c r="W164" i="6" s="1"/>
  <c r="AA164" i="6" s="1"/>
  <c r="U28" i="6"/>
  <c r="W28" i="6" s="1"/>
  <c r="AA28" i="6" s="1"/>
  <c r="U1195" i="6"/>
  <c r="W1195" i="6" s="1"/>
  <c r="Y1195" i="6" s="1"/>
  <c r="Q19" i="3"/>
  <c r="T19" i="3" s="1"/>
  <c r="V19" i="3" s="1"/>
  <c r="Q69" i="3"/>
  <c r="T69" i="3" s="1"/>
  <c r="V69" i="3" s="1"/>
  <c r="Q90" i="3"/>
  <c r="T90" i="3" s="1"/>
  <c r="V90" i="3" s="1"/>
  <c r="Q60" i="3"/>
  <c r="T60" i="3" s="1"/>
  <c r="V60" i="3" s="1"/>
  <c r="Q37" i="3"/>
  <c r="T37" i="3" s="1"/>
  <c r="V37" i="3" s="1"/>
  <c r="O4" i="3"/>
  <c r="Q1377" i="6"/>
  <c r="U114" i="6"/>
  <c r="W114" i="6" s="1"/>
  <c r="Y114" i="6" s="1"/>
  <c r="Q119" i="3"/>
  <c r="T119" i="3" s="1"/>
  <c r="V119" i="3" s="1"/>
  <c r="Q89" i="3"/>
  <c r="T89" i="3" s="1"/>
  <c r="V89" i="3" s="1"/>
  <c r="Q120" i="3"/>
  <c r="T120" i="3" s="1"/>
  <c r="V120" i="3" s="1"/>
  <c r="Q116" i="3"/>
  <c r="T116" i="3" s="1"/>
  <c r="V116" i="3" s="1"/>
  <c r="Q117" i="3"/>
  <c r="T117" i="3" s="1"/>
  <c r="V117" i="3" s="1"/>
  <c r="Q118" i="3"/>
  <c r="T118" i="3" s="1"/>
  <c r="V118" i="3" s="1"/>
  <c r="Q4" i="3"/>
  <c r="Q12" i="3"/>
  <c r="T12" i="3" s="1"/>
  <c r="V12" i="3" s="1"/>
  <c r="Q77" i="3"/>
  <c r="T77" i="3" s="1"/>
  <c r="V77" i="3" s="1"/>
  <c r="Q98" i="3"/>
  <c r="T98" i="3" s="1"/>
  <c r="V98" i="3" s="1"/>
  <c r="Q78" i="3"/>
  <c r="T78" i="3" s="1"/>
  <c r="V78" i="3" s="1"/>
  <c r="Q26" i="3"/>
  <c r="T26" i="3" s="1"/>
  <c r="V26" i="3" s="1"/>
  <c r="Q97" i="3"/>
  <c r="T97" i="3" s="1"/>
  <c r="V97" i="3" s="1"/>
  <c r="Q121" i="3"/>
  <c r="T121" i="3" s="1"/>
  <c r="V121" i="3" s="1"/>
  <c r="Q42" i="3"/>
  <c r="T42" i="3" s="1"/>
  <c r="V42" i="3" s="1"/>
  <c r="Q79" i="3"/>
  <c r="T79" i="3" s="1"/>
  <c r="V79" i="3" s="1"/>
  <c r="Q122" i="3"/>
  <c r="T122" i="3" s="1"/>
  <c r="V122" i="3" s="1"/>
  <c r="Q68" i="3"/>
  <c r="T68" i="3" s="1"/>
  <c r="V68" i="3" s="1"/>
  <c r="Q108" i="3"/>
  <c r="T108" i="3" s="1"/>
  <c r="V108" i="3" s="1"/>
  <c r="U111" i="6"/>
  <c r="W111" i="6" s="1"/>
  <c r="Y111" i="6" s="1"/>
  <c r="K23" i="4"/>
  <c r="P1377" i="6"/>
  <c r="O1377" i="6"/>
  <c r="K9" i="4"/>
  <c r="X139" i="3" l="1"/>
  <c r="Z139" i="3"/>
  <c r="AA139" i="3"/>
  <c r="X137" i="3"/>
  <c r="Z137" i="3"/>
  <c r="AA137" i="3"/>
  <c r="X138" i="3"/>
  <c r="Z138" i="3"/>
  <c r="AA138" i="3"/>
  <c r="X136" i="3"/>
  <c r="Z136" i="3"/>
  <c r="AA136" i="3"/>
  <c r="AC53" i="3"/>
  <c r="AD53" i="3"/>
  <c r="AE53" i="3"/>
  <c r="AF53" i="3"/>
  <c r="AC58" i="3"/>
  <c r="AD58" i="3"/>
  <c r="AE58" i="3"/>
  <c r="AF58" i="3"/>
  <c r="AC57" i="3"/>
  <c r="AD57" i="3"/>
  <c r="AE57" i="3"/>
  <c r="AF57" i="3"/>
  <c r="AC55" i="3"/>
  <c r="AD55" i="3"/>
  <c r="AE55" i="3"/>
  <c r="AF55" i="3"/>
  <c r="AC54" i="3"/>
  <c r="AD54" i="3"/>
  <c r="AE54" i="3"/>
  <c r="AF54" i="3"/>
  <c r="AC56" i="3"/>
  <c r="AD56" i="3"/>
  <c r="AE56" i="3"/>
  <c r="AF56" i="3"/>
  <c r="AC51" i="3"/>
  <c r="AD51" i="3"/>
  <c r="AE51" i="3"/>
  <c r="AF51" i="3"/>
  <c r="AC143" i="3"/>
  <c r="AE143" i="3"/>
  <c r="AD143" i="3"/>
  <c r="AF143" i="3"/>
  <c r="AC142" i="3"/>
  <c r="AE142" i="3"/>
  <c r="AD142" i="3"/>
  <c r="AF142" i="3"/>
  <c r="AC141" i="3"/>
  <c r="AE141" i="3"/>
  <c r="AD141" i="3"/>
  <c r="AF141" i="3"/>
  <c r="AC140" i="3"/>
  <c r="AD140" i="3"/>
  <c r="AE140" i="3"/>
  <c r="AC134" i="3"/>
  <c r="AD134" i="3" s="1"/>
  <c r="AE134" i="3"/>
  <c r="AF134" i="3" s="1"/>
  <c r="AC132" i="3"/>
  <c r="AD132" i="3" s="1"/>
  <c r="AE132" i="3"/>
  <c r="AF132" i="3" s="1"/>
  <c r="AC133" i="3"/>
  <c r="AD133" i="3" s="1"/>
  <c r="AE133" i="3"/>
  <c r="AF133" i="3" s="1"/>
  <c r="AC131" i="3"/>
  <c r="AD131" i="3" s="1"/>
  <c r="AE131" i="3"/>
  <c r="AF131" i="3" s="1"/>
  <c r="Z80" i="3"/>
  <c r="X80" i="3"/>
  <c r="AA80" i="3" s="1"/>
  <c r="Z81" i="3"/>
  <c r="X81" i="3"/>
  <c r="AA81" i="3" s="1"/>
  <c r="Z82" i="3"/>
  <c r="X82" i="3"/>
  <c r="AA82" i="3" s="1"/>
  <c r="Z83" i="3"/>
  <c r="X83" i="3"/>
  <c r="AA83" i="3" s="1"/>
  <c r="Z84" i="3"/>
  <c r="X84" i="3"/>
  <c r="AA84" i="3" s="1"/>
  <c r="Z85" i="3"/>
  <c r="X85" i="3"/>
  <c r="AA85" i="3" s="1"/>
  <c r="Z86" i="3"/>
  <c r="X86" i="3"/>
  <c r="AA86" i="3" s="1"/>
  <c r="Z87" i="3"/>
  <c r="X87" i="3"/>
  <c r="AA87" i="3" s="1"/>
  <c r="Z88" i="3"/>
  <c r="X88" i="3"/>
  <c r="AA88" i="3" s="1"/>
  <c r="X59" i="3"/>
  <c r="Z59" i="3"/>
  <c r="AA59" i="3"/>
  <c r="Y823" i="6"/>
  <c r="AA823" i="6"/>
  <c r="AB823" i="6"/>
  <c r="Y824" i="6"/>
  <c r="AA824" i="6"/>
  <c r="AB824" i="6" s="1"/>
  <c r="Y825" i="6"/>
  <c r="AA825" i="6"/>
  <c r="AB825" i="6" s="1"/>
  <c r="Y826" i="6"/>
  <c r="AA826" i="6"/>
  <c r="AB826" i="6"/>
  <c r="AA835" i="6"/>
  <c r="Y835" i="6"/>
  <c r="AB835" i="6"/>
  <c r="Y846" i="6"/>
  <c r="AA846" i="6"/>
  <c r="AB846" i="6" s="1"/>
  <c r="AA847" i="6"/>
  <c r="Y847" i="6"/>
  <c r="AB847" i="6"/>
  <c r="AA848" i="6"/>
  <c r="Y848" i="6"/>
  <c r="AB848" i="6" s="1"/>
  <c r="AA850" i="6"/>
  <c r="Y850" i="6"/>
  <c r="AB850" i="6"/>
  <c r="Y849" i="6"/>
  <c r="AA849" i="6"/>
  <c r="AB849" i="6"/>
  <c r="AA844" i="6"/>
  <c r="Y844" i="6"/>
  <c r="AB844" i="6" s="1"/>
  <c r="Y843" i="6"/>
  <c r="AA843" i="6"/>
  <c r="AB843" i="6" s="1"/>
  <c r="AA842" i="6"/>
  <c r="Y842" i="6"/>
  <c r="AB842" i="6"/>
  <c r="Y841" i="6"/>
  <c r="AA841" i="6"/>
  <c r="AB841" i="6" s="1"/>
  <c r="AA840" i="6"/>
  <c r="Y840" i="6"/>
  <c r="AB840" i="6" s="1"/>
  <c r="Y837" i="6"/>
  <c r="AA837" i="6"/>
  <c r="AB837" i="6"/>
  <c r="AA839" i="6"/>
  <c r="Y839" i="6"/>
  <c r="AB839" i="6"/>
  <c r="Y838" i="6"/>
  <c r="AA838" i="6"/>
  <c r="AB838" i="6"/>
  <c r="AA836" i="6"/>
  <c r="Y836" i="6"/>
  <c r="AB836" i="6"/>
  <c r="Y834" i="6"/>
  <c r="AA834" i="6"/>
  <c r="AB834" i="6"/>
  <c r="AA833" i="6"/>
  <c r="Y833" i="6"/>
  <c r="AB833" i="6"/>
  <c r="Y832" i="6"/>
  <c r="AA832" i="6"/>
  <c r="AB832" i="6" s="1"/>
  <c r="AA831" i="6"/>
  <c r="Y831" i="6"/>
  <c r="AB831" i="6"/>
  <c r="Y830" i="6"/>
  <c r="AA830" i="6"/>
  <c r="AB830" i="6"/>
  <c r="AA829" i="6"/>
  <c r="Y829" i="6"/>
  <c r="AB829" i="6"/>
  <c r="Y828" i="6"/>
  <c r="AA828" i="6"/>
  <c r="AB828" i="6"/>
  <c r="AA827" i="6"/>
  <c r="Y827" i="6"/>
  <c r="AB827" i="6"/>
  <c r="Y845" i="6"/>
  <c r="AA845" i="6"/>
  <c r="AB845" i="6"/>
  <c r="AA898" i="6"/>
  <c r="Y898" i="6"/>
  <c r="AB898" i="6"/>
  <c r="Y899" i="6"/>
  <c r="AA899" i="6"/>
  <c r="AB899" i="6"/>
  <c r="AA936" i="6"/>
  <c r="Y936" i="6"/>
  <c r="AB936" i="6" s="1"/>
  <c r="Y937" i="6"/>
  <c r="AA937" i="6"/>
  <c r="AB937" i="6"/>
  <c r="Y935" i="6"/>
  <c r="AA935" i="6"/>
  <c r="AB935" i="6" s="1"/>
  <c r="AA934" i="6"/>
  <c r="Y934" i="6"/>
  <c r="AB934" i="6" s="1"/>
  <c r="AA933" i="6"/>
  <c r="Y933" i="6"/>
  <c r="AB933" i="6"/>
  <c r="Y932" i="6"/>
  <c r="AA932" i="6"/>
  <c r="AB932" i="6"/>
  <c r="Y931" i="6"/>
  <c r="AA931" i="6"/>
  <c r="AB931" i="6"/>
  <c r="AA930" i="6"/>
  <c r="Y930" i="6"/>
  <c r="AB930" i="6" s="1"/>
  <c r="AA929" i="6"/>
  <c r="Y929" i="6"/>
  <c r="AB929" i="6"/>
  <c r="Y928" i="6"/>
  <c r="AA928" i="6"/>
  <c r="AB928" i="6" s="1"/>
  <c r="AA927" i="6"/>
  <c r="Y927" i="6"/>
  <c r="AB927" i="6"/>
  <c r="Y926" i="6"/>
  <c r="AA926" i="6"/>
  <c r="AB926" i="6"/>
  <c r="Y925" i="6"/>
  <c r="AA925" i="6"/>
  <c r="AB925" i="6"/>
  <c r="Y924" i="6"/>
  <c r="AA924" i="6"/>
  <c r="AB924" i="6"/>
  <c r="AA923" i="6"/>
  <c r="Y923" i="6"/>
  <c r="AB923" i="6"/>
  <c r="Y922" i="6"/>
  <c r="AA922" i="6"/>
  <c r="AB922" i="6"/>
  <c r="Y921" i="6"/>
  <c r="AA921" i="6"/>
  <c r="AB921" i="6" s="1"/>
  <c r="Y920" i="6"/>
  <c r="AA920" i="6"/>
  <c r="AB920" i="6"/>
  <c r="AA919" i="6"/>
  <c r="Y919" i="6"/>
  <c r="AB919" i="6"/>
  <c r="Y918" i="6"/>
  <c r="AA918" i="6"/>
  <c r="AB918" i="6"/>
  <c r="Y917" i="6"/>
  <c r="AA917" i="6"/>
  <c r="AB917" i="6" s="1"/>
  <c r="Y916" i="6"/>
  <c r="AA916" i="6"/>
  <c r="AB916" i="6"/>
  <c r="AA915" i="6"/>
  <c r="Y915" i="6"/>
  <c r="AB915" i="6"/>
  <c r="AA914" i="6"/>
  <c r="Y914" i="6"/>
  <c r="AB914" i="6"/>
  <c r="Y913" i="6"/>
  <c r="AA913" i="6"/>
  <c r="AB913" i="6"/>
  <c r="Y912" i="6"/>
  <c r="AA912" i="6"/>
  <c r="AB912" i="6" s="1"/>
  <c r="AA911" i="6"/>
  <c r="Y911" i="6"/>
  <c r="AB911" i="6"/>
  <c r="Y910" i="6"/>
  <c r="AA910" i="6"/>
  <c r="AB910" i="6"/>
  <c r="Y909" i="6"/>
  <c r="AA909" i="6"/>
  <c r="AB909" i="6"/>
  <c r="Y908" i="6"/>
  <c r="AA908" i="6"/>
  <c r="AB908" i="6"/>
  <c r="Y907" i="6"/>
  <c r="AA907" i="6"/>
  <c r="AB907" i="6" s="1"/>
  <c r="Y906" i="6"/>
  <c r="AA906" i="6"/>
  <c r="AB906" i="6"/>
  <c r="AA905" i="6"/>
  <c r="Y905" i="6"/>
  <c r="AB905" i="6" s="1"/>
  <c r="Y904" i="6"/>
  <c r="AA904" i="6"/>
  <c r="AB904" i="6"/>
  <c r="Y903" i="6"/>
  <c r="AA903" i="6"/>
  <c r="AB903" i="6" s="1"/>
  <c r="Y902" i="6"/>
  <c r="AA902" i="6"/>
  <c r="AB902" i="6"/>
  <c r="Y901" i="6"/>
  <c r="AA901" i="6"/>
  <c r="AB901" i="6" s="1"/>
  <c r="Y900" i="6"/>
  <c r="AA900" i="6"/>
  <c r="AB900" i="6"/>
  <c r="AA520" i="6"/>
  <c r="Y520" i="6"/>
  <c r="AB520" i="6" s="1"/>
  <c r="Y521" i="6"/>
  <c r="AA521" i="6"/>
  <c r="AB521" i="6" s="1"/>
  <c r="Y522" i="6"/>
  <c r="AA522" i="6"/>
  <c r="AB522" i="6" s="1"/>
  <c r="AA523" i="6"/>
  <c r="Y523" i="6"/>
  <c r="AB523" i="6"/>
  <c r="AA524" i="6"/>
  <c r="Y524" i="6"/>
  <c r="AB524" i="6"/>
  <c r="Y525" i="6"/>
  <c r="AA525" i="6"/>
  <c r="AB525" i="6"/>
  <c r="Y530" i="6"/>
  <c r="AA530" i="6"/>
  <c r="AB530" i="6"/>
  <c r="Y534" i="6"/>
  <c r="AA534" i="6"/>
  <c r="AB534" i="6" s="1"/>
  <c r="Y535" i="6"/>
  <c r="AA535" i="6"/>
  <c r="AB535" i="6"/>
  <c r="AA531" i="6"/>
  <c r="Y531" i="6"/>
  <c r="AB531" i="6"/>
  <c r="Y532" i="6"/>
  <c r="AA532" i="6"/>
  <c r="AB532" i="6" s="1"/>
  <c r="AA533" i="6"/>
  <c r="Y533" i="6"/>
  <c r="AB533" i="6"/>
  <c r="AA526" i="6"/>
  <c r="Y526" i="6"/>
  <c r="AB526" i="6"/>
  <c r="AA527" i="6"/>
  <c r="Y527" i="6"/>
  <c r="AB527" i="6"/>
  <c r="Y528" i="6"/>
  <c r="AA528" i="6"/>
  <c r="AB528" i="6"/>
  <c r="AA529" i="6"/>
  <c r="Y529" i="6"/>
  <c r="AB529" i="6"/>
  <c r="Y1126" i="6"/>
  <c r="AA1126" i="6"/>
  <c r="AB1126" i="6" s="1"/>
  <c r="Y65" i="6"/>
  <c r="AA65" i="6"/>
  <c r="AB65" i="6" s="1"/>
  <c r="AA66" i="6"/>
  <c r="Y66" i="6"/>
  <c r="AB66" i="6" s="1"/>
  <c r="Y78" i="6"/>
  <c r="AA78" i="6"/>
  <c r="AB78" i="6"/>
  <c r="Y87" i="6"/>
  <c r="AA87" i="6"/>
  <c r="AB87" i="6"/>
  <c r="AA88" i="6"/>
  <c r="Y88" i="6"/>
  <c r="AB88" i="6"/>
  <c r="AA86" i="6"/>
  <c r="Y86" i="6"/>
  <c r="AB86" i="6"/>
  <c r="Y85" i="6"/>
  <c r="AA85" i="6"/>
  <c r="AB85" i="6"/>
  <c r="Y79" i="6"/>
  <c r="AA79" i="6"/>
  <c r="AB79" i="6"/>
  <c r="Y84" i="6"/>
  <c r="AA84" i="6"/>
  <c r="AB84" i="6"/>
  <c r="AA80" i="6"/>
  <c r="Y80" i="6"/>
  <c r="AB80" i="6" s="1"/>
  <c r="AA81" i="6"/>
  <c r="Y81" i="6"/>
  <c r="AB81" i="6" s="1"/>
  <c r="AA83" i="6"/>
  <c r="Y83" i="6"/>
  <c r="AB83" i="6"/>
  <c r="Y82" i="6"/>
  <c r="AA82" i="6"/>
  <c r="AB82" i="6"/>
  <c r="AA67" i="6"/>
  <c r="Y67" i="6"/>
  <c r="AB67" i="6"/>
  <c r="Y68" i="6"/>
  <c r="AA68" i="6"/>
  <c r="AB68" i="6"/>
  <c r="Y69" i="6"/>
  <c r="AA69" i="6"/>
  <c r="AB69" i="6"/>
  <c r="Y77" i="6"/>
  <c r="AA77" i="6"/>
  <c r="AB77" i="6"/>
  <c r="Y70" i="6"/>
  <c r="AA70" i="6"/>
  <c r="AB70" i="6" s="1"/>
  <c r="AA71" i="6"/>
  <c r="Y71" i="6"/>
  <c r="AB71" i="6"/>
  <c r="Y72" i="6"/>
  <c r="AA72" i="6"/>
  <c r="AB72" i="6"/>
  <c r="AA74" i="6"/>
  <c r="Y74" i="6"/>
  <c r="AB74" i="6" s="1"/>
  <c r="Y76" i="6"/>
  <c r="AA76" i="6"/>
  <c r="AB76" i="6" s="1"/>
  <c r="Y75" i="6"/>
  <c r="AA75" i="6"/>
  <c r="AB75" i="6"/>
  <c r="Y73" i="6"/>
  <c r="AA73" i="6"/>
  <c r="AB73" i="6" s="1"/>
  <c r="AA1101" i="6"/>
  <c r="Y626" i="6"/>
  <c r="Y1216" i="6"/>
  <c r="AA1216" i="6"/>
  <c r="Y1217" i="6"/>
  <c r="AA1217" i="6"/>
  <c r="AA1218" i="6"/>
  <c r="Y1218" i="6"/>
  <c r="Y1219" i="6"/>
  <c r="AA1219" i="6"/>
  <c r="Y1221" i="6"/>
  <c r="AA1221" i="6"/>
  <c r="Y1222" i="6"/>
  <c r="AA1222" i="6"/>
  <c r="AA1225" i="6"/>
  <c r="Y1225" i="6"/>
  <c r="Y1214" i="6"/>
  <c r="AA1214" i="6"/>
  <c r="AA1215" i="6"/>
  <c r="Y1215" i="6"/>
  <c r="Y1220" i="6"/>
  <c r="AA1220" i="6"/>
  <c r="Y1223" i="6"/>
  <c r="AA1223" i="6"/>
  <c r="Y1224" i="6"/>
  <c r="AA1224" i="6"/>
  <c r="AA1226" i="6"/>
  <c r="Y1226" i="6"/>
  <c r="Y1228" i="6"/>
  <c r="AA1228" i="6"/>
  <c r="Y1229" i="6"/>
  <c r="AA1229" i="6"/>
  <c r="AA1230" i="6"/>
  <c r="Y1230" i="6"/>
  <c r="Y1231" i="6"/>
  <c r="AA1231" i="6"/>
  <c r="AA1232" i="6"/>
  <c r="Y1232" i="6"/>
  <c r="AA1233" i="6"/>
  <c r="Y1233" i="6"/>
  <c r="AA1234" i="6"/>
  <c r="Y1234" i="6"/>
  <c r="Y1235" i="6"/>
  <c r="AA1235" i="6"/>
  <c r="Y1236" i="6"/>
  <c r="AA1236" i="6"/>
  <c r="AA1237" i="6"/>
  <c r="Y1237" i="6"/>
  <c r="AA1238" i="6"/>
  <c r="Y1238" i="6"/>
  <c r="Y1227" i="6"/>
  <c r="AA1227" i="6"/>
  <c r="Y1344" i="6"/>
  <c r="AA1344" i="6"/>
  <c r="AA1345" i="6"/>
  <c r="Y1345" i="6"/>
  <c r="AA1347" i="6"/>
  <c r="Y1347" i="6"/>
  <c r="AA1352" i="6"/>
  <c r="Y1352" i="6"/>
  <c r="Y1361" i="6"/>
  <c r="AA1361" i="6"/>
  <c r="Y1364" i="6"/>
  <c r="AA1364" i="6"/>
  <c r="AA1369" i="6"/>
  <c r="Y1369" i="6"/>
  <c r="Y1362" i="6"/>
  <c r="AA1362" i="6"/>
  <c r="AB1362" i="6"/>
  <c r="Y1359" i="6"/>
  <c r="AA1359" i="6"/>
  <c r="AA1346" i="6"/>
  <c r="Y1346" i="6"/>
  <c r="AB1346" i="6" s="1"/>
  <c r="AA1348" i="6"/>
  <c r="Y1348" i="6"/>
  <c r="AA1349" i="6"/>
  <c r="Y1349" i="6"/>
  <c r="AB1349" i="6" s="1"/>
  <c r="AA1350" i="6"/>
  <c r="Y1350" i="6"/>
  <c r="Y1351" i="6"/>
  <c r="AA1351" i="6"/>
  <c r="AB1351" i="6" s="1"/>
  <c r="AA1353" i="6"/>
  <c r="Y1353" i="6"/>
  <c r="Y1354" i="6"/>
  <c r="AA1354" i="6"/>
  <c r="AB1354" i="6" s="1"/>
  <c r="AA1357" i="6"/>
  <c r="Y1357" i="6"/>
  <c r="AA1358" i="6"/>
  <c r="Y1358" i="6"/>
  <c r="AB1358" i="6" s="1"/>
  <c r="Y1355" i="6"/>
  <c r="AA1355" i="6"/>
  <c r="AA1356" i="6"/>
  <c r="Y1356" i="6"/>
  <c r="AB1356" i="6" s="1"/>
  <c r="Y1360" i="6"/>
  <c r="AA1360" i="6"/>
  <c r="AA1365" i="6"/>
  <c r="Y1365" i="6"/>
  <c r="Y1366" i="6"/>
  <c r="AA1366" i="6"/>
  <c r="Y1367" i="6"/>
  <c r="AA1367" i="6"/>
  <c r="AA1368" i="6"/>
  <c r="Y1368" i="6"/>
  <c r="Y1370" i="6"/>
  <c r="AA1370" i="6"/>
  <c r="Y1371" i="6"/>
  <c r="AA1371" i="6"/>
  <c r="AA1363" i="6"/>
  <c r="Y1363" i="6"/>
  <c r="Y1372" i="6"/>
  <c r="AA1372" i="6"/>
  <c r="AA1373" i="6"/>
  <c r="Y1373" i="6"/>
  <c r="AB1373" i="6" s="1"/>
  <c r="AA1374" i="6"/>
  <c r="Y1374" i="6"/>
  <c r="Y1375" i="6"/>
  <c r="AA1375" i="6"/>
  <c r="AB1375" i="6" s="1"/>
  <c r="Y795" i="6"/>
  <c r="Y821" i="6"/>
  <c r="AA821" i="6"/>
  <c r="U793" i="6"/>
  <c r="U1377" i="6" s="1"/>
  <c r="Y1074" i="6"/>
  <c r="AA731" i="6"/>
  <c r="AA603" i="6"/>
  <c r="AA756" i="6"/>
  <c r="AB756" i="6" s="1"/>
  <c r="AD756" i="6" s="1"/>
  <c r="AE756" i="6" s="1"/>
  <c r="AA1103" i="6"/>
  <c r="AB1103" i="6" s="1"/>
  <c r="AD1103" i="6" s="1"/>
  <c r="AF1103" i="6" s="1"/>
  <c r="Y587" i="6"/>
  <c r="AA1025" i="6"/>
  <c r="AB1025" i="6" s="1"/>
  <c r="AD1025" i="6" s="1"/>
  <c r="AE1025" i="6" s="1"/>
  <c r="AA760" i="6"/>
  <c r="AB760" i="6" s="1"/>
  <c r="AD760" i="6" s="1"/>
  <c r="Y693" i="6"/>
  <c r="AB693" i="6" s="1"/>
  <c r="AD693" i="6" s="1"/>
  <c r="AE693" i="6" s="1"/>
  <c r="T5" i="3"/>
  <c r="V5" i="3" s="1"/>
  <c r="Z5" i="3" s="1"/>
  <c r="Y1024" i="6"/>
  <c r="AB1024" i="6" s="1"/>
  <c r="AA656" i="6"/>
  <c r="AB656" i="6" s="1"/>
  <c r="AD656" i="6" s="1"/>
  <c r="AF656" i="6" s="1"/>
  <c r="Y1111" i="6"/>
  <c r="AB1111" i="6" s="1"/>
  <c r="AD1111" i="6" s="1"/>
  <c r="Y663" i="6"/>
  <c r="Y822" i="6"/>
  <c r="AB822" i="6" s="1"/>
  <c r="AD822" i="6" s="1"/>
  <c r="AE822" i="6" s="1"/>
  <c r="AA1054" i="6"/>
  <c r="AB1054" i="6" s="1"/>
  <c r="AD1054" i="6" s="1"/>
  <c r="AE1054" i="6" s="1"/>
  <c r="Y1087" i="6"/>
  <c r="AB1087" i="6" s="1"/>
  <c r="AD1087" i="6" s="1"/>
  <c r="Y722" i="6"/>
  <c r="AB722" i="6" s="1"/>
  <c r="AD722" i="6" s="1"/>
  <c r="AF722" i="6" s="1"/>
  <c r="Y1123" i="6"/>
  <c r="AB1123" i="6" s="1"/>
  <c r="AD1123" i="6" s="1"/>
  <c r="AE1123" i="6" s="1"/>
  <c r="Y1328" i="6"/>
  <c r="AB1328" i="6" s="1"/>
  <c r="AD1328" i="6" s="1"/>
  <c r="AF1328" i="6" s="1"/>
  <c r="AA1065" i="6"/>
  <c r="AB1065" i="6" s="1"/>
  <c r="AD1065" i="6" s="1"/>
  <c r="AE1065" i="6" s="1"/>
  <c r="Y623" i="6"/>
  <c r="AB623" i="6" s="1"/>
  <c r="AD623" i="6" s="1"/>
  <c r="AE623" i="6" s="1"/>
  <c r="AA1309" i="6"/>
  <c r="AB1309" i="6" s="1"/>
  <c r="AD1309" i="6" s="1"/>
  <c r="AA774" i="6"/>
  <c r="Y774" i="6"/>
  <c r="Y1310" i="6"/>
  <c r="AA1310" i="6"/>
  <c r="Y565" i="6"/>
  <c r="AA565" i="6"/>
  <c r="AA638" i="6"/>
  <c r="AA1325" i="6"/>
  <c r="AB1325" i="6" s="1"/>
  <c r="AD1325" i="6" s="1"/>
  <c r="Y716" i="6"/>
  <c r="AB716" i="6" s="1"/>
  <c r="AD716" i="6" s="1"/>
  <c r="AE716" i="6" s="1"/>
  <c r="AA678" i="6"/>
  <c r="AB678" i="6" s="1"/>
  <c r="Y594" i="6"/>
  <c r="AB594" i="6" s="1"/>
  <c r="AD594" i="6" s="1"/>
  <c r="AE594" i="6" s="1"/>
  <c r="AA1306" i="6"/>
  <c r="AB1306" i="6" s="1"/>
  <c r="AD1306" i="6" s="1"/>
  <c r="AF1306" i="6" s="1"/>
  <c r="AA590" i="6"/>
  <c r="AB590" i="6" s="1"/>
  <c r="AA785" i="6"/>
  <c r="AB785" i="6" s="1"/>
  <c r="AA1326" i="6"/>
  <c r="Y1326" i="6"/>
  <c r="AA771" i="6"/>
  <c r="Y771" i="6"/>
  <c r="AA673" i="6"/>
  <c r="Y673" i="6"/>
  <c r="Y1006" i="6"/>
  <c r="AA1006" i="6"/>
  <c r="Y968" i="6"/>
  <c r="AA968" i="6"/>
  <c r="Y1001" i="6"/>
  <c r="AA1001" i="6"/>
  <c r="Y854" i="6"/>
  <c r="AA854" i="6"/>
  <c r="AA1329" i="6"/>
  <c r="Y1329" i="6"/>
  <c r="AA726" i="6"/>
  <c r="AA960" i="6"/>
  <c r="AB960" i="6" s="1"/>
  <c r="AD960" i="6" s="1"/>
  <c r="AA1323" i="6"/>
  <c r="AB1323" i="6" s="1"/>
  <c r="AD1323" i="6" s="1"/>
  <c r="AA759" i="6"/>
  <c r="AB759" i="6" s="1"/>
  <c r="AD759" i="6" s="1"/>
  <c r="AE759" i="6" s="1"/>
  <c r="Y611" i="6"/>
  <c r="AB611" i="6" s="1"/>
  <c r="AD611" i="6" s="1"/>
  <c r="AF611" i="6" s="1"/>
  <c r="Y622" i="6"/>
  <c r="AB622" i="6" s="1"/>
  <c r="AD622" i="6" s="1"/>
  <c r="AF622" i="6" s="1"/>
  <c r="AA1311" i="6"/>
  <c r="AB1311" i="6" s="1"/>
  <c r="AD1311" i="6" s="1"/>
  <c r="Y807" i="6"/>
  <c r="AB807" i="6" s="1"/>
  <c r="AD807" i="6" s="1"/>
  <c r="AA1045" i="6"/>
  <c r="Y577" i="6"/>
  <c r="Y718" i="6"/>
  <c r="AB718" i="6" s="1"/>
  <c r="AD718" i="6" s="1"/>
  <c r="AE718" i="6" s="1"/>
  <c r="Y642" i="6"/>
  <c r="AB642" i="6" s="1"/>
  <c r="AD642" i="6" s="1"/>
  <c r="AE642" i="6" s="1"/>
  <c r="AA983" i="6"/>
  <c r="AB983" i="6" s="1"/>
  <c r="AD983" i="6" s="1"/>
  <c r="AE983" i="6" s="1"/>
  <c r="Y1301" i="6"/>
  <c r="AB1301" i="6" s="1"/>
  <c r="AD1301" i="6" s="1"/>
  <c r="AF1301" i="6" s="1"/>
  <c r="AA1315" i="6"/>
  <c r="AB1315" i="6" s="1"/>
  <c r="AD1315" i="6" s="1"/>
  <c r="AE1315" i="6" s="1"/>
  <c r="AA1134" i="6"/>
  <c r="AB1134" i="6" s="1"/>
  <c r="AD1134" i="6" s="1"/>
  <c r="AA652" i="6"/>
  <c r="AB652" i="6" s="1"/>
  <c r="AD652" i="6" s="1"/>
  <c r="AA1342" i="6"/>
  <c r="AB1342" i="6" s="1"/>
  <c r="AD1342" i="6" s="1"/>
  <c r="AE1342" i="6" s="1"/>
  <c r="AA792" i="6"/>
  <c r="AB792" i="6" s="1"/>
  <c r="AD792" i="6" s="1"/>
  <c r="AF792" i="6" s="1"/>
  <c r="AA1307" i="6"/>
  <c r="AB1307" i="6" s="1"/>
  <c r="AD1307" i="6" s="1"/>
  <c r="AF1307" i="6" s="1"/>
  <c r="AA667" i="6"/>
  <c r="AB667" i="6" s="1"/>
  <c r="AD667" i="6" s="1"/>
  <c r="AE667" i="6" s="1"/>
  <c r="Y702" i="6"/>
  <c r="AB702" i="6" s="1"/>
  <c r="AD702" i="6" s="1"/>
  <c r="Y1027" i="6"/>
  <c r="AB1027" i="6" s="1"/>
  <c r="AD1027" i="6" s="1"/>
  <c r="AE1027" i="6" s="1"/>
  <c r="Y1279" i="6"/>
  <c r="AB1279" i="6" s="1"/>
  <c r="AD1279" i="6" s="1"/>
  <c r="AE1279" i="6" s="1"/>
  <c r="AA1318" i="6"/>
  <c r="AB1318" i="6" s="1"/>
  <c r="AD1318" i="6" s="1"/>
  <c r="AE1318" i="6" s="1"/>
  <c r="AA1060" i="6"/>
  <c r="AB1060" i="6" s="1"/>
  <c r="AD1060" i="6" s="1"/>
  <c r="AA579" i="6"/>
  <c r="AB579" i="6" s="1"/>
  <c r="AD579" i="6" s="1"/>
  <c r="AF579" i="6" s="1"/>
  <c r="Y672" i="6"/>
  <c r="AB672" i="6" s="1"/>
  <c r="AD672" i="6" s="1"/>
  <c r="AF672" i="6" s="1"/>
  <c r="Y671" i="6"/>
  <c r="AB671" i="6" s="1"/>
  <c r="AA1041" i="6"/>
  <c r="AB1041" i="6" s="1"/>
  <c r="AD1041" i="6" s="1"/>
  <c r="AF1041" i="6" s="1"/>
  <c r="AA752" i="6"/>
  <c r="AB752" i="6" s="1"/>
  <c r="AD752" i="6" s="1"/>
  <c r="AE752" i="6" s="1"/>
  <c r="AE130" i="3"/>
  <c r="AF130" i="3" s="1"/>
  <c r="AA1268" i="6"/>
  <c r="AB1268" i="6" s="1"/>
  <c r="AD1268" i="6" s="1"/>
  <c r="AE1268" i="6" s="1"/>
  <c r="Y1115" i="6"/>
  <c r="AB1115" i="6" s="1"/>
  <c r="Y787" i="6"/>
  <c r="AB787" i="6" s="1"/>
  <c r="AD787" i="6" s="1"/>
  <c r="AE787" i="6" s="1"/>
  <c r="AA1058" i="6"/>
  <c r="AB1058" i="6" s="1"/>
  <c r="AA781" i="6"/>
  <c r="AB781" i="6" s="1"/>
  <c r="AD781" i="6" s="1"/>
  <c r="AE781" i="6" s="1"/>
  <c r="AA1293" i="6"/>
  <c r="AB1293" i="6" s="1"/>
  <c r="Y728" i="6"/>
  <c r="AB728" i="6" s="1"/>
  <c r="AD728" i="6" s="1"/>
  <c r="AE728" i="6" s="1"/>
  <c r="Y661" i="6"/>
  <c r="AB661" i="6" s="1"/>
  <c r="AD661" i="6" s="1"/>
  <c r="AE661" i="6" s="1"/>
  <c r="AA1057" i="6"/>
  <c r="AB1057" i="6" s="1"/>
  <c r="AD1057" i="6" s="1"/>
  <c r="AE1057" i="6" s="1"/>
  <c r="AA616" i="6"/>
  <c r="AB616" i="6" s="1"/>
  <c r="AD616" i="6" s="1"/>
  <c r="AF616" i="6" s="1"/>
  <c r="Y583" i="6"/>
  <c r="AB583" i="6" s="1"/>
  <c r="AD583" i="6" s="1"/>
  <c r="AE583" i="6" s="1"/>
  <c r="AA1213" i="6"/>
  <c r="AB1213" i="6" s="1"/>
  <c r="AD1213" i="6" s="1"/>
  <c r="AF1213" i="6" s="1"/>
  <c r="AA1104" i="6"/>
  <c r="AB1104" i="6" s="1"/>
  <c r="AD1104" i="6" s="1"/>
  <c r="Y598" i="6"/>
  <c r="AB598" i="6" s="1"/>
  <c r="AD598" i="6" s="1"/>
  <c r="AE598" i="6" s="1"/>
  <c r="AA669" i="6"/>
  <c r="AB669" i="6" s="1"/>
  <c r="AD669" i="6" s="1"/>
  <c r="AF669" i="6" s="1"/>
  <c r="Y867" i="6"/>
  <c r="AB867" i="6" s="1"/>
  <c r="AD867" i="6" s="1"/>
  <c r="AE867" i="6" s="1"/>
  <c r="AA1032" i="6"/>
  <c r="AB1032" i="6" s="1"/>
  <c r="AA1069" i="6"/>
  <c r="AB1069" i="6" s="1"/>
  <c r="AD1069" i="6" s="1"/>
  <c r="AF1069" i="6" s="1"/>
  <c r="Y1122" i="6"/>
  <c r="AB1122" i="6" s="1"/>
  <c r="AD1122" i="6" s="1"/>
  <c r="AF1122" i="6" s="1"/>
  <c r="AA1038" i="6"/>
  <c r="AB1038" i="6" s="1"/>
  <c r="AA1317" i="6"/>
  <c r="AB1317" i="6" s="1"/>
  <c r="AD1317" i="6" s="1"/>
  <c r="AE1317" i="6" s="1"/>
  <c r="AA720" i="6"/>
  <c r="AB720" i="6" s="1"/>
  <c r="AD720" i="6" s="1"/>
  <c r="AF720" i="6" s="1"/>
  <c r="Y675" i="6"/>
  <c r="AB675" i="6" s="1"/>
  <c r="AD675" i="6" s="1"/>
  <c r="AE675" i="6" s="1"/>
  <c r="Y588" i="6"/>
  <c r="AB588" i="6" s="1"/>
  <c r="AD588" i="6" s="1"/>
  <c r="AA1287" i="6"/>
  <c r="AB1287" i="6" s="1"/>
  <c r="AD1287" i="6" s="1"/>
  <c r="AF1287" i="6" s="1"/>
  <c r="AA1278" i="6"/>
  <c r="AB1278" i="6" s="1"/>
  <c r="AD1278" i="6" s="1"/>
  <c r="AF1278" i="6" s="1"/>
  <c r="Y1100" i="6"/>
  <c r="AB1100" i="6" s="1"/>
  <c r="AD1100" i="6" s="1"/>
  <c r="AE1100" i="6" s="1"/>
  <c r="AA1270" i="6"/>
  <c r="AB1270" i="6" s="1"/>
  <c r="AD1270" i="6" s="1"/>
  <c r="AA741" i="6"/>
  <c r="AB741" i="6" s="1"/>
  <c r="AD741" i="6" s="1"/>
  <c r="AE741" i="6" s="1"/>
  <c r="Y804" i="6"/>
  <c r="AB804" i="6" s="1"/>
  <c r="AD804" i="6" s="1"/>
  <c r="AF804" i="6" s="1"/>
  <c r="AA739" i="6"/>
  <c r="AB739" i="6" s="1"/>
  <c r="AD739" i="6" s="1"/>
  <c r="AF739" i="6" s="1"/>
  <c r="AA1340" i="6"/>
  <c r="AB1340" i="6" s="1"/>
  <c r="AD1340" i="6" s="1"/>
  <c r="AE1340" i="6" s="1"/>
  <c r="Y1291" i="6"/>
  <c r="AB1291" i="6" s="1"/>
  <c r="AD1291" i="6" s="1"/>
  <c r="AF1291" i="6" s="1"/>
  <c r="AA755" i="6"/>
  <c r="AB755" i="6" s="1"/>
  <c r="AD755" i="6" s="1"/>
  <c r="AF755" i="6" s="1"/>
  <c r="Y658" i="6"/>
  <c r="AB658" i="6" s="1"/>
  <c r="AD658" i="6" s="1"/>
  <c r="AE658" i="6" s="1"/>
  <c r="AA1093" i="6"/>
  <c r="AB1093" i="6" s="1"/>
  <c r="AD1093" i="6" s="1"/>
  <c r="AF1093" i="6" s="1"/>
  <c r="AA713" i="6"/>
  <c r="AB713" i="6" s="1"/>
  <c r="AD713" i="6" s="1"/>
  <c r="AE713" i="6" s="1"/>
  <c r="AA1055" i="6"/>
  <c r="AB1055" i="6" s="1"/>
  <c r="AD1055" i="6" s="1"/>
  <c r="AF1055" i="6" s="1"/>
  <c r="AA1016" i="6"/>
  <c r="AB1016" i="6" s="1"/>
  <c r="AD1016" i="6" s="1"/>
  <c r="AE1016" i="6" s="1"/>
  <c r="AA620" i="6"/>
  <c r="AB620" i="6" s="1"/>
  <c r="Y1048" i="6"/>
  <c r="AB1048" i="6" s="1"/>
  <c r="AD1048" i="6" s="1"/>
  <c r="AF1048" i="6" s="1"/>
  <c r="Y613" i="6"/>
  <c r="AB613" i="6" s="1"/>
  <c r="AD613" i="6" s="1"/>
  <c r="AE613" i="6" s="1"/>
  <c r="AA1052" i="6"/>
  <c r="AB1052" i="6" s="1"/>
  <c r="AA683" i="6"/>
  <c r="AB683" i="6" s="1"/>
  <c r="AD683" i="6" s="1"/>
  <c r="AF683" i="6" s="1"/>
  <c r="Y772" i="6"/>
  <c r="AB772" i="6" s="1"/>
  <c r="AD772" i="6" s="1"/>
  <c r="AE772" i="6" s="1"/>
  <c r="Y1125" i="6"/>
  <c r="AB1125" i="6" s="1"/>
  <c r="AD1125" i="6" s="1"/>
  <c r="AE1125" i="6" s="1"/>
  <c r="Y679" i="6"/>
  <c r="AB679" i="6" s="1"/>
  <c r="AA1044" i="6"/>
  <c r="AB1044" i="6" s="1"/>
  <c r="AD1044" i="6" s="1"/>
  <c r="AF1044" i="6" s="1"/>
  <c r="AA576" i="6"/>
  <c r="AB576" i="6" s="1"/>
  <c r="AA695" i="6"/>
  <c r="AB695" i="6" s="1"/>
  <c r="AD695" i="6" s="1"/>
  <c r="AF695" i="6" s="1"/>
  <c r="Y600" i="6"/>
  <c r="AB600" i="6" s="1"/>
  <c r="AD600" i="6" s="1"/>
  <c r="AE600" i="6" s="1"/>
  <c r="Y757" i="6"/>
  <c r="AB757" i="6" s="1"/>
  <c r="AA868" i="6"/>
  <c r="AB868" i="6" s="1"/>
  <c r="AD868" i="6" s="1"/>
  <c r="AE868" i="6" s="1"/>
  <c r="Y643" i="6"/>
  <c r="AB643" i="6" s="1"/>
  <c r="AA782" i="6"/>
  <c r="AB782" i="6" s="1"/>
  <c r="AD782" i="6" s="1"/>
  <c r="AE782" i="6" s="1"/>
  <c r="AA591" i="6"/>
  <c r="AB591" i="6" s="1"/>
  <c r="AD591" i="6" s="1"/>
  <c r="AE591" i="6" s="1"/>
  <c r="Y1061" i="6"/>
  <c r="AB1061" i="6" s="1"/>
  <c r="AD1061" i="6" s="1"/>
  <c r="AF1061" i="6" s="1"/>
  <c r="AA1298" i="6"/>
  <c r="AB1298" i="6" s="1"/>
  <c r="AD1298" i="6" s="1"/>
  <c r="AE1298" i="6" s="1"/>
  <c r="Y1282" i="6"/>
  <c r="AB1282" i="6" s="1"/>
  <c r="AD1282" i="6" s="1"/>
  <c r="AF1282" i="6" s="1"/>
  <c r="AA703" i="6"/>
  <c r="AB703" i="6" s="1"/>
  <c r="AD703" i="6" s="1"/>
  <c r="AF703" i="6" s="1"/>
  <c r="AA629" i="6"/>
  <c r="AB629" i="6" s="1"/>
  <c r="AD629" i="6" s="1"/>
  <c r="AF629" i="6" s="1"/>
  <c r="Y592" i="6"/>
  <c r="AB592" i="6" s="1"/>
  <c r="AD592" i="6" s="1"/>
  <c r="AF592" i="6" s="1"/>
  <c r="AA1116" i="6"/>
  <c r="AB1116" i="6" s="1"/>
  <c r="AD1116" i="6" s="1"/>
  <c r="AE1116" i="6" s="1"/>
  <c r="AA1292" i="6"/>
  <c r="AB1292" i="6" s="1"/>
  <c r="AD1292" i="6" s="1"/>
  <c r="AE1292" i="6" s="1"/>
  <c r="Y1299" i="6"/>
  <c r="AB1299" i="6" s="1"/>
  <c r="AD1299" i="6" s="1"/>
  <c r="Y1095" i="6"/>
  <c r="AB1095" i="6" s="1"/>
  <c r="AD1095" i="6" s="1"/>
  <c r="AE1095" i="6" s="1"/>
  <c r="AA1091" i="6"/>
  <c r="AB1091" i="6" s="1"/>
  <c r="AD1091" i="6" s="1"/>
  <c r="AF1091" i="6" s="1"/>
  <c r="AA596" i="6"/>
  <c r="AB596" i="6" s="1"/>
  <c r="AD596" i="6" s="1"/>
  <c r="AA1300" i="6"/>
  <c r="AB1300" i="6" s="1"/>
  <c r="AD1300" i="6" s="1"/>
  <c r="AF1300" i="6" s="1"/>
  <c r="AA644" i="6"/>
  <c r="AB644" i="6" s="1"/>
  <c r="AD644" i="6" s="1"/>
  <c r="AA1013" i="6"/>
  <c r="AB1013" i="6" s="1"/>
  <c r="AD1013" i="6" s="1"/>
  <c r="AF1013" i="6" s="1"/>
  <c r="Y938" i="6"/>
  <c r="AB938" i="6" s="1"/>
  <c r="AD938" i="6" s="1"/>
  <c r="AA1343" i="6"/>
  <c r="AB1343" i="6" s="1"/>
  <c r="AD1343" i="6" s="1"/>
  <c r="AE1343" i="6" s="1"/>
  <c r="Y589" i="6"/>
  <c r="AB589" i="6" s="1"/>
  <c r="AD589" i="6" s="1"/>
  <c r="AE589" i="6" s="1"/>
  <c r="AA694" i="6"/>
  <c r="AB694" i="6" s="1"/>
  <c r="AD694" i="6" s="1"/>
  <c r="AF694" i="6" s="1"/>
  <c r="Y1056" i="6"/>
  <c r="AB1056" i="6" s="1"/>
  <c r="AD1056" i="6" s="1"/>
  <c r="AE1056" i="6" s="1"/>
  <c r="AA1324" i="6"/>
  <c r="AB1324" i="6" s="1"/>
  <c r="AD1324" i="6" s="1"/>
  <c r="AE1324" i="6" s="1"/>
  <c r="AA691" i="6"/>
  <c r="AB691" i="6" s="1"/>
  <c r="Y1132" i="6"/>
  <c r="AB1132" i="6" s="1"/>
  <c r="AD1132" i="6" s="1"/>
  <c r="AE1132" i="6" s="1"/>
  <c r="Y737" i="6"/>
  <c r="AB737" i="6" s="1"/>
  <c r="AD737" i="6" s="1"/>
  <c r="AA607" i="6"/>
  <c r="AB607" i="6" s="1"/>
  <c r="AD607" i="6" s="1"/>
  <c r="AF607" i="6" s="1"/>
  <c r="Y733" i="6"/>
  <c r="AB733" i="6" s="1"/>
  <c r="AD733" i="6" s="1"/>
  <c r="AA1275" i="6"/>
  <c r="AB1275" i="6" s="1"/>
  <c r="AD1275" i="6" s="1"/>
  <c r="AF1275" i="6" s="1"/>
  <c r="AA1018" i="6"/>
  <c r="AB1018" i="6" s="1"/>
  <c r="Y659" i="6"/>
  <c r="AB659" i="6" s="1"/>
  <c r="AD659" i="6" s="1"/>
  <c r="AA647" i="6"/>
  <c r="AB647" i="6" s="1"/>
  <c r="AD647" i="6" s="1"/>
  <c r="AE647" i="6" s="1"/>
  <c r="AA1068" i="6"/>
  <c r="AB1068" i="6" s="1"/>
  <c r="AA605" i="6"/>
  <c r="AB605" i="6" s="1"/>
  <c r="AD605" i="6" s="1"/>
  <c r="AF605" i="6" s="1"/>
  <c r="AA698" i="6"/>
  <c r="AB698" i="6" s="1"/>
  <c r="AD698" i="6" s="1"/>
  <c r="AF698" i="6" s="1"/>
  <c r="Y676" i="6"/>
  <c r="AB676" i="6" s="1"/>
  <c r="AD676" i="6" s="1"/>
  <c r="AE676" i="6" s="1"/>
  <c r="AA1320" i="6"/>
  <c r="AB1320" i="6" s="1"/>
  <c r="AD1320" i="6" s="1"/>
  <c r="AF1320" i="6" s="1"/>
  <c r="Y769" i="6"/>
  <c r="AB769" i="6" s="1"/>
  <c r="AD769" i="6" s="1"/>
  <c r="AE769" i="6" s="1"/>
  <c r="AA1049" i="6"/>
  <c r="AB1049" i="6" s="1"/>
  <c r="AA956" i="6"/>
  <c r="AB956" i="6" s="1"/>
  <c r="AD956" i="6" s="1"/>
  <c r="AE956" i="6" s="1"/>
  <c r="AA612" i="6"/>
  <c r="AB612" i="6" s="1"/>
  <c r="AD612" i="6" s="1"/>
  <c r="AE612" i="6" s="1"/>
  <c r="AA1276" i="6"/>
  <c r="AB1276" i="6" s="1"/>
  <c r="AD1276" i="6" s="1"/>
  <c r="AE1276" i="6" s="1"/>
  <c r="AA1286" i="6"/>
  <c r="AB1286" i="6" s="1"/>
  <c r="AD1286" i="6" s="1"/>
  <c r="Y636" i="6"/>
  <c r="AB636" i="6" s="1"/>
  <c r="Y1029" i="6"/>
  <c r="AB1029" i="6" s="1"/>
  <c r="AA740" i="6"/>
  <c r="AB740" i="6" s="1"/>
  <c r="AD740" i="6" s="1"/>
  <c r="AE740" i="6" s="1"/>
  <c r="AA1014" i="6"/>
  <c r="AB1014" i="6" s="1"/>
  <c r="AD1014" i="6" s="1"/>
  <c r="AF1014" i="6" s="1"/>
  <c r="AA1339" i="6"/>
  <c r="AB1339" i="6" s="1"/>
  <c r="AD1339" i="6" s="1"/>
  <c r="AE1339" i="6" s="1"/>
  <c r="AA1113" i="6"/>
  <c r="AB1113" i="6" s="1"/>
  <c r="AD1113" i="6" s="1"/>
  <c r="AF1113" i="6" s="1"/>
  <c r="Y1105" i="6"/>
  <c r="AB1105" i="6" s="1"/>
  <c r="AD1105" i="6" s="1"/>
  <c r="AE1105" i="6" s="1"/>
  <c r="AA1121" i="6"/>
  <c r="AB1121" i="6" s="1"/>
  <c r="AD1121" i="6" s="1"/>
  <c r="AF1121" i="6" s="1"/>
  <c r="Y569" i="6"/>
  <c r="AB569" i="6" s="1"/>
  <c r="AD569" i="6" s="1"/>
  <c r="AF569" i="6" s="1"/>
  <c r="AA783" i="6"/>
  <c r="AB783" i="6" s="1"/>
  <c r="AD783" i="6" s="1"/>
  <c r="AE783" i="6" s="1"/>
  <c r="AA1062" i="6"/>
  <c r="AB1062" i="6" s="1"/>
  <c r="AD1062" i="6" s="1"/>
  <c r="AF1062" i="6" s="1"/>
  <c r="Y749" i="6"/>
  <c r="AB749" i="6" s="1"/>
  <c r="AD749" i="6" s="1"/>
  <c r="AF749" i="6" s="1"/>
  <c r="Y1312" i="6"/>
  <c r="AB1312" i="6" s="1"/>
  <c r="AD1312" i="6" s="1"/>
  <c r="AE1312" i="6" s="1"/>
  <c r="AA1283" i="6"/>
  <c r="AB1283" i="6" s="1"/>
  <c r="AD1283" i="6" s="1"/>
  <c r="AF1283" i="6" s="1"/>
  <c r="Y1204" i="6"/>
  <c r="AB1204" i="6" s="1"/>
  <c r="AD1204" i="6" s="1"/>
  <c r="AF1204" i="6" s="1"/>
  <c r="Y1107" i="6"/>
  <c r="AB1107" i="6" s="1"/>
  <c r="AD1107" i="6" s="1"/>
  <c r="AE1107" i="6" s="1"/>
  <c r="AA1106" i="6"/>
  <c r="AB1106" i="6" s="1"/>
  <c r="AD1106" i="6" s="1"/>
  <c r="Y580" i="6"/>
  <c r="AB580" i="6" s="1"/>
  <c r="AD580" i="6" s="1"/>
  <c r="AE580" i="6" s="1"/>
  <c r="AA646" i="6"/>
  <c r="AB646" i="6" s="1"/>
  <c r="AD646" i="6" s="1"/>
  <c r="AE646" i="6" s="1"/>
  <c r="AA736" i="6"/>
  <c r="AB736" i="6" s="1"/>
  <c r="AD736" i="6" s="1"/>
  <c r="AF736" i="6" s="1"/>
  <c r="Y1302" i="6"/>
  <c r="AB1302" i="6" s="1"/>
  <c r="AD1302" i="6" s="1"/>
  <c r="AE1302" i="6" s="1"/>
  <c r="AA1114" i="6"/>
  <c r="AB1114" i="6" s="1"/>
  <c r="AD1114" i="6" s="1"/>
  <c r="AF1114" i="6" s="1"/>
  <c r="AA1108" i="6"/>
  <c r="AB1108" i="6" s="1"/>
  <c r="AD1108" i="6" s="1"/>
  <c r="Y578" i="6"/>
  <c r="AB578" i="6" s="1"/>
  <c r="AD578" i="6" s="1"/>
  <c r="AE578" i="6" s="1"/>
  <c r="Y727" i="6"/>
  <c r="AB727" i="6" s="1"/>
  <c r="AD727" i="6" s="1"/>
  <c r="AE727" i="6" s="1"/>
  <c r="Y1011" i="6"/>
  <c r="AB1011" i="6" s="1"/>
  <c r="AD1011" i="6" s="1"/>
  <c r="AF1011" i="6" s="1"/>
  <c r="AA767" i="6"/>
  <c r="AB767" i="6" s="1"/>
  <c r="AD767" i="6" s="1"/>
  <c r="AE767" i="6" s="1"/>
  <c r="Y1030" i="6"/>
  <c r="AB1030" i="6" s="1"/>
  <c r="Y777" i="6"/>
  <c r="AB777" i="6" s="1"/>
  <c r="AD777" i="6" s="1"/>
  <c r="AA735" i="6"/>
  <c r="AB735" i="6" s="1"/>
  <c r="AD735" i="6" s="1"/>
  <c r="AA630" i="6"/>
  <c r="AB630" i="6" s="1"/>
  <c r="AD630" i="6" s="1"/>
  <c r="AA761" i="6"/>
  <c r="AB761" i="6" s="1"/>
  <c r="AD761" i="6" s="1"/>
  <c r="AE761" i="6" s="1"/>
  <c r="AA1313" i="6"/>
  <c r="AB1313" i="6" s="1"/>
  <c r="AD1313" i="6" s="1"/>
  <c r="AE1313" i="6" s="1"/>
  <c r="Y689" i="6"/>
  <c r="AB689" i="6" s="1"/>
  <c r="AD689" i="6" s="1"/>
  <c r="AE689" i="6" s="1"/>
  <c r="Y674" i="6"/>
  <c r="AB674" i="6" s="1"/>
  <c r="AD674" i="6" s="1"/>
  <c r="AE674" i="6" s="1"/>
  <c r="Y1277" i="6"/>
  <c r="AB1277" i="6" s="1"/>
  <c r="AD1277" i="6" s="1"/>
  <c r="AF1277" i="6" s="1"/>
  <c r="AA1118" i="6"/>
  <c r="AB1118" i="6" s="1"/>
  <c r="AD1118" i="6" s="1"/>
  <c r="AF1118" i="6" s="1"/>
  <c r="Y1083" i="6"/>
  <c r="AB1083" i="6" s="1"/>
  <c r="AD1083" i="6" s="1"/>
  <c r="AE1083" i="6" s="1"/>
  <c r="AA653" i="6"/>
  <c r="AB653" i="6" s="1"/>
  <c r="AD653" i="6" s="1"/>
  <c r="AA564" i="6"/>
  <c r="AB564" i="6" s="1"/>
  <c r="AA743" i="6"/>
  <c r="AB743" i="6" s="1"/>
  <c r="AD743" i="6" s="1"/>
  <c r="AE743" i="6" s="1"/>
  <c r="Y633" i="6"/>
  <c r="AB633" i="6" s="1"/>
  <c r="AD633" i="6" s="1"/>
  <c r="AE633" i="6" s="1"/>
  <c r="Y884" i="6"/>
  <c r="AB884" i="6" s="1"/>
  <c r="AD884" i="6" s="1"/>
  <c r="AF884" i="6" s="1"/>
  <c r="Y1284" i="6"/>
  <c r="AB1284" i="6" s="1"/>
  <c r="AD1284" i="6" s="1"/>
  <c r="AA1305" i="6"/>
  <c r="AB1305" i="6" s="1"/>
  <c r="AD1305" i="6" s="1"/>
  <c r="AE1305" i="6" s="1"/>
  <c r="AA1321" i="6"/>
  <c r="AB1321" i="6" s="1"/>
  <c r="AD1321" i="6" s="1"/>
  <c r="AE1321" i="6" s="1"/>
  <c r="AA1127" i="6"/>
  <c r="AB1127" i="6" s="1"/>
  <c r="AA1098" i="6"/>
  <c r="AB1098" i="6" s="1"/>
  <c r="AD1098" i="6" s="1"/>
  <c r="AE1098" i="6" s="1"/>
  <c r="AA1034" i="6"/>
  <c r="AB1034" i="6" s="1"/>
  <c r="AD1034" i="6" s="1"/>
  <c r="AE1034" i="6" s="1"/>
  <c r="Y709" i="6"/>
  <c r="AB709" i="6" s="1"/>
  <c r="AD709" i="6" s="1"/>
  <c r="AE709" i="6" s="1"/>
  <c r="Y668" i="6"/>
  <c r="AB668" i="6" s="1"/>
  <c r="AD668" i="6" s="1"/>
  <c r="AE668" i="6" s="1"/>
  <c r="Y617" i="6"/>
  <c r="AB617" i="6" s="1"/>
  <c r="AD617" i="6" s="1"/>
  <c r="AF617" i="6" s="1"/>
  <c r="Y1028" i="6"/>
  <c r="AB1028" i="6" s="1"/>
  <c r="AD1028" i="6" s="1"/>
  <c r="AA665" i="6"/>
  <c r="AB665" i="6" s="1"/>
  <c r="AA595" i="6"/>
  <c r="AB595" i="6" s="1"/>
  <c r="AD595" i="6" s="1"/>
  <c r="AF595" i="6" s="1"/>
  <c r="AA570" i="6"/>
  <c r="AB570" i="6" s="1"/>
  <c r="AD570" i="6" s="1"/>
  <c r="AF570" i="6" s="1"/>
  <c r="AA784" i="6"/>
  <c r="AB784" i="6" s="1"/>
  <c r="AD784" i="6" s="1"/>
  <c r="AE784" i="6" s="1"/>
  <c r="AA568" i="6"/>
  <c r="AB568" i="6" s="1"/>
  <c r="AD568" i="6" s="1"/>
  <c r="AF568" i="6" s="1"/>
  <c r="Y1082" i="6"/>
  <c r="AB1082" i="6" s="1"/>
  <c r="AD1082" i="6" s="1"/>
  <c r="AE1082" i="6" s="1"/>
  <c r="Y593" i="6"/>
  <c r="AB593" i="6" s="1"/>
  <c r="AD593" i="6" s="1"/>
  <c r="AF593" i="6" s="1"/>
  <c r="AA706" i="6"/>
  <c r="AB706" i="6" s="1"/>
  <c r="AA714" i="6"/>
  <c r="AB714" i="6" s="1"/>
  <c r="AA1072" i="6"/>
  <c r="AB1072" i="6" s="1"/>
  <c r="AD1072" i="6" s="1"/>
  <c r="AE1072" i="6" s="1"/>
  <c r="Y721" i="6"/>
  <c r="AB721" i="6" s="1"/>
  <c r="AA1285" i="6"/>
  <c r="AB1285" i="6" s="1"/>
  <c r="AD1285" i="6" s="1"/>
  <c r="AE1285" i="6" s="1"/>
  <c r="AA1128" i="6"/>
  <c r="AB1128" i="6" s="1"/>
  <c r="AA1050" i="6"/>
  <c r="AB1050" i="6" s="1"/>
  <c r="AD1050" i="6" s="1"/>
  <c r="Y696" i="6"/>
  <c r="AB696" i="6" s="1"/>
  <c r="AD696" i="6" s="1"/>
  <c r="AE696" i="6" s="1"/>
  <c r="Y597" i="6"/>
  <c r="AB597" i="6" s="1"/>
  <c r="AD597" i="6" s="1"/>
  <c r="AF597" i="6" s="1"/>
  <c r="AA1063" i="6"/>
  <c r="AB1063" i="6" s="1"/>
  <c r="AD1063" i="6" s="1"/>
  <c r="AF1063" i="6" s="1"/>
  <c r="AA639" i="6"/>
  <c r="AB639" i="6" s="1"/>
  <c r="AD639" i="6" s="1"/>
  <c r="AE639" i="6" s="1"/>
  <c r="Y1066" i="6"/>
  <c r="AB1066" i="6" s="1"/>
  <c r="Y1094" i="6"/>
  <c r="AB1094" i="6" s="1"/>
  <c r="Y640" i="6"/>
  <c r="AB640" i="6" s="1"/>
  <c r="AD640" i="6" s="1"/>
  <c r="AE640" i="6" s="1"/>
  <c r="Y1040" i="6"/>
  <c r="AB1040" i="6" s="1"/>
  <c r="AD1040" i="6" s="1"/>
  <c r="AE1040" i="6" s="1"/>
  <c r="Y724" i="6"/>
  <c r="AB724" i="6" s="1"/>
  <c r="AA1337" i="6"/>
  <c r="AB1337" i="6" s="1"/>
  <c r="AD1337" i="6" s="1"/>
  <c r="AE1337" i="6" s="1"/>
  <c r="AA1124" i="6"/>
  <c r="AB1124" i="6" s="1"/>
  <c r="AD1124" i="6" s="1"/>
  <c r="AE1124" i="6" s="1"/>
  <c r="Y707" i="6"/>
  <c r="AB707" i="6" s="1"/>
  <c r="AD707" i="6" s="1"/>
  <c r="AE707" i="6" s="1"/>
  <c r="AA1036" i="6"/>
  <c r="AB1036" i="6" s="1"/>
  <c r="AD1036" i="6" s="1"/>
  <c r="AF1036" i="6" s="1"/>
  <c r="AA677" i="6"/>
  <c r="AB677" i="6" s="1"/>
  <c r="AD677" i="6" s="1"/>
  <c r="AE677" i="6" s="1"/>
  <c r="AA682" i="6"/>
  <c r="AB682" i="6" s="1"/>
  <c r="AD682" i="6" s="1"/>
  <c r="AF682" i="6" s="1"/>
  <c r="AA692" i="6"/>
  <c r="AB692" i="6" s="1"/>
  <c r="AD692" i="6" s="1"/>
  <c r="AE692" i="6" s="1"/>
  <c r="Y704" i="6"/>
  <c r="AB704" i="6" s="1"/>
  <c r="AD704" i="6" s="1"/>
  <c r="AF704" i="6" s="1"/>
  <c r="AA705" i="6"/>
  <c r="AB705" i="6" s="1"/>
  <c r="AD705" i="6" s="1"/>
  <c r="AE705" i="6" s="1"/>
  <c r="Y773" i="6"/>
  <c r="AB773" i="6" s="1"/>
  <c r="AA628" i="6"/>
  <c r="AB628" i="6" s="1"/>
  <c r="AD628" i="6" s="1"/>
  <c r="AB731" i="6"/>
  <c r="AD731" i="6" s="1"/>
  <c r="AE731" i="6" s="1"/>
  <c r="AA1265" i="6"/>
  <c r="AB1265" i="6" s="1"/>
  <c r="AD1265" i="6" s="1"/>
  <c r="AE1265" i="6" s="1"/>
  <c r="Y634" i="6"/>
  <c r="AB634" i="6" s="1"/>
  <c r="AD634" i="6" s="1"/>
  <c r="AE634" i="6" s="1"/>
  <c r="AA1092" i="6"/>
  <c r="AB1092" i="6" s="1"/>
  <c r="AD1092" i="6" s="1"/>
  <c r="AE1092" i="6" s="1"/>
  <c r="AA1096" i="6"/>
  <c r="AB1096" i="6" s="1"/>
  <c r="AD1096" i="6" s="1"/>
  <c r="AF1096" i="6" s="1"/>
  <c r="Y1046" i="6"/>
  <c r="AB1046" i="6" s="1"/>
  <c r="AD1046" i="6" s="1"/>
  <c r="AF1046" i="6" s="1"/>
  <c r="AA650" i="6"/>
  <c r="AB650" i="6" s="1"/>
  <c r="AD650" i="6" s="1"/>
  <c r="AE650" i="6" s="1"/>
  <c r="AA1037" i="6"/>
  <c r="AB1037" i="6" s="1"/>
  <c r="AA1085" i="6"/>
  <c r="AB1085" i="6" s="1"/>
  <c r="AA786" i="6"/>
  <c r="AB786" i="6" s="1"/>
  <c r="AD786" i="6" s="1"/>
  <c r="Y1081" i="6"/>
  <c r="AB1081" i="6" s="1"/>
  <c r="AD1081" i="6" s="1"/>
  <c r="AE1081" i="6" s="1"/>
  <c r="Y586" i="6"/>
  <c r="AB586" i="6" s="1"/>
  <c r="AD586" i="6" s="1"/>
  <c r="AF586" i="6" s="1"/>
  <c r="Y1296" i="6"/>
  <c r="AB1296" i="6" s="1"/>
  <c r="AD1296" i="6" s="1"/>
  <c r="AE1296" i="6" s="1"/>
  <c r="AA860" i="6"/>
  <c r="AB860" i="6" s="1"/>
  <c r="AD860" i="6" s="1"/>
  <c r="AA1336" i="6"/>
  <c r="AB1336" i="6" s="1"/>
  <c r="AD1336" i="6" s="1"/>
  <c r="Y719" i="6"/>
  <c r="AB719" i="6" s="1"/>
  <c r="AD719" i="6" s="1"/>
  <c r="AF719" i="6" s="1"/>
  <c r="Y708" i="6"/>
  <c r="AB708" i="6" s="1"/>
  <c r="AD708" i="6" s="1"/>
  <c r="AA1033" i="6"/>
  <c r="AB1033" i="6" s="1"/>
  <c r="Y770" i="6"/>
  <c r="AB770" i="6" s="1"/>
  <c r="AD770" i="6" s="1"/>
  <c r="AF770" i="6" s="1"/>
  <c r="AA742" i="6"/>
  <c r="AB742" i="6" s="1"/>
  <c r="AD742" i="6" s="1"/>
  <c r="AE742" i="6" s="1"/>
  <c r="AA610" i="6"/>
  <c r="AB610" i="6" s="1"/>
  <c r="AD610" i="6" s="1"/>
  <c r="AE610" i="6" s="1"/>
  <c r="AA648" i="6"/>
  <c r="AB648" i="6" s="1"/>
  <c r="AA717" i="6"/>
  <c r="AB717" i="6" s="1"/>
  <c r="AD717" i="6" s="1"/>
  <c r="AE717" i="6" s="1"/>
  <c r="AB821" i="6"/>
  <c r="AD821" i="6" s="1"/>
  <c r="AF821" i="6" s="1"/>
  <c r="Y1338" i="6"/>
  <c r="AB1338" i="6" s="1"/>
  <c r="AD1338" i="6" s="1"/>
  <c r="AE1338" i="6" s="1"/>
  <c r="AA1267" i="6"/>
  <c r="AB1267" i="6" s="1"/>
  <c r="AD1267" i="6" s="1"/>
  <c r="AF1267" i="6" s="1"/>
  <c r="Y1314" i="6"/>
  <c r="AB1314" i="6" s="1"/>
  <c r="AD1314" i="6" s="1"/>
  <c r="Y1135" i="6"/>
  <c r="AB1135" i="6" s="1"/>
  <c r="AD1135" i="6" s="1"/>
  <c r="AE1135" i="6" s="1"/>
  <c r="AA1112" i="6"/>
  <c r="AB1112" i="6" s="1"/>
  <c r="AA1109" i="6"/>
  <c r="AB1109" i="6" s="1"/>
  <c r="AD1109" i="6" s="1"/>
  <c r="AF1109" i="6" s="1"/>
  <c r="AA700" i="6"/>
  <c r="AB700" i="6" s="1"/>
  <c r="AD700" i="6" s="1"/>
  <c r="AF700" i="6" s="1"/>
  <c r="Y666" i="6"/>
  <c r="AB666" i="6" s="1"/>
  <c r="AD666" i="6" s="1"/>
  <c r="AF666" i="6" s="1"/>
  <c r="Y763" i="6"/>
  <c r="AB763" i="6" s="1"/>
  <c r="AD763" i="6" s="1"/>
  <c r="AE763" i="6" s="1"/>
  <c r="Y662" i="6"/>
  <c r="AB662" i="6" s="1"/>
  <c r="Y602" i="6"/>
  <c r="AB602" i="6" s="1"/>
  <c r="AD602" i="6" s="1"/>
  <c r="AE602" i="6" s="1"/>
  <c r="AA615" i="6"/>
  <c r="AB615" i="6" s="1"/>
  <c r="Y680" i="6"/>
  <c r="AB680" i="6" s="1"/>
  <c r="Y1308" i="6"/>
  <c r="AB1308" i="6" s="1"/>
  <c r="AD1308" i="6" s="1"/>
  <c r="AE1308" i="6" s="1"/>
  <c r="AA1020" i="6"/>
  <c r="AB1020" i="6" s="1"/>
  <c r="AD1020" i="6" s="1"/>
  <c r="AE1020" i="6" s="1"/>
  <c r="AA1266" i="6"/>
  <c r="AB1266" i="6" s="1"/>
  <c r="AD1266" i="6" s="1"/>
  <c r="AF1266" i="6" s="1"/>
  <c r="Y1303" i="6"/>
  <c r="AB1303" i="6" s="1"/>
  <c r="AD1303" i="6" s="1"/>
  <c r="AE1303" i="6" s="1"/>
  <c r="Y873" i="6"/>
  <c r="AB873" i="6" s="1"/>
  <c r="AD873" i="6" s="1"/>
  <c r="AE873" i="6" s="1"/>
  <c r="AA131" i="6"/>
  <c r="AB131" i="6" s="1"/>
  <c r="AD131" i="6" s="1"/>
  <c r="AE131" i="6" s="1"/>
  <c r="AA1131" i="6"/>
  <c r="AB1131" i="6" s="1"/>
  <c r="AD1131" i="6" s="1"/>
  <c r="AF1131" i="6" s="1"/>
  <c r="Y625" i="6"/>
  <c r="AB625" i="6" s="1"/>
  <c r="AD625" i="6" s="1"/>
  <c r="AE625" i="6" s="1"/>
  <c r="AA1084" i="6"/>
  <c r="AB1084" i="6" s="1"/>
  <c r="Y762" i="6"/>
  <c r="AB762" i="6" s="1"/>
  <c r="AD762" i="6" s="1"/>
  <c r="AF762" i="6" s="1"/>
  <c r="AA599" i="6"/>
  <c r="AB599" i="6" s="1"/>
  <c r="Y618" i="6"/>
  <c r="AB618" i="6" s="1"/>
  <c r="AD618" i="6" s="1"/>
  <c r="AF618" i="6" s="1"/>
  <c r="Y715" i="6"/>
  <c r="AB715" i="6" s="1"/>
  <c r="AD715" i="6" s="1"/>
  <c r="AE715" i="6" s="1"/>
  <c r="Y775" i="6"/>
  <c r="AB775" i="6" s="1"/>
  <c r="AD775" i="6" s="1"/>
  <c r="AE775" i="6" s="1"/>
  <c r="AA1077" i="6"/>
  <c r="AB1077" i="6" s="1"/>
  <c r="AD1077" i="6" s="1"/>
  <c r="AF1077" i="6" s="1"/>
  <c r="AA1089" i="6"/>
  <c r="AB1089" i="6" s="1"/>
  <c r="AD1089" i="6" s="1"/>
  <c r="AE1089" i="6" s="1"/>
  <c r="AA1086" i="6"/>
  <c r="AB1086" i="6" s="1"/>
  <c r="AD1086" i="6" s="1"/>
  <c r="AF1086" i="6" s="1"/>
  <c r="AA745" i="6"/>
  <c r="AB745" i="6" s="1"/>
  <c r="AD745" i="6" s="1"/>
  <c r="AE745" i="6" s="1"/>
  <c r="Y584" i="6"/>
  <c r="AB584" i="6" s="1"/>
  <c r="AA710" i="6"/>
  <c r="AB710" i="6" s="1"/>
  <c r="AD710" i="6" s="1"/>
  <c r="AF710" i="6" s="1"/>
  <c r="Y725" i="6"/>
  <c r="AB725" i="6" s="1"/>
  <c r="AD725" i="6" s="1"/>
  <c r="AE725" i="6" s="1"/>
  <c r="Y688" i="6"/>
  <c r="AB688" i="6" s="1"/>
  <c r="AD688" i="6" s="1"/>
  <c r="AE688" i="6" s="1"/>
  <c r="Y1288" i="6"/>
  <c r="AB1288" i="6" s="1"/>
  <c r="AD1288" i="6" s="1"/>
  <c r="AF1288" i="6" s="1"/>
  <c r="Y753" i="6"/>
  <c r="AB753" i="6" s="1"/>
  <c r="AD753" i="6" s="1"/>
  <c r="Y778" i="6"/>
  <c r="AB778" i="6" s="1"/>
  <c r="AD778" i="6" s="1"/>
  <c r="AE778" i="6" s="1"/>
  <c r="Y136" i="6"/>
  <c r="AB136" i="6" s="1"/>
  <c r="Y776" i="6"/>
  <c r="AB776" i="6" s="1"/>
  <c r="AD776" i="6" s="1"/>
  <c r="Y657" i="6"/>
  <c r="AB657" i="6" s="1"/>
  <c r="AD657" i="6" s="1"/>
  <c r="AF657" i="6" s="1"/>
  <c r="Y614" i="6"/>
  <c r="AB614" i="6" s="1"/>
  <c r="AA699" i="6"/>
  <c r="AB699" i="6" s="1"/>
  <c r="AD699" i="6" s="1"/>
  <c r="AF699" i="6" s="1"/>
  <c r="AA574" i="6"/>
  <c r="AB574" i="6" s="1"/>
  <c r="AD574" i="6" s="1"/>
  <c r="AF574" i="6" s="1"/>
  <c r="Y750" i="6"/>
  <c r="AB750" i="6" s="1"/>
  <c r="AD750" i="6" s="1"/>
  <c r="AE750" i="6" s="1"/>
  <c r="Y635" i="6"/>
  <c r="AB635" i="6" s="1"/>
  <c r="AD635" i="6" s="1"/>
  <c r="AF635" i="6" s="1"/>
  <c r="AA940" i="6"/>
  <c r="AB940" i="6" s="1"/>
  <c r="AD940" i="6" s="1"/>
  <c r="AE940" i="6" s="1"/>
  <c r="AA1264" i="6"/>
  <c r="AB1264" i="6" s="1"/>
  <c r="AD1264" i="6" s="1"/>
  <c r="AF1264" i="6" s="1"/>
  <c r="AA1017" i="6"/>
  <c r="AB1017" i="6" s="1"/>
  <c r="AD1017" i="6" s="1"/>
  <c r="AF1017" i="6" s="1"/>
  <c r="Y608" i="6"/>
  <c r="AB608" i="6" s="1"/>
  <c r="AD608" i="6" s="1"/>
  <c r="AE608" i="6" s="1"/>
  <c r="AA1019" i="6"/>
  <c r="AB1019" i="6" s="1"/>
  <c r="AD1019" i="6" s="1"/>
  <c r="AE1019" i="6" s="1"/>
  <c r="Y575" i="6"/>
  <c r="AB575" i="6" s="1"/>
  <c r="AA1047" i="6"/>
  <c r="AB1047" i="6" s="1"/>
  <c r="AD1047" i="6" s="1"/>
  <c r="AE1047" i="6" s="1"/>
  <c r="AA645" i="6"/>
  <c r="AB645" i="6" s="1"/>
  <c r="AD645" i="6" s="1"/>
  <c r="AF645" i="6" s="1"/>
  <c r="AA1297" i="6"/>
  <c r="AB1297" i="6" s="1"/>
  <c r="AD1297" i="6" s="1"/>
  <c r="AA690" i="6"/>
  <c r="AB690" i="6" s="1"/>
  <c r="AD690" i="6" s="1"/>
  <c r="Y1071" i="6"/>
  <c r="AB1071" i="6" s="1"/>
  <c r="AD1071" i="6" s="1"/>
  <c r="Y573" i="6"/>
  <c r="AB573" i="6" s="1"/>
  <c r="AD573" i="6" s="1"/>
  <c r="AE573" i="6" s="1"/>
  <c r="AA1075" i="6"/>
  <c r="AB1075" i="6" s="1"/>
  <c r="Y572" i="6"/>
  <c r="AB572" i="6" s="1"/>
  <c r="AD572" i="6" s="1"/>
  <c r="AF572" i="6" s="1"/>
  <c r="Y729" i="6"/>
  <c r="AB729" i="6" s="1"/>
  <c r="Y681" i="6"/>
  <c r="AB681" i="6" s="1"/>
  <c r="AD681" i="6" s="1"/>
  <c r="AE681" i="6" s="1"/>
  <c r="Y701" i="6"/>
  <c r="AB701" i="6" s="1"/>
  <c r="AD701" i="6" s="1"/>
  <c r="AF701" i="6" s="1"/>
  <c r="AA1023" i="6"/>
  <c r="AB1023" i="6" s="1"/>
  <c r="AD1023" i="6" s="1"/>
  <c r="AE1023" i="6" s="1"/>
  <c r="Y878" i="6"/>
  <c r="AB878" i="6" s="1"/>
  <c r="AD878" i="6" s="1"/>
  <c r="AA132" i="6"/>
  <c r="AB132" i="6" s="1"/>
  <c r="AD132" i="6" s="1"/>
  <c r="AA1335" i="6"/>
  <c r="AB1335" i="6" s="1"/>
  <c r="AA1136" i="6"/>
  <c r="AB1136" i="6" s="1"/>
  <c r="AD1136" i="6" s="1"/>
  <c r="AE1136" i="6" s="1"/>
  <c r="AA1120" i="6"/>
  <c r="AB1120" i="6" s="1"/>
  <c r="AD1120" i="6" s="1"/>
  <c r="AF1120" i="6" s="1"/>
  <c r="Y563" i="6"/>
  <c r="AB563" i="6" s="1"/>
  <c r="AD563" i="6" s="1"/>
  <c r="AE563" i="6" s="1"/>
  <c r="Y768" i="6"/>
  <c r="AB768" i="6" s="1"/>
  <c r="AD768" i="6" s="1"/>
  <c r="AF768" i="6" s="1"/>
  <c r="AA684" i="6"/>
  <c r="AB684" i="6" s="1"/>
  <c r="AA567" i="6"/>
  <c r="AB567" i="6" s="1"/>
  <c r="AA686" i="6"/>
  <c r="AB686" i="6" s="1"/>
  <c r="AD686" i="6" s="1"/>
  <c r="AA1035" i="6"/>
  <c r="AB1035" i="6" s="1"/>
  <c r="AD1035" i="6" s="1"/>
  <c r="AF1035" i="6" s="1"/>
  <c r="AA712" i="6"/>
  <c r="AB712" i="6" s="1"/>
  <c r="AD712" i="6" s="1"/>
  <c r="AF712" i="6" s="1"/>
  <c r="Y1316" i="6"/>
  <c r="AB1316" i="6" s="1"/>
  <c r="AD1316" i="6" s="1"/>
  <c r="AB663" i="6"/>
  <c r="AD663" i="6" s="1"/>
  <c r="AF663" i="6" s="1"/>
  <c r="AB791" i="6"/>
  <c r="AD791" i="6" s="1"/>
  <c r="AF791" i="6" s="1"/>
  <c r="AA955" i="6"/>
  <c r="AB955" i="6" s="1"/>
  <c r="AD955" i="6" s="1"/>
  <c r="AA1078" i="6"/>
  <c r="AB1078" i="6" s="1"/>
  <c r="AD1078" i="6" s="1"/>
  <c r="AF1078" i="6" s="1"/>
  <c r="AA754" i="6"/>
  <c r="AB754" i="6" s="1"/>
  <c r="AD754" i="6" s="1"/>
  <c r="AE754" i="6" s="1"/>
  <c r="Y1080" i="6"/>
  <c r="AB1080" i="6" s="1"/>
  <c r="AD1080" i="6" s="1"/>
  <c r="AF1080" i="6" s="1"/>
  <c r="AA1021" i="6"/>
  <c r="AB1021" i="6" s="1"/>
  <c r="AD1021" i="6" s="1"/>
  <c r="AF1021" i="6" s="1"/>
  <c r="Y1022" i="6"/>
  <c r="AB1022" i="6" s="1"/>
  <c r="AD1022" i="6" s="1"/>
  <c r="AE1022" i="6" s="1"/>
  <c r="AA748" i="6"/>
  <c r="AB748" i="6" s="1"/>
  <c r="AD748" i="6" s="1"/>
  <c r="AF748" i="6" s="1"/>
  <c r="AA945" i="6"/>
  <c r="AB945" i="6" s="1"/>
  <c r="AD945" i="6" s="1"/>
  <c r="Y571" i="6"/>
  <c r="AB571" i="6" s="1"/>
  <c r="AD571" i="6" s="1"/>
  <c r="AF571" i="6" s="1"/>
  <c r="AA789" i="6"/>
  <c r="AB789" i="6" s="1"/>
  <c r="AA732" i="6"/>
  <c r="AB732" i="6" s="1"/>
  <c r="AD732" i="6" s="1"/>
  <c r="AE732" i="6" s="1"/>
  <c r="Y660" i="6"/>
  <c r="AB660" i="6" s="1"/>
  <c r="AD660" i="6" s="1"/>
  <c r="AF660" i="6" s="1"/>
  <c r="AA766" i="6"/>
  <c r="AB766" i="6" s="1"/>
  <c r="Y585" i="6"/>
  <c r="AB585" i="6" s="1"/>
  <c r="Y566" i="6"/>
  <c r="AB566" i="6" s="1"/>
  <c r="AD566" i="6" s="1"/>
  <c r="Y685" i="6"/>
  <c r="AB685" i="6" s="1"/>
  <c r="AD685" i="6" s="1"/>
  <c r="AE685" i="6" s="1"/>
  <c r="AA765" i="6"/>
  <c r="AB765" i="6" s="1"/>
  <c r="AA975" i="6"/>
  <c r="AB975" i="6" s="1"/>
  <c r="AD975" i="6" s="1"/>
  <c r="Y949" i="6"/>
  <c r="AB949" i="6" s="1"/>
  <c r="AD949" i="6" s="1"/>
  <c r="AE949" i="6" s="1"/>
  <c r="AA1333" i="6"/>
  <c r="AB1333" i="6" s="1"/>
  <c r="AD1333" i="6" s="1"/>
  <c r="AE1333" i="6" s="1"/>
  <c r="AA1341" i="6"/>
  <c r="AB1341" i="6" s="1"/>
  <c r="AD1341" i="6" s="1"/>
  <c r="AE1341" i="6" s="1"/>
  <c r="AA1272" i="6"/>
  <c r="AB1272" i="6" s="1"/>
  <c r="AD1272" i="6" s="1"/>
  <c r="AE1272" i="6" s="1"/>
  <c r="AA1327" i="6"/>
  <c r="AB1327" i="6" s="1"/>
  <c r="AD1327" i="6" s="1"/>
  <c r="AA1331" i="6"/>
  <c r="AB1331" i="6" s="1"/>
  <c r="AD1331" i="6" s="1"/>
  <c r="AF1331" i="6" s="1"/>
  <c r="AA1281" i="6"/>
  <c r="AB1281" i="6" s="1"/>
  <c r="AD1281" i="6" s="1"/>
  <c r="AE1281" i="6" s="1"/>
  <c r="AA1289" i="6"/>
  <c r="AB1289" i="6" s="1"/>
  <c r="AD1289" i="6" s="1"/>
  <c r="AE1289" i="6" s="1"/>
  <c r="AA1129" i="6"/>
  <c r="AB1129" i="6" s="1"/>
  <c r="AD1129" i="6" s="1"/>
  <c r="AA1102" i="6"/>
  <c r="AB1102" i="6" s="1"/>
  <c r="AD1102" i="6" s="1"/>
  <c r="AF1102" i="6" s="1"/>
  <c r="Y697" i="6"/>
  <c r="AB697" i="6" s="1"/>
  <c r="AD697" i="6" s="1"/>
  <c r="AA1070" i="6"/>
  <c r="AB1070" i="6" s="1"/>
  <c r="AD1070" i="6" s="1"/>
  <c r="AE1070" i="6" s="1"/>
  <c r="AA1076" i="6"/>
  <c r="AB1076" i="6" s="1"/>
  <c r="Y655" i="6"/>
  <c r="AB655" i="6" s="1"/>
  <c r="AD655" i="6" s="1"/>
  <c r="AE655" i="6" s="1"/>
  <c r="Y609" i="6"/>
  <c r="AB609" i="6" s="1"/>
  <c r="AD609" i="6" s="1"/>
  <c r="AE609" i="6" s="1"/>
  <c r="AA780" i="6"/>
  <c r="AB780" i="6" s="1"/>
  <c r="AA627" i="6"/>
  <c r="AB627" i="6" s="1"/>
  <c r="AD627" i="6" s="1"/>
  <c r="AE627" i="6" s="1"/>
  <c r="Y744" i="6"/>
  <c r="AB744" i="6" s="1"/>
  <c r="AA1067" i="6"/>
  <c r="AB1067" i="6" s="1"/>
  <c r="AA751" i="6"/>
  <c r="AB751" i="6" s="1"/>
  <c r="AA631" i="6"/>
  <c r="AB631" i="6" s="1"/>
  <c r="AA649" i="6"/>
  <c r="AB649" i="6" s="1"/>
  <c r="AA1051" i="6"/>
  <c r="AB1051" i="6" s="1"/>
  <c r="AD1051" i="6" s="1"/>
  <c r="AF1051" i="6" s="1"/>
  <c r="AA651" i="6"/>
  <c r="AB651" i="6" s="1"/>
  <c r="AD651" i="6" s="1"/>
  <c r="AF651" i="6" s="1"/>
  <c r="Y779" i="6"/>
  <c r="AB779" i="6" s="1"/>
  <c r="AD779" i="6" s="1"/>
  <c r="AF779" i="6" s="1"/>
  <c r="Y1330" i="6"/>
  <c r="AB1330" i="6" s="1"/>
  <c r="AD1330" i="6" s="1"/>
  <c r="AF1330" i="6" s="1"/>
  <c r="Y818" i="6"/>
  <c r="AB818" i="6" s="1"/>
  <c r="AD818" i="6" s="1"/>
  <c r="AE818" i="6" s="1"/>
  <c r="AA1290" i="6"/>
  <c r="AB1290" i="6" s="1"/>
  <c r="AD1290" i="6" s="1"/>
  <c r="AE1290" i="6" s="1"/>
  <c r="AA1294" i="6"/>
  <c r="AB1294" i="6" s="1"/>
  <c r="AD1294" i="6" s="1"/>
  <c r="AF1294" i="6" s="1"/>
  <c r="AA1090" i="6"/>
  <c r="AB1090" i="6" s="1"/>
  <c r="AD1090" i="6" s="1"/>
  <c r="Y664" i="6"/>
  <c r="AB664" i="6" s="1"/>
  <c r="AA670" i="6"/>
  <c r="AB670" i="6" s="1"/>
  <c r="Y1042" i="6"/>
  <c r="AB1042" i="6" s="1"/>
  <c r="AD1042" i="6" s="1"/>
  <c r="AF1042" i="6" s="1"/>
  <c r="Y619" i="6"/>
  <c r="AB619" i="6" s="1"/>
  <c r="Y1088" i="6"/>
  <c r="AB1088" i="6" s="1"/>
  <c r="AA711" i="6"/>
  <c r="AB711" i="6" s="1"/>
  <c r="AD711" i="6" s="1"/>
  <c r="AE711" i="6" s="1"/>
  <c r="AA790" i="6"/>
  <c r="AB790" i="6" s="1"/>
  <c r="Y687" i="6"/>
  <c r="AB687" i="6" s="1"/>
  <c r="AD687" i="6" s="1"/>
  <c r="AF687" i="6" s="1"/>
  <c r="AA1073" i="6"/>
  <c r="AB1073" i="6" s="1"/>
  <c r="AD1073" i="6" s="1"/>
  <c r="AE1073" i="6" s="1"/>
  <c r="AA654" i="6"/>
  <c r="AB654" i="6" s="1"/>
  <c r="AD654" i="6" s="1"/>
  <c r="AE654" i="6" s="1"/>
  <c r="AA1026" i="6"/>
  <c r="AB1026" i="6" s="1"/>
  <c r="Y1064" i="6"/>
  <c r="AB1064" i="6" s="1"/>
  <c r="AD1064" i="6" s="1"/>
  <c r="AE1064" i="6" s="1"/>
  <c r="AA758" i="6"/>
  <c r="AB758" i="6" s="1"/>
  <c r="AD758" i="6" s="1"/>
  <c r="AF758" i="6" s="1"/>
  <c r="AA747" i="6"/>
  <c r="AB747" i="6" s="1"/>
  <c r="AD747" i="6" s="1"/>
  <c r="AE747" i="6" s="1"/>
  <c r="AA1271" i="6"/>
  <c r="AB1271" i="6" s="1"/>
  <c r="AD1271" i="6" s="1"/>
  <c r="AF1271" i="6" s="1"/>
  <c r="AA1280" i="6"/>
  <c r="AB1280" i="6" s="1"/>
  <c r="AD1280" i="6" s="1"/>
  <c r="AF1280" i="6" s="1"/>
  <c r="AA1119" i="6"/>
  <c r="AB1119" i="6" s="1"/>
  <c r="AD1119" i="6" s="1"/>
  <c r="AE1119" i="6" s="1"/>
  <c r="Y1053" i="6"/>
  <c r="AB1053" i="6" s="1"/>
  <c r="AD1053" i="6" s="1"/>
  <c r="AE1053" i="6" s="1"/>
  <c r="AA947" i="6"/>
  <c r="AB947" i="6" s="1"/>
  <c r="AD947" i="6" s="1"/>
  <c r="AF947" i="6" s="1"/>
  <c r="Y816" i="6"/>
  <c r="AB816" i="6" s="1"/>
  <c r="AD816" i="6" s="1"/>
  <c r="AF816" i="6" s="1"/>
  <c r="Y881" i="6"/>
  <c r="AB881" i="6" s="1"/>
  <c r="AD881" i="6" s="1"/>
  <c r="AF881" i="6" s="1"/>
  <c r="AA893" i="6"/>
  <c r="AB893" i="6" s="1"/>
  <c r="AD893" i="6" s="1"/>
  <c r="AE893" i="6" s="1"/>
  <c r="AA1332" i="6"/>
  <c r="AB1332" i="6" s="1"/>
  <c r="AD1332" i="6" s="1"/>
  <c r="AE1332" i="6" s="1"/>
  <c r="AA1334" i="6"/>
  <c r="AB1334" i="6" s="1"/>
  <c r="AD1334" i="6" s="1"/>
  <c r="Y1269" i="6"/>
  <c r="AB1269" i="6" s="1"/>
  <c r="AD1269" i="6" s="1"/>
  <c r="AE1269" i="6" s="1"/>
  <c r="AA1273" i="6"/>
  <c r="AB1273" i="6" s="1"/>
  <c r="AA1130" i="6"/>
  <c r="AB1130" i="6" s="1"/>
  <c r="AD1130" i="6" s="1"/>
  <c r="AE1130" i="6" s="1"/>
  <c r="AA1099" i="6"/>
  <c r="AB1099" i="6" s="1"/>
  <c r="AD1099" i="6" s="1"/>
  <c r="AE1099" i="6" s="1"/>
  <c r="AA788" i="6"/>
  <c r="AB788" i="6" s="1"/>
  <c r="AD788" i="6" s="1"/>
  <c r="AF788" i="6" s="1"/>
  <c r="AA1059" i="6"/>
  <c r="AB1059" i="6" s="1"/>
  <c r="AD1059" i="6" s="1"/>
  <c r="AF1059" i="6" s="1"/>
  <c r="AA621" i="6"/>
  <c r="AB621" i="6" s="1"/>
  <c r="AD621" i="6" s="1"/>
  <c r="AE621" i="6" s="1"/>
  <c r="Y624" i="6"/>
  <c r="AB624" i="6" s="1"/>
  <c r="AD624" i="6" s="1"/>
  <c r="AF624" i="6" s="1"/>
  <c r="AA606" i="6"/>
  <c r="AB606" i="6" s="1"/>
  <c r="AD606" i="6" s="1"/>
  <c r="AA1079" i="6"/>
  <c r="AB1079" i="6" s="1"/>
  <c r="AD1079" i="6" s="1"/>
  <c r="Y1043" i="6"/>
  <c r="AB1043" i="6" s="1"/>
  <c r="AD1043" i="6" s="1"/>
  <c r="AA1097" i="6"/>
  <c r="Y637" i="6"/>
  <c r="AB637" i="6" s="1"/>
  <c r="AA996" i="6"/>
  <c r="AB996" i="6" s="1"/>
  <c r="AD996" i="6" s="1"/>
  <c r="AE996" i="6" s="1"/>
  <c r="AA1133" i="6"/>
  <c r="AB1133" i="6" s="1"/>
  <c r="AD1133" i="6" s="1"/>
  <c r="Y641" i="6"/>
  <c r="AB641" i="6" s="1"/>
  <c r="AD641" i="6" s="1"/>
  <c r="AE641" i="6" s="1"/>
  <c r="AA582" i="6"/>
  <c r="AB582" i="6" s="1"/>
  <c r="AD582" i="6" s="1"/>
  <c r="AE582" i="6" s="1"/>
  <c r="Y1097" i="6"/>
  <c r="Y581" i="6"/>
  <c r="AB581" i="6" s="1"/>
  <c r="AD581" i="6" s="1"/>
  <c r="AE581" i="6" s="1"/>
  <c r="AA1012" i="6"/>
  <c r="AB1012" i="6" s="1"/>
  <c r="AA1117" i="6"/>
  <c r="AB1117" i="6" s="1"/>
  <c r="AD1117" i="6" s="1"/>
  <c r="AE1117" i="6" s="1"/>
  <c r="Y1039" i="6"/>
  <c r="AB1039" i="6" s="1"/>
  <c r="AD1039" i="6" s="1"/>
  <c r="AE1039" i="6" s="1"/>
  <c r="AB626" i="6"/>
  <c r="AD626" i="6" s="1"/>
  <c r="AE626" i="6" s="1"/>
  <c r="AB723" i="6"/>
  <c r="AD723" i="6" s="1"/>
  <c r="AE723" i="6" s="1"/>
  <c r="AA604" i="6"/>
  <c r="AB604" i="6" s="1"/>
  <c r="AD604" i="6" s="1"/>
  <c r="AE604" i="6" s="1"/>
  <c r="AA1274" i="6"/>
  <c r="AB1274" i="6" s="1"/>
  <c r="AD1274" i="6" s="1"/>
  <c r="AE1274" i="6" s="1"/>
  <c r="AA1110" i="6"/>
  <c r="AB1110" i="6" s="1"/>
  <c r="AD1110" i="6" s="1"/>
  <c r="AE1110" i="6" s="1"/>
  <c r="AA1031" i="6"/>
  <c r="AB1031" i="6" s="1"/>
  <c r="AD1031" i="6" s="1"/>
  <c r="AA734" i="6"/>
  <c r="AB734" i="6" s="1"/>
  <c r="AD734" i="6" s="1"/>
  <c r="AE734" i="6" s="1"/>
  <c r="AA746" i="6"/>
  <c r="AB746" i="6" s="1"/>
  <c r="AD746" i="6" s="1"/>
  <c r="Y820" i="6"/>
  <c r="AB820" i="6" s="1"/>
  <c r="AD820" i="6" s="1"/>
  <c r="AF820" i="6" s="1"/>
  <c r="AA958" i="6"/>
  <c r="AB958" i="6" s="1"/>
  <c r="AD958" i="6" s="1"/>
  <c r="AA1319" i="6"/>
  <c r="AB1319" i="6" s="1"/>
  <c r="AD1319" i="6" s="1"/>
  <c r="AE1319" i="6" s="1"/>
  <c r="Y764" i="6"/>
  <c r="AB764" i="6" s="1"/>
  <c r="AD764" i="6" s="1"/>
  <c r="Y738" i="6"/>
  <c r="AB738" i="6" s="1"/>
  <c r="AD738" i="6" s="1"/>
  <c r="AE738" i="6" s="1"/>
  <c r="AB1074" i="6"/>
  <c r="AD1074" i="6" s="1"/>
  <c r="AE1074" i="6" s="1"/>
  <c r="AB632" i="6"/>
  <c r="AD632" i="6" s="1"/>
  <c r="AF632" i="6" s="1"/>
  <c r="AA1304" i="6"/>
  <c r="AB1304" i="6" s="1"/>
  <c r="AD1304" i="6" s="1"/>
  <c r="Z44" i="3"/>
  <c r="X44" i="3"/>
  <c r="AA879" i="6"/>
  <c r="AB879" i="6" s="1"/>
  <c r="AD879" i="6" s="1"/>
  <c r="AF879" i="6" s="1"/>
  <c r="Y814" i="6"/>
  <c r="AB814" i="6" s="1"/>
  <c r="AD814" i="6" s="1"/>
  <c r="AE814" i="6" s="1"/>
  <c r="Y869" i="6"/>
  <c r="AB869" i="6" s="1"/>
  <c r="AD869" i="6" s="1"/>
  <c r="AE869" i="6" s="1"/>
  <c r="Y811" i="6"/>
  <c r="AB811" i="6" s="1"/>
  <c r="AD811" i="6" s="1"/>
  <c r="AB1045" i="6"/>
  <c r="AD1045" i="6" s="1"/>
  <c r="AF1045" i="6" s="1"/>
  <c r="AA1002" i="6"/>
  <c r="AB1002" i="6" s="1"/>
  <c r="AD1002" i="6" s="1"/>
  <c r="AF1002" i="6" s="1"/>
  <c r="AA941" i="6"/>
  <c r="AB941" i="6" s="1"/>
  <c r="AD941" i="6" s="1"/>
  <c r="AE941" i="6" s="1"/>
  <c r="AB603" i="6"/>
  <c r="AD603" i="6" s="1"/>
  <c r="AF603" i="6" s="1"/>
  <c r="AA801" i="6"/>
  <c r="AB801" i="6" s="1"/>
  <c r="AD801" i="6" s="1"/>
  <c r="AF801" i="6" s="1"/>
  <c r="AA939" i="6"/>
  <c r="AB939" i="6" s="1"/>
  <c r="AD939" i="6" s="1"/>
  <c r="AE939" i="6" s="1"/>
  <c r="AA978" i="6"/>
  <c r="AB978" i="6" s="1"/>
  <c r="AD978" i="6" s="1"/>
  <c r="AE978" i="6" s="1"/>
  <c r="Y797" i="6"/>
  <c r="AB797" i="6" s="1"/>
  <c r="AD797" i="6" s="1"/>
  <c r="AE797" i="6" s="1"/>
  <c r="AB726" i="6"/>
  <c r="AD726" i="6" s="1"/>
  <c r="AF726" i="6" s="1"/>
  <c r="AB1015" i="6"/>
  <c r="AD1015" i="6" s="1"/>
  <c r="AF1015" i="6" s="1"/>
  <c r="AA994" i="6"/>
  <c r="AB994" i="6" s="1"/>
  <c r="AD994" i="6" s="1"/>
  <c r="AF994" i="6" s="1"/>
  <c r="Y859" i="6"/>
  <c r="AB859" i="6" s="1"/>
  <c r="AD859" i="6" s="1"/>
  <c r="AE859" i="6" s="1"/>
  <c r="AA890" i="6"/>
  <c r="AB890" i="6" s="1"/>
  <c r="AD890" i="6" s="1"/>
  <c r="AF890" i="6" s="1"/>
  <c r="Y946" i="6"/>
  <c r="AB946" i="6" s="1"/>
  <c r="AD946" i="6" s="1"/>
  <c r="AE946" i="6" s="1"/>
  <c r="AB638" i="6"/>
  <c r="AD638" i="6" s="1"/>
  <c r="AE638" i="6" s="1"/>
  <c r="AB587" i="6"/>
  <c r="AD587" i="6" s="1"/>
  <c r="AE587" i="6" s="1"/>
  <c r="AB601" i="6"/>
  <c r="AD601" i="6" s="1"/>
  <c r="AE601" i="6" s="1"/>
  <c r="AA988" i="6"/>
  <c r="AB988" i="6" s="1"/>
  <c r="AD988" i="6" s="1"/>
  <c r="AE988" i="6" s="1"/>
  <c r="Y1003" i="6"/>
  <c r="AB1003" i="6" s="1"/>
  <c r="AD1003" i="6" s="1"/>
  <c r="AE1003" i="6" s="1"/>
  <c r="Y961" i="6"/>
  <c r="AB961" i="6" s="1"/>
  <c r="AD961" i="6" s="1"/>
  <c r="AF961" i="6" s="1"/>
  <c r="AA892" i="6"/>
  <c r="AB892" i="6" s="1"/>
  <c r="AD892" i="6" s="1"/>
  <c r="AF892" i="6" s="1"/>
  <c r="AA989" i="6"/>
  <c r="AB989" i="6" s="1"/>
  <c r="AD989" i="6" s="1"/>
  <c r="AF989" i="6" s="1"/>
  <c r="Y855" i="6"/>
  <c r="AB855" i="6" s="1"/>
  <c r="AD855" i="6" s="1"/>
  <c r="AE855" i="6" s="1"/>
  <c r="Y794" i="6"/>
  <c r="AB794" i="6" s="1"/>
  <c r="AD794" i="6" s="1"/>
  <c r="AE794" i="6" s="1"/>
  <c r="AB577" i="6"/>
  <c r="AB730" i="6"/>
  <c r="AA894" i="6"/>
  <c r="AB894" i="6" s="1"/>
  <c r="AD894" i="6" s="1"/>
  <c r="AA870" i="6"/>
  <c r="AB870" i="6" s="1"/>
  <c r="AD870" i="6" s="1"/>
  <c r="AB1322" i="6"/>
  <c r="AD1322" i="6" s="1"/>
  <c r="AE1322" i="6" s="1"/>
  <c r="AA134" i="6"/>
  <c r="AB134" i="6" s="1"/>
  <c r="AD134" i="6" s="1"/>
  <c r="AF134" i="6" s="1"/>
  <c r="Y889" i="6"/>
  <c r="AB889" i="6" s="1"/>
  <c r="AD889" i="6" s="1"/>
  <c r="AE889" i="6" s="1"/>
  <c r="Y950" i="6"/>
  <c r="AB950" i="6" s="1"/>
  <c r="AD950" i="6" s="1"/>
  <c r="AF950" i="6" s="1"/>
  <c r="AA980" i="6"/>
  <c r="AB980" i="6" s="1"/>
  <c r="AD980" i="6" s="1"/>
  <c r="AE980" i="6" s="1"/>
  <c r="Y987" i="6"/>
  <c r="AB987" i="6" s="1"/>
  <c r="AD987" i="6" s="1"/>
  <c r="AF987" i="6" s="1"/>
  <c r="AA809" i="6"/>
  <c r="AB809" i="6" s="1"/>
  <c r="AD809" i="6" s="1"/>
  <c r="AE809" i="6" s="1"/>
  <c r="AA997" i="6"/>
  <c r="AB997" i="6" s="1"/>
  <c r="AD997" i="6" s="1"/>
  <c r="AF997" i="6" s="1"/>
  <c r="AA952" i="6"/>
  <c r="AB952" i="6" s="1"/>
  <c r="AD952" i="6" s="1"/>
  <c r="AE952" i="6" s="1"/>
  <c r="AA886" i="6"/>
  <c r="AB886" i="6" s="1"/>
  <c r="AD886" i="6" s="1"/>
  <c r="AE886" i="6" s="1"/>
  <c r="AA880" i="6"/>
  <c r="AB880" i="6" s="1"/>
  <c r="AD880" i="6" s="1"/>
  <c r="AE880" i="6" s="1"/>
  <c r="Y969" i="6"/>
  <c r="AB969" i="6" s="1"/>
  <c r="AD969" i="6" s="1"/>
  <c r="Y817" i="6"/>
  <c r="AB817" i="6" s="1"/>
  <c r="AD817" i="6" s="1"/>
  <c r="AE817" i="6" s="1"/>
  <c r="AA982" i="6"/>
  <c r="AB982" i="6" s="1"/>
  <c r="AD982" i="6" s="1"/>
  <c r="Y799" i="6"/>
  <c r="AB799" i="6" s="1"/>
  <c r="AD799" i="6" s="1"/>
  <c r="AE799" i="6" s="1"/>
  <c r="AA942" i="6"/>
  <c r="AB942" i="6" s="1"/>
  <c r="AD942" i="6" s="1"/>
  <c r="AE942" i="6" s="1"/>
  <c r="AA56" i="6"/>
  <c r="Y56" i="6"/>
  <c r="Y55" i="6"/>
  <c r="AA55" i="6"/>
  <c r="Y37" i="6"/>
  <c r="AA37" i="6"/>
  <c r="Y815" i="6"/>
  <c r="AB815" i="6" s="1"/>
  <c r="AD815" i="6" s="1"/>
  <c r="AF815" i="6" s="1"/>
  <c r="AA800" i="6"/>
  <c r="AB800" i="6" s="1"/>
  <c r="AD800" i="6" s="1"/>
  <c r="AF800" i="6" s="1"/>
  <c r="Y857" i="6"/>
  <c r="AB857" i="6" s="1"/>
  <c r="AD857" i="6" s="1"/>
  <c r="AF857" i="6" s="1"/>
  <c r="AA853" i="6"/>
  <c r="AB853" i="6" s="1"/>
  <c r="AD853" i="6" s="1"/>
  <c r="AE853" i="6" s="1"/>
  <c r="Y977" i="6"/>
  <c r="AB977" i="6" s="1"/>
  <c r="AD977" i="6" s="1"/>
  <c r="AF977" i="6" s="1"/>
  <c r="AA970" i="6"/>
  <c r="AB970" i="6" s="1"/>
  <c r="AD970" i="6" s="1"/>
  <c r="AF970" i="6" s="1"/>
  <c r="AA991" i="6"/>
  <c r="AB991" i="6" s="1"/>
  <c r="AD991" i="6" s="1"/>
  <c r="AE991" i="6" s="1"/>
  <c r="AA44" i="6"/>
  <c r="AB44" i="6" s="1"/>
  <c r="AD44" i="6" s="1"/>
  <c r="Y895" i="6"/>
  <c r="AB895" i="6" s="1"/>
  <c r="AD895" i="6" s="1"/>
  <c r="AE895" i="6" s="1"/>
  <c r="Y876" i="6"/>
  <c r="AB876" i="6" s="1"/>
  <c r="AD876" i="6" s="1"/>
  <c r="AE876" i="6" s="1"/>
  <c r="AA808" i="6"/>
  <c r="AB808" i="6" s="1"/>
  <c r="AD808" i="6" s="1"/>
  <c r="AF808" i="6" s="1"/>
  <c r="AA798" i="6"/>
  <c r="AB798" i="6" s="1"/>
  <c r="AD798" i="6" s="1"/>
  <c r="AE798" i="6" s="1"/>
  <c r="AA962" i="6"/>
  <c r="AB962" i="6" s="1"/>
  <c r="AD962" i="6" s="1"/>
  <c r="AA953" i="6"/>
  <c r="AB953" i="6" s="1"/>
  <c r="AD953" i="6" s="1"/>
  <c r="AF953" i="6" s="1"/>
  <c r="AA887" i="6"/>
  <c r="AB887" i="6" s="1"/>
  <c r="AD887" i="6" s="1"/>
  <c r="AF887" i="6" s="1"/>
  <c r="AA954" i="6"/>
  <c r="AB954" i="6" s="1"/>
  <c r="AD954" i="6" s="1"/>
  <c r="AE954" i="6" s="1"/>
  <c r="AA974" i="6"/>
  <c r="AB974" i="6" s="1"/>
  <c r="AA984" i="6"/>
  <c r="AB984" i="6" s="1"/>
  <c r="AD984" i="6" s="1"/>
  <c r="AE984" i="6" s="1"/>
  <c r="AA875" i="6"/>
  <c r="AB875" i="6" s="1"/>
  <c r="AD875" i="6" s="1"/>
  <c r="Y861" i="6"/>
  <c r="AB861" i="6" s="1"/>
  <c r="AD861" i="6" s="1"/>
  <c r="AF861" i="6" s="1"/>
  <c r="Y888" i="6"/>
  <c r="AB888" i="6" s="1"/>
  <c r="AD888" i="6" s="1"/>
  <c r="AE888" i="6" s="1"/>
  <c r="Y877" i="6"/>
  <c r="AB877" i="6" s="1"/>
  <c r="AD877" i="6" s="1"/>
  <c r="Y957" i="6"/>
  <c r="AB957" i="6" s="1"/>
  <c r="AD957" i="6" s="1"/>
  <c r="AA999" i="6"/>
  <c r="AB999" i="6" s="1"/>
  <c r="AD999" i="6" s="1"/>
  <c r="AE999" i="6" s="1"/>
  <c r="Y959" i="6"/>
  <c r="AB959" i="6" s="1"/>
  <c r="AD959" i="6" s="1"/>
  <c r="AF959" i="6" s="1"/>
  <c r="AA863" i="6"/>
  <c r="AB863" i="6" s="1"/>
  <c r="AD863" i="6" s="1"/>
  <c r="AE863" i="6" s="1"/>
  <c r="AA1005" i="6"/>
  <c r="AB1005" i="6" s="1"/>
  <c r="AD1005" i="6" s="1"/>
  <c r="AE1005" i="6" s="1"/>
  <c r="AA883" i="6"/>
  <c r="AB883" i="6" s="1"/>
  <c r="AD883" i="6" s="1"/>
  <c r="AA858" i="6"/>
  <c r="AB858" i="6" s="1"/>
  <c r="AD858" i="6" s="1"/>
  <c r="AF858" i="6" s="1"/>
  <c r="Y871" i="6"/>
  <c r="AB871" i="6" s="1"/>
  <c r="AD871" i="6" s="1"/>
  <c r="AE871" i="6" s="1"/>
  <c r="AA866" i="6"/>
  <c r="AB866" i="6" s="1"/>
  <c r="AD866" i="6" s="1"/>
  <c r="AA979" i="6"/>
  <c r="AB979" i="6" s="1"/>
  <c r="AD979" i="6" s="1"/>
  <c r="AF979" i="6" s="1"/>
  <c r="Y967" i="6"/>
  <c r="AB967" i="6" s="1"/>
  <c r="AD967" i="6" s="1"/>
  <c r="AA944" i="6"/>
  <c r="AB944" i="6" s="1"/>
  <c r="AD944" i="6" s="1"/>
  <c r="AF944" i="6" s="1"/>
  <c r="AA995" i="6"/>
  <c r="AB995" i="6" s="1"/>
  <c r="AD995" i="6" s="1"/>
  <c r="AF995" i="6" s="1"/>
  <c r="AA812" i="6"/>
  <c r="AB812" i="6" s="1"/>
  <c r="AD812" i="6" s="1"/>
  <c r="AF812" i="6" s="1"/>
  <c r="AB1101" i="6"/>
  <c r="AD1101" i="6" s="1"/>
  <c r="AF1101" i="6" s="1"/>
  <c r="AA810" i="6"/>
  <c r="AB810" i="6" s="1"/>
  <c r="AD810" i="6" s="1"/>
  <c r="Y885" i="6"/>
  <c r="AB885" i="6" s="1"/>
  <c r="AD885" i="6" s="1"/>
  <c r="AF885" i="6" s="1"/>
  <c r="Y128" i="6"/>
  <c r="AB128" i="6" s="1"/>
  <c r="AD128" i="6" s="1"/>
  <c r="AE128" i="6" s="1"/>
  <c r="AA973" i="6"/>
  <c r="AB973" i="6" s="1"/>
  <c r="AD973" i="6" s="1"/>
  <c r="AE973" i="6" s="1"/>
  <c r="Y796" i="6"/>
  <c r="AB796" i="6" s="1"/>
  <c r="AD796" i="6" s="1"/>
  <c r="AF796" i="6" s="1"/>
  <c r="AA872" i="6"/>
  <c r="AB872" i="6" s="1"/>
  <c r="AD872" i="6" s="1"/>
  <c r="AF872" i="6" s="1"/>
  <c r="AB795" i="6"/>
  <c r="AD795" i="6" s="1"/>
  <c r="Y865" i="6"/>
  <c r="AB865" i="6" s="1"/>
  <c r="AD865" i="6" s="1"/>
  <c r="AF865" i="6" s="1"/>
  <c r="AA897" i="6"/>
  <c r="AB897" i="6" s="1"/>
  <c r="AD897" i="6" s="1"/>
  <c r="AE897" i="6" s="1"/>
  <c r="AA990" i="6"/>
  <c r="AB990" i="6" s="1"/>
  <c r="AD990" i="6" s="1"/>
  <c r="AF990" i="6" s="1"/>
  <c r="AA943" i="6"/>
  <c r="AB943" i="6" s="1"/>
  <c r="AD943" i="6" s="1"/>
  <c r="AE943" i="6" s="1"/>
  <c r="AA948" i="6"/>
  <c r="AB948" i="6" s="1"/>
  <c r="AD948" i="6" s="1"/>
  <c r="AE948" i="6" s="1"/>
  <c r="AA856" i="6"/>
  <c r="AB856" i="6" s="1"/>
  <c r="AD856" i="6" s="1"/>
  <c r="AE856" i="6" s="1"/>
  <c r="Y1000" i="6"/>
  <c r="AB1000" i="6" s="1"/>
  <c r="AD1000" i="6" s="1"/>
  <c r="AE1000" i="6" s="1"/>
  <c r="AA986" i="6"/>
  <c r="AB986" i="6" s="1"/>
  <c r="AD986" i="6" s="1"/>
  <c r="AF986" i="6" s="1"/>
  <c r="AA951" i="6"/>
  <c r="AB951" i="6" s="1"/>
  <c r="AD951" i="6" s="1"/>
  <c r="AA806" i="6"/>
  <c r="AB806" i="6" s="1"/>
  <c r="AD806" i="6" s="1"/>
  <c r="AE806" i="6" s="1"/>
  <c r="AA133" i="6"/>
  <c r="AB133" i="6" s="1"/>
  <c r="AD133" i="6" s="1"/>
  <c r="AF133" i="6" s="1"/>
  <c r="Y39" i="6"/>
  <c r="AA39" i="6"/>
  <c r="Y47" i="6"/>
  <c r="AA47" i="6"/>
  <c r="Y52" i="6"/>
  <c r="AA52" i="6"/>
  <c r="AA998" i="6"/>
  <c r="AB998" i="6" s="1"/>
  <c r="AD998" i="6" s="1"/>
  <c r="AA985" i="6"/>
  <c r="AB985" i="6" s="1"/>
  <c r="AD985" i="6" s="1"/>
  <c r="AF985" i="6" s="1"/>
  <c r="Y802" i="6"/>
  <c r="AB802" i="6" s="1"/>
  <c r="AD802" i="6" s="1"/>
  <c r="AA972" i="6"/>
  <c r="AB972" i="6" s="1"/>
  <c r="AD972" i="6" s="1"/>
  <c r="Y874" i="6"/>
  <c r="AB874" i="6" s="1"/>
  <c r="AD874" i="6" s="1"/>
  <c r="AE874" i="6" s="1"/>
  <c r="AA851" i="6"/>
  <c r="AB851" i="6" s="1"/>
  <c r="AD851" i="6" s="1"/>
  <c r="Y862" i="6"/>
  <c r="AB862" i="6" s="1"/>
  <c r="AD862" i="6" s="1"/>
  <c r="AA976" i="6"/>
  <c r="AB976" i="6" s="1"/>
  <c r="AD976" i="6" s="1"/>
  <c r="AF976" i="6" s="1"/>
  <c r="AA971" i="6"/>
  <c r="AB971" i="6" s="1"/>
  <c r="AD971" i="6" s="1"/>
  <c r="AE971" i="6" s="1"/>
  <c r="AA135" i="6"/>
  <c r="AB135" i="6" s="1"/>
  <c r="AD135" i="6" s="1"/>
  <c r="AE135" i="6" s="1"/>
  <c r="AA981" i="6"/>
  <c r="AB981" i="6" s="1"/>
  <c r="AD981" i="6" s="1"/>
  <c r="AF981" i="6" s="1"/>
  <c r="AA891" i="6"/>
  <c r="AB891" i="6" s="1"/>
  <c r="AD891" i="6" s="1"/>
  <c r="AF891" i="6" s="1"/>
  <c r="AA130" i="6"/>
  <c r="AB130" i="6" s="1"/>
  <c r="AD130" i="6" s="1"/>
  <c r="AF130" i="6" s="1"/>
  <c r="Y36" i="6"/>
  <c r="AB36" i="6" s="1"/>
  <c r="AD36" i="6" s="1"/>
  <c r="AE36" i="6" s="1"/>
  <c r="AA966" i="6"/>
  <c r="AB966" i="6" s="1"/>
  <c r="AD966" i="6" s="1"/>
  <c r="AE966" i="6" s="1"/>
  <c r="AA852" i="6"/>
  <c r="AB852" i="6" s="1"/>
  <c r="AD852" i="6" s="1"/>
  <c r="AF852" i="6" s="1"/>
  <c r="Y882" i="6"/>
  <c r="AB882" i="6" s="1"/>
  <c r="AD882" i="6" s="1"/>
  <c r="AF882" i="6" s="1"/>
  <c r="AA896" i="6"/>
  <c r="AB896" i="6" s="1"/>
  <c r="AD896" i="6" s="1"/>
  <c r="AE896" i="6" s="1"/>
  <c r="AA964" i="6"/>
  <c r="AB964" i="6" s="1"/>
  <c r="AD964" i="6" s="1"/>
  <c r="AE964" i="6" s="1"/>
  <c r="Y965" i="6"/>
  <c r="AB965" i="6" s="1"/>
  <c r="AD965" i="6" s="1"/>
  <c r="AF965" i="6" s="1"/>
  <c r="Y819" i="6"/>
  <c r="AB819" i="6" s="1"/>
  <c r="AD819" i="6" s="1"/>
  <c r="AE819" i="6" s="1"/>
  <c r="Y61" i="6"/>
  <c r="AA61" i="6"/>
  <c r="Y41" i="6"/>
  <c r="AA41" i="6"/>
  <c r="Y53" i="6"/>
  <c r="AA53" i="6"/>
  <c r="AA46" i="6"/>
  <c r="Y46" i="6"/>
  <c r="AA43" i="6"/>
  <c r="Y43" i="6"/>
  <c r="Y64" i="6"/>
  <c r="AA64" i="6"/>
  <c r="AA1004" i="6"/>
  <c r="AB1004" i="6" s="1"/>
  <c r="AD1004" i="6" s="1"/>
  <c r="AF1004" i="6" s="1"/>
  <c r="AA35" i="6"/>
  <c r="AB35" i="6" s="1"/>
  <c r="AD35" i="6" s="1"/>
  <c r="AE35" i="6" s="1"/>
  <c r="Y992" i="6"/>
  <c r="AB992" i="6" s="1"/>
  <c r="AD992" i="6" s="1"/>
  <c r="AE992" i="6" s="1"/>
  <c r="AA963" i="6"/>
  <c r="AB963" i="6" s="1"/>
  <c r="AD963" i="6" s="1"/>
  <c r="AE963" i="6" s="1"/>
  <c r="Y45" i="6"/>
  <c r="AB45" i="6" s="1"/>
  <c r="AD45" i="6" s="1"/>
  <c r="AE45" i="6" s="1"/>
  <c r="AB1295" i="6"/>
  <c r="AD1295" i="6" s="1"/>
  <c r="AF1295" i="6" s="1"/>
  <c r="AA62" i="6"/>
  <c r="AB62" i="6" s="1"/>
  <c r="AD62" i="6" s="1"/>
  <c r="AF62" i="6" s="1"/>
  <c r="Y40" i="6"/>
  <c r="AA40" i="6"/>
  <c r="Y48" i="6"/>
  <c r="AA48" i="6"/>
  <c r="Y59" i="6"/>
  <c r="AA59" i="6"/>
  <c r="Y51" i="6"/>
  <c r="AA51" i="6"/>
  <c r="Y49" i="6"/>
  <c r="AA49" i="6"/>
  <c r="Y58" i="6"/>
  <c r="AA58" i="6"/>
  <c r="Y34" i="6"/>
  <c r="AA34" i="6"/>
  <c r="AA42" i="6"/>
  <c r="Y42" i="6"/>
  <c r="Y50" i="6"/>
  <c r="AA50" i="6"/>
  <c r="AA805" i="6"/>
  <c r="AB805" i="6" s="1"/>
  <c r="AD805" i="6" s="1"/>
  <c r="AF805" i="6" s="1"/>
  <c r="Y803" i="6"/>
  <c r="AB803" i="6" s="1"/>
  <c r="AD803" i="6" s="1"/>
  <c r="AE803" i="6" s="1"/>
  <c r="AA813" i="6"/>
  <c r="AB813" i="6" s="1"/>
  <c r="AD813" i="6" s="1"/>
  <c r="AF813" i="6" s="1"/>
  <c r="AA864" i="6"/>
  <c r="AB864" i="6" s="1"/>
  <c r="AD864" i="6" s="1"/>
  <c r="AF864" i="6" s="1"/>
  <c r="AA57" i="6"/>
  <c r="AB57" i="6" s="1"/>
  <c r="AA63" i="6"/>
  <c r="AB63" i="6" s="1"/>
  <c r="AD63" i="6" s="1"/>
  <c r="AE63" i="6" s="1"/>
  <c r="Y129" i="6"/>
  <c r="AB129" i="6" s="1"/>
  <c r="AD129" i="6" s="1"/>
  <c r="AA993" i="6"/>
  <c r="AB993" i="6" s="1"/>
  <c r="AD993" i="6" s="1"/>
  <c r="AF993" i="6" s="1"/>
  <c r="Y38" i="6"/>
  <c r="AB38" i="6" s="1"/>
  <c r="Y54" i="6"/>
  <c r="AB54" i="6" s="1"/>
  <c r="AD54" i="6" s="1"/>
  <c r="AF54" i="6" s="1"/>
  <c r="AA60" i="6"/>
  <c r="AB60" i="6" s="1"/>
  <c r="T50" i="3"/>
  <c r="X28" i="3"/>
  <c r="Z28" i="3"/>
  <c r="Z17" i="3"/>
  <c r="X17" i="3"/>
  <c r="Z9" i="3"/>
  <c r="X9" i="3"/>
  <c r="Z14" i="3"/>
  <c r="X14" i="3"/>
  <c r="Z13" i="3"/>
  <c r="X13" i="3"/>
  <c r="T36" i="3"/>
  <c r="AA1250" i="6"/>
  <c r="AB1250" i="6" s="1"/>
  <c r="AD1250" i="6" s="1"/>
  <c r="AF1250" i="6" s="1"/>
  <c r="Y1010" i="6"/>
  <c r="AB1010" i="6" s="1"/>
  <c r="AD1010" i="6" s="1"/>
  <c r="AE1010" i="6" s="1"/>
  <c r="Y166" i="6"/>
  <c r="AB166" i="6" s="1"/>
  <c r="AD166" i="6" s="1"/>
  <c r="AF166" i="6" s="1"/>
  <c r="Y1255" i="6"/>
  <c r="AB1255" i="6" s="1"/>
  <c r="AD1255" i="6" s="1"/>
  <c r="AA1254" i="6"/>
  <c r="Y1254" i="6"/>
  <c r="AA1263" i="6"/>
  <c r="Y1263" i="6"/>
  <c r="AA1256" i="6"/>
  <c r="Y1256" i="6"/>
  <c r="AA1262" i="6"/>
  <c r="Y1262" i="6"/>
  <c r="AA1259" i="6"/>
  <c r="Y1259" i="6"/>
  <c r="Y1260" i="6"/>
  <c r="AA1260" i="6"/>
  <c r="AA1261" i="6"/>
  <c r="Y1261" i="6"/>
  <c r="AA1258" i="6"/>
  <c r="Y1258" i="6"/>
  <c r="Y1257" i="6"/>
  <c r="AA1257" i="6"/>
  <c r="AA1159" i="6"/>
  <c r="AB1159" i="6" s="1"/>
  <c r="AD1159" i="6" s="1"/>
  <c r="AE1159" i="6" s="1"/>
  <c r="AA512" i="6"/>
  <c r="AB512" i="6" s="1"/>
  <c r="AD512" i="6" s="1"/>
  <c r="R1377" i="6"/>
  <c r="AA1185" i="6"/>
  <c r="AB1185" i="6" s="1"/>
  <c r="AD1185" i="6" s="1"/>
  <c r="AF1185" i="6" s="1"/>
  <c r="AA382" i="6"/>
  <c r="AB382" i="6" s="1"/>
  <c r="AD382" i="6" s="1"/>
  <c r="AF382" i="6" s="1"/>
  <c r="Z73" i="3"/>
  <c r="AA73" i="3" s="1"/>
  <c r="AA417" i="6"/>
  <c r="AB417" i="6" s="1"/>
  <c r="AD417" i="6" s="1"/>
  <c r="AF417" i="6" s="1"/>
  <c r="Y1008" i="6"/>
  <c r="AB1008" i="6" s="1"/>
  <c r="AD1008" i="6" s="1"/>
  <c r="AE1008" i="6" s="1"/>
  <c r="Y1175" i="6"/>
  <c r="AB1175" i="6" s="1"/>
  <c r="AD1175" i="6" s="1"/>
  <c r="AE1175" i="6" s="1"/>
  <c r="Y400" i="6"/>
  <c r="AB400" i="6" s="1"/>
  <c r="AD400" i="6" s="1"/>
  <c r="AE400" i="6" s="1"/>
  <c r="AA358" i="6"/>
  <c r="AB358" i="6" s="1"/>
  <c r="AD358" i="6" s="1"/>
  <c r="AE358" i="6" s="1"/>
  <c r="AA1163" i="6"/>
  <c r="AB1163" i="6" s="1"/>
  <c r="AD1163" i="6" s="1"/>
  <c r="AE1163" i="6" s="1"/>
  <c r="AA238" i="6"/>
  <c r="AB238" i="6" s="1"/>
  <c r="AD238" i="6" s="1"/>
  <c r="AE238" i="6" s="1"/>
  <c r="AA32" i="6"/>
  <c r="AB32" i="6" s="1"/>
  <c r="AD32" i="6" s="1"/>
  <c r="AF32" i="6" s="1"/>
  <c r="AA368" i="6"/>
  <c r="AB368" i="6" s="1"/>
  <c r="AD368" i="6" s="1"/>
  <c r="AE368" i="6" s="1"/>
  <c r="Y373" i="6"/>
  <c r="AB373" i="6" s="1"/>
  <c r="AD373" i="6" s="1"/>
  <c r="AE373" i="6" s="1"/>
  <c r="AA364" i="6"/>
  <c r="AB364" i="6" s="1"/>
  <c r="AD364" i="6" s="1"/>
  <c r="AF364" i="6" s="1"/>
  <c r="AA220" i="6"/>
  <c r="AB220" i="6" s="1"/>
  <c r="AD220" i="6" s="1"/>
  <c r="AF220" i="6" s="1"/>
  <c r="AA367" i="6"/>
  <c r="AB367" i="6" s="1"/>
  <c r="AD367" i="6" s="1"/>
  <c r="AE367" i="6" s="1"/>
  <c r="Y268" i="6"/>
  <c r="AB268" i="6" s="1"/>
  <c r="AD268" i="6" s="1"/>
  <c r="AE268" i="6" s="1"/>
  <c r="Y236" i="6"/>
  <c r="AB236" i="6" s="1"/>
  <c r="AD236" i="6" s="1"/>
  <c r="AA1239" i="6"/>
  <c r="AB1239" i="6" s="1"/>
  <c r="AD1239" i="6" s="1"/>
  <c r="AE1239" i="6" s="1"/>
  <c r="Y1154" i="6"/>
  <c r="AB1154" i="6" s="1"/>
  <c r="AD1154" i="6" s="1"/>
  <c r="AE1154" i="6" s="1"/>
  <c r="AA392" i="6"/>
  <c r="AB392" i="6" s="1"/>
  <c r="AD392" i="6" s="1"/>
  <c r="AF392" i="6" s="1"/>
  <c r="AA140" i="6"/>
  <c r="AB140" i="6" s="1"/>
  <c r="AD140" i="6" s="1"/>
  <c r="AF140" i="6" s="1"/>
  <c r="AA549" i="6"/>
  <c r="AB549" i="6" s="1"/>
  <c r="AD549" i="6" s="1"/>
  <c r="AE549" i="6" s="1"/>
  <c r="AA249" i="6"/>
  <c r="AB249" i="6" s="1"/>
  <c r="AD249" i="6" s="1"/>
  <c r="Y555" i="6"/>
  <c r="AB555" i="6" s="1"/>
  <c r="AD555" i="6" s="1"/>
  <c r="AF555" i="6" s="1"/>
  <c r="Y328" i="6"/>
  <c r="AB328" i="6" s="1"/>
  <c r="AD328" i="6" s="1"/>
  <c r="AF328" i="6" s="1"/>
  <c r="Y467" i="6"/>
  <c r="AB467" i="6" s="1"/>
  <c r="AD467" i="6" s="1"/>
  <c r="AE467" i="6" s="1"/>
  <c r="AA404" i="6"/>
  <c r="AB404" i="6" s="1"/>
  <c r="AD404" i="6" s="1"/>
  <c r="AE404" i="6" s="1"/>
  <c r="Y542" i="6"/>
  <c r="AB542" i="6" s="1"/>
  <c r="AD542" i="6" s="1"/>
  <c r="AE542" i="6" s="1"/>
  <c r="AA1211" i="6"/>
  <c r="AB1211" i="6" s="1"/>
  <c r="AD1211" i="6" s="1"/>
  <c r="AE1211" i="6" s="1"/>
  <c r="Y264" i="6"/>
  <c r="AB264" i="6" s="1"/>
  <c r="AD264" i="6" s="1"/>
  <c r="AE264" i="6" s="1"/>
  <c r="AA514" i="6"/>
  <c r="AB514" i="6" s="1"/>
  <c r="AD514" i="6" s="1"/>
  <c r="AE514" i="6" s="1"/>
  <c r="Y548" i="6"/>
  <c r="AB548" i="6" s="1"/>
  <c r="AD548" i="6" s="1"/>
  <c r="AE548" i="6" s="1"/>
  <c r="AA374" i="6"/>
  <c r="AB374" i="6" s="1"/>
  <c r="AD374" i="6" s="1"/>
  <c r="AA1199" i="6"/>
  <c r="AB1199" i="6" s="1"/>
  <c r="AD1199" i="6" s="1"/>
  <c r="AE1199" i="6" s="1"/>
  <c r="AA369" i="6"/>
  <c r="AB369" i="6" s="1"/>
  <c r="AD369" i="6" s="1"/>
  <c r="AE369" i="6" s="1"/>
  <c r="Y418" i="6"/>
  <c r="AB418" i="6" s="1"/>
  <c r="AD418" i="6" s="1"/>
  <c r="AE418" i="6" s="1"/>
  <c r="Y432" i="6"/>
  <c r="AB432" i="6" s="1"/>
  <c r="AD432" i="6" s="1"/>
  <c r="AE432" i="6" s="1"/>
  <c r="Y103" i="6"/>
  <c r="AB103" i="6" s="1"/>
  <c r="AD103" i="6" s="1"/>
  <c r="AA420" i="6"/>
  <c r="AB420" i="6" s="1"/>
  <c r="AD420" i="6" s="1"/>
  <c r="AE420" i="6" s="1"/>
  <c r="Y215" i="6"/>
  <c r="AB215" i="6" s="1"/>
  <c r="AD215" i="6" s="1"/>
  <c r="AF215" i="6" s="1"/>
  <c r="AA1174" i="6"/>
  <c r="AB1174" i="6" s="1"/>
  <c r="AD1174" i="6" s="1"/>
  <c r="AE1174" i="6" s="1"/>
  <c r="AA1189" i="6"/>
  <c r="AB1189" i="6" s="1"/>
  <c r="AD1189" i="6" s="1"/>
  <c r="Y314" i="6"/>
  <c r="AB314" i="6" s="1"/>
  <c r="AD314" i="6" s="1"/>
  <c r="AE314" i="6" s="1"/>
  <c r="AA229" i="6"/>
  <c r="AB229" i="6" s="1"/>
  <c r="AD229" i="6" s="1"/>
  <c r="AF229" i="6" s="1"/>
  <c r="Y1171" i="6"/>
  <c r="AB1171" i="6" s="1"/>
  <c r="AD1171" i="6" s="1"/>
  <c r="AF1171" i="6" s="1"/>
  <c r="Y310" i="6"/>
  <c r="AB310" i="6" s="1"/>
  <c r="AD310" i="6" s="1"/>
  <c r="AE310" i="6" s="1"/>
  <c r="AA127" i="6"/>
  <c r="AB127" i="6" s="1"/>
  <c r="AD127" i="6" s="1"/>
  <c r="AE127" i="6" s="1"/>
  <c r="Y518" i="6"/>
  <c r="AB518" i="6" s="1"/>
  <c r="AD518" i="6" s="1"/>
  <c r="AE518" i="6" s="1"/>
  <c r="Y231" i="6"/>
  <c r="AB231" i="6" s="1"/>
  <c r="AD231" i="6" s="1"/>
  <c r="AE231" i="6" s="1"/>
  <c r="Y1207" i="6"/>
  <c r="AB1207" i="6" s="1"/>
  <c r="AD1207" i="6" s="1"/>
  <c r="AF1207" i="6" s="1"/>
  <c r="Y162" i="6"/>
  <c r="AB162" i="6" s="1"/>
  <c r="AD162" i="6" s="1"/>
  <c r="AE162" i="6" s="1"/>
  <c r="Y124" i="6"/>
  <c r="AB124" i="6" s="1"/>
  <c r="AD124" i="6" s="1"/>
  <c r="AF124" i="6" s="1"/>
  <c r="Y435" i="6"/>
  <c r="AB435" i="6" s="1"/>
  <c r="AD435" i="6" s="1"/>
  <c r="AE435" i="6" s="1"/>
  <c r="AA1205" i="6"/>
  <c r="AB1205" i="6" s="1"/>
  <c r="AD1205" i="6" s="1"/>
  <c r="AE1205" i="6" s="1"/>
  <c r="Y509" i="6"/>
  <c r="AB509" i="6" s="1"/>
  <c r="AD509" i="6" s="1"/>
  <c r="Y537" i="6"/>
  <c r="AB537" i="6" s="1"/>
  <c r="AD537" i="6" s="1"/>
  <c r="AE537" i="6" s="1"/>
  <c r="AA294" i="6"/>
  <c r="AB294" i="6" s="1"/>
  <c r="AD294" i="6" s="1"/>
  <c r="Y176" i="6"/>
  <c r="AB176" i="6" s="1"/>
  <c r="AD176" i="6" s="1"/>
  <c r="AF176" i="6" s="1"/>
  <c r="Y102" i="6"/>
  <c r="AB102" i="6" s="1"/>
  <c r="AD102" i="6" s="1"/>
  <c r="AE102" i="6" s="1"/>
  <c r="AA161" i="6"/>
  <c r="AB161" i="6" s="1"/>
  <c r="AD161" i="6" s="1"/>
  <c r="AF161" i="6" s="1"/>
  <c r="Z72" i="3"/>
  <c r="AA72" i="3" s="1"/>
  <c r="AA1193" i="6"/>
  <c r="AB1193" i="6" s="1"/>
  <c r="AD1193" i="6" s="1"/>
  <c r="AF1193" i="6" s="1"/>
  <c r="Y445" i="6"/>
  <c r="AB445" i="6" s="1"/>
  <c r="AD445" i="6" s="1"/>
  <c r="AF445" i="6" s="1"/>
  <c r="Y1182" i="6"/>
  <c r="AB1182" i="6" s="1"/>
  <c r="AD1182" i="6" s="1"/>
  <c r="AE1182" i="6" s="1"/>
  <c r="Y200" i="6"/>
  <c r="AB200" i="6" s="1"/>
  <c r="AD200" i="6" s="1"/>
  <c r="AE200" i="6" s="1"/>
  <c r="Z102" i="3"/>
  <c r="AA102" i="3" s="1"/>
  <c r="AA297" i="6"/>
  <c r="AB297" i="6" s="1"/>
  <c r="AD297" i="6" s="1"/>
  <c r="AE297" i="6" s="1"/>
  <c r="Y18" i="6"/>
  <c r="AB18" i="6" s="1"/>
  <c r="AD18" i="6" s="1"/>
  <c r="AE18" i="6" s="1"/>
  <c r="AA20" i="6"/>
  <c r="AB20" i="6" s="1"/>
  <c r="AA1166" i="6"/>
  <c r="AB1166" i="6" s="1"/>
  <c r="AD1166" i="6" s="1"/>
  <c r="AE1166" i="6" s="1"/>
  <c r="Y319" i="6"/>
  <c r="AB319" i="6" s="1"/>
  <c r="AD319" i="6" s="1"/>
  <c r="AF319" i="6" s="1"/>
  <c r="Y541" i="6"/>
  <c r="AB541" i="6" s="1"/>
  <c r="AD541" i="6" s="1"/>
  <c r="AF541" i="6" s="1"/>
  <c r="Y170" i="6"/>
  <c r="AB170" i="6" s="1"/>
  <c r="AD170" i="6" s="1"/>
  <c r="AE170" i="6" s="1"/>
  <c r="Y487" i="6"/>
  <c r="AB487" i="6" s="1"/>
  <c r="AD487" i="6" s="1"/>
  <c r="AF487" i="6" s="1"/>
  <c r="Y516" i="6"/>
  <c r="AB516" i="6" s="1"/>
  <c r="AD516" i="6" s="1"/>
  <c r="AE516" i="6" s="1"/>
  <c r="AA241" i="6"/>
  <c r="AB241" i="6" s="1"/>
  <c r="AD241" i="6" s="1"/>
  <c r="AE241" i="6" s="1"/>
  <c r="AA397" i="6"/>
  <c r="AB397" i="6" s="1"/>
  <c r="AD397" i="6" s="1"/>
  <c r="AF397" i="6" s="1"/>
  <c r="AA1150" i="6"/>
  <c r="AB1150" i="6" s="1"/>
  <c r="AA284" i="6"/>
  <c r="AB284" i="6" s="1"/>
  <c r="AD284" i="6" s="1"/>
  <c r="AE284" i="6" s="1"/>
  <c r="Y296" i="6"/>
  <c r="AB296" i="6" s="1"/>
  <c r="AD296" i="6" s="1"/>
  <c r="AE296" i="6" s="1"/>
  <c r="AA1149" i="6"/>
  <c r="AB1149" i="6" s="1"/>
  <c r="AD1149" i="6" s="1"/>
  <c r="AE1149" i="6" s="1"/>
  <c r="Y259" i="6"/>
  <c r="AB259" i="6" s="1"/>
  <c r="AD259" i="6" s="1"/>
  <c r="AF259" i="6" s="1"/>
  <c r="X38" i="3"/>
  <c r="AA38" i="3" s="1"/>
  <c r="X100" i="3"/>
  <c r="AA100" i="3" s="1"/>
  <c r="AA352" i="6"/>
  <c r="AB352" i="6" s="1"/>
  <c r="AD352" i="6" s="1"/>
  <c r="AF352" i="6" s="1"/>
  <c r="AA250" i="6"/>
  <c r="AB250" i="6" s="1"/>
  <c r="AD250" i="6" s="1"/>
  <c r="AA484" i="6"/>
  <c r="AB484" i="6" s="1"/>
  <c r="AD484" i="6" s="1"/>
  <c r="AE484" i="6" s="1"/>
  <c r="Y163" i="6"/>
  <c r="AB163" i="6" s="1"/>
  <c r="AD163" i="6" s="1"/>
  <c r="AE163" i="6" s="1"/>
  <c r="Y384" i="6"/>
  <c r="AB384" i="6" s="1"/>
  <c r="AD384" i="6" s="1"/>
  <c r="AE384" i="6" s="1"/>
  <c r="Y405" i="6"/>
  <c r="AB405" i="6" s="1"/>
  <c r="AD405" i="6" s="1"/>
  <c r="AA559" i="6"/>
  <c r="AB559" i="6" s="1"/>
  <c r="AD559" i="6" s="1"/>
  <c r="AF559" i="6" s="1"/>
  <c r="AA406" i="6"/>
  <c r="AB406" i="6" s="1"/>
  <c r="AD406" i="6" s="1"/>
  <c r="AE406" i="6" s="1"/>
  <c r="AA239" i="6"/>
  <c r="AB239" i="6" s="1"/>
  <c r="AD239" i="6" s="1"/>
  <c r="AE239" i="6" s="1"/>
  <c r="AA1178" i="6"/>
  <c r="AB1178" i="6" s="1"/>
  <c r="AD1178" i="6" s="1"/>
  <c r="AE1178" i="6" s="1"/>
  <c r="Y247" i="6"/>
  <c r="AB247" i="6" s="1"/>
  <c r="AD247" i="6" s="1"/>
  <c r="AE247" i="6" s="1"/>
  <c r="AA362" i="6"/>
  <c r="AB362" i="6" s="1"/>
  <c r="AD362" i="6" s="1"/>
  <c r="AF362" i="6" s="1"/>
  <c r="AA248" i="6"/>
  <c r="AB248" i="6" s="1"/>
  <c r="AD248" i="6" s="1"/>
  <c r="Y185" i="6"/>
  <c r="AB185" i="6" s="1"/>
  <c r="AD185" i="6" s="1"/>
  <c r="AF185" i="6" s="1"/>
  <c r="Y443" i="6"/>
  <c r="AB443" i="6" s="1"/>
  <c r="AD443" i="6" s="1"/>
  <c r="AE443" i="6" s="1"/>
  <c r="Y151" i="6"/>
  <c r="AB151" i="6" s="1"/>
  <c r="AD151" i="6" s="1"/>
  <c r="AE151" i="6" s="1"/>
  <c r="Y478" i="6"/>
  <c r="AB478" i="6" s="1"/>
  <c r="AD478" i="6" s="1"/>
  <c r="AE478" i="6" s="1"/>
  <c r="Y178" i="6"/>
  <c r="AB178" i="6" s="1"/>
  <c r="AD178" i="6" s="1"/>
  <c r="AE178" i="6" s="1"/>
  <c r="Y113" i="6"/>
  <c r="AB113" i="6" s="1"/>
  <c r="AD113" i="6" s="1"/>
  <c r="AE113" i="6" s="1"/>
  <c r="AA383" i="6"/>
  <c r="AB383" i="6" s="1"/>
  <c r="AD383" i="6" s="1"/>
  <c r="AE383" i="6" s="1"/>
  <c r="Y202" i="6"/>
  <c r="AB202" i="6" s="1"/>
  <c r="AD202" i="6" s="1"/>
  <c r="AF202" i="6" s="1"/>
  <c r="Y27" i="6"/>
  <c r="AB27" i="6" s="1"/>
  <c r="AD27" i="6" s="1"/>
  <c r="AF27" i="6" s="1"/>
  <c r="AA480" i="6"/>
  <c r="AB480" i="6" s="1"/>
  <c r="AD480" i="6" s="1"/>
  <c r="AE480" i="6" s="1"/>
  <c r="Y457" i="6"/>
  <c r="AB457" i="6" s="1"/>
  <c r="AD457" i="6" s="1"/>
  <c r="AF457" i="6" s="1"/>
  <c r="AA485" i="6"/>
  <c r="AB485" i="6" s="1"/>
  <c r="AD485" i="6" s="1"/>
  <c r="AF485" i="6" s="1"/>
  <c r="Y299" i="6"/>
  <c r="AB299" i="6" s="1"/>
  <c r="AD299" i="6" s="1"/>
  <c r="AF299" i="6" s="1"/>
  <c r="Y189" i="6"/>
  <c r="AB189" i="6" s="1"/>
  <c r="AD189" i="6" s="1"/>
  <c r="Y452" i="6"/>
  <c r="AB452" i="6" s="1"/>
  <c r="AD452" i="6" s="1"/>
  <c r="AE452" i="6" s="1"/>
  <c r="Y1208" i="6"/>
  <c r="AB1208" i="6" s="1"/>
  <c r="AD1208" i="6" s="1"/>
  <c r="AE1208" i="6" s="1"/>
  <c r="Y1210" i="6"/>
  <c r="AB1210" i="6" s="1"/>
  <c r="AD1210" i="6" s="1"/>
  <c r="AF1210" i="6" s="1"/>
  <c r="AA355" i="6"/>
  <c r="AB355" i="6" s="1"/>
  <c r="AD355" i="6" s="1"/>
  <c r="AE355" i="6" s="1"/>
  <c r="AA456" i="6"/>
  <c r="AB456" i="6" s="1"/>
  <c r="AD456" i="6" s="1"/>
  <c r="AE456" i="6" s="1"/>
  <c r="Y276" i="6"/>
  <c r="AB276" i="6" s="1"/>
  <c r="AD276" i="6" s="1"/>
  <c r="AF276" i="6" s="1"/>
  <c r="AA562" i="6"/>
  <c r="AB562" i="6" s="1"/>
  <c r="AD562" i="6" s="1"/>
  <c r="AF562" i="6" s="1"/>
  <c r="Y288" i="6"/>
  <c r="AB288" i="6" s="1"/>
  <c r="AD288" i="6" s="1"/>
  <c r="AE288" i="6" s="1"/>
  <c r="Y360" i="6"/>
  <c r="AB360" i="6" s="1"/>
  <c r="AD360" i="6" s="1"/>
  <c r="AF360" i="6" s="1"/>
  <c r="Y225" i="6"/>
  <c r="AB225" i="6" s="1"/>
  <c r="AD225" i="6" s="1"/>
  <c r="AE225" i="6" s="1"/>
  <c r="Y399" i="6"/>
  <c r="AB399" i="6" s="1"/>
  <c r="AD399" i="6" s="1"/>
  <c r="Y92" i="6"/>
  <c r="AB92" i="6" s="1"/>
  <c r="AD92" i="6" s="1"/>
  <c r="AF92" i="6" s="1"/>
  <c r="AA1203" i="6"/>
  <c r="AB1203" i="6" s="1"/>
  <c r="AD1203" i="6" s="1"/>
  <c r="AF1203" i="6" s="1"/>
  <c r="AA1161" i="6"/>
  <c r="AB1161" i="6" s="1"/>
  <c r="AD1161" i="6" s="1"/>
  <c r="AE1161" i="6" s="1"/>
  <c r="Y145" i="6"/>
  <c r="AB145" i="6" s="1"/>
  <c r="AD145" i="6" s="1"/>
  <c r="AF145" i="6" s="1"/>
  <c r="AA1157" i="6"/>
  <c r="AB1157" i="6" s="1"/>
  <c r="AD1157" i="6" s="1"/>
  <c r="AF1157" i="6" s="1"/>
  <c r="Y227" i="6"/>
  <c r="AB227" i="6" s="1"/>
  <c r="AD227" i="6" s="1"/>
  <c r="Y272" i="6"/>
  <c r="AB272" i="6" s="1"/>
  <c r="AD272" i="6" s="1"/>
  <c r="AF272" i="6" s="1"/>
  <c r="Y395" i="6"/>
  <c r="AB395" i="6" s="1"/>
  <c r="AD395" i="6" s="1"/>
  <c r="AE395" i="6" s="1"/>
  <c r="Y12" i="6"/>
  <c r="AB12" i="6" s="1"/>
  <c r="AD12" i="6" s="1"/>
  <c r="AE12" i="6" s="1"/>
  <c r="AA5" i="6"/>
  <c r="AB5" i="6" s="1"/>
  <c r="AD5" i="6" s="1"/>
  <c r="AE5" i="6" s="1"/>
  <c r="AA110" i="6"/>
  <c r="AB110" i="6" s="1"/>
  <c r="AD110" i="6" s="1"/>
  <c r="AA482" i="6"/>
  <c r="AB482" i="6" s="1"/>
  <c r="AD482" i="6" s="1"/>
  <c r="AE482" i="6" s="1"/>
  <c r="AA474" i="6"/>
  <c r="AB474" i="6" s="1"/>
  <c r="AD474" i="6" s="1"/>
  <c r="AE474" i="6" s="1"/>
  <c r="AA262" i="6"/>
  <c r="AB262" i="6" s="1"/>
  <c r="AD262" i="6" s="1"/>
  <c r="AF262" i="6" s="1"/>
  <c r="Y453" i="6"/>
  <c r="AB453" i="6" s="1"/>
  <c r="AD453" i="6" s="1"/>
  <c r="AE453" i="6" s="1"/>
  <c r="AA324" i="6"/>
  <c r="AB324" i="6" s="1"/>
  <c r="AD324" i="6" s="1"/>
  <c r="AE324" i="6" s="1"/>
  <c r="AA219" i="6"/>
  <c r="AB219" i="6" s="1"/>
  <c r="AD219" i="6" s="1"/>
  <c r="AE219" i="6" s="1"/>
  <c r="Y277" i="6"/>
  <c r="AB277" i="6" s="1"/>
  <c r="AD277" i="6" s="1"/>
  <c r="AE277" i="6" s="1"/>
  <c r="Z46" i="3"/>
  <c r="AA46" i="3" s="1"/>
  <c r="AA372" i="6"/>
  <c r="AB372" i="6" s="1"/>
  <c r="AD372" i="6" s="1"/>
  <c r="AE372" i="6" s="1"/>
  <c r="AA388" i="6"/>
  <c r="AB388" i="6" s="1"/>
  <c r="AD388" i="6" s="1"/>
  <c r="AE388" i="6" s="1"/>
  <c r="AA1146" i="6"/>
  <c r="AB1146" i="6" s="1"/>
  <c r="AD1146" i="6" s="1"/>
  <c r="AE1146" i="6" s="1"/>
  <c r="Y309" i="6"/>
  <c r="AB309" i="6" s="1"/>
  <c r="AD309" i="6" s="1"/>
  <c r="AF309" i="6" s="1"/>
  <c r="AA222" i="6"/>
  <c r="AB222" i="6" s="1"/>
  <c r="Y322" i="6"/>
  <c r="AB322" i="6" s="1"/>
  <c r="AD322" i="6" s="1"/>
  <c r="AE322" i="6" s="1"/>
  <c r="AA447" i="6"/>
  <c r="AB447" i="6" s="1"/>
  <c r="AD447" i="6" s="1"/>
  <c r="AF447" i="6" s="1"/>
  <c r="Y206" i="6"/>
  <c r="AB206" i="6" s="1"/>
  <c r="AD206" i="6" s="1"/>
  <c r="AF206" i="6" s="1"/>
  <c r="Y493" i="6"/>
  <c r="AB493" i="6" s="1"/>
  <c r="AD493" i="6" s="1"/>
  <c r="AF493" i="6" s="1"/>
  <c r="Y186" i="6"/>
  <c r="AB186" i="6" s="1"/>
  <c r="AD186" i="6" s="1"/>
  <c r="AE186" i="6" s="1"/>
  <c r="Y31" i="6"/>
  <c r="AB31" i="6" s="1"/>
  <c r="AD31" i="6" s="1"/>
  <c r="AE31" i="6" s="1"/>
  <c r="AA496" i="6"/>
  <c r="AB496" i="6" s="1"/>
  <c r="AD496" i="6" s="1"/>
  <c r="AE496" i="6" s="1"/>
  <c r="Y1170" i="6"/>
  <c r="AB1170" i="6" s="1"/>
  <c r="AD1170" i="6" s="1"/>
  <c r="AE1170" i="6" s="1"/>
  <c r="Y444" i="6"/>
  <c r="AB444" i="6" s="1"/>
  <c r="AD444" i="6" s="1"/>
  <c r="AF444" i="6" s="1"/>
  <c r="AA552" i="6"/>
  <c r="AB552" i="6" s="1"/>
  <c r="AD552" i="6" s="1"/>
  <c r="AE552" i="6" s="1"/>
  <c r="Y137" i="6"/>
  <c r="AB137" i="6" s="1"/>
  <c r="AD137" i="6" s="1"/>
  <c r="AF137" i="6" s="1"/>
  <c r="AA463" i="6"/>
  <c r="AB463" i="6" s="1"/>
  <c r="AD463" i="6" s="1"/>
  <c r="AE463" i="6" s="1"/>
  <c r="AA321" i="6"/>
  <c r="AB321" i="6" s="1"/>
  <c r="AD321" i="6" s="1"/>
  <c r="AE321" i="6" s="1"/>
  <c r="Y1158" i="6"/>
  <c r="AB1158" i="6" s="1"/>
  <c r="AD1158" i="6" s="1"/>
  <c r="AE1158" i="6" s="1"/>
  <c r="Y141" i="6"/>
  <c r="AB141" i="6" s="1"/>
  <c r="AD141" i="6" s="1"/>
  <c r="AF141" i="6" s="1"/>
  <c r="AA470" i="6"/>
  <c r="AB470" i="6" s="1"/>
  <c r="AD470" i="6" s="1"/>
  <c r="AE470" i="6" s="1"/>
  <c r="AA292" i="6"/>
  <c r="AB292" i="6" s="1"/>
  <c r="AD292" i="6" s="1"/>
  <c r="AE292" i="6" s="1"/>
  <c r="Y9" i="6"/>
  <c r="AB9" i="6" s="1"/>
  <c r="AD9" i="6" s="1"/>
  <c r="AA305" i="6"/>
  <c r="AB305" i="6" s="1"/>
  <c r="AD305" i="6" s="1"/>
  <c r="AE305" i="6" s="1"/>
  <c r="Y543" i="6"/>
  <c r="AB543" i="6" s="1"/>
  <c r="AD543" i="6" s="1"/>
  <c r="AE543" i="6" s="1"/>
  <c r="X106" i="3"/>
  <c r="AA106" i="3" s="1"/>
  <c r="AA409" i="6"/>
  <c r="AB409" i="6" s="1"/>
  <c r="AD409" i="6" s="1"/>
  <c r="AF409" i="6" s="1"/>
  <c r="AA546" i="6"/>
  <c r="AB546" i="6" s="1"/>
  <c r="AD546" i="6" s="1"/>
  <c r="AE546" i="6" s="1"/>
  <c r="AA407" i="6"/>
  <c r="AB407" i="6" s="1"/>
  <c r="AD407" i="6" s="1"/>
  <c r="AF407" i="6" s="1"/>
  <c r="Y252" i="6"/>
  <c r="AB252" i="6" s="1"/>
  <c r="AD252" i="6" s="1"/>
  <c r="AE252" i="6" s="1"/>
  <c r="AA221" i="6"/>
  <c r="AB221" i="6" s="1"/>
  <c r="AD221" i="6" s="1"/>
  <c r="AF221" i="6" s="1"/>
  <c r="AA318" i="6"/>
  <c r="AB318" i="6" s="1"/>
  <c r="AD318" i="6" s="1"/>
  <c r="AE318" i="6" s="1"/>
  <c r="Y234" i="6"/>
  <c r="AB234" i="6" s="1"/>
  <c r="AD234" i="6" s="1"/>
  <c r="Y270" i="6"/>
  <c r="AB270" i="6" s="1"/>
  <c r="AD270" i="6" s="1"/>
  <c r="AF270" i="6" s="1"/>
  <c r="AA21" i="6"/>
  <c r="AB21" i="6" s="1"/>
  <c r="AD21" i="6" s="1"/>
  <c r="AF21" i="6" s="1"/>
  <c r="AA560" i="6"/>
  <c r="AB560" i="6" s="1"/>
  <c r="AD560" i="6" s="1"/>
  <c r="Y295" i="6"/>
  <c r="AB295" i="6" s="1"/>
  <c r="AD295" i="6" s="1"/>
  <c r="AE295" i="6" s="1"/>
  <c r="Y11" i="6"/>
  <c r="AB11" i="6" s="1"/>
  <c r="AD11" i="6" s="1"/>
  <c r="AE11" i="6" s="1"/>
  <c r="Y472" i="6"/>
  <c r="AB472" i="6" s="1"/>
  <c r="AD472" i="6" s="1"/>
  <c r="AE472" i="6" s="1"/>
  <c r="Y158" i="6"/>
  <c r="AB158" i="6" s="1"/>
  <c r="AD158" i="6" s="1"/>
  <c r="AF158" i="6" s="1"/>
  <c r="AA121" i="6"/>
  <c r="AB121" i="6" s="1"/>
  <c r="AD121" i="6" s="1"/>
  <c r="AE121" i="6" s="1"/>
  <c r="X32" i="3"/>
  <c r="Z32" i="3"/>
  <c r="Y379" i="6"/>
  <c r="AB379" i="6" s="1"/>
  <c r="AD379" i="6" s="1"/>
  <c r="AE379" i="6" s="1"/>
  <c r="Y464" i="6"/>
  <c r="AB464" i="6" s="1"/>
  <c r="AD464" i="6" s="1"/>
  <c r="AE464" i="6" s="1"/>
  <c r="AA123" i="6"/>
  <c r="AB123" i="6" s="1"/>
  <c r="AD123" i="6" s="1"/>
  <c r="AE123" i="6" s="1"/>
  <c r="Y13" i="6"/>
  <c r="AB13" i="6" s="1"/>
  <c r="AD13" i="6" s="1"/>
  <c r="AF13" i="6" s="1"/>
  <c r="Y1243" i="6"/>
  <c r="AB1243" i="6" s="1"/>
  <c r="AD1243" i="6" s="1"/>
  <c r="AF1243" i="6" s="1"/>
  <c r="Y281" i="6"/>
  <c r="AB281" i="6" s="1"/>
  <c r="AD281" i="6" s="1"/>
  <c r="Y390" i="6"/>
  <c r="AB390" i="6" s="1"/>
  <c r="AD390" i="6" s="1"/>
  <c r="AA460" i="6"/>
  <c r="AB460" i="6" s="1"/>
  <c r="AD460" i="6" s="1"/>
  <c r="AE460" i="6" s="1"/>
  <c r="Y153" i="6"/>
  <c r="AB153" i="6" s="1"/>
  <c r="AD153" i="6" s="1"/>
  <c r="AF153" i="6" s="1"/>
  <c r="Y1162" i="6"/>
  <c r="AB1162" i="6" s="1"/>
  <c r="AD1162" i="6" s="1"/>
  <c r="AE1162" i="6" s="1"/>
  <c r="Y1241" i="6"/>
  <c r="AB1241" i="6" s="1"/>
  <c r="AD1241" i="6" s="1"/>
  <c r="AF1241" i="6" s="1"/>
  <c r="AA515" i="6"/>
  <c r="AB515" i="6" s="1"/>
  <c r="AD515" i="6" s="1"/>
  <c r="AA169" i="6"/>
  <c r="AB169" i="6" s="1"/>
  <c r="AD169" i="6" s="1"/>
  <c r="Y431" i="6"/>
  <c r="AB431" i="6" s="1"/>
  <c r="AD431" i="6" s="1"/>
  <c r="AE431" i="6" s="1"/>
  <c r="Y481" i="6"/>
  <c r="AB481" i="6" s="1"/>
  <c r="AD481" i="6" s="1"/>
  <c r="AA1251" i="6"/>
  <c r="AB1251" i="6" s="1"/>
  <c r="AD1251" i="6" s="1"/>
  <c r="AE1251" i="6" s="1"/>
  <c r="X113" i="3"/>
  <c r="Z113" i="3"/>
  <c r="Z115" i="3"/>
  <c r="X115" i="3"/>
  <c r="Y293" i="6"/>
  <c r="AB293" i="6" s="1"/>
  <c r="AD293" i="6" s="1"/>
  <c r="AE293" i="6" s="1"/>
  <c r="AA386" i="6"/>
  <c r="AB386" i="6" s="1"/>
  <c r="AD386" i="6" s="1"/>
  <c r="AF386" i="6" s="1"/>
  <c r="Y156" i="6"/>
  <c r="AB156" i="6" s="1"/>
  <c r="AD156" i="6" s="1"/>
  <c r="AE156" i="6" s="1"/>
  <c r="AA177" i="6"/>
  <c r="AB177" i="6" s="1"/>
  <c r="AD177" i="6" s="1"/>
  <c r="Y217" i="6"/>
  <c r="AB217" i="6" s="1"/>
  <c r="AD217" i="6" s="1"/>
  <c r="AE217" i="6" s="1"/>
  <c r="Y209" i="6"/>
  <c r="AB209" i="6" s="1"/>
  <c r="AD209" i="6" s="1"/>
  <c r="Y307" i="6"/>
  <c r="AB307" i="6" s="1"/>
  <c r="AD307" i="6" s="1"/>
  <c r="AE307" i="6" s="1"/>
  <c r="AA6" i="6"/>
  <c r="AB6" i="6" s="1"/>
  <c r="AD6" i="6" s="1"/>
  <c r="AF6" i="6" s="1"/>
  <c r="Y507" i="6"/>
  <c r="AB507" i="6" s="1"/>
  <c r="AD507" i="6" s="1"/>
  <c r="Y104" i="6"/>
  <c r="AB104" i="6" s="1"/>
  <c r="AD104" i="6" s="1"/>
  <c r="AE104" i="6" s="1"/>
  <c r="AA1192" i="6"/>
  <c r="AB1192" i="6" s="1"/>
  <c r="AD1192" i="6" s="1"/>
  <c r="AE1192" i="6" s="1"/>
  <c r="AA1152" i="6"/>
  <c r="AB1152" i="6" s="1"/>
  <c r="AD1152" i="6" s="1"/>
  <c r="AE1152" i="6" s="1"/>
  <c r="AA342" i="6"/>
  <c r="AB342" i="6" s="1"/>
  <c r="AD342" i="6" s="1"/>
  <c r="Y160" i="6"/>
  <c r="AB160" i="6" s="1"/>
  <c r="AD160" i="6" s="1"/>
  <c r="Y536" i="6"/>
  <c r="AB536" i="6" s="1"/>
  <c r="AD536" i="6" s="1"/>
  <c r="AE536" i="6" s="1"/>
  <c r="Y423" i="6"/>
  <c r="AB423" i="6" s="1"/>
  <c r="AD423" i="6" s="1"/>
  <c r="AF423" i="6" s="1"/>
  <c r="Y19" i="6"/>
  <c r="AB19" i="6" s="1"/>
  <c r="AD19" i="6" s="1"/>
  <c r="AE19" i="6" s="1"/>
  <c r="Y519" i="6"/>
  <c r="AB519" i="6" s="1"/>
  <c r="AD519" i="6" s="1"/>
  <c r="AF519" i="6" s="1"/>
  <c r="AA1206" i="6"/>
  <c r="AB1206" i="6" s="1"/>
  <c r="AD1206" i="6" s="1"/>
  <c r="AE1206" i="6" s="1"/>
  <c r="AA557" i="6"/>
  <c r="AB557" i="6" s="1"/>
  <c r="AD557" i="6" s="1"/>
  <c r="AE557" i="6" s="1"/>
  <c r="Y223" i="6"/>
  <c r="AB223" i="6" s="1"/>
  <c r="AD223" i="6" s="1"/>
  <c r="AE223" i="6" s="1"/>
  <c r="Y203" i="6"/>
  <c r="AB203" i="6" s="1"/>
  <c r="AD203" i="6" s="1"/>
  <c r="AF203" i="6" s="1"/>
  <c r="Y1191" i="6"/>
  <c r="AB1191" i="6" s="1"/>
  <c r="AD1191" i="6" s="1"/>
  <c r="AA1172" i="6"/>
  <c r="AB1172" i="6" s="1"/>
  <c r="AD1172" i="6" s="1"/>
  <c r="AE1172" i="6" s="1"/>
  <c r="AA1245" i="6"/>
  <c r="AB1245" i="6" s="1"/>
  <c r="AD1245" i="6" s="1"/>
  <c r="AE1245" i="6" s="1"/>
  <c r="AA237" i="6"/>
  <c r="AB237" i="6" s="1"/>
  <c r="AD237" i="6" s="1"/>
  <c r="AE237" i="6" s="1"/>
  <c r="Y261" i="6"/>
  <c r="AB261" i="6" s="1"/>
  <c r="AD261" i="6" s="1"/>
  <c r="AA165" i="6"/>
  <c r="AB165" i="6" s="1"/>
  <c r="AD165" i="6" s="1"/>
  <c r="AF165" i="6" s="1"/>
  <c r="Y279" i="6"/>
  <c r="AB279" i="6" s="1"/>
  <c r="AD279" i="6" s="1"/>
  <c r="AE279" i="6" s="1"/>
  <c r="Y440" i="6"/>
  <c r="AB440" i="6" s="1"/>
  <c r="AD440" i="6" s="1"/>
  <c r="AF440" i="6" s="1"/>
  <c r="X11" i="3"/>
  <c r="AA11" i="3" s="1"/>
  <c r="X124" i="3"/>
  <c r="AA124" i="3" s="1"/>
  <c r="Y240" i="6"/>
  <c r="AB240" i="6" s="1"/>
  <c r="AD240" i="6" s="1"/>
  <c r="AE240" i="6" s="1"/>
  <c r="Y1188" i="6"/>
  <c r="AB1188" i="6" s="1"/>
  <c r="AD1188" i="6" s="1"/>
  <c r="AE1188" i="6" s="1"/>
  <c r="Y477" i="6"/>
  <c r="AB477" i="6" s="1"/>
  <c r="AD477" i="6" s="1"/>
  <c r="AF477" i="6" s="1"/>
  <c r="Y378" i="6"/>
  <c r="AB378" i="6" s="1"/>
  <c r="AD378" i="6" s="1"/>
  <c r="AA495" i="6"/>
  <c r="AB495" i="6" s="1"/>
  <c r="AD495" i="6" s="1"/>
  <c r="AF495" i="6" s="1"/>
  <c r="AA1142" i="6"/>
  <c r="AB1142" i="6" s="1"/>
  <c r="AD1142" i="6" s="1"/>
  <c r="AE1142" i="6" s="1"/>
  <c r="Y1167" i="6"/>
  <c r="AB1167" i="6" s="1"/>
  <c r="AD1167" i="6" s="1"/>
  <c r="AF1167" i="6" s="1"/>
  <c r="AA1181" i="6"/>
  <c r="AB1181" i="6" s="1"/>
  <c r="AD1181" i="6" s="1"/>
  <c r="AE1181" i="6" s="1"/>
  <c r="AA448" i="6"/>
  <c r="AB448" i="6" s="1"/>
  <c r="AD448" i="6" s="1"/>
  <c r="AE448" i="6" s="1"/>
  <c r="AA361" i="6"/>
  <c r="AB361" i="6" s="1"/>
  <c r="AD361" i="6" s="1"/>
  <c r="AF361" i="6" s="1"/>
  <c r="Y401" i="6"/>
  <c r="AB401" i="6" s="1"/>
  <c r="AD401" i="6" s="1"/>
  <c r="AF401" i="6" s="1"/>
  <c r="AA105" i="6"/>
  <c r="AB105" i="6" s="1"/>
  <c r="AD105" i="6" s="1"/>
  <c r="AE105" i="6" s="1"/>
  <c r="Y190" i="6"/>
  <c r="AB190" i="6" s="1"/>
  <c r="AD190" i="6" s="1"/>
  <c r="AF190" i="6" s="1"/>
  <c r="AA1168" i="6"/>
  <c r="AB1168" i="6" s="1"/>
  <c r="AD1168" i="6" s="1"/>
  <c r="AE1168" i="6" s="1"/>
  <c r="AA370" i="6"/>
  <c r="AB370" i="6" s="1"/>
  <c r="AD370" i="6" s="1"/>
  <c r="AF370" i="6" s="1"/>
  <c r="AA1209" i="6"/>
  <c r="AB1209" i="6" s="1"/>
  <c r="AD1209" i="6" s="1"/>
  <c r="AE1209" i="6" s="1"/>
  <c r="AA1180" i="6"/>
  <c r="AB1180" i="6" s="1"/>
  <c r="AD1180" i="6" s="1"/>
  <c r="AE1180" i="6" s="1"/>
  <c r="AA125" i="6"/>
  <c r="AB125" i="6" s="1"/>
  <c r="AD125" i="6" s="1"/>
  <c r="AE125" i="6" s="1"/>
  <c r="AA290" i="6"/>
  <c r="AB290" i="6" s="1"/>
  <c r="AD290" i="6" s="1"/>
  <c r="AE290" i="6" s="1"/>
  <c r="AA265" i="6"/>
  <c r="AB265" i="6" s="1"/>
  <c r="AD265" i="6" s="1"/>
  <c r="AE265" i="6" s="1"/>
  <c r="X47" i="3"/>
  <c r="AA47" i="3" s="1"/>
  <c r="Y301" i="6"/>
  <c r="AB301" i="6" s="1"/>
  <c r="AD301" i="6" s="1"/>
  <c r="AE301" i="6" s="1"/>
  <c r="AA224" i="6"/>
  <c r="AB224" i="6" s="1"/>
  <c r="AD224" i="6" s="1"/>
  <c r="AF224" i="6" s="1"/>
  <c r="Y510" i="6"/>
  <c r="AB510" i="6" s="1"/>
  <c r="AD510" i="6" s="1"/>
  <c r="AE510" i="6" s="1"/>
  <c r="Y1165" i="6"/>
  <c r="AB1165" i="6" s="1"/>
  <c r="AD1165" i="6" s="1"/>
  <c r="AF1165" i="6" s="1"/>
  <c r="Y1187" i="6"/>
  <c r="AB1187" i="6" s="1"/>
  <c r="AD1187" i="6" s="1"/>
  <c r="AF1187" i="6" s="1"/>
  <c r="AA351" i="6"/>
  <c r="AB351" i="6" s="1"/>
  <c r="AD351" i="6" s="1"/>
  <c r="AF351" i="6" s="1"/>
  <c r="AA159" i="6"/>
  <c r="AB159" i="6" s="1"/>
  <c r="AD159" i="6" s="1"/>
  <c r="AE159" i="6" s="1"/>
  <c r="Y89" i="6"/>
  <c r="AB89" i="6" s="1"/>
  <c r="AD89" i="6" s="1"/>
  <c r="AF89" i="6" s="1"/>
  <c r="AA316" i="6"/>
  <c r="AB316" i="6" s="1"/>
  <c r="AD316" i="6" s="1"/>
  <c r="AF316" i="6" s="1"/>
  <c r="AA115" i="6"/>
  <c r="AB115" i="6" s="1"/>
  <c r="AD115" i="6" s="1"/>
  <c r="AE115" i="6" s="1"/>
  <c r="Y126" i="6"/>
  <c r="AB126" i="6" s="1"/>
  <c r="AD126" i="6" s="1"/>
  <c r="AF126" i="6" s="1"/>
  <c r="Y29" i="6"/>
  <c r="AB29" i="6" s="1"/>
  <c r="AD29" i="6" s="1"/>
  <c r="AF29" i="6" s="1"/>
  <c r="Z33" i="3"/>
  <c r="AA33" i="3" s="1"/>
  <c r="X91" i="3"/>
  <c r="AA91" i="3" s="1"/>
  <c r="AA422" i="6"/>
  <c r="AB422" i="6" s="1"/>
  <c r="AD422" i="6" s="1"/>
  <c r="AE422" i="6" s="1"/>
  <c r="AA410" i="6"/>
  <c r="AB410" i="6" s="1"/>
  <c r="AD410" i="6" s="1"/>
  <c r="AE410" i="6" s="1"/>
  <c r="Y327" i="6"/>
  <c r="AB327" i="6" s="1"/>
  <c r="AD327" i="6" s="1"/>
  <c r="AF327" i="6" s="1"/>
  <c r="AA365" i="6"/>
  <c r="AB365" i="6" s="1"/>
  <c r="AD365" i="6" s="1"/>
  <c r="AE365" i="6" s="1"/>
  <c r="AA194" i="6"/>
  <c r="AB194" i="6" s="1"/>
  <c r="AD194" i="6" s="1"/>
  <c r="AF194" i="6" s="1"/>
  <c r="Y16" i="6"/>
  <c r="AB16" i="6" s="1"/>
  <c r="AD16" i="6" s="1"/>
  <c r="Y461" i="6"/>
  <c r="AB461" i="6" s="1"/>
  <c r="AD461" i="6" s="1"/>
  <c r="AF461" i="6" s="1"/>
  <c r="Y506" i="6"/>
  <c r="AB506" i="6" s="1"/>
  <c r="AD506" i="6" s="1"/>
  <c r="AE506" i="6" s="1"/>
  <c r="X67" i="3"/>
  <c r="AA67" i="3" s="1"/>
  <c r="X35" i="3"/>
  <c r="AA35" i="3" s="1"/>
  <c r="AA218" i="6"/>
  <c r="AB218" i="6" s="1"/>
  <c r="AD218" i="6" s="1"/>
  <c r="AF218" i="6" s="1"/>
  <c r="AA1156" i="6"/>
  <c r="AB1156" i="6" s="1"/>
  <c r="AD1156" i="6" s="1"/>
  <c r="AE1156" i="6" s="1"/>
  <c r="Y483" i="6"/>
  <c r="AB483" i="6" s="1"/>
  <c r="AD483" i="6" s="1"/>
  <c r="Y269" i="6"/>
  <c r="AB269" i="6" s="1"/>
  <c r="AD269" i="6" s="1"/>
  <c r="AF269" i="6" s="1"/>
  <c r="Y25" i="6"/>
  <c r="AB25" i="6" s="1"/>
  <c r="AD25" i="6" s="1"/>
  <c r="AF25" i="6" s="1"/>
  <c r="AA1190" i="6"/>
  <c r="AB1190" i="6" s="1"/>
  <c r="AD1190" i="6" s="1"/>
  <c r="AE1190" i="6" s="1"/>
  <c r="AA333" i="6"/>
  <c r="Y333" i="6"/>
  <c r="Y33" i="6"/>
  <c r="AA33" i="6"/>
  <c r="AA1141" i="6"/>
  <c r="Y1141" i="6"/>
  <c r="AA436" i="6"/>
  <c r="AB436" i="6" s="1"/>
  <c r="Y1196" i="6"/>
  <c r="AB1196" i="6" s="1"/>
  <c r="AD1196" i="6" s="1"/>
  <c r="AE1196" i="6" s="1"/>
  <c r="Y266" i="6"/>
  <c r="AB266" i="6" s="1"/>
  <c r="AD266" i="6" s="1"/>
  <c r="AF266" i="6" s="1"/>
  <c r="AA468" i="6"/>
  <c r="AB468" i="6" s="1"/>
  <c r="AD468" i="6" s="1"/>
  <c r="AE468" i="6" s="1"/>
  <c r="AA282" i="6"/>
  <c r="AB282" i="6" s="1"/>
  <c r="AD282" i="6" s="1"/>
  <c r="AF282" i="6" s="1"/>
  <c r="Z49" i="3"/>
  <c r="AA49" i="3" s="1"/>
  <c r="AA414" i="6"/>
  <c r="AB414" i="6" s="1"/>
  <c r="AD414" i="6" s="1"/>
  <c r="AE414" i="6" s="1"/>
  <c r="Y556" i="6"/>
  <c r="AB556" i="6" s="1"/>
  <c r="AD556" i="6" s="1"/>
  <c r="AF556" i="6" s="1"/>
  <c r="AA1249" i="6"/>
  <c r="AB1249" i="6" s="1"/>
  <c r="AD1249" i="6" s="1"/>
  <c r="AE1249" i="6" s="1"/>
  <c r="AA508" i="6"/>
  <c r="AB508" i="6" s="1"/>
  <c r="AD508" i="6" s="1"/>
  <c r="AE508" i="6" s="1"/>
  <c r="Y1145" i="6"/>
  <c r="AB1145" i="6" s="1"/>
  <c r="AD1145" i="6" s="1"/>
  <c r="AE1145" i="6" s="1"/>
  <c r="Y235" i="6"/>
  <c r="AB235" i="6" s="1"/>
  <c r="AD235" i="6" s="1"/>
  <c r="AE235" i="6" s="1"/>
  <c r="AA500" i="6"/>
  <c r="AB500" i="6" s="1"/>
  <c r="AD500" i="6" s="1"/>
  <c r="AE500" i="6" s="1"/>
  <c r="Z29" i="3"/>
  <c r="AA29" i="3" s="1"/>
  <c r="Y394" i="6"/>
  <c r="AB394" i="6" s="1"/>
  <c r="AD394" i="6" s="1"/>
  <c r="AE394" i="6" s="1"/>
  <c r="Y260" i="6"/>
  <c r="AB260" i="6" s="1"/>
  <c r="AD260" i="6" s="1"/>
  <c r="AE260" i="6" s="1"/>
  <c r="Z95" i="3"/>
  <c r="AA95" i="3" s="1"/>
  <c r="AA544" i="6"/>
  <c r="AB544" i="6" s="1"/>
  <c r="AD544" i="6" s="1"/>
  <c r="AF544" i="6" s="1"/>
  <c r="AA345" i="6"/>
  <c r="AB345" i="6" s="1"/>
  <c r="AD345" i="6" s="1"/>
  <c r="AE345" i="6" s="1"/>
  <c r="AA371" i="6"/>
  <c r="AB371" i="6" s="1"/>
  <c r="AD371" i="6" s="1"/>
  <c r="AE371" i="6" s="1"/>
  <c r="Y246" i="6"/>
  <c r="AB246" i="6" s="1"/>
  <c r="AD246" i="6" s="1"/>
  <c r="AF246" i="6" s="1"/>
  <c r="Y459" i="6"/>
  <c r="AB459" i="6" s="1"/>
  <c r="AD459" i="6" s="1"/>
  <c r="AA97" i="6"/>
  <c r="AB97" i="6" s="1"/>
  <c r="AD97" i="6" s="1"/>
  <c r="AE97" i="6" s="1"/>
  <c r="AA15" i="6"/>
  <c r="AB15" i="6" s="1"/>
  <c r="AD15" i="6" s="1"/>
  <c r="AF15" i="6" s="1"/>
  <c r="AA233" i="6"/>
  <c r="AB233" i="6" s="1"/>
  <c r="AD233" i="6" s="1"/>
  <c r="AE233" i="6" s="1"/>
  <c r="X74" i="3"/>
  <c r="AA74" i="3" s="1"/>
  <c r="AA387" i="6"/>
  <c r="AB387" i="6" s="1"/>
  <c r="AD387" i="6" s="1"/>
  <c r="AF387" i="6" s="1"/>
  <c r="Y187" i="6"/>
  <c r="AB187" i="6" s="1"/>
  <c r="AD187" i="6" s="1"/>
  <c r="AE187" i="6" s="1"/>
  <c r="AA402" i="6"/>
  <c r="AB402" i="6" s="1"/>
  <c r="AD402" i="6" s="1"/>
  <c r="AE402" i="6" s="1"/>
  <c r="AA428" i="6"/>
  <c r="AB428" i="6" s="1"/>
  <c r="AD428" i="6" s="1"/>
  <c r="AE428" i="6" s="1"/>
  <c r="Y553" i="6"/>
  <c r="AB553" i="6" s="1"/>
  <c r="AD553" i="6" s="1"/>
  <c r="Y354" i="6"/>
  <c r="AB354" i="6" s="1"/>
  <c r="AD354" i="6" s="1"/>
  <c r="AA286" i="6"/>
  <c r="AB286" i="6" s="1"/>
  <c r="AD286" i="6" s="1"/>
  <c r="AE286" i="6" s="1"/>
  <c r="Y291" i="6"/>
  <c r="AB291" i="6" s="1"/>
  <c r="AD291" i="6" s="1"/>
  <c r="AF291" i="6" s="1"/>
  <c r="Y1177" i="6"/>
  <c r="AB1177" i="6" s="1"/>
  <c r="AD1177" i="6" s="1"/>
  <c r="AF1177" i="6" s="1"/>
  <c r="Y425" i="6"/>
  <c r="AB425" i="6" s="1"/>
  <c r="AD425" i="6" s="1"/>
  <c r="AE425" i="6" s="1"/>
  <c r="AA427" i="6"/>
  <c r="AB427" i="6" s="1"/>
  <c r="AD427" i="6" s="1"/>
  <c r="AE427" i="6" s="1"/>
  <c r="AA302" i="6"/>
  <c r="AB302" i="6" s="1"/>
  <c r="AD302" i="6" s="1"/>
  <c r="AE302" i="6" s="1"/>
  <c r="Y503" i="6"/>
  <c r="AB503" i="6" s="1"/>
  <c r="AD503" i="6" s="1"/>
  <c r="AF503" i="6" s="1"/>
  <c r="AA14" i="6"/>
  <c r="AB14" i="6" s="1"/>
  <c r="AD14" i="6" s="1"/>
  <c r="AE14" i="6" s="1"/>
  <c r="AA108" i="6"/>
  <c r="AB108" i="6" s="1"/>
  <c r="AD108" i="6" s="1"/>
  <c r="AE108" i="6" s="1"/>
  <c r="Y98" i="6"/>
  <c r="AB98" i="6" s="1"/>
  <c r="AD98" i="6" s="1"/>
  <c r="Y100" i="6"/>
  <c r="AB100" i="6" s="1"/>
  <c r="AD100" i="6" s="1"/>
  <c r="AF100" i="6" s="1"/>
  <c r="AA171" i="6"/>
  <c r="AB171" i="6" s="1"/>
  <c r="AD171" i="6" s="1"/>
  <c r="AE171" i="6" s="1"/>
  <c r="X15" i="3"/>
  <c r="AA15" i="3" s="1"/>
  <c r="X24" i="3"/>
  <c r="AA24" i="3" s="1"/>
  <c r="X41" i="3"/>
  <c r="AA41" i="3" s="1"/>
  <c r="Y285" i="6"/>
  <c r="AB285" i="6" s="1"/>
  <c r="AD285" i="6" s="1"/>
  <c r="AE285" i="6" s="1"/>
  <c r="AA441" i="6"/>
  <c r="AB441" i="6" s="1"/>
  <c r="AD441" i="6" s="1"/>
  <c r="AF441" i="6" s="1"/>
  <c r="Y109" i="6"/>
  <c r="AB109" i="6" s="1"/>
  <c r="AD109" i="6" s="1"/>
  <c r="AF109" i="6" s="1"/>
  <c r="AA1184" i="6"/>
  <c r="AB1184" i="6" s="1"/>
  <c r="AD1184" i="6" s="1"/>
  <c r="AE1184" i="6" s="1"/>
  <c r="Y1169" i="6"/>
  <c r="AB1169" i="6" s="1"/>
  <c r="AD1169" i="6" s="1"/>
  <c r="AF1169" i="6" s="1"/>
  <c r="Y253" i="6"/>
  <c r="AB253" i="6" s="1"/>
  <c r="AD253" i="6" s="1"/>
  <c r="Y1160" i="6"/>
  <c r="AB1160" i="6" s="1"/>
  <c r="AD1160" i="6" s="1"/>
  <c r="AE1160" i="6" s="1"/>
  <c r="AA1200" i="6"/>
  <c r="AB1200" i="6" s="1"/>
  <c r="AD1200" i="6" s="1"/>
  <c r="AE1200" i="6" s="1"/>
  <c r="AA439" i="6"/>
  <c r="AB439" i="6" s="1"/>
  <c r="AD439" i="6" s="1"/>
  <c r="AF439" i="6" s="1"/>
  <c r="X39" i="3"/>
  <c r="AA39" i="3" s="1"/>
  <c r="AA426" i="6"/>
  <c r="AB426" i="6" s="1"/>
  <c r="AD426" i="6" s="1"/>
  <c r="AE426" i="6" s="1"/>
  <c r="AA538" i="6"/>
  <c r="AB538" i="6" s="1"/>
  <c r="AD538" i="6" s="1"/>
  <c r="AE538" i="6" s="1"/>
  <c r="AA274" i="6"/>
  <c r="AB274" i="6" s="1"/>
  <c r="AD274" i="6" s="1"/>
  <c r="AF274" i="6" s="1"/>
  <c r="AA1139" i="6"/>
  <c r="AB1139" i="6" s="1"/>
  <c r="AD1139" i="6" s="1"/>
  <c r="AF1139" i="6" s="1"/>
  <c r="Y1252" i="6"/>
  <c r="AB1252" i="6" s="1"/>
  <c r="AD1252" i="6" s="1"/>
  <c r="AE1252" i="6" s="1"/>
  <c r="AA207" i="6"/>
  <c r="AB207" i="6" s="1"/>
  <c r="AD207" i="6" s="1"/>
  <c r="AE207" i="6" s="1"/>
  <c r="AA1183" i="6"/>
  <c r="AB1183" i="6" s="1"/>
  <c r="AD1183" i="6" s="1"/>
  <c r="Y437" i="6"/>
  <c r="AB437" i="6" s="1"/>
  <c r="Y148" i="6"/>
  <c r="AB148" i="6" s="1"/>
  <c r="AD148" i="6" s="1"/>
  <c r="AF148" i="6" s="1"/>
  <c r="AA498" i="6"/>
  <c r="AB498" i="6" s="1"/>
  <c r="AD498" i="6" s="1"/>
  <c r="AA199" i="6"/>
  <c r="AB199" i="6" s="1"/>
  <c r="AD199" i="6" s="1"/>
  <c r="AF199" i="6" s="1"/>
  <c r="Y357" i="6"/>
  <c r="AB357" i="6" s="1"/>
  <c r="AD357" i="6" s="1"/>
  <c r="AF357" i="6" s="1"/>
  <c r="Y96" i="6"/>
  <c r="AB96" i="6" s="1"/>
  <c r="AD96" i="6" s="1"/>
  <c r="AE96" i="6" s="1"/>
  <c r="Y323" i="6"/>
  <c r="AB323" i="6" s="1"/>
  <c r="AD323" i="6" s="1"/>
  <c r="AE323" i="6" s="1"/>
  <c r="AA183" i="6"/>
  <c r="AB183" i="6" s="1"/>
  <c r="AD183" i="6" s="1"/>
  <c r="AE183" i="6" s="1"/>
  <c r="Y213" i="6"/>
  <c r="AB213" i="6" s="1"/>
  <c r="AD213" i="6" s="1"/>
  <c r="AF213" i="6" s="1"/>
  <c r="AA366" i="6"/>
  <c r="AB366" i="6" s="1"/>
  <c r="AD366" i="6" s="1"/>
  <c r="AF366" i="6" s="1"/>
  <c r="Y210" i="6"/>
  <c r="AB210" i="6" s="1"/>
  <c r="AD210" i="6" s="1"/>
  <c r="AE210" i="6" s="1"/>
  <c r="Y502" i="6"/>
  <c r="AB502" i="6" s="1"/>
  <c r="AD502" i="6" s="1"/>
  <c r="AF502" i="6" s="1"/>
  <c r="Z65" i="3"/>
  <c r="AA65" i="3" s="1"/>
  <c r="AA449" i="6"/>
  <c r="AB449" i="6" s="1"/>
  <c r="AD449" i="6" s="1"/>
  <c r="AF449" i="6" s="1"/>
  <c r="AA396" i="6"/>
  <c r="AB396" i="6" s="1"/>
  <c r="AD396" i="6" s="1"/>
  <c r="AE396" i="6" s="1"/>
  <c r="AA1240" i="6"/>
  <c r="AB1240" i="6" s="1"/>
  <c r="AD1240" i="6" s="1"/>
  <c r="AF1240" i="6" s="1"/>
  <c r="Y7" i="6"/>
  <c r="AB7" i="6" s="1"/>
  <c r="AD7" i="6" s="1"/>
  <c r="Z96" i="3"/>
  <c r="AA96" i="3" s="1"/>
  <c r="Z34" i="3"/>
  <c r="AA34" i="3" s="1"/>
  <c r="Y458" i="6"/>
  <c r="AB458" i="6" s="1"/>
  <c r="AD458" i="6" s="1"/>
  <c r="AE458" i="6" s="1"/>
  <c r="AA492" i="6"/>
  <c r="AB492" i="6" s="1"/>
  <c r="AD492" i="6" s="1"/>
  <c r="AE492" i="6" s="1"/>
  <c r="Y8" i="6"/>
  <c r="AB8" i="6" s="1"/>
  <c r="AD8" i="6" s="1"/>
  <c r="AE8" i="6" s="1"/>
  <c r="Z63" i="3"/>
  <c r="AA63" i="3" s="1"/>
  <c r="Z111" i="3"/>
  <c r="AA111" i="3" s="1"/>
  <c r="Z104" i="3"/>
  <c r="AA104" i="3" s="1"/>
  <c r="AA381" i="6"/>
  <c r="AB381" i="6" s="1"/>
  <c r="AD381" i="6" s="1"/>
  <c r="AE381" i="6" s="1"/>
  <c r="Y329" i="6"/>
  <c r="AB329" i="6" s="1"/>
  <c r="AD329" i="6" s="1"/>
  <c r="AF329" i="6" s="1"/>
  <c r="AA289" i="6"/>
  <c r="AB289" i="6" s="1"/>
  <c r="AD289" i="6" s="1"/>
  <c r="AA1201" i="6"/>
  <c r="AB1201" i="6" s="1"/>
  <c r="AD1201" i="6" s="1"/>
  <c r="AE1201" i="6" s="1"/>
  <c r="AA1148" i="6"/>
  <c r="AB1148" i="6" s="1"/>
  <c r="AD1148" i="6" s="1"/>
  <c r="AE1148" i="6" s="1"/>
  <c r="Y337" i="6"/>
  <c r="AB337" i="6" s="1"/>
  <c r="AD337" i="6" s="1"/>
  <c r="AE337" i="6" s="1"/>
  <c r="AA442" i="6"/>
  <c r="AB442" i="6" s="1"/>
  <c r="AD442" i="6" s="1"/>
  <c r="Y116" i="6"/>
  <c r="AB116" i="6" s="1"/>
  <c r="AD116" i="6" s="1"/>
  <c r="AF116" i="6" s="1"/>
  <c r="AA197" i="6"/>
  <c r="AB197" i="6" s="1"/>
  <c r="AD197" i="6" s="1"/>
  <c r="AE197" i="6" s="1"/>
  <c r="AA107" i="6"/>
  <c r="AB107" i="6" s="1"/>
  <c r="AD107" i="6" s="1"/>
  <c r="AE107" i="6" s="1"/>
  <c r="AA304" i="6"/>
  <c r="AB304" i="6" s="1"/>
  <c r="AD304" i="6" s="1"/>
  <c r="AA455" i="6"/>
  <c r="AB455" i="6" s="1"/>
  <c r="AD455" i="6" s="1"/>
  <c r="AF455" i="6" s="1"/>
  <c r="Y179" i="6"/>
  <c r="AB179" i="6" s="1"/>
  <c r="AD179" i="6" s="1"/>
  <c r="AE179" i="6" s="1"/>
  <c r="AA271" i="6"/>
  <c r="AB271" i="6" s="1"/>
  <c r="AD271" i="6" s="1"/>
  <c r="Z66" i="3"/>
  <c r="AA66" i="3" s="1"/>
  <c r="Z94" i="3"/>
  <c r="AA94" i="3" s="1"/>
  <c r="AA466" i="6"/>
  <c r="AB466" i="6" s="1"/>
  <c r="AD466" i="6" s="1"/>
  <c r="AE466" i="6" s="1"/>
  <c r="Y106" i="6"/>
  <c r="AB106" i="6" s="1"/>
  <c r="AD106" i="6" s="1"/>
  <c r="AE106" i="6" s="1"/>
  <c r="Y255" i="6"/>
  <c r="AB255" i="6" s="1"/>
  <c r="AD255" i="6" s="1"/>
  <c r="AE255" i="6" s="1"/>
  <c r="Y450" i="6"/>
  <c r="AB450" i="6" s="1"/>
  <c r="AD450" i="6" s="1"/>
  <c r="AE450" i="6" s="1"/>
  <c r="Y184" i="6"/>
  <c r="AB184" i="6" s="1"/>
  <c r="AD184" i="6" s="1"/>
  <c r="AF184" i="6" s="1"/>
  <c r="Y173" i="6"/>
  <c r="AB173" i="6" s="1"/>
  <c r="AD173" i="6" s="1"/>
  <c r="AF173" i="6" s="1"/>
  <c r="AA554" i="6"/>
  <c r="AB554" i="6" s="1"/>
  <c r="AD554" i="6" s="1"/>
  <c r="Y326" i="6"/>
  <c r="AB326" i="6" s="1"/>
  <c r="AD326" i="6" s="1"/>
  <c r="AE326" i="6" s="1"/>
  <c r="AA336" i="6"/>
  <c r="AB336" i="6" s="1"/>
  <c r="AD336" i="6" s="1"/>
  <c r="AE336" i="6" s="1"/>
  <c r="AA93" i="6"/>
  <c r="AB93" i="6" s="1"/>
  <c r="AD93" i="6" s="1"/>
  <c r="AF93" i="6" s="1"/>
  <c r="AA479" i="6"/>
  <c r="AB479" i="6" s="1"/>
  <c r="AD479" i="6" s="1"/>
  <c r="AF479" i="6" s="1"/>
  <c r="AA95" i="6"/>
  <c r="AB95" i="6" s="1"/>
  <c r="AD95" i="6" s="1"/>
  <c r="AF95" i="6" s="1"/>
  <c r="Y122" i="6"/>
  <c r="AB122" i="6" s="1"/>
  <c r="AD122" i="6" s="1"/>
  <c r="AF122" i="6" s="1"/>
  <c r="AA1242" i="6"/>
  <c r="AB1242" i="6" s="1"/>
  <c r="AD1242" i="6" s="1"/>
  <c r="AE1242" i="6" s="1"/>
  <c r="Y1138" i="6"/>
  <c r="AB1138" i="6" s="1"/>
  <c r="AD1138" i="6" s="1"/>
  <c r="AF1138" i="6" s="1"/>
  <c r="AA1212" i="6"/>
  <c r="AB1212" i="6" s="1"/>
  <c r="AD1212" i="6" s="1"/>
  <c r="AF1212" i="6" s="1"/>
  <c r="AA377" i="6"/>
  <c r="AB377" i="6" s="1"/>
  <c r="AD377" i="6" s="1"/>
  <c r="AE377" i="6" s="1"/>
  <c r="AA1179" i="6"/>
  <c r="AB1179" i="6" s="1"/>
  <c r="AD1179" i="6" s="1"/>
  <c r="AF1179" i="6" s="1"/>
  <c r="Y430" i="6"/>
  <c r="AB430" i="6" s="1"/>
  <c r="AD430" i="6" s="1"/>
  <c r="AE430" i="6" s="1"/>
  <c r="AA226" i="6"/>
  <c r="AB226" i="6" s="1"/>
  <c r="AD226" i="6" s="1"/>
  <c r="AF226" i="6" s="1"/>
  <c r="Y375" i="6"/>
  <c r="AB375" i="6" s="1"/>
  <c r="AD375" i="6" s="1"/>
  <c r="AE375" i="6" s="1"/>
  <c r="AA353" i="6"/>
  <c r="AB353" i="6" s="1"/>
  <c r="AD353" i="6" s="1"/>
  <c r="AE353" i="6" s="1"/>
  <c r="AA168" i="6"/>
  <c r="AB168" i="6" s="1"/>
  <c r="AD168" i="6" s="1"/>
  <c r="AF168" i="6" s="1"/>
  <c r="Y193" i="6"/>
  <c r="AB193" i="6" s="1"/>
  <c r="AD193" i="6" s="1"/>
  <c r="AE193" i="6" s="1"/>
  <c r="X99" i="3"/>
  <c r="AA99" i="3" s="1"/>
  <c r="X6" i="3"/>
  <c r="AA6" i="3" s="1"/>
  <c r="X110" i="3"/>
  <c r="AA110" i="3" s="1"/>
  <c r="X127" i="3"/>
  <c r="AA127" i="3" s="1"/>
  <c r="Y376" i="6"/>
  <c r="AB376" i="6" s="1"/>
  <c r="AD376" i="6" s="1"/>
  <c r="AE376" i="6" s="1"/>
  <c r="AA22" i="6"/>
  <c r="AB22" i="6" s="1"/>
  <c r="Y419" i="6"/>
  <c r="AB419" i="6" s="1"/>
  <c r="AD419" i="6" s="1"/>
  <c r="Y476" i="6"/>
  <c r="AB476" i="6" s="1"/>
  <c r="AD476" i="6" s="1"/>
  <c r="AE476" i="6" s="1"/>
  <c r="AA471" i="6"/>
  <c r="AB471" i="6" s="1"/>
  <c r="AD471" i="6" s="1"/>
  <c r="AF471" i="6" s="1"/>
  <c r="Y1173" i="6"/>
  <c r="AB1173" i="6" s="1"/>
  <c r="AD1173" i="6" s="1"/>
  <c r="AF1173" i="6" s="1"/>
  <c r="Z71" i="3"/>
  <c r="AA71" i="3" s="1"/>
  <c r="Y144" i="6"/>
  <c r="AB144" i="6" s="1"/>
  <c r="AD144" i="6" s="1"/>
  <c r="AA347" i="6"/>
  <c r="AB347" i="6" s="1"/>
  <c r="AD347" i="6" s="1"/>
  <c r="X105" i="3"/>
  <c r="AA105" i="3" s="1"/>
  <c r="AA380" i="6"/>
  <c r="AB380" i="6" s="1"/>
  <c r="AD380" i="6" s="1"/>
  <c r="AA513" i="6"/>
  <c r="AB513" i="6" s="1"/>
  <c r="AD513" i="6" s="1"/>
  <c r="Y214" i="6"/>
  <c r="AB214" i="6" s="1"/>
  <c r="AD214" i="6" s="1"/>
  <c r="AE214" i="6" s="1"/>
  <c r="Y278" i="6"/>
  <c r="AB278" i="6" s="1"/>
  <c r="AD278" i="6" s="1"/>
  <c r="AF278" i="6" s="1"/>
  <c r="AA198" i="6"/>
  <c r="AB198" i="6" s="1"/>
  <c r="AD198" i="6" s="1"/>
  <c r="AA1164" i="6"/>
  <c r="AB1164" i="6" s="1"/>
  <c r="AD1164" i="6" s="1"/>
  <c r="AE1164" i="6" s="1"/>
  <c r="AA273" i="6"/>
  <c r="AB273" i="6" s="1"/>
  <c r="AD273" i="6" s="1"/>
  <c r="AE273" i="6" s="1"/>
  <c r="Y1194" i="6"/>
  <c r="AB1194" i="6" s="1"/>
  <c r="AD1194" i="6" s="1"/>
  <c r="AE1194" i="6" s="1"/>
  <c r="Y181" i="6"/>
  <c r="AB181" i="6" s="1"/>
  <c r="AD181" i="6" s="1"/>
  <c r="AF181" i="6" s="1"/>
  <c r="AA142" i="6"/>
  <c r="AB142" i="6" s="1"/>
  <c r="AD142" i="6" s="1"/>
  <c r="AE142" i="6" s="1"/>
  <c r="AA26" i="6"/>
  <c r="AB26" i="6" s="1"/>
  <c r="AD26" i="6" s="1"/>
  <c r="AE26" i="6" s="1"/>
  <c r="Y1147" i="6"/>
  <c r="AB1147" i="6" s="1"/>
  <c r="AD1147" i="6" s="1"/>
  <c r="AE1147" i="6" s="1"/>
  <c r="Z114" i="3"/>
  <c r="AA114" i="3" s="1"/>
  <c r="Y433" i="6"/>
  <c r="AB433" i="6" s="1"/>
  <c r="AD433" i="6" s="1"/>
  <c r="AF433" i="6" s="1"/>
  <c r="Y551" i="6"/>
  <c r="AB551" i="6" s="1"/>
  <c r="AD551" i="6" s="1"/>
  <c r="AE551" i="6" s="1"/>
  <c r="Y454" i="6"/>
  <c r="AB454" i="6" s="1"/>
  <c r="AA1202" i="6"/>
  <c r="AB1202" i="6" s="1"/>
  <c r="AD1202" i="6" s="1"/>
  <c r="AE1202" i="6" s="1"/>
  <c r="Y315" i="6"/>
  <c r="AB315" i="6" s="1"/>
  <c r="AD315" i="6" s="1"/>
  <c r="AF315" i="6" s="1"/>
  <c r="Y157" i="6"/>
  <c r="AB157" i="6" s="1"/>
  <c r="AD157" i="6" s="1"/>
  <c r="AF157" i="6" s="1"/>
  <c r="Y118" i="6"/>
  <c r="AB118" i="6" s="1"/>
  <c r="AD118" i="6" s="1"/>
  <c r="AF118" i="6" s="1"/>
  <c r="Y267" i="6"/>
  <c r="AB267" i="6" s="1"/>
  <c r="AD267" i="6" s="1"/>
  <c r="AE267" i="6" s="1"/>
  <c r="AA413" i="6"/>
  <c r="AB413" i="6" s="1"/>
  <c r="AD413" i="6" s="1"/>
  <c r="AF413" i="6" s="1"/>
  <c r="Z129" i="3"/>
  <c r="AA129" i="3" s="1"/>
  <c r="Z45" i="3"/>
  <c r="AA45" i="3" s="1"/>
  <c r="Z22" i="3"/>
  <c r="AA22" i="3" s="1"/>
  <c r="AA1144" i="6"/>
  <c r="AB1144" i="6" s="1"/>
  <c r="AD1144" i="6" s="1"/>
  <c r="AE1144" i="6" s="1"/>
  <c r="AA356" i="6"/>
  <c r="AB356" i="6" s="1"/>
  <c r="AD356" i="6" s="1"/>
  <c r="AE356" i="6" s="1"/>
  <c r="AA147" i="6"/>
  <c r="AB147" i="6" s="1"/>
  <c r="AD147" i="6" s="1"/>
  <c r="Y228" i="6"/>
  <c r="AB228" i="6" s="1"/>
  <c r="AD228" i="6" s="1"/>
  <c r="AA211" i="6"/>
  <c r="AB211" i="6" s="1"/>
  <c r="AD211" i="6" s="1"/>
  <c r="AE211" i="6" s="1"/>
  <c r="Y150" i="6"/>
  <c r="AB150" i="6" s="1"/>
  <c r="AD150" i="6" s="1"/>
  <c r="AE150" i="6" s="1"/>
  <c r="Y561" i="6"/>
  <c r="AB561" i="6" s="1"/>
  <c r="AD561" i="6" s="1"/>
  <c r="AE561" i="6" s="1"/>
  <c r="Y258" i="6"/>
  <c r="AB258" i="6" s="1"/>
  <c r="AD258" i="6" s="1"/>
  <c r="AF258" i="6" s="1"/>
  <c r="Y28" i="6"/>
  <c r="AB28" i="6" s="1"/>
  <c r="AD28" i="6" s="1"/>
  <c r="AF28" i="6" s="1"/>
  <c r="AA451" i="6"/>
  <c r="AB451" i="6" s="1"/>
  <c r="AD451" i="6" s="1"/>
  <c r="AF451" i="6" s="1"/>
  <c r="Y180" i="6"/>
  <c r="AB180" i="6" s="1"/>
  <c r="AD180" i="6" s="1"/>
  <c r="AF180" i="6" s="1"/>
  <c r="Y416" i="6"/>
  <c r="AB416" i="6" s="1"/>
  <c r="AD416" i="6" s="1"/>
  <c r="AE416" i="6" s="1"/>
  <c r="AA149" i="6"/>
  <c r="AB149" i="6" s="1"/>
  <c r="AD149" i="6" s="1"/>
  <c r="AF149" i="6" s="1"/>
  <c r="Y312" i="6"/>
  <c r="AB312" i="6" s="1"/>
  <c r="AD312" i="6" s="1"/>
  <c r="AE312" i="6" s="1"/>
  <c r="AA155" i="6"/>
  <c r="AB155" i="6" s="1"/>
  <c r="AD155" i="6" s="1"/>
  <c r="Y424" i="6"/>
  <c r="AB424" i="6" s="1"/>
  <c r="AD424" i="6" s="1"/>
  <c r="AE424" i="6" s="1"/>
  <c r="AA287" i="6"/>
  <c r="AB287" i="6" s="1"/>
  <c r="AD287" i="6" s="1"/>
  <c r="AF287" i="6" s="1"/>
  <c r="Y346" i="6"/>
  <c r="AB346" i="6" s="1"/>
  <c r="AD346" i="6" s="1"/>
  <c r="Y172" i="6"/>
  <c r="AB172" i="6" s="1"/>
  <c r="AD172" i="6" s="1"/>
  <c r="AE172" i="6" s="1"/>
  <c r="AA280" i="6"/>
  <c r="AB280" i="6" s="1"/>
  <c r="AD280" i="6" s="1"/>
  <c r="AF280" i="6" s="1"/>
  <c r="Y465" i="6"/>
  <c r="AB465" i="6" s="1"/>
  <c r="AD465" i="6" s="1"/>
  <c r="AE465" i="6" s="1"/>
  <c r="Y146" i="6"/>
  <c r="AB146" i="6" s="1"/>
  <c r="AD146" i="6" s="1"/>
  <c r="AE146" i="6" s="1"/>
  <c r="X93" i="3"/>
  <c r="AA93" i="3" s="1"/>
  <c r="Z112" i="3"/>
  <c r="AA112" i="3" s="1"/>
  <c r="X43" i="3"/>
  <c r="AA43" i="3" s="1"/>
  <c r="Z8" i="3"/>
  <c r="AA8" i="3" s="1"/>
  <c r="Z70" i="3"/>
  <c r="AA70" i="3" s="1"/>
  <c r="Z31" i="3"/>
  <c r="AA31" i="3" s="1"/>
  <c r="Y1197" i="6"/>
  <c r="AB1197" i="6" s="1"/>
  <c r="AD1197" i="6" s="1"/>
  <c r="Y1244" i="6"/>
  <c r="AB1244" i="6" s="1"/>
  <c r="AD1244" i="6" s="1"/>
  <c r="AF1244" i="6" s="1"/>
  <c r="AA348" i="6"/>
  <c r="AB348" i="6" s="1"/>
  <c r="AD348" i="6" s="1"/>
  <c r="AF348" i="6" s="1"/>
  <c r="X40" i="3"/>
  <c r="AA40" i="3" s="1"/>
  <c r="Z64" i="3"/>
  <c r="AA64" i="3" s="1"/>
  <c r="X126" i="3"/>
  <c r="AA126" i="3" s="1"/>
  <c r="Z10" i="3"/>
  <c r="AA10" i="3" s="1"/>
  <c r="Z21" i="3"/>
  <c r="AA21" i="3" s="1"/>
  <c r="X103" i="3"/>
  <c r="AA103" i="3" s="1"/>
  <c r="Y117" i="6"/>
  <c r="AB117" i="6" s="1"/>
  <c r="AD117" i="6" s="1"/>
  <c r="AA550" i="6"/>
  <c r="AB550" i="6" s="1"/>
  <c r="AD550" i="6" s="1"/>
  <c r="AF550" i="6" s="1"/>
  <c r="AA10" i="6"/>
  <c r="AB10" i="6" s="1"/>
  <c r="AD10" i="6" s="1"/>
  <c r="AA393" i="6"/>
  <c r="AB393" i="6" s="1"/>
  <c r="AD393" i="6" s="1"/>
  <c r="AE393" i="6" s="1"/>
  <c r="Y1186" i="6"/>
  <c r="AB1186" i="6" s="1"/>
  <c r="AD1186" i="6" s="1"/>
  <c r="AE1186" i="6" s="1"/>
  <c r="Y1153" i="6"/>
  <c r="AB1153" i="6" s="1"/>
  <c r="AD1153" i="6" s="1"/>
  <c r="AE1153" i="6" s="1"/>
  <c r="Y195" i="6"/>
  <c r="AB195" i="6" s="1"/>
  <c r="AD195" i="6" s="1"/>
  <c r="AF195" i="6" s="1"/>
  <c r="Y300" i="6"/>
  <c r="AB300" i="6" s="1"/>
  <c r="AD300" i="6" s="1"/>
  <c r="AE300" i="6" s="1"/>
  <c r="AA175" i="6"/>
  <c r="AB175" i="6" s="1"/>
  <c r="AD175" i="6" s="1"/>
  <c r="AE175" i="6" s="1"/>
  <c r="AA191" i="6"/>
  <c r="AB191" i="6" s="1"/>
  <c r="AD191" i="6" s="1"/>
  <c r="AE191" i="6" s="1"/>
  <c r="AA389" i="6"/>
  <c r="AB389" i="6" s="1"/>
  <c r="AD389" i="6" s="1"/>
  <c r="AF389" i="6" s="1"/>
  <c r="AA138" i="6"/>
  <c r="AB138" i="6" s="1"/>
  <c r="AD138" i="6" s="1"/>
  <c r="AE138" i="6" s="1"/>
  <c r="Y256" i="6"/>
  <c r="AB256" i="6" s="1"/>
  <c r="AD256" i="6" s="1"/>
  <c r="AF256" i="6" s="1"/>
  <c r="AA330" i="6"/>
  <c r="AB330" i="6" s="1"/>
  <c r="AD330" i="6" s="1"/>
  <c r="AE330" i="6" s="1"/>
  <c r="AA188" i="6"/>
  <c r="AB188" i="6" s="1"/>
  <c r="AD188" i="6" s="1"/>
  <c r="AE188" i="6" s="1"/>
  <c r="AA243" i="6"/>
  <c r="AB243" i="6" s="1"/>
  <c r="AD243" i="6" s="1"/>
  <c r="AF243" i="6" s="1"/>
  <c r="AA114" i="6"/>
  <c r="AB114" i="6" s="1"/>
  <c r="AD114" i="6" s="1"/>
  <c r="AA545" i="6"/>
  <c r="AB545" i="6" s="1"/>
  <c r="AD545" i="6" s="1"/>
  <c r="Y415" i="6"/>
  <c r="AB415" i="6" s="1"/>
  <c r="AD415" i="6" s="1"/>
  <c r="AE415" i="6" s="1"/>
  <c r="AA30" i="6"/>
  <c r="AB30" i="6" s="1"/>
  <c r="AD30" i="6" s="1"/>
  <c r="AE30" i="6" s="1"/>
  <c r="Y1176" i="6"/>
  <c r="AB1176" i="6" s="1"/>
  <c r="AD1176" i="6" s="1"/>
  <c r="AE1176" i="6" s="1"/>
  <c r="Y152" i="6"/>
  <c r="AB152" i="6" s="1"/>
  <c r="AD152" i="6" s="1"/>
  <c r="AE152" i="6" s="1"/>
  <c r="AA505" i="6"/>
  <c r="AB505" i="6" s="1"/>
  <c r="AD505" i="6" s="1"/>
  <c r="AE505" i="6" s="1"/>
  <c r="X107" i="3"/>
  <c r="AA107" i="3" s="1"/>
  <c r="Z27" i="3"/>
  <c r="AA27" i="3" s="1"/>
  <c r="Z123" i="3"/>
  <c r="AA123" i="3" s="1"/>
  <c r="Y154" i="6"/>
  <c r="AB154" i="6" s="1"/>
  <c r="AD154" i="6" s="1"/>
  <c r="AE154" i="6" s="1"/>
  <c r="AA1198" i="6"/>
  <c r="AB1198" i="6" s="1"/>
  <c r="AD1198" i="6" s="1"/>
  <c r="AE1198" i="6" s="1"/>
  <c r="Y311" i="6"/>
  <c r="AB311" i="6" s="1"/>
  <c r="AD311" i="6" s="1"/>
  <c r="AE311" i="6" s="1"/>
  <c r="AA446" i="6"/>
  <c r="AB446" i="6" s="1"/>
  <c r="AD446" i="6" s="1"/>
  <c r="AE446" i="6" s="1"/>
  <c r="Y283" i="6"/>
  <c r="AB283" i="6" s="1"/>
  <c r="AD283" i="6" s="1"/>
  <c r="AF283" i="6" s="1"/>
  <c r="AA403" i="6"/>
  <c r="AB403" i="6" s="1"/>
  <c r="AD403" i="6" s="1"/>
  <c r="AA499" i="6"/>
  <c r="AB499" i="6" s="1"/>
  <c r="AD499" i="6" s="1"/>
  <c r="AA263" i="6"/>
  <c r="AB263" i="6" s="1"/>
  <c r="AD263" i="6" s="1"/>
  <c r="AE263" i="6" s="1"/>
  <c r="AA558" i="6"/>
  <c r="AB558" i="6" s="1"/>
  <c r="AD558" i="6" s="1"/>
  <c r="AE558" i="6" s="1"/>
  <c r="Y385" i="6"/>
  <c r="AB385" i="6" s="1"/>
  <c r="AD385" i="6" s="1"/>
  <c r="AE385" i="6" s="1"/>
  <c r="Y335" i="6"/>
  <c r="AB335" i="6" s="1"/>
  <c r="AD335" i="6" s="1"/>
  <c r="AE335" i="6" s="1"/>
  <c r="AA462" i="6"/>
  <c r="AB462" i="6" s="1"/>
  <c r="AD462" i="6" s="1"/>
  <c r="AE462" i="6" s="1"/>
  <c r="Y242" i="6"/>
  <c r="AB242" i="6" s="1"/>
  <c r="AD242" i="6" s="1"/>
  <c r="AF242" i="6" s="1"/>
  <c r="Y24" i="6"/>
  <c r="AB24" i="6" s="1"/>
  <c r="AD24" i="6" s="1"/>
  <c r="AE24" i="6" s="1"/>
  <c r="AA489" i="6"/>
  <c r="AB489" i="6" s="1"/>
  <c r="AD489" i="6" s="1"/>
  <c r="AF489" i="6" s="1"/>
  <c r="Y254" i="6"/>
  <c r="AB254" i="6" s="1"/>
  <c r="AD254" i="6" s="1"/>
  <c r="AA232" i="6"/>
  <c r="AB232" i="6" s="1"/>
  <c r="AD232" i="6" s="1"/>
  <c r="AF232" i="6" s="1"/>
  <c r="Y174" i="6"/>
  <c r="AB174" i="6" s="1"/>
  <c r="AD174" i="6" s="1"/>
  <c r="AE174" i="6" s="1"/>
  <c r="Y469" i="6"/>
  <c r="AB469" i="6" s="1"/>
  <c r="AD469" i="6" s="1"/>
  <c r="AE469" i="6" s="1"/>
  <c r="Y491" i="6"/>
  <c r="AB491" i="6" s="1"/>
  <c r="AD491" i="6" s="1"/>
  <c r="AA230" i="6"/>
  <c r="AB230" i="6" s="1"/>
  <c r="AD230" i="6" s="1"/>
  <c r="AE230" i="6" s="1"/>
  <c r="AA539" i="6"/>
  <c r="AB539" i="6" s="1"/>
  <c r="AD539" i="6" s="1"/>
  <c r="AE539" i="6" s="1"/>
  <c r="Y167" i="6"/>
  <c r="AB167" i="6" s="1"/>
  <c r="AD167" i="6" s="1"/>
  <c r="AE167" i="6" s="1"/>
  <c r="Y540" i="6"/>
  <c r="AB540" i="6" s="1"/>
  <c r="AD540" i="6" s="1"/>
  <c r="AE540" i="6" s="1"/>
  <c r="Y143" i="6"/>
  <c r="AB143" i="6" s="1"/>
  <c r="AD143" i="6" s="1"/>
  <c r="AF143" i="6" s="1"/>
  <c r="AA192" i="6"/>
  <c r="AB192" i="6" s="1"/>
  <c r="AD192" i="6" s="1"/>
  <c r="AA320" i="6"/>
  <c r="AB320" i="6" s="1"/>
  <c r="AD320" i="6" s="1"/>
  <c r="AE320" i="6" s="1"/>
  <c r="AA490" i="6"/>
  <c r="AB490" i="6" s="1"/>
  <c r="AD490" i="6" s="1"/>
  <c r="AE490" i="6" s="1"/>
  <c r="AA298" i="6"/>
  <c r="AB298" i="6" s="1"/>
  <c r="AD298" i="6" s="1"/>
  <c r="AE298" i="6" s="1"/>
  <c r="AA1155" i="6"/>
  <c r="AB1155" i="6" s="1"/>
  <c r="AD1155" i="6" s="1"/>
  <c r="AE1155" i="6" s="1"/>
  <c r="AA119" i="6"/>
  <c r="AB119" i="6" s="1"/>
  <c r="AD119" i="6" s="1"/>
  <c r="AE119" i="6" s="1"/>
  <c r="Y317" i="6"/>
  <c r="AB317" i="6" s="1"/>
  <c r="AD317" i="6" s="1"/>
  <c r="AF317" i="6" s="1"/>
  <c r="AA182" i="6"/>
  <c r="AB182" i="6" s="1"/>
  <c r="AD182" i="6" s="1"/>
  <c r="AF182" i="6" s="1"/>
  <c r="Y475" i="6"/>
  <c r="AB475" i="6" s="1"/>
  <c r="AD475" i="6" s="1"/>
  <c r="Y205" i="6"/>
  <c r="AB205" i="6" s="1"/>
  <c r="AD205" i="6" s="1"/>
  <c r="AE205" i="6" s="1"/>
  <c r="Y504" i="6"/>
  <c r="AB504" i="6" s="1"/>
  <c r="AD504" i="6" s="1"/>
  <c r="AE504" i="6" s="1"/>
  <c r="AA1246" i="6"/>
  <c r="AB1246" i="6" s="1"/>
  <c r="AD1246" i="6" s="1"/>
  <c r="AE1246" i="6" s="1"/>
  <c r="X61" i="3"/>
  <c r="AA61" i="3" s="1"/>
  <c r="Z109" i="3"/>
  <c r="AA109" i="3" s="1"/>
  <c r="X30" i="3"/>
  <c r="AA30" i="3" s="1"/>
  <c r="Z16" i="3"/>
  <c r="AA16" i="3" s="1"/>
  <c r="X48" i="3"/>
  <c r="AA48" i="3" s="1"/>
  <c r="Z125" i="3"/>
  <c r="AA125" i="3" s="1"/>
  <c r="X20" i="3"/>
  <c r="AA20" i="3" s="1"/>
  <c r="Z76" i="3"/>
  <c r="AA76" i="3" s="1"/>
  <c r="X75" i="3"/>
  <c r="AA75" i="3" s="1"/>
  <c r="AA257" i="6"/>
  <c r="AB257" i="6" s="1"/>
  <c r="AD257" i="6" s="1"/>
  <c r="AE257" i="6" s="1"/>
  <c r="AA1140" i="6"/>
  <c r="AB1140" i="6" s="1"/>
  <c r="AD1140" i="6" s="1"/>
  <c r="AE1140" i="6" s="1"/>
  <c r="Y325" i="6"/>
  <c r="AB325" i="6" s="1"/>
  <c r="AD325" i="6" s="1"/>
  <c r="AF325" i="6" s="1"/>
  <c r="Y363" i="6"/>
  <c r="AB363" i="6" s="1"/>
  <c r="AD363" i="6" s="1"/>
  <c r="AE363" i="6" s="1"/>
  <c r="AA1009" i="6"/>
  <c r="AB1009" i="6" s="1"/>
  <c r="AD1009" i="6" s="1"/>
  <c r="AF1009" i="6" s="1"/>
  <c r="AA1007" i="6"/>
  <c r="AB1007" i="6" s="1"/>
  <c r="AD1007" i="6" s="1"/>
  <c r="AE1007" i="6" s="1"/>
  <c r="Y421" i="6"/>
  <c r="AB421" i="6" s="1"/>
  <c r="AD421" i="6" s="1"/>
  <c r="AA1248" i="6"/>
  <c r="AB1248" i="6" s="1"/>
  <c r="AD1248" i="6" s="1"/>
  <c r="AE1248" i="6" s="1"/>
  <c r="Y429" i="6"/>
  <c r="AB429" i="6" s="1"/>
  <c r="AD429" i="6" s="1"/>
  <c r="AF429" i="6" s="1"/>
  <c r="Y511" i="6"/>
  <c r="AB511" i="6" s="1"/>
  <c r="AD511" i="6" s="1"/>
  <c r="AF511" i="6" s="1"/>
  <c r="AA438" i="6"/>
  <c r="AB438" i="6" s="1"/>
  <c r="AD438" i="6" s="1"/>
  <c r="AE438" i="6" s="1"/>
  <c r="AA411" i="6"/>
  <c r="AB411" i="6" s="1"/>
  <c r="AD411" i="6" s="1"/>
  <c r="AE411" i="6" s="1"/>
  <c r="Y473" i="6"/>
  <c r="AB473" i="6" s="1"/>
  <c r="AD473" i="6" s="1"/>
  <c r="Y91" i="6"/>
  <c r="AB91" i="6" s="1"/>
  <c r="AD91" i="6" s="1"/>
  <c r="AF91" i="6" s="1"/>
  <c r="Y313" i="6"/>
  <c r="AB313" i="6" s="1"/>
  <c r="AD313" i="6" s="1"/>
  <c r="AF313" i="6" s="1"/>
  <c r="Y331" i="6"/>
  <c r="AB331" i="6" s="1"/>
  <c r="AD331" i="6" s="1"/>
  <c r="AF331" i="6" s="1"/>
  <c r="Y408" i="6"/>
  <c r="AB408" i="6" s="1"/>
  <c r="AD408" i="6" s="1"/>
  <c r="AE408" i="6" s="1"/>
  <c r="AA1195" i="6"/>
  <c r="AB1195" i="6" s="1"/>
  <c r="AD1195" i="6" s="1"/>
  <c r="AE1195" i="6" s="1"/>
  <c r="Y547" i="6"/>
  <c r="AB547" i="6" s="1"/>
  <c r="AD547" i="6" s="1"/>
  <c r="AE547" i="6" s="1"/>
  <c r="AA497" i="6"/>
  <c r="AB497" i="6" s="1"/>
  <c r="AD497" i="6" s="1"/>
  <c r="AF497" i="6" s="1"/>
  <c r="AA23" i="6"/>
  <c r="AB23" i="6" s="1"/>
  <c r="AD23" i="6" s="1"/>
  <c r="AE23" i="6" s="1"/>
  <c r="AA1247" i="6"/>
  <c r="AB1247" i="6" s="1"/>
  <c r="AD1247" i="6" s="1"/>
  <c r="AE1247" i="6" s="1"/>
  <c r="Y275" i="6"/>
  <c r="AB275" i="6" s="1"/>
  <c r="AD275" i="6" s="1"/>
  <c r="AF275" i="6" s="1"/>
  <c r="AA201" i="6"/>
  <c r="AB201" i="6" s="1"/>
  <c r="AD201" i="6" s="1"/>
  <c r="Y244" i="6"/>
  <c r="AB244" i="6" s="1"/>
  <c r="AD244" i="6" s="1"/>
  <c r="AF244" i="6" s="1"/>
  <c r="AA486" i="6"/>
  <c r="AB486" i="6" s="1"/>
  <c r="AD486" i="6" s="1"/>
  <c r="AE486" i="6" s="1"/>
  <c r="AA412" i="6"/>
  <c r="AB412" i="6" s="1"/>
  <c r="AD412" i="6" s="1"/>
  <c r="AE412" i="6" s="1"/>
  <c r="AA111" i="6"/>
  <c r="AB111" i="6" s="1"/>
  <c r="AD111" i="6" s="1"/>
  <c r="AA391" i="6"/>
  <c r="AB391" i="6" s="1"/>
  <c r="AD391" i="6" s="1"/>
  <c r="AF391" i="6" s="1"/>
  <c r="AA251" i="6"/>
  <c r="AB251" i="6" s="1"/>
  <c r="AD251" i="6" s="1"/>
  <c r="AA90" i="6"/>
  <c r="AB90" i="6" s="1"/>
  <c r="AD90" i="6" s="1"/>
  <c r="AE90" i="6" s="1"/>
  <c r="Z101" i="3"/>
  <c r="AA101" i="3" s="1"/>
  <c r="X62" i="3"/>
  <c r="AA62" i="3" s="1"/>
  <c r="AA101" i="6"/>
  <c r="AB101" i="6" s="1"/>
  <c r="AD101" i="6" s="1"/>
  <c r="AE101" i="6" s="1"/>
  <c r="Y1253" i="6"/>
  <c r="AB1253" i="6" s="1"/>
  <c r="AD1253" i="6" s="1"/>
  <c r="Y139" i="6"/>
  <c r="AB139" i="6" s="1"/>
  <c r="AD139" i="6" s="1"/>
  <c r="AE139" i="6" s="1"/>
  <c r="Y517" i="6"/>
  <c r="AB517" i="6" s="1"/>
  <c r="AD517" i="6" s="1"/>
  <c r="X18" i="3"/>
  <c r="AA18" i="3" s="1"/>
  <c r="Z92" i="3"/>
  <c r="AA92" i="3" s="1"/>
  <c r="Y164" i="6"/>
  <c r="AB164" i="6" s="1"/>
  <c r="AD164" i="6" s="1"/>
  <c r="AA94" i="6"/>
  <c r="AB94" i="6" s="1"/>
  <c r="AD94" i="6" s="1"/>
  <c r="AE94" i="6" s="1"/>
  <c r="AA1143" i="6"/>
  <c r="AB1143" i="6" s="1"/>
  <c r="AD1143" i="6" s="1"/>
  <c r="AE1143" i="6" s="1"/>
  <c r="Y350" i="6"/>
  <c r="AB350" i="6" s="1"/>
  <c r="AD350" i="6" s="1"/>
  <c r="AF350" i="6" s="1"/>
  <c r="AA494" i="6"/>
  <c r="AB494" i="6" s="1"/>
  <c r="AD494" i="6" s="1"/>
  <c r="AF494" i="6" s="1"/>
  <c r="AA434" i="6"/>
  <c r="AB434" i="6" s="1"/>
  <c r="AD434" i="6" s="1"/>
  <c r="AE434" i="6" s="1"/>
  <c r="Y112" i="6"/>
  <c r="AB112" i="6" s="1"/>
  <c r="AD112" i="6" s="1"/>
  <c r="AE112" i="6" s="1"/>
  <c r="Y216" i="6"/>
  <c r="AB216" i="6" s="1"/>
  <c r="AD216" i="6" s="1"/>
  <c r="AF216" i="6" s="1"/>
  <c r="AA398" i="6"/>
  <c r="AB398" i="6" s="1"/>
  <c r="AD398" i="6" s="1"/>
  <c r="AE398" i="6" s="1"/>
  <c r="AA488" i="6"/>
  <c r="AB488" i="6" s="1"/>
  <c r="AD488" i="6" s="1"/>
  <c r="AE488" i="6" s="1"/>
  <c r="AA501" i="6"/>
  <c r="AB501" i="6" s="1"/>
  <c r="AD501" i="6" s="1"/>
  <c r="AF501" i="6" s="1"/>
  <c r="Z7" i="3"/>
  <c r="AA7" i="3" s="1"/>
  <c r="AA359" i="6"/>
  <c r="AB359" i="6" s="1"/>
  <c r="AD359" i="6" s="1"/>
  <c r="AE359" i="6" s="1"/>
  <c r="Y1151" i="6"/>
  <c r="AB1151" i="6" s="1"/>
  <c r="AD1151" i="6" s="1"/>
  <c r="AE1151" i="6" s="1"/>
  <c r="Y245" i="6"/>
  <c r="AB245" i="6" s="1"/>
  <c r="AD245" i="6" s="1"/>
  <c r="AE245" i="6" s="1"/>
  <c r="Y208" i="6"/>
  <c r="AB208" i="6" s="1"/>
  <c r="AD208" i="6" s="1"/>
  <c r="AF208" i="6" s="1"/>
  <c r="X23" i="3"/>
  <c r="Z23" i="3"/>
  <c r="X25" i="3"/>
  <c r="Z25" i="3"/>
  <c r="AA120" i="6"/>
  <c r="AB120" i="6" s="1"/>
  <c r="AD120" i="6" s="1"/>
  <c r="AF120" i="6" s="1"/>
  <c r="Z128" i="3"/>
  <c r="X128" i="3"/>
  <c r="AA204" i="6"/>
  <c r="AB204" i="6" s="1"/>
  <c r="AD204" i="6" s="1"/>
  <c r="AE204" i="6" s="1"/>
  <c r="AA306" i="6"/>
  <c r="AB306" i="6" s="1"/>
  <c r="AD306" i="6" s="1"/>
  <c r="AE306" i="6" s="1"/>
  <c r="AA344" i="6"/>
  <c r="AB344" i="6" s="1"/>
  <c r="AD344" i="6" s="1"/>
  <c r="AF344" i="6" s="1"/>
  <c r="Z12" i="3"/>
  <c r="X12" i="3"/>
  <c r="X79" i="3"/>
  <c r="Z79" i="3"/>
  <c r="Z19" i="3"/>
  <c r="X19" i="3"/>
  <c r="X97" i="3"/>
  <c r="Z97" i="3"/>
  <c r="X98" i="3"/>
  <c r="Z98" i="3"/>
  <c r="X26" i="3"/>
  <c r="Z26" i="3"/>
  <c r="X42" i="3"/>
  <c r="Z42" i="3"/>
  <c r="X37" i="3"/>
  <c r="Z37" i="3"/>
  <c r="X89" i="3"/>
  <c r="Z89" i="3"/>
  <c r="X122" i="3"/>
  <c r="Z122" i="3"/>
  <c r="X117" i="3"/>
  <c r="Z117" i="3"/>
  <c r="X120" i="3"/>
  <c r="Z120" i="3"/>
  <c r="X68" i="3"/>
  <c r="Z68" i="3"/>
  <c r="X60" i="3"/>
  <c r="Z60" i="3"/>
  <c r="X116" i="3"/>
  <c r="Z116" i="3"/>
  <c r="Z69" i="3"/>
  <c r="X69" i="3"/>
  <c r="Z77" i="3"/>
  <c r="X77" i="3"/>
  <c r="X90" i="3"/>
  <c r="Z90" i="3"/>
  <c r="Z119" i="3"/>
  <c r="X119" i="3"/>
  <c r="X121" i="3"/>
  <c r="Z121" i="3"/>
  <c r="X108" i="3"/>
  <c r="Z108" i="3"/>
  <c r="Z78" i="3"/>
  <c r="X78" i="3"/>
  <c r="Z118" i="3"/>
  <c r="X118" i="3"/>
  <c r="Y196" i="6"/>
  <c r="AB196" i="6" s="1"/>
  <c r="AD196" i="6" s="1"/>
  <c r="AE196" i="6" s="1"/>
  <c r="AA338" i="6"/>
  <c r="AB338" i="6" s="1"/>
  <c r="AD338" i="6" s="1"/>
  <c r="AE338" i="6" s="1"/>
  <c r="AA212" i="6"/>
  <c r="AB212" i="6" s="1"/>
  <c r="AD212" i="6" s="1"/>
  <c r="AE212" i="6" s="1"/>
  <c r="AA343" i="6"/>
  <c r="AB343" i="6" s="1"/>
  <c r="AD343" i="6" s="1"/>
  <c r="AE343" i="6" s="1"/>
  <c r="AA339" i="6"/>
  <c r="AB339" i="6" s="1"/>
  <c r="AD339" i="6" s="1"/>
  <c r="AF339" i="6" s="1"/>
  <c r="AA17" i="6"/>
  <c r="AB17" i="6" s="1"/>
  <c r="AD17" i="6" s="1"/>
  <c r="AE17" i="6" s="1"/>
  <c r="Y332" i="6"/>
  <c r="AB332" i="6" s="1"/>
  <c r="AD332" i="6" s="1"/>
  <c r="AF332" i="6" s="1"/>
  <c r="Y308" i="6"/>
  <c r="AB308" i="6" s="1"/>
  <c r="AD308" i="6" s="1"/>
  <c r="AF308" i="6" s="1"/>
  <c r="AA349" i="6"/>
  <c r="AB349" i="6" s="1"/>
  <c r="AD349" i="6" s="1"/>
  <c r="AE349" i="6" s="1"/>
  <c r="Y99" i="6"/>
  <c r="AB99" i="6" s="1"/>
  <c r="AD99" i="6" s="1"/>
  <c r="AA341" i="6"/>
  <c r="AB341" i="6" s="1"/>
  <c r="AD341" i="6" s="1"/>
  <c r="AF341" i="6" s="1"/>
  <c r="AA303" i="6"/>
  <c r="AB303" i="6" s="1"/>
  <c r="AD303" i="6" s="1"/>
  <c r="AF303" i="6" s="1"/>
  <c r="AA334" i="6"/>
  <c r="AB334" i="6" s="1"/>
  <c r="AD334" i="6" s="1"/>
  <c r="T4" i="3"/>
  <c r="V4" i="3" s="1"/>
  <c r="AA1137" i="6"/>
  <c r="Y1137" i="6"/>
  <c r="AC59" i="3" l="1"/>
  <c r="AD59" i="3"/>
  <c r="AE59" i="3"/>
  <c r="AF59" i="3"/>
  <c r="AC88" i="3"/>
  <c r="AE88" i="3"/>
  <c r="AD88" i="3"/>
  <c r="AF88" i="3"/>
  <c r="AC87" i="3"/>
  <c r="AE87" i="3"/>
  <c r="AD87" i="3"/>
  <c r="AF87" i="3"/>
  <c r="AC86" i="3"/>
  <c r="AE86" i="3"/>
  <c r="AD86" i="3"/>
  <c r="AF86" i="3"/>
  <c r="AC85" i="3"/>
  <c r="AE85" i="3"/>
  <c r="AD85" i="3"/>
  <c r="AF85" i="3"/>
  <c r="AC84" i="3"/>
  <c r="AE84" i="3"/>
  <c r="AD84" i="3"/>
  <c r="AF84" i="3"/>
  <c r="AC83" i="3"/>
  <c r="AE83" i="3"/>
  <c r="AD83" i="3"/>
  <c r="AF83" i="3"/>
  <c r="AC82" i="3"/>
  <c r="AE82" i="3"/>
  <c r="AD82" i="3"/>
  <c r="AF82" i="3"/>
  <c r="AC81" i="3"/>
  <c r="AE81" i="3"/>
  <c r="AD81" i="3"/>
  <c r="AF81" i="3"/>
  <c r="AC80" i="3"/>
  <c r="AE80" i="3"/>
  <c r="AD80" i="3"/>
  <c r="AF80" i="3"/>
  <c r="AC136" i="3"/>
  <c r="AD136" i="3"/>
  <c r="AE136" i="3"/>
  <c r="AF136" i="3"/>
  <c r="AC138" i="3"/>
  <c r="AD138" i="3"/>
  <c r="AE138" i="3"/>
  <c r="AF138" i="3"/>
  <c r="AC137" i="3"/>
  <c r="AD137" i="3"/>
  <c r="AE137" i="3"/>
  <c r="AF137" i="3"/>
  <c r="AC139" i="3"/>
  <c r="AD139" i="3"/>
  <c r="AE139" i="3"/>
  <c r="AF139" i="3"/>
  <c r="AD73" i="6"/>
  <c r="AF73" i="6" s="1"/>
  <c r="AE73" i="6"/>
  <c r="AG73" i="6"/>
  <c r="AD75" i="6"/>
  <c r="AF75" i="6" s="1"/>
  <c r="AE75" i="6"/>
  <c r="AG75" i="6" s="1"/>
  <c r="AD76" i="6"/>
  <c r="AE76" i="6" s="1"/>
  <c r="AF76" i="6"/>
  <c r="AG76" i="6"/>
  <c r="AD74" i="6"/>
  <c r="AF74" i="6" s="1"/>
  <c r="AE74" i="6"/>
  <c r="AG74" i="6"/>
  <c r="AD72" i="6"/>
  <c r="AE72" i="6" s="1"/>
  <c r="AF72" i="6"/>
  <c r="AG72" i="6" s="1"/>
  <c r="AD71" i="6"/>
  <c r="AF71" i="6" s="1"/>
  <c r="AE71" i="6"/>
  <c r="AG71" i="6"/>
  <c r="AD70" i="6"/>
  <c r="AE70" i="6" s="1"/>
  <c r="AF70" i="6"/>
  <c r="AG70" i="6"/>
  <c r="AD77" i="6"/>
  <c r="AE77" i="6" s="1"/>
  <c r="AF77" i="6"/>
  <c r="AG77" i="6" s="1"/>
  <c r="AD69" i="6"/>
  <c r="AE69" i="6" s="1"/>
  <c r="AF69" i="6"/>
  <c r="AG69" i="6" s="1"/>
  <c r="AD68" i="6"/>
  <c r="AF68" i="6" s="1"/>
  <c r="AE68" i="6"/>
  <c r="AG68" i="6" s="1"/>
  <c r="AD67" i="6"/>
  <c r="AF67" i="6" s="1"/>
  <c r="AE67" i="6"/>
  <c r="AG67" i="6" s="1"/>
  <c r="AD82" i="6"/>
  <c r="AF82" i="6" s="1"/>
  <c r="AE82" i="6"/>
  <c r="AG82" i="6"/>
  <c r="AD83" i="6"/>
  <c r="AE83" i="6" s="1"/>
  <c r="AF83" i="6"/>
  <c r="AG83" i="6"/>
  <c r="AD81" i="6"/>
  <c r="AF81" i="6"/>
  <c r="AE81" i="6"/>
  <c r="AG81" i="6" s="1"/>
  <c r="AD80" i="6"/>
  <c r="AE80" i="6"/>
  <c r="AF80" i="6"/>
  <c r="AG80" i="6"/>
  <c r="AD84" i="6"/>
  <c r="AF84" i="6" s="1"/>
  <c r="AE84" i="6"/>
  <c r="AG84" i="6"/>
  <c r="AD79" i="6"/>
  <c r="AE79" i="6" s="1"/>
  <c r="AF79" i="6"/>
  <c r="AG79" i="6" s="1"/>
  <c r="AD85" i="6"/>
  <c r="AF85" i="6" s="1"/>
  <c r="AE85" i="6"/>
  <c r="AG85" i="6"/>
  <c r="AD86" i="6"/>
  <c r="AF86" i="6" s="1"/>
  <c r="AE86" i="6"/>
  <c r="AG86" i="6" s="1"/>
  <c r="AD88" i="6"/>
  <c r="AE88" i="6"/>
  <c r="AF88" i="6"/>
  <c r="AG88" i="6" s="1"/>
  <c r="AD87" i="6"/>
  <c r="AF87" i="6" s="1"/>
  <c r="AE87" i="6"/>
  <c r="AG87" i="6"/>
  <c r="AD78" i="6"/>
  <c r="AF78" i="6" s="1"/>
  <c r="AE78" i="6"/>
  <c r="AG78" i="6"/>
  <c r="AD66" i="6"/>
  <c r="AE66" i="6" s="1"/>
  <c r="AF66" i="6"/>
  <c r="AG66" i="6"/>
  <c r="AD65" i="6"/>
  <c r="AE65" i="6" s="1"/>
  <c r="AF65" i="6"/>
  <c r="AG65" i="6" s="1"/>
  <c r="AD1126" i="6"/>
  <c r="AE1126" i="6" s="1"/>
  <c r="AF1126" i="6"/>
  <c r="AG1126" i="6" s="1"/>
  <c r="AD529" i="6"/>
  <c r="AE529" i="6" s="1"/>
  <c r="AF529" i="6"/>
  <c r="AG529" i="6"/>
  <c r="AD528" i="6"/>
  <c r="AF528" i="6" s="1"/>
  <c r="AE528" i="6"/>
  <c r="AG528" i="6"/>
  <c r="AD527" i="6"/>
  <c r="AF527" i="6" s="1"/>
  <c r="AE527" i="6"/>
  <c r="AG527" i="6" s="1"/>
  <c r="AD526" i="6"/>
  <c r="AF526" i="6" s="1"/>
  <c r="AE526" i="6"/>
  <c r="AG526" i="6" s="1"/>
  <c r="AD533" i="6"/>
  <c r="AE533" i="6" s="1"/>
  <c r="AF533" i="6"/>
  <c r="AG533" i="6"/>
  <c r="AD532" i="6"/>
  <c r="AE532" i="6" s="1"/>
  <c r="AF532" i="6"/>
  <c r="AG532" i="6" s="1"/>
  <c r="AD531" i="6"/>
  <c r="AE531" i="6"/>
  <c r="AF531" i="6"/>
  <c r="AG531" i="6"/>
  <c r="AD535" i="6"/>
  <c r="AF535" i="6" s="1"/>
  <c r="AE535" i="6"/>
  <c r="AG535" i="6"/>
  <c r="AD534" i="6"/>
  <c r="AF534" i="6" s="1"/>
  <c r="AE534" i="6"/>
  <c r="AG534" i="6" s="1"/>
  <c r="AD530" i="6"/>
  <c r="AF530" i="6"/>
  <c r="AE530" i="6"/>
  <c r="AG530" i="6"/>
  <c r="AD525" i="6"/>
  <c r="AF525" i="6" s="1"/>
  <c r="AE525" i="6"/>
  <c r="AG525" i="6" s="1"/>
  <c r="AD524" i="6"/>
  <c r="AE524" i="6" s="1"/>
  <c r="AF524" i="6"/>
  <c r="AG524" i="6" s="1"/>
  <c r="AD523" i="6"/>
  <c r="AF523" i="6" s="1"/>
  <c r="AE523" i="6"/>
  <c r="AG523" i="6"/>
  <c r="AD522" i="6"/>
  <c r="AF522" i="6"/>
  <c r="AE522" i="6"/>
  <c r="AG522" i="6"/>
  <c r="AD521" i="6"/>
  <c r="AF521" i="6" s="1"/>
  <c r="AE521" i="6"/>
  <c r="AG521" i="6"/>
  <c r="AD520" i="6"/>
  <c r="AF520" i="6" s="1"/>
  <c r="AE520" i="6"/>
  <c r="AG520" i="6"/>
  <c r="AD900" i="6"/>
  <c r="AE900" i="6" s="1"/>
  <c r="AF900" i="6"/>
  <c r="AG900" i="6" s="1"/>
  <c r="AD901" i="6"/>
  <c r="AE901" i="6" s="1"/>
  <c r="AF901" i="6"/>
  <c r="AG901" i="6"/>
  <c r="AD902" i="6"/>
  <c r="AE902" i="6" s="1"/>
  <c r="AF902" i="6"/>
  <c r="AG902" i="6" s="1"/>
  <c r="AD903" i="6"/>
  <c r="AF903" i="6" s="1"/>
  <c r="AE903" i="6"/>
  <c r="AG903" i="6" s="1"/>
  <c r="AD904" i="6"/>
  <c r="AF904" i="6" s="1"/>
  <c r="AE904" i="6"/>
  <c r="AG904" i="6" s="1"/>
  <c r="AD905" i="6"/>
  <c r="AE905" i="6" s="1"/>
  <c r="AF905" i="6"/>
  <c r="AG905" i="6" s="1"/>
  <c r="AD906" i="6"/>
  <c r="AF906" i="6" s="1"/>
  <c r="AE906" i="6"/>
  <c r="AG906" i="6"/>
  <c r="AD907" i="6"/>
  <c r="AF907" i="6" s="1"/>
  <c r="AE907" i="6"/>
  <c r="AG907" i="6" s="1"/>
  <c r="AD908" i="6"/>
  <c r="AF908" i="6" s="1"/>
  <c r="AE908" i="6"/>
  <c r="AG908" i="6" s="1"/>
  <c r="AD909" i="6"/>
  <c r="AF909" i="6" s="1"/>
  <c r="AE909" i="6"/>
  <c r="AG909" i="6"/>
  <c r="AD910" i="6"/>
  <c r="AE910" i="6" s="1"/>
  <c r="AF910" i="6"/>
  <c r="AG910" i="6"/>
  <c r="AD911" i="6"/>
  <c r="AE911" i="6" s="1"/>
  <c r="AF911" i="6"/>
  <c r="AG911" i="6" s="1"/>
  <c r="AD912" i="6"/>
  <c r="AF912" i="6" s="1"/>
  <c r="AE912" i="6"/>
  <c r="AG912" i="6" s="1"/>
  <c r="AD913" i="6"/>
  <c r="AE913" i="6" s="1"/>
  <c r="AF913" i="6"/>
  <c r="AG913" i="6" s="1"/>
  <c r="AD914" i="6"/>
  <c r="AE914" i="6" s="1"/>
  <c r="AF914" i="6"/>
  <c r="AG914" i="6" s="1"/>
  <c r="AD915" i="6"/>
  <c r="AE915" i="6" s="1"/>
  <c r="AF915" i="6"/>
  <c r="AG915" i="6"/>
  <c r="AD916" i="6"/>
  <c r="AE916" i="6" s="1"/>
  <c r="AF916" i="6"/>
  <c r="AG916" i="6"/>
  <c r="AD917" i="6"/>
  <c r="AF917" i="6"/>
  <c r="AE917" i="6"/>
  <c r="AG917" i="6" s="1"/>
  <c r="AD918" i="6"/>
  <c r="AE918" i="6" s="1"/>
  <c r="AF918" i="6"/>
  <c r="AG918" i="6" s="1"/>
  <c r="AD919" i="6"/>
  <c r="AF919" i="6" s="1"/>
  <c r="AE919" i="6"/>
  <c r="AG919" i="6" s="1"/>
  <c r="AD920" i="6"/>
  <c r="AE920" i="6" s="1"/>
  <c r="AF920" i="6"/>
  <c r="AG920" i="6" s="1"/>
  <c r="AD921" i="6"/>
  <c r="AE921" i="6"/>
  <c r="AF921" i="6"/>
  <c r="AG921" i="6" s="1"/>
  <c r="AD922" i="6"/>
  <c r="AE922" i="6" s="1"/>
  <c r="AF922" i="6"/>
  <c r="AG922" i="6" s="1"/>
  <c r="AD923" i="6"/>
  <c r="AF923" i="6" s="1"/>
  <c r="AE923" i="6"/>
  <c r="AG923" i="6"/>
  <c r="AD924" i="6"/>
  <c r="AE924" i="6" s="1"/>
  <c r="AF924" i="6"/>
  <c r="AG924" i="6" s="1"/>
  <c r="AD925" i="6"/>
  <c r="AF925" i="6"/>
  <c r="AE925" i="6"/>
  <c r="AG925" i="6"/>
  <c r="AD926" i="6"/>
  <c r="AE926" i="6" s="1"/>
  <c r="AF926" i="6"/>
  <c r="AG926" i="6" s="1"/>
  <c r="AD927" i="6"/>
  <c r="AE927" i="6" s="1"/>
  <c r="AF927" i="6"/>
  <c r="AG927" i="6"/>
  <c r="AD928" i="6"/>
  <c r="AF928" i="6" s="1"/>
  <c r="AE928" i="6"/>
  <c r="AG928" i="6" s="1"/>
  <c r="AD929" i="6"/>
  <c r="AF929" i="6"/>
  <c r="AE929" i="6"/>
  <c r="AG929" i="6"/>
  <c r="AD930" i="6"/>
  <c r="AF930" i="6"/>
  <c r="AE930" i="6"/>
  <c r="AG930" i="6"/>
  <c r="AD931" i="6"/>
  <c r="AE931" i="6"/>
  <c r="AF931" i="6"/>
  <c r="AG931" i="6"/>
  <c r="AD932" i="6"/>
  <c r="AE932" i="6" s="1"/>
  <c r="AF932" i="6"/>
  <c r="AG932" i="6" s="1"/>
  <c r="AD933" i="6"/>
  <c r="AF933" i="6"/>
  <c r="AE933" i="6"/>
  <c r="AG933" i="6"/>
  <c r="AD934" i="6"/>
  <c r="AF934" i="6" s="1"/>
  <c r="AE934" i="6"/>
  <c r="AG934" i="6"/>
  <c r="AD935" i="6"/>
  <c r="AE935" i="6" s="1"/>
  <c r="AF935" i="6"/>
  <c r="AG935" i="6"/>
  <c r="AD937" i="6"/>
  <c r="AF937" i="6" s="1"/>
  <c r="AE937" i="6"/>
  <c r="AG937" i="6" s="1"/>
  <c r="AD936" i="6"/>
  <c r="AF936" i="6" s="1"/>
  <c r="AE936" i="6"/>
  <c r="AG936" i="6" s="1"/>
  <c r="AD899" i="6"/>
  <c r="AE899" i="6" s="1"/>
  <c r="AF899" i="6"/>
  <c r="AG899" i="6" s="1"/>
  <c r="AD898" i="6"/>
  <c r="AF898" i="6" s="1"/>
  <c r="AE898" i="6"/>
  <c r="AG898" i="6"/>
  <c r="AD845" i="6"/>
  <c r="AF845" i="6" s="1"/>
  <c r="AE845" i="6"/>
  <c r="AG845" i="6"/>
  <c r="AD827" i="6"/>
  <c r="AF827" i="6" s="1"/>
  <c r="AE827" i="6"/>
  <c r="AG827" i="6" s="1"/>
  <c r="AD828" i="6"/>
  <c r="AE828" i="6" s="1"/>
  <c r="AF828" i="6"/>
  <c r="AG828" i="6" s="1"/>
  <c r="AD829" i="6"/>
  <c r="AF829" i="6" s="1"/>
  <c r="AE829" i="6"/>
  <c r="AG829" i="6"/>
  <c r="AD830" i="6"/>
  <c r="AE830" i="6" s="1"/>
  <c r="AF830" i="6"/>
  <c r="AG830" i="6"/>
  <c r="AD831" i="6"/>
  <c r="AF831" i="6" s="1"/>
  <c r="AE831" i="6"/>
  <c r="AG831" i="6"/>
  <c r="AD832" i="6"/>
  <c r="AE832" i="6" s="1"/>
  <c r="AF832" i="6"/>
  <c r="AG832" i="6" s="1"/>
  <c r="AD833" i="6"/>
  <c r="AF833" i="6" s="1"/>
  <c r="AE833" i="6"/>
  <c r="AG833" i="6"/>
  <c r="AD834" i="6"/>
  <c r="AE834" i="6" s="1"/>
  <c r="AF834" i="6"/>
  <c r="AG834" i="6"/>
  <c r="AD836" i="6"/>
  <c r="AF836" i="6" s="1"/>
  <c r="AE836" i="6"/>
  <c r="AG836" i="6" s="1"/>
  <c r="AD838" i="6"/>
  <c r="AE838" i="6" s="1"/>
  <c r="AF838" i="6"/>
  <c r="AG838" i="6" s="1"/>
  <c r="AD839" i="6"/>
  <c r="AF839" i="6" s="1"/>
  <c r="AE839" i="6"/>
  <c r="AG839" i="6"/>
  <c r="AD837" i="6"/>
  <c r="AF837" i="6" s="1"/>
  <c r="AE837" i="6"/>
  <c r="AG837" i="6"/>
  <c r="AD840" i="6"/>
  <c r="AF840" i="6" s="1"/>
  <c r="AE840" i="6"/>
  <c r="AG840" i="6"/>
  <c r="AD841" i="6"/>
  <c r="AE841" i="6" s="1"/>
  <c r="AF841" i="6"/>
  <c r="AG841" i="6" s="1"/>
  <c r="AD842" i="6"/>
  <c r="AF842" i="6" s="1"/>
  <c r="AE842" i="6"/>
  <c r="AG842" i="6"/>
  <c r="AD843" i="6"/>
  <c r="AE843" i="6" s="1"/>
  <c r="AF843" i="6"/>
  <c r="AG843" i="6" s="1"/>
  <c r="AD844" i="6"/>
  <c r="AF844" i="6" s="1"/>
  <c r="AE844" i="6"/>
  <c r="AG844" i="6"/>
  <c r="AD849" i="6"/>
  <c r="AE849" i="6" s="1"/>
  <c r="AF849" i="6"/>
  <c r="AG849" i="6" s="1"/>
  <c r="AD850" i="6"/>
  <c r="AF850" i="6" s="1"/>
  <c r="AE850" i="6"/>
  <c r="AG850" i="6" s="1"/>
  <c r="AD848" i="6"/>
  <c r="AE848" i="6" s="1"/>
  <c r="AF848" i="6"/>
  <c r="AG848" i="6" s="1"/>
  <c r="AD847" i="6"/>
  <c r="AF847" i="6" s="1"/>
  <c r="AE847" i="6"/>
  <c r="AG847" i="6"/>
  <c r="AD846" i="6"/>
  <c r="AF846" i="6" s="1"/>
  <c r="AE846" i="6"/>
  <c r="AG846" i="6" s="1"/>
  <c r="AD835" i="6"/>
  <c r="AF835" i="6" s="1"/>
  <c r="AE835" i="6"/>
  <c r="AG835" i="6" s="1"/>
  <c r="AD826" i="6"/>
  <c r="AE826" i="6" s="1"/>
  <c r="AF826" i="6"/>
  <c r="AG826" i="6" s="1"/>
  <c r="AD825" i="6"/>
  <c r="AE825" i="6"/>
  <c r="AF825" i="6"/>
  <c r="AG825" i="6"/>
  <c r="AD824" i="6"/>
  <c r="AF824" i="6" s="1"/>
  <c r="AE824" i="6"/>
  <c r="AG824" i="6"/>
  <c r="AD823" i="6"/>
  <c r="AF823" i="6"/>
  <c r="AE823" i="6"/>
  <c r="AG823" i="6"/>
  <c r="AB1228" i="6"/>
  <c r="AB1222" i="6"/>
  <c r="AB1221" i="6"/>
  <c r="Z4" i="3"/>
  <c r="AB1225" i="6"/>
  <c r="AB1219" i="6"/>
  <c r="AB1237" i="6"/>
  <c r="AB1369" i="6"/>
  <c r="AB1361" i="6"/>
  <c r="AD1361" i="6" s="1"/>
  <c r="AE1361" i="6" s="1"/>
  <c r="AB1347" i="6"/>
  <c r="AB1344" i="6"/>
  <c r="AD1344" i="6" s="1"/>
  <c r="AF1344" i="6" s="1"/>
  <c r="AB1238" i="6"/>
  <c r="AB1234" i="6"/>
  <c r="AB1232" i="6"/>
  <c r="AB1230" i="6"/>
  <c r="AD1230" i="6" s="1"/>
  <c r="AF1230" i="6" s="1"/>
  <c r="AB1224" i="6"/>
  <c r="AB1360" i="6"/>
  <c r="AD1360" i="6" s="1"/>
  <c r="AE1360" i="6" s="1"/>
  <c r="AB1355" i="6"/>
  <c r="AB1357" i="6"/>
  <c r="AD1357" i="6" s="1"/>
  <c r="AE1357" i="6" s="1"/>
  <c r="AB1353" i="6"/>
  <c r="AB1350" i="6"/>
  <c r="AB1348" i="6"/>
  <c r="AB1359" i="6"/>
  <c r="AD1359" i="6" s="1"/>
  <c r="AE1359" i="6" s="1"/>
  <c r="AB1374" i="6"/>
  <c r="AB1364" i="6"/>
  <c r="AD1364" i="6" s="1"/>
  <c r="AE1364" i="6" s="1"/>
  <c r="AB1352" i="6"/>
  <c r="AB1345" i="6"/>
  <c r="AB1227" i="6"/>
  <c r="AB1235" i="6"/>
  <c r="AD1235" i="6" s="1"/>
  <c r="AF1235" i="6" s="1"/>
  <c r="AB1233" i="6"/>
  <c r="AB1231" i="6"/>
  <c r="AD1231" i="6" s="1"/>
  <c r="AE1231" i="6" s="1"/>
  <c r="AB1229" i="6"/>
  <c r="AB1226" i="6"/>
  <c r="AD1226" i="6" s="1"/>
  <c r="AE1226" i="6" s="1"/>
  <c r="AB1372" i="6"/>
  <c r="AB1371" i="6"/>
  <c r="AB1368" i="6"/>
  <c r="AB1366" i="6"/>
  <c r="AD1366" i="6" s="1"/>
  <c r="AE1366" i="6" s="1"/>
  <c r="AB1236" i="6"/>
  <c r="AB1220" i="6"/>
  <c r="AD1220" i="6" s="1"/>
  <c r="AF1220" i="6" s="1"/>
  <c r="AB1214" i="6"/>
  <c r="AB1217" i="6"/>
  <c r="AD1217" i="6" s="1"/>
  <c r="AE1217" i="6" s="1"/>
  <c r="AB1363" i="6"/>
  <c r="AB1370" i="6"/>
  <c r="AD1370" i="6" s="1"/>
  <c r="AB1367" i="6"/>
  <c r="AB1365" i="6"/>
  <c r="AD1365" i="6" s="1"/>
  <c r="AF1365" i="6" s="1"/>
  <c r="AB1223" i="6"/>
  <c r="AB1215" i="6"/>
  <c r="AB1218" i="6"/>
  <c r="AB1216" i="6"/>
  <c r="AD1216" i="6" s="1"/>
  <c r="AE1216" i="6" s="1"/>
  <c r="AD1375" i="6"/>
  <c r="AF1375" i="6" s="1"/>
  <c r="AD1374" i="6"/>
  <c r="AE1374" i="6" s="1"/>
  <c r="AD1373" i="6"/>
  <c r="AF1373" i="6" s="1"/>
  <c r="AD1372" i="6"/>
  <c r="AE1372" i="6" s="1"/>
  <c r="AD1363" i="6"/>
  <c r="AE1363" i="6" s="1"/>
  <c r="AD1371" i="6"/>
  <c r="AE1371" i="6" s="1"/>
  <c r="AD1368" i="6"/>
  <c r="AE1368" i="6" s="1"/>
  <c r="AD1367" i="6"/>
  <c r="AF1367" i="6" s="1"/>
  <c r="AD1356" i="6"/>
  <c r="AE1356" i="6" s="1"/>
  <c r="AD1355" i="6"/>
  <c r="AF1355" i="6" s="1"/>
  <c r="AD1358" i="6"/>
  <c r="AF1358" i="6" s="1"/>
  <c r="AD1354" i="6"/>
  <c r="AE1354" i="6" s="1"/>
  <c r="AD1353" i="6"/>
  <c r="AE1353" i="6" s="1"/>
  <c r="AD1351" i="6"/>
  <c r="AE1351" i="6" s="1"/>
  <c r="AD1350" i="6"/>
  <c r="AE1350" i="6" s="1"/>
  <c r="AD1349" i="6"/>
  <c r="AE1349" i="6" s="1"/>
  <c r="AD1348" i="6"/>
  <c r="AE1348" i="6" s="1"/>
  <c r="AD1346" i="6"/>
  <c r="AE1346" i="6" s="1"/>
  <c r="AD1362" i="6"/>
  <c r="AE1362" i="6" s="1"/>
  <c r="AD1369" i="6"/>
  <c r="AE1369" i="6" s="1"/>
  <c r="AD1352" i="6"/>
  <c r="AF1352" i="6" s="1"/>
  <c r="AD1347" i="6"/>
  <c r="AE1347" i="6" s="1"/>
  <c r="AD1345" i="6"/>
  <c r="AF1345" i="6" s="1"/>
  <c r="AD1227" i="6"/>
  <c r="AE1227" i="6" s="1"/>
  <c r="AD1238" i="6"/>
  <c r="AF1238" i="6" s="1"/>
  <c r="AD1237" i="6"/>
  <c r="AE1237" i="6" s="1"/>
  <c r="AD1236" i="6"/>
  <c r="AE1236" i="6" s="1"/>
  <c r="AD1234" i="6"/>
  <c r="AF1234" i="6" s="1"/>
  <c r="AD1233" i="6"/>
  <c r="AE1233" i="6" s="1"/>
  <c r="AD1232" i="6"/>
  <c r="AE1232" i="6" s="1"/>
  <c r="AD1229" i="6"/>
  <c r="AF1229" i="6" s="1"/>
  <c r="AD1228" i="6"/>
  <c r="AE1228" i="6" s="1"/>
  <c r="AD1224" i="6"/>
  <c r="AF1224" i="6" s="1"/>
  <c r="AD1223" i="6"/>
  <c r="AE1223" i="6" s="1"/>
  <c r="AD1215" i="6"/>
  <c r="AE1215" i="6" s="1"/>
  <c r="AD1214" i="6"/>
  <c r="AE1214" i="6" s="1"/>
  <c r="AD1225" i="6"/>
  <c r="AE1225" i="6" s="1"/>
  <c r="AD1222" i="6"/>
  <c r="AE1222" i="6" s="1"/>
  <c r="AD1221" i="6"/>
  <c r="AE1221" i="6" s="1"/>
  <c r="AD1219" i="6"/>
  <c r="AF1219" i="6" s="1"/>
  <c r="AD1218" i="6"/>
  <c r="AF1218" i="6" s="1"/>
  <c r="W793" i="6"/>
  <c r="AB673" i="6"/>
  <c r="AD673" i="6" s="1"/>
  <c r="AE673" i="6" s="1"/>
  <c r="X5" i="3"/>
  <c r="AA5" i="3" s="1"/>
  <c r="AC5" i="3" s="1"/>
  <c r="AE5" i="3" s="1"/>
  <c r="AB565" i="6"/>
  <c r="AD565" i="6" s="1"/>
  <c r="AE565" i="6" s="1"/>
  <c r="AB854" i="6"/>
  <c r="AD854" i="6" s="1"/>
  <c r="AF854" i="6" s="1"/>
  <c r="AB1310" i="6"/>
  <c r="AD1310" i="6" s="1"/>
  <c r="AE1310" i="6" s="1"/>
  <c r="AB1001" i="6"/>
  <c r="AD1001" i="6" s="1"/>
  <c r="AB771" i="6"/>
  <c r="AD771" i="6" s="1"/>
  <c r="AF771" i="6" s="1"/>
  <c r="AB774" i="6"/>
  <c r="AD774" i="6" s="1"/>
  <c r="AE774" i="6" s="1"/>
  <c r="AB968" i="6"/>
  <c r="AD968" i="6" s="1"/>
  <c r="AE968" i="6" s="1"/>
  <c r="AB1326" i="6"/>
  <c r="AD1326" i="6" s="1"/>
  <c r="AE1326" i="6" s="1"/>
  <c r="AB1329" i="6"/>
  <c r="AD1329" i="6" s="1"/>
  <c r="AE1329" i="6" s="1"/>
  <c r="AB1006" i="6"/>
  <c r="AD1006" i="6" s="1"/>
  <c r="AE1006" i="6" s="1"/>
  <c r="AA44" i="3"/>
  <c r="AC44" i="3" s="1"/>
  <c r="AD44" i="3" s="1"/>
  <c r="AE737" i="6"/>
  <c r="AF733" i="6"/>
  <c r="AE733" i="6"/>
  <c r="AF580" i="6"/>
  <c r="AG580" i="6" s="1"/>
  <c r="AF1053" i="6"/>
  <c r="AG1053" i="6" s="1"/>
  <c r="AF787" i="6"/>
  <c r="AG787" i="6" s="1"/>
  <c r="AD1067" i="6"/>
  <c r="AE1067" i="6" s="1"/>
  <c r="AD757" i="6"/>
  <c r="AE757" i="6" s="1"/>
  <c r="AF772" i="6"/>
  <c r="AG772" i="6" s="1"/>
  <c r="AF709" i="6"/>
  <c r="AG709" i="6" s="1"/>
  <c r="AE1061" i="6"/>
  <c r="AG1061" i="6" s="1"/>
  <c r="AD1024" i="6"/>
  <c r="AE1024" i="6" s="1"/>
  <c r="AF775" i="6"/>
  <c r="AG775" i="6" s="1"/>
  <c r="AE1028" i="6"/>
  <c r="AF1028" i="6"/>
  <c r="AE1060" i="6"/>
  <c r="AF1060" i="6"/>
  <c r="AB56" i="6"/>
  <c r="AD56" i="6" s="1"/>
  <c r="AE56" i="6" s="1"/>
  <c r="AE736" i="6"/>
  <c r="AG736" i="6" s="1"/>
  <c r="AF642" i="6"/>
  <c r="AG642" i="6" s="1"/>
  <c r="AF1056" i="6"/>
  <c r="AG1056" i="6" s="1"/>
  <c r="AF769" i="6"/>
  <c r="AG769" i="6" s="1"/>
  <c r="AF702" i="6"/>
  <c r="AE702" i="6"/>
  <c r="AE1087" i="6"/>
  <c r="AF1087" i="6"/>
  <c r="AF776" i="6"/>
  <c r="AE776" i="6"/>
  <c r="AE701" i="6"/>
  <c r="AG701" i="6" s="1"/>
  <c r="AE683" i="6"/>
  <c r="AG683" i="6" s="1"/>
  <c r="AF692" i="6"/>
  <c r="AG692" i="6" s="1"/>
  <c r="AE669" i="6"/>
  <c r="AG669" i="6" s="1"/>
  <c r="AB1097" i="6"/>
  <c r="AD1097" i="6" s="1"/>
  <c r="AE1097" i="6" s="1"/>
  <c r="AD614" i="6"/>
  <c r="AE614" i="6" s="1"/>
  <c r="AE618" i="6"/>
  <c r="AG618" i="6" s="1"/>
  <c r="AD636" i="6"/>
  <c r="AF636" i="6" s="1"/>
  <c r="AE632" i="6"/>
  <c r="AG632" i="6" s="1"/>
  <c r="AF685" i="6"/>
  <c r="AG685" i="6" s="1"/>
  <c r="AF1072" i="6"/>
  <c r="AG1072" i="6" s="1"/>
  <c r="AE779" i="6"/>
  <c r="AG779" i="6" s="1"/>
  <c r="AF1016" i="6"/>
  <c r="AG1016" i="6" s="1"/>
  <c r="AF740" i="6"/>
  <c r="AG740" i="6" s="1"/>
  <c r="AE1063" i="6"/>
  <c r="AG1063" i="6" s="1"/>
  <c r="AF639" i="6"/>
  <c r="AG639" i="6" s="1"/>
  <c r="AF1079" i="6"/>
  <c r="AE1079" i="6"/>
  <c r="AE566" i="6"/>
  <c r="AF566" i="6"/>
  <c r="AE630" i="6"/>
  <c r="AF630" i="6"/>
  <c r="AD1088" i="6"/>
  <c r="AE1088" i="6" s="1"/>
  <c r="AD664" i="6"/>
  <c r="AE664" i="6" s="1"/>
  <c r="AD766" i="6"/>
  <c r="AF766" i="6" s="1"/>
  <c r="AE1090" i="6"/>
  <c r="AF1090" i="6"/>
  <c r="AD780" i="6"/>
  <c r="AE780" i="6" s="1"/>
  <c r="AF1074" i="6"/>
  <c r="AG1074" i="6" s="1"/>
  <c r="AE672" i="6"/>
  <c r="AG672" i="6" s="1"/>
  <c r="AE605" i="6"/>
  <c r="AG605" i="6" s="1"/>
  <c r="AF723" i="6"/>
  <c r="AG723" i="6" s="1"/>
  <c r="AF1027" i="6"/>
  <c r="AG1027" i="6" s="1"/>
  <c r="AE760" i="6"/>
  <c r="AF783" i="6"/>
  <c r="AG783" i="6" s="1"/>
  <c r="AF652" i="6"/>
  <c r="AE722" i="6"/>
  <c r="AG722" i="6" s="1"/>
  <c r="AE749" i="6"/>
  <c r="AG749" i="6" s="1"/>
  <c r="AE616" i="6"/>
  <c r="AG616" i="6" s="1"/>
  <c r="AE726" i="6"/>
  <c r="AG726" i="6" s="1"/>
  <c r="AF713" i="6"/>
  <c r="AG713" i="6" s="1"/>
  <c r="AF640" i="6"/>
  <c r="AG640" i="6" s="1"/>
  <c r="AF563" i="6"/>
  <c r="AG563" i="6" s="1"/>
  <c r="AF760" i="6"/>
  <c r="AF661" i="6"/>
  <c r="AG661" i="6" s="1"/>
  <c r="AE652" i="6"/>
  <c r="AF1019" i="6"/>
  <c r="AG1019" i="6" s="1"/>
  <c r="AF638" i="6"/>
  <c r="AG638" i="6" s="1"/>
  <c r="AF750" i="6"/>
  <c r="AG750" i="6" s="1"/>
  <c r="AE568" i="6"/>
  <c r="AG568" i="6" s="1"/>
  <c r="AE1041" i="6"/>
  <c r="AG1041" i="6" s="1"/>
  <c r="AE710" i="6"/>
  <c r="AG710" i="6" s="1"/>
  <c r="AF1034" i="6"/>
  <c r="AG1034" i="6" s="1"/>
  <c r="AF1022" i="6"/>
  <c r="AG1022" i="6" s="1"/>
  <c r="AE703" i="6"/>
  <c r="AG703" i="6" s="1"/>
  <c r="AE1015" i="6"/>
  <c r="AG1015" i="6" s="1"/>
  <c r="AE1036" i="6"/>
  <c r="AG1036" i="6" s="1"/>
  <c r="AF677" i="6"/>
  <c r="AG677" i="6" s="1"/>
  <c r="AF1064" i="6"/>
  <c r="AG1064" i="6" s="1"/>
  <c r="AE1086" i="6"/>
  <c r="AG1086" i="6" s="1"/>
  <c r="AE1031" i="6"/>
  <c r="AF1031" i="6"/>
  <c r="AE746" i="6"/>
  <c r="AF746" i="6"/>
  <c r="AD1012" i="6"/>
  <c r="AE1012" i="6" s="1"/>
  <c r="AF628" i="6"/>
  <c r="AE628" i="6"/>
  <c r="AE708" i="6"/>
  <c r="AF708" i="6"/>
  <c r="AF644" i="6"/>
  <c r="AE644" i="6"/>
  <c r="AF647" i="6"/>
  <c r="AG647" i="6" s="1"/>
  <c r="AF1092" i="6"/>
  <c r="AG1092" i="6" s="1"/>
  <c r="AE748" i="6"/>
  <c r="AG748" i="6" s="1"/>
  <c r="AB34" i="6"/>
  <c r="AD34" i="6" s="1"/>
  <c r="AF34" i="6" s="1"/>
  <c r="AE687" i="6"/>
  <c r="AG687" i="6" s="1"/>
  <c r="AF625" i="6"/>
  <c r="AG625" i="6" s="1"/>
  <c r="AE629" i="6"/>
  <c r="AG629" i="6" s="1"/>
  <c r="AE770" i="6"/>
  <c r="AG770" i="6" s="1"/>
  <c r="AF573" i="6"/>
  <c r="AG573" i="6" s="1"/>
  <c r="AF675" i="6"/>
  <c r="AG675" i="6" s="1"/>
  <c r="AE1013" i="6"/>
  <c r="AG1013" i="6" s="1"/>
  <c r="AF654" i="6"/>
  <c r="AG654" i="6" s="1"/>
  <c r="AF612" i="6"/>
  <c r="AG612" i="6" s="1"/>
  <c r="AF747" i="6"/>
  <c r="AG747" i="6" s="1"/>
  <c r="AF742" i="6"/>
  <c r="AG742" i="6" s="1"/>
  <c r="AF727" i="6"/>
  <c r="AG727" i="6" s="1"/>
  <c r="AF1050" i="6"/>
  <c r="AF686" i="6"/>
  <c r="AE1035" i="6"/>
  <c r="AG1035" i="6" s="1"/>
  <c r="AF705" i="6"/>
  <c r="AG705" i="6" s="1"/>
  <c r="AF764" i="6"/>
  <c r="AE1078" i="6"/>
  <c r="AG1078" i="6" s="1"/>
  <c r="AE1045" i="6"/>
  <c r="AG1045" i="6" s="1"/>
  <c r="AE764" i="6"/>
  <c r="AE570" i="6"/>
  <c r="AG570" i="6" s="1"/>
  <c r="AF655" i="6"/>
  <c r="AG655" i="6" s="1"/>
  <c r="AE698" i="6"/>
  <c r="AG698" i="6" s="1"/>
  <c r="AF763" i="6"/>
  <c r="AG763" i="6" s="1"/>
  <c r="AF1089" i="6"/>
  <c r="AG1089" i="6" s="1"/>
  <c r="AE719" i="6"/>
  <c r="AG719" i="6" s="1"/>
  <c r="AF725" i="6"/>
  <c r="AG725" i="6" s="1"/>
  <c r="AF601" i="6"/>
  <c r="AG601" i="6" s="1"/>
  <c r="AF650" i="6"/>
  <c r="AG650" i="6" s="1"/>
  <c r="AF1095" i="6"/>
  <c r="AG1095" i="6" s="1"/>
  <c r="AF717" i="6"/>
  <c r="AG717" i="6" s="1"/>
  <c r="AE1021" i="6"/>
  <c r="AG1021" i="6" s="1"/>
  <c r="AE694" i="6"/>
  <c r="AG694" i="6" s="1"/>
  <c r="AF752" i="6"/>
  <c r="AG752" i="6" s="1"/>
  <c r="AF716" i="6"/>
  <c r="AG716" i="6" s="1"/>
  <c r="AE645" i="6"/>
  <c r="AG645" i="6" s="1"/>
  <c r="AE947" i="6"/>
  <c r="AG947" i="6" s="1"/>
  <c r="AF738" i="6"/>
  <c r="AG738" i="6" s="1"/>
  <c r="AF759" i="6"/>
  <c r="AG759" i="6" s="1"/>
  <c r="AF600" i="6"/>
  <c r="AG600" i="6" s="1"/>
  <c r="AF731" i="6"/>
  <c r="AF784" i="6"/>
  <c r="AG784" i="6" s="1"/>
  <c r="AE574" i="6"/>
  <c r="AG574" i="6" s="1"/>
  <c r="AE1046" i="6"/>
  <c r="AG1046" i="6" s="1"/>
  <c r="AE777" i="6"/>
  <c r="AF777" i="6"/>
  <c r="AF1071" i="6"/>
  <c r="AE1071" i="6"/>
  <c r="AE596" i="6"/>
  <c r="AF596" i="6"/>
  <c r="AE606" i="6"/>
  <c r="AF606" i="6"/>
  <c r="AE588" i="6"/>
  <c r="AF588" i="6"/>
  <c r="AE786" i="6"/>
  <c r="AF786" i="6"/>
  <c r="AE690" i="6"/>
  <c r="AF690" i="6"/>
  <c r="AF659" i="6"/>
  <c r="AE659" i="6"/>
  <c r="AF653" i="6"/>
  <c r="AF735" i="6"/>
  <c r="AE735" i="6"/>
  <c r="AE1069" i="6"/>
  <c r="AG1069" i="6" s="1"/>
  <c r="AG731" i="6"/>
  <c r="AD1038" i="6"/>
  <c r="AF1038" i="6" s="1"/>
  <c r="AD575" i="6"/>
  <c r="AF575" i="6" s="1"/>
  <c r="AE1014" i="6"/>
  <c r="AG1014" i="6" s="1"/>
  <c r="AF697" i="6"/>
  <c r="AD1030" i="6"/>
  <c r="AF1030" i="6" s="1"/>
  <c r="AB55" i="6"/>
  <c r="AD55" i="6" s="1"/>
  <c r="AE55" i="6" s="1"/>
  <c r="AE1051" i="6"/>
  <c r="AG1051" i="6" s="1"/>
  <c r="AF745" i="6"/>
  <c r="AG745" i="6" s="1"/>
  <c r="AE697" i="6"/>
  <c r="AE622" i="6"/>
  <c r="AG622" i="6" s="1"/>
  <c r="AF732" i="6"/>
  <c r="AG732" i="6" s="1"/>
  <c r="AF583" i="6"/>
  <c r="AG583" i="6" s="1"/>
  <c r="AF581" i="6"/>
  <c r="AG581" i="6" s="1"/>
  <c r="AE571" i="6"/>
  <c r="AG571" i="6" s="1"/>
  <c r="AE686" i="6"/>
  <c r="AE788" i="6"/>
  <c r="AG788" i="6" s="1"/>
  <c r="AE611" i="6"/>
  <c r="AG611" i="6" s="1"/>
  <c r="AF718" i="6"/>
  <c r="AG718" i="6" s="1"/>
  <c r="AE1077" i="6"/>
  <c r="AG1077" i="6" s="1"/>
  <c r="AE666" i="6"/>
  <c r="AG666" i="6" s="1"/>
  <c r="AE1050" i="6"/>
  <c r="AD684" i="6"/>
  <c r="AE684" i="6" s="1"/>
  <c r="AF1025" i="6"/>
  <c r="AG1025" i="6" s="1"/>
  <c r="AF741" i="6"/>
  <c r="AG741" i="6" s="1"/>
  <c r="AF754" i="6"/>
  <c r="AG754" i="6" s="1"/>
  <c r="AE791" i="6"/>
  <c r="AG791" i="6" s="1"/>
  <c r="AF1073" i="6"/>
  <c r="AG1073" i="6" s="1"/>
  <c r="AE586" i="6"/>
  <c r="AG586" i="6" s="1"/>
  <c r="AF756" i="6"/>
  <c r="AG756" i="6" s="1"/>
  <c r="AF1040" i="6"/>
  <c r="AG1040" i="6" s="1"/>
  <c r="AF693" i="6"/>
  <c r="AG693" i="6" s="1"/>
  <c r="AF1054" i="6"/>
  <c r="AG1054" i="6" s="1"/>
  <c r="AF781" i="6"/>
  <c r="AG781" i="6" s="1"/>
  <c r="AF743" i="6"/>
  <c r="AG743" i="6" s="1"/>
  <c r="AE653" i="6"/>
  <c r="AE758" i="6"/>
  <c r="AG758" i="6" s="1"/>
  <c r="AE624" i="6"/>
  <c r="AG624" i="6" s="1"/>
  <c r="AF582" i="6"/>
  <c r="AG582" i="6" s="1"/>
  <c r="AF594" i="6"/>
  <c r="AG594" i="6" s="1"/>
  <c r="AE1093" i="6"/>
  <c r="AG1093" i="6" s="1"/>
  <c r="AF782" i="6"/>
  <c r="AG782" i="6" s="1"/>
  <c r="AF1043" i="6"/>
  <c r="AE572" i="6"/>
  <c r="AG572" i="6" s="1"/>
  <c r="AF737" i="6"/>
  <c r="AE593" i="6"/>
  <c r="AG593" i="6" s="1"/>
  <c r="AF658" i="6"/>
  <c r="AG658" i="6" s="1"/>
  <c r="AE699" i="6"/>
  <c r="AG699" i="6" s="1"/>
  <c r="AE651" i="6"/>
  <c r="AG651" i="6" s="1"/>
  <c r="AF667" i="6"/>
  <c r="AG667" i="6" s="1"/>
  <c r="AE657" i="6"/>
  <c r="AG657" i="6" s="1"/>
  <c r="AF587" i="6"/>
  <c r="AG587" i="6" s="1"/>
  <c r="AF1070" i="6"/>
  <c r="AG1070" i="6" s="1"/>
  <c r="AF1081" i="6"/>
  <c r="AG1081" i="6" s="1"/>
  <c r="AF778" i="6"/>
  <c r="AG778" i="6" s="1"/>
  <c r="AF608" i="6"/>
  <c r="AG608" i="6" s="1"/>
  <c r="AF1023" i="6"/>
  <c r="AG1023" i="6" s="1"/>
  <c r="AE1043" i="6"/>
  <c r="AE762" i="6"/>
  <c r="AG762" i="6" s="1"/>
  <c r="AE704" i="6"/>
  <c r="AG704" i="6" s="1"/>
  <c r="AF715" i="6"/>
  <c r="AG715" i="6" s="1"/>
  <c r="AF646" i="6"/>
  <c r="AG646" i="6" s="1"/>
  <c r="AE607" i="6"/>
  <c r="AG607" i="6" s="1"/>
  <c r="AF689" i="6"/>
  <c r="AG689" i="6" s="1"/>
  <c r="AD1084" i="6"/>
  <c r="AE1084" i="6" s="1"/>
  <c r="AD1037" i="6"/>
  <c r="AE1037" i="6" s="1"/>
  <c r="AD631" i="6"/>
  <c r="AF631" i="6" s="1"/>
  <c r="AD649" i="6"/>
  <c r="AF649" i="6" s="1"/>
  <c r="AD599" i="6"/>
  <c r="AE599" i="6" s="1"/>
  <c r="AF1116" i="6"/>
  <c r="AG1116" i="6" s="1"/>
  <c r="AD671" i="6"/>
  <c r="AE671" i="6" s="1"/>
  <c r="AD1058" i="6"/>
  <c r="AF1058" i="6" s="1"/>
  <c r="AD729" i="6"/>
  <c r="AF729" i="6" s="1"/>
  <c r="AD1075" i="6"/>
  <c r="AF1075" i="6" s="1"/>
  <c r="AD1076" i="6"/>
  <c r="AE1076" i="6" s="1"/>
  <c r="AD1052" i="6"/>
  <c r="AE1052" i="6" s="1"/>
  <c r="AE755" i="6"/>
  <c r="AG755" i="6" s="1"/>
  <c r="AF753" i="6"/>
  <c r="AF641" i="6"/>
  <c r="AG641" i="6" s="1"/>
  <c r="AE1062" i="6"/>
  <c r="AG1062" i="6" s="1"/>
  <c r="AE739" i="6"/>
  <c r="AG739" i="6" s="1"/>
  <c r="AD564" i="6"/>
  <c r="AE564" i="6" s="1"/>
  <c r="AD785" i="6"/>
  <c r="AF785" i="6" s="1"/>
  <c r="AF1020" i="6"/>
  <c r="AG1020" i="6" s="1"/>
  <c r="AD576" i="6"/>
  <c r="AF576" i="6" s="1"/>
  <c r="AD678" i="6"/>
  <c r="AE678" i="6" s="1"/>
  <c r="AD744" i="6"/>
  <c r="AF744" i="6" s="1"/>
  <c r="AD590" i="6"/>
  <c r="AE590" i="6" s="1"/>
  <c r="AF621" i="6"/>
  <c r="AG621" i="6" s="1"/>
  <c r="AF578" i="6"/>
  <c r="AG578" i="6" s="1"/>
  <c r="AF674" i="6"/>
  <c r="AG674" i="6" s="1"/>
  <c r="AF767" i="6"/>
  <c r="AG767" i="6" s="1"/>
  <c r="AE1044" i="6"/>
  <c r="AG1044" i="6" s="1"/>
  <c r="AF602" i="6"/>
  <c r="AG602" i="6" s="1"/>
  <c r="AF634" i="6"/>
  <c r="AG634" i="6" s="1"/>
  <c r="AF734" i="6"/>
  <c r="AG734" i="6" s="1"/>
  <c r="AE1055" i="6"/>
  <c r="AG1055" i="6" s="1"/>
  <c r="AF609" i="6"/>
  <c r="AG609" i="6" s="1"/>
  <c r="AF707" i="6"/>
  <c r="AG707" i="6" s="1"/>
  <c r="AF1039" i="6"/>
  <c r="AG1039" i="6" s="1"/>
  <c r="AE592" i="6"/>
  <c r="AG592" i="6" s="1"/>
  <c r="AE753" i="6"/>
  <c r="AE682" i="6"/>
  <c r="AG682" i="6" s="1"/>
  <c r="AF688" i="6"/>
  <c r="AG688" i="6" s="1"/>
  <c r="AE1080" i="6"/>
  <c r="AG1080" i="6" s="1"/>
  <c r="AF696" i="6"/>
  <c r="AG696" i="6" s="1"/>
  <c r="AE1096" i="6"/>
  <c r="AG1096" i="6" s="1"/>
  <c r="AF623" i="6"/>
  <c r="AG623" i="6" s="1"/>
  <c r="AF633" i="6"/>
  <c r="AG633" i="6" s="1"/>
  <c r="AF711" i="6"/>
  <c r="AG711" i="6" s="1"/>
  <c r="AE1042" i="6"/>
  <c r="AG1042" i="6" s="1"/>
  <c r="AF1082" i="6"/>
  <c r="AG1082" i="6" s="1"/>
  <c r="AD714" i="6"/>
  <c r="AE714" i="6" s="1"/>
  <c r="AD1094" i="6"/>
  <c r="AE1094" i="6" s="1"/>
  <c r="AD620" i="6"/>
  <c r="AE620" i="6" s="1"/>
  <c r="AD665" i="6"/>
  <c r="AF665" i="6" s="1"/>
  <c r="AD637" i="6"/>
  <c r="AF637" i="6" s="1"/>
  <c r="AD1018" i="6"/>
  <c r="AF1018" i="6" s="1"/>
  <c r="AD730" i="6"/>
  <c r="AF730" i="6" s="1"/>
  <c r="AD679" i="6"/>
  <c r="AF679" i="6" s="1"/>
  <c r="AD691" i="6"/>
  <c r="AE691" i="6" s="1"/>
  <c r="AD1085" i="6"/>
  <c r="AE1085" i="6" s="1"/>
  <c r="AD765" i="6"/>
  <c r="AE765" i="6" s="1"/>
  <c r="AD724" i="6"/>
  <c r="AE724" i="6" s="1"/>
  <c r="AD789" i="6"/>
  <c r="AF789" i="6" s="1"/>
  <c r="AD1026" i="6"/>
  <c r="AF1026" i="6" s="1"/>
  <c r="AD1068" i="6"/>
  <c r="AF1068" i="6" s="1"/>
  <c r="AD1049" i="6"/>
  <c r="AE1049" i="6" s="1"/>
  <c r="AD1033" i="6"/>
  <c r="AE1033" i="6" s="1"/>
  <c r="AD662" i="6"/>
  <c r="AF662" i="6" s="1"/>
  <c r="AD577" i="6"/>
  <c r="AE577" i="6" s="1"/>
  <c r="AF668" i="6"/>
  <c r="AG668" i="6" s="1"/>
  <c r="AE1011" i="6"/>
  <c r="AG1011" i="6" s="1"/>
  <c r="AE656" i="6"/>
  <c r="AG656" i="6" s="1"/>
  <c r="AE660" i="6"/>
  <c r="AG660" i="6" s="1"/>
  <c r="AE617" i="6"/>
  <c r="AG617" i="6" s="1"/>
  <c r="AF613" i="6"/>
  <c r="AG613" i="6" s="1"/>
  <c r="AF1047" i="6"/>
  <c r="AG1047" i="6" s="1"/>
  <c r="AE603" i="6"/>
  <c r="AG603" i="6" s="1"/>
  <c r="AD1066" i="6"/>
  <c r="AF1066" i="6" s="1"/>
  <c r="AD680" i="6"/>
  <c r="AE680" i="6" s="1"/>
  <c r="AD773" i="6"/>
  <c r="AF773" i="6" s="1"/>
  <c r="AD790" i="6"/>
  <c r="AE790" i="6" s="1"/>
  <c r="AD615" i="6"/>
  <c r="AE615" i="6" s="1"/>
  <c r="AD643" i="6"/>
  <c r="AF643" i="6" s="1"/>
  <c r="AD1029" i="6"/>
  <c r="AE1029" i="6" s="1"/>
  <c r="AD706" i="6"/>
  <c r="AF706" i="6" s="1"/>
  <c r="AD721" i="6"/>
  <c r="AE721" i="6" s="1"/>
  <c r="AD585" i="6"/>
  <c r="AE585" i="6" s="1"/>
  <c r="AD670" i="6"/>
  <c r="AF670" i="6" s="1"/>
  <c r="AF591" i="6"/>
  <c r="AG591" i="6" s="1"/>
  <c r="AD648" i="6"/>
  <c r="AE648" i="6" s="1"/>
  <c r="AD584" i="6"/>
  <c r="AF584" i="6" s="1"/>
  <c r="AD751" i="6"/>
  <c r="AE751" i="6" s="1"/>
  <c r="AD567" i="6"/>
  <c r="AF567" i="6" s="1"/>
  <c r="AF589" i="6"/>
  <c r="AG589" i="6" s="1"/>
  <c r="AE579" i="6"/>
  <c r="AG579" i="6" s="1"/>
  <c r="AE1091" i="6"/>
  <c r="AG1091" i="6" s="1"/>
  <c r="AE1017" i="6"/>
  <c r="AG1017" i="6" s="1"/>
  <c r="AE635" i="6"/>
  <c r="AG635" i="6" s="1"/>
  <c r="AF627" i="6"/>
  <c r="AG627" i="6" s="1"/>
  <c r="AF610" i="6"/>
  <c r="AG610" i="6" s="1"/>
  <c r="AF681" i="6"/>
  <c r="AG681" i="6" s="1"/>
  <c r="AF761" i="6"/>
  <c r="AG761" i="6" s="1"/>
  <c r="AE792" i="6"/>
  <c r="AG792" i="6" s="1"/>
  <c r="AF1057" i="6"/>
  <c r="AG1057" i="6" s="1"/>
  <c r="AE1048" i="6"/>
  <c r="AG1048" i="6" s="1"/>
  <c r="AE1059" i="6"/>
  <c r="AG1059" i="6" s="1"/>
  <c r="AF598" i="6"/>
  <c r="AG598" i="6" s="1"/>
  <c r="AF728" i="6"/>
  <c r="AG728" i="6" s="1"/>
  <c r="AD1032" i="6"/>
  <c r="AF1032" i="6" s="1"/>
  <c r="AE663" i="6"/>
  <c r="AG663" i="6" s="1"/>
  <c r="AD619" i="6"/>
  <c r="AE619" i="6" s="1"/>
  <c r="AF1083" i="6"/>
  <c r="AG1083" i="6" s="1"/>
  <c r="AF676" i="6"/>
  <c r="AG676" i="6" s="1"/>
  <c r="AE595" i="6"/>
  <c r="AG595" i="6" s="1"/>
  <c r="AF604" i="6"/>
  <c r="AG604" i="6" s="1"/>
  <c r="AE720" i="6"/>
  <c r="AG720" i="6" s="1"/>
  <c r="AE569" i="6"/>
  <c r="AG569" i="6" s="1"/>
  <c r="AE768" i="6"/>
  <c r="AG768" i="6" s="1"/>
  <c r="AE700" i="6"/>
  <c r="AG700" i="6" s="1"/>
  <c r="AF1065" i="6"/>
  <c r="AG1065" i="6" s="1"/>
  <c r="AE695" i="6"/>
  <c r="AG695" i="6" s="1"/>
  <c r="AE597" i="6"/>
  <c r="AG597" i="6" s="1"/>
  <c r="AE712" i="6"/>
  <c r="AG712" i="6" s="1"/>
  <c r="AF626" i="6"/>
  <c r="AG626" i="6" s="1"/>
  <c r="AE1311" i="6"/>
  <c r="AF1311" i="6"/>
  <c r="AB37" i="6"/>
  <c r="AD37" i="6" s="1"/>
  <c r="AE37" i="6" s="1"/>
  <c r="AD1127" i="6"/>
  <c r="AE1127" i="6" s="1"/>
  <c r="AB64" i="6"/>
  <c r="AD64" i="6" s="1"/>
  <c r="AE64" i="6" s="1"/>
  <c r="AB39" i="6"/>
  <c r="AD39" i="6" s="1"/>
  <c r="AE39" i="6" s="1"/>
  <c r="AF1132" i="6"/>
  <c r="AG1132" i="6" s="1"/>
  <c r="AE1120" i="6"/>
  <c r="AG1120" i="6" s="1"/>
  <c r="AB52" i="6"/>
  <c r="AD52" i="6" s="1"/>
  <c r="AF52" i="6" s="1"/>
  <c r="AE1113" i="6"/>
  <c r="AG1113" i="6" s="1"/>
  <c r="AE1266" i="6"/>
  <c r="AF1098" i="6"/>
  <c r="AG1098" i="6" s="1"/>
  <c r="AE1288" i="6"/>
  <c r="AG1288" i="6" s="1"/>
  <c r="AD1335" i="6"/>
  <c r="AE1335" i="6" s="1"/>
  <c r="AE1109" i="6"/>
  <c r="AG1109" i="6" s="1"/>
  <c r="AB49" i="6"/>
  <c r="AD49" i="6" s="1"/>
  <c r="AE49" i="6" s="1"/>
  <c r="AF1104" i="6"/>
  <c r="AE1104" i="6"/>
  <c r="AF1325" i="6"/>
  <c r="AE1325" i="6"/>
  <c r="AB41" i="6"/>
  <c r="AD41" i="6" s="1"/>
  <c r="AE41" i="6" s="1"/>
  <c r="AE1131" i="6"/>
  <c r="AG1131" i="6" s="1"/>
  <c r="AB47" i="6"/>
  <c r="AD47" i="6" s="1"/>
  <c r="AE47" i="6" s="1"/>
  <c r="AF1290" i="6"/>
  <c r="AG1290" i="6" s="1"/>
  <c r="AE1280" i="6"/>
  <c r="AG1280" i="6" s="1"/>
  <c r="AB58" i="6"/>
  <c r="AD58" i="6" s="1"/>
  <c r="AF58" i="6" s="1"/>
  <c r="AB48" i="6"/>
  <c r="AD48" i="6" s="1"/>
  <c r="AB46" i="6"/>
  <c r="AD46" i="6" s="1"/>
  <c r="AE46" i="6" s="1"/>
  <c r="AF1338" i="6"/>
  <c r="AG1338" i="6" s="1"/>
  <c r="AB50" i="6"/>
  <c r="AD50" i="6" s="1"/>
  <c r="AF50" i="6" s="1"/>
  <c r="AB40" i="6"/>
  <c r="AD40" i="6" s="1"/>
  <c r="AE40" i="6" s="1"/>
  <c r="AF1304" i="6"/>
  <c r="AE1304" i="6"/>
  <c r="AF1316" i="6"/>
  <c r="AE1316" i="6"/>
  <c r="AF1309" i="6"/>
  <c r="AE1309" i="6"/>
  <c r="AF1270" i="6"/>
  <c r="AE1336" i="6"/>
  <c r="AF1336" i="6"/>
  <c r="AF1297" i="6"/>
  <c r="AE1297" i="6"/>
  <c r="AF1322" i="6"/>
  <c r="AG1322" i="6" s="1"/>
  <c r="AE1294" i="6"/>
  <c r="AG1294" i="6" s="1"/>
  <c r="AE1328" i="6"/>
  <c r="AG1328" i="6" s="1"/>
  <c r="AE1270" i="6"/>
  <c r="AF1343" i="6"/>
  <c r="AG1343" i="6" s="1"/>
  <c r="AE1103" i="6"/>
  <c r="AG1103" i="6" s="1"/>
  <c r="AF1106" i="6"/>
  <c r="AD1115" i="6"/>
  <c r="AF1115" i="6" s="1"/>
  <c r="AD1128" i="6"/>
  <c r="AF1128" i="6" s="1"/>
  <c r="AE1307" i="6"/>
  <c r="AG1307" i="6" s="1"/>
  <c r="AB43" i="6"/>
  <c r="AD43" i="6" s="1"/>
  <c r="AF43" i="6" s="1"/>
  <c r="AB61" i="6"/>
  <c r="AD61" i="6" s="1"/>
  <c r="AE61" i="6" s="1"/>
  <c r="AE1129" i="6"/>
  <c r="AB51" i="6"/>
  <c r="AD51" i="6" s="1"/>
  <c r="AF51" i="6" s="1"/>
  <c r="AE1204" i="6"/>
  <c r="AG1204" i="6" s="1"/>
  <c r="AF1308" i="6"/>
  <c r="AG1308" i="6" s="1"/>
  <c r="AF1302" i="6"/>
  <c r="AG1302" i="6" s="1"/>
  <c r="AE1106" i="6"/>
  <c r="AE1114" i="6"/>
  <c r="AG1114" i="6" s="1"/>
  <c r="AF1136" i="6"/>
  <c r="AG1136" i="6" s="1"/>
  <c r="AE1102" i="6"/>
  <c r="AG1102" i="6" s="1"/>
  <c r="AE1122" i="6"/>
  <c r="AG1122" i="6" s="1"/>
  <c r="AE1320" i="6"/>
  <c r="AG1320" i="6" s="1"/>
  <c r="AE1275" i="6"/>
  <c r="AG1275" i="6" s="1"/>
  <c r="AF1332" i="6"/>
  <c r="AG1332" i="6" s="1"/>
  <c r="AE1334" i="6"/>
  <c r="AF1334" i="6"/>
  <c r="AE1134" i="6"/>
  <c r="AF1134" i="6"/>
  <c r="AF1133" i="6"/>
  <c r="AE802" i="6"/>
  <c r="AF802" i="6"/>
  <c r="AE1133" i="6"/>
  <c r="AE1300" i="6"/>
  <c r="AG1300" i="6" s="1"/>
  <c r="AF1314" i="6"/>
  <c r="AD1293" i="6"/>
  <c r="AF1293" i="6" s="1"/>
  <c r="AF1299" i="6"/>
  <c r="AE1295" i="6"/>
  <c r="AG1295" i="6" s="1"/>
  <c r="AE1291" i="6"/>
  <c r="AG1291" i="6" s="1"/>
  <c r="AF1285" i="6"/>
  <c r="AG1285" i="6" s="1"/>
  <c r="AD1273" i="6"/>
  <c r="AF1273" i="6" s="1"/>
  <c r="AE1101" i="6"/>
  <c r="AG1101" i="6" s="1"/>
  <c r="AD1112" i="6"/>
  <c r="AE1112" i="6" s="1"/>
  <c r="AF1313" i="6"/>
  <c r="AG1313" i="6" s="1"/>
  <c r="AE1299" i="6"/>
  <c r="AE1331" i="6"/>
  <c r="AG1331" i="6" s="1"/>
  <c r="AE1264" i="6"/>
  <c r="AG1264" i="6" s="1"/>
  <c r="AF1340" i="6"/>
  <c r="AG1340" i="6" s="1"/>
  <c r="AF1342" i="6"/>
  <c r="AG1342" i="6" s="1"/>
  <c r="AE1118" i="6"/>
  <c r="AG1118" i="6" s="1"/>
  <c r="AE1323" i="6"/>
  <c r="AE1301" i="6"/>
  <c r="AG1301" i="6" s="1"/>
  <c r="AB53" i="6"/>
  <c r="AD53" i="6" s="1"/>
  <c r="AF1268" i="6"/>
  <c r="AG1268" i="6" s="1"/>
  <c r="AF1105" i="6"/>
  <c r="AG1105" i="6" s="1"/>
  <c r="AF1123" i="6"/>
  <c r="AG1123" i="6" s="1"/>
  <c r="AF1129" i="6"/>
  <c r="AF1298" i="6"/>
  <c r="AG1298" i="6" s="1"/>
  <c r="AE1283" i="6"/>
  <c r="AG1283" i="6" s="1"/>
  <c r="AE1330" i="6"/>
  <c r="AG1330" i="6" s="1"/>
  <c r="AF1339" i="6"/>
  <c r="AG1339" i="6" s="1"/>
  <c r="AB59" i="6"/>
  <c r="AD59" i="6" s="1"/>
  <c r="AE59" i="6" s="1"/>
  <c r="AE1327" i="6"/>
  <c r="AF1327" i="6"/>
  <c r="AF1323" i="6"/>
  <c r="AF1292" i="6"/>
  <c r="AG1292" i="6" s="1"/>
  <c r="AF1124" i="6"/>
  <c r="AG1124" i="6" s="1"/>
  <c r="AF1099" i="6"/>
  <c r="AG1099" i="6" s="1"/>
  <c r="AF1107" i="6"/>
  <c r="AG1107" i="6" s="1"/>
  <c r="AE955" i="6"/>
  <c r="AE1213" i="6"/>
  <c r="AG1213" i="6" s="1"/>
  <c r="AF1319" i="6"/>
  <c r="AG1319" i="6" s="1"/>
  <c r="AE1306" i="6"/>
  <c r="AG1306" i="6" s="1"/>
  <c r="AF1276" i="6"/>
  <c r="AG1276" i="6" s="1"/>
  <c r="AF1265" i="6"/>
  <c r="AG1265" i="6" s="1"/>
  <c r="AE1271" i="6"/>
  <c r="AG1271" i="6" s="1"/>
  <c r="AB42" i="6"/>
  <c r="AD42" i="6" s="1"/>
  <c r="AE42" i="6" s="1"/>
  <c r="AF1284" i="6"/>
  <c r="AF1111" i="6"/>
  <c r="AE1286" i="6"/>
  <c r="AE1284" i="6"/>
  <c r="AE1111" i="6"/>
  <c r="AF1286" i="6"/>
  <c r="AF1108" i="6"/>
  <c r="AE1121" i="6"/>
  <c r="AG1121" i="6" s="1"/>
  <c r="AF1100" i="6"/>
  <c r="AG1100" i="6" s="1"/>
  <c r="AF1110" i="6"/>
  <c r="AG1110" i="6" s="1"/>
  <c r="AE1108" i="6"/>
  <c r="AF1117" i="6"/>
  <c r="AG1117" i="6" s="1"/>
  <c r="AF1130" i="6"/>
  <c r="AG1130" i="6" s="1"/>
  <c r="AF1135" i="6"/>
  <c r="AG1135" i="6" s="1"/>
  <c r="AF1324" i="6"/>
  <c r="AG1324" i="6" s="1"/>
  <c r="AF1296" i="6"/>
  <c r="AG1296" i="6" s="1"/>
  <c r="AE1278" i="6"/>
  <c r="AG1278" i="6" s="1"/>
  <c r="AF1272" i="6"/>
  <c r="AG1272" i="6" s="1"/>
  <c r="AF1341" i="6"/>
  <c r="AG1341" i="6" s="1"/>
  <c r="AF1337" i="6"/>
  <c r="AG1337" i="6" s="1"/>
  <c r="AF1333" i="6"/>
  <c r="AG1333" i="6" s="1"/>
  <c r="AF1125" i="6"/>
  <c r="AG1125" i="6" s="1"/>
  <c r="AF1317" i="6"/>
  <c r="AG1317" i="6" s="1"/>
  <c r="AF1281" i="6"/>
  <c r="AG1281" i="6" s="1"/>
  <c r="AF1329" i="6"/>
  <c r="AG1329" i="6" s="1"/>
  <c r="AF1119" i="6"/>
  <c r="AG1119" i="6" s="1"/>
  <c r="AF896" i="6"/>
  <c r="AG896" i="6" s="1"/>
  <c r="AE1267" i="6"/>
  <c r="AG1267" i="6" s="1"/>
  <c r="AF1321" i="6"/>
  <c r="AG1321" i="6" s="1"/>
  <c r="AF1318" i="6"/>
  <c r="AG1318" i="6" s="1"/>
  <c r="AF1305" i="6"/>
  <c r="AG1305" i="6" s="1"/>
  <c r="AF1303" i="6"/>
  <c r="AG1303" i="6" s="1"/>
  <c r="AE1287" i="6"/>
  <c r="AG1287" i="6" s="1"/>
  <c r="AE1277" i="6"/>
  <c r="AG1277" i="6" s="1"/>
  <c r="AF1274" i="6"/>
  <c r="AG1274" i="6" s="1"/>
  <c r="AG1266" i="6"/>
  <c r="AE987" i="6"/>
  <c r="AG987" i="6" s="1"/>
  <c r="AF1315" i="6"/>
  <c r="AG1315" i="6" s="1"/>
  <c r="AF1312" i="6"/>
  <c r="AG1312" i="6" s="1"/>
  <c r="AF1289" i="6"/>
  <c r="AG1289" i="6" s="1"/>
  <c r="AE1282" i="6"/>
  <c r="AG1282" i="6" s="1"/>
  <c r="AF1279" i="6"/>
  <c r="AG1279" i="6" s="1"/>
  <c r="AF1269" i="6"/>
  <c r="AG1269" i="6" s="1"/>
  <c r="AA9" i="3"/>
  <c r="AC9" i="3" s="1"/>
  <c r="AE9" i="3" s="1"/>
  <c r="AA17" i="3"/>
  <c r="AC17" i="3" s="1"/>
  <c r="AE17" i="3" s="1"/>
  <c r="AE1314" i="6"/>
  <c r="AA28" i="3"/>
  <c r="AC28" i="3" s="1"/>
  <c r="AD28" i="3" s="1"/>
  <c r="AF855" i="6"/>
  <c r="AG855" i="6" s="1"/>
  <c r="AE977" i="6"/>
  <c r="AG977" i="6" s="1"/>
  <c r="AA14" i="3"/>
  <c r="AC14" i="3" s="1"/>
  <c r="AE14" i="3" s="1"/>
  <c r="AA13" i="3"/>
  <c r="AC13" i="3" s="1"/>
  <c r="AF1003" i="6"/>
  <c r="AG1003" i="6" s="1"/>
  <c r="AF878" i="6"/>
  <c r="AF941" i="6"/>
  <c r="AG941" i="6" s="1"/>
  <c r="AF883" i="6"/>
  <c r="AE883" i="6"/>
  <c r="AE972" i="6"/>
  <c r="AF972" i="6"/>
  <c r="AE998" i="6"/>
  <c r="AF998" i="6"/>
  <c r="AF949" i="6"/>
  <c r="AG949" i="6" s="1"/>
  <c r="AE812" i="6"/>
  <c r="AG812" i="6" s="1"/>
  <c r="AE804" i="6"/>
  <c r="AG804" i="6" s="1"/>
  <c r="AF1005" i="6"/>
  <c r="AG1005" i="6" s="1"/>
  <c r="AE892" i="6"/>
  <c r="AG892" i="6" s="1"/>
  <c r="AE878" i="6"/>
  <c r="AF811" i="6"/>
  <c r="AE54" i="6"/>
  <c r="AG54" i="6" s="1"/>
  <c r="AF964" i="6"/>
  <c r="AG964" i="6" s="1"/>
  <c r="AE852" i="6"/>
  <c r="AG852" i="6" s="1"/>
  <c r="AE982" i="6"/>
  <c r="AF982" i="6"/>
  <c r="AE979" i="6"/>
  <c r="AG979" i="6" s="1"/>
  <c r="AF886" i="6"/>
  <c r="AG886" i="6" s="1"/>
  <c r="AE864" i="6"/>
  <c r="AG864" i="6" s="1"/>
  <c r="AE801" i="6"/>
  <c r="AG801" i="6" s="1"/>
  <c r="AE796" i="6"/>
  <c r="AG796" i="6" s="1"/>
  <c r="AF803" i="6"/>
  <c r="AG803" i="6" s="1"/>
  <c r="AE989" i="6"/>
  <c r="AG989" i="6" s="1"/>
  <c r="AE816" i="6"/>
  <c r="AG816" i="6" s="1"/>
  <c r="AF132" i="6"/>
  <c r="AE981" i="6"/>
  <c r="AG981" i="6" s="1"/>
  <c r="AF983" i="6"/>
  <c r="AG983" i="6" s="1"/>
  <c r="AF36" i="6"/>
  <c r="AG36" i="6" s="1"/>
  <c r="AE950" i="6"/>
  <c r="AG950" i="6" s="1"/>
  <c r="AE959" i="6"/>
  <c r="AG959" i="6" s="1"/>
  <c r="AE132" i="6"/>
  <c r="AF806" i="6"/>
  <c r="AG806" i="6" s="1"/>
  <c r="AE951" i="6"/>
  <c r="AE877" i="6"/>
  <c r="AF35" i="6"/>
  <c r="AG35" i="6" s="1"/>
  <c r="AE953" i="6"/>
  <c r="AG953" i="6" s="1"/>
  <c r="AE986" i="6"/>
  <c r="AG986" i="6" s="1"/>
  <c r="AE884" i="6"/>
  <c r="AG884" i="6" s="1"/>
  <c r="AF131" i="6"/>
  <c r="AG131" i="6" s="1"/>
  <c r="AE995" i="6"/>
  <c r="AG995" i="6" s="1"/>
  <c r="AF952" i="6"/>
  <c r="AG952" i="6" s="1"/>
  <c r="AF867" i="6"/>
  <c r="AG867" i="6" s="1"/>
  <c r="AF975" i="6"/>
  <c r="AF954" i="6"/>
  <c r="AG954" i="6" s="1"/>
  <c r="AF971" i="6"/>
  <c r="AG971" i="6" s="1"/>
  <c r="AF956" i="6"/>
  <c r="AG956" i="6" s="1"/>
  <c r="AE129" i="6"/>
  <c r="AE860" i="6"/>
  <c r="AF860" i="6"/>
  <c r="AF1001" i="6"/>
  <c r="AF870" i="6"/>
  <c r="AE870" i="6"/>
  <c r="AF851" i="6"/>
  <c r="AE851" i="6"/>
  <c r="AE882" i="6"/>
  <c r="AG882" i="6" s="1"/>
  <c r="AF988" i="6"/>
  <c r="AG988" i="6" s="1"/>
  <c r="AE976" i="6"/>
  <c r="AG976" i="6" s="1"/>
  <c r="AF945" i="6"/>
  <c r="AE887" i="6"/>
  <c r="AG887" i="6" s="1"/>
  <c r="AE815" i="6"/>
  <c r="AG815" i="6" s="1"/>
  <c r="AE130" i="6"/>
  <c r="AG130" i="6" s="1"/>
  <c r="AF996" i="6"/>
  <c r="AG996" i="6" s="1"/>
  <c r="AF939" i="6"/>
  <c r="AG939" i="6" s="1"/>
  <c r="AE961" i="6"/>
  <c r="AG961" i="6" s="1"/>
  <c r="AF951" i="6"/>
  <c r="AF873" i="6"/>
  <c r="AG873" i="6" s="1"/>
  <c r="AE133" i="6"/>
  <c r="AG133" i="6" s="1"/>
  <c r="AF966" i="6"/>
  <c r="AG966" i="6" s="1"/>
  <c r="AE891" i="6"/>
  <c r="AG891" i="6" s="1"/>
  <c r="AE975" i="6"/>
  <c r="AF880" i="6"/>
  <c r="AG880" i="6" s="1"/>
  <c r="AE881" i="6"/>
  <c r="AG881" i="6" s="1"/>
  <c r="AD57" i="6"/>
  <c r="AE57" i="6" s="1"/>
  <c r="AE858" i="6"/>
  <c r="AG858" i="6" s="1"/>
  <c r="AE865" i="6"/>
  <c r="AG865" i="6" s="1"/>
  <c r="AE821" i="6"/>
  <c r="AG821" i="6" s="1"/>
  <c r="AD136" i="6"/>
  <c r="AE136" i="6" s="1"/>
  <c r="AE938" i="6"/>
  <c r="AD974" i="6"/>
  <c r="AF974" i="6" s="1"/>
  <c r="AF856" i="6"/>
  <c r="AG856" i="6" s="1"/>
  <c r="AF807" i="6"/>
  <c r="AF63" i="6"/>
  <c r="AG63" i="6" s="1"/>
  <c r="AF943" i="6"/>
  <c r="AG943" i="6" s="1"/>
  <c r="AF866" i="6"/>
  <c r="AF960" i="6"/>
  <c r="AF955" i="6"/>
  <c r="AE990" i="6"/>
  <c r="AG990" i="6" s="1"/>
  <c r="AE807" i="6"/>
  <c r="AF1000" i="6"/>
  <c r="AG1000" i="6" s="1"/>
  <c r="AE857" i="6"/>
  <c r="AG857" i="6" s="1"/>
  <c r="AF877" i="6"/>
  <c r="AF868" i="6"/>
  <c r="AG868" i="6" s="1"/>
  <c r="AF992" i="6"/>
  <c r="AG992" i="6" s="1"/>
  <c r="AE885" i="6"/>
  <c r="AG885" i="6" s="1"/>
  <c r="AF984" i="6"/>
  <c r="AG984" i="6" s="1"/>
  <c r="AE866" i="6"/>
  <c r="AF859" i="6"/>
  <c r="AG859" i="6" s="1"/>
  <c r="AF863" i="6"/>
  <c r="AG863" i="6" s="1"/>
  <c r="AE960" i="6"/>
  <c r="AF129" i="6"/>
  <c r="AF797" i="6"/>
  <c r="AG797" i="6" s="1"/>
  <c r="AE993" i="6"/>
  <c r="AG993" i="6" s="1"/>
  <c r="AD38" i="6"/>
  <c r="AF38" i="6" s="1"/>
  <c r="AE62" i="6"/>
  <c r="AG62" i="6" s="1"/>
  <c r="AD60" i="6"/>
  <c r="AE60" i="6" s="1"/>
  <c r="AF44" i="6"/>
  <c r="AF963" i="6"/>
  <c r="AG963" i="6" s="1"/>
  <c r="AE994" i="6"/>
  <c r="AG994" i="6" s="1"/>
  <c r="AE970" i="6"/>
  <c r="AG970" i="6" s="1"/>
  <c r="AF888" i="6"/>
  <c r="AG888" i="6" s="1"/>
  <c r="AF45" i="6"/>
  <c r="AG45" i="6" s="1"/>
  <c r="AE44" i="6"/>
  <c r="AF957" i="6"/>
  <c r="AF894" i="6"/>
  <c r="AF128" i="6"/>
  <c r="AG128" i="6" s="1"/>
  <c r="AE965" i="6"/>
  <c r="AG965" i="6" s="1"/>
  <c r="AE957" i="6"/>
  <c r="AF817" i="6"/>
  <c r="AG817" i="6" s="1"/>
  <c r="AE894" i="6"/>
  <c r="AF871" i="6"/>
  <c r="AG871" i="6" s="1"/>
  <c r="AF876" i="6"/>
  <c r="AG876" i="6" s="1"/>
  <c r="AE969" i="6"/>
  <c r="AF938" i="6"/>
  <c r="AF967" i="6"/>
  <c r="AE945" i="6"/>
  <c r="AE862" i="6"/>
  <c r="AF897" i="6"/>
  <c r="AG897" i="6" s="1"/>
  <c r="AE811" i="6"/>
  <c r="AE795" i="6"/>
  <c r="AF875" i="6"/>
  <c r="AE810" i="6"/>
  <c r="AE944" i="6"/>
  <c r="AG944" i="6" s="1"/>
  <c r="AF969" i="6"/>
  <c r="AE808" i="6"/>
  <c r="AG808" i="6" s="1"/>
  <c r="AE967" i="6"/>
  <c r="AF862" i="6"/>
  <c r="AF795" i="6"/>
  <c r="AF973" i="6"/>
  <c r="AG973" i="6" s="1"/>
  <c r="AE800" i="6"/>
  <c r="AG800" i="6" s="1"/>
  <c r="AF822" i="6"/>
  <c r="AG822" i="6" s="1"/>
  <c r="AE134" i="6"/>
  <c r="AG134" i="6" s="1"/>
  <c r="AE985" i="6"/>
  <c r="AG985" i="6" s="1"/>
  <c r="AE997" i="6"/>
  <c r="AG997" i="6" s="1"/>
  <c r="AF962" i="6"/>
  <c r="AE820" i="6"/>
  <c r="AG820" i="6" s="1"/>
  <c r="AF819" i="6"/>
  <c r="AG819" i="6" s="1"/>
  <c r="AE813" i="6"/>
  <c r="AG813" i="6" s="1"/>
  <c r="AE1004" i="6"/>
  <c r="AG1004" i="6" s="1"/>
  <c r="AE890" i="6"/>
  <c r="AG890" i="6" s="1"/>
  <c r="AF869" i="6"/>
  <c r="AG869" i="6" s="1"/>
  <c r="AE861" i="6"/>
  <c r="AG861" i="6" s="1"/>
  <c r="AF958" i="6"/>
  <c r="AE879" i="6"/>
  <c r="AG879" i="6" s="1"/>
  <c r="AF893" i="6"/>
  <c r="AG893" i="6" s="1"/>
  <c r="AF889" i="6"/>
  <c r="AG889" i="6" s="1"/>
  <c r="AE805" i="6"/>
  <c r="AG805" i="6" s="1"/>
  <c r="AE872" i="6"/>
  <c r="AG872" i="6" s="1"/>
  <c r="AF799" i="6"/>
  <c r="AG799" i="6" s="1"/>
  <c r="AF853" i="6"/>
  <c r="AG853" i="6" s="1"/>
  <c r="AF940" i="6"/>
  <c r="AG940" i="6" s="1"/>
  <c r="AF814" i="6"/>
  <c r="AG814" i="6" s="1"/>
  <c r="AE1002" i="6"/>
  <c r="AG1002" i="6" s="1"/>
  <c r="AF942" i="6"/>
  <c r="AG942" i="6" s="1"/>
  <c r="AE875" i="6"/>
  <c r="AF810" i="6"/>
  <c r="AF980" i="6"/>
  <c r="AG980" i="6" s="1"/>
  <c r="AF999" i="6"/>
  <c r="AG999" i="6" s="1"/>
  <c r="AF874" i="6"/>
  <c r="AG874" i="6" s="1"/>
  <c r="AF135" i="6"/>
  <c r="AG135" i="6" s="1"/>
  <c r="AF978" i="6"/>
  <c r="AG978" i="6" s="1"/>
  <c r="AE962" i="6"/>
  <c r="AF818" i="6"/>
  <c r="AG818" i="6" s="1"/>
  <c r="AF948" i="6"/>
  <c r="AG948" i="6" s="1"/>
  <c r="AE958" i="6"/>
  <c r="AF798" i="6"/>
  <c r="AG798" i="6" s="1"/>
  <c r="AF809" i="6"/>
  <c r="AG809" i="6" s="1"/>
  <c r="AF794" i="6"/>
  <c r="AG794" i="6" s="1"/>
  <c r="AF1006" i="6"/>
  <c r="AG1006" i="6" s="1"/>
  <c r="AF895" i="6"/>
  <c r="AG895" i="6" s="1"/>
  <c r="AF946" i="6"/>
  <c r="AG946" i="6" s="1"/>
  <c r="AF991" i="6"/>
  <c r="AG991" i="6" s="1"/>
  <c r="AC7" i="3"/>
  <c r="AE7" i="3" s="1"/>
  <c r="AC92" i="3"/>
  <c r="AE92" i="3" s="1"/>
  <c r="AC62" i="3"/>
  <c r="AE62" i="3" s="1"/>
  <c r="AC101" i="3"/>
  <c r="AD101" i="3" s="1"/>
  <c r="AC75" i="3"/>
  <c r="AE75" i="3" s="1"/>
  <c r="AC76" i="3"/>
  <c r="AD76" i="3" s="1"/>
  <c r="AC20" i="3"/>
  <c r="AD20" i="3" s="1"/>
  <c r="AC125" i="3"/>
  <c r="AD125" i="3" s="1"/>
  <c r="AC48" i="3"/>
  <c r="AE48" i="3" s="1"/>
  <c r="AC16" i="3"/>
  <c r="AE16" i="3" s="1"/>
  <c r="AC30" i="3"/>
  <c r="AE30" i="3" s="1"/>
  <c r="AC109" i="3"/>
  <c r="AD109" i="3" s="1"/>
  <c r="AC61" i="3"/>
  <c r="AE61" i="3" s="1"/>
  <c r="AC123" i="3"/>
  <c r="AD123" i="3" s="1"/>
  <c r="AC27" i="3"/>
  <c r="AE27" i="3" s="1"/>
  <c r="AC107" i="3"/>
  <c r="AD107" i="3" s="1"/>
  <c r="AC103" i="3"/>
  <c r="AD103" i="3" s="1"/>
  <c r="AC21" i="3"/>
  <c r="AE21" i="3" s="1"/>
  <c r="AC126" i="3"/>
  <c r="AD126" i="3" s="1"/>
  <c r="AC31" i="3"/>
  <c r="AE31" i="3" s="1"/>
  <c r="AC70" i="3"/>
  <c r="AE70" i="3" s="1"/>
  <c r="AC8" i="3"/>
  <c r="AE8" i="3" s="1"/>
  <c r="AC43" i="3"/>
  <c r="AE43" i="3" s="1"/>
  <c r="AC112" i="3"/>
  <c r="AE112" i="3" s="1"/>
  <c r="AC93" i="3"/>
  <c r="AE93" i="3" s="1"/>
  <c r="AC45" i="3"/>
  <c r="AD45" i="3" s="1"/>
  <c r="AC114" i="3"/>
  <c r="AD114" i="3" s="1"/>
  <c r="AC105" i="3"/>
  <c r="AD105" i="3" s="1"/>
  <c r="AC71" i="3"/>
  <c r="AE71" i="3" s="1"/>
  <c r="AC127" i="3"/>
  <c r="AE127" i="3" s="1"/>
  <c r="AC110" i="3"/>
  <c r="AE110" i="3" s="1"/>
  <c r="AC6" i="3"/>
  <c r="AE6" i="3" s="1"/>
  <c r="AC99" i="3"/>
  <c r="AE99" i="3" s="1"/>
  <c r="AC94" i="3"/>
  <c r="AD94" i="3" s="1"/>
  <c r="AC66" i="3"/>
  <c r="AD66" i="3" s="1"/>
  <c r="AC104" i="3"/>
  <c r="AE104" i="3" s="1"/>
  <c r="AC111" i="3"/>
  <c r="AE111" i="3" s="1"/>
  <c r="AC34" i="3"/>
  <c r="AD34" i="3" s="1"/>
  <c r="AC96" i="3"/>
  <c r="AD96" i="3" s="1"/>
  <c r="AC65" i="3"/>
  <c r="AE65" i="3" s="1"/>
  <c r="AC39" i="3"/>
  <c r="AE39" i="3" s="1"/>
  <c r="AC41" i="3"/>
  <c r="AE41" i="3" s="1"/>
  <c r="AC24" i="3"/>
  <c r="AE24" i="3" s="1"/>
  <c r="AC15" i="3"/>
  <c r="AE15" i="3" s="1"/>
  <c r="AC74" i="3"/>
  <c r="AD74" i="3" s="1"/>
  <c r="AC95" i="3"/>
  <c r="AE95" i="3" s="1"/>
  <c r="AC29" i="3"/>
  <c r="AD29" i="3" s="1"/>
  <c r="AC49" i="3"/>
  <c r="AD49" i="3" s="1"/>
  <c r="AC35" i="3"/>
  <c r="AE35" i="3" s="1"/>
  <c r="AC67" i="3"/>
  <c r="AE67" i="3" s="1"/>
  <c r="AC91" i="3"/>
  <c r="AD91" i="3" s="1"/>
  <c r="AC33" i="3"/>
  <c r="AE33" i="3" s="1"/>
  <c r="AC47" i="3"/>
  <c r="AE47" i="3" s="1"/>
  <c r="AC124" i="3"/>
  <c r="AE124" i="3" s="1"/>
  <c r="AC11" i="3"/>
  <c r="AE11" i="3" s="1"/>
  <c r="AC46" i="3"/>
  <c r="AE46" i="3" s="1"/>
  <c r="AC100" i="3"/>
  <c r="AE100" i="3" s="1"/>
  <c r="AC102" i="3"/>
  <c r="AE102" i="3" s="1"/>
  <c r="AC72" i="3"/>
  <c r="AD72" i="3" s="1"/>
  <c r="AC73" i="3"/>
  <c r="AE73" i="3" s="1"/>
  <c r="V36" i="3"/>
  <c r="AE1250" i="6"/>
  <c r="AG1250" i="6" s="1"/>
  <c r="AF1010" i="6"/>
  <c r="AG1010" i="6" s="1"/>
  <c r="AB1257" i="6"/>
  <c r="AD1257" i="6" s="1"/>
  <c r="AF1257" i="6" s="1"/>
  <c r="AB1261" i="6"/>
  <c r="AD1261" i="6" s="1"/>
  <c r="AF1261" i="6" s="1"/>
  <c r="AB1263" i="6"/>
  <c r="AD1263" i="6" s="1"/>
  <c r="AF1263" i="6" s="1"/>
  <c r="AB1258" i="6"/>
  <c r="AD1258" i="6" s="1"/>
  <c r="AF1258" i="6" s="1"/>
  <c r="AB1260" i="6"/>
  <c r="AD1260" i="6" s="1"/>
  <c r="AF1260" i="6" s="1"/>
  <c r="AF1255" i="6"/>
  <c r="AE1255" i="6"/>
  <c r="AB1254" i="6"/>
  <c r="AD1254" i="6" s="1"/>
  <c r="AF1254" i="6" s="1"/>
  <c r="AB1262" i="6"/>
  <c r="AB1259" i="6"/>
  <c r="AB1256" i="6"/>
  <c r="AE512" i="6"/>
  <c r="AF512" i="6"/>
  <c r="AE1185" i="6"/>
  <c r="AG1185" i="6" s="1"/>
  <c r="AE382" i="6"/>
  <c r="AG382" i="6" s="1"/>
  <c r="AE559" i="6"/>
  <c r="AG559" i="6" s="1"/>
  <c r="AE417" i="6"/>
  <c r="AG417" i="6" s="1"/>
  <c r="AF1239" i="6"/>
  <c r="AG1239" i="6" s="1"/>
  <c r="AF404" i="6"/>
  <c r="AG404" i="6" s="1"/>
  <c r="AE140" i="6"/>
  <c r="AG140" i="6" s="1"/>
  <c r="AF264" i="6"/>
  <c r="AG264" i="6" s="1"/>
  <c r="AF238" i="6"/>
  <c r="AG238" i="6" s="1"/>
  <c r="AE32" i="6"/>
  <c r="AG32" i="6" s="1"/>
  <c r="AE364" i="6"/>
  <c r="AG364" i="6" s="1"/>
  <c r="AF514" i="6"/>
  <c r="AG514" i="6" s="1"/>
  <c r="AF127" i="6"/>
  <c r="AG127" i="6" s="1"/>
  <c r="AE1243" i="6"/>
  <c r="AG1243" i="6" s="1"/>
  <c r="AF367" i="6"/>
  <c r="AG367" i="6" s="1"/>
  <c r="AF110" i="6"/>
  <c r="AF268" i="6"/>
  <c r="AG268" i="6" s="1"/>
  <c r="AE1207" i="6"/>
  <c r="AG1207" i="6" s="1"/>
  <c r="AF420" i="6"/>
  <c r="AG420" i="6" s="1"/>
  <c r="AE176" i="6"/>
  <c r="AG176" i="6" s="1"/>
  <c r="AE1193" i="6"/>
  <c r="AG1193" i="6" s="1"/>
  <c r="AF249" i="6"/>
  <c r="AF549" i="6"/>
  <c r="AG549" i="6" s="1"/>
  <c r="AE445" i="6"/>
  <c r="AG445" i="6" s="1"/>
  <c r="AE227" i="6"/>
  <c r="AE487" i="6"/>
  <c r="AG487" i="6" s="1"/>
  <c r="AE229" i="6"/>
  <c r="AG229" i="6" s="1"/>
  <c r="AE110" i="6"/>
  <c r="AE1187" i="6"/>
  <c r="AG1187" i="6" s="1"/>
  <c r="AF515" i="6"/>
  <c r="AF542" i="6"/>
  <c r="AG542" i="6" s="1"/>
  <c r="AE327" i="6"/>
  <c r="AG327" i="6" s="1"/>
  <c r="AF1180" i="6"/>
  <c r="AG1180" i="6" s="1"/>
  <c r="AE259" i="6"/>
  <c r="AG259" i="6" s="1"/>
  <c r="AE249" i="6"/>
  <c r="AF1142" i="6"/>
  <c r="AG1142" i="6" s="1"/>
  <c r="AE447" i="6"/>
  <c r="AG447" i="6" s="1"/>
  <c r="AE352" i="6"/>
  <c r="AG352" i="6" s="1"/>
  <c r="AE555" i="6"/>
  <c r="AG555" i="6" s="1"/>
  <c r="AF432" i="6"/>
  <c r="AG432" i="6" s="1"/>
  <c r="AF1174" i="6"/>
  <c r="AG1174" i="6" s="1"/>
  <c r="AF241" i="6"/>
  <c r="AG241" i="6" s="1"/>
  <c r="AE1189" i="6"/>
  <c r="AE409" i="6"/>
  <c r="AG409" i="6" s="1"/>
  <c r="AE541" i="6"/>
  <c r="AG541" i="6" s="1"/>
  <c r="AF1211" i="6"/>
  <c r="AG1211" i="6" s="1"/>
  <c r="AE562" i="6"/>
  <c r="AG562" i="6" s="1"/>
  <c r="AE161" i="6"/>
  <c r="AG161" i="6" s="1"/>
  <c r="AF1182" i="6"/>
  <c r="AG1182" i="6" s="1"/>
  <c r="AF384" i="6"/>
  <c r="AG384" i="6" s="1"/>
  <c r="AE124" i="6"/>
  <c r="AG124" i="6" s="1"/>
  <c r="AF518" i="6"/>
  <c r="AG518" i="6" s="1"/>
  <c r="AF248" i="6"/>
  <c r="AF510" i="6"/>
  <c r="AG510" i="6" s="1"/>
  <c r="AF284" i="6"/>
  <c r="AG284" i="6" s="1"/>
  <c r="AF261" i="6"/>
  <c r="AE405" i="6"/>
  <c r="AF1189" i="6"/>
  <c r="AF169" i="6"/>
  <c r="AF324" i="6"/>
  <c r="AG324" i="6" s="1"/>
  <c r="AF200" i="6"/>
  <c r="AG200" i="6" s="1"/>
  <c r="AE1210" i="6"/>
  <c r="AG1210" i="6" s="1"/>
  <c r="AE261" i="6"/>
  <c r="AF405" i="6"/>
  <c r="AE294" i="6"/>
  <c r="AF395" i="6"/>
  <c r="AG395" i="6" s="1"/>
  <c r="AF399" i="6"/>
  <c r="AF383" i="6"/>
  <c r="AG383" i="6" s="1"/>
  <c r="AE493" i="6"/>
  <c r="AG493" i="6" s="1"/>
  <c r="AE194" i="6"/>
  <c r="AG194" i="6" s="1"/>
  <c r="AF448" i="6"/>
  <c r="AG448" i="6" s="1"/>
  <c r="AF121" i="6"/>
  <c r="AG121" i="6" s="1"/>
  <c r="AF1178" i="6"/>
  <c r="AG1178" i="6" s="1"/>
  <c r="AF231" i="6"/>
  <c r="AG231" i="6" s="1"/>
  <c r="AF227" i="6"/>
  <c r="AF481" i="6"/>
  <c r="AE126" i="6"/>
  <c r="AG126" i="6" s="1"/>
  <c r="AF162" i="6"/>
  <c r="AG162" i="6" s="1"/>
  <c r="AE461" i="6"/>
  <c r="AG461" i="6" s="1"/>
  <c r="AF294" i="6"/>
  <c r="AF102" i="6"/>
  <c r="AG102" i="6" s="1"/>
  <c r="AA113" i="3"/>
  <c r="AA32" i="3"/>
  <c r="AF1149" i="6"/>
  <c r="AG1149" i="6" s="1"/>
  <c r="AF239" i="6"/>
  <c r="AG239" i="6" s="1"/>
  <c r="AE509" i="6"/>
  <c r="AF552" i="6"/>
  <c r="AG552" i="6" s="1"/>
  <c r="AF516" i="6"/>
  <c r="AG516" i="6" s="1"/>
  <c r="AF151" i="6"/>
  <c r="AG151" i="6" s="1"/>
  <c r="AF496" i="6"/>
  <c r="AG496" i="6" s="1"/>
  <c r="AF296" i="6"/>
  <c r="AG296" i="6" s="1"/>
  <c r="AF1208" i="6"/>
  <c r="AG1208" i="6" s="1"/>
  <c r="AE362" i="6"/>
  <c r="AG362" i="6" s="1"/>
  <c r="AE319" i="6"/>
  <c r="AG319" i="6" s="1"/>
  <c r="AE276" i="6"/>
  <c r="AG276" i="6" s="1"/>
  <c r="AF160" i="6"/>
  <c r="AE153" i="6"/>
  <c r="AG153" i="6" s="1"/>
  <c r="AF1161" i="6"/>
  <c r="AG1161" i="6" s="1"/>
  <c r="AE272" i="6"/>
  <c r="AG272" i="6" s="1"/>
  <c r="AF277" i="6"/>
  <c r="AG277" i="6" s="1"/>
  <c r="AF543" i="6"/>
  <c r="AG543" i="6" s="1"/>
  <c r="AE485" i="6"/>
  <c r="AG485" i="6" s="1"/>
  <c r="AF11" i="6"/>
  <c r="AG11" i="6" s="1"/>
  <c r="AE515" i="6"/>
  <c r="AE370" i="6"/>
  <c r="AG370" i="6" s="1"/>
  <c r="AE202" i="6"/>
  <c r="AG202" i="6" s="1"/>
  <c r="AF1196" i="6"/>
  <c r="AG1196" i="6" s="1"/>
  <c r="AF452" i="6"/>
  <c r="AG452" i="6" s="1"/>
  <c r="AF12" i="6"/>
  <c r="AG12" i="6" s="1"/>
  <c r="AF416" i="6"/>
  <c r="AG416" i="6" s="1"/>
  <c r="AE1203" i="6"/>
  <c r="AG1203" i="6" s="1"/>
  <c r="AF156" i="6"/>
  <c r="AG156" i="6" s="1"/>
  <c r="AE483" i="6"/>
  <c r="AE407" i="6"/>
  <c r="AG407" i="6" s="1"/>
  <c r="AF509" i="6"/>
  <c r="AE248" i="6"/>
  <c r="AF247" i="6"/>
  <c r="AG247" i="6" s="1"/>
  <c r="AE189" i="6"/>
  <c r="AF480" i="6"/>
  <c r="AG480" i="6" s="1"/>
  <c r="AF321" i="6"/>
  <c r="AG321" i="6" s="1"/>
  <c r="AF31" i="6"/>
  <c r="AG31" i="6" s="1"/>
  <c r="AE92" i="6"/>
  <c r="AG92" i="6" s="1"/>
  <c r="AF1146" i="6"/>
  <c r="AG1146" i="6" s="1"/>
  <c r="AE141" i="6"/>
  <c r="AG141" i="6" s="1"/>
  <c r="AF123" i="6"/>
  <c r="AG123" i="6" s="1"/>
  <c r="AF1252" i="6"/>
  <c r="AG1252" i="6" s="1"/>
  <c r="AF288" i="6"/>
  <c r="AG288" i="6" s="1"/>
  <c r="AF235" i="6"/>
  <c r="AG235" i="6" s="1"/>
  <c r="AE9" i="6"/>
  <c r="AE1191" i="6"/>
  <c r="AF459" i="6"/>
  <c r="AE309" i="6"/>
  <c r="AG309" i="6" s="1"/>
  <c r="AE444" i="6"/>
  <c r="AG444" i="6" s="1"/>
  <c r="AE145" i="6"/>
  <c r="AG145" i="6" s="1"/>
  <c r="AE169" i="6"/>
  <c r="AE399" i="6"/>
  <c r="AE190" i="6"/>
  <c r="AG190" i="6" s="1"/>
  <c r="AE1157" i="6"/>
  <c r="AG1157" i="6" s="1"/>
  <c r="AF355" i="6"/>
  <c r="AG355" i="6" s="1"/>
  <c r="AF9" i="6"/>
  <c r="AE21" i="6"/>
  <c r="AG21" i="6" s="1"/>
  <c r="AF1191" i="6"/>
  <c r="AF189" i="6"/>
  <c r="AF159" i="6"/>
  <c r="AG159" i="6" s="1"/>
  <c r="AF217" i="6"/>
  <c r="AG217" i="6" s="1"/>
  <c r="AF453" i="6"/>
  <c r="AG453" i="6" s="1"/>
  <c r="AE366" i="6"/>
  <c r="AG366" i="6" s="1"/>
  <c r="AF322" i="6"/>
  <c r="AG322" i="6" s="1"/>
  <c r="AF1170" i="6"/>
  <c r="AG1170" i="6" s="1"/>
  <c r="AE177" i="6"/>
  <c r="AF252" i="6"/>
  <c r="AG252" i="6" s="1"/>
  <c r="AE206" i="6"/>
  <c r="AG206" i="6" s="1"/>
  <c r="AE1165" i="6"/>
  <c r="AG1165" i="6" s="1"/>
  <c r="AE165" i="6"/>
  <c r="AG165" i="6" s="1"/>
  <c r="AF379" i="6"/>
  <c r="AG379" i="6" s="1"/>
  <c r="AF292" i="6"/>
  <c r="AG292" i="6" s="1"/>
  <c r="AF1158" i="6"/>
  <c r="AG1158" i="6" s="1"/>
  <c r="AE378" i="6"/>
  <c r="AE160" i="6"/>
  <c r="AE481" i="6"/>
  <c r="AE361" i="6"/>
  <c r="AG361" i="6" s="1"/>
  <c r="AF187" i="6"/>
  <c r="AG187" i="6" s="1"/>
  <c r="AA115" i="3"/>
  <c r="AF546" i="6"/>
  <c r="AG546" i="6" s="1"/>
  <c r="AE209" i="6"/>
  <c r="AF318" i="6"/>
  <c r="AG318" i="6" s="1"/>
  <c r="AF431" i="6"/>
  <c r="AG431" i="6" s="1"/>
  <c r="AE158" i="6"/>
  <c r="AG158" i="6" s="1"/>
  <c r="AF507" i="6"/>
  <c r="AF342" i="6"/>
  <c r="AF125" i="6"/>
  <c r="AG125" i="6" s="1"/>
  <c r="AF557" i="6"/>
  <c r="AG557" i="6" s="1"/>
  <c r="AF19" i="6"/>
  <c r="AG19" i="6" s="1"/>
  <c r="AF209" i="6"/>
  <c r="AE507" i="6"/>
  <c r="AE29" i="6"/>
  <c r="AG29" i="6" s="1"/>
  <c r="AE89" i="6"/>
  <c r="AG89" i="6" s="1"/>
  <c r="AF1190" i="6"/>
  <c r="AG1190" i="6" s="1"/>
  <c r="AF1172" i="6"/>
  <c r="AG1172" i="6" s="1"/>
  <c r="AE342" i="6"/>
  <c r="AE477" i="6"/>
  <c r="AG477" i="6" s="1"/>
  <c r="AF1168" i="6"/>
  <c r="AG1168" i="6" s="1"/>
  <c r="AF464" i="6"/>
  <c r="AG464" i="6" s="1"/>
  <c r="AF281" i="6"/>
  <c r="AF415" i="6"/>
  <c r="AG415" i="6" s="1"/>
  <c r="AF1251" i="6"/>
  <c r="AG1251" i="6" s="1"/>
  <c r="AF1162" i="6"/>
  <c r="AG1162" i="6" s="1"/>
  <c r="AE203" i="6"/>
  <c r="AG203" i="6" s="1"/>
  <c r="AF237" i="6"/>
  <c r="AG237" i="6" s="1"/>
  <c r="AF365" i="6"/>
  <c r="AG365" i="6" s="1"/>
  <c r="AE281" i="6"/>
  <c r="AF115" i="6"/>
  <c r="AG115" i="6" s="1"/>
  <c r="AE253" i="6"/>
  <c r="AE181" i="6"/>
  <c r="AG181" i="6" s="1"/>
  <c r="AF233" i="6"/>
  <c r="AG233" i="6" s="1"/>
  <c r="AF506" i="6"/>
  <c r="AG506" i="6" s="1"/>
  <c r="AE329" i="6"/>
  <c r="AG329" i="6" s="1"/>
  <c r="AE401" i="6"/>
  <c r="AG401" i="6" s="1"/>
  <c r="AF1181" i="6"/>
  <c r="AG1181" i="6" s="1"/>
  <c r="AF378" i="6"/>
  <c r="AF483" i="6"/>
  <c r="AF108" i="6"/>
  <c r="AG108" i="6" s="1"/>
  <c r="AF253" i="6"/>
  <c r="AF1246" i="6"/>
  <c r="AG1246" i="6" s="1"/>
  <c r="AF177" i="6"/>
  <c r="AF1145" i="6"/>
  <c r="AG1145" i="6" s="1"/>
  <c r="AE1197" i="6"/>
  <c r="AE544" i="6"/>
  <c r="AG544" i="6" s="1"/>
  <c r="AF508" i="6"/>
  <c r="AG508" i="6" s="1"/>
  <c r="AF1209" i="6"/>
  <c r="AG1209" i="6" s="1"/>
  <c r="AE495" i="6"/>
  <c r="AG495" i="6" s="1"/>
  <c r="AF536" i="6"/>
  <c r="AG536" i="6" s="1"/>
  <c r="AF104" i="6"/>
  <c r="AG104" i="6" s="1"/>
  <c r="AF290" i="6"/>
  <c r="AG290" i="6" s="1"/>
  <c r="AF240" i="6"/>
  <c r="AG240" i="6" s="1"/>
  <c r="AF1245" i="6"/>
  <c r="AG1245" i="6" s="1"/>
  <c r="AF356" i="6"/>
  <c r="AG356" i="6" s="1"/>
  <c r="AE271" i="6"/>
  <c r="AF265" i="6"/>
  <c r="AG265" i="6" s="1"/>
  <c r="AE316" i="6"/>
  <c r="AG316" i="6" s="1"/>
  <c r="AF279" i="6"/>
  <c r="AG279" i="6" s="1"/>
  <c r="AE389" i="6"/>
  <c r="AG389" i="6" s="1"/>
  <c r="AF354" i="6"/>
  <c r="AB1141" i="6"/>
  <c r="AB333" i="6"/>
  <c r="AD333" i="6" s="1"/>
  <c r="AE333" i="6" s="1"/>
  <c r="AE1240" i="6"/>
  <c r="AG1240" i="6" s="1"/>
  <c r="AF450" i="6"/>
  <c r="AG450" i="6" s="1"/>
  <c r="AF428" i="6"/>
  <c r="AG428" i="6" s="1"/>
  <c r="AF505" i="6"/>
  <c r="AG505" i="6" s="1"/>
  <c r="AF1156" i="6"/>
  <c r="AG1156" i="6" s="1"/>
  <c r="AE282" i="6"/>
  <c r="AG282" i="6" s="1"/>
  <c r="AF1249" i="6"/>
  <c r="AG1249" i="6" s="1"/>
  <c r="AF412" i="6"/>
  <c r="AG412" i="6" s="1"/>
  <c r="AF302" i="6"/>
  <c r="AG302" i="6" s="1"/>
  <c r="AE494" i="6"/>
  <c r="AG494" i="6" s="1"/>
  <c r="AE459" i="6"/>
  <c r="AF419" i="6"/>
  <c r="AE199" i="6"/>
  <c r="AG199" i="6" s="1"/>
  <c r="AE304" i="6"/>
  <c r="AB33" i="6"/>
  <c r="AF500" i="6"/>
  <c r="AG500" i="6" s="1"/>
  <c r="AF207" i="6"/>
  <c r="AG207" i="6" s="1"/>
  <c r="AF164" i="6"/>
  <c r="AF345" i="6"/>
  <c r="AG345" i="6" s="1"/>
  <c r="AE143" i="6"/>
  <c r="AG143" i="6" s="1"/>
  <c r="AF394" i="6"/>
  <c r="AG394" i="6" s="1"/>
  <c r="AF359" i="6"/>
  <c r="AG359" i="6" s="1"/>
  <c r="AE213" i="6"/>
  <c r="AG213" i="6" s="1"/>
  <c r="AF260" i="6"/>
  <c r="AG260" i="6" s="1"/>
  <c r="AF183" i="6"/>
  <c r="AG183" i="6" s="1"/>
  <c r="AE164" i="6"/>
  <c r="AE148" i="6"/>
  <c r="AG148" i="6" s="1"/>
  <c r="AE502" i="6"/>
  <c r="AG502" i="6" s="1"/>
  <c r="AE317" i="6"/>
  <c r="AG317" i="6" s="1"/>
  <c r="AF540" i="6"/>
  <c r="AG540" i="6" s="1"/>
  <c r="AE15" i="6"/>
  <c r="AG15" i="6" s="1"/>
  <c r="AF97" i="6"/>
  <c r="AG97" i="6" s="1"/>
  <c r="AF7" i="6"/>
  <c r="AF473" i="6"/>
  <c r="AE100" i="6"/>
  <c r="AG100" i="6" s="1"/>
  <c r="AE439" i="6"/>
  <c r="AG439" i="6" s="1"/>
  <c r="AE166" i="6"/>
  <c r="AG166" i="6" s="1"/>
  <c r="AE1169" i="6"/>
  <c r="AG1169" i="6" s="1"/>
  <c r="AF14" i="6"/>
  <c r="AG14" i="6" s="1"/>
  <c r="AE7" i="6"/>
  <c r="AE354" i="6"/>
  <c r="AF1200" i="6"/>
  <c r="AG1200" i="6" s="1"/>
  <c r="AF371" i="6"/>
  <c r="AG371" i="6" s="1"/>
  <c r="AF201" i="6"/>
  <c r="AF193" i="6"/>
  <c r="AG193" i="6" s="1"/>
  <c r="AF1184" i="6"/>
  <c r="AG1184" i="6" s="1"/>
  <c r="AF210" i="6"/>
  <c r="AG210" i="6" s="1"/>
  <c r="AF150" i="6"/>
  <c r="AG150" i="6" s="1"/>
  <c r="AF336" i="6"/>
  <c r="AG336" i="6" s="1"/>
  <c r="AE198" i="6"/>
  <c r="AF10" i="6"/>
  <c r="AE95" i="6"/>
  <c r="AG95" i="6" s="1"/>
  <c r="AF188" i="6"/>
  <c r="AG188" i="6" s="1"/>
  <c r="AF424" i="6"/>
  <c r="AG424" i="6" s="1"/>
  <c r="AF255" i="6"/>
  <c r="AG255" i="6" s="1"/>
  <c r="AE184" i="6"/>
  <c r="AG184" i="6" s="1"/>
  <c r="AF198" i="6"/>
  <c r="AE10" i="6"/>
  <c r="AE1173" i="6"/>
  <c r="AG1173" i="6" s="1"/>
  <c r="AE1212" i="6"/>
  <c r="AG1212" i="6" s="1"/>
  <c r="AE118" i="6"/>
  <c r="AG118" i="6" s="1"/>
  <c r="AF1147" i="6"/>
  <c r="AG1147" i="6" s="1"/>
  <c r="AF271" i="6"/>
  <c r="AF323" i="6"/>
  <c r="AG323" i="6" s="1"/>
  <c r="AF1197" i="6"/>
  <c r="AE195" i="6"/>
  <c r="AG195" i="6" s="1"/>
  <c r="AF90" i="6"/>
  <c r="AG90" i="6" s="1"/>
  <c r="AE554" i="6"/>
  <c r="AF1140" i="6"/>
  <c r="AG1140" i="6" s="1"/>
  <c r="AF381" i="6"/>
  <c r="AG381" i="6" s="1"/>
  <c r="AF1248" i="6"/>
  <c r="AG1248" i="6" s="1"/>
  <c r="AE499" i="6"/>
  <c r="AE147" i="6"/>
  <c r="AF142" i="6"/>
  <c r="AG142" i="6" s="1"/>
  <c r="AF138" i="6"/>
  <c r="AG138" i="6" s="1"/>
  <c r="AF561" i="6"/>
  <c r="AG561" i="6" s="1"/>
  <c r="AF147" i="6"/>
  <c r="AE243" i="6"/>
  <c r="AG243" i="6" s="1"/>
  <c r="AE280" i="6"/>
  <c r="AG280" i="6" s="1"/>
  <c r="AE287" i="6"/>
  <c r="AG287" i="6" s="1"/>
  <c r="AF1164" i="6"/>
  <c r="AG1164" i="6" s="1"/>
  <c r="AE513" i="6"/>
  <c r="AF30" i="6"/>
  <c r="AG30" i="6" s="1"/>
  <c r="AF300" i="6"/>
  <c r="AG300" i="6" s="1"/>
  <c r="AF513" i="6"/>
  <c r="AE419" i="6"/>
  <c r="AF304" i="6"/>
  <c r="AF267" i="6"/>
  <c r="AG267" i="6" s="1"/>
  <c r="AF1201" i="6"/>
  <c r="AG1201" i="6" s="1"/>
  <c r="AF554" i="6"/>
  <c r="AF1148" i="6"/>
  <c r="AG1148" i="6" s="1"/>
  <c r="AF465" i="6"/>
  <c r="AG465" i="6" s="1"/>
  <c r="AF1242" i="6"/>
  <c r="AG1242" i="6" s="1"/>
  <c r="AF26" i="6"/>
  <c r="AG26" i="6" s="1"/>
  <c r="AF377" i="6"/>
  <c r="AG377" i="6" s="1"/>
  <c r="AF117" i="6"/>
  <c r="AF24" i="6"/>
  <c r="AG24" i="6" s="1"/>
  <c r="AE511" i="6"/>
  <c r="AG511" i="6" s="1"/>
  <c r="AF273" i="6"/>
  <c r="AG273" i="6" s="1"/>
  <c r="AF346" i="6"/>
  <c r="AF326" i="6"/>
  <c r="AG326" i="6" s="1"/>
  <c r="AF1247" i="6"/>
  <c r="AG1247" i="6" s="1"/>
  <c r="AF1253" i="6"/>
  <c r="AE479" i="6"/>
  <c r="AG479" i="6" s="1"/>
  <c r="AF421" i="6"/>
  <c r="AF257" i="6"/>
  <c r="AG257" i="6" s="1"/>
  <c r="AF106" i="6"/>
  <c r="AG106" i="6" s="1"/>
  <c r="AE350" i="6"/>
  <c r="AG350" i="6" s="1"/>
  <c r="AE91" i="6"/>
  <c r="AG91" i="6" s="1"/>
  <c r="AF330" i="6"/>
  <c r="AG330" i="6" s="1"/>
  <c r="AF1176" i="6"/>
  <c r="AG1176" i="6" s="1"/>
  <c r="AE517" i="6"/>
  <c r="AF398" i="6"/>
  <c r="AG398" i="6" s="1"/>
  <c r="AF545" i="6"/>
  <c r="AF211" i="6"/>
  <c r="AG211" i="6" s="1"/>
  <c r="AF1007" i="6"/>
  <c r="AG1007" i="6" s="1"/>
  <c r="AF551" i="6"/>
  <c r="AG551" i="6" s="1"/>
  <c r="AE471" i="6"/>
  <c r="AG471" i="6" s="1"/>
  <c r="AE501" i="6"/>
  <c r="AG501" i="6" s="1"/>
  <c r="AE208" i="6"/>
  <c r="AG208" i="6" s="1"/>
  <c r="AF23" i="6"/>
  <c r="AG23" i="6" s="1"/>
  <c r="AE545" i="6"/>
  <c r="AE325" i="6"/>
  <c r="AG325" i="6" s="1"/>
  <c r="AF1153" i="6"/>
  <c r="AG1153" i="6" s="1"/>
  <c r="AF539" i="6"/>
  <c r="AG539" i="6" s="1"/>
  <c r="AF1144" i="6"/>
  <c r="AG1144" i="6" s="1"/>
  <c r="AF1194" i="6"/>
  <c r="AG1194" i="6" s="1"/>
  <c r="AF174" i="6"/>
  <c r="AG174" i="6" s="1"/>
  <c r="AE244" i="6"/>
  <c r="AG244" i="6" s="1"/>
  <c r="AF558" i="6"/>
  <c r="AG558" i="6" s="1"/>
  <c r="AF504" i="6"/>
  <c r="AG504" i="6" s="1"/>
  <c r="AE157" i="6"/>
  <c r="AG157" i="6" s="1"/>
  <c r="AE182" i="6"/>
  <c r="AG182" i="6" s="1"/>
  <c r="AF311" i="6"/>
  <c r="AG311" i="6" s="1"/>
  <c r="AF191" i="6"/>
  <c r="AG191" i="6" s="1"/>
  <c r="AF172" i="6"/>
  <c r="AG172" i="6" s="1"/>
  <c r="AF146" i="6"/>
  <c r="AG146" i="6" s="1"/>
  <c r="AF175" i="6"/>
  <c r="AG175" i="6" s="1"/>
  <c r="AF1186" i="6"/>
  <c r="AG1186" i="6" s="1"/>
  <c r="AE1253" i="6"/>
  <c r="AE201" i="6"/>
  <c r="AF205" i="6"/>
  <c r="AG205" i="6" s="1"/>
  <c r="AF230" i="6"/>
  <c r="AG230" i="6" s="1"/>
  <c r="AE497" i="6"/>
  <c r="AG497" i="6" s="1"/>
  <c r="AF408" i="6"/>
  <c r="AG408" i="6" s="1"/>
  <c r="AF263" i="6"/>
  <c r="AG263" i="6" s="1"/>
  <c r="AE114" i="6"/>
  <c r="AF251" i="6"/>
  <c r="AF312" i="6"/>
  <c r="AG312" i="6" s="1"/>
  <c r="AE256" i="6"/>
  <c r="AG256" i="6" s="1"/>
  <c r="AF114" i="6"/>
  <c r="AE346" i="6"/>
  <c r="AE117" i="6"/>
  <c r="AE348" i="6"/>
  <c r="AG348" i="6" s="1"/>
  <c r="AE251" i="6"/>
  <c r="AE473" i="6"/>
  <c r="AF547" i="6"/>
  <c r="AG547" i="6" s="1"/>
  <c r="AF385" i="6"/>
  <c r="AG385" i="6" s="1"/>
  <c r="AF438" i="6"/>
  <c r="AG438" i="6" s="1"/>
  <c r="AF119" i="6"/>
  <c r="AG119" i="6" s="1"/>
  <c r="AF363" i="6"/>
  <c r="AG363" i="6" s="1"/>
  <c r="AF517" i="6"/>
  <c r="AE313" i="6"/>
  <c r="AG313" i="6" s="1"/>
  <c r="AE491" i="6"/>
  <c r="AE403" i="6"/>
  <c r="AE275" i="6"/>
  <c r="AG275" i="6" s="1"/>
  <c r="AF499" i="6"/>
  <c r="AF446" i="6"/>
  <c r="AG446" i="6" s="1"/>
  <c r="AE283" i="6"/>
  <c r="AG283" i="6" s="1"/>
  <c r="AE331" i="6"/>
  <c r="AG331" i="6" s="1"/>
  <c r="AF94" i="6"/>
  <c r="AG94" i="6" s="1"/>
  <c r="AE421" i="6"/>
  <c r="AF491" i="6"/>
  <c r="AF403" i="6"/>
  <c r="AF1195" i="6"/>
  <c r="AG1195" i="6" s="1"/>
  <c r="AA122" i="3"/>
  <c r="AA25" i="3"/>
  <c r="AF1143" i="6"/>
  <c r="AG1143" i="6" s="1"/>
  <c r="AE120" i="6"/>
  <c r="AG120" i="6" s="1"/>
  <c r="AF101" i="6"/>
  <c r="AG101" i="6" s="1"/>
  <c r="AE391" i="6"/>
  <c r="AG391" i="6" s="1"/>
  <c r="AF1151" i="6"/>
  <c r="AG1151" i="6" s="1"/>
  <c r="AA108" i="3"/>
  <c r="AF306" i="6"/>
  <c r="AG306" i="6" s="1"/>
  <c r="AA23" i="3"/>
  <c r="AF488" i="6"/>
  <c r="AG488" i="6" s="1"/>
  <c r="AA42" i="3"/>
  <c r="AC129" i="3"/>
  <c r="AE129" i="3" s="1"/>
  <c r="AA128" i="3"/>
  <c r="AA118" i="3"/>
  <c r="AC106" i="3"/>
  <c r="AE106" i="3" s="1"/>
  <c r="AA120" i="3"/>
  <c r="AA37" i="3"/>
  <c r="AA26" i="3"/>
  <c r="AC10" i="3"/>
  <c r="AE10" i="3" s="1"/>
  <c r="AC63" i="3"/>
  <c r="AD63" i="3" s="1"/>
  <c r="AA77" i="3"/>
  <c r="AA69" i="3"/>
  <c r="AA60" i="3"/>
  <c r="AA68" i="3"/>
  <c r="AA12" i="3"/>
  <c r="AE344" i="6"/>
  <c r="AG344" i="6" s="1"/>
  <c r="AF338" i="6"/>
  <c r="AG338" i="6" s="1"/>
  <c r="AF212" i="6"/>
  <c r="AG212" i="6" s="1"/>
  <c r="AF17" i="6"/>
  <c r="AG17" i="6" s="1"/>
  <c r="AD1150" i="6"/>
  <c r="AA119" i="3"/>
  <c r="AA117" i="3"/>
  <c r="AA116" i="3"/>
  <c r="AA19" i="3"/>
  <c r="AA79" i="3"/>
  <c r="AC38" i="3"/>
  <c r="AE38" i="3" s="1"/>
  <c r="AC22" i="3"/>
  <c r="AE22" i="3" s="1"/>
  <c r="AC18" i="3"/>
  <c r="AD18" i="3" s="1"/>
  <c r="AA78" i="3"/>
  <c r="AC64" i="3"/>
  <c r="AD64" i="3" s="1"/>
  <c r="AC40" i="3"/>
  <c r="AD40" i="3" s="1"/>
  <c r="AA97" i="3"/>
  <c r="AA90" i="3"/>
  <c r="AA89" i="3"/>
  <c r="AA121" i="3"/>
  <c r="X4" i="3"/>
  <c r="AA4" i="3" s="1"/>
  <c r="AA98" i="3"/>
  <c r="AF349" i="6"/>
  <c r="AG349" i="6" s="1"/>
  <c r="AF343" i="6"/>
  <c r="AG343" i="6" s="1"/>
  <c r="AE455" i="6"/>
  <c r="AG455" i="6" s="1"/>
  <c r="AE99" i="6"/>
  <c r="AF171" i="6"/>
  <c r="AG171" i="6" s="1"/>
  <c r="AE339" i="6"/>
  <c r="AG339" i="6" s="1"/>
  <c r="AE347" i="6"/>
  <c r="AF456" i="6"/>
  <c r="AG456" i="6" s="1"/>
  <c r="AF179" i="6"/>
  <c r="AG179" i="6" s="1"/>
  <c r="AF286" i="6"/>
  <c r="AG286" i="6" s="1"/>
  <c r="AE457" i="6"/>
  <c r="AG457" i="6" s="1"/>
  <c r="AE560" i="6"/>
  <c r="AF334" i="6"/>
  <c r="AE308" i="6"/>
  <c r="AG308" i="6" s="1"/>
  <c r="AE173" i="6"/>
  <c r="AG173" i="6" s="1"/>
  <c r="AF219" i="6"/>
  <c r="AG219" i="6" s="1"/>
  <c r="AF197" i="6"/>
  <c r="AG197" i="6" s="1"/>
  <c r="AE303" i="6"/>
  <c r="AG303" i="6" s="1"/>
  <c r="AF99" i="6"/>
  <c r="AE334" i="6"/>
  <c r="AE215" i="6"/>
  <c r="AG215" i="6" s="1"/>
  <c r="AF347" i="6"/>
  <c r="AF107" i="6"/>
  <c r="AG107" i="6" s="1"/>
  <c r="AF476" i="6"/>
  <c r="AG476" i="6" s="1"/>
  <c r="AE111" i="6"/>
  <c r="AF111" i="6"/>
  <c r="AE341" i="6"/>
  <c r="AG341" i="6" s="1"/>
  <c r="AF223" i="6"/>
  <c r="AG223" i="6" s="1"/>
  <c r="AE236" i="6"/>
  <c r="AE392" i="6"/>
  <c r="AG392" i="6" s="1"/>
  <c r="AF373" i="6"/>
  <c r="AG373" i="6" s="1"/>
  <c r="AE220" i="6"/>
  <c r="AG220" i="6" s="1"/>
  <c r="AF475" i="6"/>
  <c r="AE519" i="6"/>
  <c r="AG519" i="6" s="1"/>
  <c r="AF553" i="6"/>
  <c r="AE262" i="6"/>
  <c r="AG262" i="6" s="1"/>
  <c r="AF468" i="6"/>
  <c r="AG468" i="6" s="1"/>
  <c r="AF196" i="6"/>
  <c r="AG196" i="6" s="1"/>
  <c r="AF1152" i="6"/>
  <c r="AG1152" i="6" s="1"/>
  <c r="AE351" i="6"/>
  <c r="AG351" i="6" s="1"/>
  <c r="AE270" i="6"/>
  <c r="AG270" i="6" s="1"/>
  <c r="AE250" i="6"/>
  <c r="AF560" i="6"/>
  <c r="AF105" i="6"/>
  <c r="AG105" i="6" s="1"/>
  <c r="AF460" i="6"/>
  <c r="AG460" i="6" s="1"/>
  <c r="AF225" i="6"/>
  <c r="AG225" i="6" s="1"/>
  <c r="AF250" i="6"/>
  <c r="AE374" i="6"/>
  <c r="AE556" i="6"/>
  <c r="AG556" i="6" s="1"/>
  <c r="AE503" i="6"/>
  <c r="AG503" i="6" s="1"/>
  <c r="AE1177" i="6"/>
  <c r="AG1177" i="6" s="1"/>
  <c r="AF548" i="6"/>
  <c r="AG548" i="6" s="1"/>
  <c r="AF414" i="6"/>
  <c r="AG414" i="6" s="1"/>
  <c r="AF472" i="6"/>
  <c r="AG472" i="6" s="1"/>
  <c r="AF167" i="6"/>
  <c r="AG167" i="6" s="1"/>
  <c r="AE475" i="6"/>
  <c r="AF374" i="6"/>
  <c r="AE27" i="6"/>
  <c r="AG27" i="6" s="1"/>
  <c r="AE116" i="6"/>
  <c r="AG116" i="6" s="1"/>
  <c r="AF484" i="6"/>
  <c r="AG484" i="6" s="1"/>
  <c r="AE1139" i="6"/>
  <c r="AG1139" i="6" s="1"/>
  <c r="AE258" i="6"/>
  <c r="AG258" i="6" s="1"/>
  <c r="AE216" i="6"/>
  <c r="AG216" i="6" s="1"/>
  <c r="AF1160" i="6"/>
  <c r="AG1160" i="6" s="1"/>
  <c r="AF305" i="6"/>
  <c r="AG305" i="6" s="1"/>
  <c r="AE122" i="6"/>
  <c r="AG122" i="6" s="1"/>
  <c r="AF298" i="6"/>
  <c r="AG298" i="6" s="1"/>
  <c r="AF463" i="6"/>
  <c r="AG463" i="6" s="1"/>
  <c r="AF1188" i="6"/>
  <c r="AG1188" i="6" s="1"/>
  <c r="AF98" i="6"/>
  <c r="AE103" i="6"/>
  <c r="AF422" i="6"/>
  <c r="AG422" i="6" s="1"/>
  <c r="AE28" i="6"/>
  <c r="AG28" i="6" s="1"/>
  <c r="AE98" i="6"/>
  <c r="AE232" i="6"/>
  <c r="AG232" i="6" s="1"/>
  <c r="AE423" i="6"/>
  <c r="AG423" i="6" s="1"/>
  <c r="AF103" i="6"/>
  <c r="AE278" i="6"/>
  <c r="AG278" i="6" s="1"/>
  <c r="AF214" i="6"/>
  <c r="AG214" i="6" s="1"/>
  <c r="AF1008" i="6"/>
  <c r="AG1008" i="6" s="1"/>
  <c r="AE168" i="6"/>
  <c r="AG168" i="6" s="1"/>
  <c r="AE498" i="6"/>
  <c r="AF1155" i="6"/>
  <c r="AG1155" i="6" s="1"/>
  <c r="AF375" i="6"/>
  <c r="AG375" i="6" s="1"/>
  <c r="AE1138" i="6"/>
  <c r="AG1138" i="6" s="1"/>
  <c r="AF498" i="6"/>
  <c r="AF204" i="6"/>
  <c r="AG204" i="6" s="1"/>
  <c r="AF236" i="6"/>
  <c r="AF430" i="6"/>
  <c r="AG430" i="6" s="1"/>
  <c r="AF1206" i="6"/>
  <c r="AG1206" i="6" s="1"/>
  <c r="AF228" i="6"/>
  <c r="AF192" i="6"/>
  <c r="AF170" i="6"/>
  <c r="AG170" i="6" s="1"/>
  <c r="AE246" i="6"/>
  <c r="AG246" i="6" s="1"/>
  <c r="AE93" i="6"/>
  <c r="AG93" i="6" s="1"/>
  <c r="AE228" i="6"/>
  <c r="AE192" i="6"/>
  <c r="AE16" i="6"/>
  <c r="AF5" i="6"/>
  <c r="AG5" i="6" s="1"/>
  <c r="AF113" i="6"/>
  <c r="AG113" i="6" s="1"/>
  <c r="AF466" i="6"/>
  <c r="AG466" i="6" s="1"/>
  <c r="AF16" i="6"/>
  <c r="AE13" i="6"/>
  <c r="AG13" i="6" s="1"/>
  <c r="AF490" i="6"/>
  <c r="AG490" i="6" s="1"/>
  <c r="AF1192" i="6"/>
  <c r="AG1192" i="6" s="1"/>
  <c r="AE155" i="6"/>
  <c r="AE315" i="6"/>
  <c r="AG315" i="6" s="1"/>
  <c r="AF139" i="6"/>
  <c r="AG139" i="6" s="1"/>
  <c r="AF144" i="6"/>
  <c r="AF406" i="6"/>
  <c r="AG406" i="6" s="1"/>
  <c r="AF8" i="6"/>
  <c r="AG8" i="6" s="1"/>
  <c r="AF155" i="6"/>
  <c r="AE242" i="6"/>
  <c r="AG242" i="6" s="1"/>
  <c r="AE109" i="6"/>
  <c r="AG109" i="6" s="1"/>
  <c r="AE144" i="6"/>
  <c r="AF458" i="6"/>
  <c r="AG458" i="6" s="1"/>
  <c r="AE489" i="6"/>
  <c r="AG489" i="6" s="1"/>
  <c r="AF254" i="6"/>
  <c r="AE254" i="6"/>
  <c r="AF163" i="6"/>
  <c r="AG163" i="6" s="1"/>
  <c r="AF411" i="6"/>
  <c r="AG411" i="6" s="1"/>
  <c r="AF492" i="6"/>
  <c r="AG492" i="6" s="1"/>
  <c r="AE180" i="6"/>
  <c r="AG180" i="6" s="1"/>
  <c r="AF410" i="6"/>
  <c r="AG410" i="6" s="1"/>
  <c r="AF1166" i="6"/>
  <c r="AG1166" i="6" s="1"/>
  <c r="AE6" i="6"/>
  <c r="AG6" i="6" s="1"/>
  <c r="AE291" i="6"/>
  <c r="AG291" i="6" s="1"/>
  <c r="AE226" i="6"/>
  <c r="AG226" i="6" s="1"/>
  <c r="AF390" i="6"/>
  <c r="AE221" i="6"/>
  <c r="AG221" i="6" s="1"/>
  <c r="AE1244" i="6"/>
  <c r="AG1244" i="6" s="1"/>
  <c r="AF320" i="6"/>
  <c r="AG320" i="6" s="1"/>
  <c r="AE390" i="6"/>
  <c r="AE299" i="6"/>
  <c r="AG299" i="6" s="1"/>
  <c r="AF418" i="6"/>
  <c r="AG418" i="6" s="1"/>
  <c r="AF470" i="6"/>
  <c r="AG470" i="6" s="1"/>
  <c r="AF245" i="6"/>
  <c r="AG245" i="6" s="1"/>
  <c r="AE274" i="6"/>
  <c r="AG274" i="6" s="1"/>
  <c r="AE553" i="6"/>
  <c r="AE357" i="6"/>
  <c r="AG357" i="6" s="1"/>
  <c r="AF295" i="6"/>
  <c r="AG295" i="6" s="1"/>
  <c r="AE451" i="6"/>
  <c r="AG451" i="6" s="1"/>
  <c r="AF425" i="6"/>
  <c r="AG425" i="6" s="1"/>
  <c r="AF96" i="6"/>
  <c r="AG96" i="6" s="1"/>
  <c r="AF353" i="6"/>
  <c r="AG353" i="6" s="1"/>
  <c r="AE550" i="6"/>
  <c r="AG550" i="6" s="1"/>
  <c r="AF482" i="6"/>
  <c r="AG482" i="6" s="1"/>
  <c r="AE224" i="6"/>
  <c r="AG224" i="6" s="1"/>
  <c r="AF1198" i="6"/>
  <c r="AG1198" i="6" s="1"/>
  <c r="AF152" i="6"/>
  <c r="AG152" i="6" s="1"/>
  <c r="AF443" i="6"/>
  <c r="AG443" i="6" s="1"/>
  <c r="AF400" i="6"/>
  <c r="AG400" i="6" s="1"/>
  <c r="AE266" i="6"/>
  <c r="AG266" i="6" s="1"/>
  <c r="AF537" i="6"/>
  <c r="AG537" i="6" s="1"/>
  <c r="AF469" i="6"/>
  <c r="AG469" i="6" s="1"/>
  <c r="AF402" i="6"/>
  <c r="AG402" i="6" s="1"/>
  <c r="AF474" i="6"/>
  <c r="AG474" i="6" s="1"/>
  <c r="AF1154" i="6"/>
  <c r="AG1154" i="6" s="1"/>
  <c r="AD437" i="6"/>
  <c r="AF437" i="6" s="1"/>
  <c r="AF427" i="6"/>
  <c r="AG427" i="6" s="1"/>
  <c r="AE1009" i="6"/>
  <c r="AG1009" i="6" s="1"/>
  <c r="AF1205" i="6"/>
  <c r="AG1205" i="6" s="1"/>
  <c r="AE441" i="6"/>
  <c r="AG441" i="6" s="1"/>
  <c r="AF396" i="6"/>
  <c r="AG396" i="6" s="1"/>
  <c r="AE380" i="6"/>
  <c r="AE360" i="6"/>
  <c r="AG360" i="6" s="1"/>
  <c r="AF178" i="6"/>
  <c r="AG178" i="6" s="1"/>
  <c r="AF1202" i="6"/>
  <c r="AG1202" i="6" s="1"/>
  <c r="AF1159" i="6"/>
  <c r="AG1159" i="6" s="1"/>
  <c r="AF486" i="6"/>
  <c r="AG486" i="6" s="1"/>
  <c r="AF478" i="6"/>
  <c r="AG478" i="6" s="1"/>
  <c r="AF1163" i="6"/>
  <c r="AG1163" i="6" s="1"/>
  <c r="AE433" i="6"/>
  <c r="AG433" i="6" s="1"/>
  <c r="AE218" i="6"/>
  <c r="AG218" i="6" s="1"/>
  <c r="AF358" i="6"/>
  <c r="AG358" i="6" s="1"/>
  <c r="AF467" i="6"/>
  <c r="AG467" i="6" s="1"/>
  <c r="AD436" i="6"/>
  <c r="AF436" i="6" s="1"/>
  <c r="AF154" i="6"/>
  <c r="AG154" i="6" s="1"/>
  <c r="AE149" i="6"/>
  <c r="AG149" i="6" s="1"/>
  <c r="AD20" i="6"/>
  <c r="AF20" i="6" s="1"/>
  <c r="AE1167" i="6"/>
  <c r="AG1167" i="6" s="1"/>
  <c r="AE185" i="6"/>
  <c r="AG185" i="6" s="1"/>
  <c r="AF426" i="6"/>
  <c r="AG426" i="6" s="1"/>
  <c r="AF538" i="6"/>
  <c r="AG538" i="6" s="1"/>
  <c r="AE386" i="6"/>
  <c r="AG386" i="6" s="1"/>
  <c r="AF435" i="6"/>
  <c r="AG435" i="6" s="1"/>
  <c r="AE387" i="6"/>
  <c r="AG387" i="6" s="1"/>
  <c r="AF388" i="6"/>
  <c r="AG388" i="6" s="1"/>
  <c r="AF112" i="6"/>
  <c r="AG112" i="6" s="1"/>
  <c r="AD454" i="6"/>
  <c r="AE454" i="6" s="1"/>
  <c r="AF310" i="6"/>
  <c r="AG310" i="6" s="1"/>
  <c r="AE137" i="6"/>
  <c r="AG137" i="6" s="1"/>
  <c r="AE429" i="6"/>
  <c r="AG429" i="6" s="1"/>
  <c r="AE397" i="6"/>
  <c r="AG397" i="6" s="1"/>
  <c r="AE440" i="6"/>
  <c r="AG440" i="6" s="1"/>
  <c r="AE332" i="6"/>
  <c r="AG332" i="6" s="1"/>
  <c r="AE328" i="6"/>
  <c r="AG328" i="6" s="1"/>
  <c r="AB1137" i="6"/>
  <c r="AD1137" i="6" s="1"/>
  <c r="AF462" i="6"/>
  <c r="AG462" i="6" s="1"/>
  <c r="AD22" i="6"/>
  <c r="AE22" i="6" s="1"/>
  <c r="AF1199" i="6"/>
  <c r="AG1199" i="6" s="1"/>
  <c r="AE234" i="6"/>
  <c r="AF369" i="6"/>
  <c r="AG369" i="6" s="1"/>
  <c r="AF297" i="6"/>
  <c r="AG297" i="6" s="1"/>
  <c r="AF1175" i="6"/>
  <c r="AG1175" i="6" s="1"/>
  <c r="AD222" i="6"/>
  <c r="AE222" i="6" s="1"/>
  <c r="AF393" i="6"/>
  <c r="AG393" i="6" s="1"/>
  <c r="AE269" i="6"/>
  <c r="AG269" i="6" s="1"/>
  <c r="AF234" i="6"/>
  <c r="AF314" i="6"/>
  <c r="AG314" i="6" s="1"/>
  <c r="AE1241" i="6"/>
  <c r="AG1241" i="6" s="1"/>
  <c r="AE25" i="6"/>
  <c r="AG25" i="6" s="1"/>
  <c r="AE413" i="6"/>
  <c r="AG413" i="6" s="1"/>
  <c r="AF186" i="6"/>
  <c r="AG186" i="6" s="1"/>
  <c r="AF372" i="6"/>
  <c r="AG372" i="6" s="1"/>
  <c r="AF307" i="6"/>
  <c r="AG307" i="6" s="1"/>
  <c r="AF285" i="6"/>
  <c r="AG285" i="6" s="1"/>
  <c r="AF293" i="6"/>
  <c r="AG293" i="6" s="1"/>
  <c r="AF337" i="6"/>
  <c r="AG337" i="6" s="1"/>
  <c r="AE442" i="6"/>
  <c r="AE289" i="6"/>
  <c r="AE1183" i="6"/>
  <c r="AF335" i="6"/>
  <c r="AG335" i="6" s="1"/>
  <c r="AF442" i="6"/>
  <c r="AF289" i="6"/>
  <c r="AF1183" i="6"/>
  <c r="AF18" i="6"/>
  <c r="AG18" i="6" s="1"/>
  <c r="AF376" i="6"/>
  <c r="AG376" i="6" s="1"/>
  <c r="AE449" i="6"/>
  <c r="AG449" i="6" s="1"/>
  <c r="AE1179" i="6"/>
  <c r="AG1179" i="6" s="1"/>
  <c r="AE1171" i="6"/>
  <c r="AG1171" i="6" s="1"/>
  <c r="AF301" i="6"/>
  <c r="AG301" i="6" s="1"/>
  <c r="AF368" i="6"/>
  <c r="AG368" i="6" s="1"/>
  <c r="AF434" i="6"/>
  <c r="AG434" i="6" s="1"/>
  <c r="AF380" i="6"/>
  <c r="AF1369" i="6" l="1"/>
  <c r="AG1369" i="6" s="1"/>
  <c r="AF1362" i="6"/>
  <c r="AG1362" i="6" s="1"/>
  <c r="AF1217" i="6"/>
  <c r="AG1217" i="6" s="1"/>
  <c r="AF1351" i="6"/>
  <c r="AG1351" i="6" s="1"/>
  <c r="AF1346" i="6"/>
  <c r="AG1346" i="6" s="1"/>
  <c r="AF1370" i="6"/>
  <c r="AF1216" i="6"/>
  <c r="AG1216" i="6" s="1"/>
  <c r="AE1345" i="6"/>
  <c r="AG1345" i="6" s="1"/>
  <c r="AF1361" i="6"/>
  <c r="AG1361" i="6" s="1"/>
  <c r="AE1355" i="6"/>
  <c r="AG1355" i="6" s="1"/>
  <c r="AE1370" i="6"/>
  <c r="AF1221" i="6"/>
  <c r="AG1221" i="6" s="1"/>
  <c r="AF1225" i="6"/>
  <c r="AG1225" i="6" s="1"/>
  <c r="AF1215" i="6"/>
  <c r="AG1215" i="6" s="1"/>
  <c r="AF1223" i="6"/>
  <c r="AG1223" i="6" s="1"/>
  <c r="AF1226" i="6"/>
  <c r="AG1226" i="6" s="1"/>
  <c r="AE1229" i="6"/>
  <c r="AG1229" i="6" s="1"/>
  <c r="AF1231" i="6"/>
  <c r="AG1231" i="6" s="1"/>
  <c r="AF1233" i="6"/>
  <c r="AG1233" i="6" s="1"/>
  <c r="AF1236" i="6"/>
  <c r="AG1236" i="6" s="1"/>
  <c r="AE1238" i="6"/>
  <c r="AG1238" i="6" s="1"/>
  <c r="AE1344" i="6"/>
  <c r="AG1344" i="6" s="1"/>
  <c r="AE1352" i="6"/>
  <c r="AG1352" i="6" s="1"/>
  <c r="AF1350" i="6"/>
  <c r="AG1350" i="6" s="1"/>
  <c r="AF1354" i="6"/>
  <c r="AG1354" i="6" s="1"/>
  <c r="AE1358" i="6"/>
  <c r="AG1358" i="6" s="1"/>
  <c r="AF1366" i="6"/>
  <c r="AG1366" i="6" s="1"/>
  <c r="AF1368" i="6"/>
  <c r="AG1368" i="6" s="1"/>
  <c r="AE1373" i="6"/>
  <c r="AG1373" i="6" s="1"/>
  <c r="AE1218" i="6"/>
  <c r="AG1218" i="6" s="1"/>
  <c r="AE1219" i="6"/>
  <c r="AG1219" i="6" s="1"/>
  <c r="AE1235" i="6"/>
  <c r="AG1235" i="6" s="1"/>
  <c r="AF1347" i="6"/>
  <c r="AG1347" i="6" s="1"/>
  <c r="AF1364" i="6"/>
  <c r="AG1364" i="6" s="1"/>
  <c r="AF1359" i="6"/>
  <c r="AG1359" i="6" s="1"/>
  <c r="AF1349" i="6"/>
  <c r="AG1349" i="6" s="1"/>
  <c r="AF1360" i="6"/>
  <c r="AG1360" i="6" s="1"/>
  <c r="AE1365" i="6"/>
  <c r="AG1365" i="6" s="1"/>
  <c r="AF1363" i="6"/>
  <c r="AG1363" i="6" s="1"/>
  <c r="AF1372" i="6"/>
  <c r="AG1372" i="6" s="1"/>
  <c r="AE1375" i="6"/>
  <c r="AG1375" i="6" s="1"/>
  <c r="AF1222" i="6"/>
  <c r="AG1222" i="6" s="1"/>
  <c r="AF1214" i="6"/>
  <c r="AG1214" i="6" s="1"/>
  <c r="AE1220" i="6"/>
  <c r="AG1220" i="6" s="1"/>
  <c r="AE1224" i="6"/>
  <c r="AG1224" i="6" s="1"/>
  <c r="AF1228" i="6"/>
  <c r="AG1228" i="6" s="1"/>
  <c r="AE1230" i="6"/>
  <c r="AG1230" i="6" s="1"/>
  <c r="AF1232" i="6"/>
  <c r="AG1232" i="6" s="1"/>
  <c r="AE1234" i="6"/>
  <c r="AG1234" i="6" s="1"/>
  <c r="AF1237" i="6"/>
  <c r="AG1237" i="6" s="1"/>
  <c r="AF1227" i="6"/>
  <c r="AG1227" i="6" s="1"/>
  <c r="AF1348" i="6"/>
  <c r="AG1348" i="6" s="1"/>
  <c r="AF1353" i="6"/>
  <c r="AG1353" i="6" s="1"/>
  <c r="AF1357" i="6"/>
  <c r="AG1357" i="6" s="1"/>
  <c r="AF1356" i="6"/>
  <c r="AG1356" i="6" s="1"/>
  <c r="AE1367" i="6"/>
  <c r="AG1367" i="6" s="1"/>
  <c r="AF1371" i="6"/>
  <c r="AG1371" i="6" s="1"/>
  <c r="AF1374" i="6"/>
  <c r="AG1374" i="6" s="1"/>
  <c r="Y793" i="6"/>
  <c r="AA793" i="6"/>
  <c r="W1377" i="6"/>
  <c r="AA1377" i="6"/>
  <c r="AE1001" i="6"/>
  <c r="AG1001" i="6" s="1"/>
  <c r="AE854" i="6"/>
  <c r="AG854" i="6" s="1"/>
  <c r="AF1310" i="6"/>
  <c r="AG1310" i="6" s="1"/>
  <c r="AF774" i="6"/>
  <c r="AG774" i="6" s="1"/>
  <c r="AF673" i="6"/>
  <c r="AG673" i="6" s="1"/>
  <c r="AF565" i="6"/>
  <c r="AG565" i="6" s="1"/>
  <c r="AF968" i="6"/>
  <c r="AG968" i="6" s="1"/>
  <c r="AF1326" i="6"/>
  <c r="AG1326" i="6" s="1"/>
  <c r="AD70" i="3"/>
  <c r="AF70" i="3" s="1"/>
  <c r="AD93" i="3"/>
  <c r="AF93" i="3" s="1"/>
  <c r="AD43" i="3"/>
  <c r="AF43" i="3" s="1"/>
  <c r="AE29" i="3"/>
  <c r="AF29" i="3" s="1"/>
  <c r="AE125" i="3"/>
  <c r="AF125" i="3" s="1"/>
  <c r="AD11" i="3"/>
  <c r="AF11" i="3" s="1"/>
  <c r="AD5" i="3"/>
  <c r="AF5" i="3" s="1"/>
  <c r="AE636" i="6"/>
  <c r="AG636" i="6" s="1"/>
  <c r="AD111" i="3"/>
  <c r="AF111" i="3" s="1"/>
  <c r="AD39" i="3"/>
  <c r="AF39" i="3" s="1"/>
  <c r="AD92" i="3"/>
  <c r="AF92" i="3" s="1"/>
  <c r="AE126" i="3"/>
  <c r="AF126" i="3" s="1"/>
  <c r="AE114" i="3"/>
  <c r="AF114" i="3" s="1"/>
  <c r="AD99" i="3"/>
  <c r="AF99" i="3" s="1"/>
  <c r="AE44" i="3"/>
  <c r="AF44" i="3" s="1"/>
  <c r="AD30" i="3"/>
  <c r="AF30" i="3" s="1"/>
  <c r="AE45" i="3"/>
  <c r="AF45" i="3" s="1"/>
  <c r="AD67" i="3"/>
  <c r="AF67" i="3" s="1"/>
  <c r="AD16" i="3"/>
  <c r="AF16" i="3" s="1"/>
  <c r="AD21" i="3"/>
  <c r="AF21" i="3" s="1"/>
  <c r="AD35" i="3"/>
  <c r="AF35" i="3" s="1"/>
  <c r="AD100" i="3"/>
  <c r="AF100" i="3" s="1"/>
  <c r="AE94" i="3"/>
  <c r="AF94" i="3" s="1"/>
  <c r="AE96" i="3"/>
  <c r="AF96" i="3" s="1"/>
  <c r="AE103" i="3"/>
  <c r="AF103" i="3" s="1"/>
  <c r="AD62" i="3"/>
  <c r="AF62" i="3" s="1"/>
  <c r="AD102" i="3"/>
  <c r="AF102" i="3" s="1"/>
  <c r="AG1270" i="6"/>
  <c r="AE107" i="3"/>
  <c r="AF107" i="3" s="1"/>
  <c r="AE49" i="3"/>
  <c r="AF49" i="3" s="1"/>
  <c r="AF1097" i="6"/>
  <c r="AG1097" i="6" s="1"/>
  <c r="AG737" i="6"/>
  <c r="AG1325" i="6"/>
  <c r="AG776" i="6"/>
  <c r="AG1031" i="6"/>
  <c r="AG1087" i="6"/>
  <c r="AF1067" i="6"/>
  <c r="AG1067" i="6" s="1"/>
  <c r="AG566" i="6"/>
  <c r="AG1060" i="6"/>
  <c r="AG733" i="6"/>
  <c r="AF671" i="6"/>
  <c r="AG671" i="6" s="1"/>
  <c r="AF1024" i="6"/>
  <c r="AG1024" i="6" s="1"/>
  <c r="AG1079" i="6"/>
  <c r="AG1028" i="6"/>
  <c r="AF757" i="6"/>
  <c r="AG757" i="6" s="1"/>
  <c r="AG652" i="6"/>
  <c r="AG1304" i="6"/>
  <c r="AG786" i="6"/>
  <c r="AG1071" i="6"/>
  <c r="AG1090" i="6"/>
  <c r="AG702" i="6"/>
  <c r="AG735" i="6"/>
  <c r="AE567" i="6"/>
  <c r="AG567" i="6" s="1"/>
  <c r="AF721" i="6"/>
  <c r="AG721" i="6" s="1"/>
  <c r="AE773" i="6"/>
  <c r="AG773" i="6" s="1"/>
  <c r="AF691" i="6"/>
  <c r="AG691" i="6" s="1"/>
  <c r="AG588" i="6"/>
  <c r="AG777" i="6"/>
  <c r="AG644" i="6"/>
  <c r="AG628" i="6"/>
  <c r="AG630" i="6"/>
  <c r="AF614" i="6"/>
  <c r="AG614" i="6" s="1"/>
  <c r="AG1050" i="6"/>
  <c r="AG760" i="6"/>
  <c r="AF780" i="6"/>
  <c r="AG780" i="6" s="1"/>
  <c r="AE789" i="6"/>
  <c r="AG789" i="6" s="1"/>
  <c r="AG764" i="6"/>
  <c r="AE34" i="6"/>
  <c r="AG34" i="6" s="1"/>
  <c r="AE730" i="6"/>
  <c r="AG730" i="6" s="1"/>
  <c r="AG659" i="6"/>
  <c r="AG1336" i="6"/>
  <c r="AG1106" i="6"/>
  <c r="AF564" i="6"/>
  <c r="AG564" i="6" s="1"/>
  <c r="AF1076" i="6"/>
  <c r="AG1076" i="6" s="1"/>
  <c r="AG708" i="6"/>
  <c r="AE766" i="6"/>
  <c r="AG766" i="6" s="1"/>
  <c r="AG1104" i="6"/>
  <c r="AF55" i="6"/>
  <c r="AG55" i="6" s="1"/>
  <c r="AE1066" i="6"/>
  <c r="AG1066" i="6" s="1"/>
  <c r="AG686" i="6"/>
  <c r="AF664" i="6"/>
  <c r="AG664" i="6" s="1"/>
  <c r="AE51" i="6"/>
  <c r="AG51" i="6" s="1"/>
  <c r="AG753" i="6"/>
  <c r="AF678" i="6"/>
  <c r="AG678" i="6" s="1"/>
  <c r="AF1088" i="6"/>
  <c r="AG1088" i="6" s="1"/>
  <c r="AE1032" i="6"/>
  <c r="AG1032" i="6" s="1"/>
  <c r="AE643" i="6"/>
  <c r="AG643" i="6" s="1"/>
  <c r="AE662" i="6"/>
  <c r="AG662" i="6" s="1"/>
  <c r="AF1012" i="6"/>
  <c r="AG1012" i="6" s="1"/>
  <c r="AD24" i="3"/>
  <c r="AF24" i="3" s="1"/>
  <c r="AF1049" i="6"/>
  <c r="AG1049" i="6" s="1"/>
  <c r="AF1085" i="6"/>
  <c r="AG1085" i="6" s="1"/>
  <c r="AF714" i="6"/>
  <c r="AG714" i="6" s="1"/>
  <c r="AE1075" i="6"/>
  <c r="AG1075" i="6" s="1"/>
  <c r="AG746" i="6"/>
  <c r="AF1029" i="6"/>
  <c r="AG1029" i="6" s="1"/>
  <c r="AE637" i="6"/>
  <c r="AG637" i="6" s="1"/>
  <c r="AG1043" i="6"/>
  <c r="AG653" i="6"/>
  <c r="AG697" i="6"/>
  <c r="AG1327" i="6"/>
  <c r="AE706" i="6"/>
  <c r="AG706" i="6" s="1"/>
  <c r="AE631" i="6"/>
  <c r="AG631" i="6" s="1"/>
  <c r="AG606" i="6"/>
  <c r="AG1129" i="6"/>
  <c r="AF648" i="6"/>
  <c r="AG648" i="6" s="1"/>
  <c r="AF790" i="6"/>
  <c r="AG790" i="6" s="1"/>
  <c r="AF724" i="6"/>
  <c r="AG724" i="6" s="1"/>
  <c r="AE665" i="6"/>
  <c r="AG665" i="6" s="1"/>
  <c r="AE576" i="6"/>
  <c r="AG576" i="6" s="1"/>
  <c r="AF684" i="6"/>
  <c r="AG684" i="6" s="1"/>
  <c r="AE1030" i="6"/>
  <c r="AG1030" i="6" s="1"/>
  <c r="AE1038" i="6"/>
  <c r="AG1038" i="6" s="1"/>
  <c r="AE52" i="6"/>
  <c r="AG52" i="6" s="1"/>
  <c r="AF61" i="6"/>
  <c r="AG61" i="6" s="1"/>
  <c r="AF590" i="6"/>
  <c r="AG590" i="6" s="1"/>
  <c r="AF1037" i="6"/>
  <c r="AG1037" i="6" s="1"/>
  <c r="AG690" i="6"/>
  <c r="AG596" i="6"/>
  <c r="AE575" i="6"/>
  <c r="AG575" i="6" s="1"/>
  <c r="AG1334" i="6"/>
  <c r="AF47" i="6"/>
  <c r="AG47" i="6" s="1"/>
  <c r="AG1297" i="6"/>
  <c r="AE670" i="6"/>
  <c r="AG670" i="6" s="1"/>
  <c r="AE771" i="6"/>
  <c r="AG771" i="6" s="1"/>
  <c r="AE1068" i="6"/>
  <c r="AG1068" i="6" s="1"/>
  <c r="AF765" i="6"/>
  <c r="AG765" i="6" s="1"/>
  <c r="AE744" i="6"/>
  <c r="AG744" i="6" s="1"/>
  <c r="AF599" i="6"/>
  <c r="AG599" i="6" s="1"/>
  <c r="AF1084" i="6"/>
  <c r="AG1084" i="6" s="1"/>
  <c r="AD47" i="3"/>
  <c r="AF47" i="3" s="1"/>
  <c r="AD110" i="3"/>
  <c r="AF110" i="3" s="1"/>
  <c r="AD124" i="3"/>
  <c r="AF124" i="3" s="1"/>
  <c r="AE66" i="3"/>
  <c r="AF66" i="3" s="1"/>
  <c r="AF64" i="6"/>
  <c r="AG64" i="6" s="1"/>
  <c r="AG132" i="6"/>
  <c r="AF751" i="6"/>
  <c r="AG751" i="6" s="1"/>
  <c r="AE1018" i="6"/>
  <c r="AG1018" i="6" s="1"/>
  <c r="AF620" i="6"/>
  <c r="AG620" i="6" s="1"/>
  <c r="AE729" i="6"/>
  <c r="AG729" i="6" s="1"/>
  <c r="AE101" i="3"/>
  <c r="AF101" i="3" s="1"/>
  <c r="AG1311" i="6"/>
  <c r="AF585" i="6"/>
  <c r="AG585" i="6" s="1"/>
  <c r="AF615" i="6"/>
  <c r="AG615" i="6" s="1"/>
  <c r="AF680" i="6"/>
  <c r="AG680" i="6" s="1"/>
  <c r="AF1033" i="6"/>
  <c r="AG1033" i="6" s="1"/>
  <c r="AE1026" i="6"/>
  <c r="AG1026" i="6" s="1"/>
  <c r="AE679" i="6"/>
  <c r="AG679" i="6" s="1"/>
  <c r="AE785" i="6"/>
  <c r="AG785" i="6" s="1"/>
  <c r="AE649" i="6"/>
  <c r="AG649" i="6" s="1"/>
  <c r="AF49" i="6"/>
  <c r="AG49" i="6" s="1"/>
  <c r="AF619" i="6"/>
  <c r="AG619" i="6" s="1"/>
  <c r="AE584" i="6"/>
  <c r="AG584" i="6" s="1"/>
  <c r="AF577" i="6"/>
  <c r="AG577" i="6" s="1"/>
  <c r="AF1094" i="6"/>
  <c r="AG1094" i="6" s="1"/>
  <c r="AF1052" i="6"/>
  <c r="AG1052" i="6" s="1"/>
  <c r="AE1058" i="6"/>
  <c r="AG1058" i="6" s="1"/>
  <c r="AF41" i="6"/>
  <c r="AG41" i="6" s="1"/>
  <c r="AG1111" i="6"/>
  <c r="AE58" i="6"/>
  <c r="AG58" i="6" s="1"/>
  <c r="AF1127" i="6"/>
  <c r="AG1127" i="6" s="1"/>
  <c r="AG1309" i="6"/>
  <c r="AG802" i="6"/>
  <c r="AF1335" i="6"/>
  <c r="AG1335" i="6" s="1"/>
  <c r="AF42" i="6"/>
  <c r="AG42" i="6" s="1"/>
  <c r="AG955" i="6"/>
  <c r="AE43" i="6"/>
  <c r="AG43" i="6" s="1"/>
  <c r="AF48" i="6"/>
  <c r="AE50" i="6"/>
  <c r="AG50" i="6" s="1"/>
  <c r="AE48" i="6"/>
  <c r="AG1316" i="6"/>
  <c r="AE1128" i="6"/>
  <c r="AG1128" i="6" s="1"/>
  <c r="AG1133" i="6"/>
  <c r="AE1115" i="6"/>
  <c r="AG1115" i="6" s="1"/>
  <c r="AG1299" i="6"/>
  <c r="AG1284" i="6"/>
  <c r="AG1323" i="6"/>
  <c r="AG1108" i="6"/>
  <c r="AG1134" i="6"/>
  <c r="AG811" i="6"/>
  <c r="AG1314" i="6"/>
  <c r="AE1293" i="6"/>
  <c r="AG1293" i="6" s="1"/>
  <c r="AG945" i="6"/>
  <c r="AE1273" i="6"/>
  <c r="AG1273" i="6" s="1"/>
  <c r="AF1112" i="6"/>
  <c r="AG1112" i="6" s="1"/>
  <c r="AG1286" i="6"/>
  <c r="AG975" i="6"/>
  <c r="AD127" i="3"/>
  <c r="AF127" i="3" s="1"/>
  <c r="AD104" i="3"/>
  <c r="AF104" i="3" s="1"/>
  <c r="AE105" i="3"/>
  <c r="AF105" i="3" s="1"/>
  <c r="AD61" i="3"/>
  <c r="AF61" i="3" s="1"/>
  <c r="AE91" i="3"/>
  <c r="AF91" i="3" s="1"/>
  <c r="AE109" i="3"/>
  <c r="AF109" i="3" s="1"/>
  <c r="AE72" i="3"/>
  <c r="AF72" i="3" s="1"/>
  <c r="AD95" i="3"/>
  <c r="AF95" i="3" s="1"/>
  <c r="AD8" i="3"/>
  <c r="AF8" i="3" s="1"/>
  <c r="AE74" i="3"/>
  <c r="AF74" i="3" s="1"/>
  <c r="AD71" i="3"/>
  <c r="AF71" i="3" s="1"/>
  <c r="AE20" i="3"/>
  <c r="AF20" i="3" s="1"/>
  <c r="AD27" i="3"/>
  <c r="AF27" i="3" s="1"/>
  <c r="AE123" i="3"/>
  <c r="AF123" i="3" s="1"/>
  <c r="AE76" i="3"/>
  <c r="AF76" i="3" s="1"/>
  <c r="AD75" i="3"/>
  <c r="AF75" i="3" s="1"/>
  <c r="AE34" i="3"/>
  <c r="AF34" i="3" s="1"/>
  <c r="AG972" i="6"/>
  <c r="AE13" i="3"/>
  <c r="AD17" i="3"/>
  <c r="AF17" i="3" s="1"/>
  <c r="AD14" i="3"/>
  <c r="AF14" i="3" s="1"/>
  <c r="AD41" i="3"/>
  <c r="AF41" i="3" s="1"/>
  <c r="AD46" i="3"/>
  <c r="AF46" i="3" s="1"/>
  <c r="AD112" i="3"/>
  <c r="AF112" i="3" s="1"/>
  <c r="AD6" i="3"/>
  <c r="AF6" i="3" s="1"/>
  <c r="AD48" i="3"/>
  <c r="AF48" i="3" s="1"/>
  <c r="AE28" i="3"/>
  <c r="AF28" i="3" s="1"/>
  <c r="AD9" i="3"/>
  <c r="AF9" i="3" s="1"/>
  <c r="AD13" i="3"/>
  <c r="AD73" i="3"/>
  <c r="AF73" i="3" s="1"/>
  <c r="AD15" i="3"/>
  <c r="AF15" i="3" s="1"/>
  <c r="AD31" i="3"/>
  <c r="AF31" i="3" s="1"/>
  <c r="AD33" i="3"/>
  <c r="AF33" i="3" s="1"/>
  <c r="AD7" i="3"/>
  <c r="AF7" i="3" s="1"/>
  <c r="AD65" i="3"/>
  <c r="AF65" i="3" s="1"/>
  <c r="AG951" i="6"/>
  <c r="AG883" i="6"/>
  <c r="AE53" i="6"/>
  <c r="AF53" i="6"/>
  <c r="AG878" i="6"/>
  <c r="AG860" i="6"/>
  <c r="AG998" i="6"/>
  <c r="AG866" i="6"/>
  <c r="AF46" i="6"/>
  <c r="AG46" i="6" s="1"/>
  <c r="AG870" i="6"/>
  <c r="AE38" i="6"/>
  <c r="AG38" i="6" s="1"/>
  <c r="AG958" i="6"/>
  <c r="AF37" i="6"/>
  <c r="AG37" i="6" s="1"/>
  <c r="AF56" i="6"/>
  <c r="AG56" i="6" s="1"/>
  <c r="AG44" i="6"/>
  <c r="AG982" i="6"/>
  <c r="AG875" i="6"/>
  <c r="AG862" i="6"/>
  <c r="AG894" i="6"/>
  <c r="AF39" i="6"/>
  <c r="AG39" i="6" s="1"/>
  <c r="AG129" i="6"/>
  <c r="AG877" i="6"/>
  <c r="AG807" i="6"/>
  <c r="AG960" i="6"/>
  <c r="AG795" i="6"/>
  <c r="AG967" i="6"/>
  <c r="AF136" i="6"/>
  <c r="AG136" i="6" s="1"/>
  <c r="AG851" i="6"/>
  <c r="AF59" i="6"/>
  <c r="AG59" i="6" s="1"/>
  <c r="AF60" i="6"/>
  <c r="AG60" i="6" s="1"/>
  <c r="AG810" i="6"/>
  <c r="AG938" i="6"/>
  <c r="AG957" i="6"/>
  <c r="AF57" i="6"/>
  <c r="AG57" i="6" s="1"/>
  <c r="AG962" i="6"/>
  <c r="AG969" i="6"/>
  <c r="AF40" i="6"/>
  <c r="AG40" i="6" s="1"/>
  <c r="AE974" i="6"/>
  <c r="AG974" i="6" s="1"/>
  <c r="AC121" i="3"/>
  <c r="AE121" i="3" s="1"/>
  <c r="AC89" i="3"/>
  <c r="AE89" i="3" s="1"/>
  <c r="AC97" i="3"/>
  <c r="AE97" i="3" s="1"/>
  <c r="AC78" i="3"/>
  <c r="AD78" i="3" s="1"/>
  <c r="AC79" i="3"/>
  <c r="AE79" i="3" s="1"/>
  <c r="AC19" i="3"/>
  <c r="AE19" i="3" s="1"/>
  <c r="AC116" i="3"/>
  <c r="AD116" i="3" s="1"/>
  <c r="AC119" i="3"/>
  <c r="AE119" i="3" s="1"/>
  <c r="AC12" i="3"/>
  <c r="AD12" i="3" s="1"/>
  <c r="AC68" i="3"/>
  <c r="AE68" i="3" s="1"/>
  <c r="AC60" i="3"/>
  <c r="AD60" i="3" s="1"/>
  <c r="AC69" i="3"/>
  <c r="AE69" i="3" s="1"/>
  <c r="AC77" i="3"/>
  <c r="AE77" i="3" s="1"/>
  <c r="AC26" i="3"/>
  <c r="AE26" i="3" s="1"/>
  <c r="AC37" i="3"/>
  <c r="AD37" i="3" s="1"/>
  <c r="AC120" i="3"/>
  <c r="AE120" i="3" s="1"/>
  <c r="AC118" i="3"/>
  <c r="AE118" i="3" s="1"/>
  <c r="AC128" i="3"/>
  <c r="AE128" i="3" s="1"/>
  <c r="AC42" i="3"/>
  <c r="AE42" i="3" s="1"/>
  <c r="AC23" i="3"/>
  <c r="AE23" i="3" s="1"/>
  <c r="AC108" i="3"/>
  <c r="AD108" i="3" s="1"/>
  <c r="AC25" i="3"/>
  <c r="AE25" i="3" s="1"/>
  <c r="AC122" i="3"/>
  <c r="AE122" i="3" s="1"/>
  <c r="AC115" i="3"/>
  <c r="AE115" i="3" s="1"/>
  <c r="AC32" i="3"/>
  <c r="AE32" i="3" s="1"/>
  <c r="AC113" i="3"/>
  <c r="AE113" i="3" s="1"/>
  <c r="X36" i="3"/>
  <c r="AG1255" i="6"/>
  <c r="AE1260" i="6"/>
  <c r="AG1260" i="6" s="1"/>
  <c r="AE1261" i="6"/>
  <c r="AG1261" i="6" s="1"/>
  <c r="AD1259" i="6"/>
  <c r="AF1259" i="6" s="1"/>
  <c r="AD1262" i="6"/>
  <c r="AF1262" i="6" s="1"/>
  <c r="AE1263" i="6"/>
  <c r="AG1263" i="6" s="1"/>
  <c r="AE1254" i="6"/>
  <c r="AG1254" i="6" s="1"/>
  <c r="AE1257" i="6"/>
  <c r="AG1257" i="6" s="1"/>
  <c r="AD1256" i="6"/>
  <c r="AE1256" i="6" s="1"/>
  <c r="AE1258" i="6"/>
  <c r="AG1258" i="6" s="1"/>
  <c r="AG459" i="6"/>
  <c r="AG10" i="6"/>
  <c r="AG512" i="6"/>
  <c r="AG251" i="6"/>
  <c r="AG261" i="6"/>
  <c r="AG281" i="6"/>
  <c r="AG169" i="6"/>
  <c r="AG201" i="6"/>
  <c r="AG473" i="6"/>
  <c r="AG110" i="6"/>
  <c r="AG515" i="6"/>
  <c r="AG399" i="6"/>
  <c r="AG249" i="6"/>
  <c r="AG1191" i="6"/>
  <c r="AG227" i="6"/>
  <c r="AG248" i="6"/>
  <c r="AG209" i="6"/>
  <c r="AG189" i="6"/>
  <c r="AG294" i="6"/>
  <c r="AG1189" i="6"/>
  <c r="AG405" i="6"/>
  <c r="AG160" i="6"/>
  <c r="AG481" i="6"/>
  <c r="AG509" i="6"/>
  <c r="AG483" i="6"/>
  <c r="AG177" i="6"/>
  <c r="AG253" i="6"/>
  <c r="AG342" i="6"/>
  <c r="AG9" i="6"/>
  <c r="AG378" i="6"/>
  <c r="AG507" i="6"/>
  <c r="AG419" i="6"/>
  <c r="AG271" i="6"/>
  <c r="AG354" i="6"/>
  <c r="AG346" i="6"/>
  <c r="AG1197" i="6"/>
  <c r="AD1141" i="6"/>
  <c r="AF1141" i="6" s="1"/>
  <c r="AF333" i="6"/>
  <c r="AG333" i="6" s="1"/>
  <c r="AG7" i="6"/>
  <c r="AG513" i="6"/>
  <c r="AG147" i="6"/>
  <c r="AG164" i="6"/>
  <c r="AG499" i="6"/>
  <c r="AG554" i="6"/>
  <c r="AG117" i="6"/>
  <c r="AG304" i="6"/>
  <c r="AG198" i="6"/>
  <c r="AD33" i="6"/>
  <c r="AE33" i="6" s="1"/>
  <c r="AG1253" i="6"/>
  <c r="AG545" i="6"/>
  <c r="AG421" i="6"/>
  <c r="AG114" i="6"/>
  <c r="AG517" i="6"/>
  <c r="AG491" i="6"/>
  <c r="AG403" i="6"/>
  <c r="AD38" i="3"/>
  <c r="AE63" i="3"/>
  <c r="AD10" i="3"/>
  <c r="AD129" i="3"/>
  <c r="AE18" i="3"/>
  <c r="AD106" i="3"/>
  <c r="AE64" i="3"/>
  <c r="AG99" i="6"/>
  <c r="AE1150" i="6"/>
  <c r="AF1150" i="6"/>
  <c r="AE40" i="3"/>
  <c r="AC90" i="3"/>
  <c r="AE90" i="3" s="1"/>
  <c r="AD22" i="3"/>
  <c r="AC117" i="3"/>
  <c r="AE117" i="3" s="1"/>
  <c r="AC98" i="3"/>
  <c r="AG560" i="6"/>
  <c r="AG347" i="6"/>
  <c r="AG334" i="6"/>
  <c r="AG553" i="6"/>
  <c r="AG111" i="6"/>
  <c r="AG250" i="6"/>
  <c r="AG374" i="6"/>
  <c r="AG236" i="6"/>
  <c r="AG390" i="6"/>
  <c r="AG380" i="6"/>
  <c r="AG475" i="6"/>
  <c r="AG498" i="6"/>
  <c r="AG98" i="6"/>
  <c r="AG103" i="6"/>
  <c r="AG155" i="6"/>
  <c r="AG16" i="6"/>
  <c r="AG228" i="6"/>
  <c r="AG234" i="6"/>
  <c r="AG192" i="6"/>
  <c r="AG144" i="6"/>
  <c r="AG254" i="6"/>
  <c r="AF454" i="6"/>
  <c r="AG454" i="6" s="1"/>
  <c r="AE437" i="6"/>
  <c r="AG437" i="6" s="1"/>
  <c r="AG289" i="6"/>
  <c r="AE436" i="6"/>
  <c r="AG436" i="6" s="1"/>
  <c r="AE20" i="6"/>
  <c r="AG20" i="6" s="1"/>
  <c r="AG1183" i="6"/>
  <c r="AG442" i="6"/>
  <c r="AF222" i="6"/>
  <c r="AG222" i="6" s="1"/>
  <c r="AF22" i="6"/>
  <c r="AG22" i="6" s="1"/>
  <c r="AE1137" i="6"/>
  <c r="AF1137" i="6"/>
  <c r="AG1370" i="6" l="1"/>
  <c r="AB793" i="6"/>
  <c r="Y1377" i="6"/>
  <c r="AE78" i="3"/>
  <c r="AF78" i="3" s="1"/>
  <c r="AD119" i="3"/>
  <c r="AF119" i="3" s="1"/>
  <c r="AD32" i="3"/>
  <c r="AF32" i="3" s="1"/>
  <c r="AD128" i="3"/>
  <c r="AF128" i="3" s="1"/>
  <c r="AD69" i="3"/>
  <c r="AF69" i="3" s="1"/>
  <c r="AD121" i="3"/>
  <c r="AF121" i="3" s="1"/>
  <c r="AE60" i="3"/>
  <c r="AF60" i="3" s="1"/>
  <c r="AD19" i="3"/>
  <c r="AF19" i="3" s="1"/>
  <c r="AF13" i="3"/>
  <c r="AD115" i="3"/>
  <c r="AF115" i="3" s="1"/>
  <c r="AE37" i="3"/>
  <c r="AF37" i="3" s="1"/>
  <c r="AD23" i="3"/>
  <c r="AF23" i="3" s="1"/>
  <c r="AG48" i="6"/>
  <c r="AG53" i="6"/>
  <c r="AD120" i="3"/>
  <c r="AF120" i="3" s="1"/>
  <c r="AE12" i="3"/>
  <c r="AF12" i="3" s="1"/>
  <c r="AD97" i="3"/>
  <c r="AF97" i="3" s="1"/>
  <c r="AD26" i="3"/>
  <c r="AF26" i="3" s="1"/>
  <c r="AD68" i="3"/>
  <c r="AF68" i="3" s="1"/>
  <c r="AD79" i="3"/>
  <c r="AF79" i="3" s="1"/>
  <c r="AD25" i="3"/>
  <c r="AF25" i="3" s="1"/>
  <c r="AD118" i="3"/>
  <c r="AF118" i="3" s="1"/>
  <c r="AE116" i="3"/>
  <c r="AF116" i="3" s="1"/>
  <c r="AD89" i="3"/>
  <c r="AF89" i="3" s="1"/>
  <c r="AD77" i="3"/>
  <c r="AF77" i="3" s="1"/>
  <c r="AD122" i="3"/>
  <c r="AF122" i="3" s="1"/>
  <c r="AE108" i="3"/>
  <c r="AF108" i="3" s="1"/>
  <c r="AD42" i="3"/>
  <c r="AF42" i="3" s="1"/>
  <c r="AD113" i="3"/>
  <c r="AF113" i="3" s="1"/>
  <c r="AF22" i="3"/>
  <c r="AF40" i="3"/>
  <c r="AF64" i="3"/>
  <c r="AF106" i="3"/>
  <c r="AF18" i="3"/>
  <c r="AC4" i="3"/>
  <c r="AE4" i="3" s="1"/>
  <c r="AF129" i="3"/>
  <c r="AF10" i="3"/>
  <c r="AF63" i="3"/>
  <c r="AF38" i="3"/>
  <c r="Z36" i="3"/>
  <c r="AF1256" i="6"/>
  <c r="AG1256" i="6" s="1"/>
  <c r="AE1259" i="6"/>
  <c r="AG1259" i="6" s="1"/>
  <c r="AE1262" i="6"/>
  <c r="AG1262" i="6" s="1"/>
  <c r="AE1141" i="6"/>
  <c r="AG1141" i="6" s="1"/>
  <c r="AF33" i="6"/>
  <c r="AG33" i="6" s="1"/>
  <c r="AG1150" i="6"/>
  <c r="AD117" i="3"/>
  <c r="AD98" i="3"/>
  <c r="AD90" i="3"/>
  <c r="AE98" i="3"/>
  <c r="AG1137" i="6"/>
  <c r="AD4" i="3" l="1"/>
  <c r="AF4" i="3" s="1"/>
  <c r="AD793" i="6"/>
  <c r="AE793" i="6" s="1"/>
  <c r="AB1377" i="6"/>
  <c r="AF90" i="3"/>
  <c r="AF117" i="3"/>
  <c r="AA36" i="3"/>
  <c r="AE1377" i="6"/>
  <c r="AF98" i="3"/>
  <c r="AF793" i="6" l="1"/>
  <c r="AD1377" i="6"/>
  <c r="AC36" i="3"/>
  <c r="AF1377" i="6" l="1"/>
  <c r="AG793" i="6"/>
  <c r="AG1377" i="6" s="1"/>
  <c r="AD36" i="3"/>
  <c r="AE36" i="3"/>
  <c r="AF36" i="3" l="1"/>
  <c r="V50" i="3"/>
  <c r="Z50" i="3" l="1"/>
  <c r="X50" i="3"/>
  <c r="AA50" i="3" l="1"/>
  <c r="AC50" i="3" l="1"/>
  <c r="AE50" i="3" l="1"/>
  <c r="AD50" i="3"/>
  <c r="AF50" i="3" l="1"/>
  <c r="AF146"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B9B33E7-B2AB-40BF-8A2F-9BDD9ABEC153}" name="WorksheetConnection_01. Services_D.V._25.09.23.xlsm!Design_Data" type="102" refreshedVersion="8" minRefreshableVersion="5">
    <extLst>
      <ext xmlns:x15="http://schemas.microsoft.com/office/spreadsheetml/2010/11/main" uri="{DE250136-89BD-433C-8126-D09CA5730AF9}">
        <x15:connection id="Design_Data" autoDelete="1">
          <x15:rangePr sourceName="_xlcn.WorksheetConnection_01.Services_D.V._25.09.23.xlsmDesign_Data1"/>
        </x15:connection>
      </ext>
    </extLst>
  </connection>
  <connection id="2" xr16:uid="{E9176D12-7E5F-4E52-B82C-2FD2110B9C99}" name="WorksheetConnection_01. Services_D.V._25.09.23.xlsm!Visual_Data" type="102" refreshedVersion="8" minRefreshableVersion="5">
    <extLst>
      <ext xmlns:x15="http://schemas.microsoft.com/office/spreadsheetml/2010/11/main" uri="{DE250136-89BD-433C-8126-D09CA5730AF9}">
        <x15:connection id="Visual_Data">
          <x15:rangePr sourceName="_xlcn.WorksheetConnection_01.Services_D.V._25.09.23.xlsmVisual_Data1"/>
        </x15:connection>
      </ext>
    </extLst>
  </connection>
  <connection id="3" xr16:uid="{6F5E359C-B8A6-4640-B649-8D58409D3C2F}" name="WorksheetConnection_01. Services_Enero.xlsm!V.sual_Descripciones" type="102" refreshedVersion="8" minRefreshableVersion="5">
    <extLst>
      <ext xmlns:x15="http://schemas.microsoft.com/office/spreadsheetml/2010/11/main" uri="{DE250136-89BD-433C-8126-D09CA5730AF9}">
        <x15:connection id="V sual_Descripciones">
          <x15:rangePr sourceName="_xlcn.WorksheetConnection_01.Services_Enero.xlsmV.sual_Descripciones1"/>
        </x15:connection>
      </ext>
    </extLst>
  </connection>
</connections>
</file>

<file path=xl/sharedStrings.xml><?xml version="1.0" encoding="utf-8"?>
<sst xmlns="http://schemas.openxmlformats.org/spreadsheetml/2006/main" count="14472" uniqueCount="1410">
  <si>
    <t>TIPO DE CLIENTE</t>
  </si>
  <si>
    <t>NECESIDAD O DESEO</t>
  </si>
  <si>
    <t>DOLOR O DESEO TÉCNICO</t>
  </si>
  <si>
    <r>
      <t xml:space="preserve">FEDPICA
</t>
    </r>
    <r>
      <rPr>
        <sz val="10"/>
        <color theme="0"/>
        <rFont val="Rota Bd"/>
        <family val="3"/>
      </rPr>
      <t xml:space="preserve">(Emoción | Dolor </t>
    </r>
    <r>
      <rPr>
        <sz val="10"/>
        <color theme="0"/>
        <rFont val="rota"/>
        <family val="3"/>
        <scheme val="major"/>
      </rPr>
      <t>| frustra, enoja, desespera, preocupa, incomoda, cansancio o angustia )</t>
    </r>
  </si>
  <si>
    <t>CONSECUENCIA</t>
  </si>
  <si>
    <t>INSIGHT DE SOLUCIÓN</t>
  </si>
  <si>
    <t>LÍNEA DE SOLUCIÓN</t>
  </si>
  <si>
    <t>PAQUETES DE SOLUCIÓN</t>
  </si>
  <si>
    <t>SERVICIOS
DE SOLUCIÓN</t>
  </si>
  <si>
    <t>B2B</t>
  </si>
  <si>
    <t>Necesidad</t>
  </si>
  <si>
    <t>Tengo planimetría o diseño del proyecto y quiero entenderlo mejor antes de comenzar a construir.</t>
  </si>
  <si>
    <t>D.sign</t>
  </si>
  <si>
    <r>
      <t xml:space="preserve">Visualiza tu proyecto
</t>
    </r>
    <r>
      <rPr>
        <b/>
        <sz val="11"/>
        <rFont val="Rota"/>
        <family val="3"/>
      </rPr>
      <t>(Modela con Renders ilimitados)</t>
    </r>
  </si>
  <si>
    <t>V1</t>
  </si>
  <si>
    <t>Soy un diseñador o arquitecto y no se nada de software, quiero apoyo en esto.</t>
  </si>
  <si>
    <t>V2</t>
  </si>
  <si>
    <t>Tengo un proyecto con renders insuficientes o de mala calidad y eso hace que mis ventas no sean eficientes. Necesita mayor impacto.</t>
  </si>
  <si>
    <t>V3</t>
  </si>
  <si>
    <t>Calidad en el diseño</t>
  </si>
  <si>
    <t>No es solo un proyecto wellness
Debe ser el mejor proyecto wellness</t>
  </si>
  <si>
    <t xml:space="preserve">Todos los días nacen nuevos proyectos orientados al bienestar, y la diferenciación es clave en cualquier proyecto inmobiliario. La categoría Wellness no es la excepción. </t>
  </si>
  <si>
    <t>Somos especialistas en crear espacios únicos, con ADN propio, que crean tendencias.</t>
  </si>
  <si>
    <t>Falta de detalle y experiencia en el proceso constructivo</t>
  </si>
  <si>
    <t>Cuando el arquitecto no piensa en el detalle, nos toca solucionarlo en obra.</t>
  </si>
  <si>
    <t>El detalle es aquello que no se aprecia en el proceso de diseño, pero es evidente en el espacio cuando no se hace. En un proyecto orientado al bienestar, los pequeños detalles generan grandes resultados. Todo debe pensarse en equilibrio.</t>
  </si>
  <si>
    <t>Somos apasionados y meticulosos por el detalle, entendemos su importancia y cuidamos su ejecución.</t>
  </si>
  <si>
    <t>Experiencia única e hiper-personalizada</t>
  </si>
  <si>
    <t>Un servicio exclusivo y adaptado a los tiempos y 100% en la nube</t>
  </si>
  <si>
    <t xml:space="preserve">Estructurar y diseñar un proyecto inmobiliario es un proceso personal y exclusivo. No es posible copiar y pegar un proyecto. Se trata de hacerlo a la medida y en los tiempos en los que se requiere. </t>
  </si>
  <si>
    <t xml:space="preserve">Un servicio exclusivo y adaptado a los tiempos y 100% en la nube. </t>
  </si>
  <si>
    <t>Lo complejo que es capacitar equipos comerciales</t>
  </si>
  <si>
    <t>Capacitar equipos comerciales -técnicos es riesgoso, lento y costoso.</t>
  </si>
  <si>
    <t>Crear un equipo comercial, que venda con seguridad técnica y claridad arquitectónica, no es fácil de hacer. Sabemos que las imprecisiones o faltas de claridad pueden generar inconvenientes con los clientes.</t>
  </si>
  <si>
    <t>Somos comunicadores a partir del diseño y la construcción, nuestra especialidad es acompañar a los clientes en el diseño y construcción de su proyecto. Somos expertos en vivienda campestre.</t>
  </si>
  <si>
    <t>Sales</t>
  </si>
  <si>
    <t>Lentitud en los procesos y pérdida de ventas</t>
  </si>
  <si>
    <t>Un equipo comercial sin conocimiento técnico hace lentos los procesos y deja “enfríar” un cliente</t>
  </si>
  <si>
    <t>En las ventas, la agilidad, el servicio oportuno y una asesoría técnica es clave para transmitir confianza, y la confianza genera compras.</t>
  </si>
  <si>
    <t>Somos profesionales de la arquitectura, apasionados por las ventas. Nuestro conocimiento nos permite ser ágiles en las respuestas y asesorar muy bien al cliente en su proceso de compra.</t>
  </si>
  <si>
    <t>El diseño es estándar y siempre surgen cambios</t>
  </si>
  <si>
    <t>El diseño es una camisa de fuerza, los clientes siempre quieren hacer cambios.</t>
  </si>
  <si>
    <t>El diseño de las viviendas campestres siempre estarán ligadas a las particularidades y sueños de cada familia, por eso la personalización es clave para dentro de la experiencia de compra de una vivienda campestre.</t>
  </si>
  <si>
    <t>Somos diseñadores especializados en hiper-personalización de espacios con tecnología,. Nos apasiona acompañar a los clientes en ese proceso de personalización y cambios, y hacer que sus viviendas sean lo que siempre han soñado para su familia.</t>
  </si>
  <si>
    <t>Una vivienda no solo debe funcionar, debe emocionar.</t>
  </si>
  <si>
    <t>Calidad en el producto | Sé que las viviendas que tenemos hoy pueden tener un diseño de fachada más impactante y comercial sin perder la distribución ni el concepto del proyecto.</t>
  </si>
  <si>
    <t>Las viviendas campestres son parte del sueño colombiano de vivir en el nuevo lujo, el campo, sin embargo, cada vivienda debe ser en si misma una aspiración para quien la ve, una emoción, un deseo.</t>
  </si>
  <si>
    <t>Somos especialistas en crear espacios únicos, con ADN propio, espacios que funcionan pero también que emocionan.</t>
  </si>
  <si>
    <t>La velocidad es clave al comercializar una vivienda sobre planos, una respuesta tardía deja “enfríar” un cliente</t>
  </si>
  <si>
    <t>Velocidad | El equipo de diseño de LAR no tiene la velocidad de respuesta para la velocidad que requieren este tipo de servicios.</t>
  </si>
  <si>
    <t>En las ventas de arquitectura doméstica la agilidad, el servicio oportuno y una asesoría técnica es clave para transmitir confianza, y la confianza genera compras.</t>
  </si>
  <si>
    <t>Si la experiencia del cliente al conocer el proyecto no es emocionante, la venta es mas dificil.</t>
  </si>
  <si>
    <t>Experiencia de Usuario | El equipo de diseño no sabe comunicar bien, y esto no nos permite comercializar a la velocidad y asertividad que necesitamos.</t>
  </si>
  <si>
    <t>En la comercialización de vivienda campestre, importa el fondo y la forma, la experiencia del cliente al conocer el proyecto, la visualización y la información debe ser memorable y emocionante.</t>
  </si>
  <si>
    <t>Somos un equipo de arquitectura que entiende que, si los proyectos no emocionan, no venden. Nos hemos especializado en la construcción de estrategias de comunicación arquitectónicas para comunicar y vender mejor.</t>
  </si>
  <si>
    <t>B2C</t>
  </si>
  <si>
    <t>Una casa de diseño es como un traductor, conjugamos en un mismo diseño, deseos que la familia tiene en la cabeza con la funcionalidad y la estética.</t>
  </si>
  <si>
    <t>Le preocupa que su arquitecto no pueda interpretar y seguir su lista de deseos al pié de la letra y que le falte algún espacio que se sueña en su vivienda.</t>
  </si>
  <si>
    <t>Una vivienda que no tiene los espacios solicitados, es como el traje que se encarga a un sastre y queda pequeño.</t>
  </si>
  <si>
    <t xml:space="preserve">La buena arquitectura, fuera de emocionar y funcionar, debe ser como un traje a medida. </t>
  </si>
  <si>
    <t>V4</t>
  </si>
  <si>
    <t>La tecnología es un vehiculo para ver la casa terminada, antes de ser construida.</t>
  </si>
  <si>
    <t>Le preocupa que su diseño no se parezca a la construcción real del proyecto, o que como se vea en los renders no sea igual a lo recibido.</t>
  </si>
  <si>
    <t>El presupuesto, los materiales que no eran lo esperado y el tamaño de los espacios, son decisiones que no pueden dejarse a solo un plano.</t>
  </si>
  <si>
    <t>Hemos desarrollado experiencias digitales para que la toma de desiciones en la mesa de diseño, sea emocionante, y asertado.</t>
  </si>
  <si>
    <t>V.sual</t>
  </si>
  <si>
    <t>V5</t>
  </si>
  <si>
    <t>Calidad y asertividad en el diseño</t>
  </si>
  <si>
    <t>Lo frustraría mucho que sus espacios sean mas pequeños o poco iluminados a lo que está acostumbrado. Su vivienda actual es su punto de referencia.</t>
  </si>
  <si>
    <t>V6</t>
  </si>
  <si>
    <t>Deseo</t>
  </si>
  <si>
    <t>Confianza y Calidad en el diseño</t>
  </si>
  <si>
    <t>Lo emociona que sus espacios se parezcan a sus referentes de diseño, a sus espacios soñados, al estilo que mas le gusta. El cliente ya sabe que quiere, necesita un arquitecto que le ayude a plasmarlo.</t>
  </si>
  <si>
    <t>V7</t>
  </si>
  <si>
    <t>Disrupción y Calidad en el diseño</t>
  </si>
  <si>
    <t>Le incomoda que su casa se vea igual a las de sus vecinos. Quiere algo disruptivo, una vivienda que lo emocione, que le haga sentir orgullo. Que la pueda mostrar como un trofeo.</t>
  </si>
  <si>
    <t>V8</t>
  </si>
  <si>
    <t>CÓDIGO</t>
  </si>
  <si>
    <t>CATEGORÍA</t>
  </si>
  <si>
    <t>SUB CATEGORÍA</t>
  </si>
  <si>
    <t>NOMBRE DE SERVICIO</t>
  </si>
  <si>
    <t>ENTREGABLE</t>
  </si>
  <si>
    <t>UND ENTREGABLE</t>
  </si>
  <si>
    <t>CANTIDAD</t>
  </si>
  <si>
    <t>ACTIVIDADES CLAVES</t>
  </si>
  <si>
    <t># 
ACCIONES</t>
  </si>
  <si>
    <t>ACCIONES CLAVES</t>
  </si>
  <si>
    <t>RESPONSABLE</t>
  </si>
  <si>
    <t>TIEMPO (HORAS)</t>
  </si>
  <si>
    <t>HONORARIOS POR HORA ($COP)</t>
  </si>
  <si>
    <t>SUBTOTAL 
HONORARIOS ($COP)</t>
  </si>
  <si>
    <t>HARDWARE 
($ DEPRECIACIÓN)</t>
  </si>
  <si>
    <t>SOFTWARE (LICENCIAS)</t>
  </si>
  <si>
    <t>CONSUMIBLES ($ INSUMOS)</t>
  </si>
  <si>
    <t>SUBCONTRATOS</t>
  </si>
  <si>
    <t>COSTO 
DIRECTO ($COP)</t>
  </si>
  <si>
    <t>PRORRATEO GASTOS ($COP)</t>
  </si>
  <si>
    <t>COSTOS OPERACIONALES ($COP)</t>
  </si>
  <si>
    <t>DESFASE (%)</t>
  </si>
  <si>
    <t>DESFASE ($COP)</t>
  </si>
  <si>
    <t>UTILIDAD (%)</t>
  </si>
  <si>
    <t>UTILIDAD ($COP)</t>
  </si>
  <si>
    <t>VALOR NETO ($COP)</t>
  </si>
  <si>
    <t>MÁRGEN DE NEGOCIACIÓN (%)</t>
  </si>
  <si>
    <t>NEGOCIACIÓN ($COP)</t>
  </si>
  <si>
    <t>ICA ($COP)</t>
  </si>
  <si>
    <t>4 * 1000 ($COP)</t>
  </si>
  <si>
    <t>VALOR TOTAL SERVICIO ($COP)</t>
  </si>
  <si>
    <t>V0.1</t>
  </si>
  <si>
    <t>V0. Modelación 3D</t>
  </si>
  <si>
    <t>02. Ed. Exterior</t>
  </si>
  <si>
    <t>Modelado arquitectónico sobre planos para visualización arquitectónica</t>
  </si>
  <si>
    <t>MODELO 3D</t>
  </si>
  <si>
    <t>SKP RVT</t>
  </si>
  <si>
    <t>Verificación y revisión</t>
  </si>
  <si>
    <t>Verificación de insumos base: planimetría o modelos suministrados por cliente. 1 ) Topografía con altimetría 2) Elementos arquitectónicos básicos (muros, puertas, ventanas, cubiertas, estructura) 3) Niveles alturas y toda información en sección y fachada. 4) Especificaciones mínimas de materiales, acabados y elementos fijos dentro de la arquitectura. 5) La información planimétrica debe estar como mínimo en formato DWG.</t>
  </si>
  <si>
    <t>VL | Visual Leader</t>
  </si>
  <si>
    <t>Preparación</t>
  </si>
  <si>
    <t>Importación de información planimétrica base a motor de modelado 3D (Revit) para modelado de estructura y arquitectura base</t>
  </si>
  <si>
    <t>VS | Visual Support</t>
  </si>
  <si>
    <t>Modelación</t>
  </si>
  <si>
    <r>
      <rPr>
        <sz val="12"/>
        <color rgb="FF000000"/>
        <rFont val="rota"/>
        <family val="3"/>
        <scheme val="major"/>
      </rPr>
      <t xml:space="preserve">Modelar adecuadamente </t>
    </r>
    <r>
      <rPr>
        <b/>
        <sz val="12"/>
        <color rgb="FF000000"/>
        <rFont val="rota"/>
        <family val="3"/>
        <scheme val="major"/>
      </rPr>
      <t xml:space="preserve">la arquitectura </t>
    </r>
    <r>
      <rPr>
        <sz val="12"/>
        <color rgb="FF000000"/>
        <rFont val="rota"/>
        <family val="3"/>
        <scheme val="major"/>
      </rPr>
      <t xml:space="preserve">basada en la información planimétrica suministrada por el cliente. 1) Estructura 2) Elementos arquitectónicos como puertas, ventanas y muros. 3)  Creación de materiales diferenciados y con nombres </t>
    </r>
  </si>
  <si>
    <r>
      <rPr>
        <sz val="12"/>
        <color rgb="FF000000"/>
        <rFont val="rota"/>
        <family val="3"/>
        <scheme val="major"/>
      </rPr>
      <t>Modelado de detalles especiales</t>
    </r>
    <r>
      <rPr>
        <b/>
        <sz val="12"/>
        <color rgb="FF000000"/>
        <rFont val="rota"/>
        <family val="3"/>
        <scheme val="major"/>
      </rPr>
      <t>:Edficios</t>
    </r>
    <r>
      <rPr>
        <sz val="12"/>
        <color rgb="FF000000"/>
        <rFont val="rota"/>
        <family val="3"/>
        <scheme val="major"/>
      </rPr>
      <t xml:space="preserve"> Pomos de puertas, marcos, griferías, zócalos, muebles de baño, muebles fijos, dispositivos de iluminación, cielos falsos detalles en ventanas.</t>
    </r>
  </si>
  <si>
    <t>Exportar los insumos requeridos (Modelos 3D en los formatos requeridos)</t>
  </si>
  <si>
    <t>V0.2</t>
  </si>
  <si>
    <t>01. Urb</t>
  </si>
  <si>
    <t>Modelo tridimensional para visualización de urbanismo</t>
  </si>
  <si>
    <t xml:space="preserve">Verificar:  importación de insumos base: modelos con los estándares técnicos y estéticos requeridos para la correcta visualización: Modelado correcto de la arquitectura, materiales con su debido nombre, Topografía. </t>
  </si>
  <si>
    <t>Pre modelado</t>
  </si>
  <si>
    <r>
      <rPr>
        <sz val="12"/>
        <color rgb="FF000000"/>
        <rFont val="rota"/>
        <family val="3"/>
        <scheme val="major"/>
      </rPr>
      <t>Modelado de detalles especiales</t>
    </r>
    <r>
      <rPr>
        <b/>
        <sz val="12"/>
        <color rgb="FF000000"/>
        <rFont val="rota"/>
        <family val="3"/>
        <scheme val="major"/>
      </rPr>
      <t xml:space="preserve">:Urbanismo/Parcelaciones : </t>
    </r>
    <r>
      <rPr>
        <sz val="12"/>
        <color rgb="FF000000"/>
        <rFont val="rota"/>
        <family val="3"/>
        <scheme val="major"/>
      </rPr>
      <t>Bordillos, iluminación, ajuste de vías, ajuste de puntos topográficos, andenes mobiliario fijo etc. Exportar D5a</t>
    </r>
  </si>
  <si>
    <r>
      <rPr>
        <sz val="12"/>
        <color rgb="FF000000"/>
        <rFont val="rota"/>
        <family val="3"/>
        <scheme val="major"/>
      </rPr>
      <t xml:space="preserve">Preparar motor de render: creación del archivo dentro del motor de render en un archivo totalmente nuevo y con parámetros por defecto. homologación de materiales para su correcta aplicación, guardar archivo </t>
    </r>
    <r>
      <rPr>
        <b/>
        <sz val="12"/>
        <color rgb="FF000000"/>
        <rFont val="rota"/>
        <family val="3"/>
        <scheme val="major"/>
      </rPr>
      <t>NOMBREDELPROYECTO_ESPACIO_FECHA</t>
    </r>
  </si>
  <si>
    <t>Dirección creativa</t>
  </si>
  <si>
    <t>Revisión 1 y 2 control de calidad</t>
  </si>
  <si>
    <t>Ambientación de urbanismos</t>
  </si>
  <si>
    <t xml:space="preserve">Crear un entorno que represente el entorno real del proyecto, a partir de imágenes y videos de dron recrear un modelo 3DGs mediante KIRI engine, exportarlo en formatos 3d OBJ y edición en blender para posterior unión en D5 render </t>
  </si>
  <si>
    <t>Referenciar, buscar, preparar y modificar modelos 3D de mobiliario, vehículos y demás elementos exteriores que ambienten el urbanismo para su correcta aplicación en el motor de render.</t>
  </si>
  <si>
    <t>Mapeo de materiales para urbanismo</t>
  </si>
  <si>
    <t>Configuración y creación :crear materiales según diseño arquitectónico y especificaciones, uso de bitmaps escalados y referenciados al material real</t>
  </si>
  <si>
    <t>Mapeo: aplicar  materiales en el motor de render, configuración de parámetros físicos que se asemejan a la realidad  debidamente escalados</t>
  </si>
  <si>
    <t>AJUSTES</t>
  </si>
  <si>
    <t>Ajustes derivadas de la revisión</t>
  </si>
  <si>
    <t>Experiencia de visualización en tiempo real con cliente</t>
  </si>
  <si>
    <t>Generar una reunión con cliente donde recibirá la experiencia de recorrer su proyecto con visualización en tiempo real apreciando el proyecto en sus 3 dimensiones.</t>
  </si>
  <si>
    <t>V1.1</t>
  </si>
  <si>
    <t>V1. Imágenes</t>
  </si>
  <si>
    <t>Pack ilimitado Imágenes de Urbanismo</t>
  </si>
  <si>
    <t>IMÁGENES  X10</t>
  </si>
  <si>
    <t>PNG JG</t>
  </si>
  <si>
    <t>Renderizado</t>
  </si>
  <si>
    <t>Tiempo de renderizado</t>
  </si>
  <si>
    <t>PC | Elena</t>
  </si>
  <si>
    <t>Configuración de iluminación y efectos de renderizado</t>
  </si>
  <si>
    <t>Configuración de iluminación natural general según alcance</t>
  </si>
  <si>
    <t>Configuración de efectos según alcances de calidad (, reflexión, sombras…)</t>
  </si>
  <si>
    <t>Encuadres y escenas</t>
  </si>
  <si>
    <t>Escoger, según el alcance esperado, las escenas a renderizar (para este tipo de producto se recomienda imágenes aéreas tipo dron )</t>
  </si>
  <si>
    <t>Encuadrar según criterios básicos de estética y fotografía el número de imágenes estáticas según el alcance especificado.</t>
  </si>
  <si>
    <t>Velar por el correcto renderizado de las escenas escogidas, manjear los tiempos de render según el motor de render y guardar cada entregable con su debida nomenclatura, (tiempo x 1 imagen)</t>
  </si>
  <si>
    <t>Edición de imágenes en photoshop, correción de colores, contrastes, brillos, sombras y demás.</t>
  </si>
  <si>
    <t>Revisión de encuadres, efectos y configuraciones de render</t>
  </si>
  <si>
    <t>V0.3</t>
  </si>
  <si>
    <t xml:space="preserve">Modelo tridimensional para visualización de edificios exteriores </t>
  </si>
  <si>
    <t>Verificar:  importación de insumos base: modelos con los estándares técnicos y estéticos requeridos para la correcta visualización. importación al motor de renderizado bajo los parámetros de calidad necesarios según el motor</t>
  </si>
  <si>
    <t xml:space="preserve">Modelado de detalles especiales para la visualización: Cornizas, tejas (si se requiere) detalles en estructura, ventanas específicas, puertas específicas. en general todo el modelado arquitectónico necesario para una visualización realista. </t>
  </si>
  <si>
    <r>
      <t xml:space="preserve">Preparar motor de render: creación del archivo dentro del motor de render en un archivo totalmente nuevo y con parámetros por defecto. homologación de materiales para su correcta aplicación, guardar archivo </t>
    </r>
    <r>
      <rPr>
        <b/>
        <sz val="12"/>
        <color rgb="FF000000"/>
        <rFont val="Rota"/>
        <family val="3"/>
      </rPr>
      <t>NOMBREDELPROYECTO_ESPACIO_FECHA</t>
    </r>
  </si>
  <si>
    <t>Importar correctamente en el motor de render</t>
  </si>
  <si>
    <t>Mapeo de materiales para edificio</t>
  </si>
  <si>
    <t>Revisión</t>
  </si>
  <si>
    <t>Revisión 1 y 2</t>
  </si>
  <si>
    <t>Ambientacion y modelado complementario de edificio</t>
  </si>
  <si>
    <t>Aplicar modelos de vegetación debidamente agrupados o en capas específicas para la correcta visualización del modelo, la aplicación de la vegetación debe estar dada siempre por un diseño de paisajismo o un orden dado por el lugar mismo.</t>
  </si>
  <si>
    <t xml:space="preserve">Según moodboard, diseño, intenciones y referentes  - Modelar, escoger, agrupar e importar los modelos de ambientación exterior para edificios (mobiliario exterior, personas en 3d, autos etc..) </t>
  </si>
  <si>
    <t>Experiencia de visualización en tiempo real (lumion model</t>
  </si>
  <si>
    <t>V1.2</t>
  </si>
  <si>
    <t>Pack ilimitado  Imagen de edificios exteriores</t>
  </si>
  <si>
    <t xml:space="preserve">Renderizado </t>
  </si>
  <si>
    <t>Tiempo de renderizado en máquina (imagen 2048 × 1080 2k)</t>
  </si>
  <si>
    <t xml:space="preserve">Encuadres y escenas </t>
  </si>
  <si>
    <t>Escoger, según el alcance esperado, las escenas a renderizar</t>
  </si>
  <si>
    <t>Velar por el correcto renderizado de las escenas escogidas, manjear los tiempos de render según el motor de render y guardar cada entregable con su debida nomenclatura,</t>
  </si>
  <si>
    <t>V0.4</t>
  </si>
  <si>
    <t>03. Ed. Interior</t>
  </si>
  <si>
    <t>Modelo de ambientación interior</t>
  </si>
  <si>
    <t>VM | VisuaL Manager</t>
  </si>
  <si>
    <t xml:space="preserve">Modelado de detalles especiales para la visualización: Zócalos, ventanas y puertas específicas, cielos, muebles fijos como sanitarios, muebles de lavamanos, clósets, etc. </t>
  </si>
  <si>
    <t xml:space="preserve">Mapeo de materiales para interior </t>
  </si>
  <si>
    <t xml:space="preserve">Ambientacion y modelado de mobiliario interior </t>
  </si>
  <si>
    <r>
      <rPr>
        <b/>
        <sz val="12"/>
        <color rgb="FF000000"/>
        <rFont val="rota"/>
        <family val="3"/>
        <scheme val="major"/>
      </rPr>
      <t>Esquema de diseño interior Básico</t>
    </r>
    <r>
      <rPr>
        <sz val="12"/>
        <color rgb="FF000000"/>
        <rFont val="rota"/>
        <family val="3"/>
        <scheme val="major"/>
      </rPr>
      <t xml:space="preserve"> Según diseño arquitectónico Escoger:mobiliario y demás objetos 3d en la esecena a usar, encontrar y establecer el tipo de vegetación predominante según la ubicación geográfica, descargar y guardar debidamente los modelos externos elegidos.</t>
    </r>
  </si>
  <si>
    <t>Aplicar modelos de mobiliario, decoración y vegetación debidamente agrupados o en capas específicas para la correcta visualización del modelo, la aplicación de la vegetación debe estar dada siempre por un diseño de paisajismo o un orden dado por el lugar mismo.</t>
  </si>
  <si>
    <t>V0.5</t>
  </si>
  <si>
    <t>04. Todos</t>
  </si>
  <si>
    <t>Modelo implantado  Gaussian Splatting para plataformas</t>
  </si>
  <si>
    <t>PLY GS3D</t>
  </si>
  <si>
    <t>Información base</t>
  </si>
  <si>
    <t>Verificar la información basada en videos del entorno del proyecto, estos videos deben ser un "paneo" 360  completo del entorno, también, que el archivo 3d de la arquitectura este en orden procurando que sea RVT o SKP</t>
  </si>
  <si>
    <t>GS de entorno</t>
  </si>
  <si>
    <r>
      <rPr>
        <sz val="12"/>
        <color rgb="FF000000"/>
        <rFont val="rota"/>
        <scheme val="major"/>
      </rPr>
      <t xml:space="preserve">Crear GS partiendo de los videos, Usando </t>
    </r>
    <r>
      <rPr>
        <b/>
        <sz val="12"/>
        <color rgb="FF000000"/>
        <rFont val="rota"/>
        <scheme val="major"/>
      </rPr>
      <t>Postshot, LumaLabs o kiri Engine</t>
    </r>
    <r>
      <rPr>
        <sz val="12"/>
        <color rgb="FF000000"/>
        <rFont val="rota"/>
        <scheme val="major"/>
      </rPr>
      <t xml:space="preserve">, crear archivo PLY del entorno </t>
    </r>
  </si>
  <si>
    <t>Insertar el archivo PLY en postshot, limpiar el modelo con la herramienta de borrador procurando dejar el entorno tal cual</t>
  </si>
  <si>
    <t>GS de edifcio</t>
  </si>
  <si>
    <t>Después de verificar el RVT o SKP del proyecto arquitectónico, ingresarlo a D5 (Sin topografía, solo la arquitectura) poner materiales y amoblar si es necesario espacios  que puedan ser visibiles desde el exterior</t>
  </si>
  <si>
    <t>En d5, crear y renderizar 1 clip que siga los principios de un video para creación de GS, necesario panear el proyecto 360</t>
  </si>
  <si>
    <r>
      <rPr>
        <sz val="12"/>
        <color rgb="FF000000"/>
        <rFont val="rota"/>
        <scheme val="major"/>
      </rPr>
      <t xml:space="preserve">Crear GS partiendo de los videos, Usando </t>
    </r>
    <r>
      <rPr>
        <b/>
        <sz val="12"/>
        <color rgb="FF000000"/>
        <rFont val="rota"/>
        <scheme val="major"/>
      </rPr>
      <t>Postshot, LumaLabs o kiri Engine</t>
    </r>
    <r>
      <rPr>
        <sz val="12"/>
        <color rgb="FF000000"/>
        <rFont val="rota"/>
        <scheme val="major"/>
      </rPr>
      <t>, crear archivo PLY del edificio</t>
    </r>
  </si>
  <si>
    <t>Implantación</t>
  </si>
  <si>
    <t>Usando Postshot, importar ambos PLY, y usando las herramientas de mov er, rotar y escalar implantar el proyecto en su sitio.</t>
  </si>
  <si>
    <t>Exportar PLY 3DS para su uso en plataformas.</t>
  </si>
  <si>
    <t>Crear Imágenes con IA</t>
  </si>
  <si>
    <t xml:space="preserve">Pack </t>
  </si>
  <si>
    <t>1</t>
  </si>
  <si>
    <t>Producir Imágenes</t>
  </si>
  <si>
    <t>Producir Imágenes requeridas apoya de IA y unos recursos mínimos o imputs</t>
  </si>
  <si>
    <t>V1.3</t>
  </si>
  <si>
    <t>Parck ilimitado de Imagen de interiores</t>
  </si>
  <si>
    <t>Iluminación natural según el motor de render usado. configurar los valores de il uminación en un entorno neutro  (override material o escena en blanco) usar referentes de la iluminación deseada y consigarlos en el proyecto</t>
  </si>
  <si>
    <t>Iluminación  artificial según el diseño arquitectónico y el ambiente luminico escogido proponer fuentes de luz con los valores dados por el diseño</t>
  </si>
  <si>
    <t xml:space="preserve">Cámara con la iluminación lista, configurar los demás parámetros, según el motor de render y la calidad esperada (exposición, contraste, tone map, iluminación global etc) para este loq </t>
  </si>
  <si>
    <t>V2.1</t>
  </si>
  <si>
    <t>V2. Videos Emocionales</t>
  </si>
  <si>
    <t>2k Video comercial cinematrográfico 2:30 MIN</t>
  </si>
  <si>
    <t>Video MP4 de recorrido vista en móviles y pantallas HD</t>
  </si>
  <si>
    <t>MP4</t>
  </si>
  <si>
    <t>Tiempo de renderizado en máquina ((1 clip de 4 seg x 30clips para 2 min)</t>
  </si>
  <si>
    <t>Guion</t>
  </si>
  <si>
    <t>Elaborar un guión como documento base para la dirección  creativa de los clips, este debe tener: -los frames claves, -duración de cada frame, - descripción -transiciones - efectos -textos- música</t>
  </si>
  <si>
    <t>Escenas y clips</t>
  </si>
  <si>
    <t>Encuadrar según criterios básicos de estética, generar clips con recorridos, planos y encuadres de cámara cinematográficos basados en el guión, ell concepto y el soundtrack (30  clips de 4 segundos)</t>
  </si>
  <si>
    <t>Velar por el correcto renderizado de los clips mediante imágenes secuencia (para mayor seguridad de respaldo) estos deben ser guardados de manera ordenada para su posterior edición (1 clip de 4 seg x 30clips para 2 min)</t>
  </si>
  <si>
    <t>Edición</t>
  </si>
  <si>
    <t>Importar: en after effects importar la secuencia de imágenes como clips en el mismo orden en el cual se renderizó.</t>
  </si>
  <si>
    <t>Ordenar : en la edición, ordenar los clips según el guión, manteniendo las transiciones y duraciones planeadas.</t>
  </si>
  <si>
    <t>Editar: generar los textos, las transiciones, soundtrack y demás características planeadas en el guión,</t>
  </si>
  <si>
    <t>Exportar: guardar el archivo editable ae y exportar el archivo final mediante mediaencoder en formato mp4, con los formatos y aspectos según el alcance</t>
  </si>
  <si>
    <t>Direccion creativa</t>
  </si>
  <si>
    <t>Mediante asesorías con management se establecen los alcances. se generan comentarios y se direcciona el producto al alcance esperado</t>
  </si>
  <si>
    <t xml:space="preserve"> referentes y soundtrack: según el alcance, recopilar referentes que sirvan como base para el video. y escoger el soundtrack adecuado para la conceptualización del proyecto.</t>
  </si>
  <si>
    <t>V2.3</t>
  </si>
  <si>
    <t>720 P Clip video comercial 40 seg cinematrográfico Versión Trailer</t>
  </si>
  <si>
    <t>Renders Base</t>
  </si>
  <si>
    <t>Elegir las imágenes base para la generación de los clips</t>
  </si>
  <si>
    <t>Creación de prompts</t>
  </si>
  <si>
    <r>
      <rPr>
        <sz val="12"/>
        <color rgb="FF000000"/>
        <rFont val="rota"/>
        <scheme val="major"/>
      </rPr>
      <t xml:space="preserve">Usando Gemini, cargar cada imágen y pedirle generar un prompt </t>
    </r>
    <r>
      <rPr>
        <b/>
        <sz val="12"/>
        <color rgb="FF000000"/>
        <rFont val="rota"/>
        <scheme val="major"/>
      </rPr>
      <t xml:space="preserve">en inglés </t>
    </r>
    <r>
      <rPr>
        <sz val="12"/>
        <color rgb="FF000000"/>
        <rFont val="rota"/>
        <scheme val="major"/>
      </rPr>
      <t>específicamente para lo que se quiere lograr.</t>
    </r>
  </si>
  <si>
    <t>Creación de clips</t>
  </si>
  <si>
    <t>Usando Veo2 (este modelo es el que usa imágenes como base) y los prompts generados, se cargan a Veo2 y generará 5 clips de 8 segundos cada uno. (generar versión en 1080p de cada clip)</t>
  </si>
  <si>
    <t>Unir los clips en Capcut, incluir música de ambientación y exportar</t>
  </si>
  <si>
    <t>V2.4</t>
  </si>
  <si>
    <t>´720P Clip video emocional comercial 1.20 min cinematrográfico Versión Trailer</t>
  </si>
  <si>
    <t>Video MP4 de recorrido vista en móviles y pantallas HD 720P</t>
  </si>
  <si>
    <t>Usando Veo (este modelo es el que usa imágenes como base) y los prompts generados, se cargan a Veo y generará 20 clips de 8 segundos cada uno. (generar versión en 1080p de cada clip)</t>
  </si>
  <si>
    <t>V2.5</t>
  </si>
  <si>
    <t>Escalado de videos hasta 8K</t>
  </si>
  <si>
    <t>MP5</t>
  </si>
  <si>
    <t>Mediante topaz escalar el video requerido</t>
  </si>
  <si>
    <t>V3.1</t>
  </si>
  <si>
    <t>V3. Recorridos 360°</t>
  </si>
  <si>
    <t>Recorridos 360  4 imágenes</t>
  </si>
  <si>
    <t>RECORRIDO 360</t>
  </si>
  <si>
    <t>LINK 360 + PNG JPG</t>
  </si>
  <si>
    <t>Suscripción  kuula</t>
  </si>
  <si>
    <t>Tarifa para mantener el servicio de host por 1 año</t>
  </si>
  <si>
    <t>Outsoursing</t>
  </si>
  <si>
    <t>Renderizado x4</t>
  </si>
  <si>
    <t>Tiempo de renderizado en máquina (imagen 3000x1500)</t>
  </si>
  <si>
    <t>Iluminación naturalsegún el motor de render usado. configurar los valores de il uminación en un entorno neutro  (override material o escena en blanco)</t>
  </si>
  <si>
    <t xml:space="preserve">Cámara ajustar en el punto de renderizado, aplicar la cantidad de efectos permitidos y necesarios. </t>
  </si>
  <si>
    <t>Configuracion de punto (x4)</t>
  </si>
  <si>
    <t>Punto de vista procurar mantener una vista acorde a la altura, distancia focal y ángulos propios de la vista humana, punto clave para no distorcionar el  espacio en el 360.</t>
  </si>
  <si>
    <t>Edicion y post produccionx4</t>
  </si>
  <si>
    <t>Editar las imágenes, brillo, contrastes, errores, colorimetría etc. después del resultado deseado para el alcance guardar los productos, en el formato requerido según la nomenclatura establecida.</t>
  </si>
  <si>
    <t>Creacion y publicación de recorrido online  (x4)</t>
  </si>
  <si>
    <t>Kuula despues de la edición y correción de las imágenes, se subirán a la plataforma de visualización 360 de preferencia. (esta actividad varía en tiempo dependiendo del número de imágenes que existan dentro del recorrido 360) se deben establecer todos los puntos correctamente según el recorrido así como los textos, imágenes o íconos adicionales para el alcance.</t>
  </si>
  <si>
    <t>V4.1</t>
  </si>
  <si>
    <t>V4. Planimetría Comercial</t>
  </si>
  <si>
    <t>Planimetría comercial/ambientada para edificios</t>
  </si>
  <si>
    <t>Planta comercial ambientada (edificios)</t>
  </si>
  <si>
    <t>PDF PNG JPG</t>
  </si>
  <si>
    <t>Direcciòn creativa</t>
  </si>
  <si>
    <t>Revisiòn por coordinaciòn</t>
  </si>
  <si>
    <t>Importaciòn de capas planimètricas psd</t>
  </si>
  <si>
    <t>Importar capas arquitectònicas de la planimetrìa tècnica</t>
  </si>
  <si>
    <t>Modelo 3d</t>
  </si>
  <si>
    <t>Generar un modelo 3d para plantas comerciales (revit o skp)</t>
  </si>
  <si>
    <t>Generar materialidad para elementos visibles en planta</t>
  </si>
  <si>
    <t>Ambientaciòn modelo 3d</t>
  </si>
  <si>
    <t>Ambientar el modelo 3d con elementos visibles, siempre teniendo en cuenta la legibilidad para la vista en planta</t>
  </si>
  <si>
    <t>Generar iluminaciòn artificial sobre todos los espacios de la planta</t>
  </si>
  <si>
    <t>Renderizaciòn</t>
  </si>
  <si>
    <t>Renderizar planta comercial</t>
  </si>
  <si>
    <t>Montaje planta</t>
  </si>
  <si>
    <t>Montar planimetrìa tècnica</t>
  </si>
  <si>
    <t>Convenciones y ediciòn final</t>
  </si>
  <si>
    <t>Generar convenciones, textos y logos sobre la planta</t>
  </si>
  <si>
    <t>Exportar</t>
  </si>
  <si>
    <t>Ajustar y exportar la planta en el formato y tamaño solicitado</t>
  </si>
  <si>
    <t>V4.2</t>
  </si>
  <si>
    <t>Planimetría comercial para Urbanismos y parcelaciones</t>
  </si>
  <si>
    <t>Planta comercial ambientada (urbanismos)</t>
  </si>
  <si>
    <t>Capa ortofoto</t>
  </si>
  <si>
    <t>Creaciòn y montaje de foto satelital ubicada en las capas</t>
  </si>
  <si>
    <t>Ambientaciòn veg 3d</t>
  </si>
  <si>
    <t>Exportar capas y ortofoto para crear un modelo 3d e importarlo en lumion, ambientar las zonas vegetadas</t>
  </si>
  <si>
    <t>Renderizar vegetaciòn con laorientaciòn correcta y fondo blanco</t>
  </si>
  <si>
    <t>Montar capas planimètricas ubicadas correctamente</t>
  </si>
  <si>
    <t>V5.1</t>
  </si>
  <si>
    <t>V5. Experiencias WEB</t>
  </si>
  <si>
    <t>Experiencia web inmobiliaria</t>
  </si>
  <si>
    <t>Experiencia web inmobiliaria basic</t>
  </si>
  <si>
    <t>LINK + Diseño PDF</t>
  </si>
  <si>
    <t>Diseño web</t>
  </si>
  <si>
    <t xml:space="preserve">Generar diseño web a partir de toda la identidad de marca, logos, colores y productos </t>
  </si>
  <si>
    <t>Ajuste web</t>
  </si>
  <si>
    <t xml:space="preserve">Generación de ajustes sobre el diseño web  </t>
  </si>
  <si>
    <t>Montaje web</t>
  </si>
  <si>
    <t xml:space="preserve">Montaje de diseño web sobre wordpress, html, css o javascript  </t>
  </si>
  <si>
    <t>Revisiòn 2</t>
  </si>
  <si>
    <t xml:space="preserve">Revisión final, ajustes de funcionalidad y responsive  </t>
  </si>
  <si>
    <t>Dominio</t>
  </si>
  <si>
    <t>Adquisición de dominio</t>
  </si>
  <si>
    <t>Preliminar base</t>
  </si>
  <si>
    <t>Generar archivo de informaciòn base (excel) con las secciones e informaciòn contenida para toda la experiencia web</t>
  </si>
  <si>
    <t>Revisiòn 1</t>
  </si>
  <si>
    <t>Revisión por coordinación</t>
  </si>
  <si>
    <t>V3.2</t>
  </si>
  <si>
    <t>Recorrido en tiempo real para eventos o lanzamientos</t>
  </si>
  <si>
    <t>máximo 2 horas de servicio de recorrido en lanzamiento</t>
  </si>
  <si>
    <t>.</t>
  </si>
  <si>
    <t>Adaptación de recorrido</t>
  </si>
  <si>
    <t>Verificar que todos los espacios del modelo sean transitables naturalmente para la fluidez del recorrido</t>
  </si>
  <si>
    <t>Exportar, empaquetar y guardar el archivo</t>
  </si>
  <si>
    <t>Recorrido en vivo</t>
  </si>
  <si>
    <t>Transporte de equipos y personal hasta el sitio</t>
  </si>
  <si>
    <t>Recorrido en pantalla, con posibilidad de ver en 360 grados, guiado y con posibilidad de cambiar colores sobre los materiales ya aplicados</t>
  </si>
  <si>
    <t>V2.2</t>
  </si>
  <si>
    <t>Video Recorrido de entendimiento espacial</t>
  </si>
  <si>
    <t>Video recorrido</t>
  </si>
  <si>
    <t>Grabar un recorrido en primera persona recorriendo cada espacio de la aquitectura</t>
  </si>
  <si>
    <t>V5.2</t>
  </si>
  <si>
    <t>Brochure  con material comercial virtual y para impresión</t>
  </si>
  <si>
    <t>Pdf Brochure</t>
  </si>
  <si>
    <t xml:space="preserve">Pdf   </t>
  </si>
  <si>
    <t xml:space="preserve">Diagramación </t>
  </si>
  <si>
    <t xml:space="preserve">Prediseñar, basado en </t>
  </si>
  <si>
    <t>V5.3</t>
  </si>
  <si>
    <t>Experiencia web Lite alianza con web3D hasta 100 UND</t>
  </si>
  <si>
    <t>Plataforma web interactiva</t>
  </si>
  <si>
    <t>Landing</t>
  </si>
  <si>
    <t>Interacción con web3D</t>
  </si>
  <si>
    <t>V5.4</t>
  </si>
  <si>
    <t>Experiencia Web Landing Lanzamineto</t>
  </si>
  <si>
    <t>Plataforma web para lanzamiento comercial con dominio personalizado</t>
  </si>
  <si>
    <t>Plan basic WIX</t>
  </si>
  <si>
    <t>Pago plan basic wix 10gb de almacenamiento - dominio gratis por 1 año</t>
  </si>
  <si>
    <t>Pre diseño web</t>
  </si>
  <si>
    <t>Prediseño de secciones en wix</t>
  </si>
  <si>
    <t>Creación de animaciones, carga de contenido y funciones.</t>
  </si>
  <si>
    <t>Revisión 1</t>
  </si>
  <si>
    <t>Revisión con cliente en reunión</t>
  </si>
  <si>
    <t>Revisión 2</t>
  </si>
  <si>
    <t>Ajustes</t>
  </si>
  <si>
    <t>V5.5</t>
  </si>
  <si>
    <t>Fichas de lote onWeb</t>
  </si>
  <si>
    <t>Linkde interfaz</t>
  </si>
  <si>
    <t xml:space="preserve">LINK </t>
  </si>
  <si>
    <t>VISITA A LOTE</t>
  </si>
  <si>
    <t>Visita transporte-</t>
  </si>
  <si>
    <t xml:space="preserve"> </t>
  </si>
  <si>
    <t>Fichas de ote onWeb</t>
  </si>
  <si>
    <t>Vuelo de dron, toma de material video con punto focal y fotos.</t>
  </si>
  <si>
    <t>CREACIÓN DE KIRI</t>
  </si>
  <si>
    <t>Cargar y crear kiri versión HTML</t>
  </si>
  <si>
    <t>ACTUALIZACIÓN</t>
  </si>
  <si>
    <t>Actualizción de valores en tabla Looker</t>
  </si>
  <si>
    <t>WIX</t>
  </si>
  <si>
    <t>Carga de información wix</t>
  </si>
  <si>
    <t>Detalles para Suma de HORAS  PROYECTADOS</t>
  </si>
  <si>
    <t>ROL</t>
  </si>
  <si>
    <t>NOMBRE</t>
  </si>
  <si>
    <t>HORAS  PROYECTADOS</t>
  </si>
  <si>
    <t>DÍAS  PROYECTADOS</t>
  </si>
  <si>
    <t>FECHA DE INICIO</t>
  </si>
  <si>
    <t>FECHA FINAL PROYECTADA</t>
  </si>
  <si>
    <t>SEMANA INICIO PROYECTADA</t>
  </si>
  <si>
    <t>SEMANA FINAL PROYECTADA</t>
  </si>
  <si>
    <t>LA | Leader Architect</t>
  </si>
  <si>
    <t>Maicol</t>
  </si>
  <si>
    <t>Nati</t>
  </si>
  <si>
    <t>DM | Design Manager</t>
  </si>
  <si>
    <t>D0.1</t>
  </si>
  <si>
    <t>Etiquetas de fila</t>
  </si>
  <si>
    <t>Suma de TIEMPO (HORAS)</t>
  </si>
  <si>
    <t>HORAS PROYECTADAS</t>
  </si>
  <si>
    <t>CAPACIDAD OPERATIVA</t>
  </si>
  <si>
    <t>Diagnóstico del proyecto  y preliminares</t>
  </si>
  <si>
    <t>Canales de comunicación y almacenamiento</t>
  </si>
  <si>
    <t>Gestión documental y creación de canales</t>
  </si>
  <si>
    <t>Construcción acta de inicio y enviar</t>
  </si>
  <si>
    <t>Construir Infográfico Roles y Responsabilidades</t>
  </si>
  <si>
    <t>Construir Inforgráfico de procesos y tiempos</t>
  </si>
  <si>
    <t>Crear anidamiento</t>
  </si>
  <si>
    <t>Crear canal interno Slack</t>
  </si>
  <si>
    <t>Crear Drive Nube del proyecto</t>
  </si>
  <si>
    <t>Crear Grupo Clientes Whatsapp</t>
  </si>
  <si>
    <t>Enviar correo de inicio de proyecto</t>
  </si>
  <si>
    <t>Suma de HORAS  PROYECTADOS</t>
  </si>
  <si>
    <t>Etiquetas de columna</t>
  </si>
  <si>
    <t xml:space="preserve">Diagnóstico Inicial del proyecto </t>
  </si>
  <si>
    <t>Recolección de insumos preliminares</t>
  </si>
  <si>
    <t>Correcto almacenamiento de la información preliminar: Levantamiento topográfico, levantamiento arquitectónico, concepto de norma; entre otros.</t>
  </si>
  <si>
    <t>(en blanco)</t>
  </si>
  <si>
    <t>Total general</t>
  </si>
  <si>
    <t>Solicitud de información faltante para iniciar</t>
  </si>
  <si>
    <t>Visita inicial al lote o análisis de modelo preexistente</t>
  </si>
  <si>
    <t>Registro fotográfico y de hitos en el espacio</t>
  </si>
  <si>
    <t>Encuesta formato google forms</t>
  </si>
  <si>
    <t>Encuesta y formato de solicitud de preliminares</t>
  </si>
  <si>
    <t>Programación</t>
  </si>
  <si>
    <t>Creación de formato de control del proyecto</t>
  </si>
  <si>
    <t>Total Diagnóstico del proyecto  y preliminares</t>
  </si>
  <si>
    <t>FASES</t>
  </si>
  <si>
    <t>MARGEN DE NEGOCIACIÓN (%)</t>
  </si>
  <si>
    <t>Fase 1</t>
  </si>
  <si>
    <t>D1.1</t>
  </si>
  <si>
    <t>01. Urbanismo</t>
  </si>
  <si>
    <t>Modelo Tridimensional, Viewer 360 Escala de Urbanismo</t>
  </si>
  <si>
    <t>Modelo Tridimensional, Viewer 360 Escala Urbana</t>
  </si>
  <si>
    <t>Proyecto</t>
  </si>
  <si>
    <t>Creación de topografía</t>
  </si>
  <si>
    <t>Importar archivo dwg a Revit</t>
  </si>
  <si>
    <t>Levantar topografía</t>
  </si>
  <si>
    <t>Crear niveles necesarios</t>
  </si>
  <si>
    <t>Crear Graded Region (para registro de movimiento de tierras)</t>
  </si>
  <si>
    <t>15 ha</t>
  </si>
  <si>
    <t>Planteamiento Vial</t>
  </si>
  <si>
    <t>Trazar esquema de vía  ( Eje)</t>
  </si>
  <si>
    <t>Análisis de ensanches y sentidos</t>
  </si>
  <si>
    <t>Se calcula longitud de eje de vía y se establece una elevación cada 10 m</t>
  </si>
  <si>
    <t xml:space="preserve">Se caracteriza el tipo de pendiente </t>
  </si>
  <si>
    <t xml:space="preserve">Se caracteriza radios de giro minimos </t>
  </si>
  <si>
    <t xml:space="preserve">Luego al diagnóstico se traza el eje definitivo </t>
  </si>
  <si>
    <t>Integrar modelado 3D de la vía</t>
  </si>
  <si>
    <t>Movimiento de puntos necesarios de la vía para la obtención de la pendiente</t>
  </si>
  <si>
    <t>Lotificación</t>
  </si>
  <si>
    <t>Modelado de linderos con raillings</t>
  </si>
  <si>
    <t xml:space="preserve">Crear pads de implantación necesarios para zonas comunes </t>
  </si>
  <si>
    <t>Fase 2</t>
  </si>
  <si>
    <t>D1.10</t>
  </si>
  <si>
    <t>Planimetría Arquitectónica del Urbanismo (FASE 2)</t>
  </si>
  <si>
    <t>Planimetría Arquitectónica del Urbanismo</t>
  </si>
  <si>
    <t>Planta de urbanismo general</t>
  </si>
  <si>
    <t>Actualizar planta de urbanismo general</t>
  </si>
  <si>
    <t>Und</t>
  </si>
  <si>
    <t>Planta de etapas de desarrollo</t>
  </si>
  <si>
    <t>Actualizar planta de etapas de desarrollo</t>
  </si>
  <si>
    <t>Secciones generales</t>
  </si>
  <si>
    <t xml:space="preserve">Actualizar secciones generales </t>
  </si>
  <si>
    <t>Marcar línea de movimiento de tierras</t>
  </si>
  <si>
    <t>Tabla de movimientos de tierra</t>
  </si>
  <si>
    <t>Etapa</t>
  </si>
  <si>
    <t>Crear archivo de proceso para historico</t>
  </si>
  <si>
    <t>Propuesta de reloteo Etapa</t>
  </si>
  <si>
    <t>Ajustar property Lines</t>
  </si>
  <si>
    <t>Ajustar Marcas de lotes</t>
  </si>
  <si>
    <t>Incluir retiros de lotes</t>
  </si>
  <si>
    <t>Actualizar y revisar áreas de ETAPA</t>
  </si>
  <si>
    <t>Crear filtros necesarios para la clasificación</t>
  </si>
  <si>
    <t>Llenar la información correspondiente a cada property line</t>
  </si>
  <si>
    <t>Exportar formato dwg y PDF</t>
  </si>
  <si>
    <t>Control de calidad</t>
  </si>
  <si>
    <t>D1.11</t>
  </si>
  <si>
    <t>03. Complementario</t>
  </si>
  <si>
    <t>Planimetría Arquitectónica, Elementos Complementarios (FASE 2)</t>
  </si>
  <si>
    <t>Planimetría Arquitectónica Elementos Complementarios</t>
  </si>
  <si>
    <t>Planta de Localización Elemento Complementario</t>
  </si>
  <si>
    <t>Re-Acotar</t>
  </si>
  <si>
    <t>SUPP | Support Architect</t>
  </si>
  <si>
    <t>Re-Diagramar</t>
  </si>
  <si>
    <t>Llenar información de rótulo</t>
  </si>
  <si>
    <t>Planta Arquitectónica Elemento Complementario</t>
  </si>
  <si>
    <t>Organizar aspectos generales de la vista y aplicar plantilla de vista</t>
  </si>
  <si>
    <t>Ajustar rooms</t>
  </si>
  <si>
    <t>Colocar Marks</t>
  </si>
  <si>
    <t>Planta de cubierta Elemento Complementario</t>
  </si>
  <si>
    <t>Chequear pendientes</t>
  </si>
  <si>
    <t>Chequear materialidad</t>
  </si>
  <si>
    <t>Chequear bajantes</t>
  </si>
  <si>
    <t>Diagramar</t>
  </si>
  <si>
    <t>Secciones generales Elemento Complementario</t>
  </si>
  <si>
    <t>Actualizar sección transversal</t>
  </si>
  <si>
    <t>Actualizar sección longitudinal</t>
  </si>
  <si>
    <t>Fachadas Elemento Complementario</t>
  </si>
  <si>
    <t>Actualizar vistas</t>
  </si>
  <si>
    <t>Isométricos (Elemento complementario)</t>
  </si>
  <si>
    <t>Revisar y actualizar Vistas</t>
  </si>
  <si>
    <t>Cuadro de áreas (Elemento complementario)</t>
  </si>
  <si>
    <t>Actualizar cuadro</t>
  </si>
  <si>
    <t>Fase 3</t>
  </si>
  <si>
    <t>D1.26</t>
  </si>
  <si>
    <t>Planimetría Arquitectónica, Elementos Complementarios (FASE 3)</t>
  </si>
  <si>
    <t>D1.12</t>
  </si>
  <si>
    <t>02. Edificación</t>
  </si>
  <si>
    <t>Planimetría Arquitectónica, Edificación (FASE 2)</t>
  </si>
  <si>
    <t xml:space="preserve">Planimetría Arquitectónica Edificación </t>
  </si>
  <si>
    <t>100m2</t>
  </si>
  <si>
    <t>Planta de Localización Edificación</t>
  </si>
  <si>
    <t xml:space="preserve">Planta Arquitectónica Edificación </t>
  </si>
  <si>
    <t>Re-Amoblar</t>
  </si>
  <si>
    <t xml:space="preserve">Planta de cubierta Edificación </t>
  </si>
  <si>
    <t xml:space="preserve">Secciones generales Edificación </t>
  </si>
  <si>
    <t xml:space="preserve">Fachadas Edificación </t>
  </si>
  <si>
    <t>Isométricos (Edificación)</t>
  </si>
  <si>
    <t>Cuadro de áreas (Edificación)</t>
  </si>
  <si>
    <t>D1.13</t>
  </si>
  <si>
    <t>Especificaciones del Urbanismo</t>
  </si>
  <si>
    <t>Montaje de formato de especificaciones</t>
  </si>
  <si>
    <t>Escoger materiales y proveedores según condiciones presupuestales</t>
  </si>
  <si>
    <t>Crear formato</t>
  </si>
  <si>
    <t>Llenar formato</t>
  </si>
  <si>
    <t>Buscar imágenes que los caractericen</t>
  </si>
  <si>
    <t xml:space="preserve">crear materiales en modelo </t>
  </si>
  <si>
    <t>Relacionar formato con la planimetría generada</t>
  </si>
  <si>
    <t>Asignar tag de materiales en planimetría arquitectónica</t>
  </si>
  <si>
    <t>Exportar tabla</t>
  </si>
  <si>
    <t>D1.14</t>
  </si>
  <si>
    <t>Especificaciones de Elemento Complementario</t>
  </si>
  <si>
    <t>Especificación general de los materiales a implementar</t>
  </si>
  <si>
    <t>Realizar una propuesta (listado preliminar) de materiales coherentes con los renders de la fase 1</t>
  </si>
  <si>
    <t>Buscar posibles proveedores y aliados comerciales de los distintos materiales</t>
  </si>
  <si>
    <t>Solicitar cotizaciones, fichas y otra información necesaria a los distintos proveedores</t>
  </si>
  <si>
    <t>Crear y organizar formato</t>
  </si>
  <si>
    <t>Colocar imágenes que caracterizan los materiales</t>
  </si>
  <si>
    <t>Asignar materiales en 3D</t>
  </si>
  <si>
    <t xml:space="preserve">Asignar materiales en planimetría </t>
  </si>
  <si>
    <t>Presentar información</t>
  </si>
  <si>
    <t>D1.15</t>
  </si>
  <si>
    <t>Especificaciones de Edificación (Fase 2)</t>
  </si>
  <si>
    <t>Especificaciones</t>
  </si>
  <si>
    <t>D1.16</t>
  </si>
  <si>
    <t>Modelo a detalle constructivo de urbanismo</t>
  </si>
  <si>
    <t>Modelo Tridimensional  a través de LINK en nube.</t>
  </si>
  <si>
    <r>
      <t>500 m</t>
    </r>
    <r>
      <rPr>
        <sz val="16"/>
        <rFont val="Aptos Narrow"/>
        <family val="2"/>
      </rPr>
      <t>²</t>
    </r>
    <r>
      <rPr>
        <sz val="16"/>
        <rFont val="rota"/>
        <family val="3"/>
        <scheme val="major"/>
      </rPr>
      <t xml:space="preserve"> - 1000 m²</t>
    </r>
  </si>
  <si>
    <t>Preparativos del modelo</t>
  </si>
  <si>
    <t>Actualizar modelo de edificación de fase (en gestión documental)</t>
  </si>
  <si>
    <t>Hacer colaborativo el archivo</t>
  </si>
  <si>
    <t xml:space="preserve">Detallar el modelo </t>
  </si>
  <si>
    <t>Modelado de vías LOD 300</t>
  </si>
  <si>
    <t>Linderos y setos LOD 300</t>
  </si>
  <si>
    <t>Movimiento de puntos</t>
  </si>
  <si>
    <t>Implantación de elementos necesarios (totéms, iluminación y otros)</t>
  </si>
  <si>
    <t>Modelado de senderos LOD 300</t>
  </si>
  <si>
    <t>Modelado de espacios complementarios LOD 300</t>
  </si>
  <si>
    <t>Coordinación interdisciplinaria</t>
  </si>
  <si>
    <t>Coordinación interdisciplinaria: redes eléctricas. Redes hidráulicas y estructura</t>
  </si>
  <si>
    <t>D1.17</t>
  </si>
  <si>
    <t>Modelo a detalle constructivo de edificación</t>
  </si>
  <si>
    <r>
      <t>1 m</t>
    </r>
    <r>
      <rPr>
        <sz val="16"/>
        <rFont val="Aptos Narrow"/>
        <family val="2"/>
      </rPr>
      <t>²</t>
    </r>
    <r>
      <rPr>
        <sz val="16"/>
        <rFont val="rota"/>
        <family val="3"/>
        <scheme val="major"/>
      </rPr>
      <t xml:space="preserve"> - 200 m²</t>
    </r>
  </si>
  <si>
    <t>Actualizar modelo de edificación de fase</t>
  </si>
  <si>
    <t>Modelado de losas LOD 300</t>
  </si>
  <si>
    <t>Modelado de muros y enchapes LOD 300</t>
  </si>
  <si>
    <t>Modelado de pisos LOD 300</t>
  </si>
  <si>
    <t>Modelado de cielos LOD 300</t>
  </si>
  <si>
    <t>Modelado de cubiertas y pérgolas LOD 300</t>
  </si>
  <si>
    <t>Modelado de puertas y ventanas LOD 300</t>
  </si>
  <si>
    <t>Ajustar mobiliario</t>
  </si>
  <si>
    <t>Vincular propuesta de iluminación en el modelo</t>
  </si>
  <si>
    <t>Extracción de cantidades (tablas)</t>
  </si>
  <si>
    <t>D1.18</t>
  </si>
  <si>
    <t>Planimetría Arquitectónica de Detalle para ejecución de obra de Urbanismo</t>
  </si>
  <si>
    <t>Planimetría Arquitectónica de Detalle (Borde de losa)</t>
  </si>
  <si>
    <t>Detalle de cotas de implantación y fichas de lotes</t>
  </si>
  <si>
    <t>Organizar vistas</t>
  </si>
  <si>
    <t>-</t>
  </si>
  <si>
    <t>Marcar ejes estructurantes y elementos relevante</t>
  </si>
  <si>
    <t xml:space="preserve">Acotar </t>
  </si>
  <si>
    <t>diagramar</t>
  </si>
  <si>
    <t>Llenar rótulo</t>
  </si>
  <si>
    <t>Planimetría Arquitectónica de Detalle (Pisos)</t>
  </si>
  <si>
    <t>Detalle de sección vial</t>
  </si>
  <si>
    <t>Organizar vista necesaria</t>
  </si>
  <si>
    <t>Investigar instalaciones técnicas a considerar en la instalación de cada tipo</t>
  </si>
  <si>
    <t>Anexar imágenes de referencias al plano</t>
  </si>
  <si>
    <t>Generar detalles específicos de elemento</t>
  </si>
  <si>
    <t>Generar tablas de referencias y cantidades</t>
  </si>
  <si>
    <t>Planimetría Arquitectónica de Detalle (Cubiertas y pérgolas)</t>
  </si>
  <si>
    <t>Detalle de sección de senderos y superficies (pisos)</t>
  </si>
  <si>
    <t>Planimetría Arquitectónica de Detalle (Acabados en muros)</t>
  </si>
  <si>
    <t>Detalle de mobiliario urbano</t>
  </si>
  <si>
    <t>Asignar un filtro de color a cada tipo de acabado</t>
  </si>
  <si>
    <t>Detalles de cada tipo (instalación y desarrollo)</t>
  </si>
  <si>
    <t>Marcar ejes estructurantes y piezas de arranque</t>
  </si>
  <si>
    <t>Planimetría Arquitectónica de Detalle (Iluminación)</t>
  </si>
  <si>
    <t>Detalle de iluminación</t>
  </si>
  <si>
    <t>Seleccionar referencias</t>
  </si>
  <si>
    <t>Vincular simbología y referencias</t>
  </si>
  <si>
    <t>Vincular imágenes de referencias</t>
  </si>
  <si>
    <t>Planimetría Arquitectónica de Detalle (Cielos)</t>
  </si>
  <si>
    <t>Detalle de totéms y portones</t>
  </si>
  <si>
    <t>Investigar y seleccionar referencias de materiales</t>
  </si>
  <si>
    <t>Marcar materialidad y otros elementos relevantes</t>
  </si>
  <si>
    <t>Generar detalles específicos de pernado e instalación</t>
  </si>
  <si>
    <t>Planimetría Arquitectónica de Detalle (Puertas y Ventanas)</t>
  </si>
  <si>
    <t>Detalle de coordinación con otras disciplinas</t>
  </si>
  <si>
    <t>Chequear el correcto funcionamiento de las disciplinas</t>
  </si>
  <si>
    <t>Coordinación</t>
  </si>
  <si>
    <t>D1.19</t>
  </si>
  <si>
    <t>Planimetría Arquitectónica de Detalle para ejecución de obra de una Edificación</t>
  </si>
  <si>
    <t>Detalle de borde de losa</t>
  </si>
  <si>
    <t>Marcar ejes estructurales</t>
  </si>
  <si>
    <t>Detalle de modulación y tipos de piso</t>
  </si>
  <si>
    <t>Marcar piezas de arranque de cada referencia</t>
  </si>
  <si>
    <t>Detalle de elementos especiales</t>
  </si>
  <si>
    <t>Realizar investigaciones y alianzas necesarias para el desarrollo del tema</t>
  </si>
  <si>
    <t>Revisar funcionamiento de los bajantes</t>
  </si>
  <si>
    <t>Modelar canoas</t>
  </si>
  <si>
    <t>modelar cortagoteras y otros necesarios</t>
  </si>
  <si>
    <t>Detallar estructura de la cubierta</t>
  </si>
  <si>
    <t>Revisar funcionamiento de la cubierta vs material (pendiente)</t>
  </si>
  <si>
    <t>Detalle de Tipos de acabados en muros</t>
  </si>
  <si>
    <t>Detalle de modulación y tipos de cielo</t>
  </si>
  <si>
    <t>Investigar y seleccionar referencias de cielos</t>
  </si>
  <si>
    <t>Detalle de Funcionamiento y composición de puertas y ventanas</t>
  </si>
  <si>
    <t>Chequear el correcto funcionamiento de puertas</t>
  </si>
  <si>
    <t>Chequear el correcto funcionamiento de ventanas</t>
  </si>
  <si>
    <t>Definir materialidad de puertas</t>
  </si>
  <si>
    <t>Definir materialidad de ventanas</t>
  </si>
  <si>
    <t>Crear paquete de vistas de cada una de las puertas</t>
  </si>
  <si>
    <t>Crear paquete de vistas de cada una de las ventanas</t>
  </si>
  <si>
    <t>Acotar</t>
  </si>
  <si>
    <t>Generar planta de localización de cada referencia</t>
  </si>
  <si>
    <t>Planimetría Arquitectónica de Detalle (Carpintería)</t>
  </si>
  <si>
    <t>Detalle de Funcionamiento y composición de carpintería</t>
  </si>
  <si>
    <t>Chequear el correcto funcionamiento de cada mueble</t>
  </si>
  <si>
    <t>Definir materialidad de carpintería</t>
  </si>
  <si>
    <t>Crear paquete de vistas de cada una de los muebles</t>
  </si>
  <si>
    <t>D1.2</t>
  </si>
  <si>
    <t>Modelado Tridimensional Viewer 360, Elemento Complementaria (FASE 1)</t>
  </si>
  <si>
    <t>Modelado Tridimensional Viewer 360, zona complementaria</t>
  </si>
  <si>
    <t>Diseño y modelado de zona complementaria (planta)</t>
  </si>
  <si>
    <t>Creación de archivo de modelo (zona complementaria)</t>
  </si>
  <si>
    <t>Creación de nivel inicial</t>
  </si>
  <si>
    <t>cabida arquitectónica</t>
  </si>
  <si>
    <t>Programa arquitectónico</t>
  </si>
  <si>
    <t>Creación de ejes estructurales</t>
  </si>
  <si>
    <t>Modelado de esquema estructural básico</t>
  </si>
  <si>
    <t>Acabados verticales</t>
  </si>
  <si>
    <t>Acabados en pisos</t>
  </si>
  <si>
    <t>Amoblar y ambientar</t>
  </si>
  <si>
    <t>Diseño y modelado de zona complementaria (fachada)</t>
  </si>
  <si>
    <t>Definición Volumétrica</t>
  </si>
  <si>
    <t>Definición de alturas de elementos verticales</t>
  </si>
  <si>
    <t>Ambientación</t>
  </si>
  <si>
    <t>Acabados en revestimientos</t>
  </si>
  <si>
    <t>Integración a Topografía zona complementaria</t>
  </si>
  <si>
    <t>Linkear en modelo general</t>
  </si>
  <si>
    <t>Publicar coordenadas</t>
  </si>
  <si>
    <t>Modelado de pad   (zona complementaria 1)</t>
  </si>
  <si>
    <t>Movimiento de puntos básicos</t>
  </si>
  <si>
    <t>Ajuste de taludes</t>
  </si>
  <si>
    <t>Creación de tabla de movimiento de tierras</t>
  </si>
  <si>
    <t>Exportar Modelo zona complementaria</t>
  </si>
  <si>
    <t>Cargar en Autodesk Viewer</t>
  </si>
  <si>
    <t>D1.20</t>
  </si>
  <si>
    <t xml:space="preserve">Especificaciones del Urbanismo del proyecto </t>
  </si>
  <si>
    <t>Especificaciones de proyecto</t>
  </si>
  <si>
    <t>Investigaciones y alianzas necesarias</t>
  </si>
  <si>
    <t>Crear, organizar y llenar formato</t>
  </si>
  <si>
    <t>Vincular resumen de cantidades</t>
  </si>
  <si>
    <t>Buscar imágenes que los caractericen (materiales)</t>
  </si>
  <si>
    <t>D1.21</t>
  </si>
  <si>
    <t xml:space="preserve">Especificaciones de Edificación </t>
  </si>
  <si>
    <t>Especificaciones de Edificación</t>
  </si>
  <si>
    <t>Experiencia tu espacio presente vs futuro</t>
  </si>
  <si>
    <t>Programar con cliente y preparar experiencia</t>
  </si>
  <si>
    <t xml:space="preserve">Realizar visita, recolectar medidas necesarias (espacios y muebles a conservar), tomar registro, tomar registro escrito de importantes </t>
  </si>
  <si>
    <t>Construir modelos y ajustes sobre modelos, necesarios para cumplir las expectativas del cliente</t>
  </si>
  <si>
    <t>D1.22</t>
  </si>
  <si>
    <t>Plano de Punteo para RPH</t>
  </si>
  <si>
    <t>Plano</t>
  </si>
  <si>
    <t>10ha</t>
  </si>
  <si>
    <t>Preparación y ajustes del archivo</t>
  </si>
  <si>
    <t>Depuración del plano general</t>
  </si>
  <si>
    <t>Integración de plugin de coordenadas para puntos</t>
  </si>
  <si>
    <t>Preparación del rótulo y puntos</t>
  </si>
  <si>
    <t>Planta de urbanismo general con punteo</t>
  </si>
  <si>
    <t>Delimitación de polígonos generales de áreas comunes y privadas</t>
  </si>
  <si>
    <t>Ubicación de puntos por vértice</t>
  </si>
  <si>
    <t>Creación de cuadro de puntos</t>
  </si>
  <si>
    <t>Cuadro de áreas</t>
  </si>
  <si>
    <t xml:space="preserve">Creación de cuadro de áreas generales </t>
  </si>
  <si>
    <t>Diagramación del plano</t>
  </si>
  <si>
    <t>Exportar y enviar correo</t>
  </si>
  <si>
    <t>D1.23</t>
  </si>
  <si>
    <t>Manual Anexo para RPH</t>
  </si>
  <si>
    <t xml:space="preserve">Manual </t>
  </si>
  <si>
    <t>Anexo descriptivo y contractual</t>
  </si>
  <si>
    <t xml:space="preserve">Revisar archivo de especificaciones </t>
  </si>
  <si>
    <t>Actualizar especificaciones</t>
  </si>
  <si>
    <t xml:space="preserve">Construir estructura general del documento </t>
  </si>
  <si>
    <t>Planimetría</t>
  </si>
  <si>
    <t>Ajustar y revisar base planimétrica</t>
  </si>
  <si>
    <t>Sacar bases de planta de ubicación</t>
  </si>
  <si>
    <t>Sacar elevaciones generales</t>
  </si>
  <si>
    <t>Acotar las elevaciones</t>
  </si>
  <si>
    <t>Anexar imágenes a presentación</t>
  </si>
  <si>
    <t>Presentación Indesing</t>
  </si>
  <si>
    <t>Organizar presentación e información gráfica</t>
  </si>
  <si>
    <t>Socializar</t>
  </si>
  <si>
    <t>D1.24</t>
  </si>
  <si>
    <t>Modelo Tridimensional básico</t>
  </si>
  <si>
    <t>Modelo Base + Topografía</t>
  </si>
  <si>
    <t>1 Proyecto</t>
  </si>
  <si>
    <t>Modelo Topográfico base</t>
  </si>
  <si>
    <t xml:space="preserve">Crear modelo general base con coordenadas y graded region </t>
  </si>
  <si>
    <t>Subdivisión Predial y Cabida de un proyecto</t>
  </si>
  <si>
    <t>Planta de Urbanismo General</t>
  </si>
  <si>
    <t>Marcar  líneas propertys de linderos</t>
  </si>
  <si>
    <t>Subdivisión Predial y Cabida de proyecto</t>
  </si>
  <si>
    <t>Marcar líneas propertys de Retiros</t>
  </si>
  <si>
    <t>Proponer cabida predial según las necesidades del proyecto</t>
  </si>
  <si>
    <t>Generar convenciones</t>
  </si>
  <si>
    <t>Generar cuadro de áreas general con las respectivas propertys</t>
  </si>
  <si>
    <t>Generar un esquema vial y/o senderos acorde a las necesidades proyectuales y técnicas</t>
  </si>
  <si>
    <t>Planta de Etapa de Desarrollo</t>
  </si>
  <si>
    <t>Clasificar marks de lotes y otras zonas</t>
  </si>
  <si>
    <t>Cuadro de área de Urbanismo</t>
  </si>
  <si>
    <t>Crear property Lines de retiros de lotes subdivididos</t>
  </si>
  <si>
    <t>Crear marks de nomenclatura de los lotes privados y comunes</t>
  </si>
  <si>
    <t>Crear filtros necesarios para la clasificación restantes</t>
  </si>
  <si>
    <t>Llenar la información correspondiente a cada property line restante</t>
  </si>
  <si>
    <t>D1.3</t>
  </si>
  <si>
    <t>Modelo Tridimensional, Viewer 360 150, Edificación (FASE 1)</t>
  </si>
  <si>
    <t>Diseño y modelado de edificación colectiva (planta)</t>
  </si>
  <si>
    <t>Creación de archivo de modelo (Edificio)</t>
  </si>
  <si>
    <t>cabida arquitectónica volumétrica</t>
  </si>
  <si>
    <t>Propuesta de programa arquitectónico 3D</t>
  </si>
  <si>
    <t>Acabados en muros</t>
  </si>
  <si>
    <t>Amoblar</t>
  </si>
  <si>
    <t>Diseño y modelado de edificación colectiva (fachada)</t>
  </si>
  <si>
    <t>Definición Volumétrica ajustada</t>
  </si>
  <si>
    <t>Definición de alturas de muros</t>
  </si>
  <si>
    <t>Definición de altura de puertas y ventanas</t>
  </si>
  <si>
    <t>Acabados en ventanas</t>
  </si>
  <si>
    <t>Definición de aguas y pendientes</t>
  </si>
  <si>
    <t>Aleros</t>
  </si>
  <si>
    <t>Esquemas estructural de la cubierta</t>
  </si>
  <si>
    <t>Definición de fascia, canoa y desagues</t>
  </si>
  <si>
    <t xml:space="preserve">Acabados de cubierta y cielo </t>
  </si>
  <si>
    <t>Conceptualización y caracterización de los espacios complementarios a la edificación</t>
  </si>
  <si>
    <t>Diseño de obras complementarias edificación colectiva</t>
  </si>
  <si>
    <t>modelado de zona complementaria</t>
  </si>
  <si>
    <t>Integración a Topografía edificación colectiva</t>
  </si>
  <si>
    <t>Adquirir coordenadas</t>
  </si>
  <si>
    <t>Modelado de pad   (edificación)</t>
  </si>
  <si>
    <t>Modelado de pad zona complementaria 1</t>
  </si>
  <si>
    <t>Exportar Modelo edificación colectiva</t>
  </si>
  <si>
    <t>Autodesk Viewer</t>
  </si>
  <si>
    <t>D1.4</t>
  </si>
  <si>
    <t>Planimetría Arquitectónica del Urbanismo (FASE 1)</t>
  </si>
  <si>
    <t>Marcar  linderos</t>
  </si>
  <si>
    <t>Marcar Retiros</t>
  </si>
  <si>
    <t xml:space="preserve"> Marcar zonas clasificadas</t>
  </si>
  <si>
    <t xml:space="preserve">Incluir cuadro de área general </t>
  </si>
  <si>
    <t xml:space="preserve">Incluir Esquema vial propuesto </t>
  </si>
  <si>
    <t>Modificar Marks de lotes y otras zonas</t>
  </si>
  <si>
    <t>Marcar lotes</t>
  </si>
  <si>
    <t>Crear property Lines</t>
  </si>
  <si>
    <t>D1.5</t>
  </si>
  <si>
    <t>Planimetría Arquitectónica, Elemento complementaria (FASE 1)</t>
  </si>
  <si>
    <t>Planimetría Arquitectónica, Zona complementaria</t>
  </si>
  <si>
    <t>Planta de Localización zona complementaria</t>
  </si>
  <si>
    <t xml:space="preserve">Ajustar filtros </t>
  </si>
  <si>
    <t>Marcar elementos contextuales relevantes</t>
  </si>
  <si>
    <t>Planta Arquitectónica zona complementaria</t>
  </si>
  <si>
    <t>Crear rooms</t>
  </si>
  <si>
    <t>Ambientar</t>
  </si>
  <si>
    <t>Secciones generales zona complementaria</t>
  </si>
  <si>
    <t>Definir sección transversal</t>
  </si>
  <si>
    <t>Definir sección longitudinal</t>
  </si>
  <si>
    <t>Marcar rooms</t>
  </si>
  <si>
    <t>Fachadas generales zona complementaria</t>
  </si>
  <si>
    <t>Organizar aspectos generales de la vista 1 y aplicar plantilla de vista</t>
  </si>
  <si>
    <t>Organizar aspectos generales de la vista 2 y aplicar plantilla de vista</t>
  </si>
  <si>
    <t>Marcar materialidad</t>
  </si>
  <si>
    <t>Isométricos zona complementaria</t>
  </si>
  <si>
    <t>Ajustar tipo de visualización</t>
  </si>
  <si>
    <t>Ajustar luces ambientales</t>
  </si>
  <si>
    <t>Cuadro de áreas zona complementaria</t>
  </si>
  <si>
    <t>Crear cuadro</t>
  </si>
  <si>
    <t>filtrar cuadro</t>
  </si>
  <si>
    <t>Clasificar tipos de área (construida y libre).</t>
  </si>
  <si>
    <t>Modificar nombres</t>
  </si>
  <si>
    <t>Totalizar</t>
  </si>
  <si>
    <t xml:space="preserve">General </t>
  </si>
  <si>
    <t>D1.6</t>
  </si>
  <si>
    <t>Planimetría Arquitectónica, Edificación (FASE 1)</t>
  </si>
  <si>
    <t>Planimetría arquitectónica escala variable según requerimiento.</t>
  </si>
  <si>
    <t>Planta de Localización (edificación colectiva)</t>
  </si>
  <si>
    <t>Marcar vecinos colindantes</t>
  </si>
  <si>
    <t>Planta Arquitectónica 1 (edificación colectiva)</t>
  </si>
  <si>
    <t>Planta de cubierta (edificación colectiva)</t>
  </si>
  <si>
    <t>Marcar pendientes</t>
  </si>
  <si>
    <t>Marcar bajantes</t>
  </si>
  <si>
    <t>Secciones generales (edificación colectiva)</t>
  </si>
  <si>
    <t>Fachadas (edificación colectiva)</t>
  </si>
  <si>
    <t>Isométricos (edificación colectiva)</t>
  </si>
  <si>
    <t>Cuadro de áreas (edificación colectiva)</t>
  </si>
  <si>
    <t>General</t>
  </si>
  <si>
    <t>D1.7</t>
  </si>
  <si>
    <t>Modelo Tridimensional, Viewer 360, Escala de Urbanismo (Fase 2)</t>
  </si>
  <si>
    <t>Creación modelo copia (Urbanismo)</t>
  </si>
  <si>
    <t>Actualizar urbanismo</t>
  </si>
  <si>
    <t>1 ha</t>
  </si>
  <si>
    <t>Ubicar totems en todos los lotes</t>
  </si>
  <si>
    <t>Ubicar portones en todos los lotes</t>
  </si>
  <si>
    <t>Modelar propuesta vial acorde a lineamiento de proveedor</t>
  </si>
  <si>
    <t>Ajustar puntos</t>
  </si>
  <si>
    <t>Proponer terrazas de implantación</t>
  </si>
  <si>
    <t>Modelo Tridimensional, detalle Escala Urbana</t>
  </si>
  <si>
    <t>Detallar modelo de la vía en puntos de encuadres propuestos</t>
  </si>
  <si>
    <t>Ajustes topográficos (puntos) en relación a los enfoques seleccionados para la vía</t>
  </si>
  <si>
    <t>Proponer iluminación en el espacio público</t>
  </si>
  <si>
    <t>Integración a Topografía Edificación colectiva o terraza</t>
  </si>
  <si>
    <t>Ajustar plataformas de construcción de la tipología</t>
  </si>
  <si>
    <t>Implantar tipologías o terraceos (según aplique)</t>
  </si>
  <si>
    <t>Ajustes topográficos (puntos) en relación a los enfoques seleccionados para las terrazas de implantación</t>
  </si>
  <si>
    <t>D1.8</t>
  </si>
  <si>
    <t>Modelo Tridimensional, Viewer 360, Elementos Complementarios (Fase 2)</t>
  </si>
  <si>
    <t>Modelado Tridimensional Viewer 360 Zona complementaria</t>
  </si>
  <si>
    <t>Diseño y modelado de Zona complementaria (planta)</t>
  </si>
  <si>
    <t>Creación de copia de modelo para proceso (zona complementaria)</t>
  </si>
  <si>
    <t>Modificar de fase</t>
  </si>
  <si>
    <t>Actualizar cabida arquitectónica</t>
  </si>
  <si>
    <t>Actualizar programa arquitectónico</t>
  </si>
  <si>
    <t>Actualización de ejes estructurales</t>
  </si>
  <si>
    <t>Coordinación con proveedor estructural</t>
  </si>
  <si>
    <t>Modelado de esquema estructural lod 250</t>
  </si>
  <si>
    <t>Acabados en muros lod 250</t>
  </si>
  <si>
    <t>Acabados en pisos lod 250</t>
  </si>
  <si>
    <t>Actualizar mobiliario</t>
  </si>
  <si>
    <t>Diseño y modelado de Zona complementaria (fachada)</t>
  </si>
  <si>
    <t>Actualización de Volumétria</t>
  </si>
  <si>
    <t>Actualización de alturas de muros</t>
  </si>
  <si>
    <t>Actualización de altura de puertas y ventanas</t>
  </si>
  <si>
    <t>Diseño y modelado de Zona complementaria (cubierta)</t>
  </si>
  <si>
    <t>Actualización de aguas y pendientes</t>
  </si>
  <si>
    <t>Actualización de Aleros</t>
  </si>
  <si>
    <t>Actualización de esquemas estructural de la cubierta</t>
  </si>
  <si>
    <t>Definición de fascia</t>
  </si>
  <si>
    <t>Actualización de pads de   (Portería)</t>
  </si>
  <si>
    <t>Actualización de pad zona complementaria 1</t>
  </si>
  <si>
    <t>Actualización de pad zona complementaria 2</t>
  </si>
  <si>
    <t>Actualización de tabla de movimiento de tierras</t>
  </si>
  <si>
    <t>D1.25</t>
  </si>
  <si>
    <t>Modelo Tridimensional, Viewer 360, Elementos Complementarios (Fase 3)</t>
  </si>
  <si>
    <t>Acabados en elemento generales lod 250</t>
  </si>
  <si>
    <t>D1.9</t>
  </si>
  <si>
    <t>Modelo Tridimensional, Viewer 360, Edificación (Fase 2)</t>
  </si>
  <si>
    <t>Diseño y modelado de Edificación Colectiva (planta)</t>
  </si>
  <si>
    <t>Diseño y modelado de Edificación Colectiva (fachada)</t>
  </si>
  <si>
    <t>Diseño y modelado de Edificación Colectiva (cubierta)</t>
  </si>
  <si>
    <t>Diseño de obras complementarias Edificación Colectiva</t>
  </si>
  <si>
    <t>Actualización de zonas complementarias</t>
  </si>
  <si>
    <t>Integración a Topografía Edificación colectiva</t>
  </si>
  <si>
    <t>Actualización de pads de   (edificación)</t>
  </si>
  <si>
    <t xml:space="preserve">Actualización de pad zona complementaria </t>
  </si>
  <si>
    <t>Exportar Modelo Edificación colectiva</t>
  </si>
  <si>
    <t>Exportar Autodesk Viewer</t>
  </si>
  <si>
    <t>D2.1</t>
  </si>
  <si>
    <t>Modelo Tridimensional, Viewer 360 150, Edificación en Altura (FASE 1)</t>
  </si>
  <si>
    <t>200m2</t>
  </si>
  <si>
    <t>Diseño y modelado de edificación en altura (planta)</t>
  </si>
  <si>
    <t>Creación de archivo de modelo (Edificación en Altura)</t>
  </si>
  <si>
    <t>cabida arquitectónica volumétrica y de Urbanismo</t>
  </si>
  <si>
    <t>Propuesta de programa arquitectónico 3D y crecimiento en altura</t>
  </si>
  <si>
    <t>Propuesta de sistema de circulación</t>
  </si>
  <si>
    <t>Acabados en muros generales</t>
  </si>
  <si>
    <t>Diseño y modelado de edificación en altura (fachada)</t>
  </si>
  <si>
    <t>Definición de elementos de ambientación</t>
  </si>
  <si>
    <t>Definición de altura de puertas y ventanas generales</t>
  </si>
  <si>
    <t>Acabados en ventanas general</t>
  </si>
  <si>
    <t>Acabados en revestimientos general</t>
  </si>
  <si>
    <t>Aleros y funcionamiento de cubierta</t>
  </si>
  <si>
    <t>Diseño de obras complementarias edificación en altura</t>
  </si>
  <si>
    <t>Integración a Topografía edificación en altura</t>
  </si>
  <si>
    <t>Ajuste de taludes o topografía</t>
  </si>
  <si>
    <t>Exportar Modelo edificación en altura</t>
  </si>
  <si>
    <t>Socialización</t>
  </si>
  <si>
    <t>Socializar información con cliente</t>
  </si>
  <si>
    <t>D2.2</t>
  </si>
  <si>
    <t>Planimetría Arquitectónica, Edificación en Altura (FASE 1)</t>
  </si>
  <si>
    <t>Planta de Localización (Edificación en Altura)</t>
  </si>
  <si>
    <t>Planta Arquitectónica 1 (Edificación en Altura)</t>
  </si>
  <si>
    <t>Planta de cubierta (Edificación en Altura)</t>
  </si>
  <si>
    <t>Secciones generales (Edificación en Altura)</t>
  </si>
  <si>
    <t>Fachadas (Edificación en Altura)</t>
  </si>
  <si>
    <t>Isométricos (Edificación en Altura)</t>
  </si>
  <si>
    <t>Cuadro de áreas (Edificación en Altura)</t>
  </si>
  <si>
    <t>D2.3</t>
  </si>
  <si>
    <t>Modelo Tridimensional, Viewer 360,Edificación en Altura (Fase 2)</t>
  </si>
  <si>
    <t>Diseño y modelado de Edificación en altura (planta)</t>
  </si>
  <si>
    <t>Creación de copia de modelo para proceso (edificación)</t>
  </si>
  <si>
    <t>Pasar de fase</t>
  </si>
  <si>
    <t>Diseño y modelado de Edificación en altura (fachada)</t>
  </si>
  <si>
    <t>Diseño y modelado de Edificación en altura(cubierta)</t>
  </si>
  <si>
    <t>Diseño de obras complementarias de Edificación en Altura</t>
  </si>
  <si>
    <t>Integración a Topografía de Edificación en altura</t>
  </si>
  <si>
    <t>Exportar Modelo de Edificación en Altura</t>
  </si>
  <si>
    <t>D2.4</t>
  </si>
  <si>
    <t>Planimetría Arquitectónica, Edificación en Altura (FASE 2)</t>
  </si>
  <si>
    <t>Planimetría Arquitectónica de Edificación en Altura</t>
  </si>
  <si>
    <t>Planta de Localización de Edificación en Altura</t>
  </si>
  <si>
    <t>Planta Arquitectónica de Edificación en Altura</t>
  </si>
  <si>
    <t>Planta de cubierta de Edificación en Altura</t>
  </si>
  <si>
    <t>Secciones generales de Edificación en Altura</t>
  </si>
  <si>
    <t>Fachadas de Edificación en altura</t>
  </si>
  <si>
    <t>Cuadro de áreas (Edificación en altura)</t>
  </si>
  <si>
    <t>D2.5</t>
  </si>
  <si>
    <t>Especificaciones de Edificación en Altur</t>
  </si>
  <si>
    <t>Especificaciones de Edificación en Altura</t>
  </si>
  <si>
    <t>D2.6</t>
  </si>
  <si>
    <t>D2.7</t>
  </si>
  <si>
    <t>Planimetría Arquitectónica de Detalle para ejecución de obra de una Eficiación</t>
  </si>
  <si>
    <t>D2.8</t>
  </si>
  <si>
    <t>Extraer resumen de cantidades necesarias</t>
  </si>
  <si>
    <t>D3.1</t>
  </si>
  <si>
    <t>Modelo Tridimensional, Viewer 360 150, Vivienda (FASE 1)</t>
  </si>
  <si>
    <t>Creación de archivo de modelo (Vivienda campestre)</t>
  </si>
  <si>
    <t>Acabados básico en muros</t>
  </si>
  <si>
    <t>Acabados básicos en pisos</t>
  </si>
  <si>
    <t>Esquemas estructural de la cubierta básica</t>
  </si>
  <si>
    <t>D7.1</t>
  </si>
  <si>
    <t>Linkear en modelo Topográfico</t>
  </si>
  <si>
    <t>D3.2</t>
  </si>
  <si>
    <t>Planimetría Arquitectónica, Vivienda Campestre (FASE 1)</t>
  </si>
  <si>
    <t>Planta de Localización (Vivienda Campestre)</t>
  </si>
  <si>
    <t>Planta Arquitectónica 1 (Vivienda Campestre)</t>
  </si>
  <si>
    <t>Planta de cubierta (Vivienda Campestre)</t>
  </si>
  <si>
    <t>Secciones generales (Vivienda Campestre)</t>
  </si>
  <si>
    <t>Fachadas (Vivienda Campestre)</t>
  </si>
  <si>
    <t>Isométricos (Vivienda Campestre)</t>
  </si>
  <si>
    <t>Cuadro de áreas (Vivienda Campestre)</t>
  </si>
  <si>
    <t>D7.2</t>
  </si>
  <si>
    <t>Marcar elementos contextuales relevantes y vecinos colindantes</t>
  </si>
  <si>
    <t>D3.3</t>
  </si>
  <si>
    <t>Especificaciones de Vivienda Campestre</t>
  </si>
  <si>
    <t>Realizar una propuesta (listado preliminar) de materiales coherentes con los renders de la fase 1 y visita</t>
  </si>
  <si>
    <t>D3.4</t>
  </si>
  <si>
    <t>Modelo Tridimensional, Viewer 360,Vivienda Campestre (Fase 2)</t>
  </si>
  <si>
    <t>Diseño y modelado de Vivienda Campestre (planta)</t>
  </si>
  <si>
    <t>Diseño y modelado de Vivienda Campestre (fachada)</t>
  </si>
  <si>
    <t>Diseño y modelado de Vivienda Campestre (cubierta)</t>
  </si>
  <si>
    <t>Diseño de obras complementarias de Vivienda Campestre</t>
  </si>
  <si>
    <t>Integración a Topografía de Vivienda Campestre</t>
  </si>
  <si>
    <t>Exportar Modelo de Vivienda Campestre</t>
  </si>
  <si>
    <t>D3.5</t>
  </si>
  <si>
    <t>Planimetría Arquitectónica, Vivienda Campestre (FASE 2)</t>
  </si>
  <si>
    <t>Planimetría Arquitectónica de Vivienda Campestre</t>
  </si>
  <si>
    <t>Planta de Localización de Vivienda Campestre</t>
  </si>
  <si>
    <t>Planta Arquitectónica de Vivienda Campestre</t>
  </si>
  <si>
    <t>Planta de cubierta de Vivienda Campestre</t>
  </si>
  <si>
    <t>Secciones generales de Vivienda Campestre</t>
  </si>
  <si>
    <t>Fachadas de Vivienda Campestre</t>
  </si>
  <si>
    <t>D3.6</t>
  </si>
  <si>
    <t>Replanteo de la vivienda en campo</t>
  </si>
  <si>
    <t>Experiencia de replanteo de espacios de la vivienda 1:1 en lote</t>
  </si>
  <si>
    <t>Preparativos de actividades</t>
  </si>
  <si>
    <t>Planear toda la experiencia y comprar insumos</t>
  </si>
  <si>
    <t>Replanteo en campo</t>
  </si>
  <si>
    <t>En conjunto con un aliado, generar la distribución en el lote</t>
  </si>
  <si>
    <t xml:space="preserve">Generar y participar de experiencia en campo </t>
  </si>
  <si>
    <t>Recorrer la vivienda en conjunto con el cliente</t>
  </si>
  <si>
    <t>Modificaciones en Modelo</t>
  </si>
  <si>
    <t>Realizar las respectivas modificaciones en el modelo</t>
  </si>
  <si>
    <t>D3.7</t>
  </si>
  <si>
    <t>D3.8</t>
  </si>
  <si>
    <t>D3.9</t>
  </si>
  <si>
    <t>D4.1</t>
  </si>
  <si>
    <t>Propuesta Conceptual y de Layout Funcional Tridimensional</t>
  </si>
  <si>
    <t>Cabida Preliminar</t>
  </si>
  <si>
    <t>Definición del proyecto</t>
  </si>
  <si>
    <t>Experiencia de identificación de deseos, expectativas presupuestales y necesidades.</t>
  </si>
  <si>
    <t>Presentación de concepto espacial, determinantes y cabida</t>
  </si>
  <si>
    <t>Conceptualización</t>
  </si>
  <si>
    <t>Búsqueda de referentes</t>
  </si>
  <si>
    <t>Taller de diseño</t>
  </si>
  <si>
    <t>Chequeo de áreas, espacios, mediciones y estado del espacio y planeación de logística a considerar.</t>
  </si>
  <si>
    <t>Montaje de modelo 3D Básico</t>
  </si>
  <si>
    <t>Modelo general básico de la propuesta preliminar</t>
  </si>
  <si>
    <t>Modelo Trimensional del Estado Preliminar</t>
  </si>
  <si>
    <t>Montaje de planta ambientada preliminar de acercamiento</t>
  </si>
  <si>
    <t>Paquete de planos Arquitectónicos del estado preliminar</t>
  </si>
  <si>
    <t>Montaje de Layout 2D</t>
  </si>
  <si>
    <t>Diagramar, acotar planta básica</t>
  </si>
  <si>
    <t>Montaje de cuadro de áreas generales (diferenciar por activaciones en el espacio y el customer Journey)</t>
  </si>
  <si>
    <t>Presentación de conceptualización e ideación general</t>
  </si>
  <si>
    <t>Montaje de presentación</t>
  </si>
  <si>
    <t>Montaje de Ficha resumen</t>
  </si>
  <si>
    <t>Montaje de mood board resumen</t>
  </si>
  <si>
    <t>Extracción de perspectivas y 3D para esquemas</t>
  </si>
  <si>
    <t>Extracción de plantas para esquemas</t>
  </si>
  <si>
    <t>Elección de materiales acorde al estilo</t>
  </si>
  <si>
    <t>Aplicación de materiales en el modelo</t>
  </si>
  <si>
    <t>Modelado de elementos específicos innatos para el logro de la propuesta</t>
  </si>
  <si>
    <t>Elección o diseño de mobiliario acorde al estilo</t>
  </si>
  <si>
    <t xml:space="preserve">Centralizar información en una presentación </t>
  </si>
  <si>
    <t>cargar y compartir información en la carpeta compartida</t>
  </si>
  <si>
    <t>Definir y participar de la reunión</t>
  </si>
  <si>
    <t>Ejecución de cambios post-entreg</t>
  </si>
  <si>
    <t>D4.2</t>
  </si>
  <si>
    <t>Modelo y Planimetría Arquitectónica Técnica para Montaje de Comercio</t>
  </si>
  <si>
    <t>Paquete de planimetría técnica de stand + Viewer 360</t>
  </si>
  <si>
    <t>Materiales</t>
  </si>
  <si>
    <t>Crear materiales en el modelo acorde a todas fichas técnicas y características físicas</t>
  </si>
  <si>
    <t>Mobiliario a la medida</t>
  </si>
  <si>
    <t>Modelar elementos a un nivel técnico de carpintería</t>
  </si>
  <si>
    <t xml:space="preserve">Generar planos de carpintería de los elementos </t>
  </si>
  <si>
    <t>Señaletica y comunicación visual</t>
  </si>
  <si>
    <t>Modelar elementos de señaletica necesarios</t>
  </si>
  <si>
    <t>Detalle de señaletica</t>
  </si>
  <si>
    <t>Generación de Detalle de Señaletica</t>
  </si>
  <si>
    <t>Detalle de Iluminación</t>
  </si>
  <si>
    <t>Generación de Detalle de iluminación</t>
  </si>
  <si>
    <t>Vitrinismo, Merchandising y exhibición de productos</t>
  </si>
  <si>
    <t>Diseño de elementos de vitrinismo y exhibición especializados</t>
  </si>
  <si>
    <t>Logística de experiencia</t>
  </si>
  <si>
    <t>Socializar con los proveedores y cliente la información necesaria</t>
  </si>
  <si>
    <t>Cantidades de Obra</t>
  </si>
  <si>
    <t>Extraer cantidades generales de acabados</t>
  </si>
  <si>
    <t>D4.3</t>
  </si>
  <si>
    <t>Presupuesto para ejecución de obra</t>
  </si>
  <si>
    <t>Presupuesto</t>
  </si>
  <si>
    <t>Construcción de archivo general</t>
  </si>
  <si>
    <t>Montaje de Archivo en excel</t>
  </si>
  <si>
    <t>Cotizaciones con proveedores</t>
  </si>
  <si>
    <t>Pasar información base y condiciones de la cotización</t>
  </si>
  <si>
    <t>Recepción de Información</t>
  </si>
  <si>
    <t>Filtro de Información</t>
  </si>
  <si>
    <t>Archivos de soporte y guías para la construcción</t>
  </si>
  <si>
    <t>Fichas técnicas</t>
  </si>
  <si>
    <t>Recomendaciones</t>
  </si>
  <si>
    <t>Análisis de precios unitarios</t>
  </si>
  <si>
    <t>Centralización de información restante</t>
  </si>
  <si>
    <t>Montaje de base de datos de materiales</t>
  </si>
  <si>
    <t>Planimetría Arquitectónica de Detalle para ejecución de obra</t>
  </si>
  <si>
    <t>Extracción de cantidades de obra</t>
  </si>
  <si>
    <t>Extraer cantidades de obra (base para presupuesto)</t>
  </si>
  <si>
    <t>Generar tablas de cantidades desde el modelo que correlación el adecuado modelado de los elementos</t>
  </si>
  <si>
    <t>Cronograma</t>
  </si>
  <si>
    <t>Construcción de cronograma de obra</t>
  </si>
  <si>
    <t>00. Proyecto</t>
  </si>
  <si>
    <t>https://drive.google.com/open?id=1WgfE3zTeGx9hfRcKx4gaRcOuAFB9ZaLD&amp;usp=drive_fs</t>
  </si>
  <si>
    <t>D0.2</t>
  </si>
  <si>
    <t>Análisis de determinantes y conceptualización</t>
  </si>
  <si>
    <t>ha</t>
  </si>
  <si>
    <t>Imprimir insumos base</t>
  </si>
  <si>
    <t>Liderar reunión de equipo para conceptualización</t>
  </si>
  <si>
    <t>Preliminares</t>
  </si>
  <si>
    <t>Investigación de conceptos y referentes a desarrollar, propios o brindados por cliente</t>
  </si>
  <si>
    <t>Construcción de Concepto</t>
  </si>
  <si>
    <t>Análisis</t>
  </si>
  <si>
    <t>Conceptualización / Referentes</t>
  </si>
  <si>
    <t>elección de imágenes que reflejen el concepto y los referentes de diseño</t>
  </si>
  <si>
    <t>Momento de Moodboard colaborativo con clientes</t>
  </si>
  <si>
    <t xml:space="preserve">cargar moodboard al drive y compartir información </t>
  </si>
  <si>
    <t>Estudio contextual</t>
  </si>
  <si>
    <t>Análisis Normativo</t>
  </si>
  <si>
    <t>Análsis normativo del lote, según norma urbanística correspondiente (POT, PBOT o EOT)</t>
  </si>
  <si>
    <t xml:space="preserve">Montaje de información </t>
  </si>
  <si>
    <t>Análisis Bioclimático</t>
  </si>
  <si>
    <t>Georeferenciar Topografía</t>
  </si>
  <si>
    <t>Tabla promedio de temperatura</t>
  </si>
  <si>
    <t>Tabla promedio de lluvias</t>
  </si>
  <si>
    <t>Tabla de humedad relativa</t>
  </si>
  <si>
    <t xml:space="preserve">Tabla climática </t>
  </si>
  <si>
    <t>Rosa de los vientos</t>
  </si>
  <si>
    <t>Sacar bases para esquemas conceptuales</t>
  </si>
  <si>
    <t>Construcción de esquemas conceptuales</t>
  </si>
  <si>
    <t>Montaje de esquemas conceptuales a presentación.</t>
  </si>
  <si>
    <t>Resultado del análisis bioclimático</t>
  </si>
  <si>
    <t>Construcción de esquemas de solsticio de verano</t>
  </si>
  <si>
    <t>Construcción de esquemas de solsticio de invierno</t>
  </si>
  <si>
    <t>Conclusiones</t>
  </si>
  <si>
    <t>D0.3</t>
  </si>
  <si>
    <t>Presentación de desarrollo arquitectónico</t>
  </si>
  <si>
    <t>Antecedentes</t>
  </si>
  <si>
    <t>ficha de inicio</t>
  </si>
  <si>
    <t>ficha de presentación</t>
  </si>
  <si>
    <t>registro fotográfico</t>
  </si>
  <si>
    <t>Localización</t>
  </si>
  <si>
    <t>Sacar bases para esquemas conclusivos</t>
  </si>
  <si>
    <t>Construcción de esquemas conclusivos</t>
  </si>
  <si>
    <t>Montaje de esquemas conclusivos a presentación.</t>
  </si>
  <si>
    <t>Renders e Imágenes</t>
  </si>
  <si>
    <t>Montaje de imágenes restante a la presentación</t>
  </si>
  <si>
    <t>Entrega</t>
  </si>
  <si>
    <t>Planeación de experiencia de entrega</t>
  </si>
  <si>
    <t>Exportar presentación</t>
  </si>
  <si>
    <t>Exportar planimetría</t>
  </si>
  <si>
    <t>Entrega interna</t>
  </si>
  <si>
    <t>Construcción acta de entrega</t>
  </si>
  <si>
    <t>Montaje de información a drive</t>
  </si>
  <si>
    <t>Envío de correo posterior a entrega</t>
  </si>
  <si>
    <t>diseño y logística de la experiencia con el cliente</t>
  </si>
  <si>
    <t>programación de evento con grupo de whatsapp o llamada</t>
  </si>
  <si>
    <t>Ejecución experiencia de entrega</t>
  </si>
  <si>
    <t>Montaje de render e imágenes a la presentación</t>
  </si>
  <si>
    <t>D6.1</t>
  </si>
  <si>
    <t>04. Espacio Interior</t>
  </si>
  <si>
    <t>Conceptualización de propuesta y cabida 3D preliminar</t>
  </si>
  <si>
    <t>Encuesta de identificación de deseos, gustos y expectativas.</t>
  </si>
  <si>
    <t>Chequeo de áreas, espacios, mediciones y estado del espacio.</t>
  </si>
  <si>
    <t>Propuesta de cabida y programa</t>
  </si>
  <si>
    <t>Modelo general básico del espacio en su estado preliminar</t>
  </si>
  <si>
    <t>10m2</t>
  </si>
  <si>
    <t>Visita inicial al espacio</t>
  </si>
  <si>
    <t xml:space="preserve">Registro de hitos </t>
  </si>
  <si>
    <t>Montaje de paquete de planos básicos</t>
  </si>
  <si>
    <t>Diagramar, acotar y ajustar representación</t>
  </si>
  <si>
    <t>Montaje de cuadro de áreas generales (diferenciar por niveles y categoría de área libre y área construida)</t>
  </si>
  <si>
    <t>Experiencia de presentación de propuesta</t>
  </si>
  <si>
    <t>Participar de reunión con cliente</t>
  </si>
  <si>
    <t>D6.6</t>
  </si>
  <si>
    <t>Diseña Tu Interior</t>
  </si>
  <si>
    <t>50m2</t>
  </si>
  <si>
    <t>Chequeo de áreas, espacios, mediciones, registro de hitos y estado del espacio.</t>
  </si>
  <si>
    <t>Moodboard de identificación de deseos, gustos y expectativas.</t>
  </si>
  <si>
    <t>Montaje de modelo de propuesta</t>
  </si>
  <si>
    <t>Insumo de planimetría</t>
  </si>
  <si>
    <t>Montaje de planta ambientada</t>
  </si>
  <si>
    <t>Montar ficha de look &amp; feel</t>
  </si>
  <si>
    <t xml:space="preserve">Montaje de cuadro de áreas generales </t>
  </si>
  <si>
    <t>Viewer 360</t>
  </si>
  <si>
    <t xml:space="preserve">Modelo Tridimensional </t>
  </si>
  <si>
    <t>Exportar Viewer 360</t>
  </si>
  <si>
    <t>3 Renders Interiores</t>
  </si>
  <si>
    <t>Renders</t>
  </si>
  <si>
    <t>Generar renders</t>
  </si>
  <si>
    <t>D6.7</t>
  </si>
  <si>
    <t>Renueva Tu Interior</t>
  </si>
  <si>
    <t>PDF</t>
  </si>
  <si>
    <t>Registro de Mobiliario</t>
  </si>
  <si>
    <t>Registro a mobiliario y modelado de elementos especiales a vincular por petición del cliente</t>
  </si>
  <si>
    <t>D6.2</t>
  </si>
  <si>
    <t>Look &amp; Feel</t>
  </si>
  <si>
    <t>Investigaciones y conceptualización</t>
  </si>
  <si>
    <t>Montaje del Look and Feel</t>
  </si>
  <si>
    <t>Definición de estilo a lograr</t>
  </si>
  <si>
    <t>Montaje de mood board</t>
  </si>
  <si>
    <t>Elección de mobiliario acorde al estilo</t>
  </si>
  <si>
    <t>Imagen</t>
  </si>
  <si>
    <t>Materialización del Look &amp; feel en imágenes</t>
  </si>
  <si>
    <t>Aplicación de IA para generar imágenes referentes del espacio deseado a lograr</t>
  </si>
  <si>
    <t>Referentes</t>
  </si>
  <si>
    <t>Búsqueda de referentes concretos</t>
  </si>
  <si>
    <t>Reunión de presentación</t>
  </si>
  <si>
    <t>Diseño Básio y Levantamiento</t>
  </si>
  <si>
    <t>Modelo general básico y registro de hitos espaciales</t>
  </si>
  <si>
    <t xml:space="preserve">Montaje de una presentación de perfilamiento </t>
  </si>
  <si>
    <t>Montaje de modelo 3D Básico de propuesta</t>
  </si>
  <si>
    <t>Montaje de propuesta preliminar de acercamiento</t>
  </si>
  <si>
    <t>Cuadro de áreas o especificaciones generales</t>
  </si>
  <si>
    <t>D6.3</t>
  </si>
  <si>
    <t>Modelo Tridimensional de Espacio Interior Fase 2</t>
  </si>
  <si>
    <t>Modelado de muros y enchapes LOD 250</t>
  </si>
  <si>
    <t>Modelado de pisos LOD 250</t>
  </si>
  <si>
    <t>Modelado de cielos LOD 250</t>
  </si>
  <si>
    <t>Modelado de Elementos y espacios complementarios LOD 300</t>
  </si>
  <si>
    <t>Ajustar y proponer mobiliario</t>
  </si>
  <si>
    <t>D6.4</t>
  </si>
  <si>
    <t>Planimetría Arquitectónica de Diseño Interior Fase 2</t>
  </si>
  <si>
    <t>Detalle de elementos característicos de la propuesta</t>
  </si>
  <si>
    <t>Revisar funcionamiento general del espacio</t>
  </si>
  <si>
    <t>Detallar planos necesarios</t>
  </si>
  <si>
    <t>D6.5</t>
  </si>
  <si>
    <t xml:space="preserve">Especificaciones, experiencia de compra y cantidades de obra </t>
  </si>
  <si>
    <t>Experiencia de compras</t>
  </si>
  <si>
    <t>Participiar de experiencia</t>
  </si>
  <si>
    <t>Realizar una propuesta (listado preliminar) de materiales coherentes con los renders de la fase 2</t>
  </si>
  <si>
    <t>Extraer cantidades de obra</t>
  </si>
  <si>
    <t>Preparativos de experiencia y agendamiento</t>
  </si>
  <si>
    <t>D3.10</t>
  </si>
  <si>
    <t>D3. Vivienda Campestre</t>
  </si>
  <si>
    <t>Personal Shopper de Lote</t>
  </si>
  <si>
    <t>Ficha de lote</t>
  </si>
  <si>
    <t>Documento PDF</t>
  </si>
  <si>
    <t xml:space="preserve">Análisis normativo </t>
  </si>
  <si>
    <t>Estudio general de las condiciones normativas de tres opciones de lote</t>
  </si>
  <si>
    <t xml:space="preserve">Análisis Bioblimático </t>
  </si>
  <si>
    <t>Estudio general de las condiciones bioclimática de tres opciones de lote</t>
  </si>
  <si>
    <t>Registro fotográfico y de lote y análisis presencial de sus características</t>
  </si>
  <si>
    <t xml:space="preserve">Estudio de aprovechamiento </t>
  </si>
  <si>
    <t xml:space="preserve">Análisis de aprovechamiento y posible cabida 2D, Según las expectativas del cliente </t>
  </si>
  <si>
    <t xml:space="preserve"> Ficha Resumen</t>
  </si>
  <si>
    <t>Montaje de ficha de lote resumen</t>
  </si>
  <si>
    <t>Socialización con cliente</t>
  </si>
  <si>
    <t>D3.11</t>
  </si>
  <si>
    <t>Montaje de Ficha Resumen</t>
  </si>
  <si>
    <t>Ficha resumen</t>
  </si>
  <si>
    <t>Reunión con cliente</t>
  </si>
  <si>
    <t>TOTAL</t>
  </si>
  <si>
    <r>
      <t xml:space="preserve">Buscador de dolores
</t>
    </r>
    <r>
      <rPr>
        <sz val="11"/>
        <rFont val="Rota Bd"/>
        <family val="3"/>
      </rPr>
      <t>(Palabras claves de dolor)</t>
    </r>
  </si>
  <si>
    <r>
      <rPr>
        <b/>
        <sz val="14"/>
        <color rgb="FFFFFFFF"/>
        <rFont val="Rota Bd"/>
      </rPr>
      <t xml:space="preserve">FEDPICA
</t>
    </r>
    <r>
      <rPr>
        <sz val="10"/>
        <color rgb="FFFFFFFF"/>
        <rFont val="Rota Bd"/>
      </rPr>
      <t xml:space="preserve">(Emoción | Dolor </t>
    </r>
    <r>
      <rPr>
        <sz val="10"/>
        <color rgb="FFFFFFFF"/>
        <rFont val="rota"/>
        <scheme val="major"/>
      </rPr>
      <t>| frustra, enoja, desespera, preocupa, incomoda, cansancio o angustia )</t>
    </r>
  </si>
  <si>
    <r>
      <rPr>
        <sz val="28"/>
        <color rgb="FFFFC000"/>
        <rFont val="Rota Bd"/>
        <family val="3"/>
      </rPr>
      <t>V.</t>
    </r>
    <r>
      <rPr>
        <sz val="28"/>
        <color rgb="FFFFC000"/>
        <rFont val="Rota"/>
        <family val="3"/>
      </rPr>
      <t xml:space="preserve">SUAL </t>
    </r>
    <r>
      <rPr>
        <sz val="28"/>
        <color rgb="FFFFC000"/>
        <rFont val="Rota Bd"/>
        <family val="3"/>
      </rPr>
      <t>CNTXT</t>
    </r>
  </si>
  <si>
    <r>
      <t xml:space="preserve">CATEGORÍAS </t>
    </r>
    <r>
      <rPr>
        <sz val="28"/>
        <color rgb="FFFFC000"/>
        <rFont val="Rota Bd"/>
        <family val="3"/>
      </rPr>
      <t>CNTXT</t>
    </r>
  </si>
  <si>
    <t>MOTOR</t>
  </si>
  <si>
    <t>EQUIPO VISUAL</t>
  </si>
  <si>
    <t>HONORARIOS MENSUALES</t>
  </si>
  <si>
    <t>HONORARIOS 
HORA</t>
  </si>
  <si>
    <t>VALOR HARDWARE</t>
  </si>
  <si>
    <t>SOFTWARE</t>
  </si>
  <si>
    <t>SOFTWARE 
VALOR ANUAL</t>
  </si>
  <si>
    <t>SOFTWARE 
VALOR HORA</t>
  </si>
  <si>
    <t>CÓDIGO DE CATEGORÍA</t>
  </si>
  <si>
    <t>CATEGORÍAS DE PROYECTOS</t>
  </si>
  <si>
    <t>00. N/A</t>
  </si>
  <si>
    <t>SKP</t>
  </si>
  <si>
    <t>01. Lumion</t>
  </si>
  <si>
    <t>LUMION</t>
  </si>
  <si>
    <t>Parcelaciones y Condominios</t>
  </si>
  <si>
    <t>02. Not. Real Time</t>
  </si>
  <si>
    <t>VRAY</t>
  </si>
  <si>
    <t>Edificación en Altura</t>
  </si>
  <si>
    <t>REVIT</t>
  </si>
  <si>
    <t>Vivienda Campestre</t>
  </si>
  <si>
    <t>Adobe photoshop</t>
  </si>
  <si>
    <t>Comercial</t>
  </si>
  <si>
    <t>Industrial</t>
  </si>
  <si>
    <t>Total</t>
  </si>
  <si>
    <t>Diseño Interior</t>
  </si>
  <si>
    <t>Espacio Público</t>
  </si>
  <si>
    <r>
      <t xml:space="preserve">DESIGN </t>
    </r>
    <r>
      <rPr>
        <sz val="28"/>
        <color rgb="FFFFC000"/>
        <rFont val="Rota Bd"/>
        <family val="3"/>
      </rPr>
      <t>CNTXT</t>
    </r>
  </si>
  <si>
    <t>Hotelería</t>
  </si>
  <si>
    <t>SOFTWARE
VALOR ANUAL</t>
  </si>
  <si>
    <t>Equipamientos</t>
  </si>
  <si>
    <t>D0. Proyecto</t>
  </si>
  <si>
    <t>D1. Parcelaciones y Condominios</t>
  </si>
  <si>
    <t>D2. Edificación en Altura</t>
  </si>
  <si>
    <t>JUN | Junior Architect</t>
  </si>
  <si>
    <t>D4. Comercial</t>
  </si>
  <si>
    <t>INT | Intern Architect</t>
  </si>
  <si>
    <t>D5. Industrial</t>
  </si>
  <si>
    <t>D6. Diseño Interior</t>
  </si>
  <si>
    <t>D7. Select</t>
  </si>
  <si>
    <t>D8. Hotelería</t>
  </si>
  <si>
    <t>D10. Equipamientos</t>
  </si>
  <si>
    <t>TIPO DE GASTO</t>
  </si>
  <si>
    <t>GASTOS MENSUALES</t>
  </si>
  <si>
    <t>GASTOS HORA</t>
  </si>
  <si>
    <t xml:space="preserve">Gastos Administrativos </t>
  </si>
  <si>
    <t xml:space="preserve">Gastos Financieros </t>
  </si>
  <si>
    <t xml:space="preserve">Gastos de ventas </t>
  </si>
  <si>
    <t>#</t>
  </si>
  <si>
    <t>LÍNEA OPERATIVA</t>
  </si>
  <si>
    <t>COD. CAT</t>
  </si>
  <si>
    <t>CÓDIGOS 2024</t>
  </si>
  <si>
    <t>FASE DE DESARROLLO</t>
  </si>
  <si>
    <t>DESCRIPCIÓN</t>
  </si>
  <si>
    <t>V</t>
  </si>
  <si>
    <t>V01</t>
  </si>
  <si>
    <t>Modelo para Visualización arquitectónica</t>
  </si>
  <si>
    <r>
      <t xml:space="preserve">Da vida a tu proyecto con nuestro servicio de modelado para visualización arquitectónica. A partir de tus planos, construimos meticulosamente un entorno </t>
    </r>
    <r>
      <rPr>
        <b/>
        <sz val="12"/>
        <color theme="1"/>
        <rFont val="Rota"/>
        <family val="3"/>
      </rPr>
      <t>3D que encapsula</t>
    </r>
    <r>
      <rPr>
        <sz val="12"/>
        <color theme="1"/>
        <rFont val="Rota"/>
        <family val="3"/>
      </rPr>
      <t xml:space="preserve"> cada detalle de tu proyecto. Desde la estructura de cada muro hasta la ubicación estratégica de puertas y ventanas, cada elemento está diseñado pensando en las especificaciones únicas de tu proyecto. Al finalizar, te proporcionamos un entorno 3D completo, permitiéndote apreciar cada dimensión del proyecto antes de llevarlo a la fase de visualización. Este modelo sólido y detallado sienta las bases para que puedas explorar y visualizar tu proyecto arquitectónico con total claridad y realismo.</t>
    </r>
  </si>
  <si>
    <t>V02</t>
  </si>
  <si>
    <t>Modelo tridimensional realista para visualización de urbanismo.</t>
  </si>
  <si>
    <t>Experimenta la autenticidad de la visualización de urbanismo a través de nuestro detallado modelo tridimensional realista. Después de crear el modelo arquitectónico base, nos sumergimos en la ambientación y contextualización del proyecto urbano. Este proceso implica la creación de un entorno urbano realista, incorporando árboles y vegetación de alta calidad para reflejar de manera precisa el clima y la ubicación del proyecto, añadiendo un toque adicional de realismo. Además, aplicamos texturas y materiales meticulosamente sobre calles, aceras e iluminación pública. Nuestro enfoque incluye la generación de modelos para áreas extensas, capturando la identidad y la topografía del lugar de manera realista. El resultado es un modelo tridimensional que no solo representa tu proyecto urbano, sino que también lo sitúa de manera auténtica en su contexto, permitiéndote visualizar con claridad la esencia y ubicación del diseño.</t>
  </si>
  <si>
    <t>V03</t>
  </si>
  <si>
    <t>Sumérgete en nuestras imágenes de urbanismo, creadas a partir de nuestro detallado modelo previamente ambientado. Configuramos minuciosamente la iluminación natural y artificial, buscando replicar la realidad contextual del proyecto. Ajustamos la cámara para proyectar escenas desde perspectivas que permitan apreciar la extensión del proyecto urbano, destacando su entorno y vegetación. Este proceso cuidadoso y preciso no solo captura la esencia del diseño, sino que también te brinda una visión auténtica de cómo tu proyecto interactúa con su entorno, proporcionando imágenes que transmiten la escala y belleza del urbanismo planificado.</t>
  </si>
  <si>
    <t>V06</t>
  </si>
  <si>
    <t xml:space="preserve">Modelo tridimensional realista para visualización de edificios exteriores </t>
  </si>
  <si>
    <t>Explora la excelencia en visualización de edificios exteriores con nuestro servicio de modelos tridimensionales realistas. Nuestro objetivo es enriquecer el modelo arquitectónico con cada detalle que otorga autenticidad a un edificio o vivienda. Desde sillas y mesas hasta elementos decorativos, árboles y luces, incorporamos todos los objetos que realzan el realismo de las escenas planeadas. En este proceso, también infundimos vida a los materiales especificados, llevando al edificio a una estética que se asemeja a la realidad. La atención meticulosa a cada elemento asegura que tu edificación no solo luzca, sino que también se sienta real, creando un entorno visualmente impactante y convincente.</t>
  </si>
  <si>
    <t>V09</t>
  </si>
  <si>
    <t>Pack ilimitado Imagen de edificios exteriores</t>
  </si>
  <si>
    <t>Descubre la magia de nuestras imágenes de edificios exteriores, capturadas después de completar el proceso de amoblado, texturización y ambientación del edificio, emulando su entorno real. En este paso crucial, simulamos la toma de 'fotografías' al configurar cámaras, iluminación natural y artificial, junto con todos los parámetros esenciales de una cámara real. Seleccionamos cuidadosamente las escenas deseadas antes de iniciar el proceso de renderizado, el cual puede variar en duración según la complejidad de la escena. Este enfoque garantiza que cada imagen transmita la esencia y la belleza del edificio exterior, ofreciendo una representación visual cautivadora y realista.</t>
  </si>
  <si>
    <t>V12</t>
  </si>
  <si>
    <t xml:space="preserve">Modelo Ambientación realista interior: </t>
  </si>
  <si>
    <t>A partir del modelo arquitectónico inicial, nos sumergimos en cada detalle para crear un escenario que refleje la vida real del espacio. Desde camas hasta mesas, sillas, decoración, pintura y materiales. Trabajamos con modelos 3D de alta calidad de mobliario y objetos  para dar vida al proyecto como si ya estuviera construido y en pleno funcionamiento. Cada elemento se selecciona cuidadosamente para lograr el concepto y el ambiente deseado, haciendo que cada proyecto sea único y personalizado según tus expectativas de look and feel.</t>
  </si>
  <si>
    <t>Llevamos la visualización arquitectónica a una nueva dimensión.
A través de la técnica de Gaussian Splatting, generamos modelos tridimensionales implantados directamente sobre el terreno real, creando una integración fiel entre arquitectura y entorno. Este método permite visualizaciones interactivas, fluidas y altamente realistas en plataformas digitales o entornos web, con una ligereza y nivel de detalle imposibles en modelos tradicionales.
Ideal para mostrar proyectos en contexto real, experiencias inmersivas de comercialización y exploraciones virtuales sin límites.</t>
  </si>
  <si>
    <t>V13</t>
  </si>
  <si>
    <t>Pack ilimitado Imagen de interiores</t>
  </si>
  <si>
    <t>Experimenta la magia de la imagen realista interior con nuestro enfoque meticuloso. Una vez que hemos completado el modelo con texturas y materiales de alta calidad, junto con mobiliario en 3D de aspecto realista, llevamos a cabo un proceso que podríamos equiparar a la captura de fotografías en la vida cotidiana. Este paso nos permite crear piezas gráficas que son prácticamente indistinguibles de la realidad. Configuramos la iluminación con detalle, combinando la natural y artificial, y ajustamos parámetros de cámara como exposición y apertura del lente para obtener resultados precisos. Finalmente, después de una cuidadosa espera durante el procesamiento en la computadora, exportamos las imágenes en el formato y calidad deseados, asegurando que cada detalle del proyecto brille de manera auténtica y cautivadora.</t>
  </si>
  <si>
    <t>V6. Estrategia y Branding</t>
  </si>
  <si>
    <t>V14</t>
  </si>
  <si>
    <t>Clip video comercial cinematrográfico 2:30 MIN</t>
  </si>
  <si>
    <t>Transformamos modelos arquitectóni cos en cautivadores escenarios visua les. Diseñamos guiones que reflejan a la perfección el concepto de tu proyecto, planificando escenas y tomas que van más allá de simplemente mostrar la arquitectura, buscando emocionar al espectador.</t>
  </si>
  <si>
    <t>V15</t>
  </si>
  <si>
    <t>Recorrido 360 4 imágenes</t>
  </si>
  <si>
    <t>Explora cada rincón de tu proyecto arquitectónico con nuestras imágenes en 360 grados. Comenzamos con la crea ción de un modelo detalladamente ambientado y texturizado, utilizando materiales reales para una representación au téntica. Nuestras imágenes te sumergen en una experiencia visual completa, permitiéndote apreciar cada centímetro del espacio desde todos los ángulos posibles.</t>
  </si>
  <si>
    <t>V20</t>
  </si>
  <si>
    <t xml:space="preserve">Planimetría Comercial edificios </t>
  </si>
  <si>
    <t>Transformamos la complejidad de la planimetría técnica en una represen tación clara y accesible para todos. Nuestra planimetría comercial va más allá, brindando una visión completa del proyecto incluso para aquellos no familiarizados con la arquitectura.</t>
  </si>
  <si>
    <t>V21</t>
  </si>
  <si>
    <t>Planimetría Comercial urbanismos</t>
  </si>
  <si>
    <t>V22</t>
  </si>
  <si>
    <t>Experiencia Web  Inmobiliaria</t>
  </si>
  <si>
    <t>Diseñamos una plataforma web única que concentra eficientemente todos los elementos comerciales, visuales y téc nicos de tu proyecto inmobiliario. Con un diseño en armonía con la estética del pro yecto, nuestra web ofrece una experien cia interactiva completa. Desde produc tos comerciales hasta detalles técnicos, la plataforma simplifica la presentación y comercialización.</t>
  </si>
  <si>
    <t>Experiencia web lite Alianza con Web3D hasta 100 UND</t>
  </si>
  <si>
    <t>V23</t>
  </si>
  <si>
    <t xml:space="preserve">En este servicio, usamos nuestros equipos y econocimiento para el montaje de una experiencia virtual recorriendo el proyecto para tus clientes, asistimos un maximo de 2 horas de manera fisica y presencial en el cual se podrá visualizar el proyecto como si de un juego se tratase. </t>
  </si>
  <si>
    <t>v24</t>
  </si>
  <si>
    <t>transforma tu proyecto inmobiliario en una experiencia cinematográfica envolvente. Con un guión narrativo, musicalización original y edición, creamos un video artístico que no solo muestra espacios, sino que los hace sentir. Más que un render, una obra audiovisual que impacta y emociona.</t>
  </si>
  <si>
    <t xml:space="preserve">Creamos un video recorriendo en primera persona el proyecto, este video ayuda al entendimiento espacial total, pues se recorrerá el proyecto en su totalidad con vista de peatón,. </t>
  </si>
  <si>
    <t>D7. Espacio Público</t>
  </si>
  <si>
    <t>Clip video comercial cinematrográfico Versión Trailer</t>
  </si>
  <si>
    <r>
      <t xml:space="preserve">condensa la esencia de tu proyecto inmobiliario en un impactante video de hasta 20 segundos., creamos un </t>
    </r>
    <r>
      <rPr>
        <b/>
        <sz val="12"/>
        <color rgb="FF000000"/>
        <rFont val="rota"/>
        <family val="3"/>
        <scheme val="minor"/>
      </rPr>
      <t>tráiler visual</t>
    </r>
    <r>
      <rPr>
        <sz val="12"/>
        <color rgb="FF000000"/>
        <rFont val="rota"/>
        <family val="3"/>
        <scheme val="minor"/>
      </rPr>
      <t xml:space="preserve"> que emociona y atrapa desde el primer segundo. Ideal para captar la atención y dejar una impresión inolvidable.</t>
    </r>
  </si>
  <si>
    <t>720P Clip video emocional comercial 1.20 min cinematrográfico Versión Trailer</t>
  </si>
  <si>
    <t>Mediante inteligencia artificial de última generación, optimizamos y escalamos tus videos hasta resolución 8K, preservando la nitidez, el color y la textura original del material. Este servicio permite transformar renders o grabaciones existentes en piezas de ultra alta definición listas para proyección, exhibición o plataformas premium, sin pérdida de detalle ni necesidad de rehacer el contenido.</t>
  </si>
  <si>
    <t>Ideal para portafolios, ferias, exhibiciones o estrategias de comercialización que exigen el máximo nivel visual.</t>
  </si>
  <si>
    <t>D</t>
  </si>
  <si>
    <t>D4</t>
  </si>
  <si>
    <t>Modelo Tridimensional Viewer 360, Escala De Urbanismo (FASE 1)</t>
  </si>
  <si>
    <t>El modelo tridimensional se refiere a la creación de una representación en las tres dimensiones, (largo, ancho y profundo) de un espacio a proponer. 
Este producto logra:
Ser una herramienta fundamental en el proceso de diseño y planificación arquitectónica.
Visualización y comunicación más realista de cómo se verá un proyecto una vez construido. Facilitando la comunicación de ideas y conceptos, lo que ayuda a garantizar que todas las partes involucradas tengan una comprensión clara del diseño propuesto.
Coordinación con otros profesionales. Es una herramienta de diseño y comunicación eficiente que permita visualizar, evaluar y optimizar proyectos inmobiliarios a nivel urbanístico, asegurando su funcionalidad, atractivo y sostenibilidad desde las etapas iniciales.</t>
  </si>
  <si>
    <t>D4-C</t>
  </si>
  <si>
    <t>Modelado Tridimensional Viewer 360, Elemento Complementario (FASE 1)</t>
  </si>
  <si>
    <t>Este servicio está orientado al diseño y visualización de elementos complementarios dentro de un proyecto inmobiliario, tales como mobiliario urbano, áreas recreativas, portones, pérgolas, fachadas de acceso o cualquier componente que enriquezca el entorno del desarrollo. A través de modelos tridimensionales precisos y una visualización interactiva en 360°, se logra comprender el impacto estético y funcional de estos elementos en el proyecto.</t>
  </si>
  <si>
    <t>D4-E</t>
  </si>
  <si>
    <t>Este servicio está enfocado en el diseño de edificaciones que conforman las zonas sociales de un proyecto inmobiliario, tales como clubes, salones de eventos, gimnasios, áreas de coworking, piscinas o espacios de uso comunitario. Mediante modelos tridimensionales detallados y herramientas de visualización interactiva en 360°, se logra una comprensión integral del diseño arquitectónico, espacial y funcional de estas edificaciones.</t>
  </si>
  <si>
    <t>D05</t>
  </si>
  <si>
    <t xml:space="preserve">Este servicio se centra en la producción de planimetría arquitectónica para reflejar y documentar el diseño urbanístico realizado en la etapa conceptual. Incluye planos técnicos que describen la organización espacial, tipologías viales, lotificación, ubicación de equipamientos y otras zonas comunes, proporcionando una base clara y precisa para la ejecución y desarrollo del proyecto.
Garantizar una documentación gráfica clara y completa del diseño urbanístico, sirviendo como herramienta fundamental para la validación, comunicación y futura ejecución del proyecto.
</t>
  </si>
  <si>
    <t>D05-C</t>
  </si>
  <si>
    <t>Planimetría Arquitectónica, Elemento complementario (FASE 1)</t>
  </si>
  <si>
    <t>Este servicio se centra en la elaboración de la planimetría arquitectónica de los elementos complementarios diseñados dentro de un proyecto inmobiliario. Estos elementos incluyen mobiliario urbano, áreas recreativas, pérgolas, portones, fachadas de acceso, entre otros, y su representación técnica garantiza la correcta integración y ejecución de dichos componentes en el desarrollo general.</t>
  </si>
  <si>
    <t>D05-E</t>
  </si>
  <si>
    <t>Este servicio está enfocado en la producción de planimetría arquitectónica de los diseños realizados para las edificaciones propuestas en un proyecto inmobiliario. Incluye planos técnicos que documentan la distribución espacial, volumetrías y detalles generales de las estructuras propuestas; asegurando una base sólida para la validación y desarrollo posterior del proyecto.</t>
  </si>
  <si>
    <t>D7</t>
  </si>
  <si>
    <t>Un modelo tridimensional en su Fase 2 posee un mayor nivel de detalle, lo que proporcionar beneficios significativos en el ejercicio de toma de decisiones previas a la construcción. Permite a las otras disciplinas interesadas, visualizar la estructura de manera más detallada y comprender las interacciones que se generan entre los diferentes componentes, previendo posibles interferencias. Se incluyen datos más allá de la geometría y composición espacias, no tiene como objetivo la exploración creativa y conceptual, sino que está centrado en la toma de decisiones informadas.</t>
  </si>
  <si>
    <t>D7-C</t>
  </si>
  <si>
    <t>Modelo Tridimensional, Viewer 360, Elemento Complementario (Fase 2)</t>
  </si>
  <si>
    <t>El modelo tridimensional de elementos complementarios se detalla con precisión para facilitar la toma de decisiones antes de la construcción. Este modelo permite a las disciplinas involucradas visualizar los componentes con exactitud y prever posibles interferencias, considerando datos técnicos como materiales y especificaciones. El objetivo no es la exploración conceptual, sino asegurar una integración eficiente y resolver conflictos de manera temprana, proporcionando una base sólida para decisiones informadas y una ejecución óptima del proyecto.</t>
  </si>
  <si>
    <t>D7-E</t>
  </si>
  <si>
    <t>El modelo tridimensional de edificaciones se desarrolla con un alto nivel de detalle para apoyar la toma de decisiones previas a la construcción. Permite a las disciplinas involucradas visualizar las edificaciones con precisión y comprender las interacciones entre los diferentes componentes del proyecto. Además de la geometría y distribución espacial, se incluyen datos técnicos detallados sobre materiales, acabados y sistemas constructivos.</t>
  </si>
  <si>
    <t>D8</t>
  </si>
  <si>
    <t xml:space="preserve">El paquete de planos en la fase 2, se orienta hacia la especificidad y la planificación detallada, proporcionando la información necesaria para llevar a cabo la construcción de un presupuesto e igualmente generar todas las cotizaciones necesarias para planear el desarrollo efectivo del proyecto.
Proporcionan la base para la ejecución precisa del diseño y permiten identificar posibles problemas antes de la construcción. Se incluyen dimensiones exactas y materiales.
</t>
  </si>
  <si>
    <t>D08-C</t>
  </si>
  <si>
    <t>Planimetría Arquitectónica, Elemento Complementario (FASE 2)</t>
  </si>
  <si>
    <t>Este servicio se centra en la producción de planimetría arquitectónica detallada para los elementos complementarios diseñados dentro de un proyecto inmobiliario, como mobiliario urbano, áreas recreativas, pérgolas, portones y demás componentes que enriquecen el desarrollo. En la Fase 2, la planimetría se lleva a un nivel avanzado de precisión técnica, integrando especificaciones constructivas detalladas que permiten una ejecución eficiente.</t>
  </si>
  <si>
    <t>D08-E</t>
  </si>
  <si>
    <t>Este servicio se enfoca en la producción de planimetría arquitectónica detallada para las edificaciones diseñadas en un proyecto inmobiliario. En la Fase 2, la documentación planimétrica alcanza un nivel de precisión técnica avanzada, con planos detallados que incluyen la disposición de los espacios, estructuras y sistemas constructivos. Se garantiza la correcta integración de las edificaciones con el entorno urbano, resolviendo posibles interferencias y optimizando la ejecución del proyecto.</t>
  </si>
  <si>
    <t>D9</t>
  </si>
  <si>
    <t xml:space="preserve">Especificaciones del Urbanismo (FASE 2)
</t>
  </si>
  <si>
    <t>Este servicio se enfoca en la elaboración de formatos detallados de especificaciones para el diseño urbanístico de un proyecto inmobiliario. Las especificaciones incluyen todos los aspectos técnicos relacionados con la infraestructura urbana, tipologías de circulaciones, redes de servicios, áreas públicas, equipamientos urbanos y paisajismo. Estas guías técnicas aseguran que todos los componentes del diseño urbanístico cumplan con los requisitos normativos, funcionales y estéticos establecidos en el proyecto, facilitando su correcta ejecución y coordinación con las distintas disciplinas involucradas.</t>
  </si>
  <si>
    <t>D9-C</t>
  </si>
  <si>
    <t xml:space="preserve">Especificaciones de Elemento Complementario (FASE 2)
</t>
  </si>
  <si>
    <t>Este servicio se centra en la elaboración de formatos detallados de especificaciones para los elementos complementarios diseñados en un proyecto inmobiliario, tales como mobiliario urbano, pérgolas, iluminación exterior, portones, senderos, y otros componentes decorativos y funcionales. Las especificaciones incluyen aspectos técnicos, materiales, acabados y métodos de instalación, asegurando que cada elemento se integre correctamente al entorno y cumpla con los estándares de calidad, durabilidad y diseño establecidos.</t>
  </si>
  <si>
    <t>D9-E</t>
  </si>
  <si>
    <t xml:space="preserve">Especificaciones de Edificaciones (FASE 2)
</t>
  </si>
  <si>
    <t>Este servicio se dedica a la elaboración de formatos detallados de especificaciones para las edificaciones diseñadas en un proyecto inmobiliario. Las especificaciones cubren todos los aspectos técnicos de las edificaciones, incluyendo materiales, sistemas constructivos, acabados, estructuras, instalaciones eléctricas, hidráulicas, y de climatización. El objetivo es proporcionar una guía clara para la correcta ejecución de la obra, asegurando que las edificaciones cumplan con los estándares de calidad, seguridad y sostenibilidad establecidos en el diseño.</t>
  </si>
  <si>
    <t>D12</t>
  </si>
  <si>
    <t>Este servicio se centra en la creación de un modelo detallado a nivel constructivo de los componentes de urbanismo dentro de un proyecto inmobiliario. El modelo incluye especificaciones técnicas completas sobre tipologías de circulación, redes de servicios, áreas públicas, paisajismo y equipamiento urbano, representados con un nivel de detalle constructivo que facilita la ejecución de la obra. Este enfoque permite visualizar de manera precisa la integración de estos elementos dentro del contexto del proyecto, asegurando que cada componente se ejecute según los estándares de calidad, normativas y plazos establecidos.</t>
  </si>
  <si>
    <t>D12-E</t>
  </si>
  <si>
    <t>Representación tridimensional precisa que abarca dimensiones, composición espacial, materiales, acabados, detalles técnicos, estructura y otras instalaciones relacionadas. Su objetivo principal es servir como una guía precisa para la ejecución del proyecto, facilitar la comunicación entre profesionales y garantizar que la visión original del diseño se lleve a cabo efectivamente antes de la construcción. Estos modelos son herramientas valiosas para minimizar errores, asegurar la calidad y la seguridad en la ejecución del proyecto arquitectónico.</t>
  </si>
  <si>
    <t>D13</t>
  </si>
  <si>
    <t>Este servicio se enfoca en la creación de planos detallados para la ejecución de los elementos de urbanismo en un proyecto inmobiliario, vía, redes de servicios, áreas públicas y mobiliario urbano. Los planos incluyen especificaciones técnicas precisas sobre materiales, métodos de construcción y dimensiones, garantizando una ejecución eficiente conforme a las normativas y requisitos locales. El objetivo es asegurar que cada componente del urbanismo se construya correctamente, cumpliendo con los estándares de calidad y seguridad.</t>
  </si>
  <si>
    <t>D13-E</t>
  </si>
  <si>
    <t>Un paquete de planos de detalle en el diseño interior es un insumo de comunicación y técnico, fundamental para garantizar que el proyecto se ejecute de manera efectiva, dentro del presupuesto y cumpliendo con los estándares de calidad establecidos. Los planos proporcionan una base sólida para la comunicación, la ejecución y la gestión del diseño interior, asegurando que el resultado final sea coherente con la visión del diseñador y las necesidades del cliente. Además, a futuro sirve como apoyo a las reparaciones y mantenimiento del proyecto.</t>
  </si>
  <si>
    <t>D14</t>
  </si>
  <si>
    <t>Este servicio se centra en la elaboración de un formato detallado de especificaciones para la construcción del urbanismo dentro de un proyecto inmobiliario. Las especificaciones abarcan todos los aspectos técnicos del diseño urbanístico, incluyendo vialidades, redes de servicios, áreas públicas, paisajismo, y equipamiento urbano. Proporciona directrices claras sobre los materiales, métodos de construcción y estándares necesarios para asegurar la correcta ejecución y calidad de los componentes urbanos, cumpliendo con las normativas locales y los requisitos del proyecto.</t>
  </si>
  <si>
    <t>D14-E</t>
  </si>
  <si>
    <t>Es un conjunto de documentos que detallan de manera específica a nivel cualitativo y cuantitativa los requisitos y características técnicas de un proyecto. Insumo que ayuda a los equipos de proyecto a tomar decisiones informadas, controlar costos, cumplir con regulaciones y asegurar que la obra se desarrolle de manera exitosa y dentro de los plazos y presupuestos establecidos.</t>
  </si>
  <si>
    <t>D16</t>
  </si>
  <si>
    <t>Es un documento gráfico que muestra la distribución y delimitación de las distintas unidades inmobiliarias que componen un edificio o conjunto de edificaciones sometido al régimen de propiedad horizontal. Este plano es fundamental para la correcta administración y gestión de la propiedad horizontal, ya que define con precisión las áreas comunes y las privadas, así como su localización y dimensiones.</t>
  </si>
  <si>
    <t>D17</t>
  </si>
  <si>
    <t>Este servicio consiste en la elaboración de un manual anexo al reglamento de propiedad horizontal, que establece las regulaciones claras y permitidas para la construcción y modificación de las zonas privadas en un proyecto inmobiliario. El manual incluye directrices sobre el uso de materiales, acabados, ampliaciones, remodelaciones y cualquier tipo de intervención en los espacios privados, garantizando que las obras se realicen dentro de los parámetros establecidos y respeten la coherencia estética y funcional del desarrollo. Su objetivo es facilitar la gestión de cambios en las viviendas o áreas privadas, asegurando el cumplimiento de las normativas y la armonía dentro de la propiedad.</t>
  </si>
  <si>
    <t>D18</t>
  </si>
  <si>
    <t>Este servicio se centra en la realización de un análisis preliminar y conceptual de la cabida de un proyecto inmobiliario, con el objetivo de evaluar su viabilidad financiera. Se lleva a cabo un estudio detallado de la subdivisión predial, definiendo la distribución de los lotes y su tamaño para determinar el máximo aprovechamiento del terreno de acuerdo con las normativas urbanísticas locales. A través de este análisis, se obtiene una visión clara de las posibles unidades construibles y su rentabilidad, facilitando la toma de decisiones estratégicas para el desarrollo del proyecto.</t>
  </si>
  <si>
    <t>Modelo a detalle constructivo de elemento complementario (Fase 3)</t>
  </si>
  <si>
    <t>Planimetría Arquitectónica, Elemento Complementario (FASE 3)</t>
  </si>
  <si>
    <t>D04-E</t>
  </si>
  <si>
    <t>Este servicio se enfoca en la creación de un modelo tridimensional interactivo en formato tridimensional, específicamente diseñado para visualizar el diseño de una vivienda campestres, el modelo ofrece una representación preliminar de la vivienda, permitiendo a los interesados explorar los espacios y la distribución a través de una experiencia 3D</t>
  </si>
  <si>
    <t>Planimetría Arquitectónica de Vivienda Campestre (FASE 1)</t>
  </si>
  <si>
    <t>Este servicio se enfoca en el desarrollo de los planos arquitectónicos básicos para una vivienda campestre, abarcando distribución de espacios, zonificación, circulaciones y diseño volumétrico inicial. La propuesta se elabora con base en los requerimientos del cliente y las condiciones del terreno, asegurando funcionalidad, confort y armonía con el entorno natural. Esta primera fase sienta las bases para el desarrollo detallado del proyecto, permitiendo visualizar la estructura general de la vivienda antes de avanzar a etapas técnicas y constructivas.</t>
  </si>
  <si>
    <t xml:space="preserve">Especificaciones de Vivienda Campestre (FASE 2)
</t>
  </si>
  <si>
    <t>Este documento recopila una propuesta preliminar de materiales para la construcción de la vivienda campestre, considerando opciones para muros, pisos, cubiertas y acabados en función de criterios estéticos, funcionales y de integración con el entorno. La selección de materiales se basa en su durabilidad, mantenimiento y sostenibilidad, proporcionando una guía inicial para la toma de decisiones antes de definir los detalles técnicos y constructivos en fases posteriores del proyecto.</t>
  </si>
  <si>
    <t>Modelo Tridimensional, Viewer 360 150, Vivienda Campestre (FASE 2)</t>
  </si>
  <si>
    <t>El modelo tridimensional de la vivienda campestre se desarrolla con un nivel de detalle más alto para apoyar la toma de decisiones previas a las fases de presupuesto y posterior construcción. Permite a las otras disciplinas involucradas visualizar la vivienda con precisión y comprender las interacciones entre los diferentes componentes del proyecto. Además de la geometría y distribución espacial, se incluyen datos técnicos sobre materiales, acabados y sistemas constructivos.</t>
  </si>
  <si>
    <t>Planimetría Arquitectónica de Vivienda Campestre (FASE 2)</t>
  </si>
  <si>
    <t>Este servicio se enfoca en la producción de planimetría arquitectónica detallada para las viviendas diseñadas. En la Fase 2, la documentación planimétrica alcanza un nivel de precisión técnica avanzada, con planos detallados que incluyen la disposición de los espacios, estructuras y sistemas constructivos. Se garantiza la correcta integración de la vivienda con el entorno circundante, resolviendo posibles interferencias y optimizando la ejecución del proyecto.</t>
  </si>
  <si>
    <t>D15</t>
  </si>
  <si>
    <t>Este servicio consiste en realizar un replanteo físico de la vivienda campestre diseñada directamente en el terreno donde se llevará a cabo la construcción. El objetivo es permitir a los clientes visualizar y dimensionar el proyecto en el sitio real, facilitando una comprensión más clara de la escala y disposición del espacio. Utilizando marcadores o elementos visibles en el terreno, los clientes podrán imaginar cómo se integrará la vivienda en el entorno, mejorando su percepción sobre el diseño y asegurando que las decisiones tomadas estén alineadas con sus expectativas.</t>
  </si>
  <si>
    <t>Modelo Tridimensional, Viewer 360 150, Vivienda Campestre (FASE 3)</t>
  </si>
  <si>
    <r>
      <t xml:space="preserve">Es una representación digital en 3D de una </t>
    </r>
    <r>
      <rPr>
        <b/>
        <sz val="11"/>
        <color rgb="FF000000"/>
        <rFont val="Rota"/>
        <family val="3"/>
      </rPr>
      <t>Vivienda Campestre (FASE 3)</t>
    </r>
    <r>
      <rPr>
        <sz val="11"/>
        <color rgb="FF000000"/>
        <rFont val="Rota"/>
        <family val="3"/>
      </rPr>
      <t>, diseñada para ofrecer una visualización inmersiva y detallada del proyecto arquitectónico. Este servicio permite explorar la vivienda desde cualquier ángulo mediante una interfaz interactiva en 360 grados, facilitando la comprensión espacial, la evaluación del diseño y la toma de decisiones antes de la construcción. Ideal para clientes, arquitectos y desarrolladores, el Viewer 360 150 optimiza la presentación del proyecto y mejora la comunicación visual con todos los involucrados.</t>
    </r>
  </si>
  <si>
    <t>Planimetría Arquitectónica de Vivienda Campestre (FASE 3)</t>
  </si>
  <si>
    <t>Se desarrolla la planimetría arquitectónica detallada de la vivienda campestre, incorporando ajustes finales en distribución, dimensiones y especificaciones técnicas. Se generan planos precisos de plantas, cortes y fachadas, esenciales para la coordinación con ingenierías y el proceso constructivo. Esta documentación garantiza una ejecución fiel al diseño propuesto, optimizando tiempos y recursos en la materialización del proyecto.</t>
  </si>
  <si>
    <t xml:space="preserve">Especificaciones de Vivienda Campestre (FASE 3)
</t>
  </si>
  <si>
    <t>Se detallan las especificaciones técnicas y constructivas de la vivienda campestre, incluyendo materiales, acabados, sistemas estructurales y de instalaciones (hidrosanitarias, eléctricas y mecánicas). Este servicio garantiza una planificación precisa, optimizando costos y asegurando la calidad y coherencia del diseño arquitectónico. Además, se generan documentos técnicos clave para la gestión de presupuestos y la ejecución de la obra, facilitando la toma de decisiones y la materialización eficiente del proyecto.</t>
  </si>
  <si>
    <t>D1</t>
  </si>
  <si>
    <t>Etapa crucial que implica la recopilación y análisis de información relevante para comprender plenamente los requerimientos, objetivos y restricciones del proyecto; Este proceso incluye el análisis del sitio, la recopilación de datos técnicos, normativos y contextuales, así como la identificación de las expectativas del cliente. A partir de esta información, se desarrollan los estudios preliminares que trazan las primeras líneas conceptuales del proyecto.</t>
  </si>
  <si>
    <t>D2</t>
  </si>
  <si>
    <t xml:space="preserve">En esta etapa se realiza la interpretación de determinantes físicas, ambientales, sociales y normativas, las cuales son traducidas en conceptos iniciales que guían la propuesta arquitectónica. A partir de este análisis, se desarrollan ideas que integran creatividad, funcionalidad y una respuesta contextual al proyecto.
El objetivo es desarrollar una base conceptual sólida que conecte las determinantes del proyecto con un enfoque arquitectónico innovador y contextualizado, sirviendo como guía para el desarrollo del diseño.
</t>
  </si>
  <si>
    <t>D6</t>
  </si>
  <si>
    <t>Una presentación de desarrollo arquitectónico es una exposición visual y oral que tiene como objetivo comunicar y explicar los detalles, conceptos y avances de un proyecto arquitectónico en sus diversas fases de desarrollo. Estas presentaciones son herramientas importantes para transmitir la visión del arquitecto, obtener retroalimentación, presentar propuestas a clientes, autoridades locales o equipos de construcción, y asegurar una comprensión clara de los aspectos clave del proyecto.</t>
  </si>
  <si>
    <t>D11</t>
  </si>
  <si>
    <t xml:space="preserve">Un presupuesto para ejecución de obra es un documento que estima el costo total de un proyecto de construcción. Incluye, descripción del proyecto, detalle de materiales, mano de obra y equipos necesarios, análisis de precios unitarios, costos Indirectos, utilidad y contingencias; además de un cronograma de ejecución
Este presupuesto es esencial para planificar, financiar y gestionar la construcción de manera efectiva.
</t>
  </si>
  <si>
    <t>D3</t>
  </si>
  <si>
    <t>Este servicio permite materializar una idea inicial de transformación espacial a través de una propuesta conceptual respaldada por modelos 3D preliminares. A partir de un análisis del espacio existente y las necesidades del cliente, se generan representaciones tridimensionales que ayudan a visionar posibles cambios en el diseño, proporcionando una interpretación visual clara y funcional del proyecto.</t>
  </si>
  <si>
    <t>D10</t>
  </si>
  <si>
    <t xml:space="preserve">El look and feel permite construir una coherencia visual y temática en un proyecto a desarrollar. Su conceptualización establece una base temática o visual que se utiliza para unificar todo el diseño. Este servicio logra garantizar que todos los elementos y componentes del proyecto estén en sintonía, creando una experiencia cohesiva y atractiva para el cliente final.
Un diseño bien conceptualizado comunica de manera efectiva. Define la historia que el diseño contará y transmite el mensaje deseado de manera clara y convincente.
</t>
  </si>
  <si>
    <t>Modelo tridimensional fase 2 del Espacio Interior</t>
  </si>
  <si>
    <t>Este servicio consiste en la creación de un modelo tridimensional detallado del diseño interior en su fase avanzada. Incluye la representación realista del espacio con materiales, mobiliario, iluminación y acabados específicos, permitiendo visualizar el proyecto antes de su ejecución. A través de renders de alta calidad y recorridos virtuales, brindamos una herramienta precisa para la toma de decisiones, optimización del diseño</t>
  </si>
  <si>
    <t xml:space="preserve">Planimetría Arquitectónica de Diseño Interior </t>
  </si>
  <si>
    <t>Este servicio consiste en la elaboración de planos técnicos detallados que definen la distribución, materiales, acabados e instalaciones del diseño interior en su fase avanzada. Incluye planos de distribución, iluminación, mobiliario, instalaciones eléctricas e hidráulicas, así como detalles constructivos esenciales para la ejecución del proyecto. La planimetría arquitectónica garantiza precisión en la construcción y facilita la coordinación entre los diferentes profesionales involucrados en la obra.</t>
  </si>
  <si>
    <t xml:space="preserve">Nuestro servicio ofrece un detallado desglose de especificaciones técnicas, asegurando que cada material, acabado y sistema constructivo cumpla con los más altos estándares de calidad y normativa vigente. Además, garantizamos una experiencia de compra optimizada, brindando asesoría personalizada, visualización mediante renders y un proceso ágil de selección de materiales y acabados. Finalmente, proporcionamos un cálculo preciso de cantidades de obra, optimizando costos y tiempos mediante una planificación detallada que permite una ejecución eficiente y sin desperdicios.
</t>
  </si>
  <si>
    <t>Modelo y Planimetría Arquitectónica Técnica para Montaje de Stand</t>
  </si>
  <si>
    <t>Presupuesto, cantidades Para Producción de Stand</t>
  </si>
  <si>
    <t>Modelo Tridimensional, Viewer 360 150, Edificación en Altura</t>
  </si>
  <si>
    <t>Modelo Tridimensional, Viewer 360, Edificación en Altura</t>
  </si>
  <si>
    <t>Especificaciones de Edificación en Altura Volumen 2</t>
  </si>
  <si>
    <t>Construcción de Ficha Maestra</t>
  </si>
  <si>
    <t>La ficha maestra centraliza toda la información del proyecto en un solo lugar. Con este acceso, organizamos y alojamos de manera estructurada el contenido técnico, visual, y comercial en una nube exclusiva, permitiendo una fácil y rápida consulta y presentación a clientes.</t>
  </si>
  <si>
    <t>Personal Shopper de lote lite</t>
  </si>
  <si>
    <t>Personal Shopper de lote Advanced</t>
  </si>
  <si>
    <t>Diseño Tu Interior</t>
  </si>
  <si>
    <t>Renueva tu Interior</t>
  </si>
  <si>
    <t>Identidad Visual y Storytelling</t>
  </si>
  <si>
    <t>La identidad visual única que representa la esencia de tu proyecto. Un Storytelling que emociona y conecta, mostrando la historia detrás del proyecto y creando un vínculo auténtico con tu audiencia.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</si>
</sst>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44" formatCode="_-&quot;$&quot;\ * #,##0.00_-;\-&quot;$&quot;\ * #,##0.00_-;_-&quot;$&quot;\ * &quot;-&quot;??_-;_-@_-"/>
    <numFmt numFmtId="43" formatCode="_-* #,##0.00_-;\-* #,##0.00_-;_-* &quot;-&quot;??_-;_-@_-"/>
    <numFmt numFmtId="164" formatCode="_-[$$-240A]\ * #,##0_-;\-[$$-240A]\ * #,##0_-;_-[$$-240A]\ * &quot;-&quot;??_-;_-@"/>
    <numFmt numFmtId="165" formatCode="0.0"/>
    <numFmt numFmtId="166" formatCode="_-&quot;$&quot;\ * #,##0_-;\-&quot;$&quot;\ * #,##0_-;_-&quot;$&quot;\ * &quot;-&quot;??_-;_-@"/>
    <numFmt numFmtId="167" formatCode="_ &quot;$&quot;\ * #,##0_ ;_ &quot;$&quot;\ * \-#,##0_ ;_ &quot;$&quot;\ * &quot;-&quot;??_ ;_ @_ "/>
    <numFmt numFmtId="168" formatCode="_-* #,##0\ _P_t_a_-;\-* #,##0\ _P_t_a_-;_-* &quot;-&quot;\ _P_t_a_-;_-@_-"/>
    <numFmt numFmtId="169" formatCode="_ * #,##0.00_ ;_ * \-#,##0.00_ ;_ * &quot;-&quot;??_ ;_ @_ "/>
    <numFmt numFmtId="170" formatCode="_(&quot;$&quot;\ * #,##0.00_);_(&quot;$&quot;\ * \(#,##0.00\);_(&quot;$&quot;\ * &quot;-&quot;??_);_(@_)"/>
    <numFmt numFmtId="171" formatCode="_-&quot;$&quot;* #,##0.00_-;\-&quot;$&quot;* #,##0.00_-;_-&quot;$&quot;* &quot;-&quot;??_-;_-@_-"/>
    <numFmt numFmtId="172" formatCode="_-[$$-240A]\ * #,##0_-;\-[$$-240A]\ * #,##0_-;_-[$$-240A]\ * &quot;-&quot;_-;_-@_-"/>
    <numFmt numFmtId="173" formatCode="_-[$$-240A]\ * #,##0_-;\-[$$-240A]\ * #,##0_-;_-[$$-240A]\ * &quot;-&quot;??_-;_-@_-"/>
    <numFmt numFmtId="174" formatCode="_-&quot;$&quot;\ * #,##0_-;\-&quot;$&quot;\ * #,##0_-;_-&quot;$&quot;\ * &quot;-&quot;??_-;_-@_-"/>
    <numFmt numFmtId="175" formatCode="00"/>
  </numFmts>
  <fonts count="93" x14ac:knownFonts="1">
    <font>
      <sz val="11"/>
      <color theme="1"/>
      <name val="rota"/>
      <family val="2"/>
      <scheme val="minor"/>
    </font>
    <font>
      <sz val="11"/>
      <color theme="1"/>
      <name val="rota"/>
      <family val="2"/>
      <scheme val="minor"/>
    </font>
    <font>
      <sz val="12"/>
      <color theme="1"/>
      <name val="rota"/>
      <family val="3"/>
      <scheme val="major"/>
    </font>
    <font>
      <sz val="12"/>
      <name val="rota"/>
      <family val="3"/>
      <scheme val="major"/>
    </font>
    <font>
      <sz val="12"/>
      <color theme="1"/>
      <name val="rota"/>
      <family val="2"/>
    </font>
    <font>
      <sz val="8"/>
      <name val="rota"/>
      <family val="3"/>
      <scheme val="minor"/>
    </font>
    <font>
      <sz val="12"/>
      <color theme="0"/>
      <name val="Rota Bd"/>
      <family val="3"/>
    </font>
    <font>
      <sz val="12"/>
      <color theme="0"/>
      <name val="Eras Medium ITC"/>
      <family val="2"/>
    </font>
    <font>
      <sz val="11"/>
      <color theme="0"/>
      <name val="Rota"/>
      <family val="3"/>
    </font>
    <font>
      <u/>
      <sz val="12"/>
      <color theme="10"/>
      <name val="Arial"/>
      <family val="2"/>
    </font>
    <font>
      <sz val="8"/>
      <color theme="4"/>
      <name val="rota"/>
      <family val="2"/>
      <scheme val="minor"/>
    </font>
    <font>
      <sz val="10"/>
      <name val="Arial"/>
      <family val="2"/>
    </font>
    <font>
      <sz val="12"/>
      <color theme="1"/>
      <name val="Arial"/>
      <family val="2"/>
    </font>
    <font>
      <sz val="11"/>
      <color theme="1"/>
      <name val="rota"/>
      <family val="2"/>
      <scheme val="minor"/>
    </font>
    <font>
      <sz val="10"/>
      <color rgb="FF000000"/>
      <name val="Arial"/>
      <family val="2"/>
    </font>
    <font>
      <sz val="11"/>
      <color rgb="FF000000"/>
      <name val="Calibri"/>
      <family val="2"/>
    </font>
    <font>
      <sz val="10"/>
      <color indexed="8"/>
      <name val="Arial"/>
      <family val="2"/>
    </font>
    <font>
      <b/>
      <sz val="9"/>
      <color theme="3" tint="0.24994659260841701"/>
      <name val="rota"/>
      <family val="2"/>
      <scheme val="minor"/>
    </font>
    <font>
      <sz val="11"/>
      <color theme="0"/>
      <name val="Eras Medium ITC"/>
      <family val="2"/>
    </font>
    <font>
      <sz val="12"/>
      <color rgb="FFFFC000"/>
      <name val="Rota"/>
      <family val="3"/>
    </font>
    <font>
      <sz val="16"/>
      <color theme="0"/>
      <name val="Rota Bd"/>
      <family val="3"/>
    </font>
    <font>
      <b/>
      <sz val="16"/>
      <color theme="0"/>
      <name val="Rota Bd"/>
      <family val="3"/>
    </font>
    <font>
      <sz val="12"/>
      <color theme="1"/>
      <name val="Rota Bd"/>
      <family val="3"/>
    </font>
    <font>
      <sz val="8"/>
      <name val="rota"/>
      <family val="2"/>
      <scheme val="minor"/>
    </font>
    <font>
      <b/>
      <sz val="12"/>
      <name val="Rota Bd"/>
      <family val="3"/>
    </font>
    <font>
      <sz val="11"/>
      <color theme="1"/>
      <name val="Rota"/>
      <family val="3"/>
    </font>
    <font>
      <sz val="12"/>
      <color theme="0"/>
      <name val="Rota"/>
      <family val="3"/>
    </font>
    <font>
      <sz val="12"/>
      <color theme="1"/>
      <name val="Rota"/>
      <family val="3"/>
    </font>
    <font>
      <sz val="12"/>
      <name val="Rota"/>
      <family val="3"/>
    </font>
    <font>
      <sz val="11"/>
      <name val="Rota"/>
      <family val="3"/>
    </font>
    <font>
      <sz val="12"/>
      <color theme="1"/>
      <name val="rota"/>
      <family val="2"/>
      <scheme val="minor"/>
    </font>
    <font>
      <sz val="14"/>
      <color rgb="FFFFC000"/>
      <name val="Rota"/>
      <family val="3"/>
    </font>
    <font>
      <b/>
      <sz val="18"/>
      <color theme="1"/>
      <name val="Rota"/>
      <family val="3"/>
    </font>
    <font>
      <sz val="72"/>
      <color rgb="FFFFC000"/>
      <name val="Rota"/>
      <family val="3"/>
    </font>
    <font>
      <sz val="22"/>
      <color theme="1"/>
      <name val="rota"/>
      <family val="3"/>
      <scheme val="major"/>
    </font>
    <font>
      <sz val="22"/>
      <color theme="0"/>
      <name val="Rota Bd"/>
      <family val="3"/>
    </font>
    <font>
      <sz val="28"/>
      <color rgb="FFFFC000"/>
      <name val="Rota Bd"/>
      <family val="3"/>
    </font>
    <font>
      <sz val="28"/>
      <color rgb="FFFFC000"/>
      <name val="Rota"/>
      <family val="3"/>
    </font>
    <font>
      <sz val="14"/>
      <color theme="0"/>
      <name val="Rota-Regular"/>
    </font>
    <font>
      <sz val="14"/>
      <color theme="1"/>
      <name val="Rota"/>
      <family val="3"/>
    </font>
    <font>
      <sz val="18"/>
      <color theme="1"/>
      <name val="rota"/>
      <family val="2"/>
      <scheme val="minor"/>
    </font>
    <font>
      <sz val="18"/>
      <color rgb="FFFFC000"/>
      <name val="rota"/>
      <family val="2"/>
      <scheme val="minor"/>
    </font>
    <font>
      <b/>
      <sz val="20"/>
      <color theme="1"/>
      <name val="rota"/>
      <family val="3"/>
      <scheme val="major"/>
    </font>
    <font>
      <sz val="16"/>
      <name val="rota"/>
      <family val="3"/>
      <scheme val="major"/>
    </font>
    <font>
      <sz val="16"/>
      <name val="Aptos Narrow"/>
      <family val="2"/>
    </font>
    <font>
      <sz val="14"/>
      <color rgb="FFFFC000"/>
      <name val="Rota Bd"/>
      <family val="3"/>
    </font>
    <font>
      <b/>
      <sz val="14"/>
      <color rgb="FFFFC000"/>
      <name val="Rota Bd"/>
      <family val="3"/>
    </font>
    <font>
      <sz val="20"/>
      <color rgb="FFFFC000"/>
      <name val="Rota Bd"/>
      <family val="3"/>
    </font>
    <font>
      <b/>
      <sz val="20"/>
      <color rgb="FFFFC000"/>
      <name val="Rota Bd"/>
      <family val="3"/>
    </font>
    <font>
      <sz val="14"/>
      <color theme="1"/>
      <name val="rota"/>
      <family val="2"/>
      <scheme val="minor"/>
    </font>
    <font>
      <b/>
      <sz val="11"/>
      <name val="Rota"/>
      <family val="3"/>
    </font>
    <font>
      <sz val="20"/>
      <name val="Rota Bd"/>
      <family val="3"/>
    </font>
    <font>
      <sz val="18"/>
      <name val="Rota Bd"/>
      <family val="3"/>
    </font>
    <font>
      <sz val="11"/>
      <name val="Rota Bd"/>
      <family val="3"/>
    </font>
    <font>
      <sz val="14"/>
      <color theme="0"/>
      <name val="Rota Bd"/>
      <family val="3"/>
    </font>
    <font>
      <b/>
      <sz val="14"/>
      <color theme="0"/>
      <name val="Rota Bd"/>
      <family val="3"/>
    </font>
    <font>
      <sz val="10"/>
      <color theme="0"/>
      <name val="Rota Bd"/>
      <family val="3"/>
    </font>
    <font>
      <sz val="10"/>
      <color theme="0"/>
      <name val="rota"/>
      <family val="3"/>
      <scheme val="major"/>
    </font>
    <font>
      <sz val="18"/>
      <color theme="1"/>
      <name val="rota"/>
      <family val="3"/>
      <scheme val="major"/>
    </font>
    <font>
      <sz val="18"/>
      <color theme="0"/>
      <name val="Rota Bd"/>
      <family val="3"/>
    </font>
    <font>
      <sz val="18"/>
      <color rgb="FFFFC000"/>
      <name val="Rota"/>
      <family val="3"/>
    </font>
    <font>
      <sz val="18"/>
      <color theme="1"/>
      <name val="Rota Bd"/>
      <family val="3"/>
    </font>
    <font>
      <u/>
      <sz val="11"/>
      <color theme="10"/>
      <name val="rota"/>
      <family val="2"/>
      <scheme val="minor"/>
    </font>
    <font>
      <u/>
      <sz val="12"/>
      <color theme="1"/>
      <name val="rota"/>
      <family val="3"/>
      <scheme val="major"/>
    </font>
    <font>
      <sz val="48"/>
      <color theme="1"/>
      <name val="Rota Bd"/>
      <family val="3"/>
    </font>
    <font>
      <sz val="18"/>
      <color theme="1"/>
      <name val="Rota"/>
      <family val="3"/>
    </font>
    <font>
      <sz val="26"/>
      <color theme="1"/>
      <name val="Rota Black"/>
      <family val="3"/>
    </font>
    <font>
      <sz val="22"/>
      <color rgb="FFFFC000"/>
      <name val="Rota"/>
      <family val="3"/>
    </font>
    <font>
      <sz val="22"/>
      <color theme="1"/>
      <name val="Rota"/>
      <family val="3"/>
    </font>
    <font>
      <sz val="11"/>
      <color rgb="FF000000"/>
      <name val="Rota"/>
      <family val="3"/>
    </font>
    <font>
      <b/>
      <sz val="18"/>
      <color rgb="FFFFC000"/>
      <name val="rota"/>
      <family val="3"/>
    </font>
    <font>
      <sz val="12"/>
      <color rgb="FF000000"/>
      <name val="rota"/>
      <family val="3"/>
      <scheme val="major"/>
    </font>
    <font>
      <b/>
      <sz val="12"/>
      <color rgb="FF000000"/>
      <name val="rota"/>
      <family val="3"/>
      <scheme val="major"/>
    </font>
    <font>
      <sz val="12"/>
      <color rgb="FF000000"/>
      <name val="Rota"/>
      <family val="3"/>
    </font>
    <font>
      <b/>
      <sz val="12"/>
      <color rgb="FF000000"/>
      <name val="Rota"/>
      <family val="3"/>
    </font>
    <font>
      <sz val="20"/>
      <color theme="0"/>
      <name val="Rota Bd"/>
      <family val="3"/>
    </font>
    <font>
      <sz val="18"/>
      <color rgb="FFFFC000"/>
      <name val="Rota Bd"/>
      <family val="3"/>
    </font>
    <font>
      <b/>
      <sz val="11"/>
      <color rgb="FF000000"/>
      <name val="Rota"/>
      <family val="3"/>
    </font>
    <font>
      <sz val="12"/>
      <color rgb="FF242424"/>
      <name val="Aptos Narrow"/>
      <family val="2"/>
    </font>
    <font>
      <sz val="12"/>
      <color rgb="FF000000"/>
      <name val="rota"/>
      <family val="3"/>
      <scheme val="minor"/>
    </font>
    <font>
      <b/>
      <sz val="12"/>
      <color rgb="FF000000"/>
      <name val="rota"/>
      <family val="3"/>
      <scheme val="minor"/>
    </font>
    <font>
      <b/>
      <sz val="12"/>
      <color theme="1"/>
      <name val="Rota"/>
      <family val="3"/>
    </font>
    <font>
      <b/>
      <sz val="18"/>
      <color theme="1"/>
      <name val="Rota Bd"/>
      <family val="3"/>
    </font>
    <font>
      <sz val="10"/>
      <color theme="1"/>
      <name val="Arial"/>
      <family val="2"/>
    </font>
    <font>
      <b/>
      <sz val="14"/>
      <color rgb="FFFFFFFF"/>
      <name val="Rota Bd"/>
    </font>
    <font>
      <sz val="10"/>
      <color rgb="FFFFFFFF"/>
      <name val="Rota Bd"/>
    </font>
    <font>
      <sz val="10"/>
      <color rgb="FFFFFFFF"/>
      <name val="rota"/>
      <scheme val="major"/>
    </font>
    <font>
      <b/>
      <sz val="14"/>
      <color rgb="FFFFFFFF"/>
      <name val="Rota Bd"/>
      <family val="3"/>
    </font>
    <font>
      <sz val="12"/>
      <color rgb="FF000000"/>
      <name val="rota"/>
      <scheme val="major"/>
    </font>
    <font>
      <b/>
      <sz val="12"/>
      <color rgb="FF000000"/>
      <name val="rota"/>
      <scheme val="major"/>
    </font>
    <font>
      <sz val="11"/>
      <color rgb="FFFFC000"/>
      <name val="rota"/>
      <family val="2"/>
      <scheme val="minor"/>
    </font>
    <font>
      <b/>
      <sz val="11"/>
      <color rgb="FFFFC000"/>
      <name val="rota"/>
      <family val="2"/>
      <scheme val="minor"/>
    </font>
    <font>
      <b/>
      <sz val="11"/>
      <color theme="1"/>
      <name val="rota"/>
      <family val="2"/>
      <scheme val="minor"/>
    </font>
  </fonts>
  <fills count="17">
    <fill>
      <patternFill patternType="none"/>
    </fill>
    <fill>
      <patternFill patternType="gray125"/>
    </fill>
    <fill>
      <patternFill patternType="solid">
        <fgColor theme="1"/>
        <bgColor theme="1"/>
      </patternFill>
    </fill>
    <fill>
      <patternFill patternType="solid">
        <fgColor theme="4" tint="0.79998168889431442"/>
        <bgColor indexed="65"/>
      </patternFill>
    </fill>
    <fill>
      <patternFill patternType="solid">
        <fgColor theme="1"/>
        <bgColor indexed="64"/>
      </patternFill>
    </fill>
    <fill>
      <patternFill patternType="solid">
        <fgColor theme="0" tint="-0.34998626667073579"/>
        <bgColor theme="0" tint="-0.499984740745262"/>
      </patternFill>
    </fill>
    <fill>
      <patternFill patternType="solid">
        <fgColor rgb="FF0C0C0C"/>
        <bgColor rgb="FF0C0C0C"/>
      </patternFill>
    </fill>
    <fill>
      <patternFill patternType="solid">
        <fgColor theme="1" tint="0.24994659260841701"/>
        <bgColor theme="1" tint="0.24994659260841701"/>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0.14999847407452621"/>
        <bgColor theme="1"/>
      </patternFill>
    </fill>
    <fill>
      <patternFill patternType="solid">
        <fgColor theme="1" tint="4.9989318521683403E-2"/>
        <bgColor rgb="FFD8D8D8"/>
      </patternFill>
    </fill>
    <fill>
      <patternFill patternType="solid">
        <fgColor theme="2" tint="-4.9989318521683403E-2"/>
        <bgColor indexed="64"/>
      </patternFill>
    </fill>
    <fill>
      <patternFill patternType="solid">
        <fgColor theme="0"/>
        <bgColor indexed="64"/>
      </patternFill>
    </fill>
    <fill>
      <patternFill patternType="solid">
        <fgColor rgb="FFD9D9D9"/>
        <bgColor rgb="FF000000"/>
      </patternFill>
    </fill>
    <fill>
      <patternFill patternType="solid">
        <fgColor rgb="FFD9D9D9"/>
        <bgColor indexed="64"/>
      </patternFill>
    </fill>
    <fill>
      <patternFill patternType="solid">
        <fgColor theme="7" tint="0.59999389629810485"/>
        <bgColor indexed="64"/>
      </patternFill>
    </fill>
  </fills>
  <borders count="29">
    <border>
      <left/>
      <right/>
      <top/>
      <bottom/>
      <diagonal/>
    </border>
    <border>
      <left/>
      <right/>
      <top/>
      <bottom/>
      <diagonal/>
    </border>
    <border>
      <left/>
      <right/>
      <top style="thin">
        <color auto="1"/>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top style="thin">
        <color theme="6"/>
      </top>
      <bottom/>
      <diagonal/>
    </border>
    <border>
      <left/>
      <right style="thin">
        <color rgb="FF000000"/>
      </right>
      <top/>
      <bottom/>
      <diagonal/>
    </border>
    <border>
      <left style="thin">
        <color rgb="FF000000"/>
      </left>
      <right style="thin">
        <color rgb="FF000000"/>
      </right>
      <top style="thin">
        <color rgb="FF000000"/>
      </top>
      <bottom style="thin">
        <color rgb="FF000000"/>
      </bottom>
      <diagonal/>
    </border>
    <border>
      <left/>
      <right style="thin">
        <color theme="1"/>
      </right>
      <top style="thin">
        <color theme="6"/>
      </top>
      <bottom/>
      <diagonal/>
    </border>
    <border>
      <left/>
      <right/>
      <top style="thin">
        <color rgb="FFA5A5A5"/>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rgb="FF000000"/>
      </left>
      <right style="thin">
        <color rgb="FFCCCCCC"/>
      </right>
      <top style="thin">
        <color rgb="FF000000"/>
      </top>
      <bottom style="thin">
        <color rgb="FFCCCCCC"/>
      </bottom>
      <diagonal/>
    </border>
    <border>
      <left style="thin">
        <color rgb="FFCCCCCC"/>
      </left>
      <right style="thin">
        <color rgb="FFCCCCCC"/>
      </right>
      <top style="thin">
        <color rgb="FF000000"/>
      </top>
      <bottom style="thin">
        <color rgb="FFCCCCCC"/>
      </bottom>
      <diagonal/>
    </border>
    <border>
      <left style="thin">
        <color rgb="FFCCCCCC"/>
      </left>
      <right style="thin">
        <color rgb="FF000000"/>
      </right>
      <top style="thin">
        <color rgb="FF000000"/>
      </top>
      <bottom style="thin">
        <color rgb="FFCCCCCC"/>
      </bottom>
      <diagonal/>
    </border>
    <border>
      <left style="thin">
        <color rgb="FF000000"/>
      </left>
      <right style="thin">
        <color rgb="FFCCCCCC"/>
      </right>
      <top style="thin">
        <color rgb="FFCCCCCC"/>
      </top>
      <bottom style="thin">
        <color rgb="FFCCCCCC"/>
      </bottom>
      <diagonal/>
    </border>
    <border>
      <left style="thin">
        <color rgb="FFCCCCCC"/>
      </left>
      <right style="thin">
        <color rgb="FFCCCCCC"/>
      </right>
      <top style="thin">
        <color rgb="FFCCCCCC"/>
      </top>
      <bottom style="thin">
        <color rgb="FFCCCCCC"/>
      </bottom>
      <diagonal/>
    </border>
    <border>
      <left style="thin">
        <color rgb="FFCCCCCC"/>
      </left>
      <right style="thin">
        <color rgb="FF000000"/>
      </right>
      <top style="thin">
        <color rgb="FFCCCCCC"/>
      </top>
      <bottom style="thin">
        <color rgb="FFCCCCCC"/>
      </bottom>
      <diagonal/>
    </border>
    <border>
      <left style="thin">
        <color rgb="FF000000"/>
      </left>
      <right style="thin">
        <color rgb="FFCCCCCC"/>
      </right>
      <top style="thin">
        <color rgb="FFCCCCCC"/>
      </top>
      <bottom style="thin">
        <color rgb="FF000000"/>
      </bottom>
      <diagonal/>
    </border>
    <border>
      <left style="thin">
        <color rgb="FFCCCCCC"/>
      </left>
      <right style="thin">
        <color rgb="FFCCCCCC"/>
      </right>
      <top style="thin">
        <color rgb="FFCCCCCC"/>
      </top>
      <bottom style="thin">
        <color rgb="FF000000"/>
      </bottom>
      <diagonal/>
    </border>
    <border>
      <left style="thin">
        <color rgb="FFCCCCCC"/>
      </left>
      <right style="thin">
        <color rgb="FF000000"/>
      </right>
      <top style="thin">
        <color rgb="FFCCCCCC"/>
      </top>
      <bottom style="thin">
        <color rgb="FF000000"/>
      </bottom>
      <diagonal/>
    </border>
    <border>
      <left style="thin">
        <color rgb="FF000000"/>
      </left>
      <right style="thin">
        <color rgb="FFCCCCCC"/>
      </right>
      <top style="thin">
        <color rgb="FFCCCCCC"/>
      </top>
      <bottom/>
      <diagonal/>
    </border>
    <border>
      <left style="thin">
        <color rgb="FFCCCCCC"/>
      </left>
      <right style="thin">
        <color rgb="FFCCCCCC"/>
      </right>
      <top style="thin">
        <color rgb="FFCCCCCC"/>
      </top>
      <bottom/>
      <diagonal/>
    </border>
    <border>
      <left style="thin">
        <color rgb="FFCCCCCC"/>
      </left>
      <right style="thin">
        <color rgb="FF000000"/>
      </right>
      <top style="thin">
        <color rgb="FFCCCCCC"/>
      </top>
      <bottom/>
      <diagonal/>
    </border>
    <border>
      <left/>
      <right/>
      <top/>
      <bottom style="thin">
        <color theme="0" tint="-0.34998626667073579"/>
      </bottom>
      <diagonal/>
    </border>
  </borders>
  <cellStyleXfs count="45">
    <xf numFmtId="0" fontId="0" fillId="0" borderId="1"/>
    <xf numFmtId="43" fontId="1" fillId="0" borderId="1" applyFont="0" applyFill="0" applyBorder="0" applyAlignment="0" applyProtection="0"/>
    <xf numFmtId="44" fontId="1" fillId="0" borderId="1" applyFont="0" applyFill="0" applyBorder="0" applyAlignment="0" applyProtection="0"/>
    <xf numFmtId="9" fontId="13" fillId="0" borderId="1" applyFont="0" applyFill="0" applyBorder="0" applyAlignment="0" applyProtection="0"/>
    <xf numFmtId="0" fontId="4" fillId="3" borderId="1" applyNumberFormat="0" applyBorder="0" applyAlignment="0" applyProtection="0"/>
    <xf numFmtId="49" fontId="7" fillId="5" borderId="1">
      <alignment horizontal="center" vertical="center" wrapText="1"/>
    </xf>
    <xf numFmtId="167" fontId="8" fillId="6" borderId="1">
      <alignment horizontal="center" vertical="center" wrapText="1"/>
    </xf>
    <xf numFmtId="49" fontId="7" fillId="6" borderId="1">
      <alignment horizontal="center" vertical="center" wrapText="1"/>
    </xf>
    <xf numFmtId="0" fontId="9" fillId="0" borderId="1" applyNumberFormat="0" applyFill="0" applyBorder="0" applyAlignment="0" applyProtection="0"/>
    <xf numFmtId="0" fontId="10" fillId="0" borderId="1" applyNumberFormat="0" applyFill="0" applyBorder="0" applyAlignment="0" applyProtection="0">
      <alignment vertical="center" wrapText="1"/>
    </xf>
    <xf numFmtId="168" fontId="11" fillId="0" borderId="1" applyFont="0" applyFill="0" applyBorder="0" applyAlignment="0" applyProtection="0"/>
    <xf numFmtId="43" fontId="1" fillId="0" borderId="1" applyFont="0" applyFill="0" applyBorder="0" applyAlignment="0" applyProtection="0"/>
    <xf numFmtId="169" fontId="11" fillId="0" borderId="1" applyFont="0" applyFill="0" applyBorder="0" applyAlignment="0" applyProtection="0"/>
    <xf numFmtId="43" fontId="1" fillId="0" borderId="1" applyFont="0" applyFill="0" applyBorder="0" applyAlignment="0" applyProtection="0"/>
    <xf numFmtId="44" fontId="11" fillId="0" borderId="1" applyFont="0" applyFill="0" applyBorder="0" applyAlignment="0" applyProtection="0"/>
    <xf numFmtId="170" fontId="1" fillId="0" borderId="1" applyFont="0" applyFill="0" applyBorder="0" applyAlignment="0" applyProtection="0"/>
    <xf numFmtId="44" fontId="1" fillId="0" borderId="1" applyFont="0" applyFill="0" applyBorder="0" applyAlignment="0" applyProtection="0"/>
    <xf numFmtId="171" fontId="1" fillId="0" borderId="1" applyFont="0" applyFill="0" applyBorder="0" applyAlignment="0" applyProtection="0"/>
    <xf numFmtId="171" fontId="1" fillId="0" borderId="1" applyFont="0" applyFill="0" applyBorder="0" applyAlignment="0" applyProtection="0"/>
    <xf numFmtId="171" fontId="1" fillId="0" borderId="1" applyFont="0" applyFill="0" applyBorder="0" applyAlignment="0" applyProtection="0"/>
    <xf numFmtId="171" fontId="12" fillId="0" borderId="1" applyFont="0" applyFill="0" applyBorder="0" applyAlignment="0" applyProtection="0"/>
    <xf numFmtId="0" fontId="13" fillId="0" borderId="1"/>
    <xf numFmtId="0" fontId="11" fillId="0" borderId="1"/>
    <xf numFmtId="0" fontId="13" fillId="0" borderId="1"/>
    <xf numFmtId="0" fontId="14" fillId="0" borderId="1"/>
    <xf numFmtId="0" fontId="15" fillId="0" borderId="1"/>
    <xf numFmtId="0" fontId="12" fillId="0" borderId="1"/>
    <xf numFmtId="0" fontId="11" fillId="0" borderId="1"/>
    <xf numFmtId="0" fontId="15" fillId="0" borderId="1" applyNumberFormat="0" applyBorder="0" applyAlignment="0"/>
    <xf numFmtId="0" fontId="16" fillId="0" borderId="1">
      <alignment vertical="top"/>
    </xf>
    <xf numFmtId="0" fontId="11" fillId="0" borderId="1"/>
    <xf numFmtId="0" fontId="13" fillId="0" borderId="1"/>
    <xf numFmtId="0" fontId="14" fillId="0" borderId="1"/>
    <xf numFmtId="0" fontId="12" fillId="0" borderId="1"/>
    <xf numFmtId="0" fontId="12" fillId="0" borderId="1"/>
    <xf numFmtId="0" fontId="11" fillId="0" borderId="1"/>
    <xf numFmtId="0" fontId="13" fillId="0" borderId="1"/>
    <xf numFmtId="0" fontId="13" fillId="0" borderId="1"/>
    <xf numFmtId="0" fontId="14" fillId="0" borderId="1"/>
    <xf numFmtId="9" fontId="13" fillId="0" borderId="1" applyFont="0" applyFill="0" applyBorder="0" applyAlignment="0" applyProtection="0"/>
    <xf numFmtId="0" fontId="17" fillId="0" borderId="1" applyNumberFormat="0" applyFill="0" applyBorder="0" applyAlignment="0" applyProtection="0">
      <alignment vertical="center" wrapText="1"/>
    </xf>
    <xf numFmtId="49" fontId="18" fillId="7" borderId="1">
      <alignment horizontal="center" vertical="center" wrapText="1"/>
    </xf>
    <xf numFmtId="167" fontId="6" fillId="6" borderId="1">
      <alignment horizontal="center" vertical="center" wrapText="1"/>
    </xf>
    <xf numFmtId="172" fontId="19" fillId="2" borderId="1">
      <alignment horizontal="right" vertical="center"/>
    </xf>
    <xf numFmtId="0" fontId="62" fillId="0" borderId="1" applyNumberFormat="0" applyFill="0" applyBorder="0" applyAlignment="0" applyProtection="0"/>
  </cellStyleXfs>
  <cellXfs count="282">
    <xf numFmtId="0" fontId="0" fillId="0" borderId="1" xfId="0"/>
    <xf numFmtId="49" fontId="2" fillId="0" borderId="1" xfId="0" applyNumberFormat="1" applyFont="1" applyAlignment="1">
      <alignment horizontal="center" vertical="center" wrapText="1"/>
    </xf>
    <xf numFmtId="49" fontId="2" fillId="0" borderId="1" xfId="0" applyNumberFormat="1" applyFont="1" applyAlignment="1">
      <alignment horizontal="left" vertical="center" wrapText="1"/>
    </xf>
    <xf numFmtId="172" fontId="19" fillId="2" borderId="1" xfId="43">
      <alignment horizontal="right" vertical="center"/>
    </xf>
    <xf numFmtId="0" fontId="2" fillId="0" borderId="1" xfId="0" applyFont="1" applyAlignment="1">
      <alignment horizontal="left" vertical="center" wrapText="1"/>
    </xf>
    <xf numFmtId="0" fontId="2" fillId="0" borderId="1" xfId="0" applyFont="1" applyAlignment="1">
      <alignment horizontal="center" vertical="center" wrapText="1"/>
    </xf>
    <xf numFmtId="167" fontId="20" fillId="4" borderId="1" xfId="42" applyFont="1" applyFill="1">
      <alignment horizontal="center" vertical="center" wrapText="1"/>
    </xf>
    <xf numFmtId="167" fontId="21" fillId="2" borderId="1" xfId="42" applyFont="1" applyFill="1">
      <alignment horizontal="center" vertical="center" wrapText="1"/>
    </xf>
    <xf numFmtId="49" fontId="21" fillId="2" borderId="1" xfId="42" applyNumberFormat="1" applyFont="1" applyFill="1">
      <alignment horizontal="center" vertical="center" wrapText="1"/>
    </xf>
    <xf numFmtId="173" fontId="21" fillId="2" borderId="1" xfId="42" applyNumberFormat="1" applyFont="1" applyFill="1">
      <alignment horizontal="center" vertical="center" wrapText="1"/>
    </xf>
    <xf numFmtId="167" fontId="20" fillId="0" borderId="1" xfId="42" applyFont="1" applyFill="1">
      <alignment horizontal="center" vertical="center" wrapText="1"/>
    </xf>
    <xf numFmtId="173" fontId="2" fillId="0" borderId="1" xfId="0" applyNumberFormat="1" applyFont="1" applyAlignment="1">
      <alignment horizontal="left" vertical="center" wrapText="1"/>
    </xf>
    <xf numFmtId="0" fontId="2" fillId="8" borderId="1" xfId="0" applyFont="1" applyFill="1" applyAlignment="1">
      <alignment horizontal="left" vertical="center" wrapText="1"/>
    </xf>
    <xf numFmtId="49" fontId="6" fillId="8" borderId="1" xfId="0" applyNumberFormat="1" applyFont="1" applyFill="1" applyAlignment="1">
      <alignment horizontal="center" vertical="center" wrapText="1"/>
    </xf>
    <xf numFmtId="0" fontId="2" fillId="4" borderId="1" xfId="0" applyFont="1" applyFill="1" applyAlignment="1">
      <alignment horizontal="left" vertical="center" wrapText="1"/>
    </xf>
    <xf numFmtId="164" fontId="2" fillId="0" borderId="1" xfId="0" applyNumberFormat="1" applyFont="1" applyAlignment="1">
      <alignment horizontal="left" vertical="center" wrapText="1"/>
    </xf>
    <xf numFmtId="1" fontId="2" fillId="0" borderId="1" xfId="0" applyNumberFormat="1" applyFont="1" applyAlignment="1">
      <alignment horizontal="center" vertical="center" wrapText="1"/>
    </xf>
    <xf numFmtId="1" fontId="21" fillId="2" borderId="1" xfId="42" applyNumberFormat="1" applyFont="1" applyFill="1">
      <alignment horizontal="center" vertical="center" wrapText="1"/>
    </xf>
    <xf numFmtId="167" fontId="20" fillId="6" borderId="1" xfId="42" applyFont="1">
      <alignment horizontal="center" vertical="center" wrapText="1"/>
    </xf>
    <xf numFmtId="167" fontId="20" fillId="2" borderId="1" xfId="42" applyFont="1" applyFill="1">
      <alignment horizontal="center" vertical="center" wrapText="1"/>
    </xf>
    <xf numFmtId="0" fontId="22" fillId="0" borderId="1" xfId="0" applyFont="1" applyAlignment="1">
      <alignment horizontal="center" vertical="center" wrapText="1"/>
    </xf>
    <xf numFmtId="49" fontId="22" fillId="0" borderId="1" xfId="0" applyNumberFormat="1" applyFont="1" applyAlignment="1">
      <alignment horizontal="center" vertical="center" wrapText="1"/>
    </xf>
    <xf numFmtId="9" fontId="2" fillId="0" borderId="1" xfId="0" applyNumberFormat="1" applyFont="1" applyAlignment="1">
      <alignment horizontal="center" vertical="center" wrapText="1"/>
    </xf>
    <xf numFmtId="9" fontId="21" fillId="2" borderId="1" xfId="42" applyNumberFormat="1" applyFont="1" applyFill="1">
      <alignment horizontal="center" vertical="center" wrapText="1"/>
    </xf>
    <xf numFmtId="9" fontId="6" fillId="8" borderId="1" xfId="0" applyNumberFormat="1" applyFont="1" applyFill="1" applyAlignment="1">
      <alignment horizontal="center" vertical="center" wrapText="1"/>
    </xf>
    <xf numFmtId="0" fontId="25" fillId="0" borderId="1" xfId="0" applyFont="1"/>
    <xf numFmtId="0" fontId="0" fillId="0" borderId="1" xfId="0" applyAlignment="1">
      <alignment vertical="center" wrapText="1"/>
    </xf>
    <xf numFmtId="173" fontId="30" fillId="0" borderId="1" xfId="0" applyNumberFormat="1" applyFont="1" applyAlignment="1">
      <alignment vertical="center"/>
    </xf>
    <xf numFmtId="0" fontId="25" fillId="0" borderId="1" xfId="0" applyFont="1" applyAlignment="1">
      <alignment horizontal="center" vertical="center"/>
    </xf>
    <xf numFmtId="0" fontId="25" fillId="0" borderId="1" xfId="0" applyFont="1" applyAlignment="1">
      <alignment vertical="center" wrapText="1"/>
    </xf>
    <xf numFmtId="0" fontId="26" fillId="2" borderId="1" xfId="0" applyFont="1" applyFill="1" applyAlignment="1">
      <alignment horizontal="center" vertical="center" wrapText="1"/>
    </xf>
    <xf numFmtId="164" fontId="26" fillId="2" borderId="1" xfId="0" applyNumberFormat="1" applyFont="1" applyFill="1" applyAlignment="1">
      <alignment horizontal="center" vertical="center" wrapText="1"/>
    </xf>
    <xf numFmtId="164" fontId="27" fillId="0" borderId="1" xfId="0" applyNumberFormat="1" applyFont="1" applyAlignment="1">
      <alignment horizontal="center" vertical="center" wrapText="1"/>
    </xf>
    <xf numFmtId="0" fontId="27" fillId="0" borderId="1" xfId="0" applyFont="1" applyAlignment="1">
      <alignment horizontal="center" vertical="center" wrapText="1"/>
    </xf>
    <xf numFmtId="172" fontId="19" fillId="2" borderId="1" xfId="43" applyAlignment="1">
      <alignment horizontal="right" vertical="center" wrapText="1"/>
    </xf>
    <xf numFmtId="0" fontId="34" fillId="0" borderId="1" xfId="0" applyFont="1" applyAlignment="1">
      <alignment horizontal="center" vertical="center" wrapText="1"/>
    </xf>
    <xf numFmtId="49" fontId="35" fillId="8" borderId="1" xfId="0" applyNumberFormat="1" applyFont="1" applyFill="1" applyAlignment="1">
      <alignment horizontal="center" vertical="center" wrapText="1"/>
    </xf>
    <xf numFmtId="167" fontId="35" fillId="6" borderId="1" xfId="42" applyFont="1">
      <alignment horizontal="center" vertical="center" wrapText="1"/>
    </xf>
    <xf numFmtId="49" fontId="2" fillId="9" borderId="1" xfId="0" applyNumberFormat="1" applyFont="1" applyFill="1" applyAlignment="1">
      <alignment horizontal="center" vertical="center" wrapText="1"/>
    </xf>
    <xf numFmtId="49" fontId="2" fillId="9" borderId="1" xfId="0" applyNumberFormat="1" applyFont="1" applyFill="1" applyAlignment="1">
      <alignment horizontal="left" vertical="center" wrapText="1"/>
    </xf>
    <xf numFmtId="0" fontId="2" fillId="9" borderId="1" xfId="0" applyFont="1" applyFill="1" applyAlignment="1">
      <alignment horizontal="center" vertical="center" wrapText="1"/>
    </xf>
    <xf numFmtId="165" fontId="2" fillId="9" borderId="1" xfId="0" applyNumberFormat="1" applyFont="1" applyFill="1" applyAlignment="1">
      <alignment horizontal="center" vertical="center" wrapText="1"/>
    </xf>
    <xf numFmtId="173" fontId="2" fillId="0" borderId="1" xfId="0" applyNumberFormat="1" applyFont="1" applyAlignment="1">
      <alignment horizontal="right" vertical="center" wrapText="1"/>
    </xf>
    <xf numFmtId="173" fontId="2" fillId="9" borderId="1" xfId="0" applyNumberFormat="1" applyFont="1" applyFill="1" applyAlignment="1">
      <alignment horizontal="left" vertical="center" wrapText="1"/>
    </xf>
    <xf numFmtId="9" fontId="2" fillId="9" borderId="1" xfId="0" applyNumberFormat="1" applyFont="1" applyFill="1" applyAlignment="1">
      <alignment horizontal="center" vertical="center" wrapText="1"/>
    </xf>
    <xf numFmtId="0" fontId="2" fillId="9" borderId="1" xfId="0" applyFont="1" applyFill="1" applyAlignment="1">
      <alignment horizontal="left" vertical="center" wrapText="1"/>
    </xf>
    <xf numFmtId="1" fontId="2" fillId="9" borderId="1" xfId="0" applyNumberFormat="1" applyFont="1" applyFill="1" applyAlignment="1">
      <alignment horizontal="center" vertical="center" wrapText="1"/>
    </xf>
    <xf numFmtId="164" fontId="26" fillId="2" borderId="2" xfId="0" applyNumberFormat="1" applyFont="1" applyFill="1" applyBorder="1" applyAlignment="1">
      <alignment horizontal="center" vertical="center" wrapText="1"/>
    </xf>
    <xf numFmtId="0" fontId="25" fillId="9" borderId="1" xfId="0" applyFont="1" applyFill="1" applyAlignment="1" applyProtection="1">
      <alignment vertical="center" wrapText="1"/>
      <protection locked="0"/>
    </xf>
    <xf numFmtId="0" fontId="27" fillId="9" borderId="1" xfId="0" applyFont="1" applyFill="1" applyAlignment="1" applyProtection="1">
      <alignment horizontal="left" vertical="center" wrapText="1"/>
      <protection locked="0"/>
    </xf>
    <xf numFmtId="0" fontId="28" fillId="10" borderId="1" xfId="0" applyFont="1" applyFill="1" applyAlignment="1" applyProtection="1">
      <alignment horizontal="left" vertical="center" wrapText="1"/>
      <protection locked="0"/>
    </xf>
    <xf numFmtId="164" fontId="27" fillId="9" borderId="1" xfId="0" applyNumberFormat="1" applyFont="1" applyFill="1" applyAlignment="1" applyProtection="1">
      <alignment horizontal="center" vertical="center" wrapText="1"/>
      <protection locked="0"/>
    </xf>
    <xf numFmtId="166" fontId="27" fillId="9" borderId="1" xfId="0" applyNumberFormat="1" applyFont="1" applyFill="1" applyAlignment="1" applyProtection="1">
      <alignment vertical="center" wrapText="1"/>
      <protection locked="0"/>
    </xf>
    <xf numFmtId="166" fontId="27" fillId="0" borderId="1" xfId="0" applyNumberFormat="1" applyFont="1" applyAlignment="1">
      <alignment vertical="center" wrapText="1"/>
    </xf>
    <xf numFmtId="0" fontId="27" fillId="9" borderId="1" xfId="0" applyFont="1" applyFill="1" applyAlignment="1" applyProtection="1">
      <alignment vertical="center" wrapText="1"/>
      <protection locked="0"/>
    </xf>
    <xf numFmtId="164" fontId="27" fillId="9" borderId="1" xfId="0" applyNumberFormat="1" applyFont="1" applyFill="1" applyAlignment="1" applyProtection="1">
      <alignment vertical="center" wrapText="1"/>
      <protection locked="0"/>
    </xf>
    <xf numFmtId="164" fontId="29" fillId="0" borderId="1" xfId="0" applyNumberFormat="1" applyFont="1" applyAlignment="1">
      <alignment vertical="center" wrapText="1"/>
    </xf>
    <xf numFmtId="0" fontId="31" fillId="4" borderId="1" xfId="0" applyFont="1" applyFill="1" applyAlignment="1">
      <alignment horizontal="center" vertical="center" wrapText="1"/>
    </xf>
    <xf numFmtId="0" fontId="31" fillId="4" borderId="1" xfId="0" applyFont="1" applyFill="1" applyAlignment="1">
      <alignment horizontal="right" vertical="center" wrapText="1"/>
    </xf>
    <xf numFmtId="0" fontId="31" fillId="2" borderId="1" xfId="0" applyFont="1" applyFill="1" applyAlignment="1">
      <alignment horizontal="right" vertical="center" wrapText="1"/>
    </xf>
    <xf numFmtId="164" fontId="31" fillId="4" borderId="1" xfId="0" applyNumberFormat="1" applyFont="1" applyFill="1" applyAlignment="1">
      <alignment horizontal="right" vertical="center" wrapText="1"/>
    </xf>
    <xf numFmtId="166" fontId="31" fillId="4" borderId="1" xfId="0" applyNumberFormat="1" applyFont="1" applyFill="1" applyAlignment="1">
      <alignment horizontal="right" vertical="center" wrapText="1"/>
    </xf>
    <xf numFmtId="0" fontId="25" fillId="0" borderId="1" xfId="0" applyFont="1" applyAlignment="1">
      <alignment horizontal="right" vertical="center" wrapText="1"/>
    </xf>
    <xf numFmtId="0" fontId="0" fillId="0" borderId="1" xfId="0" applyAlignment="1">
      <alignment horizontal="right" vertical="center" wrapText="1"/>
    </xf>
    <xf numFmtId="0" fontId="27" fillId="0" borderId="1" xfId="0" applyFont="1" applyAlignment="1">
      <alignment horizontal="left" vertical="center" wrapText="1"/>
    </xf>
    <xf numFmtId="164" fontId="27" fillId="0" borderId="1" xfId="0" applyNumberFormat="1" applyFont="1" applyAlignment="1">
      <alignment vertical="center" wrapText="1"/>
    </xf>
    <xf numFmtId="1" fontId="27" fillId="0" borderId="1" xfId="0" applyNumberFormat="1" applyFont="1" applyAlignment="1">
      <alignment vertical="center" wrapText="1"/>
    </xf>
    <xf numFmtId="164" fontId="25" fillId="0" borderId="1" xfId="0" applyNumberFormat="1" applyFont="1" applyAlignment="1">
      <alignment vertical="center" wrapText="1"/>
    </xf>
    <xf numFmtId="0" fontId="29" fillId="9" borderId="1" xfId="0" applyFont="1" applyFill="1" applyAlignment="1" applyProtection="1">
      <alignment vertical="center" wrapText="1"/>
      <protection locked="0"/>
    </xf>
    <xf numFmtId="0" fontId="28" fillId="9" borderId="1" xfId="0" applyFont="1" applyFill="1" applyAlignment="1" applyProtection="1">
      <alignment horizontal="left" vertical="center" wrapText="1"/>
      <protection locked="0"/>
    </xf>
    <xf numFmtId="164" fontId="28" fillId="10" borderId="1" xfId="0" applyNumberFormat="1" applyFont="1" applyFill="1" applyAlignment="1" applyProtection="1">
      <alignment horizontal="left" vertical="center" wrapText="1"/>
      <protection locked="0"/>
    </xf>
    <xf numFmtId="164" fontId="28" fillId="9" borderId="1" xfId="0" applyNumberFormat="1" applyFont="1" applyFill="1" applyAlignment="1" applyProtection="1">
      <alignment horizontal="center" vertical="center" wrapText="1"/>
      <protection locked="0"/>
    </xf>
    <xf numFmtId="174" fontId="27" fillId="9" borderId="1" xfId="0" applyNumberFormat="1" applyFont="1" applyFill="1" applyAlignment="1" applyProtection="1">
      <alignment vertical="center" wrapText="1"/>
      <protection locked="0"/>
    </xf>
    <xf numFmtId="164" fontId="28" fillId="9" borderId="1" xfId="0" applyNumberFormat="1" applyFont="1" applyFill="1" applyAlignment="1" applyProtection="1">
      <alignment horizontal="left" vertical="center" wrapText="1"/>
      <protection locked="0"/>
    </xf>
    <xf numFmtId="164" fontId="28" fillId="9" borderId="1" xfId="0" applyNumberFormat="1" applyFont="1" applyFill="1" applyAlignment="1" applyProtection="1">
      <alignment vertical="center" wrapText="1"/>
      <protection locked="0"/>
    </xf>
    <xf numFmtId="1" fontId="27" fillId="9" borderId="1" xfId="0" applyNumberFormat="1" applyFont="1" applyFill="1" applyAlignment="1" applyProtection="1">
      <alignment vertical="center" wrapText="1"/>
      <protection locked="0"/>
    </xf>
    <xf numFmtId="164" fontId="25" fillId="9" borderId="1" xfId="0" applyNumberFormat="1" applyFont="1" applyFill="1" applyAlignment="1">
      <alignment vertical="center" wrapText="1"/>
    </xf>
    <xf numFmtId="174" fontId="25" fillId="9" borderId="1" xfId="0" applyNumberFormat="1" applyFont="1" applyFill="1" applyAlignment="1">
      <alignment vertical="center" wrapText="1"/>
    </xf>
    <xf numFmtId="9" fontId="25" fillId="0" borderId="1" xfId="0" applyNumberFormat="1" applyFont="1" applyAlignment="1">
      <alignment vertical="center" wrapText="1"/>
    </xf>
    <xf numFmtId="0" fontId="26" fillId="2" borderId="2" xfId="0" applyFont="1" applyFill="1" applyBorder="1" applyAlignment="1">
      <alignment horizontal="center" vertical="center" wrapText="1"/>
    </xf>
    <xf numFmtId="0" fontId="38" fillId="4" borderId="1" xfId="0" applyFont="1" applyFill="1" applyAlignment="1">
      <alignment horizontal="left" wrapText="1"/>
    </xf>
    <xf numFmtId="0" fontId="39" fillId="0" borderId="1" xfId="0" applyFont="1" applyAlignment="1">
      <alignment vertical="center" wrapText="1"/>
    </xf>
    <xf numFmtId="0" fontId="39" fillId="0" borderId="1" xfId="0" applyFont="1" applyAlignment="1">
      <alignment horizontal="left" vertical="center" wrapText="1"/>
    </xf>
    <xf numFmtId="164" fontId="31" fillId="4" borderId="1" xfId="0" applyNumberFormat="1" applyFont="1" applyFill="1" applyAlignment="1">
      <alignment horizontal="center" vertical="center" wrapText="1"/>
    </xf>
    <xf numFmtId="1" fontId="39" fillId="0" borderId="1" xfId="0" applyNumberFormat="1" applyFont="1" applyAlignment="1">
      <alignment vertical="center" wrapText="1"/>
    </xf>
    <xf numFmtId="164" fontId="39" fillId="0" borderId="1" xfId="0" applyNumberFormat="1" applyFont="1" applyAlignment="1">
      <alignment vertical="center" wrapText="1"/>
    </xf>
    <xf numFmtId="1" fontId="42" fillId="9" borderId="1" xfId="0" applyNumberFormat="1" applyFont="1" applyFill="1" applyAlignment="1">
      <alignment horizontal="center" vertical="center" wrapText="1"/>
    </xf>
    <xf numFmtId="49" fontId="3" fillId="9" borderId="1" xfId="0" applyNumberFormat="1" applyFont="1" applyFill="1" applyAlignment="1" applyProtection="1">
      <alignment horizontal="center" vertical="center" wrapText="1"/>
      <protection locked="0"/>
    </xf>
    <xf numFmtId="49" fontId="3" fillId="9" borderId="1" xfId="0" applyNumberFormat="1" applyFont="1" applyFill="1" applyAlignment="1" applyProtection="1">
      <alignment horizontal="left" vertical="center" wrapText="1"/>
      <protection locked="0"/>
    </xf>
    <xf numFmtId="0" fontId="3" fillId="9" borderId="1" xfId="0" applyFont="1" applyFill="1" applyAlignment="1" applyProtection="1">
      <alignment horizontal="center" vertical="center" wrapText="1"/>
      <protection locked="0"/>
    </xf>
    <xf numFmtId="165" fontId="3" fillId="9" borderId="1" xfId="0" applyNumberFormat="1" applyFont="1" applyFill="1" applyAlignment="1" applyProtection="1">
      <alignment horizontal="center" vertical="center" wrapText="1"/>
      <protection locked="0"/>
    </xf>
    <xf numFmtId="0" fontId="3" fillId="9" borderId="1" xfId="0" applyFont="1" applyFill="1" applyAlignment="1" applyProtection="1">
      <alignment horizontal="left" vertical="center" wrapText="1"/>
      <protection locked="0"/>
    </xf>
    <xf numFmtId="1" fontId="3" fillId="9" borderId="1" xfId="0" applyNumberFormat="1" applyFont="1" applyFill="1" applyAlignment="1" applyProtection="1">
      <alignment horizontal="center" vertical="center" wrapText="1"/>
      <protection locked="0"/>
    </xf>
    <xf numFmtId="49" fontId="3" fillId="9" borderId="1" xfId="0" applyNumberFormat="1" applyFont="1" applyFill="1" applyAlignment="1">
      <alignment horizontal="left" vertical="center" wrapText="1"/>
    </xf>
    <xf numFmtId="0" fontId="3" fillId="9" borderId="1" xfId="0" applyFont="1" applyFill="1" applyAlignment="1">
      <alignment horizontal="center" vertical="center" wrapText="1"/>
    </xf>
    <xf numFmtId="0" fontId="2" fillId="9" borderId="1" xfId="0" applyFont="1" applyFill="1" applyAlignment="1" applyProtection="1">
      <alignment horizontal="center" vertical="center" wrapText="1"/>
      <protection locked="0"/>
    </xf>
    <xf numFmtId="165" fontId="2" fillId="9" borderId="1" xfId="0" applyNumberFormat="1" applyFont="1" applyFill="1" applyAlignment="1" applyProtection="1">
      <alignment horizontal="center" vertical="center" wrapText="1"/>
      <protection locked="0"/>
    </xf>
    <xf numFmtId="49" fontId="3" fillId="9" borderId="1" xfId="0" applyNumberFormat="1" applyFont="1" applyFill="1" applyAlignment="1">
      <alignment horizontal="center" vertical="center" wrapText="1"/>
    </xf>
    <xf numFmtId="165" fontId="3" fillId="9" borderId="1" xfId="0" applyNumberFormat="1" applyFont="1" applyFill="1" applyAlignment="1">
      <alignment horizontal="center" vertical="center" wrapText="1"/>
    </xf>
    <xf numFmtId="173" fontId="2" fillId="9" borderId="1" xfId="0" applyNumberFormat="1" applyFont="1" applyFill="1" applyAlignment="1" applyProtection="1">
      <alignment horizontal="left" vertical="center" wrapText="1"/>
      <protection locked="0"/>
    </xf>
    <xf numFmtId="164" fontId="2" fillId="9" borderId="1" xfId="0" applyNumberFormat="1" applyFont="1" applyFill="1" applyAlignment="1">
      <alignment horizontal="left" vertical="center" wrapText="1"/>
    </xf>
    <xf numFmtId="9" fontId="2" fillId="9" borderId="1" xfId="0" applyNumberFormat="1" applyFont="1" applyFill="1" applyAlignment="1" applyProtection="1">
      <alignment horizontal="center" vertical="center" wrapText="1"/>
      <protection locked="0"/>
    </xf>
    <xf numFmtId="2" fontId="3" fillId="9" borderId="1" xfId="0" applyNumberFormat="1" applyFont="1" applyFill="1" applyAlignment="1" applyProtection="1">
      <alignment horizontal="left" vertical="center" wrapText="1"/>
      <protection locked="0"/>
    </xf>
    <xf numFmtId="2" fontId="3" fillId="9" borderId="1" xfId="0" applyNumberFormat="1" applyFont="1" applyFill="1" applyAlignment="1">
      <alignment horizontal="left" vertical="center" wrapText="1"/>
    </xf>
    <xf numFmtId="49" fontId="43" fillId="9" borderId="1" xfId="0" applyNumberFormat="1" applyFont="1" applyFill="1" applyAlignment="1" applyProtection="1">
      <alignment horizontal="center" vertical="center" wrapText="1"/>
      <protection locked="0"/>
    </xf>
    <xf numFmtId="0" fontId="25" fillId="0" borderId="1" xfId="0" applyFont="1" applyAlignment="1">
      <alignment horizontal="left" vertical="center" wrapText="1" shrinkToFit="1" readingOrder="1"/>
    </xf>
    <xf numFmtId="0" fontId="0" fillId="4" borderId="1" xfId="0" applyFill="1" applyAlignment="1">
      <alignment readingOrder="1"/>
    </xf>
    <xf numFmtId="0" fontId="0" fillId="0" borderId="1" xfId="0" applyAlignment="1">
      <alignment readingOrder="1"/>
    </xf>
    <xf numFmtId="0" fontId="47" fillId="4" borderId="1" xfId="0" applyFont="1" applyFill="1" applyAlignment="1">
      <alignment horizontal="center" vertical="center" wrapText="1" readingOrder="1"/>
    </xf>
    <xf numFmtId="0" fontId="39" fillId="0" borderId="1" xfId="0" applyFont="1" applyAlignment="1">
      <alignment horizontal="center" vertical="center" wrapText="1" readingOrder="1"/>
    </xf>
    <xf numFmtId="0" fontId="25" fillId="0" borderId="1" xfId="0" applyFont="1" applyAlignment="1">
      <alignment horizontal="left" vertical="center" wrapText="1" readingOrder="1"/>
    </xf>
    <xf numFmtId="0" fontId="25" fillId="0" borderId="1" xfId="0" applyFont="1" applyAlignment="1">
      <alignment horizontal="center" vertical="center" wrapText="1" readingOrder="1"/>
    </xf>
    <xf numFmtId="0" fontId="49" fillId="0" borderId="1" xfId="0" applyFont="1" applyAlignment="1">
      <alignment readingOrder="1"/>
    </xf>
    <xf numFmtId="0" fontId="39" fillId="0" borderId="1" xfId="0" applyFont="1" applyAlignment="1">
      <alignment horizontal="center" vertical="center" readingOrder="1"/>
    </xf>
    <xf numFmtId="0" fontId="25" fillId="0" borderId="1" xfId="0" applyFont="1" applyAlignment="1">
      <alignment horizontal="center" vertical="center" readingOrder="1"/>
    </xf>
    <xf numFmtId="0" fontId="29" fillId="0" borderId="1" xfId="0" applyFont="1" applyAlignment="1">
      <alignment vertical="center" wrapText="1" readingOrder="1"/>
    </xf>
    <xf numFmtId="0" fontId="29" fillId="0" borderId="1" xfId="0" applyFont="1" applyAlignment="1">
      <alignment vertical="center" readingOrder="1"/>
    </xf>
    <xf numFmtId="0" fontId="51" fillId="0" borderId="1" xfId="0" applyFont="1" applyAlignment="1">
      <alignment vertical="center" wrapText="1" readingOrder="1"/>
    </xf>
    <xf numFmtId="0" fontId="0" fillId="0" borderId="1" xfId="0" applyAlignment="1">
      <alignment wrapText="1"/>
    </xf>
    <xf numFmtId="0" fontId="0" fillId="0" borderId="1" xfId="0" applyAlignment="1">
      <alignment horizontal="center" vertical="center" wrapText="1"/>
    </xf>
    <xf numFmtId="0" fontId="49" fillId="0" borderId="1" xfId="0" applyFont="1" applyAlignment="1">
      <alignment horizontal="center" vertical="center" wrapText="1"/>
    </xf>
    <xf numFmtId="0" fontId="52" fillId="0" borderId="6" xfId="0" applyFont="1" applyBorder="1" applyAlignment="1">
      <alignment horizontal="left" vertical="center" wrapText="1"/>
    </xf>
    <xf numFmtId="0" fontId="49" fillId="0" borderId="1" xfId="0" applyFont="1" applyAlignment="1">
      <alignment horizontal="left" vertical="center" wrapText="1"/>
    </xf>
    <xf numFmtId="0" fontId="32" fillId="0" borderId="1" xfId="0" applyFont="1" applyAlignment="1">
      <alignment horizontal="center" vertical="center"/>
    </xf>
    <xf numFmtId="0" fontId="54" fillId="4" borderId="1" xfId="0" applyFont="1" applyFill="1" applyAlignment="1">
      <alignment horizontal="center" vertical="center" wrapText="1" readingOrder="1"/>
    </xf>
    <xf numFmtId="0" fontId="45" fillId="4" borderId="1" xfId="0" applyFont="1" applyFill="1" applyAlignment="1">
      <alignment horizontal="center" vertical="center" wrapText="1" readingOrder="1"/>
    </xf>
    <xf numFmtId="0" fontId="55" fillId="4" borderId="3" xfId="0" applyFont="1" applyFill="1" applyBorder="1" applyAlignment="1">
      <alignment horizontal="center" vertical="center" wrapText="1"/>
    </xf>
    <xf numFmtId="0" fontId="55" fillId="4" borderId="4" xfId="0" applyFont="1" applyFill="1" applyBorder="1" applyAlignment="1">
      <alignment horizontal="center" vertical="center" wrapText="1"/>
    </xf>
    <xf numFmtId="0" fontId="46" fillId="4" borderId="4" xfId="0" applyFont="1" applyFill="1" applyBorder="1" applyAlignment="1">
      <alignment horizontal="center" vertical="center" wrapText="1"/>
    </xf>
    <xf numFmtId="0" fontId="46" fillId="4" borderId="5" xfId="0" applyFont="1" applyFill="1" applyBorder="1" applyAlignment="1">
      <alignment horizontal="center" vertical="center" wrapText="1"/>
    </xf>
    <xf numFmtId="0" fontId="48" fillId="4" borderId="4" xfId="0" applyFont="1" applyFill="1" applyBorder="1" applyAlignment="1">
      <alignment horizontal="center" vertical="center" wrapText="1"/>
    </xf>
    <xf numFmtId="49" fontId="2" fillId="9" borderId="8" xfId="0" applyNumberFormat="1" applyFont="1" applyFill="1" applyBorder="1" applyAlignment="1">
      <alignment horizontal="left" vertical="center" wrapText="1"/>
    </xf>
    <xf numFmtId="0" fontId="58" fillId="0" borderId="1" xfId="0" applyFont="1" applyAlignment="1">
      <alignment horizontal="center" vertical="center" wrapText="1"/>
    </xf>
    <xf numFmtId="0" fontId="61" fillId="0" borderId="1" xfId="0" applyFont="1" applyAlignment="1">
      <alignment horizontal="center" vertical="center" wrapText="1"/>
    </xf>
    <xf numFmtId="173" fontId="40" fillId="0" borderId="1" xfId="0" applyNumberFormat="1" applyFont="1" applyAlignment="1">
      <alignment horizontal="center" vertical="center"/>
    </xf>
    <xf numFmtId="172" fontId="60" fillId="2" borderId="1" xfId="0" applyNumberFormat="1" applyFont="1" applyFill="1" applyAlignment="1">
      <alignment horizontal="center" vertical="center"/>
    </xf>
    <xf numFmtId="173" fontId="58" fillId="0" borderId="1" xfId="0" applyNumberFormat="1" applyFont="1" applyAlignment="1">
      <alignment horizontal="center" vertical="center" wrapText="1"/>
    </xf>
    <xf numFmtId="9" fontId="58" fillId="0" borderId="1" xfId="0" applyNumberFormat="1" applyFont="1" applyAlignment="1">
      <alignment horizontal="center" vertical="center" wrapText="1"/>
    </xf>
    <xf numFmtId="164" fontId="58" fillId="0" borderId="1" xfId="0" applyNumberFormat="1" applyFont="1" applyAlignment="1">
      <alignment horizontal="center" vertical="center" wrapText="1"/>
    </xf>
    <xf numFmtId="165" fontId="63" fillId="9" borderId="1" xfId="0" applyNumberFormat="1" applyFont="1" applyFill="1" applyAlignment="1">
      <alignment horizontal="center" vertical="center" wrapText="1"/>
    </xf>
    <xf numFmtId="0" fontId="64" fillId="0" borderId="1" xfId="0" applyFont="1" applyAlignment="1">
      <alignment horizontal="center" vertical="center"/>
    </xf>
    <xf numFmtId="0" fontId="66" fillId="0" borderId="1" xfId="0" applyFont="1" applyAlignment="1">
      <alignment horizontal="center" vertical="center"/>
    </xf>
    <xf numFmtId="0" fontId="67" fillId="4" borderId="1" xfId="0" applyFont="1" applyFill="1" applyAlignment="1">
      <alignment horizontal="center" vertical="center"/>
    </xf>
    <xf numFmtId="0" fontId="68" fillId="0" borderId="1" xfId="0" applyFont="1"/>
    <xf numFmtId="0" fontId="32" fillId="12" borderId="1" xfId="0" applyFont="1" applyFill="1" applyAlignment="1">
      <alignment horizontal="center" vertical="center"/>
    </xf>
    <xf numFmtId="0" fontId="8" fillId="2" borderId="1" xfId="0" applyFont="1" applyFill="1" applyAlignment="1">
      <alignment horizontal="center" vertical="center" wrapText="1"/>
    </xf>
    <xf numFmtId="0" fontId="33" fillId="4" borderId="1" xfId="0" applyFont="1" applyFill="1" applyAlignment="1">
      <alignment vertical="center"/>
    </xf>
    <xf numFmtId="0" fontId="70" fillId="4" borderId="1" xfId="0" applyFont="1" applyFill="1" applyAlignment="1">
      <alignment horizontal="center" vertical="center"/>
    </xf>
    <xf numFmtId="0" fontId="33" fillId="4" borderId="1" xfId="0" applyFont="1" applyFill="1" applyAlignment="1">
      <alignment horizontal="center" vertical="center"/>
    </xf>
    <xf numFmtId="0" fontId="32" fillId="13" borderId="1" xfId="0" applyFont="1" applyFill="1" applyAlignment="1">
      <alignment horizontal="center" vertical="center"/>
    </xf>
    <xf numFmtId="0" fontId="66" fillId="13" borderId="1" xfId="0" applyFont="1" applyFill="1" applyAlignment="1">
      <alignment horizontal="center" vertical="center"/>
    </xf>
    <xf numFmtId="0" fontId="25" fillId="13" borderId="1" xfId="0" applyFont="1" applyFill="1"/>
    <xf numFmtId="0" fontId="70" fillId="4" borderId="9" xfId="0" applyFont="1" applyFill="1" applyBorder="1" applyAlignment="1">
      <alignment horizontal="center" vertical="center"/>
    </xf>
    <xf numFmtId="2" fontId="62" fillId="9" borderId="1" xfId="44" applyNumberFormat="1" applyFill="1" applyAlignment="1" applyProtection="1">
      <alignment horizontal="left" vertical="center" wrapText="1"/>
      <protection locked="0"/>
    </xf>
    <xf numFmtId="0" fontId="70" fillId="4" borderId="10" xfId="0" applyFont="1" applyFill="1" applyBorder="1" applyAlignment="1">
      <alignment horizontal="center" vertical="center"/>
    </xf>
    <xf numFmtId="49" fontId="71" fillId="9" borderId="1" xfId="0" applyNumberFormat="1" applyFont="1" applyFill="1" applyAlignment="1">
      <alignment horizontal="left" vertical="center" wrapText="1"/>
    </xf>
    <xf numFmtId="0" fontId="73" fillId="14" borderId="12" xfId="0" applyFont="1" applyFill="1" applyBorder="1" applyAlignment="1">
      <alignment wrapText="1"/>
    </xf>
    <xf numFmtId="49" fontId="2" fillId="9" borderId="8" xfId="0" applyNumberFormat="1" applyFont="1" applyFill="1" applyBorder="1" applyAlignment="1">
      <alignment horizontal="center" vertical="center" wrapText="1"/>
    </xf>
    <xf numFmtId="0" fontId="2" fillId="9" borderId="8" xfId="0" applyFont="1" applyFill="1" applyBorder="1" applyAlignment="1">
      <alignment horizontal="center" vertical="center" wrapText="1"/>
    </xf>
    <xf numFmtId="1" fontId="42" fillId="9" borderId="8" xfId="0" applyNumberFormat="1" applyFont="1" applyFill="1" applyBorder="1" applyAlignment="1">
      <alignment horizontal="center" vertical="center" wrapText="1"/>
    </xf>
    <xf numFmtId="0" fontId="2" fillId="9" borderId="8" xfId="0" applyFont="1" applyFill="1" applyBorder="1" applyAlignment="1">
      <alignment horizontal="left" vertical="center" wrapText="1"/>
    </xf>
    <xf numFmtId="165" fontId="2" fillId="9" borderId="8" xfId="0" applyNumberFormat="1" applyFont="1" applyFill="1" applyBorder="1" applyAlignment="1">
      <alignment horizontal="center" vertical="center" wrapText="1"/>
    </xf>
    <xf numFmtId="173" fontId="2" fillId="0" borderId="8" xfId="0" applyNumberFormat="1" applyFont="1" applyBorder="1" applyAlignment="1">
      <alignment horizontal="right" vertical="center" wrapText="1"/>
    </xf>
    <xf numFmtId="172" fontId="19" fillId="2" borderId="8" xfId="43" applyBorder="1" applyAlignment="1">
      <alignment horizontal="right" vertical="center" wrapText="1"/>
    </xf>
    <xf numFmtId="173" fontId="2" fillId="9" borderId="8" xfId="0" applyNumberFormat="1" applyFont="1" applyFill="1" applyBorder="1" applyAlignment="1">
      <alignment horizontal="left" vertical="center" wrapText="1"/>
    </xf>
    <xf numFmtId="172" fontId="19" fillId="2" borderId="8" xfId="43" applyBorder="1">
      <alignment horizontal="right" vertical="center"/>
    </xf>
    <xf numFmtId="164" fontId="2" fillId="0" borderId="8" xfId="0" applyNumberFormat="1" applyFont="1" applyBorder="1" applyAlignment="1">
      <alignment horizontal="left" vertical="center" wrapText="1"/>
    </xf>
    <xf numFmtId="9" fontId="2" fillId="9" borderId="8" xfId="0" applyNumberFormat="1" applyFont="1" applyFill="1" applyBorder="1" applyAlignment="1">
      <alignment horizontal="center" vertical="center" wrapText="1"/>
    </xf>
    <xf numFmtId="172" fontId="19" fillId="2" borderId="11" xfId="43" applyBorder="1">
      <alignment horizontal="right" vertical="center"/>
    </xf>
    <xf numFmtId="0" fontId="71" fillId="9" borderId="1" xfId="0" applyFont="1" applyFill="1" applyAlignment="1">
      <alignment horizontal="left" vertical="center" wrapText="1"/>
    </xf>
    <xf numFmtId="0" fontId="33" fillId="4" borderId="1" xfId="0" applyFont="1" applyFill="1" applyAlignment="1">
      <alignment horizontal="left" vertical="center"/>
    </xf>
    <xf numFmtId="0" fontId="61" fillId="0" borderId="1" xfId="0" applyFont="1" applyAlignment="1">
      <alignment horizontal="left" vertical="center"/>
    </xf>
    <xf numFmtId="0" fontId="25" fillId="0" borderId="1" xfId="0" applyFont="1" applyAlignment="1">
      <alignment horizontal="left" vertical="center"/>
    </xf>
    <xf numFmtId="0" fontId="75" fillId="4" borderId="3" xfId="0" applyFont="1" applyFill="1" applyBorder="1" applyAlignment="1">
      <alignment horizontal="center" vertical="center" wrapText="1"/>
    </xf>
    <xf numFmtId="0" fontId="65" fillId="0" borderId="1" xfId="0" applyFont="1" applyAlignment="1">
      <alignment horizontal="left" vertical="center" wrapText="1"/>
    </xf>
    <xf numFmtId="0" fontId="25" fillId="0" borderId="1" xfId="0" applyFont="1" applyAlignment="1">
      <alignment horizontal="left" vertical="center" wrapText="1"/>
    </xf>
    <xf numFmtId="0" fontId="61" fillId="4" borderId="1" xfId="0" applyFont="1" applyFill="1"/>
    <xf numFmtId="0" fontId="70" fillId="4" borderId="13" xfId="0" applyFont="1" applyFill="1" applyBorder="1" applyAlignment="1">
      <alignment horizontal="center" vertical="center"/>
    </xf>
    <xf numFmtId="0" fontId="70" fillId="4" borderId="14" xfId="0" applyFont="1" applyFill="1" applyBorder="1" applyAlignment="1">
      <alignment horizontal="center" vertical="center"/>
    </xf>
    <xf numFmtId="0" fontId="70" fillId="4" borderId="15" xfId="0" applyFont="1" applyFill="1" applyBorder="1" applyAlignment="1">
      <alignment horizontal="center" vertical="center"/>
    </xf>
    <xf numFmtId="165" fontId="3" fillId="9" borderId="8" xfId="0" applyNumberFormat="1" applyFont="1" applyFill="1" applyBorder="1" applyAlignment="1" applyProtection="1">
      <alignment horizontal="center" vertical="center" wrapText="1"/>
      <protection locked="0"/>
    </xf>
    <xf numFmtId="175" fontId="32" fillId="12" borderId="1" xfId="0" applyNumberFormat="1" applyFont="1" applyFill="1" applyAlignment="1">
      <alignment horizontal="center" vertical="center"/>
    </xf>
    <xf numFmtId="2" fontId="35" fillId="6" borderId="1" xfId="42" applyNumberFormat="1" applyFont="1">
      <alignment horizontal="center" vertical="center" wrapText="1"/>
    </xf>
    <xf numFmtId="2" fontId="59" fillId="6" borderId="1" xfId="0" applyNumberFormat="1" applyFont="1" applyFill="1" applyAlignment="1">
      <alignment horizontal="center" vertical="center" wrapText="1"/>
    </xf>
    <xf numFmtId="1" fontId="27" fillId="0" borderId="1" xfId="0" applyNumberFormat="1" applyFont="1" applyAlignment="1">
      <alignment horizontal="center" vertical="center" wrapText="1"/>
    </xf>
    <xf numFmtId="1" fontId="27" fillId="9" borderId="1" xfId="0" applyNumberFormat="1" applyFont="1" applyFill="1" applyAlignment="1" applyProtection="1">
      <alignment horizontal="center" vertical="center" wrapText="1"/>
      <protection locked="0"/>
    </xf>
    <xf numFmtId="0" fontId="25" fillId="13" borderId="1" xfId="0" applyFont="1" applyFill="1" applyAlignment="1">
      <alignment horizontal="left" vertical="center" wrapText="1"/>
    </xf>
    <xf numFmtId="0" fontId="20" fillId="2" borderId="1" xfId="42" applyNumberFormat="1" applyFont="1" applyFill="1">
      <alignment horizontal="center" vertical="center" wrapText="1"/>
    </xf>
    <xf numFmtId="0" fontId="39" fillId="0" borderId="1" xfId="0" applyFont="1"/>
    <xf numFmtId="0" fontId="24" fillId="0" borderId="1" xfId="0" applyFont="1" applyAlignment="1" applyProtection="1">
      <alignment horizontal="center" vertical="center" wrapText="1"/>
      <protection locked="0"/>
    </xf>
    <xf numFmtId="0" fontId="39" fillId="4" borderId="1" xfId="0" applyFont="1" applyFill="1"/>
    <xf numFmtId="0" fontId="61" fillId="0" borderId="1" xfId="0" applyFont="1" applyAlignment="1">
      <alignment horizontal="center" vertical="center"/>
    </xf>
    <xf numFmtId="0" fontId="25" fillId="0" borderId="1" xfId="0" applyFont="1" applyAlignment="1">
      <alignment horizontal="center"/>
    </xf>
    <xf numFmtId="0" fontId="75" fillId="4" borderId="1" xfId="0" applyFont="1" applyFill="1" applyAlignment="1">
      <alignment horizontal="center" vertical="center" wrapText="1"/>
    </xf>
    <xf numFmtId="2" fontId="75" fillId="4" borderId="1" xfId="0" applyNumberFormat="1" applyFont="1" applyFill="1" applyAlignment="1">
      <alignment horizontal="center" vertical="center" wrapText="1"/>
    </xf>
    <xf numFmtId="0" fontId="47" fillId="4" borderId="1" xfId="0" applyFont="1" applyFill="1" applyAlignment="1">
      <alignment horizontal="center" vertical="center" wrapText="1"/>
    </xf>
    <xf numFmtId="0" fontId="75" fillId="4" borderId="4" xfId="0" applyFont="1" applyFill="1" applyBorder="1" applyAlignment="1">
      <alignment horizontal="center" vertical="center" wrapText="1"/>
    </xf>
    <xf numFmtId="0" fontId="75" fillId="0" borderId="1" xfId="0" applyFont="1" applyAlignment="1">
      <alignment horizontal="center" wrapText="1"/>
    </xf>
    <xf numFmtId="0" fontId="65" fillId="0" borderId="1" xfId="0" applyFont="1" applyAlignment="1">
      <alignment horizontal="left" vertical="center"/>
    </xf>
    <xf numFmtId="175" fontId="32" fillId="9" borderId="1" xfId="0" applyNumberFormat="1" applyFont="1" applyFill="1" applyAlignment="1">
      <alignment horizontal="center" vertical="center"/>
    </xf>
    <xf numFmtId="0" fontId="65" fillId="9" borderId="1" xfId="0" applyFont="1" applyFill="1" applyAlignment="1">
      <alignment horizontal="left" vertical="center"/>
    </xf>
    <xf numFmtId="0" fontId="32" fillId="9" borderId="1" xfId="0" applyFont="1" applyFill="1" applyAlignment="1">
      <alignment horizontal="center" vertical="center"/>
    </xf>
    <xf numFmtId="0" fontId="27" fillId="9" borderId="1" xfId="0" applyFont="1" applyFill="1" applyAlignment="1">
      <alignment horizontal="left" vertical="center" wrapText="1"/>
    </xf>
    <xf numFmtId="0" fontId="25" fillId="9" borderId="1" xfId="0" applyFont="1" applyFill="1" applyAlignment="1">
      <alignment horizontal="justify" vertical="center" wrapText="1"/>
    </xf>
    <xf numFmtId="0" fontId="69" fillId="9" borderId="1" xfId="0" applyFont="1" applyFill="1" applyAlignment="1">
      <alignment wrapText="1"/>
    </xf>
    <xf numFmtId="0" fontId="25" fillId="9" borderId="1" xfId="0" applyFont="1" applyFill="1" applyAlignment="1">
      <alignment horizontal="justify" vertical="top"/>
    </xf>
    <xf numFmtId="0" fontId="73" fillId="9" borderId="1" xfId="0" applyFont="1" applyFill="1" applyAlignment="1">
      <alignment vertical="center" wrapText="1"/>
    </xf>
    <xf numFmtId="173" fontId="19" fillId="2" borderId="1" xfId="43" applyNumberFormat="1" applyAlignment="1">
      <alignment horizontal="right" vertical="center" wrapText="1"/>
    </xf>
    <xf numFmtId="173" fontId="2" fillId="2" borderId="1" xfId="43" applyNumberFormat="1" applyFont="1" applyAlignment="1">
      <alignment horizontal="right" vertical="center" wrapText="1"/>
    </xf>
    <xf numFmtId="0" fontId="25" fillId="4" borderId="1" xfId="0" applyFont="1" applyFill="1"/>
    <xf numFmtId="0" fontId="75" fillId="4" borderId="1" xfId="0" applyFont="1" applyFill="1" applyAlignment="1">
      <alignment horizontal="center" wrapText="1"/>
    </xf>
    <xf numFmtId="0" fontId="25" fillId="0" borderId="1" xfId="0" applyFont="1" applyAlignment="1">
      <alignment horizontal="center" vertical="center" wrapText="1"/>
    </xf>
    <xf numFmtId="0" fontId="39" fillId="0" borderId="1" xfId="0" applyFont="1" applyAlignment="1">
      <alignment horizontal="center" vertical="center" wrapText="1"/>
    </xf>
    <xf numFmtId="1" fontId="26" fillId="2" borderId="1" xfId="0" applyNumberFormat="1" applyFont="1" applyFill="1" applyAlignment="1">
      <alignment horizontal="center" vertical="center" wrapText="1"/>
    </xf>
    <xf numFmtId="1" fontId="29" fillId="0" borderId="1" xfId="0" applyNumberFormat="1" applyFont="1" applyAlignment="1">
      <alignment horizontal="center" vertical="center" wrapText="1"/>
    </xf>
    <xf numFmtId="0" fontId="29" fillId="0" borderId="1" xfId="0" applyFont="1" applyAlignment="1">
      <alignment vertical="center" wrapText="1"/>
    </xf>
    <xf numFmtId="0" fontId="30" fillId="0" borderId="1" xfId="0" applyFont="1" applyAlignment="1">
      <alignment horizontal="left" vertical="center" wrapText="1"/>
    </xf>
    <xf numFmtId="0" fontId="78" fillId="0" borderId="1" xfId="0" applyFont="1" applyAlignment="1">
      <alignment horizontal="left" vertical="center" wrapText="1"/>
    </xf>
    <xf numFmtId="0" fontId="79" fillId="0" borderId="1" xfId="0" applyFont="1" applyAlignment="1">
      <alignment horizontal="left" vertical="center" wrapText="1"/>
    </xf>
    <xf numFmtId="0" fontId="27" fillId="0" borderId="1" xfId="0" applyFont="1" applyAlignment="1">
      <alignment horizontal="justify" vertical="center" wrapText="1"/>
    </xf>
    <xf numFmtId="0" fontId="30" fillId="0" borderId="1" xfId="0" applyFont="1" applyAlignment="1">
      <alignment vertical="center"/>
    </xf>
    <xf numFmtId="0" fontId="78" fillId="0" borderId="1" xfId="0" applyFont="1" applyAlignment="1">
      <alignment vertical="center" wrapText="1"/>
    </xf>
    <xf numFmtId="0" fontId="73" fillId="0" borderId="1" xfId="0" applyFont="1" applyAlignment="1">
      <alignment vertical="center"/>
    </xf>
    <xf numFmtId="0" fontId="25" fillId="0" borderId="1" xfId="0" applyFont="1" applyAlignment="1">
      <alignment horizontal="justify" vertical="center" wrapText="1"/>
    </xf>
    <xf numFmtId="2" fontId="76" fillId="4" borderId="4" xfId="0" applyNumberFormat="1" applyFont="1" applyFill="1" applyBorder="1" applyAlignment="1">
      <alignment horizontal="center" vertical="center"/>
    </xf>
    <xf numFmtId="1" fontId="76" fillId="4" borderId="4" xfId="0" applyNumberFormat="1" applyFont="1" applyFill="1" applyBorder="1" applyAlignment="1">
      <alignment horizontal="center" vertical="center"/>
    </xf>
    <xf numFmtId="1" fontId="61" fillId="0" borderId="1" xfId="0" applyNumberFormat="1" applyFont="1"/>
    <xf numFmtId="0" fontId="82" fillId="0" borderId="1" xfId="0" applyFont="1" applyAlignment="1">
      <alignment horizontal="center" vertical="center"/>
    </xf>
    <xf numFmtId="0" fontId="67" fillId="4" borderId="1" xfId="0" applyFont="1" applyFill="1" applyAlignment="1">
      <alignment horizontal="center" vertical="center" wrapText="1"/>
    </xf>
    <xf numFmtId="0" fontId="83" fillId="0" borderId="17" xfId="0" applyFont="1" applyBorder="1" applyAlignment="1">
      <alignment readingOrder="1"/>
    </xf>
    <xf numFmtId="0" fontId="83" fillId="15" borderId="20" xfId="0" applyFont="1" applyFill="1" applyBorder="1" applyAlignment="1">
      <alignment readingOrder="1"/>
    </xf>
    <xf numFmtId="0" fontId="83" fillId="15" borderId="23" xfId="0" applyFont="1" applyFill="1" applyBorder="1" applyAlignment="1">
      <alignment readingOrder="1"/>
    </xf>
    <xf numFmtId="49" fontId="3" fillId="9" borderId="25" xfId="0" applyNumberFormat="1" applyFont="1" applyFill="1" applyBorder="1" applyAlignment="1" applyProtection="1">
      <alignment horizontal="left" vertical="center" wrapText="1"/>
      <protection locked="0"/>
    </xf>
    <xf numFmtId="2" fontId="3" fillId="9" borderId="26" xfId="0" applyNumberFormat="1" applyFont="1" applyFill="1" applyBorder="1" applyAlignment="1" applyProtection="1">
      <alignment horizontal="left" vertical="center" wrapText="1"/>
      <protection locked="0"/>
    </xf>
    <xf numFmtId="0" fontId="3" fillId="9" borderId="26" xfId="0" applyFont="1" applyFill="1" applyBorder="1" applyAlignment="1" applyProtection="1">
      <alignment horizontal="left" vertical="center" wrapText="1"/>
      <protection locked="0"/>
    </xf>
    <xf numFmtId="165" fontId="3" fillId="9" borderId="27" xfId="0" applyNumberFormat="1" applyFont="1" applyFill="1" applyBorder="1" applyAlignment="1" applyProtection="1">
      <alignment horizontal="center" vertical="center" wrapText="1"/>
      <protection locked="0"/>
    </xf>
    <xf numFmtId="164" fontId="28" fillId="10" borderId="1" xfId="0" applyNumberFormat="1" applyFont="1" applyFill="1" applyAlignment="1" applyProtection="1">
      <alignment vertical="center" wrapText="1"/>
      <protection locked="0"/>
    </xf>
    <xf numFmtId="0" fontId="73" fillId="9" borderId="1" xfId="0" applyFont="1" applyFill="1" applyAlignment="1">
      <alignment wrapText="1"/>
    </xf>
    <xf numFmtId="0" fontId="27" fillId="15" borderId="16" xfId="0" applyFont="1" applyFill="1" applyBorder="1" applyAlignment="1">
      <alignment readingOrder="1"/>
    </xf>
    <xf numFmtId="0" fontId="27" fillId="15" borderId="17" xfId="0" applyFont="1" applyFill="1" applyBorder="1" applyAlignment="1">
      <alignment readingOrder="1"/>
    </xf>
    <xf numFmtId="0" fontId="27" fillId="15" borderId="18" xfId="0" applyFont="1" applyFill="1" applyBorder="1" applyAlignment="1">
      <alignment horizontal="center" readingOrder="1"/>
    </xf>
    <xf numFmtId="0" fontId="27" fillId="15" borderId="19" xfId="0" applyFont="1" applyFill="1" applyBorder="1" applyAlignment="1">
      <alignment readingOrder="1"/>
    </xf>
    <xf numFmtId="0" fontId="27" fillId="15" borderId="20" xfId="0" applyFont="1" applyFill="1" applyBorder="1" applyAlignment="1">
      <alignment readingOrder="1"/>
    </xf>
    <xf numFmtId="0" fontId="27" fillId="15" borderId="21" xfId="0" applyFont="1" applyFill="1" applyBorder="1" applyAlignment="1">
      <alignment horizontal="center" readingOrder="1"/>
    </xf>
    <xf numFmtId="0" fontId="27" fillId="15" borderId="20" xfId="0" applyFont="1" applyFill="1" applyBorder="1" applyAlignment="1">
      <alignment vertical="center" readingOrder="1"/>
    </xf>
    <xf numFmtId="0" fontId="27" fillId="15" borderId="22" xfId="0" applyFont="1" applyFill="1" applyBorder="1" applyAlignment="1">
      <alignment readingOrder="1"/>
    </xf>
    <xf numFmtId="0" fontId="27" fillId="15" borderId="23" xfId="0" applyFont="1" applyFill="1" applyBorder="1" applyAlignment="1">
      <alignment wrapText="1" readingOrder="1"/>
    </xf>
    <xf numFmtId="0" fontId="27" fillId="15" borderId="24" xfId="0" applyFont="1" applyFill="1" applyBorder="1" applyAlignment="1">
      <alignment horizontal="center" readingOrder="1"/>
    </xf>
    <xf numFmtId="167" fontId="35" fillId="6" borderId="1" xfId="0" applyNumberFormat="1" applyFont="1" applyFill="1" applyAlignment="1">
      <alignment horizontal="center" vertical="center" wrapText="1"/>
    </xf>
    <xf numFmtId="172" fontId="19" fillId="2" borderId="1" xfId="0" applyNumberFormat="1" applyFont="1" applyFill="1" applyAlignment="1">
      <alignment horizontal="right" vertical="center"/>
    </xf>
    <xf numFmtId="173" fontId="19" fillId="2" borderId="1" xfId="0" applyNumberFormat="1" applyFont="1" applyFill="1" applyAlignment="1">
      <alignment horizontal="right" vertical="center" wrapText="1"/>
    </xf>
    <xf numFmtId="173" fontId="2" fillId="2" borderId="1" xfId="0" applyNumberFormat="1" applyFont="1" applyFill="1" applyAlignment="1">
      <alignment horizontal="right" vertical="center" wrapText="1"/>
    </xf>
    <xf numFmtId="0" fontId="87" fillId="4" borderId="4" xfId="0" applyFont="1" applyFill="1" applyBorder="1" applyAlignment="1">
      <alignment horizontal="center" vertical="center" wrapText="1"/>
    </xf>
    <xf numFmtId="172" fontId="2" fillId="0" borderId="1" xfId="0" applyNumberFormat="1" applyFont="1" applyAlignment="1">
      <alignment horizontal="left" vertical="center" wrapText="1"/>
    </xf>
    <xf numFmtId="0" fontId="65" fillId="9" borderId="1" xfId="0" applyFont="1" applyFill="1" applyAlignment="1">
      <alignment horizontal="left" vertical="center" wrapText="1"/>
    </xf>
    <xf numFmtId="49" fontId="88" fillId="9" borderId="1" xfId="0" applyNumberFormat="1" applyFont="1" applyFill="1" applyAlignment="1">
      <alignment horizontal="left" vertical="center" wrapText="1"/>
    </xf>
    <xf numFmtId="0" fontId="88" fillId="9" borderId="1" xfId="0" applyFont="1" applyFill="1" applyAlignment="1">
      <alignment horizontal="left" vertical="center" wrapText="1"/>
    </xf>
    <xf numFmtId="173" fontId="3" fillId="9" borderId="1" xfId="0" applyNumberFormat="1" applyFont="1" applyFill="1" applyAlignment="1" applyProtection="1">
      <alignment horizontal="center" vertical="center" wrapText="1"/>
      <protection locked="0"/>
    </xf>
    <xf numFmtId="0" fontId="30" fillId="0" borderId="1" xfId="0" applyFont="1" applyAlignment="1">
      <alignment vertical="center" wrapText="1"/>
    </xf>
    <xf numFmtId="173" fontId="27" fillId="13" borderId="1" xfId="43" applyNumberFormat="1" applyFont="1" applyFill="1" applyAlignment="1">
      <alignment horizontal="right" vertical="center" wrapText="1"/>
    </xf>
    <xf numFmtId="49" fontId="2" fillId="13" borderId="1" xfId="0" applyNumberFormat="1" applyFont="1" applyFill="1" applyAlignment="1">
      <alignment horizontal="left" vertical="center" wrapText="1"/>
    </xf>
    <xf numFmtId="0" fontId="0" fillId="0" borderId="1" xfId="0" pivotButton="1"/>
    <xf numFmtId="0" fontId="0" fillId="0" borderId="1" xfId="0" applyAlignment="1">
      <alignment horizontal="left"/>
    </xf>
    <xf numFmtId="0" fontId="90" fillId="4" borderId="1" xfId="0" applyFont="1" applyFill="1" applyAlignment="1">
      <alignment vertical="center" wrapText="1"/>
    </xf>
    <xf numFmtId="0" fontId="91" fillId="4" borderId="28" xfId="0" applyFont="1" applyFill="1" applyBorder="1" applyAlignment="1">
      <alignment horizontal="center" vertical="center" wrapText="1"/>
    </xf>
    <xf numFmtId="2" fontId="0" fillId="0" borderId="1" xfId="0" applyNumberFormat="1"/>
    <xf numFmtId="2" fontId="90" fillId="4" borderId="1" xfId="0" applyNumberFormat="1" applyFont="1" applyFill="1" applyAlignment="1">
      <alignment vertical="center" wrapText="1"/>
    </xf>
    <xf numFmtId="14" fontId="0" fillId="0" borderId="1" xfId="0" applyNumberFormat="1"/>
    <xf numFmtId="14" fontId="91" fillId="4" borderId="28" xfId="0" applyNumberFormat="1" applyFont="1" applyFill="1" applyBorder="1" applyAlignment="1">
      <alignment horizontal="center" vertical="center" wrapText="1"/>
    </xf>
    <xf numFmtId="14" fontId="0" fillId="16" borderId="1" xfId="0" applyNumberFormat="1" applyFill="1"/>
    <xf numFmtId="0" fontId="0" fillId="16" borderId="1" xfId="0" applyFill="1" applyAlignment="1">
      <alignment horizontal="left"/>
    </xf>
    <xf numFmtId="9" fontId="0" fillId="0" borderId="1" xfId="3" applyFont="1"/>
    <xf numFmtId="0" fontId="92" fillId="0" borderId="1" xfId="0" applyFont="1"/>
    <xf numFmtId="0" fontId="6" fillId="8" borderId="1" xfId="0" applyFont="1" applyFill="1" applyAlignment="1">
      <alignment horizontal="left" vertical="center" wrapText="1"/>
    </xf>
    <xf numFmtId="49" fontId="6" fillId="8" borderId="1" xfId="0" applyNumberFormat="1" applyFont="1" applyFill="1" applyAlignment="1">
      <alignment horizontal="left" vertical="center" wrapText="1"/>
    </xf>
    <xf numFmtId="164" fontId="6" fillId="8" borderId="1" xfId="0" applyNumberFormat="1" applyFont="1" applyFill="1" applyAlignment="1">
      <alignment horizontal="left" vertical="center" wrapText="1"/>
    </xf>
    <xf numFmtId="0" fontId="6" fillId="8" borderId="1" xfId="0" applyFont="1" applyFill="1" applyAlignment="1">
      <alignment horizontal="left" vertical="center" wrapText="1"/>
    </xf>
    <xf numFmtId="49" fontId="6" fillId="8" borderId="1" xfId="0" applyNumberFormat="1" applyFont="1" applyFill="1" applyAlignment="1">
      <alignment horizontal="left" vertical="center" wrapText="1"/>
    </xf>
    <xf numFmtId="164" fontId="6" fillId="8" borderId="1" xfId="0" applyNumberFormat="1" applyFont="1" applyFill="1" applyAlignment="1">
      <alignment horizontal="left" vertical="center" wrapText="1"/>
    </xf>
    <xf numFmtId="0" fontId="41" fillId="4" borderId="7" xfId="0" applyFont="1" applyFill="1" applyBorder="1" applyAlignment="1">
      <alignment horizontal="center" vertical="center" wrapText="1"/>
    </xf>
    <xf numFmtId="0" fontId="41" fillId="4" borderId="1" xfId="0" applyFont="1" applyFill="1" applyAlignment="1">
      <alignment horizontal="center" vertical="center" wrapText="1"/>
    </xf>
    <xf numFmtId="0" fontId="37" fillId="11" borderId="1" xfId="0" applyFont="1" applyFill="1" applyAlignment="1">
      <alignment horizontal="center" vertical="center" wrapText="1"/>
    </xf>
  </cellXfs>
  <cellStyles count="45">
    <cellStyle name="20% - Énfasis1" xfId="4" builtinId="30" customBuiltin="1"/>
    <cellStyle name="Actividades" xfId="5" xr:uid="{43CF0A5B-3AEB-455F-B960-FC43B439C88D}"/>
    <cellStyle name="Capítulos" xfId="6" xr:uid="{9977089B-4FC2-4D6E-866C-109C50D6F22C}"/>
    <cellStyle name="Códigos" xfId="7" xr:uid="{190C5596-F8FB-4EEB-B761-B233ECD667F0}"/>
    <cellStyle name="Hipervínculo 2" xfId="8" xr:uid="{C8754AB7-7A1B-49C7-AC10-B1D54E922A1E}"/>
    <cellStyle name="Hyperlink" xfId="44" xr:uid="{00000000-000B-0000-0000-000008000000}"/>
    <cellStyle name="Label" xfId="9" xr:uid="{542ED17F-1385-427D-959F-1DA8F18A5A85}"/>
    <cellStyle name="Millares" xfId="1" builtinId="3" customBuiltin="1"/>
    <cellStyle name="Millares [0] 2" xfId="10" xr:uid="{2625F3B8-5CA3-4623-8D7C-97F7191D68A2}"/>
    <cellStyle name="Millares 2" xfId="11" xr:uid="{536B834D-E589-452F-9689-285415A70DCD}"/>
    <cellStyle name="Millares 2 2" xfId="12" xr:uid="{B61347C4-CDF7-47B5-B1C1-EAB26F48C521}"/>
    <cellStyle name="Millares 3" xfId="13" xr:uid="{5F74F821-5383-4CD6-A870-9F3B3DEDAB98}"/>
    <cellStyle name="Moneda" xfId="2" builtinId="4" customBuiltin="1"/>
    <cellStyle name="Moneda 11" xfId="14" xr:uid="{11A22EEC-887B-41D8-AFDA-60315FEAC33C}"/>
    <cellStyle name="Moneda 2" xfId="15" xr:uid="{4A424FFB-591A-47BC-A8ED-93D30F5F9C9B}"/>
    <cellStyle name="Moneda 2 2 2" xfId="16" xr:uid="{0EC940C8-619A-4341-9E54-ED54D4245B8B}"/>
    <cellStyle name="Moneda 3" xfId="17" xr:uid="{7443D52E-91B3-4A19-A125-D15402916AF1}"/>
    <cellStyle name="Moneda 3 2" xfId="18" xr:uid="{C743B57A-D3D5-4F1F-B2F3-5F350DF37C55}"/>
    <cellStyle name="Moneda 4" xfId="19" xr:uid="{7712D4B1-F41D-4910-ABED-12469E79666A}"/>
    <cellStyle name="Moneda 6" xfId="20" xr:uid="{1DE447A7-EAFF-45C2-83C0-096B4CDDCC7B}"/>
    <cellStyle name="Normal" xfId="0" builtinId="0" customBuiltin="1"/>
    <cellStyle name="Normal 10" xfId="21" xr:uid="{95C61E24-1307-4120-B8E5-C8AF453A475F}"/>
    <cellStyle name="Normal 10 2" xfId="22" xr:uid="{11AFCACF-3E99-430B-9D6E-B50672A18A05}"/>
    <cellStyle name="Normal 11" xfId="23" xr:uid="{3099174D-B56A-44A9-85D2-8F60F2C8A5BB}"/>
    <cellStyle name="Normal 11 2" xfId="24" xr:uid="{96BB5815-B2E8-4CA9-8833-80F1CED42885}"/>
    <cellStyle name="Normal 12" xfId="25" xr:uid="{38A0F10B-500C-43CA-978D-E90CC7E1AC7A}"/>
    <cellStyle name="Normal 2 2" xfId="26" xr:uid="{DE086825-6890-498E-832B-D454AD6D14FE}"/>
    <cellStyle name="Normal 2 2 2" xfId="27" xr:uid="{A2ADBB14-34A7-4CE3-81E7-0F8C16E9E7A1}"/>
    <cellStyle name="Normal 2 2 3" xfId="28" xr:uid="{4DC8BCC6-5EE3-4C6A-B571-E51943D5C6BF}"/>
    <cellStyle name="Normal 2 3" xfId="29" xr:uid="{49622023-83EE-41CB-94BA-2906237CF1EC}"/>
    <cellStyle name="Normal 3 2" xfId="30" xr:uid="{6EF1D1F1-2B47-43AE-AF64-7CB93AD24A80}"/>
    <cellStyle name="Normal 3 2 2" xfId="31" xr:uid="{457FC2B5-FF22-4125-8E39-5EAB1C5D2017}"/>
    <cellStyle name="Normal 3 4" xfId="32" xr:uid="{FF54892C-7EEF-4205-B272-5EB3AAAEFA45}"/>
    <cellStyle name="Normal 4 2" xfId="33" xr:uid="{5796A51E-BD48-4855-957F-8EC1259442BA}"/>
    <cellStyle name="Normal 6 2" xfId="34" xr:uid="{3ABFDF4F-A778-4F9D-96FD-AE4F9EC59173}"/>
    <cellStyle name="Normal 6 2 2" xfId="35" xr:uid="{D6C6B049-48AD-48C3-80CF-96F615E700BD}"/>
    <cellStyle name="Normal 8" xfId="36" xr:uid="{427B6E96-A69F-4FEA-B147-7A6F5BAB8781}"/>
    <cellStyle name="Normal 8 2" xfId="37" xr:uid="{227ED52D-F4A7-4331-A670-3870FE16BB2C}"/>
    <cellStyle name="Normal 9" xfId="38" xr:uid="{58A13942-A1D4-4AD2-8CCA-1688E87C95A5}"/>
    <cellStyle name="Porcentaje" xfId="3" builtinId="5" customBuiltin="1"/>
    <cellStyle name="Porcentaje 2" xfId="39" xr:uid="{C9DF85BC-D6DA-4E9E-B438-81A87E9F4F48}"/>
    <cellStyle name="Sign Here" xfId="40" xr:uid="{10F55891-5854-451F-8B6F-B89EF3C3D99E}"/>
    <cellStyle name="Subcapítulos" xfId="41" xr:uid="{405CD447-4425-4FEC-8224-1C89F5697C9A}"/>
    <cellStyle name="Títulos" xfId="42" xr:uid="{35321EEF-0E3A-4CED-A362-70B8545A0BB2}"/>
    <cellStyle name="Totales" xfId="43" xr:uid="{A548F903-D371-4197-8523-58D96042F337}"/>
  </cellStyles>
  <dxfs count="262">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Rota"/>
        <family val="3"/>
        <scheme val="none"/>
      </font>
      <alignment horizontal="justify" vertical="center" textRotation="0" wrapText="1"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Rota"/>
        <family val="3"/>
        <scheme val="none"/>
      </font>
      <alignment horizontal="left" vertical="center" textRotation="0" wrapText="1"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8"/>
        <color theme="1"/>
        <name val="Rota"/>
        <family val="3"/>
        <scheme val="none"/>
      </font>
      <alignment horizontal="center" vertical="center" textRotation="0" wrapText="0"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Rota"/>
        <family val="3"/>
        <scheme val="none"/>
      </font>
      <alignment horizontal="left" vertical="center" textRotation="0" wrapText="0"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8"/>
        <color theme="1"/>
        <name val="Rota"/>
        <family val="3"/>
        <scheme val="none"/>
      </font>
      <alignment horizontal="center" vertical="center" textRotation="0" wrapText="0"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8"/>
        <color theme="1"/>
        <name val="Rota"/>
        <family val="3"/>
        <scheme val="none"/>
      </font>
      <numFmt numFmtId="0" formatCode="General"/>
      <fill>
        <patternFill patternType="solid">
          <fgColor indexed="64"/>
          <bgColor theme="2"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8"/>
        <color theme="1"/>
        <name val="Rota"/>
        <family val="3"/>
        <scheme val="none"/>
      </font>
      <numFmt numFmtId="175" formatCode="00"/>
      <fill>
        <patternFill patternType="solid">
          <fgColor indexed="64"/>
          <bgColor theme="2"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8"/>
        <color theme="1"/>
        <name val="Rota"/>
        <family val="3"/>
        <scheme val="none"/>
      </font>
      <numFmt numFmtId="0" formatCode="General"/>
      <fill>
        <patternFill patternType="solid">
          <fgColor indexed="64"/>
          <bgColor theme="2"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8"/>
        <color theme="1"/>
        <name val="Rota"/>
        <family val="3"/>
        <scheme val="none"/>
      </font>
      <alignment horizontal="center" vertical="center" textRotation="0" wrapText="0" indent="0" justifyLastLine="0" shrinkToFit="0" readingOrder="0"/>
    </dxf>
    <dxf>
      <font>
        <b val="0"/>
        <strike val="0"/>
        <outline val="0"/>
        <shadow val="0"/>
        <u val="none"/>
        <vertAlign val="baseline"/>
        <sz val="22"/>
        <color rgb="FFFFC000"/>
        <name val="Rota"/>
        <family val="3"/>
        <scheme val="none"/>
      </font>
      <fill>
        <patternFill>
          <fgColor indexed="64"/>
          <bgColor theme="1"/>
        </patternFill>
      </fill>
      <alignment horizontal="center" vertical="center" textRotation="0" indent="0" justifyLastLine="0" shrinkToFit="0" readingOrder="0"/>
    </dxf>
    <dxf>
      <font>
        <b val="0"/>
        <i val="0"/>
        <strike val="0"/>
        <condense val="0"/>
        <extend val="0"/>
        <outline val="0"/>
        <shadow val="0"/>
        <u val="none"/>
        <vertAlign val="baseline"/>
        <sz val="20"/>
        <color theme="0"/>
        <name val="Rota Bd"/>
        <family val="3"/>
        <scheme val="none"/>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Rota"/>
        <family val="3"/>
        <scheme val="none"/>
      </font>
      <fill>
        <patternFill patternType="none">
          <fgColor indexed="64"/>
          <bgColor indexed="65"/>
        </patternFill>
      </fill>
      <alignment horizontal="general" vertical="center" textRotation="0" wrapText="1"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1"/>
        <color auto="1"/>
        <name val="Rota"/>
        <family val="3"/>
        <scheme val="none"/>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auto="1"/>
        <name val="Rota"/>
        <family val="3"/>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auto="1"/>
        </left>
        <right/>
        <top/>
        <bottom/>
      </border>
    </dxf>
    <dxf>
      <font>
        <b val="0"/>
        <i val="0"/>
        <strike val="0"/>
        <condense val="0"/>
        <extend val="0"/>
        <outline val="0"/>
        <shadow val="0"/>
        <u val="none"/>
        <vertAlign val="baseline"/>
        <sz val="11"/>
        <color auto="1"/>
        <name val="Rota"/>
        <family val="3"/>
        <scheme val="none"/>
      </font>
      <numFmt numFmtId="1" formatCode="0"/>
      <fill>
        <patternFill patternType="none">
          <fgColor indexed="64"/>
          <bgColor indexed="65"/>
        </patternFill>
      </fill>
      <alignment horizontal="center" vertical="center" textRotation="0" wrapText="1" indent="0" justifyLastLine="0" shrinkToFit="0" readingOrder="0"/>
    </dxf>
    <dxf>
      <border outline="0">
        <top style="thin">
          <color auto="1"/>
        </top>
        <bottom style="thin">
          <color auto="1"/>
        </bottom>
      </border>
    </dxf>
    <dxf>
      <font>
        <b val="0"/>
        <i val="0"/>
        <strike val="0"/>
        <condense val="0"/>
        <extend val="0"/>
        <outline val="0"/>
        <shadow val="0"/>
        <u val="none"/>
        <vertAlign val="baseline"/>
        <sz val="12"/>
        <color theme="0"/>
        <name val="Rota"/>
        <family val="3"/>
        <scheme val="none"/>
      </font>
      <fill>
        <patternFill patternType="solid">
          <fgColor theme="1"/>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4"/>
        <color rgb="FFFFC000"/>
        <name val="Rota"/>
        <family val="3"/>
        <scheme val="none"/>
      </font>
      <numFmt numFmtId="164" formatCode="_-[$$-240A]\ * #,##0_-;\-[$$-240A]\ * #,##0_-;_-[$$-240A]\ * &quot;-&quot;??_-;_-@"/>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64" formatCode="_-[$$-240A]\ * #,##0_-;\-[$$-240A]\ * #,##0_-;_-[$$-240A]\ * &quot;-&quot;??_-;_-@"/>
      <alignment horizontal="general" vertical="center" textRotation="0" wrapText="1" indent="0" justifyLastLine="0" shrinkToFit="0" readingOrder="0"/>
    </dxf>
    <dxf>
      <font>
        <b val="0"/>
        <i val="0"/>
        <strike val="0"/>
        <condense val="0"/>
        <extend val="0"/>
        <outline val="0"/>
        <shadow val="0"/>
        <u val="none"/>
        <vertAlign val="baseline"/>
        <sz val="14"/>
        <color rgb="FFFFC000"/>
        <name val="Rota"/>
        <family val="3"/>
        <scheme val="none"/>
      </font>
      <numFmt numFmtId="164" formatCode="_-[$$-240A]\ * #,##0_-;\-[$$-240A]\ * #,##0_-;_-[$$-240A]\ * &quot;-&quot;??_-;_-@"/>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64" formatCode="_-[$$-240A]\ * #,##0_-;\-[$$-240A]\ * #,##0_-;_-[$$-240A]\ * &quot;-&quot;??_-;_-@"/>
      <fill>
        <patternFill patternType="solid">
          <fgColor indexed="64"/>
          <bgColor theme="0" tint="-0.14999847407452621"/>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4"/>
        <color theme="0"/>
        <name val="Rota-Regular"/>
        <scheme val="none"/>
      </font>
      <fill>
        <patternFill patternType="solid">
          <fgColor indexed="64"/>
          <bgColor theme="1"/>
        </patternFill>
      </fill>
      <alignment horizontal="left" vertical="bottom" textRotation="0" wrapText="1" indent="0" justifyLastLine="0" shrinkToFit="0" readingOrder="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center" vertical="center" textRotation="0" wrapText="1" indent="0" justifyLastLine="0" shrinkToFit="0" readingOrder="0"/>
    </dxf>
    <dxf>
      <alignment textRotation="0" wrapText="1" indent="0" justifyLastLine="0" shrinkToFit="0" readingOrder="0"/>
    </dxf>
    <dxf>
      <alignment textRotation="0" wrapText="1" indent="0" justifyLastLine="0" shrinkToFit="0" readingOrder="0"/>
    </dxf>
    <dxf>
      <font>
        <b val="0"/>
        <i val="0"/>
        <strike val="0"/>
        <condense val="0"/>
        <extend val="0"/>
        <outline val="0"/>
        <shadow val="0"/>
        <u val="none"/>
        <vertAlign val="baseline"/>
        <sz val="14"/>
        <color rgb="FFFFC000"/>
        <name val="Rota"/>
        <family val="3"/>
        <scheme val="none"/>
      </font>
      <numFmt numFmtId="164"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Rota"/>
        <family val="3"/>
        <scheme val="none"/>
      </font>
      <numFmt numFmtId="164" formatCode="_-[$$-240A]\ * #,##0_-;\-[$$-240A]\ * #,##0_-;_-[$$-240A]\ * &quot;-&quot;??_-;_-@"/>
      <alignment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4"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64" formatCode="_-[$$-240A]\ * #,##0_-;\-[$$-240A]\ * #,##0_-;_-[$$-240A]\ * &quot;-&quot;??_-;_-@"/>
      <fill>
        <patternFill patternType="solid">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fill>
        <patternFill patternType="solid">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numFmt numFmtId="166" formatCode="_-&quot;$&quot;\ * #,##0_-;\-&quot;$&quot;\ * #,##0_-;_-&quot;$&quot;\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66" formatCode="_-&quot;$&quot;\ * #,##0_-;\-&quot;$&quot;\ * #,##0_-;_-&quot;$&quot;\ * &quot;-&quot;??_-;_-@"/>
      <alignment horizontal="general"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4" formatCode="_-[$$-240A]\ * #,##0_-;\-[$$-240A]\ * #,##0_-;_-[$$-240A]\ * &quot;-&quot;??_-;_-@"/>
      <fill>
        <patternFill patternType="solid">
          <fgColor indexed="64"/>
          <bgColor theme="1"/>
        </patternFill>
      </fill>
      <alignment horizontal="right" vertical="center" textRotation="0" wrapText="1" indent="0" justifyLastLine="0" shrinkToFit="0" readingOrder="0"/>
    </dxf>
    <dxf>
      <fill>
        <patternFill>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numFmt numFmtId="164"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64" formatCode="_-[$$-240A]\ * #,##0_-;\-[$$-240A]\ * #,##0_-;_-[$$-240A]\ * &quot;-&quot;??_-;_-@"/>
      <alignment horizontal="center"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4"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64" formatCode="_-[$$-240A]\ * #,##0_-;\-[$$-240A]\ * #,##0_-;_-[$$-240A]\ * &quot;-&quot;??_-;_-@"/>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theme="1"/>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auto="1"/>
        <name val="Rota"/>
        <family val="3"/>
        <scheme val="none"/>
      </font>
      <fill>
        <patternFill patternType="solid">
          <fgColor theme="1"/>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Rota"/>
        <family val="3"/>
        <scheme val="none"/>
      </font>
      <fill>
        <patternFill patternType="solid">
          <fgColor indexed="64"/>
          <bgColor theme="0" tint="-0.14999847407452621"/>
        </patternFill>
      </fill>
      <alignment vertical="center" textRotation="0" wrapText="1" indent="0" justifyLastLine="0" shrinkToFit="0" readingOrder="0"/>
      <protection locked="0" hidden="0"/>
    </dxf>
    <dxf>
      <font>
        <strike val="0"/>
        <outline val="0"/>
        <shadow val="0"/>
        <u val="none"/>
        <vertAlign val="baseline"/>
        <sz val="14"/>
        <color rgb="FFFFC000"/>
        <name val="Rota"/>
        <family val="3"/>
        <scheme val="none"/>
      </font>
      <fill>
        <patternFill>
          <bgColor theme="1"/>
        </patternFill>
      </fill>
      <alignment horizontal="right" vertical="center" textRotation="0" wrapText="1" indent="0" justifyLastLine="0" shrinkToFit="0" readingOrder="0"/>
      <protection locked="1" hidden="0"/>
    </dxf>
    <dxf>
      <border outline="0">
        <right style="thin">
          <color auto="1"/>
        </right>
      </border>
    </dxf>
    <dxf>
      <font>
        <b val="0"/>
        <i val="0"/>
        <strike val="0"/>
        <condense val="0"/>
        <extend val="0"/>
        <outline val="0"/>
        <shadow val="0"/>
        <u val="none"/>
        <vertAlign val="baseline"/>
        <sz val="11"/>
        <color theme="1"/>
        <name val="Rota"/>
        <family val="3"/>
        <scheme val="none"/>
      </font>
      <alignment vertical="center" textRotation="0" wrapText="1" indent="0" justifyLastLine="0" shrinkToFit="0" readingOrder="0"/>
      <protection locked="1" hidden="0"/>
    </dxf>
    <dxf>
      <font>
        <strike val="0"/>
        <outline val="0"/>
        <shadow val="0"/>
        <u val="none"/>
        <vertAlign val="baseline"/>
        <sz val="12"/>
        <name val="Rota"/>
        <family val="3"/>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4"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1"/>
        <color theme="1"/>
        <name val="Rota"/>
        <family val="3"/>
        <scheme val="none"/>
      </font>
      <numFmt numFmtId="164" formatCode="_-[$$-240A]\ * #,##0_-;\-[$$-240A]\ * #,##0_-;_-[$$-240A]\ * &quot;-&quot;??_-;_-@"/>
      <fill>
        <patternFill patternType="none">
          <bgColor auto="1"/>
        </patternFill>
      </fill>
      <alignment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4"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1"/>
        <color theme="1"/>
        <name val="Rota"/>
        <family val="3"/>
        <scheme val="none"/>
      </font>
      <numFmt numFmtId="174" formatCode="_-&quot;$&quot;\ * #,##0_-;\-&quot;$&quot;\ * #,##0_-;_-&quot;$&quot;\ * &quot;-&quot;??_-;_-@_-"/>
      <alignment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1"/>
        <color theme="1"/>
        <name val="Rota"/>
        <family val="3"/>
        <scheme val="none"/>
      </font>
      <numFmt numFmtId="164" formatCode="_-[$$-240A]\ * #,##0_-;\-[$$-240A]\ * #,##0_-;_-[$$-240A]\ * &quot;-&quot;??_-;_-@"/>
      <alignment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6" formatCode="_-&quot;$&quot;\ * #,##0_-;\-&quot;$&quot;\ * #,##0_-;_-&quot;$&quot;\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 formatCode="0"/>
      <alignment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4"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 formatCode="0"/>
      <fill>
        <patternFill>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numFmt numFmtId="164"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 formatCode="0"/>
      <alignment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4"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auto="1"/>
        <name val="Rota"/>
        <family val="3"/>
        <scheme val="none"/>
      </font>
      <numFmt numFmtId="164" formatCode="_-[$$-240A]\ * #,##0_-;\-[$$-240A]\ * #,##0_-;_-[$$-240A]\ * &quot;-&quot;??_-;_-@"/>
      <fill>
        <patternFill patternType="solid">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theme="1"/>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auto="1"/>
        <name val="Rota"/>
        <family val="3"/>
        <scheme val="none"/>
      </font>
      <numFmt numFmtId="164" formatCode="_-[$$-240A]\ * #,##0_-;\-[$$-240A]\ * #,##0_-;_-[$$-240A]\ * &quot;-&quot;??_-;_-@"/>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Rota"/>
        <family val="3"/>
        <scheme val="none"/>
      </font>
      <fill>
        <patternFill patternType="solid">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auto="1"/>
        <name val="Rota"/>
        <family val="3"/>
        <scheme val="none"/>
      </font>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Rota"/>
        <family val="3"/>
        <scheme val="none"/>
      </font>
      <fill>
        <patternFill patternType="solid">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numFmt numFmtId="164" formatCode="_-[$$-240A]\ * #,##0_-;\-[$$-240A]\ * #,##0_-;_-[$$-240A]\ * &quot;-&quot;??_-;_-@"/>
      <fill>
        <patternFill patternType="solid">
          <fgColor indexed="64"/>
          <bgColor theme="1"/>
        </patternFill>
      </fill>
      <alignment horizontal="right" vertical="center" textRotation="0" wrapText="1" indent="0" justifyLastLine="0" shrinkToFit="0" readingOrder="0"/>
      <protection locked="1" hidden="0"/>
    </dxf>
    <dxf>
      <font>
        <b val="0"/>
        <i val="0"/>
        <strike val="0"/>
        <condense val="0"/>
        <extend val="0"/>
        <outline val="0"/>
        <shadow val="0"/>
        <u val="none"/>
        <vertAlign val="baseline"/>
        <sz val="11"/>
        <color theme="1"/>
        <name val="Rota"/>
        <family val="3"/>
        <scheme val="none"/>
      </font>
      <numFmt numFmtId="164" formatCode="_-[$$-240A]\ * #,##0_-;\-[$$-240A]\ * #,##0_-;_-[$$-240A]\ * &quot;-&quot;??_-;_-@"/>
      <alignment vertical="center" textRotation="0" wrapText="1" indent="0" justifyLastLine="0" shrinkToFit="0" readingOrder="0"/>
      <protection locked="1" hidden="0"/>
    </dxf>
    <dxf>
      <font>
        <b val="0"/>
        <i val="0"/>
        <strike val="0"/>
        <condense val="0"/>
        <extend val="0"/>
        <outline val="0"/>
        <shadow val="0"/>
        <u val="none"/>
        <vertAlign val="baseline"/>
        <sz val="12"/>
        <color theme="0"/>
        <name val="Rota"/>
        <family val="3"/>
        <scheme val="none"/>
      </font>
      <numFmt numFmtId="164" formatCode="_-[$$-240A]\ * #,##0_-;\-[$$-240A]\ * #,##0_-;_-[$$-240A]\ * &quot;-&quot;??_-;_-@"/>
      <fill>
        <patternFill patternType="solid">
          <fgColor theme="1"/>
          <bgColor theme="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8"/>
        <color rgb="FFFFC000"/>
        <name val="Rota"/>
        <family val="3"/>
        <scheme val="none"/>
      </font>
      <numFmt numFmtId="172" formatCode="_-[$$-240A]\ * #,##0_-;\-[$$-240A]\ * #,##0_-;_-[$$-240A]\ * &quot;-&quot;_-;_-@_-"/>
      <fill>
        <patternFill patternType="solid">
          <fgColor theme="1"/>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rota"/>
        <family val="3"/>
        <scheme val="major"/>
      </font>
      <numFmt numFmtId="164" formatCode="_-[$$-240A]\ * #,##0_-;\-[$$-240A]\ * #,##0_-;_-[$$-240A]\ * &quot;-&quot;??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numFmt numFmtId="164" formatCode="_-[$$-240A]\ * #,##0_-;\-[$$-240A]\ * #,##0_-;_-[$$-240A]\ * &quot;-&quot;??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numFmt numFmtId="164" formatCode="_-[$$-240A]\ * #,##0_-;\-[$$-240A]\ * #,##0_-;_-[$$-240A]\ * &quot;-&quot;??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numFmt numFmtId="13" formatCode="0%"/>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rgb="FFFFC000"/>
        <name val="Rota"/>
        <family val="3"/>
        <scheme val="none"/>
      </font>
      <numFmt numFmtId="172" formatCode="_-[$$-240A]\ * #,##0_-;\-[$$-240A]\ * #,##0_-;_-[$$-240A]\ * &quot;-&quot;_-;_-@_-"/>
      <fill>
        <patternFill patternType="solid">
          <fgColor theme="1"/>
          <bgColor theme="1"/>
        </patternFill>
      </fill>
      <alignment horizontal="center" vertical="center" textRotation="0" wrapText="0" indent="0" justifyLastLine="0" shrinkToFit="0" readingOrder="0"/>
    </dxf>
    <dxf>
      <numFmt numFmtId="172" formatCode="_-[$$-240A]\ * #,##0_-;\-[$$-240A]\ * #,##0_-;_-[$$-240A]\ * &quot;-&quot;_-;_-@_-"/>
    </dxf>
    <dxf>
      <font>
        <b val="0"/>
        <i val="0"/>
        <strike val="0"/>
        <condense val="0"/>
        <extend val="0"/>
        <outline val="0"/>
        <shadow val="0"/>
        <u val="none"/>
        <vertAlign val="baseline"/>
        <sz val="18"/>
        <color theme="1"/>
        <name val="rota"/>
        <family val="3"/>
        <scheme val="major"/>
      </font>
      <numFmt numFmtId="164" formatCode="_-[$$-240A]\ * #,##0_-;\-[$$-240A]\ * #,##0_-;_-[$$-240A]\ * &quot;-&quot;??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numFmt numFmtId="13" formatCode="0%"/>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family val="3"/>
        <scheme val="major"/>
      </font>
      <numFmt numFmtId="164" formatCode="_-[$$-240A]\ * #,##0_-;\-[$$-240A]\ * #,##0_-;_-[$$-240A]\ * &quot;-&quot;??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numFmt numFmtId="13" formatCode="0%"/>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rgb="FFFFC000"/>
        <name val="Rota"/>
        <family val="3"/>
        <scheme val="none"/>
      </font>
      <numFmt numFmtId="172" formatCode="_-[$$-240A]\ * #,##0_-;\-[$$-240A]\ * #,##0_-;_-[$$-240A]\ * &quot;-&quot;_-;_-@_-"/>
      <fill>
        <patternFill patternType="solid">
          <fgColor theme="1"/>
          <bgColor theme="1"/>
        </patternFill>
      </fill>
      <alignment horizontal="center" vertical="center" textRotation="0" wrapText="0" indent="0" justifyLastLine="0" shrinkToFit="0" readingOrder="0"/>
    </dxf>
    <dxf>
      <numFmt numFmtId="172" formatCode="_-[$$-240A]\ * #,##0_-;\-[$$-240A]\ * #,##0_-;_-[$$-240A]\ * &quot;-&quot;_-;_-@_-"/>
    </dxf>
    <dxf>
      <font>
        <b val="0"/>
        <i val="0"/>
        <strike val="0"/>
        <condense val="0"/>
        <extend val="0"/>
        <outline val="0"/>
        <shadow val="0"/>
        <u val="none"/>
        <vertAlign val="baseline"/>
        <sz val="18"/>
        <color theme="1"/>
        <name val="rota"/>
        <family val="3"/>
        <scheme val="major"/>
      </font>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4" formatCode="_-[$$-240A]\ * #,##0_-;\-[$$-240A]\ * #,##0_-;_-[$$-240A]\ * &quot;-&quot;??_-;_-@"/>
      <fill>
        <patternFill patternType="solid">
          <fgColor indexed="64"/>
          <bgColor theme="0" tint="-0.14999847407452621"/>
        </patternFill>
      </fill>
      <alignment horizontal="left" vertical="center" textRotation="0" wrapText="1" indent="0" justifyLastLine="0" shrinkToFit="0" readingOrder="0"/>
    </dxf>
    <dxf>
      <font>
        <b val="0"/>
        <i val="0"/>
        <strike val="0"/>
        <condense val="0"/>
        <extend val="0"/>
        <outline val="0"/>
        <shadow val="0"/>
        <u val="none"/>
        <vertAlign val="baseline"/>
        <sz val="18"/>
        <color rgb="FFFFC000"/>
        <name val="Rota"/>
        <family val="3"/>
        <scheme val="none"/>
      </font>
      <numFmt numFmtId="172" formatCode="_-[$$-240A]\ * #,##0_-;\-[$$-240A]\ * #,##0_-;_-[$$-240A]\ * &quot;-&quot;_-;_-@_-"/>
      <fill>
        <patternFill patternType="solid">
          <fgColor theme="1"/>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rota"/>
        <family val="3"/>
        <scheme val="major"/>
      </font>
      <numFmt numFmtId="173" formatCode="_-[$$-240A]\ * #,##0_-;\-[$$-240A]\ * #,##0_-;_-[$$-240A]\ * &quot;-&quot;??_-;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3" formatCode="_-[$$-240A]\ * #,##0_-;\-[$$-240A]\ * #,##0_-;_-[$$-240A]\ * &quot;-&quot;??_-;_-@_-"/>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family val="3"/>
        <scheme val="major"/>
      </font>
      <numFmt numFmtId="173" formatCode="_-[$$-240A]\ * #,##0_-;\-[$$-240A]\ * #,##0_-;_-[$$-240A]\ * &quot;-&quot;??_-;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3" formatCode="_-[$$-240A]\ * #,##0_-;\-[$$-240A]\ * #,##0_-;_-[$$-240A]\ * &quot;-&quot;??_-;_-@_-"/>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family val="3"/>
        <scheme val="major"/>
      </font>
      <numFmt numFmtId="173" formatCode="_-[$$-240A]\ * #,##0_-;\-[$$-240A]\ * #,##0_-;_-[$$-240A]\ * &quot;-&quot;??_-;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3" formatCode="_-[$$-240A]\ * #,##0_-;\-[$$-240A]\ * #,##0_-;_-[$$-240A]\ * &quot;-&quot;??_-;_-@_-"/>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numFmt numFmtId="173" formatCode="_-[$$-240A]\ * #,##0_-;\-[$$-240A]\ * #,##0_-;_-[$$-240A]\ * &quot;-&quot;??_-;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3" formatCode="_-[$$-240A]\ * #,##0_-;\-[$$-240A]\ * #,##0_-;_-[$$-240A]\ * &quot;-&quot;??_-;_-@_-"/>
      <alignment horizontal="left" vertical="center" textRotation="0" wrapText="1" indent="0" justifyLastLine="0" shrinkToFit="0" readingOrder="0"/>
    </dxf>
    <dxf>
      <font>
        <b val="0"/>
        <i val="0"/>
        <strike val="0"/>
        <condense val="0"/>
        <extend val="0"/>
        <outline val="0"/>
        <shadow val="0"/>
        <u val="none"/>
        <vertAlign val="baseline"/>
        <sz val="18"/>
        <color rgb="FFFFC000"/>
        <name val="Rota"/>
        <family val="3"/>
        <scheme val="none"/>
      </font>
      <numFmt numFmtId="172" formatCode="_-[$$-240A]\ * #,##0_-;\-[$$-240A]\ * #,##0_-;_-[$$-240A]\ * &quot;-&quot;_-;_-@_-"/>
      <fill>
        <patternFill patternType="solid">
          <fgColor theme="1"/>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rota"/>
        <family val="2"/>
        <scheme val="minor"/>
      </font>
      <numFmt numFmtId="173" formatCode="_-[$$-240A]\ * #,##0_-;\-[$$-240A]\ * #,##0_-;_-[$$-240A]\ * &quot;-&quot;??_-;_-@_-"/>
      <alignment horizontal="center" vertical="center" textRotation="0" wrapText="0" indent="0" justifyLastLine="0" shrinkToFit="0" readingOrder="0"/>
    </dxf>
    <dxf>
      <font>
        <strike val="0"/>
        <outline val="0"/>
        <shadow val="0"/>
        <u val="none"/>
        <vertAlign val="baseline"/>
        <sz val="12"/>
        <color theme="1"/>
        <name val="rota"/>
        <family val="2"/>
        <scheme val="minor"/>
      </font>
      <numFmt numFmtId="173" formatCode="_-[$$-240A]\ * #,##0_-;\-[$$-240A]\ * #,##0_-;_-[$$-240A]\ * &quot;-&quot;??_-;_-@_-"/>
      <alignment vertical="center" textRotation="0" indent="0" justifyLastLine="0" shrinkToFit="0" readingOrder="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165" formatCode="0.0"/>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2" formatCode="0.00"/>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30" formatCode="@"/>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1" formatCode="0"/>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30" formatCode="@"/>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30" formatCode="@"/>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i val="0"/>
        <strike val="0"/>
        <condense val="0"/>
        <extend val="0"/>
        <outline val="0"/>
        <shadow val="0"/>
        <u val="none"/>
        <vertAlign val="baseline"/>
        <sz val="12"/>
        <color auto="1"/>
        <name val="Rota Bd"/>
        <family val="3"/>
        <scheme val="none"/>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0"/>
        <name val="Rota Bd"/>
        <family val="3"/>
        <scheme val="none"/>
      </font>
      <numFmt numFmtId="2" formatCode="0.00"/>
      <fill>
        <patternFill patternType="solid">
          <fgColor rgb="FF0C0C0C"/>
          <bgColor rgb="FF0C0C0C"/>
        </patternFill>
      </fill>
      <alignment horizontal="center" vertical="center" textRotation="0" wrapText="1" indent="0" justifyLastLine="0" shrinkToFit="0" readingOrder="0"/>
    </dxf>
    <dxf>
      <font>
        <b val="0"/>
        <i val="0"/>
        <strike val="0"/>
        <condense val="0"/>
        <extend val="0"/>
        <outline val="0"/>
        <shadow val="0"/>
        <u val="none"/>
        <vertAlign val="baseline"/>
        <sz val="22"/>
        <color theme="0"/>
        <name val="Rota Bd"/>
        <family val="3"/>
        <scheme val="none"/>
      </font>
      <numFmt numFmtId="2" formatCode="0.00"/>
      <fill>
        <patternFill patternType="solid">
          <fgColor rgb="FF0C0C0C"/>
          <bgColor rgb="FF0C0C0C"/>
        </patternFill>
      </fill>
      <alignment horizontal="center" vertical="center" textRotation="0" wrapText="1" indent="0" justifyLastLine="0" shrinkToFit="0" readingOrder="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protection locked="0" hidden="0"/>
    </dxf>
    <dxf>
      <font>
        <strike val="0"/>
        <outline val="0"/>
        <shadow val="0"/>
        <u val="none"/>
        <vertAlign val="baseline"/>
        <sz val="18"/>
        <family val="3"/>
      </font>
      <numFmt numFmtId="167" formatCode="_ &quot;$&quot;\ * #,##0_ ;_ &quot;$&quot;\ * \-#,##0_ ;_ &quot;$&quot;\ * &quot;-&quot;??_ ;_ @_ "/>
      <alignment horizontal="center" vertical="center" textRotation="0" wrapText="1" indent="0" justifyLastLine="0" shrinkToFit="0" readingOrder="0"/>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rgb="FF000000"/>
        <name val="rota"/>
        <family val="3"/>
        <scheme val="none"/>
      </font>
      <numFmt numFmtId="167" formatCode="_ &quot;$&quot;\ * #,##0_ ;_ &quot;$&quot;\ * \-#,##0_ ;_ &quot;$&quot;\ * &quot;-&quot;??_ ;_ @_ "/>
      <alignment horizontal="left" vertical="center" textRotation="0" wrapText="1" indent="0" justifyLastLine="0" shrinkToFit="0" readingOrder="0"/>
    </dxf>
    <dxf>
      <font>
        <b/>
        <i val="0"/>
        <strike val="0"/>
        <condense val="0"/>
        <extend val="0"/>
        <outline val="0"/>
        <shadow val="0"/>
        <u val="none"/>
        <vertAlign val="baseline"/>
        <sz val="16"/>
        <color theme="0"/>
        <name val="Rota Bd"/>
        <family val="3"/>
        <scheme val="none"/>
      </font>
      <numFmt numFmtId="167" formatCode="_ &quot;$&quot;\ * #,##0_ ;_ &quot;$&quot;\ * \-#,##0_ ;_ &quot;$&quot;\ * &quot;-&quot;??_ ;_ @_ "/>
      <fill>
        <patternFill patternType="solid">
          <fgColor theme="1"/>
          <bgColor theme="1"/>
        </patternFill>
      </fill>
      <alignment horizontal="center" vertical="center" textRotation="0" wrapText="1" indent="0" justifyLastLine="0" shrinkToFit="0" readingOrder="0"/>
    </dxf>
    <dxf>
      <numFmt numFmtId="2" formatCode="0.00"/>
    </dxf>
    <dxf>
      <numFmt numFmtId="2" formatCode="0.00"/>
    </dxf>
    <dxf>
      <numFmt numFmtId="2" formatCode="0.00"/>
    </dxf>
    <dxf>
      <numFmt numFmtId="2" formatCode="0.00"/>
    </dxf>
    <dxf>
      <numFmt numFmtId="2" formatCode="0.00"/>
    </dxf>
    <dxf>
      <numFmt numFmtId="2" formatCode="0.00"/>
    </dxf>
    <dxf>
      <font>
        <color rgb="FFFFC000"/>
      </font>
      <fill>
        <patternFill patternType="solid">
          <fgColor indexed="64"/>
          <bgColor theme="1"/>
        </patternFill>
      </fill>
      <alignment vertical="center" wrapText="1"/>
    </dxf>
    <dxf>
      <alignment vertical="center"/>
    </dxf>
    <dxf>
      <alignment vertical="center"/>
    </dxf>
    <dxf>
      <alignment vertical="center"/>
    </dxf>
    <dxf>
      <alignment vertical="center"/>
    </dxf>
    <dxf>
      <alignment vertical="center"/>
    </dxf>
    <dxf>
      <font>
        <color rgb="FFFFC000"/>
      </font>
    </dxf>
    <dxf>
      <font>
        <color rgb="FFFFC000"/>
      </font>
    </dxf>
    <dxf>
      <font>
        <color rgb="FFFFC000"/>
      </font>
    </dxf>
    <dxf>
      <font>
        <color rgb="FFFFC000"/>
      </font>
    </dxf>
    <dxf>
      <font>
        <color rgb="FFFFC000"/>
      </font>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alignment wrapText="1"/>
    </dxf>
    <dxf>
      <alignment wrapText="1"/>
    </dxf>
    <dxf>
      <alignment wrapText="1"/>
    </dxf>
    <dxf>
      <alignment wrapText="1"/>
    </dxf>
    <dxf>
      <alignment wrapText="1"/>
    </dxf>
    <dxf>
      <numFmt numFmtId="176" formatCode="dd/mm/yyyy"/>
    </dxf>
    <dxf>
      <numFmt numFmtId="176" formatCode="dd/mm/yyyy"/>
    </dxf>
    <dxf>
      <font>
        <b val="0"/>
        <i val="0"/>
        <strike val="0"/>
        <condense val="0"/>
        <extend val="0"/>
        <outline val="0"/>
        <shadow val="0"/>
        <u val="none"/>
        <vertAlign val="baseline"/>
        <sz val="12"/>
        <color rgb="FFFFC000"/>
        <name val="Rota"/>
        <family val="3"/>
        <scheme val="none"/>
      </font>
      <numFmt numFmtId="172" formatCode="_-[$$-240A]\ * #,##0_-;\-[$$-240A]\ * #,##0_-;_-[$$-240A]\ * &quot;-&quot;_-;_-@_-"/>
      <fill>
        <patternFill patternType="solid">
          <fgColor theme="1"/>
          <bgColor theme="1"/>
        </patternFill>
      </fill>
      <alignment horizontal="right" vertical="center" textRotation="0" wrapText="0" indent="0" justifyLastLine="0" shrinkToFit="0" readingOrder="0"/>
    </dxf>
    <dxf>
      <numFmt numFmtId="172" formatCode="_-[$$-240A]\ * #,##0_-;\-[$$-240A]\ * #,##0_-;_-[$$-240A]\ * &quot;-&quot;_-;_-@_-"/>
      <protection locked="1" hidden="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rgb="FFFFC000"/>
        <name val="Rota"/>
        <family val="3"/>
        <scheme val="none"/>
      </font>
      <numFmt numFmtId="172" formatCode="_-[$$-240A]\ * #,##0_-;\-[$$-240A]\ * #,##0_-;_-[$$-240A]\ * &quot;-&quot;_-;_-@_-"/>
      <fill>
        <patternFill patternType="solid">
          <fgColor theme="1"/>
          <bgColor theme="1"/>
        </patternFill>
      </fill>
      <alignment horizontal="right" vertical="center" textRotation="0" wrapText="0" indent="0" justifyLastLine="0" shrinkToFit="0" readingOrder="0"/>
    </dxf>
    <dxf>
      <numFmt numFmtId="172" formatCode="_-[$$-240A]\ * #,##0_-;\-[$$-240A]\ * #,##0_-;_-[$$-240A]\ * &quot;-&quot;_-;_-@_-"/>
      <protection locked="1" hidden="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rgb="FFFFC000"/>
        <name val="Rota"/>
        <family val="3"/>
        <scheme val="none"/>
      </font>
      <numFmt numFmtId="172" formatCode="_-[$$-240A]\ * #,##0_-;\-[$$-240A]\ * #,##0_-;_-[$$-240A]\ * &quot;-&quot;_-;_-@_-"/>
      <fill>
        <patternFill patternType="solid">
          <fgColor theme="1"/>
          <bgColor theme="1"/>
        </patternFill>
      </fill>
      <alignment horizontal="right" vertical="center" textRotation="0" wrapText="0" indent="0" justifyLastLine="0" shrinkToFit="0" readingOrder="0"/>
    </dxf>
    <dxf>
      <numFmt numFmtId="172" formatCode="_-[$$-240A]\ * #,##0_-;\-[$$-240A]\ * #,##0_-;_-[$$-240A]\ * &quot;-&quot;_-;_-@_-"/>
      <protection locked="1" hidden="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4" formatCode="_-[$$-240A]\ * #,##0_-;\-[$$-240A]\ * #,##0_-;_-[$$-240A]\ * &quot;-&quot;??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rgb="FFFFC000"/>
        <name val="Rota"/>
        <family val="3"/>
        <scheme val="none"/>
      </font>
      <numFmt numFmtId="172" formatCode="_-[$$-240A]\ * #,##0_-;\-[$$-240A]\ * #,##0_-;_-[$$-240A]\ * &quot;-&quot;_-;_-@_-"/>
      <fill>
        <patternFill patternType="solid">
          <fgColor theme="1"/>
          <bgColor theme="1"/>
        </patternFill>
      </fill>
      <alignment horizontal="right" vertical="center" textRotation="0" wrapText="0" indent="0" justifyLastLine="0" shrinkToFit="0" readingOrder="0"/>
    </dxf>
    <dxf>
      <protection locked="1" hidden="0"/>
    </dxf>
    <dxf>
      <font>
        <b val="0"/>
        <i val="0"/>
        <strike val="0"/>
        <condense val="0"/>
        <extend val="0"/>
        <outline val="0"/>
        <shadow val="0"/>
        <u val="none"/>
        <vertAlign val="baseline"/>
        <sz val="12"/>
        <color theme="1"/>
        <name val="rota"/>
        <family val="3"/>
        <scheme val="major"/>
      </font>
      <numFmt numFmtId="173" formatCode="_-[$$-240A]\ * #,##0_-;\-[$$-240A]\ * #,##0_-;_-[$$-240A]\ * &quot;-&quot;??_-;_-@_-"/>
      <fill>
        <patternFill patternType="solid">
          <fgColor indexed="64"/>
          <bgColor theme="0" tint="-0.14999847407452621"/>
        </patternFill>
      </fill>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3" formatCode="_-[$$-240A]\ * #,##0_-;\-[$$-240A]\ * #,##0_-;_-[$$-240A]\ * &quot;-&quot;??_-;_-@_-"/>
      <fill>
        <patternFill patternType="solid">
          <fgColor indexed="64"/>
          <bgColor theme="0" tint="-0.14999847407452621"/>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73" formatCode="_-[$$-240A]\ * #,##0_-;\-[$$-240A]\ * #,##0_-;_-[$$-240A]\ * &quot;-&quot;??_-;_-@_-"/>
      <fill>
        <patternFill patternType="solid">
          <fgColor indexed="64"/>
          <bgColor theme="0" tint="-0.14999847407452621"/>
        </patternFill>
      </fill>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3" formatCode="_-[$$-240A]\ * #,##0_-;\-[$$-240A]\ * #,##0_-;_-[$$-240A]\ * &quot;-&quot;??_-;_-@_-"/>
      <fill>
        <patternFill patternType="solid">
          <fgColor indexed="64"/>
          <bgColor theme="0" tint="-0.14999847407452621"/>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73" formatCode="_-[$$-240A]\ * #,##0_-;\-[$$-240A]\ * #,##0_-;_-[$$-240A]\ * &quot;-&quot;??_-;_-@_-"/>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3" formatCode="_-[$$-240A]\ * #,##0_-;\-[$$-240A]\ * #,##0_-;_-[$$-240A]\ * &quot;-&quot;??_-;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73" formatCode="_-[$$-240A]\ * #,##0_-;\-[$$-240A]\ * #,##0_-;_-[$$-240A]\ * &quot;-&quot;??_-;_-@_-"/>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3" formatCode="_-[$$-240A]\ * #,##0_-;\-[$$-240A]\ * #,##0_-;_-[$$-240A]\ * &quot;-&quot;??_-;_-@_-"/>
      <alignment horizontal="righ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73" formatCode="_-[$$-240A]\ * #,##0_-;\-[$$-240A]\ * #,##0_-;_-[$$-240A]\ * &quot;-&quot;??_-;_-@_-"/>
      <fill>
        <patternFill patternType="solid">
          <fgColor theme="1"/>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3" formatCode="_-[$$-240A]\ * #,##0_-;\-[$$-240A]\ * #,##0_-;_-[$$-240A]\ * &quot;-&quot;??_-;_-@_-"/>
      <alignment horizontal="right" vertical="center" textRotation="0" wrapText="1" indent="0" justifyLastLine="0" shrinkToFit="0" readingOrder="0"/>
      <protection locked="1" hidden="0"/>
    </dxf>
    <dxf>
      <font>
        <b val="0"/>
        <i val="0"/>
        <strike val="0"/>
        <condense val="0"/>
        <extend val="0"/>
        <outline val="0"/>
        <shadow val="0"/>
        <u val="none"/>
        <vertAlign val="baseline"/>
        <sz val="12"/>
        <color rgb="FFFFC000"/>
        <name val="Rota"/>
        <family val="3"/>
        <scheme val="none"/>
      </font>
      <numFmt numFmtId="173" formatCode="_-[$$-240A]\ * #,##0_-;\-[$$-240A]\ * #,##0_-;_-[$$-240A]\ * &quot;-&quot;??_-;_-@_-"/>
      <fill>
        <patternFill patternType="solid">
          <fgColor theme="1"/>
          <bgColor theme="1"/>
        </patternFill>
      </fill>
      <alignment horizontal="right" vertical="center" textRotation="0" wrapText="1" indent="0" justifyLastLine="0" shrinkToFit="0" readingOrder="0"/>
    </dxf>
    <dxf>
      <font>
        <strike val="0"/>
        <outline val="0"/>
        <shadow val="0"/>
        <u val="none"/>
        <vertAlign val="baseline"/>
        <sz val="12"/>
        <family val="3"/>
      </font>
      <numFmt numFmtId="173" formatCode="_-[$$-240A]\ * #,##0_-;\-[$$-240A]\ * #,##0_-;_-[$$-240A]\ * &quot;-&quot;??_-;_-@_-"/>
      <alignment horizontal="righ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65" formatCode="0.0"/>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5" formatCode="0.0"/>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left" vertical="center" textRotation="0" wrapText="1" indent="0" justifyLastLine="0" shrinkToFit="0" readingOrder="0"/>
      <protection locked="1" hidden="0"/>
    </dxf>
    <dxf>
      <font>
        <b/>
        <i val="0"/>
        <strike val="0"/>
        <condense val="0"/>
        <extend val="0"/>
        <outline val="0"/>
        <shadow val="0"/>
        <u val="none"/>
        <vertAlign val="baseline"/>
        <sz val="20"/>
        <color theme="1"/>
        <name val="rota"/>
        <family val="3"/>
        <scheme val="major"/>
      </font>
      <numFmt numFmtId="1" formatCode="0"/>
      <fill>
        <patternFill patternType="solid">
          <fgColor indexed="64"/>
          <bgColor theme="0" tint="-0.14999847407452621"/>
        </patternFill>
      </fill>
      <alignment horizontal="center" vertical="center" textRotation="0" wrapText="1" indent="0" justifyLastLine="0" shrinkToFit="0" readingOrder="0"/>
    </dxf>
    <dxf>
      <font>
        <b/>
        <i val="0"/>
        <strike val="0"/>
        <condense val="0"/>
        <extend val="0"/>
        <outline val="0"/>
        <shadow val="0"/>
        <u val="none"/>
        <vertAlign val="baseline"/>
        <sz val="20"/>
        <color theme="1"/>
        <name val="rota"/>
        <family val="3"/>
        <scheme val="major"/>
      </font>
      <numFmt numFmtId="1" formatCode="0"/>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 formatCode="0"/>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 formatCode="0"/>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22"/>
        <color theme="0"/>
        <name val="Rota Bd"/>
        <family val="3"/>
        <scheme val="none"/>
      </font>
      <numFmt numFmtId="167" formatCode="_ &quot;$&quot;\ * #,##0_ ;_ &quot;$&quot;\ * \-#,##0_ ;_ &quot;$&quot;\ * &quot;-&quot;??_ ;_ @_ "/>
      <fill>
        <patternFill patternType="solid">
          <fgColor rgb="FF0C0C0C"/>
          <bgColor rgb="FF0C0C0C"/>
        </patternFill>
      </fill>
      <alignment horizontal="center" vertical="center" textRotation="0" wrapText="1" indent="0" justifyLastLine="0" shrinkToFit="0" readingOrder="0"/>
    </dxf>
    <dxf>
      <font>
        <b val="0"/>
        <i val="0"/>
        <strike val="0"/>
        <condense val="0"/>
        <extend val="0"/>
        <outline val="0"/>
        <shadow val="0"/>
        <u val="none"/>
        <vertAlign val="baseline"/>
        <sz val="22"/>
        <color theme="0"/>
        <name val="Rota Bd"/>
        <family val="3"/>
        <scheme val="none"/>
      </font>
      <numFmt numFmtId="167" formatCode="_ &quot;$&quot;\ * #,##0_ ;_ &quot;$&quot;\ * \-#,##0_ ;_ &quot;$&quot;\ * &quot;-&quot;??_ ;_ @_ "/>
      <fill>
        <patternFill patternType="solid">
          <fgColor rgb="FF0C0C0C"/>
          <bgColor rgb="FF0C0C0C"/>
        </patternFill>
      </fill>
      <alignment horizontal="center" vertical="center" textRotation="0" wrapText="1" indent="0" justifyLastLine="0" shrinkToFit="0" readingOrder="0"/>
      <protection locked="1" hidden="0"/>
    </dxf>
    <dxf>
      <border>
        <top style="thin">
          <color indexed="64"/>
        </top>
      </border>
    </dxf>
    <dxf>
      <font>
        <strike val="0"/>
        <outline val="0"/>
        <shadow val="0"/>
        <u val="none"/>
        <vertAlign val="baseline"/>
        <sz val="18"/>
        <family val="3"/>
      </font>
      <numFmt numFmtId="167" formatCode="_ &quot;$&quot;\ * #,##0_ ;_ &quot;$&quot;\ * \-#,##0_ ;_ &quot;$&quot;\ * &quot;-&quot;??_ ;_ @_ "/>
      <alignment horizontal="center" vertical="center" textRotation="0" wrapText="1" indent="0" justifyLastLine="0" shrinkToFit="0" readingOrder="0"/>
      <protection locked="1" hidden="0"/>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2"/>
        <color theme="1"/>
        <name val="rota"/>
        <family val="3"/>
        <scheme val="major"/>
      </font>
      <numFmt numFmtId="167" formatCode="_ &quot;$&quot;\ * #,##0_ ;_ &quot;$&quot;\ * \-#,##0_ ;_ &quot;$&quot;\ * &quot;-&quot;??_ ;_ @_ "/>
      <alignment horizontal="left" vertical="center" textRotation="0" wrapText="1" indent="0" justifyLastLine="0" shrinkToFit="0" readingOrder="0"/>
      <protection locked="1" hidden="0"/>
    </dxf>
    <dxf>
      <font>
        <b/>
        <i val="0"/>
        <strike val="0"/>
        <condense val="0"/>
        <extend val="0"/>
        <outline val="0"/>
        <shadow val="0"/>
        <u val="none"/>
        <vertAlign val="baseline"/>
        <sz val="16"/>
        <color theme="0"/>
        <name val="Rota Bd"/>
        <family val="3"/>
        <scheme val="none"/>
      </font>
      <numFmt numFmtId="167" formatCode="_ &quot;$&quot;\ * #,##0_ ;_ &quot;$&quot;\ * \-#,##0_ ;_ &quot;$&quot;\ * &quot;-&quot;??_ ;_ @_ "/>
      <fill>
        <patternFill patternType="solid">
          <fgColor theme="1"/>
          <bgColor theme="1"/>
        </patternFill>
      </fill>
      <alignment horizontal="center" vertical="center" textRotation="0" wrapText="1" indent="0" justifyLastLine="0" shrinkToFit="0" readingOrder="0"/>
      <protection locked="1" hidden="0"/>
    </dxf>
    <dxf>
      <font>
        <strike val="0"/>
        <outline val="0"/>
        <shadow val="0"/>
        <u val="none"/>
        <vertAlign val="baseline"/>
        <sz val="20"/>
        <color rgb="FFFFC000"/>
        <name val="Rota Bd"/>
        <family val="3"/>
        <scheme val="none"/>
      </font>
      <fill>
        <patternFill patternType="solid">
          <fgColor indexed="64"/>
          <bgColor theme="1"/>
        </patternFill>
      </fill>
      <alignment horizontal="center" vertical="center" textRotation="0" wrapText="1" indent="0" justifyLastLine="0" shrinkToFit="0" readingOrder="1"/>
    </dxf>
    <dxf>
      <font>
        <b val="0"/>
        <i val="0"/>
        <strike val="0"/>
        <condense val="0"/>
        <extend val="0"/>
        <outline val="0"/>
        <shadow val="0"/>
        <u val="none"/>
        <vertAlign val="baseline"/>
        <sz val="11"/>
        <color theme="1"/>
        <name val="Rota"/>
        <family val="3"/>
        <scheme val="none"/>
      </font>
      <alignment horizontal="center" vertical="center" textRotation="0" wrapText="1" indent="0" justifyLastLine="0" shrinkToFit="0" readingOrder="1"/>
    </dxf>
    <dxf>
      <font>
        <b val="0"/>
        <i val="0"/>
        <strike val="0"/>
        <condense val="0"/>
        <extend val="0"/>
        <outline val="0"/>
        <shadow val="0"/>
        <u val="none"/>
        <vertAlign val="baseline"/>
        <sz val="11"/>
        <color theme="1"/>
        <name val="Rota"/>
        <family val="3"/>
        <scheme val="none"/>
      </font>
      <alignment horizontal="center" vertical="center" textRotation="0" wrapText="1" indent="0" justifyLastLine="0" shrinkToFit="0" readingOrder="1"/>
    </dxf>
    <dxf>
      <font>
        <b val="0"/>
        <i val="0"/>
        <strike val="0"/>
        <condense val="0"/>
        <extend val="0"/>
        <outline val="0"/>
        <shadow val="0"/>
        <u val="none"/>
        <vertAlign val="baseline"/>
        <sz val="11"/>
        <color theme="1"/>
        <name val="Rota"/>
        <family val="3"/>
        <scheme val="none"/>
      </font>
      <alignment horizontal="left" vertical="center" textRotation="0" wrapText="1" indent="0" justifyLastLine="0" shrinkToFit="0" readingOrder="1"/>
    </dxf>
    <dxf>
      <font>
        <b val="0"/>
        <i val="0"/>
        <strike val="0"/>
        <condense val="0"/>
        <extend val="0"/>
        <outline val="0"/>
        <shadow val="0"/>
        <u val="none"/>
        <vertAlign val="baseline"/>
        <sz val="11"/>
        <color theme="1"/>
        <name val="Rota"/>
        <family val="3"/>
        <scheme val="none"/>
      </font>
      <alignment horizontal="left" vertical="center" textRotation="0" wrapText="1" indent="0" justifyLastLine="0" shrinkToFit="0" readingOrder="1"/>
    </dxf>
    <dxf>
      <font>
        <b val="0"/>
        <i val="0"/>
        <strike val="0"/>
        <condense val="0"/>
        <extend val="0"/>
        <outline val="0"/>
        <shadow val="0"/>
        <u val="none"/>
        <vertAlign val="baseline"/>
        <sz val="11"/>
        <color theme="1"/>
        <name val="Rota"/>
        <family val="3"/>
        <scheme val="none"/>
      </font>
      <alignment horizontal="left" vertical="center" textRotation="0" wrapText="1" indent="0" justifyLastLine="0" shrinkToFit="0" readingOrder="1"/>
    </dxf>
    <dxf>
      <font>
        <b val="0"/>
        <i val="0"/>
        <strike val="0"/>
        <condense val="0"/>
        <extend val="0"/>
        <outline val="0"/>
        <shadow val="0"/>
        <u val="none"/>
        <vertAlign val="baseline"/>
        <sz val="11"/>
        <color theme="1"/>
        <name val="Rota"/>
        <family val="3"/>
        <scheme val="none"/>
      </font>
      <alignment horizontal="center" vertical="center" textRotation="0" wrapText="1" indent="0" justifyLastLine="0" shrinkToFit="0" readingOrder="1"/>
    </dxf>
    <dxf>
      <font>
        <b val="0"/>
        <i val="0"/>
        <strike val="0"/>
        <condense val="0"/>
        <extend val="0"/>
        <outline val="0"/>
        <shadow val="0"/>
        <u val="none"/>
        <vertAlign val="baseline"/>
        <sz val="14"/>
        <color theme="1"/>
        <name val="Rota"/>
        <family val="3"/>
        <scheme val="none"/>
      </font>
      <alignment horizontal="center" vertical="center" textRotation="0" wrapText="1" indent="0" justifyLastLine="0" shrinkToFit="0" readingOrder="1"/>
    </dxf>
    <dxf>
      <font>
        <b val="0"/>
        <i val="0"/>
        <strike val="0"/>
        <condense val="0"/>
        <extend val="0"/>
        <outline val="0"/>
        <shadow val="0"/>
        <u val="none"/>
        <vertAlign val="baseline"/>
        <sz val="14"/>
        <color theme="1"/>
        <name val="Rota"/>
        <family val="3"/>
        <scheme val="none"/>
      </font>
      <alignment horizontal="center" vertical="center" textRotation="0" wrapText="1" indent="0" justifyLastLine="0" shrinkToFit="0" readingOrder="1"/>
    </dxf>
    <dxf>
      <alignment textRotation="0" indent="0" justifyLastLine="0" readingOrder="1"/>
    </dxf>
    <dxf>
      <font>
        <b val="0"/>
        <strike val="0"/>
        <outline val="0"/>
        <shadow val="0"/>
        <u val="none"/>
        <vertAlign val="baseline"/>
        <sz val="14"/>
        <name val="Rota Bd"/>
        <family val="3"/>
        <scheme val="none"/>
      </font>
      <alignment horizontal="center" vertical="center" textRotation="0" wrapText="1" indent="0" justifyLastLine="0" shrinkToFit="0" readingOrder="1"/>
    </dxf>
    <dxf>
      <border>
        <left style="thin">
          <color auto="1"/>
        </left>
        <right style="thin">
          <color auto="1"/>
        </right>
        <top style="thin">
          <color auto="1"/>
        </top>
        <bottom style="thin">
          <color auto="1"/>
        </bottom>
      </border>
    </dxf>
    <dxf>
      <font>
        <sz val="14"/>
      </font>
    </dxf>
    <dxf>
      <font>
        <b/>
        <i val="0"/>
        <sz val="20"/>
        <color theme="0"/>
        <name val="Rota Bd"/>
        <family val="3"/>
        <scheme val="none"/>
      </font>
      <fill>
        <patternFill patternType="solid">
          <bgColor theme="1"/>
        </patternFill>
      </fill>
      <border diagonalUp="0" diagonalDown="0">
        <left/>
        <right/>
        <top/>
        <bottom/>
        <vertical/>
        <horizontal/>
      </border>
    </dxf>
    <dxf>
      <font>
        <sz val="14"/>
      </font>
      <fill>
        <patternFill>
          <bgColor theme="2" tint="-0.24994659260841701"/>
        </patternFill>
      </fill>
    </dxf>
  </dxfs>
  <tableStyles count="3" defaultTableStyle="TableStyleMedium2" defaultPivotStyle="PivotStyleLight16">
    <tableStyle name="CNTXT Segmentación" pivot="0" table="0" count="10" xr9:uid="{59E7904D-A7B8-4547-A6DB-28C998C64197}">
      <tableStyleElement type="wholeTable" dxfId="261"/>
      <tableStyleElement type="headerRow" dxfId="260"/>
    </tableStyle>
    <tableStyle name="Estilo de segmentación de datos 1" pivot="0" table="0" count="1" xr9:uid="{07A8AE49-1A54-4F30-B3E2-659291D7AD2B}">
      <tableStyleElement type="wholeTable" dxfId="259"/>
    </tableStyle>
    <tableStyle name="Estilo de tabla 1" pivot="0" count="1" xr9:uid="{81951B79-8361-4EC4-91CC-E961DC266687}">
      <tableStyleElement type="wholeTable" dxfId="258"/>
    </tableStyle>
  </tableStyles>
  <colors>
    <mruColors>
      <color rgb="FFE8BEBA"/>
      <color rgb="FFFFCCCC"/>
      <color rgb="FFFDEFB5"/>
      <color rgb="FFDDDDDD"/>
    </mruColors>
  </colors>
  <extLst>
    <ext xmlns:x14="http://schemas.microsoft.com/office/spreadsheetml/2009/9/main" uri="{46F421CA-312F-682f-3DD2-61675219B42D}">
      <x14:dxfs count="8">
        <dxf>
          <font>
            <b/>
            <i val="0"/>
            <color theme="2" tint="-0.499984740745262"/>
          </font>
          <fill>
            <patternFill>
              <bgColor theme="7"/>
            </patternFill>
          </fill>
        </dxf>
        <dxf>
          <fill>
            <patternFill patternType="none">
              <bgColor auto="1"/>
            </patternFill>
          </fill>
        </dxf>
        <dxf>
          <font>
            <b/>
            <i val="0"/>
            <color auto="1"/>
          </font>
          <fill>
            <patternFill>
              <bgColor theme="7"/>
            </patternFill>
          </fill>
        </dxf>
        <dxf>
          <font>
            <b/>
            <i val="0"/>
          </font>
          <fill>
            <patternFill patternType="solid">
              <bgColor theme="6" tint="0.59996337778862885"/>
            </patternFill>
          </fill>
        </dxf>
        <dxf>
          <font>
            <b/>
            <i val="0"/>
          </font>
          <fill>
            <patternFill>
              <bgColor theme="0" tint="-0.14996795556505021"/>
            </patternFill>
          </fill>
        </dxf>
        <dxf>
          <font>
            <color rgb="FFFFC000"/>
          </font>
          <fill>
            <patternFill>
              <bgColor theme="1"/>
            </patternFill>
          </fill>
        </dxf>
        <dxf>
          <font>
            <color theme="0" tint="-0.499984740745262"/>
          </font>
          <fill>
            <patternFill>
              <bgColor theme="2" tint="-0.14996795556505021"/>
            </patternFill>
          </fill>
        </dxf>
        <dxf>
          <font>
            <b/>
            <i val="0"/>
            <color theme="1"/>
          </font>
          <fill>
            <patternFill>
              <bgColor rgb="FFDDDDDD"/>
            </patternFill>
          </fill>
        </dxf>
      </x14:dxfs>
    </ext>
    <ext xmlns:x14="http://schemas.microsoft.com/office/spreadsheetml/2009/9/main" uri="{EB79DEF2-80B8-43e5-95BD-54CBDDF9020C}">
      <x14:slicerStyles defaultSlicerStyle="CNTXT Segmentación">
        <x14:slicerStyle name="CNTXT Segmentación">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Estilo de segmentación de datos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3.xml"/><Relationship Id="rId18" Type="http://schemas.microsoft.com/office/2007/relationships/slicerCache" Target="slicerCaches/slicerCache8.xml"/><Relationship Id="rId26" Type="http://schemas.openxmlformats.org/officeDocument/2006/relationships/sharedStrings" Target="sharedStrings.xml"/><Relationship Id="rId39" Type="http://schemas.openxmlformats.org/officeDocument/2006/relationships/customXml" Target="../customXml/item12.xml"/><Relationship Id="rId21" Type="http://schemas.microsoft.com/office/2007/relationships/slicerCache" Target="slicerCaches/slicerCache11.xml"/><Relationship Id="rId34" Type="http://schemas.openxmlformats.org/officeDocument/2006/relationships/customXml" Target="../customXml/item7.xml"/><Relationship Id="rId42" Type="http://schemas.openxmlformats.org/officeDocument/2006/relationships/customXml" Target="../customXml/item15.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6.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onnections" Target="connection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theme" Target="theme/theme1.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2.xml"/><Relationship Id="rId19" Type="http://schemas.microsoft.com/office/2007/relationships/slicerCache" Target="slicerCaches/slicerCache9.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microsoft.com/office/2007/relationships/slicerCache" Target="slicerCaches/slicerCache12.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8" Type="http://schemas.openxmlformats.org/officeDocument/2006/relationships/worksheet" Target="worksheets/sheet8.xml"/><Relationship Id="rId3" Type="http://schemas.openxmlformats.org/officeDocument/2006/relationships/worksheet" Target="worksheets/sheet3.xml"/><Relationship Id="rId12" Type="http://schemas.microsoft.com/office/2007/relationships/slicerCache" Target="slicerCaches/slicerCache2.xml"/><Relationship Id="rId17" Type="http://schemas.microsoft.com/office/2007/relationships/slicerCache" Target="slicerCaches/slicerCache7.xml"/><Relationship Id="rId25" Type="http://schemas.openxmlformats.org/officeDocument/2006/relationships/styles" Target="style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10.xml"/><Relationship Id="rId41" Type="http://schemas.openxmlformats.org/officeDocument/2006/relationships/customXml" Target="../customXml/item1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77787</xdr:colOff>
      <xdr:row>0</xdr:row>
      <xdr:rowOff>68263</xdr:rowOff>
    </xdr:from>
    <xdr:to>
      <xdr:col>2</xdr:col>
      <xdr:colOff>1130537</xdr:colOff>
      <xdr:row>0</xdr:row>
      <xdr:rowOff>649836</xdr:rowOff>
    </xdr:to>
    <xdr:sp macro="" textlink="">
      <xdr:nvSpPr>
        <xdr:cNvPr id="2" name="CuadroTexto 1">
          <a:extLst>
            <a:ext uri="{FF2B5EF4-FFF2-40B4-BE49-F238E27FC236}">
              <a16:creationId xmlns:a16="http://schemas.microsoft.com/office/drawing/2014/main" id="{44E6C777-55DD-4FC8-149F-D3AC19E64F17}"/>
            </a:ext>
          </a:extLst>
        </xdr:cNvPr>
        <xdr:cNvSpPr txBox="1"/>
      </xdr:nvSpPr>
      <xdr:spPr>
        <a:xfrm>
          <a:off x="77787" y="68263"/>
          <a:ext cx="4622400" cy="581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600">
              <a:ln>
                <a:noFill/>
              </a:ln>
              <a:solidFill>
                <a:srgbClr val="FFC000"/>
              </a:solidFill>
              <a:effectLst/>
              <a:latin typeface="Rota Bd" pitchFamily="50" charset="0"/>
              <a:ea typeface="+mn-ea"/>
              <a:cs typeface="+mn-cs"/>
            </a:rPr>
            <a:t>Atributos CNTXT</a:t>
          </a:r>
          <a:r>
            <a:rPr lang="es-ES" sz="1600" baseline="0">
              <a:ln>
                <a:noFill/>
              </a:ln>
              <a:solidFill>
                <a:srgbClr val="FFC000"/>
              </a:solidFill>
              <a:effectLst/>
              <a:latin typeface="Rota Bd" pitchFamily="50" charset="0"/>
              <a:ea typeface="+mn-ea"/>
              <a:cs typeface="+mn-cs"/>
            </a:rPr>
            <a:t> : </a:t>
          </a:r>
          <a:r>
            <a:rPr lang="es-ES" sz="1600">
              <a:ln>
                <a:noFill/>
              </a:ln>
              <a:solidFill>
                <a:srgbClr val="FFC000"/>
              </a:solidFill>
              <a:effectLst/>
              <a:latin typeface="+mn-lt"/>
              <a:ea typeface="+mn-ea"/>
              <a:cs typeface="+mn-cs"/>
            </a:rPr>
            <a:t>Confianza | Experiencia de Usuario | Calidad en el producto | Disrupción </a:t>
          </a:r>
          <a:endParaRPr lang="es-CO" sz="1600">
            <a:ln>
              <a:noFill/>
            </a:ln>
            <a:solidFill>
              <a:srgbClr val="FFC000"/>
            </a:solidFill>
          </a:endParaRPr>
        </a:p>
      </xdr:txBody>
    </xdr:sp>
    <xdr:clientData/>
  </xdr:twoCellAnchor>
  <xdr:twoCellAnchor editAs="absolute">
    <xdr:from>
      <xdr:col>2</xdr:col>
      <xdr:colOff>1217858</xdr:colOff>
      <xdr:row>0</xdr:row>
      <xdr:rowOff>40763</xdr:rowOff>
    </xdr:from>
    <xdr:to>
      <xdr:col>3</xdr:col>
      <xdr:colOff>1222656</xdr:colOff>
      <xdr:row>0</xdr:row>
      <xdr:rowOff>996587</xdr:rowOff>
    </xdr:to>
    <mc:AlternateContent xmlns:mc="http://schemas.openxmlformats.org/markup-compatibility/2006" xmlns:sle15="http://schemas.microsoft.com/office/drawing/2012/slicer">
      <mc:Choice Requires="sle15">
        <xdr:graphicFrame macro="">
          <xdr:nvGraphicFramePr>
            <xdr:cNvPr id="3" name="TIPO DE CLIENTE">
              <a:extLst>
                <a:ext uri="{FF2B5EF4-FFF2-40B4-BE49-F238E27FC236}">
                  <a16:creationId xmlns:a16="http://schemas.microsoft.com/office/drawing/2014/main" id="{06D188D0-05EB-01EE-34ED-5CFD5485CA8A}"/>
                </a:ext>
              </a:extLst>
            </xdr:cNvPr>
            <xdr:cNvGraphicFramePr/>
          </xdr:nvGraphicFramePr>
          <xdr:xfrm>
            <a:off x="0" y="0"/>
            <a:ext cx="0" cy="0"/>
          </xdr:xfrm>
          <a:graphic>
            <a:graphicData uri="http://schemas.microsoft.com/office/drawing/2010/slicer">
              <sle:slicer xmlns:sle="http://schemas.microsoft.com/office/drawing/2010/slicer" name="TIPO DE CLIENTE"/>
            </a:graphicData>
          </a:graphic>
        </xdr:graphicFrame>
      </mc:Choice>
      <mc:Fallback xmlns="">
        <xdr:sp macro="" textlink="">
          <xdr:nvSpPr>
            <xdr:cNvPr id="0" name=""/>
            <xdr:cNvSpPr>
              <a:spLocks noTextEdit="1"/>
            </xdr:cNvSpPr>
          </xdr:nvSpPr>
          <xdr:spPr>
            <a:xfrm>
              <a:off x="4847749" y="45843"/>
              <a:ext cx="2389050" cy="7200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3</xdr:col>
      <xdr:colOff>1291869</xdr:colOff>
      <xdr:row>0</xdr:row>
      <xdr:rowOff>41398</xdr:rowOff>
    </xdr:from>
    <xdr:to>
      <xdr:col>5</xdr:col>
      <xdr:colOff>3447</xdr:colOff>
      <xdr:row>0</xdr:row>
      <xdr:rowOff>988786</xdr:rowOff>
    </xdr:to>
    <mc:AlternateContent xmlns:mc="http://schemas.openxmlformats.org/markup-compatibility/2006" xmlns:sle15="http://schemas.microsoft.com/office/drawing/2012/slicer">
      <mc:Choice Requires="sle15">
        <xdr:graphicFrame macro="">
          <xdr:nvGraphicFramePr>
            <xdr:cNvPr id="5" name="NECESIDAD O DESEO">
              <a:extLst>
                <a:ext uri="{FF2B5EF4-FFF2-40B4-BE49-F238E27FC236}">
                  <a16:creationId xmlns:a16="http://schemas.microsoft.com/office/drawing/2014/main" id="{3F764387-A559-424D-64A6-ED766F946720}"/>
                </a:ext>
              </a:extLst>
            </xdr:cNvPr>
            <xdr:cNvGraphicFramePr/>
          </xdr:nvGraphicFramePr>
          <xdr:xfrm>
            <a:off x="0" y="0"/>
            <a:ext cx="0" cy="0"/>
          </xdr:xfrm>
          <a:graphic>
            <a:graphicData uri="http://schemas.microsoft.com/office/drawing/2010/slicer">
              <sle:slicer xmlns:sle="http://schemas.microsoft.com/office/drawing/2010/slicer" name="NECESIDAD O DESEO"/>
            </a:graphicData>
          </a:graphic>
        </xdr:graphicFrame>
      </mc:Choice>
      <mc:Fallback xmlns="">
        <xdr:sp macro="" textlink="">
          <xdr:nvSpPr>
            <xdr:cNvPr id="0" name=""/>
            <xdr:cNvSpPr>
              <a:spLocks noTextEdit="1"/>
            </xdr:cNvSpPr>
          </xdr:nvSpPr>
          <xdr:spPr>
            <a:xfrm>
              <a:off x="7302202" y="42668"/>
              <a:ext cx="3518197" cy="7200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1681</xdr:colOff>
      <xdr:row>0</xdr:row>
      <xdr:rowOff>33338</xdr:rowOff>
    </xdr:from>
    <xdr:to>
      <xdr:col>32</xdr:col>
      <xdr:colOff>1680</xdr:colOff>
      <xdr:row>1</xdr:row>
      <xdr:rowOff>33338</xdr:rowOff>
    </xdr:to>
    <xdr:sp macro="" textlink="">
      <xdr:nvSpPr>
        <xdr:cNvPr id="2" name="Rectángulo 1">
          <a:extLst>
            <a:ext uri="{FF2B5EF4-FFF2-40B4-BE49-F238E27FC236}">
              <a16:creationId xmlns:a16="http://schemas.microsoft.com/office/drawing/2014/main" id="{CFA4D938-BA17-ED17-AC3E-532447DD83BC}"/>
            </a:ext>
          </a:extLst>
        </xdr:cNvPr>
        <xdr:cNvSpPr/>
      </xdr:nvSpPr>
      <xdr:spPr>
        <a:xfrm>
          <a:off x="1681" y="33338"/>
          <a:ext cx="62788799" cy="15240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s-CO" sz="1200">
            <a:solidFill>
              <a:sysClr val="windowText" lastClr="000000"/>
            </a:solidFill>
          </a:endParaRPr>
        </a:p>
      </xdr:txBody>
    </xdr:sp>
    <xdr:clientData/>
  </xdr:twoCellAnchor>
  <xdr:twoCellAnchor>
    <xdr:from>
      <xdr:col>0</xdr:col>
      <xdr:colOff>612615</xdr:colOff>
      <xdr:row>0</xdr:row>
      <xdr:rowOff>128883</xdr:rowOff>
    </xdr:from>
    <xdr:to>
      <xdr:col>1</xdr:col>
      <xdr:colOff>352686</xdr:colOff>
      <xdr:row>0</xdr:row>
      <xdr:rowOff>1400792</xdr:rowOff>
    </xdr:to>
    <xdr:pic>
      <xdr:nvPicPr>
        <xdr:cNvPr id="6" name="Imagen 5">
          <a:extLst>
            <a:ext uri="{FF2B5EF4-FFF2-40B4-BE49-F238E27FC236}">
              <a16:creationId xmlns:a16="http://schemas.microsoft.com/office/drawing/2014/main" id="{00E2E3E0-BC0A-63E8-8F6B-E20497181F6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tretch/>
      </xdr:blipFill>
      <xdr:spPr>
        <a:xfrm>
          <a:off x="612615" y="128883"/>
          <a:ext cx="3516453" cy="1271909"/>
        </a:xfrm>
        <a:prstGeom prst="rect">
          <a:avLst/>
        </a:prstGeom>
      </xdr:spPr>
    </xdr:pic>
    <xdr:clientData/>
  </xdr:twoCellAnchor>
  <xdr:twoCellAnchor>
    <xdr:from>
      <xdr:col>1</xdr:col>
      <xdr:colOff>793153</xdr:colOff>
      <xdr:row>0</xdr:row>
      <xdr:rowOff>202029</xdr:rowOff>
    </xdr:from>
    <xdr:to>
      <xdr:col>1</xdr:col>
      <xdr:colOff>793153</xdr:colOff>
      <xdr:row>0</xdr:row>
      <xdr:rowOff>1302466</xdr:rowOff>
    </xdr:to>
    <xdr:cxnSp macro="">
      <xdr:nvCxnSpPr>
        <xdr:cNvPr id="8" name="Conector recto 7">
          <a:extLst>
            <a:ext uri="{FF2B5EF4-FFF2-40B4-BE49-F238E27FC236}">
              <a16:creationId xmlns:a16="http://schemas.microsoft.com/office/drawing/2014/main" id="{DE52C983-4042-35DF-119F-5BEAF71E9145}"/>
            </a:ext>
          </a:extLst>
        </xdr:cNvPr>
        <xdr:cNvCxnSpPr/>
      </xdr:nvCxnSpPr>
      <xdr:spPr>
        <a:xfrm>
          <a:off x="4575939" y="202029"/>
          <a:ext cx="0" cy="1100437"/>
        </a:xfrm>
        <a:prstGeom prst="line">
          <a:avLst/>
        </a:prstGeom>
        <a:ln>
          <a:solidFill>
            <a:schemeClr val="bg1"/>
          </a:solidFill>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3</xdr:col>
      <xdr:colOff>299687</xdr:colOff>
      <xdr:row>0</xdr:row>
      <xdr:rowOff>202029</xdr:rowOff>
    </xdr:from>
    <xdr:to>
      <xdr:col>3</xdr:col>
      <xdr:colOff>299687</xdr:colOff>
      <xdr:row>0</xdr:row>
      <xdr:rowOff>1302466</xdr:rowOff>
    </xdr:to>
    <xdr:cxnSp macro="">
      <xdr:nvCxnSpPr>
        <xdr:cNvPr id="9" name="Conector recto 8">
          <a:extLst>
            <a:ext uri="{FF2B5EF4-FFF2-40B4-BE49-F238E27FC236}">
              <a16:creationId xmlns:a16="http://schemas.microsoft.com/office/drawing/2014/main" id="{64C853DF-D837-77A9-AA54-3EB8390BCADC}"/>
            </a:ext>
          </a:extLst>
        </xdr:cNvPr>
        <xdr:cNvCxnSpPr/>
      </xdr:nvCxnSpPr>
      <xdr:spPr>
        <a:xfrm>
          <a:off x="7021616" y="202029"/>
          <a:ext cx="0" cy="1100437"/>
        </a:xfrm>
        <a:prstGeom prst="line">
          <a:avLst/>
        </a:prstGeom>
        <a:ln>
          <a:solidFill>
            <a:schemeClr val="bg1"/>
          </a:solidFill>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xdr:col>
      <xdr:colOff>1233620</xdr:colOff>
      <xdr:row>0</xdr:row>
      <xdr:rowOff>167897</xdr:rowOff>
    </xdr:from>
    <xdr:to>
      <xdr:col>2</xdr:col>
      <xdr:colOff>1492078</xdr:colOff>
      <xdr:row>0</xdr:row>
      <xdr:rowOff>1336597</xdr:rowOff>
    </xdr:to>
    <xdr:sp macro="" textlink="">
      <xdr:nvSpPr>
        <xdr:cNvPr id="10" name="CuadroTexto 9">
          <a:extLst>
            <a:ext uri="{FF2B5EF4-FFF2-40B4-BE49-F238E27FC236}">
              <a16:creationId xmlns:a16="http://schemas.microsoft.com/office/drawing/2014/main" id="{C778F4DE-0D5A-CFB2-6781-C6F2DC07AF7A}"/>
            </a:ext>
          </a:extLst>
        </xdr:cNvPr>
        <xdr:cNvSpPr txBox="1"/>
      </xdr:nvSpPr>
      <xdr:spPr>
        <a:xfrm>
          <a:off x="5016406" y="167897"/>
          <a:ext cx="1564743" cy="1168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000" b="0" i="0" u="none" strike="noStrike" kern="0" cap="none" spc="0" normalizeH="0" baseline="0" noProof="0">
              <a:ln>
                <a:noFill/>
              </a:ln>
              <a:solidFill>
                <a:prstClr val="white"/>
              </a:solidFill>
              <a:effectLst/>
              <a:uLnTx/>
              <a:uFillTx/>
              <a:latin typeface="Rota" pitchFamily="50" charset="0"/>
              <a:ea typeface="+mn-ea"/>
              <a:cs typeface="+mn-cs"/>
            </a:rPr>
            <a:t>BASE DE DATOS:</a:t>
          </a:r>
        </a:p>
        <a:p>
          <a:pPr marL="0" marR="0" lvl="0" indent="0" defTabSz="914400" eaLnBrk="1" fontAlgn="auto" latinLnBrk="0" hangingPunct="1">
            <a:lnSpc>
              <a:spcPct val="100000"/>
            </a:lnSpc>
            <a:spcBef>
              <a:spcPts val="0"/>
            </a:spcBef>
            <a:spcAft>
              <a:spcPts val="0"/>
            </a:spcAft>
            <a:buClrTx/>
            <a:buSzTx/>
            <a:buFontTx/>
            <a:buNone/>
            <a:tabLst/>
            <a:defRPr/>
          </a:pPr>
          <a:r>
            <a:rPr kumimoji="0" lang="es-CO" sz="2400" b="0" i="0" u="none" strike="noStrike" kern="0" cap="none" spc="0" normalizeH="0" baseline="0" noProof="0">
              <a:ln>
                <a:noFill/>
              </a:ln>
              <a:solidFill>
                <a:prstClr val="white"/>
              </a:solidFill>
              <a:effectLst/>
              <a:uLnTx/>
              <a:uFillTx/>
              <a:latin typeface="Rota" pitchFamily="50" charset="0"/>
              <a:ea typeface="+mn-ea"/>
              <a:cs typeface="+mn-cs"/>
            </a:rPr>
            <a:t>VISUAL</a:t>
          </a:r>
        </a:p>
        <a:p>
          <a:pPr marL="0" marR="0" lvl="0" indent="0" defTabSz="914400" eaLnBrk="1" fontAlgn="auto" latinLnBrk="0" hangingPunct="1">
            <a:lnSpc>
              <a:spcPct val="100000"/>
            </a:lnSpc>
            <a:spcBef>
              <a:spcPts val="0"/>
            </a:spcBef>
            <a:spcAft>
              <a:spcPts val="0"/>
            </a:spcAft>
            <a:buClrTx/>
            <a:buSzTx/>
            <a:buFontTx/>
            <a:buNone/>
            <a:tabLst/>
            <a:defRPr/>
          </a:pPr>
          <a:r>
            <a:rPr kumimoji="0" lang="es-CO" sz="2400" b="0" i="0" u="none" strike="noStrike" kern="0" cap="none" spc="0" normalizeH="0" baseline="0" noProof="0">
              <a:ln>
                <a:noFill/>
              </a:ln>
              <a:solidFill>
                <a:prstClr val="white"/>
              </a:solidFill>
              <a:effectLst/>
              <a:uLnTx/>
              <a:uFillTx/>
              <a:latin typeface="Rota Black" pitchFamily="50" charset="0"/>
              <a:ea typeface="+mn-ea"/>
              <a:cs typeface="+mn-cs"/>
            </a:rPr>
            <a:t>CNTXT</a:t>
          </a:r>
        </a:p>
        <a:p>
          <a:pPr marL="0" marR="0" lvl="0" indent="0" defTabSz="914400" eaLnBrk="1" fontAlgn="auto" latinLnBrk="0" hangingPunct="1">
            <a:lnSpc>
              <a:spcPct val="100000"/>
            </a:lnSpc>
            <a:spcBef>
              <a:spcPts val="0"/>
            </a:spcBef>
            <a:spcAft>
              <a:spcPts val="0"/>
            </a:spcAft>
            <a:buClrTx/>
            <a:buSzTx/>
            <a:buFontTx/>
            <a:buNone/>
            <a:tabLst/>
            <a:defRPr/>
          </a:pPr>
          <a:r>
            <a:rPr kumimoji="0" lang="es-CO" sz="1050" b="0" i="0" u="none" strike="noStrike" kern="0" cap="none" spc="0" normalizeH="0" baseline="0" noProof="0">
              <a:ln>
                <a:noFill/>
              </a:ln>
              <a:solidFill>
                <a:prstClr val="white"/>
              </a:solidFill>
              <a:effectLst/>
              <a:uLnTx/>
              <a:uFillTx/>
              <a:latin typeface="Rota" pitchFamily="50" charset="0"/>
              <a:ea typeface="+mn-ea"/>
              <a:cs typeface="+mn-cs"/>
            </a:rPr>
            <a:t>MEDELLÍN | COLOMBIA</a:t>
          </a:r>
          <a:endParaRPr lang="es-CO" sz="1100">
            <a:solidFill>
              <a:schemeClr val="bg1"/>
            </a:solidFill>
            <a:latin typeface="Rota" pitchFamily="50" charset="0"/>
          </a:endParaRPr>
        </a:p>
      </xdr:txBody>
    </xdr:sp>
    <xdr:clientData/>
  </xdr:twoCellAnchor>
  <xdr:twoCellAnchor>
    <xdr:from>
      <xdr:col>3</xdr:col>
      <xdr:colOff>740154</xdr:colOff>
      <xdr:row>0</xdr:row>
      <xdr:rowOff>234009</xdr:rowOff>
    </xdr:from>
    <xdr:to>
      <xdr:col>4</xdr:col>
      <xdr:colOff>508000</xdr:colOff>
      <xdr:row>0</xdr:row>
      <xdr:rowOff>1476375</xdr:rowOff>
    </xdr:to>
    <xdr:sp macro="" textlink="">
      <xdr:nvSpPr>
        <xdr:cNvPr id="11" name="CuadroTexto 10">
          <a:extLst>
            <a:ext uri="{FF2B5EF4-FFF2-40B4-BE49-F238E27FC236}">
              <a16:creationId xmlns:a16="http://schemas.microsoft.com/office/drawing/2014/main" id="{379C5C66-D467-56E0-D319-D737D1996585}"/>
            </a:ext>
          </a:extLst>
        </xdr:cNvPr>
        <xdr:cNvSpPr txBox="1"/>
      </xdr:nvSpPr>
      <xdr:spPr>
        <a:xfrm>
          <a:off x="7455279" y="234009"/>
          <a:ext cx="1641096" cy="1242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NOMBRE DEL DESARROLLADOR:</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OFICINAS:</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VISUAL MANAGER:</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E-MAIL:</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TELÉFONO:</a:t>
          </a:r>
          <a:r>
            <a:rPr lang="es-CO" sz="1200" kern="2000" spc="0" baseline="0">
              <a:solidFill>
                <a:schemeClr val="bg1"/>
              </a:solidFill>
              <a:latin typeface="Rota Bd" pitchFamily="50" charset="0"/>
            </a:rPr>
            <a:t> </a:t>
          </a:r>
        </a:p>
      </xdr:txBody>
    </xdr:sp>
    <xdr:clientData/>
  </xdr:twoCellAnchor>
  <xdr:twoCellAnchor>
    <xdr:from>
      <xdr:col>4</xdr:col>
      <xdr:colOff>495987</xdr:colOff>
      <xdr:row>0</xdr:row>
      <xdr:rowOff>234009</xdr:rowOff>
    </xdr:from>
    <xdr:to>
      <xdr:col>5</xdr:col>
      <xdr:colOff>1214773</xdr:colOff>
      <xdr:row>0</xdr:row>
      <xdr:rowOff>1427368</xdr:rowOff>
    </xdr:to>
    <xdr:sp macro="" textlink="">
      <xdr:nvSpPr>
        <xdr:cNvPr id="12" name="CuadroTexto 11">
          <a:extLst>
            <a:ext uri="{FF2B5EF4-FFF2-40B4-BE49-F238E27FC236}">
              <a16:creationId xmlns:a16="http://schemas.microsoft.com/office/drawing/2014/main" id="{DCF004F8-12DF-6144-AF78-ABABAD7BA481}"/>
            </a:ext>
          </a:extLst>
        </xdr:cNvPr>
        <xdr:cNvSpPr txBox="1"/>
      </xdr:nvSpPr>
      <xdr:spPr>
        <a:xfrm>
          <a:off x="10320344" y="234009"/>
          <a:ext cx="2310822" cy="1193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Contexto Arquitectura S.A.S.</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Medellín | Antioquia</a:t>
          </a:r>
          <a:r>
            <a:rPr lang="es-CO" sz="1200" kern="1400" baseline="0"/>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Arq. Juan Esteban Cruz</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juanes.vm@cntxt.com.co</a:t>
          </a:r>
          <a:r>
            <a:rPr lang="es-CO" sz="1200" kern="1400" baseline="0"/>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ea typeface="+mn-ea"/>
              <a:cs typeface="+mn-cs"/>
            </a:rPr>
            <a:t>+57 304 6759661</a:t>
          </a:r>
        </a:p>
      </xdr:txBody>
    </xdr:sp>
    <xdr:clientData/>
  </xdr:twoCellAnchor>
  <xdr:twoCellAnchor editAs="absolute">
    <xdr:from>
      <xdr:col>0</xdr:col>
      <xdr:colOff>151383</xdr:colOff>
      <xdr:row>2</xdr:row>
      <xdr:rowOff>254425</xdr:rowOff>
    </xdr:from>
    <xdr:to>
      <xdr:col>0</xdr:col>
      <xdr:colOff>3358046</xdr:colOff>
      <xdr:row>380</xdr:row>
      <xdr:rowOff>141605</xdr:rowOff>
    </xdr:to>
    <mc:AlternateContent xmlns:mc="http://schemas.openxmlformats.org/markup-compatibility/2006" xmlns:sle15="http://schemas.microsoft.com/office/drawing/2012/slicer">
      <mc:Choice Requires="sle15">
        <xdr:graphicFrame macro="">
          <xdr:nvGraphicFramePr>
            <xdr:cNvPr id="13" name="CÓDIGO">
              <a:extLst>
                <a:ext uri="{FF2B5EF4-FFF2-40B4-BE49-F238E27FC236}">
                  <a16:creationId xmlns:a16="http://schemas.microsoft.com/office/drawing/2014/main" id="{BB4E2CEE-14F1-356F-60E9-257E5236E7CC}"/>
                </a:ext>
                <a:ext uri="{147F2762-F138-4A5C-976F-8EAC2B608ADB}">
                  <a16:predDERef xmlns:a16="http://schemas.microsoft.com/office/drawing/2014/main" pred="{DCF004F8-12DF-6144-AF78-ABABAD7BA481}"/>
                </a:ext>
              </a:extLst>
            </xdr:cNvPr>
            <xdr:cNvGraphicFramePr/>
          </xdr:nvGraphicFramePr>
          <xdr:xfrm>
            <a:off x="0" y="0"/>
            <a:ext cx="0" cy="0"/>
          </xdr:xfrm>
          <a:graphic>
            <a:graphicData uri="http://schemas.microsoft.com/office/drawing/2010/slicer">
              <sle:slicer xmlns:sle="http://schemas.microsoft.com/office/drawing/2010/slicer" name="CÓDIGO"/>
            </a:graphicData>
          </a:graphic>
        </xdr:graphicFrame>
      </mc:Choice>
      <mc:Fallback xmlns="">
        <xdr:sp macro="" textlink="">
          <xdr:nvSpPr>
            <xdr:cNvPr id="0" name=""/>
            <xdr:cNvSpPr>
              <a:spLocks noTextEdit="1"/>
            </xdr:cNvSpPr>
          </xdr:nvSpPr>
          <xdr:spPr>
            <a:xfrm>
              <a:off x="151383" y="2930315"/>
              <a:ext cx="3282863" cy="84547285"/>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0</xdr:col>
      <xdr:colOff>152018</xdr:colOff>
      <xdr:row>380</xdr:row>
      <xdr:rowOff>215425</xdr:rowOff>
    </xdr:from>
    <xdr:to>
      <xdr:col>0</xdr:col>
      <xdr:colOff>3361221</xdr:colOff>
      <xdr:row>387</xdr:row>
      <xdr:rowOff>217086</xdr:rowOff>
    </xdr:to>
    <mc:AlternateContent xmlns:mc="http://schemas.openxmlformats.org/markup-compatibility/2006" xmlns:sle15="http://schemas.microsoft.com/office/drawing/2012/slicer">
      <mc:Choice Requires="sle15">
        <xdr:graphicFrame macro="">
          <xdr:nvGraphicFramePr>
            <xdr:cNvPr id="16" name="RESPONSABLE">
              <a:extLst>
                <a:ext uri="{FF2B5EF4-FFF2-40B4-BE49-F238E27FC236}">
                  <a16:creationId xmlns:a16="http://schemas.microsoft.com/office/drawing/2014/main" id="{29DDE2AF-4F65-8CF8-1417-D5019010A748}"/>
                </a:ext>
                <a:ext uri="{147F2762-F138-4A5C-976F-8EAC2B608ADB}">
                  <a16:predDERef xmlns:a16="http://schemas.microsoft.com/office/drawing/2014/main" pred="{BB4E2CEE-14F1-356F-60E9-257E5236E7CC}"/>
                </a:ext>
              </a:extLst>
            </xdr:cNvPr>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52018" y="90420350"/>
              <a:ext cx="3209203" cy="2484511"/>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xdr:from>
      <xdr:col>0</xdr:col>
      <xdr:colOff>72571</xdr:colOff>
      <xdr:row>1</xdr:row>
      <xdr:rowOff>78740</xdr:rowOff>
    </xdr:from>
    <xdr:to>
      <xdr:col>0</xdr:col>
      <xdr:colOff>3395211</xdr:colOff>
      <xdr:row>1</xdr:row>
      <xdr:rowOff>1074037</xdr:rowOff>
    </xdr:to>
    <xdr:sp macro="" textlink="">
      <xdr:nvSpPr>
        <xdr:cNvPr id="3" name="Rectángulo: esquinas diagonales redondeadas 2">
          <a:extLst>
            <a:ext uri="{FF2B5EF4-FFF2-40B4-BE49-F238E27FC236}">
              <a16:creationId xmlns:a16="http://schemas.microsoft.com/office/drawing/2014/main" id="{31B703A7-4794-4C9C-9CB6-5DF5B04427CD}"/>
            </a:ext>
          </a:extLst>
        </xdr:cNvPr>
        <xdr:cNvSpPr/>
      </xdr:nvSpPr>
      <xdr:spPr>
        <a:xfrm>
          <a:off x="72571" y="1602740"/>
          <a:ext cx="3322640" cy="995297"/>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2400">
              <a:solidFill>
                <a:sysClr val="windowText" lastClr="000000"/>
              </a:solidFill>
              <a:latin typeface="Rota Bd" pitchFamily="50" charset="0"/>
            </a:rPr>
            <a:t>Celdas</a:t>
          </a:r>
          <a:r>
            <a:rPr lang="es-CO" sz="2400" baseline="0">
              <a:solidFill>
                <a:sysClr val="windowText" lastClr="000000"/>
              </a:solidFill>
              <a:latin typeface="Rota Bd" pitchFamily="50" charset="0"/>
            </a:rPr>
            <a:t> de edición </a:t>
          </a:r>
        </a:p>
        <a:p>
          <a:pPr algn="ctr"/>
          <a:r>
            <a:rPr lang="es-CO" sz="2400" baseline="0">
              <a:solidFill>
                <a:sysClr val="windowText" lastClr="000000"/>
              </a:solidFill>
            </a:rPr>
            <a:t>de Datos</a:t>
          </a:r>
          <a:endParaRPr lang="es-CO" sz="2400">
            <a:solidFill>
              <a:sysClr val="windowText" lastClr="000000"/>
            </a:solidFill>
          </a:endParaRPr>
        </a:p>
      </xdr:txBody>
    </xdr:sp>
    <xdr:clientData/>
  </xdr:twoCellAnchor>
  <xdr:twoCellAnchor editAs="absolute">
    <xdr:from>
      <xdr:col>0</xdr:col>
      <xdr:colOff>3362324</xdr:colOff>
      <xdr:row>1</xdr:row>
      <xdr:rowOff>78740</xdr:rowOff>
    </xdr:from>
    <xdr:to>
      <xdr:col>6</xdr:col>
      <xdr:colOff>1911726</xdr:colOff>
      <xdr:row>2</xdr:row>
      <xdr:rowOff>3040</xdr:rowOff>
    </xdr:to>
    <mc:AlternateContent xmlns:mc="http://schemas.openxmlformats.org/markup-compatibility/2006" xmlns:sle15="http://schemas.microsoft.com/office/drawing/2012/slicer">
      <mc:Choice Requires="sle15">
        <xdr:graphicFrame macro="">
          <xdr:nvGraphicFramePr>
            <xdr:cNvPr id="4" name="TIPO DE SERVICIO">
              <a:extLst>
                <a:ext uri="{FF2B5EF4-FFF2-40B4-BE49-F238E27FC236}">
                  <a16:creationId xmlns:a16="http://schemas.microsoft.com/office/drawing/2014/main" id="{15A81E1C-F1B5-2F38-1261-75168269860F}"/>
                </a:ext>
              </a:extLst>
            </xdr:cNvPr>
            <xdr:cNvGraphicFramePr/>
          </xdr:nvGraphicFramePr>
          <xdr:xfrm>
            <a:off x="0" y="0"/>
            <a:ext cx="0" cy="0"/>
          </xdr:xfrm>
          <a:graphic>
            <a:graphicData uri="http://schemas.microsoft.com/office/drawing/2010/slicer">
              <sle:slicer xmlns:sle="http://schemas.microsoft.com/office/drawing/2010/slicer" name="TIPO DE SERVICIO"/>
            </a:graphicData>
          </a:graphic>
        </xdr:graphicFrame>
      </mc:Choice>
      <mc:Fallback xmlns="">
        <xdr:sp macro="" textlink="">
          <xdr:nvSpPr>
            <xdr:cNvPr id="0" name=""/>
            <xdr:cNvSpPr>
              <a:spLocks noTextEdit="1"/>
            </xdr:cNvSpPr>
          </xdr:nvSpPr>
          <xdr:spPr>
            <a:xfrm>
              <a:off x="3495674" y="1602740"/>
              <a:ext cx="11538327" cy="10800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7</xdr:col>
      <xdr:colOff>22407</xdr:colOff>
      <xdr:row>1</xdr:row>
      <xdr:rowOff>78740</xdr:rowOff>
    </xdr:from>
    <xdr:to>
      <xdr:col>10</xdr:col>
      <xdr:colOff>1083407</xdr:colOff>
      <xdr:row>2</xdr:row>
      <xdr:rowOff>3040</xdr:rowOff>
    </xdr:to>
    <mc:AlternateContent xmlns:mc="http://schemas.openxmlformats.org/markup-compatibility/2006" xmlns:sle15="http://schemas.microsoft.com/office/drawing/2012/slicer">
      <mc:Choice Requires="sle15">
        <xdr:graphicFrame macro="">
          <xdr:nvGraphicFramePr>
            <xdr:cNvPr id="7" name="SUB CATEGORÍA 1">
              <a:extLst>
                <a:ext uri="{FF2B5EF4-FFF2-40B4-BE49-F238E27FC236}">
                  <a16:creationId xmlns:a16="http://schemas.microsoft.com/office/drawing/2014/main" id="{07AF7FAD-DCB6-BAFB-DC31-E225416C2727}"/>
                </a:ext>
              </a:extLst>
            </xdr:cNvPr>
            <xdr:cNvGraphicFramePr/>
          </xdr:nvGraphicFramePr>
          <xdr:xfrm>
            <a:off x="0" y="0"/>
            <a:ext cx="0" cy="0"/>
          </xdr:xfrm>
          <a:graphic>
            <a:graphicData uri="http://schemas.microsoft.com/office/drawing/2010/slicer">
              <sle:slicer xmlns:sle="http://schemas.microsoft.com/office/drawing/2010/slicer" name="SUB CATEGORÍA 1"/>
            </a:graphicData>
          </a:graphic>
        </xdr:graphicFrame>
      </mc:Choice>
      <mc:Fallback xmlns="">
        <xdr:sp macro="" textlink="">
          <xdr:nvSpPr>
            <xdr:cNvPr id="0" name=""/>
            <xdr:cNvSpPr>
              <a:spLocks noTextEdit="1"/>
            </xdr:cNvSpPr>
          </xdr:nvSpPr>
          <xdr:spPr>
            <a:xfrm>
              <a:off x="15103657" y="1602740"/>
              <a:ext cx="5760000" cy="10800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0</xdr:col>
      <xdr:colOff>92075</xdr:colOff>
      <xdr:row>947</xdr:row>
      <xdr:rowOff>716643</xdr:rowOff>
    </xdr:from>
    <xdr:ext cx="1695450" cy="647700"/>
    <xdr:sp macro="" textlink="">
      <xdr:nvSpPr>
        <xdr:cNvPr id="2" name="Shape 3">
          <a:extLst>
            <a:ext uri="{FF2B5EF4-FFF2-40B4-BE49-F238E27FC236}">
              <a16:creationId xmlns:a16="http://schemas.microsoft.com/office/drawing/2014/main" id="{0DF1BEA1-7EC4-461B-9DE3-D5E7BFC1D9B9}"/>
            </a:ext>
          </a:extLst>
        </xdr:cNvPr>
        <xdr:cNvSpPr/>
      </xdr:nvSpPr>
      <xdr:spPr>
        <a:xfrm>
          <a:off x="92075" y="367284000"/>
          <a:ext cx="1695450" cy="647700"/>
        </a:xfrm>
        <a:prstGeom prst="homePlate">
          <a:avLst>
            <a:gd name="adj" fmla="val 50000"/>
          </a:avLst>
        </a:prstGeom>
        <a:gradFill>
          <a:gsLst>
            <a:gs pos="0">
              <a:srgbClr val="474747"/>
            </a:gs>
            <a:gs pos="50000">
              <a:schemeClr val="dk1"/>
            </a:gs>
            <a:gs pos="100000">
              <a:schemeClr val="dk1"/>
            </a:gs>
          </a:gsLst>
          <a:lin ang="5400000" scaled="0"/>
        </a:gradFill>
        <a:ln>
          <a:noFill/>
        </a:ln>
        <a:effectLst>
          <a:outerShdw blurRad="44450" dist="27940" dir="5400000" algn="ctr">
            <a:srgbClr val="000000">
              <a:alpha val="30980"/>
            </a:srgbClr>
          </a:outerShdw>
        </a:effectLst>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400"/>
            <a:buFont typeface="Arial"/>
            <a:buNone/>
          </a:pPr>
          <a:r>
            <a:rPr lang="en-US" sz="1400">
              <a:solidFill>
                <a:schemeClr val="lt1"/>
              </a:solidFill>
              <a:latin typeface="Arial"/>
              <a:ea typeface="Arial"/>
              <a:cs typeface="Arial"/>
              <a:sym typeface="Arial"/>
            </a:rPr>
            <a:t>FORMULARIO</a:t>
          </a:r>
          <a:endParaRPr sz="1100">
            <a:latin typeface="Arial"/>
            <a:ea typeface="Arial"/>
            <a:cs typeface="Arial"/>
            <a:sym typeface="Arial"/>
          </a:endParaRPr>
        </a:p>
      </xdr:txBody>
    </xdr:sp>
    <xdr:clientData fLocksWithSheet="0"/>
  </xdr:oneCellAnchor>
  <xdr:oneCellAnchor>
    <xdr:from>
      <xdr:col>0</xdr:col>
      <xdr:colOff>0</xdr:colOff>
      <xdr:row>965</xdr:row>
      <xdr:rowOff>0</xdr:rowOff>
    </xdr:from>
    <xdr:ext cx="1152525" cy="1476375"/>
    <xdr:sp macro="" textlink="">
      <xdr:nvSpPr>
        <xdr:cNvPr id="3" name="Shape 4">
          <a:extLst>
            <a:ext uri="{FF2B5EF4-FFF2-40B4-BE49-F238E27FC236}">
              <a16:creationId xmlns:a16="http://schemas.microsoft.com/office/drawing/2014/main" id="{1527C690-E26E-47B6-8933-45AB6E7B6112}"/>
            </a:ext>
            <a:ext uri="{147F2762-F138-4A5C-976F-8EAC2B608ADB}">
              <a16:predDERef xmlns:a16="http://schemas.microsoft.com/office/drawing/2014/main" pred="{0DF1BEA1-7EC4-461B-9DE3-D5E7BFC1D9B9}"/>
            </a:ext>
          </a:extLst>
        </xdr:cNvPr>
        <xdr:cNvSpPr/>
      </xdr:nvSpPr>
      <xdr:spPr>
        <a:xfrm>
          <a:off x="0" y="11182350"/>
          <a:ext cx="1152525" cy="1476375"/>
        </a:xfrm>
        <a:prstGeom prst="flowChartDelay">
          <a:avLst/>
        </a:prstGeom>
        <a:solidFill>
          <a:srgbClr val="C00000"/>
        </a:solidFill>
        <a:ln>
          <a:noFill/>
        </a:ln>
        <a:effectLst>
          <a:outerShdw blurRad="44450" dist="27940" dir="5400000" algn="ctr">
            <a:srgbClr val="000000">
              <a:alpha val="30980"/>
            </a:srgbClr>
          </a:outerShdw>
        </a:effectLst>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Arial"/>
            <a:buNone/>
          </a:pPr>
          <a:r>
            <a:rPr lang="en-US" sz="1100">
              <a:solidFill>
                <a:schemeClr val="lt1"/>
              </a:solidFill>
              <a:latin typeface="Arial"/>
              <a:ea typeface="Arial"/>
              <a:cs typeface="Arial"/>
              <a:sym typeface="Arial"/>
            </a:rPr>
            <a:t>Ocultar</a:t>
          </a:r>
          <a:endParaRPr sz="1000">
            <a:latin typeface="Arial"/>
            <a:ea typeface="Arial"/>
            <a:cs typeface="Arial"/>
            <a:sym typeface="Arial"/>
          </a:endParaRPr>
        </a:p>
      </xdr:txBody>
    </xdr:sp>
    <xdr:clientData fLocksWithSheet="0"/>
  </xdr:oneCellAnchor>
  <xdr:twoCellAnchor>
    <xdr:from>
      <xdr:col>0</xdr:col>
      <xdr:colOff>0</xdr:colOff>
      <xdr:row>0</xdr:row>
      <xdr:rowOff>0</xdr:rowOff>
    </xdr:from>
    <xdr:to>
      <xdr:col>33</xdr:col>
      <xdr:colOff>0</xdr:colOff>
      <xdr:row>1</xdr:row>
      <xdr:rowOff>0</xdr:rowOff>
    </xdr:to>
    <xdr:sp macro="" textlink="">
      <xdr:nvSpPr>
        <xdr:cNvPr id="4" name="Rectángulo 3">
          <a:extLst>
            <a:ext uri="{FF2B5EF4-FFF2-40B4-BE49-F238E27FC236}">
              <a16:creationId xmlns:a16="http://schemas.microsoft.com/office/drawing/2014/main" id="{AF2503CE-4DF5-4B0F-AD9A-3B3D7E75EE30}"/>
            </a:ext>
          </a:extLst>
        </xdr:cNvPr>
        <xdr:cNvSpPr/>
      </xdr:nvSpPr>
      <xdr:spPr>
        <a:xfrm>
          <a:off x="0" y="0"/>
          <a:ext cx="63699571" cy="15240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lientData/>
  </xdr:twoCellAnchor>
  <xdr:twoCellAnchor>
    <xdr:from>
      <xdr:col>1</xdr:col>
      <xdr:colOff>1035158</xdr:colOff>
      <xdr:row>0</xdr:row>
      <xdr:rowOff>207881</xdr:rowOff>
    </xdr:from>
    <xdr:to>
      <xdr:col>1</xdr:col>
      <xdr:colOff>1035158</xdr:colOff>
      <xdr:row>0</xdr:row>
      <xdr:rowOff>1308318</xdr:rowOff>
    </xdr:to>
    <xdr:cxnSp macro="">
      <xdr:nvCxnSpPr>
        <xdr:cNvPr id="8" name="Conector recto 7">
          <a:extLst>
            <a:ext uri="{FF2B5EF4-FFF2-40B4-BE49-F238E27FC236}">
              <a16:creationId xmlns:a16="http://schemas.microsoft.com/office/drawing/2014/main" id="{478F07BF-7992-4E0C-CA6D-FA7E669EF77D}"/>
            </a:ext>
          </a:extLst>
        </xdr:cNvPr>
        <xdr:cNvCxnSpPr/>
      </xdr:nvCxnSpPr>
      <xdr:spPr>
        <a:xfrm>
          <a:off x="4813408" y="207881"/>
          <a:ext cx="0" cy="1100437"/>
        </a:xfrm>
        <a:prstGeom prst="line">
          <a:avLst/>
        </a:prstGeom>
        <a:ln>
          <a:solidFill>
            <a:schemeClr val="bg1"/>
          </a:solidFill>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3</xdr:col>
      <xdr:colOff>598969</xdr:colOff>
      <xdr:row>0</xdr:row>
      <xdr:rowOff>207881</xdr:rowOff>
    </xdr:from>
    <xdr:to>
      <xdr:col>3</xdr:col>
      <xdr:colOff>598969</xdr:colOff>
      <xdr:row>0</xdr:row>
      <xdr:rowOff>1308318</xdr:rowOff>
    </xdr:to>
    <xdr:cxnSp macro="">
      <xdr:nvCxnSpPr>
        <xdr:cNvPr id="9" name="Conector recto 8">
          <a:extLst>
            <a:ext uri="{FF2B5EF4-FFF2-40B4-BE49-F238E27FC236}">
              <a16:creationId xmlns:a16="http://schemas.microsoft.com/office/drawing/2014/main" id="{98151EE0-193F-DF03-F4F8-917410247402}"/>
            </a:ext>
          </a:extLst>
        </xdr:cNvPr>
        <xdr:cNvCxnSpPr/>
      </xdr:nvCxnSpPr>
      <xdr:spPr>
        <a:xfrm>
          <a:off x="7234719" y="207881"/>
          <a:ext cx="0" cy="1100437"/>
        </a:xfrm>
        <a:prstGeom prst="line">
          <a:avLst/>
        </a:prstGeom>
        <a:ln>
          <a:solidFill>
            <a:schemeClr val="bg1"/>
          </a:solidFill>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2</xdr:col>
      <xdr:colOff>340935</xdr:colOff>
      <xdr:row>0</xdr:row>
      <xdr:rowOff>168068</xdr:rowOff>
    </xdr:from>
    <xdr:to>
      <xdr:col>3</xdr:col>
      <xdr:colOff>213692</xdr:colOff>
      <xdr:row>0</xdr:row>
      <xdr:rowOff>1348130</xdr:rowOff>
    </xdr:to>
    <xdr:sp macro="" textlink="">
      <xdr:nvSpPr>
        <xdr:cNvPr id="10" name="CuadroTexto 9">
          <a:extLst>
            <a:ext uri="{FF2B5EF4-FFF2-40B4-BE49-F238E27FC236}">
              <a16:creationId xmlns:a16="http://schemas.microsoft.com/office/drawing/2014/main" id="{C2F97C3D-4E61-D7E5-9EFF-2B8FDBE61D34}"/>
            </a:ext>
          </a:extLst>
        </xdr:cNvPr>
        <xdr:cNvSpPr txBox="1"/>
      </xdr:nvSpPr>
      <xdr:spPr>
        <a:xfrm>
          <a:off x="5198685" y="168068"/>
          <a:ext cx="1650757" cy="1180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000" b="0" i="0" u="none" strike="noStrike" kern="0" cap="none" spc="0" normalizeH="0" baseline="0" noProof="0">
              <a:ln>
                <a:noFill/>
              </a:ln>
              <a:solidFill>
                <a:prstClr val="white"/>
              </a:solidFill>
              <a:effectLst/>
              <a:uLnTx/>
              <a:uFillTx/>
              <a:latin typeface="Rota" pitchFamily="50" charset="0"/>
              <a:ea typeface="+mn-ea"/>
              <a:cs typeface="+mn-cs"/>
            </a:rPr>
            <a:t>BASE DE DATOS:</a:t>
          </a:r>
        </a:p>
        <a:p>
          <a:pPr marL="0" marR="0" lvl="0" indent="0" defTabSz="914400" eaLnBrk="1" fontAlgn="auto" latinLnBrk="0" hangingPunct="1">
            <a:lnSpc>
              <a:spcPct val="100000"/>
            </a:lnSpc>
            <a:spcBef>
              <a:spcPts val="0"/>
            </a:spcBef>
            <a:spcAft>
              <a:spcPts val="0"/>
            </a:spcAft>
            <a:buClrTx/>
            <a:buSzTx/>
            <a:buFontTx/>
            <a:buNone/>
            <a:tabLst/>
            <a:defRPr/>
          </a:pPr>
          <a:r>
            <a:rPr kumimoji="0" lang="es-CO" sz="2400" b="0" i="0" u="none" strike="noStrike" kern="0" cap="none" spc="0" normalizeH="0" baseline="0" noProof="0">
              <a:ln>
                <a:noFill/>
              </a:ln>
              <a:solidFill>
                <a:prstClr val="white"/>
              </a:solidFill>
              <a:effectLst/>
              <a:uLnTx/>
              <a:uFillTx/>
              <a:latin typeface="Rota" pitchFamily="50" charset="0"/>
              <a:ea typeface="+mn-ea"/>
              <a:cs typeface="+mn-cs"/>
            </a:rPr>
            <a:t>DESIGN</a:t>
          </a:r>
        </a:p>
        <a:p>
          <a:pPr marL="0" marR="0" lvl="0" indent="0" defTabSz="914400" eaLnBrk="1" fontAlgn="auto" latinLnBrk="0" hangingPunct="1">
            <a:lnSpc>
              <a:spcPct val="100000"/>
            </a:lnSpc>
            <a:spcBef>
              <a:spcPts val="0"/>
            </a:spcBef>
            <a:spcAft>
              <a:spcPts val="0"/>
            </a:spcAft>
            <a:buClrTx/>
            <a:buSzTx/>
            <a:buFontTx/>
            <a:buNone/>
            <a:tabLst/>
            <a:defRPr/>
          </a:pPr>
          <a:r>
            <a:rPr kumimoji="0" lang="es-CO" sz="2400" b="0" i="0" u="none" strike="noStrike" kern="0" cap="none" spc="0" normalizeH="0" baseline="0" noProof="0">
              <a:ln>
                <a:noFill/>
              </a:ln>
              <a:solidFill>
                <a:prstClr val="white"/>
              </a:solidFill>
              <a:effectLst/>
              <a:uLnTx/>
              <a:uFillTx/>
              <a:latin typeface="Rota Black" pitchFamily="50" charset="0"/>
              <a:ea typeface="+mn-ea"/>
              <a:cs typeface="+mn-cs"/>
            </a:rPr>
            <a:t>CNTXT</a:t>
          </a:r>
        </a:p>
        <a:p>
          <a:pPr marL="0" marR="0" lvl="0" indent="0" defTabSz="914400" eaLnBrk="1" fontAlgn="auto" latinLnBrk="0" hangingPunct="1">
            <a:lnSpc>
              <a:spcPct val="100000"/>
            </a:lnSpc>
            <a:spcBef>
              <a:spcPts val="0"/>
            </a:spcBef>
            <a:spcAft>
              <a:spcPts val="0"/>
            </a:spcAft>
            <a:buClrTx/>
            <a:buSzTx/>
            <a:buFontTx/>
            <a:buNone/>
            <a:tabLst/>
            <a:defRPr/>
          </a:pPr>
          <a:r>
            <a:rPr kumimoji="0" lang="es-CO" sz="1050" b="0" i="0" u="none" strike="noStrike" kern="0" cap="none" spc="0" normalizeH="0" baseline="0" noProof="0">
              <a:ln>
                <a:noFill/>
              </a:ln>
              <a:solidFill>
                <a:prstClr val="white"/>
              </a:solidFill>
              <a:effectLst/>
              <a:uLnTx/>
              <a:uFillTx/>
              <a:latin typeface="Rota" pitchFamily="50" charset="0"/>
              <a:ea typeface="+mn-ea"/>
              <a:cs typeface="+mn-cs"/>
            </a:rPr>
            <a:t>MEDELLÍN | COLOMBIA</a:t>
          </a:r>
          <a:endParaRPr lang="es-CO" sz="1100">
            <a:solidFill>
              <a:schemeClr val="bg1"/>
            </a:solidFill>
            <a:latin typeface="Rota" pitchFamily="50" charset="0"/>
          </a:endParaRPr>
        </a:p>
      </xdr:txBody>
    </xdr:sp>
    <xdr:clientData/>
  </xdr:twoCellAnchor>
  <xdr:twoCellAnchor editAs="absolute">
    <xdr:from>
      <xdr:col>0</xdr:col>
      <xdr:colOff>170815</xdr:colOff>
      <xdr:row>3</xdr:row>
      <xdr:rowOff>206881</xdr:rowOff>
    </xdr:from>
    <xdr:to>
      <xdr:col>1</xdr:col>
      <xdr:colOff>3663</xdr:colOff>
      <xdr:row>1253</xdr:row>
      <xdr:rowOff>269875</xdr:rowOff>
    </xdr:to>
    <mc:AlternateContent xmlns:mc="http://schemas.openxmlformats.org/markup-compatibility/2006" xmlns:sle15="http://schemas.microsoft.com/office/drawing/2012/slicer">
      <mc:Choice Requires="sle15">
        <xdr:graphicFrame macro="">
          <xdr:nvGraphicFramePr>
            <xdr:cNvPr id="14" name="CÓDIGO 1">
              <a:extLst>
                <a:ext uri="{FF2B5EF4-FFF2-40B4-BE49-F238E27FC236}">
                  <a16:creationId xmlns:a16="http://schemas.microsoft.com/office/drawing/2014/main" id="{BB1C36EE-9FF2-48BB-9B5F-6F27E9BD5719}"/>
                </a:ext>
              </a:extLst>
            </xdr:cNvPr>
            <xdr:cNvGraphicFramePr/>
          </xdr:nvGraphicFramePr>
          <xdr:xfrm>
            <a:off x="0" y="0"/>
            <a:ext cx="0" cy="0"/>
          </xdr:xfrm>
          <a:graphic>
            <a:graphicData uri="http://schemas.microsoft.com/office/drawing/2010/slicer">
              <sle:slicer xmlns:sle="http://schemas.microsoft.com/office/drawing/2010/slicer" name="CÓDIGO 1"/>
            </a:graphicData>
          </a:graphic>
        </xdr:graphicFrame>
      </mc:Choice>
      <mc:Fallback xmlns="">
        <xdr:sp macro="" textlink="">
          <xdr:nvSpPr>
            <xdr:cNvPr id="0" name=""/>
            <xdr:cNvSpPr>
              <a:spLocks noTextEdit="1"/>
            </xdr:cNvSpPr>
          </xdr:nvSpPr>
          <xdr:spPr>
            <a:xfrm>
              <a:off x="174625" y="3258691"/>
              <a:ext cx="3372338" cy="8441184"/>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xdr:from>
      <xdr:col>3</xdr:col>
      <xdr:colOff>1873428</xdr:colOff>
      <xdr:row>1</xdr:row>
      <xdr:rowOff>155726</xdr:rowOff>
    </xdr:from>
    <xdr:to>
      <xdr:col>10</xdr:col>
      <xdr:colOff>1892300</xdr:colOff>
      <xdr:row>1</xdr:row>
      <xdr:rowOff>1235726</xdr:rowOff>
    </xdr:to>
    <mc:AlternateContent xmlns:mc="http://schemas.openxmlformats.org/markup-compatibility/2006" xmlns:sle15="http://schemas.microsoft.com/office/drawing/2012/slicer">
      <mc:Choice Requires="sle15">
        <xdr:graphicFrame macro="">
          <xdr:nvGraphicFramePr>
            <xdr:cNvPr id="13" name="MOTOR 1">
              <a:extLst>
                <a:ext uri="{FF2B5EF4-FFF2-40B4-BE49-F238E27FC236}">
                  <a16:creationId xmlns:a16="http://schemas.microsoft.com/office/drawing/2014/main" id="{0107C681-FF5E-4704-B8E9-F8614157E8FC}"/>
                </a:ext>
              </a:extLst>
            </xdr:cNvPr>
            <xdr:cNvGraphicFramePr/>
          </xdr:nvGraphicFramePr>
          <xdr:xfrm>
            <a:off x="0" y="0"/>
            <a:ext cx="0" cy="0"/>
          </xdr:xfrm>
          <a:graphic>
            <a:graphicData uri="http://schemas.microsoft.com/office/drawing/2010/slicer">
              <sle:slicer xmlns:sle="http://schemas.microsoft.com/office/drawing/2010/slicer" name="MOTOR 1"/>
            </a:graphicData>
          </a:graphic>
        </xdr:graphicFrame>
      </mc:Choice>
      <mc:Fallback xmlns="">
        <xdr:sp macro="" textlink="">
          <xdr:nvSpPr>
            <xdr:cNvPr id="0" name=""/>
            <xdr:cNvSpPr>
              <a:spLocks noTextEdit="1"/>
            </xdr:cNvSpPr>
          </xdr:nvSpPr>
          <xdr:spPr>
            <a:xfrm>
              <a:off x="8826678" y="1679726"/>
              <a:ext cx="16211372" cy="10800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xdr:from>
      <xdr:col>0</xdr:col>
      <xdr:colOff>136071</xdr:colOff>
      <xdr:row>1</xdr:row>
      <xdr:rowOff>66826</xdr:rowOff>
    </xdr:from>
    <xdr:to>
      <xdr:col>0</xdr:col>
      <xdr:colOff>3455913</xdr:colOff>
      <xdr:row>1</xdr:row>
      <xdr:rowOff>1028095</xdr:rowOff>
    </xdr:to>
    <xdr:sp macro="" textlink="">
      <xdr:nvSpPr>
        <xdr:cNvPr id="18" name="Rectángulo: esquinas diagonales redondeadas 17">
          <a:extLst>
            <a:ext uri="{FF2B5EF4-FFF2-40B4-BE49-F238E27FC236}">
              <a16:creationId xmlns:a16="http://schemas.microsoft.com/office/drawing/2014/main" id="{799E82B3-487D-6487-6E5F-6AFF79B4DFDE}"/>
            </a:ext>
          </a:extLst>
        </xdr:cNvPr>
        <xdr:cNvSpPr/>
      </xdr:nvSpPr>
      <xdr:spPr>
        <a:xfrm>
          <a:off x="136071" y="1590826"/>
          <a:ext cx="3319842" cy="961269"/>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2400">
              <a:solidFill>
                <a:sysClr val="windowText" lastClr="000000"/>
              </a:solidFill>
              <a:latin typeface="Rota Bd" pitchFamily="50" charset="0"/>
            </a:rPr>
            <a:t>Celdas</a:t>
          </a:r>
          <a:r>
            <a:rPr lang="es-CO" sz="2400" baseline="0">
              <a:solidFill>
                <a:sysClr val="windowText" lastClr="000000"/>
              </a:solidFill>
              <a:latin typeface="Rota Bd" pitchFamily="50" charset="0"/>
            </a:rPr>
            <a:t> de edición </a:t>
          </a:r>
        </a:p>
        <a:p>
          <a:pPr algn="ctr"/>
          <a:r>
            <a:rPr lang="es-CO" sz="2400" baseline="0">
              <a:solidFill>
                <a:sysClr val="windowText" lastClr="000000"/>
              </a:solidFill>
            </a:rPr>
            <a:t>de Datos</a:t>
          </a:r>
          <a:endParaRPr lang="es-CO" sz="2400">
            <a:solidFill>
              <a:sysClr val="windowText" lastClr="000000"/>
            </a:solidFill>
          </a:endParaRPr>
        </a:p>
      </xdr:txBody>
    </xdr:sp>
    <xdr:clientData/>
  </xdr:twoCellAnchor>
  <xdr:twoCellAnchor>
    <xdr:from>
      <xdr:col>0</xdr:col>
      <xdr:colOff>3599107</xdr:colOff>
      <xdr:row>1</xdr:row>
      <xdr:rowOff>155726</xdr:rowOff>
    </xdr:from>
    <xdr:to>
      <xdr:col>3</xdr:col>
      <xdr:colOff>1823107</xdr:colOff>
      <xdr:row>1</xdr:row>
      <xdr:rowOff>1235726</xdr:rowOff>
    </xdr:to>
    <mc:AlternateContent xmlns:mc="http://schemas.openxmlformats.org/markup-compatibility/2006" xmlns:sle15="http://schemas.microsoft.com/office/drawing/2012/slicer">
      <mc:Choice Requires="sle15">
        <xdr:graphicFrame macro="">
          <xdr:nvGraphicFramePr>
            <xdr:cNvPr id="19" name="FASES">
              <a:extLst>
                <a:ext uri="{FF2B5EF4-FFF2-40B4-BE49-F238E27FC236}">
                  <a16:creationId xmlns:a16="http://schemas.microsoft.com/office/drawing/2014/main" id="{40398F25-B2AC-21A4-1BB9-97A6647FC319}"/>
                </a:ext>
              </a:extLst>
            </xdr:cNvPr>
            <xdr:cNvGraphicFramePr/>
          </xdr:nvGraphicFramePr>
          <xdr:xfrm>
            <a:off x="0" y="0"/>
            <a:ext cx="0" cy="0"/>
          </xdr:xfrm>
          <a:graphic>
            <a:graphicData uri="http://schemas.microsoft.com/office/drawing/2010/slicer">
              <sle:slicer xmlns:sle="http://schemas.microsoft.com/office/drawing/2010/slicer" name="FASES"/>
            </a:graphicData>
          </a:graphic>
        </xdr:graphicFrame>
      </mc:Choice>
      <mc:Fallback xmlns="">
        <xdr:sp macro="" textlink="">
          <xdr:nvSpPr>
            <xdr:cNvPr id="0" name=""/>
            <xdr:cNvSpPr>
              <a:spLocks noTextEdit="1"/>
            </xdr:cNvSpPr>
          </xdr:nvSpPr>
          <xdr:spPr>
            <a:xfrm>
              <a:off x="3599107" y="1679726"/>
              <a:ext cx="5177250" cy="10800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xdr:from>
      <xdr:col>0</xdr:col>
      <xdr:colOff>771071</xdr:colOff>
      <xdr:row>0</xdr:row>
      <xdr:rowOff>122145</xdr:rowOff>
    </xdr:from>
    <xdr:to>
      <xdr:col>1</xdr:col>
      <xdr:colOff>649881</xdr:colOff>
      <xdr:row>0</xdr:row>
      <xdr:rowOff>1394054</xdr:rowOff>
    </xdr:to>
    <xdr:pic>
      <xdr:nvPicPr>
        <xdr:cNvPr id="20" name="Imagen 19">
          <a:extLst>
            <a:ext uri="{FF2B5EF4-FFF2-40B4-BE49-F238E27FC236}">
              <a16:creationId xmlns:a16="http://schemas.microsoft.com/office/drawing/2014/main" id="{BC44D5F6-81E1-48DD-92BD-E8BE933E0D7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tretch/>
      </xdr:blipFill>
      <xdr:spPr>
        <a:xfrm>
          <a:off x="771071" y="122145"/>
          <a:ext cx="3516453" cy="1271909"/>
        </a:xfrm>
        <a:prstGeom prst="rect">
          <a:avLst/>
        </a:prstGeom>
      </xdr:spPr>
    </xdr:pic>
    <xdr:clientData/>
  </xdr:twoCellAnchor>
  <xdr:twoCellAnchor>
    <xdr:from>
      <xdr:col>3</xdr:col>
      <xdr:colOff>984246</xdr:colOff>
      <xdr:row>0</xdr:row>
      <xdr:rowOff>224920</xdr:rowOff>
    </xdr:from>
    <xdr:to>
      <xdr:col>5</xdr:col>
      <xdr:colOff>202096</xdr:colOff>
      <xdr:row>0</xdr:row>
      <xdr:rowOff>1261396</xdr:rowOff>
    </xdr:to>
    <xdr:sp macro="" textlink="">
      <xdr:nvSpPr>
        <xdr:cNvPr id="21" name="CuadroTexto 20">
          <a:extLst>
            <a:ext uri="{FF2B5EF4-FFF2-40B4-BE49-F238E27FC236}">
              <a16:creationId xmlns:a16="http://schemas.microsoft.com/office/drawing/2014/main" id="{E29C35C4-A3E0-4E05-BC85-5F6021523CC6}"/>
            </a:ext>
          </a:extLst>
        </xdr:cNvPr>
        <xdr:cNvSpPr txBox="1"/>
      </xdr:nvSpPr>
      <xdr:spPr>
        <a:xfrm>
          <a:off x="7619996" y="224920"/>
          <a:ext cx="2361100" cy="1036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NOMBRE DEL DESARROLLADOR:</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OFICINAS:</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DESIGN MANAGER:</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E-MAIL:</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TELÉFONO:</a:t>
          </a:r>
          <a:r>
            <a:rPr lang="es-CO" sz="1200" kern="2000" spc="0" baseline="0">
              <a:solidFill>
                <a:schemeClr val="bg1"/>
              </a:solidFill>
              <a:latin typeface="Rota Bd" pitchFamily="50" charset="0"/>
            </a:rPr>
            <a:t> </a:t>
          </a:r>
        </a:p>
      </xdr:txBody>
    </xdr:sp>
    <xdr:clientData/>
  </xdr:twoCellAnchor>
  <xdr:twoCellAnchor>
    <xdr:from>
      <xdr:col>5</xdr:col>
      <xdr:colOff>587375</xdr:colOff>
      <xdr:row>0</xdr:row>
      <xdr:rowOff>224920</xdr:rowOff>
    </xdr:from>
    <xdr:to>
      <xdr:col>5</xdr:col>
      <xdr:colOff>2762250</xdr:colOff>
      <xdr:row>0</xdr:row>
      <xdr:rowOff>1418279</xdr:rowOff>
    </xdr:to>
    <xdr:sp macro="" textlink="">
      <xdr:nvSpPr>
        <xdr:cNvPr id="22" name="CuadroTexto 21">
          <a:extLst>
            <a:ext uri="{FF2B5EF4-FFF2-40B4-BE49-F238E27FC236}">
              <a16:creationId xmlns:a16="http://schemas.microsoft.com/office/drawing/2014/main" id="{498E12E1-95D9-4C58-BCEE-F3C7AA83BFF7}"/>
            </a:ext>
          </a:extLst>
        </xdr:cNvPr>
        <xdr:cNvSpPr txBox="1"/>
      </xdr:nvSpPr>
      <xdr:spPr>
        <a:xfrm>
          <a:off x="10366375" y="224920"/>
          <a:ext cx="2174875" cy="1193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Contexto Arquitectura S.A.S.</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Medellín | Antioquia</a:t>
          </a:r>
          <a:r>
            <a:rPr lang="es-CO" sz="1200" kern="1400" baseline="0"/>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Arq. Natalia Andrea Osorio Marín</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Natalia.dm@cntxt.com.co</a:t>
          </a:r>
          <a:r>
            <a:rPr lang="es-CO" sz="1200" kern="1400" baseline="0"/>
            <a:t>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41275</xdr:colOff>
      <xdr:row>24</xdr:row>
      <xdr:rowOff>12701</xdr:rowOff>
    </xdr:from>
    <xdr:to>
      <xdr:col>1</xdr:col>
      <xdr:colOff>1336675</xdr:colOff>
      <xdr:row>27</xdr:row>
      <xdr:rowOff>110574</xdr:rowOff>
    </xdr:to>
    <xdr:sp macro="" textlink="">
      <xdr:nvSpPr>
        <xdr:cNvPr id="2" name="Rectángulo: esquinas diagonales redondeadas 1">
          <a:extLst>
            <a:ext uri="{FF2B5EF4-FFF2-40B4-BE49-F238E27FC236}">
              <a16:creationId xmlns:a16="http://schemas.microsoft.com/office/drawing/2014/main" id="{806377C6-05A6-4C98-B8B4-5CF924E05E10}"/>
            </a:ext>
          </a:extLst>
        </xdr:cNvPr>
        <xdr:cNvSpPr/>
      </xdr:nvSpPr>
      <xdr:spPr>
        <a:xfrm>
          <a:off x="41275" y="5651501"/>
          <a:ext cx="3238500" cy="936073"/>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2400">
              <a:solidFill>
                <a:sysClr val="windowText" lastClr="000000"/>
              </a:solidFill>
              <a:latin typeface="Rota Bd" pitchFamily="50" charset="0"/>
            </a:rPr>
            <a:t>SOLO EDITAR</a:t>
          </a:r>
          <a:br>
            <a:rPr lang="es-CO" sz="2400">
              <a:solidFill>
                <a:sysClr val="windowText" lastClr="000000"/>
              </a:solidFill>
              <a:latin typeface="Rota Bd" pitchFamily="50" charset="0"/>
            </a:rPr>
          </a:br>
          <a:r>
            <a:rPr lang="es-CO" sz="2400">
              <a:solidFill>
                <a:sysClr val="windowText" lastClr="000000"/>
              </a:solidFill>
              <a:latin typeface="Rota Bd" pitchFamily="50" charset="0"/>
            </a:rPr>
            <a:t>Celdas</a:t>
          </a:r>
          <a:r>
            <a:rPr lang="es-CO" sz="2400" baseline="0">
              <a:solidFill>
                <a:sysClr val="windowText" lastClr="000000"/>
              </a:solidFill>
              <a:latin typeface="Rota Bd" pitchFamily="50" charset="0"/>
            </a:rPr>
            <a:t> </a:t>
          </a:r>
          <a:r>
            <a:rPr lang="es-CO" sz="2400" baseline="0">
              <a:solidFill>
                <a:sysClr val="windowText" lastClr="000000"/>
              </a:solidFill>
              <a:latin typeface="+mj-lt"/>
            </a:rPr>
            <a:t>Grises</a:t>
          </a:r>
          <a:endParaRPr lang="es-CO" sz="2400">
            <a:solidFill>
              <a:sysClr val="windowText" lastClr="000000"/>
            </a:solidFill>
            <a:latin typeface="+mj-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313992</xdr:rowOff>
    </xdr:from>
    <xdr:to>
      <xdr:col>1</xdr:col>
      <xdr:colOff>47625</xdr:colOff>
      <xdr:row>0</xdr:row>
      <xdr:rowOff>1380676</xdr:rowOff>
    </xdr:to>
    <xdr:sp macro="" textlink="">
      <xdr:nvSpPr>
        <xdr:cNvPr id="4" name="CuadroTexto 2">
          <a:extLst>
            <a:ext uri="{FF2B5EF4-FFF2-40B4-BE49-F238E27FC236}">
              <a16:creationId xmlns:a16="http://schemas.microsoft.com/office/drawing/2014/main" id="{B9AF2D87-4C8F-AE97-6561-AA1BD70313A1}"/>
            </a:ext>
          </a:extLst>
        </xdr:cNvPr>
        <xdr:cNvSpPr txBox="1"/>
      </xdr:nvSpPr>
      <xdr:spPr>
        <a:xfrm>
          <a:off x="0" y="313992"/>
          <a:ext cx="3857625" cy="10666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6600" kern="1200">
              <a:solidFill>
                <a:srgbClr val="FFC000"/>
              </a:solidFill>
              <a:latin typeface="Rota Bd" pitchFamily="50" charset="0"/>
            </a:rPr>
            <a:t>SERVICES</a:t>
          </a:r>
          <a:endParaRPr lang="es-CO" sz="6600" kern="1200">
            <a:solidFill>
              <a:srgbClr val="FFC000"/>
            </a:solidFill>
          </a:endParaRPr>
        </a:p>
      </xdr:txBody>
    </xdr:sp>
    <xdr:clientData/>
  </xdr:twoCellAnchor>
  <xdr:twoCellAnchor editAs="absolute">
    <xdr:from>
      <xdr:col>1</xdr:col>
      <xdr:colOff>148761</xdr:colOff>
      <xdr:row>0</xdr:row>
      <xdr:rowOff>149340</xdr:rowOff>
    </xdr:from>
    <xdr:to>
      <xdr:col>7</xdr:col>
      <xdr:colOff>2743835</xdr:colOff>
      <xdr:row>0</xdr:row>
      <xdr:rowOff>1482610</xdr:rowOff>
    </xdr:to>
    <mc:AlternateContent xmlns:mc="http://schemas.openxmlformats.org/markup-compatibility/2006" xmlns:sle15="http://schemas.microsoft.com/office/drawing/2012/slicer">
      <mc:Choice Requires="sle15">
        <xdr:graphicFrame macro="">
          <xdr:nvGraphicFramePr>
            <xdr:cNvPr id="5" name="LÍNEA">
              <a:extLst>
                <a:ext uri="{FF2B5EF4-FFF2-40B4-BE49-F238E27FC236}">
                  <a16:creationId xmlns:a16="http://schemas.microsoft.com/office/drawing/2014/main" id="{1870281A-F9B6-1E1A-B85E-950D71C5FFE7}"/>
                </a:ext>
              </a:extLst>
            </xdr:cNvPr>
            <xdr:cNvGraphicFramePr/>
          </xdr:nvGraphicFramePr>
          <xdr:xfrm>
            <a:off x="0" y="0"/>
            <a:ext cx="0" cy="0"/>
          </xdr:xfrm>
          <a:graphic>
            <a:graphicData uri="http://schemas.microsoft.com/office/drawing/2010/slicer">
              <sle:slicer xmlns:sle="http://schemas.microsoft.com/office/drawing/2010/slicer" name="LÍNEA"/>
            </a:graphicData>
          </a:graphic>
        </xdr:graphicFrame>
      </mc:Choice>
      <mc:Fallback xmlns="">
        <xdr:sp macro="" textlink="">
          <xdr:nvSpPr>
            <xdr:cNvPr id="0" name=""/>
            <xdr:cNvSpPr>
              <a:spLocks noTextEdit="1"/>
            </xdr:cNvSpPr>
          </xdr:nvSpPr>
          <xdr:spPr>
            <a:xfrm>
              <a:off x="3958761" y="149340"/>
              <a:ext cx="7674439" cy="133327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0</xdr:col>
      <xdr:colOff>35123</xdr:colOff>
      <xdr:row>1</xdr:row>
      <xdr:rowOff>113030</xdr:rowOff>
    </xdr:from>
    <xdr:to>
      <xdr:col>0</xdr:col>
      <xdr:colOff>3463673</xdr:colOff>
      <xdr:row>38</xdr:row>
      <xdr:rowOff>879990</xdr:rowOff>
    </xdr:to>
    <mc:AlternateContent xmlns:mc="http://schemas.openxmlformats.org/markup-compatibility/2006" xmlns:sle15="http://schemas.microsoft.com/office/drawing/2012/slicer">
      <mc:Choice Requires="sle15">
        <xdr:graphicFrame macro="">
          <xdr:nvGraphicFramePr>
            <xdr:cNvPr id="6" name="CATEGORÍA 1">
              <a:extLst>
                <a:ext uri="{FF2B5EF4-FFF2-40B4-BE49-F238E27FC236}">
                  <a16:creationId xmlns:a16="http://schemas.microsoft.com/office/drawing/2014/main" id="{4604E91E-6718-5F8D-10ED-0B6F83D42835}"/>
                </a:ext>
                <a:ext uri="{147F2762-F138-4A5C-976F-8EAC2B608ADB}">
                  <a16:predDERef xmlns:a16="http://schemas.microsoft.com/office/drawing/2014/main" pred="{1870281A-F9B6-1E1A-B85E-950D71C5FFE7}"/>
                </a:ext>
              </a:extLst>
            </xdr:cNvPr>
            <xdr:cNvGraphicFramePr/>
          </xdr:nvGraphicFramePr>
          <xdr:xfrm>
            <a:off x="0" y="0"/>
            <a:ext cx="0" cy="0"/>
          </xdr:xfrm>
          <a:graphic>
            <a:graphicData uri="http://schemas.microsoft.com/office/drawing/2010/slicer">
              <sle:slicer xmlns:sle="http://schemas.microsoft.com/office/drawing/2010/slicer" name="CATEGORÍA 1"/>
            </a:graphicData>
          </a:graphic>
        </xdr:graphicFrame>
      </mc:Choice>
      <mc:Fallback xmlns="">
        <xdr:sp macro="" textlink="">
          <xdr:nvSpPr>
            <xdr:cNvPr id="0" name=""/>
            <xdr:cNvSpPr>
              <a:spLocks noTextEdit="1"/>
            </xdr:cNvSpPr>
          </xdr:nvSpPr>
          <xdr:spPr>
            <a:xfrm>
              <a:off x="35123" y="1637030"/>
              <a:ext cx="3771450" cy="1549896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7</xdr:col>
      <xdr:colOff>2774604</xdr:colOff>
      <xdr:row>0</xdr:row>
      <xdr:rowOff>149340</xdr:rowOff>
    </xdr:from>
    <xdr:to>
      <xdr:col>10</xdr:col>
      <xdr:colOff>8335644</xdr:colOff>
      <xdr:row>0</xdr:row>
      <xdr:rowOff>1482610</xdr:rowOff>
    </xdr:to>
    <mc:AlternateContent xmlns:mc="http://schemas.openxmlformats.org/markup-compatibility/2006" xmlns:sle15="http://schemas.microsoft.com/office/drawing/2012/slicer">
      <mc:Choice Requires="sle15">
        <xdr:graphicFrame macro="">
          <xdr:nvGraphicFramePr>
            <xdr:cNvPr id="2" name="FASE DE DESARROLLO">
              <a:extLst>
                <a:ext uri="{FF2B5EF4-FFF2-40B4-BE49-F238E27FC236}">
                  <a16:creationId xmlns:a16="http://schemas.microsoft.com/office/drawing/2014/main" id="{B1DE3EFC-6C92-16B7-5099-0C37B4297DF0}"/>
                </a:ext>
              </a:extLst>
            </xdr:cNvPr>
            <xdr:cNvGraphicFramePr/>
          </xdr:nvGraphicFramePr>
          <xdr:xfrm>
            <a:off x="0" y="0"/>
            <a:ext cx="0" cy="0"/>
          </xdr:xfrm>
          <a:graphic>
            <a:graphicData uri="http://schemas.microsoft.com/office/drawing/2010/slicer">
              <sle:slicer xmlns:sle="http://schemas.microsoft.com/office/drawing/2010/slicer" name="FASE DE DESARROLLO"/>
            </a:graphicData>
          </a:graphic>
        </xdr:graphicFrame>
      </mc:Choice>
      <mc:Fallback xmlns="">
        <xdr:sp macro="" textlink="">
          <xdr:nvSpPr>
            <xdr:cNvPr id="0" name=""/>
            <xdr:cNvSpPr>
              <a:spLocks noTextEdit="1"/>
            </xdr:cNvSpPr>
          </xdr:nvSpPr>
          <xdr:spPr>
            <a:xfrm>
              <a:off x="11861454" y="149340"/>
              <a:ext cx="12955615" cy="133327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M | Construction Manager" refreshedDate="46030.771820254631" createdVersion="8" refreshedVersion="8" minRefreshableVersion="3" recordCount="1371" xr:uid="{F3D77FAA-D6EE-4372-99DE-38C09C795E4E}">
  <cacheSource type="worksheet">
    <worksheetSource name="D.sign_Data"/>
  </cacheSource>
  <cacheFields count="32">
    <cacheField name="FASES" numFmtId="49">
      <sharedItems containsBlank="1"/>
    </cacheField>
    <cacheField name="CÓDIGO" numFmtId="2">
      <sharedItems containsBlank="1" count="61">
        <s v="D1.1"/>
        <s v="D1.10"/>
        <s v="D1.11"/>
        <s v="D1.26"/>
        <s v="D1.12"/>
        <s v="D1.13"/>
        <s v="D1.14"/>
        <s v="D1.15"/>
        <s v="D1.16"/>
        <s v="D1.17"/>
        <s v="D1.18"/>
        <s v="D1.19"/>
        <s v="D1.2"/>
        <s v="D1.20"/>
        <s v="D1.21"/>
        <s v="D1.22"/>
        <s v="D1.23"/>
        <s v="D1.24"/>
        <s v="D1.3"/>
        <s v="D1.4"/>
        <s v="D1.5"/>
        <s v="D1.6"/>
        <s v="D1.7"/>
        <s v="D1.8"/>
        <s v="D1.25"/>
        <s v="D1.9"/>
        <s v="D2.1"/>
        <s v="D2.2"/>
        <s v="D2.3"/>
        <s v="D2.4"/>
        <s v="D2.5"/>
        <s v="D2.6"/>
        <s v="D2.7"/>
        <s v="D2.8"/>
        <s v="D3.1"/>
        <s v="D7.1"/>
        <s v="D3.2"/>
        <s v="D7.2"/>
        <s v="D3.3"/>
        <s v="D3.4"/>
        <s v="D3.5"/>
        <s v="D3.6"/>
        <s v="D3.7"/>
        <s v="D3.8"/>
        <s v="D3.9"/>
        <s v="D4.1"/>
        <s v="D4.2"/>
        <s v="D4.3"/>
        <s v="D0.1"/>
        <s v="D0.2"/>
        <s v="D0.3"/>
        <s v="D6.1"/>
        <s v="D6.6"/>
        <s v="D6.7"/>
        <s v="D6.2"/>
        <s v="D6.3"/>
        <s v="D6.4"/>
        <s v="D6.5"/>
        <s v="D3.10"/>
        <s v="D3.11"/>
        <m/>
      </sharedItems>
    </cacheField>
    <cacheField name="CATEGORÍA" numFmtId="0">
      <sharedItems/>
    </cacheField>
    <cacheField name="SUB CATEGORÍA" numFmtId="49">
      <sharedItems containsBlank="1"/>
    </cacheField>
    <cacheField name="NOMBRE DE SERVICIO" numFmtId="49">
      <sharedItems containsBlank="1" count="56">
        <s v="Modelo Tridimensional, Viewer 360 Escala de Urbanismo"/>
        <s v="Planimetría Arquitectónica del Urbanismo (FASE 2)"/>
        <s v="Planimetría Arquitectónica, Elementos Complementarios (FASE 2)"/>
        <s v="Planimetría Arquitectónica, Elementos Complementarios (FASE 3)"/>
        <s v="Planimetría Arquitectónica, Edificación (FASE 2)"/>
        <s v="Especificaciones del Urbanismo"/>
        <s v="Especificaciones de Elemento Complementario"/>
        <s v="Especificaciones de Edificación (Fase 2)"/>
        <s v="Modelo a detalle constructivo de urbanismo"/>
        <s v="Modelo a detalle constructivo de edificación"/>
        <s v="Planimetría Arquitectónica de Detalle para ejecución de obra de Urbanismo"/>
        <s v="Planimetría Arquitectónica de Detalle para ejecución de obra de una Edificación"/>
        <s v="Modelado Tridimensional Viewer 360, Elemento Complementaria (FASE 1)"/>
        <s v="Especificaciones del Urbanismo del proyecto "/>
        <s v="Especificaciones de Edificación "/>
        <s v="Plano de Punteo para RPH"/>
        <s v="Manual Anexo para RPH"/>
        <s v="Subdivisión Predial y Cabida de un proyecto"/>
        <s v="Subdivisión Predial y Cabida de proyecto"/>
        <s v="Modelo Tridimensional, Viewer 360 150, Edificación (FASE 1)"/>
        <s v="Planimetría Arquitectónica del Urbanismo (FASE 1)"/>
        <s v="Planimetría Arquitectónica, Elemento complementaria (FASE 1)"/>
        <s v="Planimetría Arquitectónica, Edificación (FASE 1)"/>
        <s v="Modelo Tridimensional, Viewer 360, Escala de Urbanismo (Fase 2)"/>
        <s v="Modelo Tridimensional, Viewer 360, Elementos Complementarios (Fase 2)"/>
        <s v="Modelo Tridimensional, Viewer 360, Elementos Complementarios (Fase 3)"/>
        <s v="Modelo Tridimensional, Viewer 360, Edificación (Fase 2)"/>
        <s v="Modelo Tridimensional, Viewer 360 150, Edificación en Altura (FASE 1)"/>
        <s v="Planimetría Arquitectónica, Edificación en Altura (FASE 1)"/>
        <s v="Modelo Tridimensional, Viewer 360,Edificación en Altura (Fase 2)"/>
        <s v="Planimetría Arquitectónica, Edificación en Altura (FASE 2)"/>
        <s v="Especificaciones de Edificación en Altur"/>
        <s v="Planimetría Arquitectónica de Detalle para ejecución de obra de una Eficiación"/>
        <s v="Modelo Tridimensional, Viewer 360 150, Vivienda (FASE 1)"/>
        <s v="Planimetría Arquitectónica, Vivienda Campestre (FASE 1)"/>
        <s v="Especificaciones de Vivienda Campestre"/>
        <s v="Modelo Tridimensional, Viewer 360,Vivienda Campestre (Fase 2)"/>
        <s v="Planimetría Arquitectónica, Vivienda Campestre (FASE 2)"/>
        <s v="Replanteo de la vivienda en campo"/>
        <s v="Propuesta Conceptual y de Layout Funcional Tridimensional"/>
        <s v="Modelo y Planimetría Arquitectónica Técnica para Montaje de Comercio"/>
        <s v="Presupuesto para ejecución de obra"/>
        <s v="Planimetría Arquitectónica de Detalle para ejecución de obra"/>
        <s v="Diagnóstico del proyecto  y preliminares"/>
        <s v="Análisis de determinantes y conceptualización"/>
        <s v="Presentación de desarrollo arquitectónico"/>
        <s v="Conceptualización de propuesta y cabida 3D preliminar"/>
        <s v="Diseña Tu Interior"/>
        <s v="Renueva Tu Interior"/>
        <s v="Look &amp; Feel"/>
        <s v="Diseño Básio y Levantamiento"/>
        <s v="Modelo Tridimensional de Espacio Interior Fase 2"/>
        <s v="Planimetría Arquitectónica de Diseño Interior Fase 2"/>
        <s v="Especificaciones, experiencia de compra y cantidades de obra "/>
        <s v="Personal Shopper de Lote"/>
        <m/>
      </sharedItems>
    </cacheField>
    <cacheField name="ENTREGABLE" numFmtId="49">
      <sharedItems containsBlank="1" count="52">
        <s v="Modelo Tridimensional, Viewer 360 Escala Urbana"/>
        <s v="Planimetría Arquitectónica del Urbanismo"/>
        <s v="Planimetría Arquitectónica Elementos Complementarios"/>
        <s v="Planimetría Arquitectónica Edificación "/>
        <s v="Especificaciones del Urbanismo"/>
        <s v="Especificaciones de Elemento Complementario"/>
        <s v="Especificaciones"/>
        <s v="Modelo Tridimensional  a través de LINK en nube."/>
        <s v="Planimetría Arquitectónica de Detalle (Borde de losa)"/>
        <s v="Planimetría Arquitectónica de Detalle (Pisos)"/>
        <s v="Planimetría Arquitectónica de Detalle (Cubiertas y pérgolas)"/>
        <s v="Planimetría Arquitectónica de Detalle (Acabados en muros)"/>
        <s v="Planimetría Arquitectónica de Detalle (Iluminación)"/>
        <s v="Planimetría Arquitectónica de Detalle (Cielos)"/>
        <s v="Planimetría Arquitectónica de Detalle (Puertas y Ventanas)"/>
        <s v="Planimetría Arquitectónica de Detalle (Carpintería)"/>
        <s v="Modelado Tridimensional Viewer 360, zona complementaria"/>
        <s v="Especificaciones de proyecto"/>
        <s v="Especificaciones de Edificación"/>
        <s v="Plano"/>
        <s v="Manual "/>
        <s v="Planimetría Arquitectónica, Zona complementaria"/>
        <s v="Planimetría arquitectónica escala variable según requerimiento."/>
        <s v="Modelo Tridimensional, detalle Escala Urbana"/>
        <s v="Modelado Tridimensional Viewer 360 Zona complementaria"/>
        <s v="Planimetría Arquitectónica de Edificación en Altura"/>
        <s v="Especificaciones de Edificación en Altura"/>
        <s v="Especificaciones de Vivienda Campestre"/>
        <s v="Planimetría Arquitectónica de Vivienda Campestre"/>
        <s v="Experiencia de replanteo de espacios de la vivienda 1:1 en lote"/>
        <s v="Cabida Preliminar"/>
        <s v="Presentación de concepto espacial, determinantes y cabida"/>
        <s v="Modelo Trimensional del Estado Preliminar"/>
        <s v="Paquete de planos Arquitectónicos del estado preliminar"/>
        <s v="Presentación de conceptualización e ideación general"/>
        <s v="Paquete de planimetría técnica de stand + Viewer 360"/>
        <s v="Presupuesto"/>
        <s v="Extracción de cantidades de obra"/>
        <s v="Canales de comunicación y almacenamiento"/>
        <s v="Programación"/>
        <s v="Diagnóstico Inicial del proyecto "/>
        <s v="Encuesta formato google forms"/>
        <s v="Construcción de Concepto"/>
        <s v="Estudio contextual"/>
        <s v="Presentación de desarrollo arquitectónico"/>
        <s v="Entrega"/>
        <s v="Planimetría"/>
        <s v="Viewer 360"/>
        <s v="3 Renders Interiores"/>
        <s v="Especificaciones, experiencia de compra y cantidades de obra "/>
        <s v="Ficha de lote"/>
        <m/>
      </sharedItems>
    </cacheField>
    <cacheField name="UND ENTREGABLE" numFmtId="0">
      <sharedItems containsBlank="1"/>
    </cacheField>
    <cacheField name="CANTIDAD" numFmtId="0">
      <sharedItems containsString="0" containsBlank="1" containsNumber="1" containsInteger="1" minValue="1" maxValue="1"/>
    </cacheField>
    <cacheField name="ACTIVIDADES CLAVES" numFmtId="0">
      <sharedItems containsBlank="1" count="176">
        <s v="Creación de topografía"/>
        <s v="Planteamiento Vial"/>
        <s v="Lotificación"/>
        <s v="Planta de urbanismo general"/>
        <s v="Planta de etapas de desarrollo"/>
        <s v="Secciones generales"/>
        <s v="Tabla de movimientos de tierra"/>
        <s v="Planta de Localización Elemento Complementario"/>
        <s v="Planta Arquitectónica Elemento Complementario"/>
        <s v="Planta de cubierta Elemento Complementario"/>
        <s v="Secciones generales Elemento Complementario"/>
        <s v="Fachadas Elemento Complementario"/>
        <s v="Isométricos (Elemento complementario)"/>
        <s v="Cuadro de áreas (Elemento complementario)"/>
        <s v="Planta de Localización Edificación"/>
        <s v="Planta Arquitectónica Edificación "/>
        <s v="Planta de cubierta Edificación "/>
        <s v="Secciones generales Edificación "/>
        <s v="Fachadas Edificación "/>
        <s v="Isométricos (Edificación)"/>
        <s v="Cuadro de áreas (Edificación)"/>
        <s v="Montaje de formato de especificaciones"/>
        <s v="Relacionar formato con la planimetría generada"/>
        <s v="Especificación general de los materiales a implementar"/>
        <s v="Asignar materiales en 3D"/>
        <s v="Asignar materiales en planimetría "/>
        <s v="Presentar información"/>
        <s v="Preparativos del modelo"/>
        <s v="Detallar el modelo "/>
        <s v="Coordinación interdisciplinaria"/>
        <s v="Detalle de cotas de implantación y fichas de lotes"/>
        <s v="Detalle de sección vial"/>
        <s v="Detalle de sección de senderos y superficies (pisos)"/>
        <s v="Detalle de mobiliario urbano"/>
        <s v="Detalle de iluminación"/>
        <s v="Detalle de totéms y portones"/>
        <s v="Detalle de coordinación con otras disciplinas"/>
        <s v="Detalle de borde de losa"/>
        <s v="Detalle de modulación y tipos de piso"/>
        <s v="Detalle de elementos especiales"/>
        <s v="Detalle de Tipos de acabados en muros"/>
        <s v="Detalle de modulación y tipos de cielo"/>
        <s v="Detalle de Funcionamiento y composición de puertas y ventanas"/>
        <s v="Detalle de Funcionamiento y composición de carpintería"/>
        <s v="Diseño y modelado de zona complementaria (planta)"/>
        <s v="Diseño y modelado de zona complementaria (fachada)"/>
        <s v="Integración a Topografía zona complementaria"/>
        <s v="Exportar Modelo zona complementaria"/>
        <s v="Experiencia tu espacio presente vs futuro"/>
        <s v="Preparación y ajustes del archivo"/>
        <s v="Planta de urbanismo general con punteo"/>
        <s v="Cuadro de áreas"/>
        <s v="Anexo descriptivo y contractual"/>
        <s v="Planimetría"/>
        <s v="Presentación Indesing"/>
        <s v="Planta de Etapa de Desarrollo"/>
        <s v="Cuadro de área de Urbanismo"/>
        <s v="Diseño y modelado de edificación colectiva (planta)"/>
        <s v="Diseño y modelado de edificación colectiva (fachada)"/>
        <s v="Diseño de obras complementarias edificación colectiva"/>
        <s v="Integración a Topografía edificación colectiva"/>
        <s v="Exportar Modelo edificación colectiva"/>
        <s v="Planta de Localización zona complementaria"/>
        <s v="Planta Arquitectónica zona complementaria"/>
        <s v="Secciones generales zona complementaria"/>
        <s v="Fachadas generales zona complementaria"/>
        <s v="Isométricos zona complementaria"/>
        <s v="Cuadro de áreas zona complementaria"/>
        <s v="General "/>
        <s v="Planta de Localización (edificación colectiva)"/>
        <s v="Planta Arquitectónica 1 (edificación colectiva)"/>
        <s v="Planta de cubierta (edificación colectiva)"/>
        <s v="Secciones generales (edificación colectiva)"/>
        <s v="Fachadas (edificación colectiva)"/>
        <s v="Isométricos (edificación colectiva)"/>
        <s v="Cuadro de áreas (edificación colectiva)"/>
        <s v="General"/>
        <s v="Ambientación"/>
        <s v="Integración a Topografía Edificación colectiva o terraza"/>
        <s v="Diseño y modelado de Zona complementaria (cubierta)"/>
        <s v="Diseño y modelado de Edificación Colectiva (cubierta)"/>
        <s v="Diseño y modelado de edificación en altura (planta)"/>
        <s v="Diseño y modelado de edificación en altura (fachada)"/>
        <s v="Diseño de obras complementarias edificación en altura"/>
        <s v="Integración a Topografía edificación en altura"/>
        <s v="Exportar Modelo edificación en altura"/>
        <s v="Socialización"/>
        <s v="Planta de Localización (Edificación en Altura)"/>
        <s v="Planta Arquitectónica 1 (Edificación en Altura)"/>
        <s v="Planta de cubierta (Edificación en Altura)"/>
        <s v="Secciones generales (Edificación en Altura)"/>
        <s v="Fachadas (Edificación en Altura)"/>
        <s v="Isométricos (Edificación en Altura)"/>
        <s v="Cuadro de áreas (Edificación en Altura)"/>
        <s v="Diseño y modelado de Edificación en altura(cubierta)"/>
        <s v="Diseño de obras complementarias de Edificación en Altura"/>
        <s v="Integración a Topografía de Edificación en altura"/>
        <s v="Exportar Modelo de Edificación en Altura"/>
        <s v="Planta de Localización de Edificación en Altura"/>
        <s v="Planta Arquitectónica de Edificación en Altura"/>
        <s v="Planta de cubierta de Edificación en Altura"/>
        <s v="Secciones generales de Edificación en Altura"/>
        <s v="Fachadas de Edificación en altura"/>
        <s v="Planta de Localización (Vivienda Campestre)"/>
        <s v="Planta Arquitectónica 1 (Vivienda Campestre)"/>
        <s v="Planta de cubierta (Vivienda Campestre)"/>
        <s v="Secciones generales (Vivienda Campestre)"/>
        <s v="Fachadas (Vivienda Campestre)"/>
        <s v="Isométricos (Vivienda Campestre)"/>
        <s v="Cuadro de áreas (Vivienda Campestre)"/>
        <s v="Diseño y modelado de Vivienda Campestre (planta)"/>
        <s v="Diseño y modelado de Vivienda Campestre (fachada)"/>
        <s v="Diseño y modelado de Vivienda Campestre (cubierta)"/>
        <s v="Diseño de obras complementarias de Vivienda Campestre"/>
        <s v="Integración a Topografía de Vivienda Campestre"/>
        <s v="Exportar Modelo de Vivienda Campestre"/>
        <s v="Planta de Localización de Vivienda Campestre"/>
        <s v="Planta Arquitectónica de Vivienda Campestre"/>
        <s v="Planta de cubierta de Vivienda Campestre"/>
        <s v="Secciones generales de Vivienda Campestre"/>
        <s v="Fachadas de Vivienda Campestre"/>
        <s v="Preparativos de actividades"/>
        <s v="Replanteo en campo"/>
        <s v="Generar y participar de experiencia en campo "/>
        <s v="Modificaciones en Modelo"/>
        <s v="Definición del proyecto"/>
        <s v="Conceptualización"/>
        <s v="Montaje de modelo 3D Básico"/>
        <s v="Montaje de Layout 2D"/>
        <s v="Montaje de presentación"/>
        <s v="Materiales"/>
        <s v="Mobiliario a la medida"/>
        <s v="Señaletica y comunicación visual"/>
        <s v="Detalle de señaletica"/>
        <s v="Vitrinismo, Merchandising y exhibición de productos"/>
        <s v="Logística de experiencia"/>
        <s v="Cantidades de Obra"/>
        <s v="Construcción de archivo general"/>
        <s v="Cotizaciones con proveedores"/>
        <s v="Archivos de soporte y guías para la construcción"/>
        <s v="Análisis de precios unitarios"/>
        <s v="Extraer cantidades de obra (base para presupuesto)"/>
        <s v="Cronograma"/>
        <s v="Gestión documental y creación de canales"/>
        <s v="Recolección de insumos preliminares"/>
        <s v="Visita inicial al lote o análisis de modelo preexistente"/>
        <s v="Taller de diseño"/>
        <s v="Preliminares"/>
        <s v="Conceptualización / Referentes"/>
        <s v="Análisis Normativo"/>
        <s v="Análisis Bioclimático"/>
        <s v="Resultado del análisis bioclimático"/>
        <s v="Antecedentes"/>
        <s v="Renders e Imágenes"/>
        <s v="Planeación de experiencia de entrega"/>
        <s v="Propuesta de cabida y programa"/>
        <s v="Visita inicial al espacio"/>
        <s v="Montaje de paquete de planos básicos"/>
        <s v="Experiencia de presentación de propuesta"/>
        <s v="Insumo de planimetría"/>
        <s v="Modelo Tridimensional "/>
        <s v="Renders"/>
        <s v="Registro de Mobiliario"/>
        <s v="Montaje del Look and Feel"/>
        <s v="Materialización del Look &amp; feel en imágenes"/>
        <s v="Reunión de presentación"/>
        <s v="Montaje de modelo 3D Básico de propuesta"/>
        <s v="Cuadro de áreas o especificaciones generales"/>
        <s v="Detalle de elementos característicos de la propuesta"/>
        <s v="Experiencia de compras"/>
        <s v="Análisis normativo "/>
        <s v="Análisis Bioblimático "/>
        <s v="Estudio de aprovechamiento "/>
        <s v=" Ficha Resumen"/>
        <s v="Montaje de Ficha Resumen"/>
        <m/>
      </sharedItems>
    </cacheField>
    <cacheField name="# _x000a_ACCIONES" numFmtId="0">
      <sharedItems containsBlank="1"/>
    </cacheField>
    <cacheField name="ACCIONES CLAVES" numFmtId="0">
      <sharedItems containsBlank="1" count="422">
        <s v="Importar archivo dwg a Revit"/>
        <s v="Levantar topografía"/>
        <s v="Crear niveles necesarios"/>
        <s v="Crear Graded Region (para registro de movimiento de tierras)"/>
        <s v="Trazar esquema de vía  ( Eje)"/>
        <s v="Análisis de ensanches y sentidos"/>
        <s v="Se calcula longitud de eje de vía y se establece una elevación cada 10 m"/>
        <s v="Se caracteriza el tipo de pendiente "/>
        <s v="Se caracteriza radios de giro minimos "/>
        <s v="Luego al diagnóstico se traza el eje definitivo "/>
        <s v="Integrar modelado 3D de la vía"/>
        <s v="Movimiento de puntos necesarios de la vía para la obtención de la pendiente"/>
        <s v="Modelado de linderos con raillings"/>
        <s v="Crear pads de implantación necesarios para zonas comunes "/>
        <s v="Actualizar planta de urbanismo general"/>
        <s v="Actualizar planta de etapas de desarrollo"/>
        <s v="Actualizar secciones generales "/>
        <s v="Marcar línea de movimiento de tierras"/>
        <s v="Tabla de movimientos de tierra"/>
        <s v="Crear archivo de proceso para historico"/>
        <s v="Propuesta de reloteo Etapa"/>
        <s v="Ajustar property Lines"/>
        <s v="Ajustar Marcas de lotes"/>
        <s v="Incluir retiros de lotes"/>
        <s v="Actualizar y revisar áreas de ETAPA"/>
        <s v="Crear filtros necesarios para la clasificación"/>
        <s v="Llenar la información correspondiente a cada property line"/>
        <s v="Exportar formato dwg y PDF"/>
        <s v="Control de calidad"/>
        <s v="Re-Acotar"/>
        <s v="Re-Diagramar"/>
        <s v="Llenar información de rótulo"/>
        <s v="Organizar aspectos generales de la vista y aplicar plantilla de vista"/>
        <s v="Ajustar rooms"/>
        <s v="Colocar Marks"/>
        <s v="Chequear pendientes"/>
        <s v="Chequear materialidad"/>
        <s v="Chequear bajantes"/>
        <s v="Diagramar"/>
        <s v="Actualizar sección transversal"/>
        <s v="Actualizar sección longitudinal"/>
        <s v="Actualizar vistas"/>
        <s v="Revisar y actualizar Vistas"/>
        <s v="Actualizar cuadro"/>
        <s v="Re-Amoblar"/>
        <s v="Escoger materiales y proveedores según condiciones presupuestales"/>
        <s v="Crear formato"/>
        <s v="Llenar formato"/>
        <s v="Buscar imágenes que los caractericen"/>
        <s v="crear materiales en modelo "/>
        <s v="Asignar tag de materiales en planimetría arquitectónica"/>
        <s v="Exportar tabla"/>
        <s v="Realizar una propuesta (listado preliminar) de materiales coherentes con los renders de la fase 1"/>
        <s v="Buscar posibles proveedores y aliados comerciales de los distintos materiales"/>
        <s v="Solicitar cotizaciones, fichas y otra información necesaria a los distintos proveedores"/>
        <s v="Crear y organizar formato"/>
        <s v="Colocar imágenes que caracterizan los materiales"/>
        <s v="Actualizar modelo de edificación de fase (en gestión documental)"/>
        <s v="Hacer colaborativo el archivo"/>
        <s v="Modelado de vías LOD 300"/>
        <s v="Linderos y setos LOD 300"/>
        <s v="Movimiento de puntos"/>
        <s v="Implantación de elementos necesarios (totéms, iluminación y otros)"/>
        <s v="Modelado de senderos LOD 300"/>
        <s v="Modelado de espacios complementarios LOD 300"/>
        <s v="Coordinación interdisciplinaria: redes eléctricas. Redes hidráulicas y estructura"/>
        <s v="Actualizar modelo de edificación de fase"/>
        <s v="Modelado de losas LOD 300"/>
        <s v="Modelado de muros y enchapes LOD 300"/>
        <s v="Modelado de pisos LOD 300"/>
        <s v="Modelado de cielos LOD 300"/>
        <s v="Modelado de cubiertas y pérgolas LOD 300"/>
        <s v="Modelado de puertas y ventanas LOD 300"/>
        <s v="Ajustar mobiliario"/>
        <s v="Vincular propuesta de iluminación en el modelo"/>
        <s v="Extracción de cantidades (tablas)"/>
        <s v="Organizar vistas"/>
        <s v="Marcar ejes estructurantes y elementos relevante"/>
        <s v="Acotar "/>
        <s v="Llenar rótulo"/>
        <s v="Organizar vista necesaria"/>
        <s v="Investigar instalaciones técnicas a considerar en la instalación de cada tipo"/>
        <s v="Anexar imágenes de referencias al plano"/>
        <s v="Generar detalles específicos de elemento"/>
        <s v="Generar tablas de referencias y cantidades"/>
        <s v="Asignar un filtro de color a cada tipo de acabado"/>
        <s v="Detalles de cada tipo (instalación y desarrollo)"/>
        <s v="Marcar ejes estructurantes y piezas de arranque"/>
        <s v="Seleccionar referencias"/>
        <s v="Vincular simbología y referencias"/>
        <s v="Vincular imágenes de referencias"/>
        <s v="Investigar y seleccionar referencias de materiales"/>
        <s v="Marcar materialidad y otros elementos relevantes"/>
        <s v="Generar detalles específicos de pernado e instalación"/>
        <s v="Chequear el correcto funcionamiento de las disciplinas"/>
        <s v="Coordinación"/>
        <s v="Marcar ejes estructurales"/>
        <s v="Marcar piezas de arranque de cada referencia"/>
        <s v="Realizar investigaciones y alianzas necesarias para el desarrollo del tema"/>
        <s v="Revisar funcionamiento de los bajantes"/>
        <s v="Modelar canoas"/>
        <s v="modelar cortagoteras y otros necesarios"/>
        <s v="Detallar estructura de la cubierta"/>
        <s v="Revisar funcionamiento de la cubierta vs material (pendiente)"/>
        <s v="Investigar y seleccionar referencias de cielos"/>
        <s v="Chequear el correcto funcionamiento de puertas"/>
        <s v="Chequear el correcto funcionamiento de ventanas"/>
        <s v="Definir materialidad de puertas"/>
        <s v="Definir materialidad de ventanas"/>
        <s v="Crear paquete de vistas de cada una de las puertas"/>
        <s v="Crear paquete de vistas de cada una de las ventanas"/>
        <s v="Acotar"/>
        <s v="Generar planta de localización de cada referencia"/>
        <s v="Chequear el correcto funcionamiento de cada mueble"/>
        <s v="Definir materialidad de carpintería"/>
        <s v="Crear paquete de vistas de cada una de los muebles"/>
        <s v="Creación de archivo de modelo (zona complementaria)"/>
        <s v="Creación de nivel inicial"/>
        <s v="cabida arquitectónica"/>
        <s v="Programa arquitectónico"/>
        <s v="Creación de ejes estructurales"/>
        <s v="Modelado de esquema estructural básico"/>
        <s v="Acabados verticales"/>
        <s v="Acabados en pisos"/>
        <s v="Amoblar y ambientar"/>
        <s v="Definición Volumétrica"/>
        <s v="Definición de alturas de elementos verticales"/>
        <s v="Ambientación"/>
        <s v="Acabados en revestimientos"/>
        <s v="Linkear en modelo general"/>
        <s v="Publicar coordenadas"/>
        <s v="Modelado de pad   (zona complementaria 1)"/>
        <s v="Movimiento de puntos básicos"/>
        <s v="Ajuste de taludes"/>
        <s v="Creación de tabla de movimiento de tierras"/>
        <s v="Cargar en Autodesk Viewer"/>
        <s v="Investigaciones y alianzas necesarias"/>
        <s v="Crear, organizar y llenar formato"/>
        <s v="Vincular resumen de cantidades"/>
        <s v="Buscar imágenes que los caractericen (materiales)"/>
        <s v="Programar con cliente y preparar experiencia"/>
        <s v="Realizar visita, recolectar medidas necesarias (espacios y muebles a conservar), tomar registro, tomar registro escrito de importantes "/>
        <s v="Construir modelos y ajustes sobre modelos, necesarios para cumplir las expectativas del cliente"/>
        <s v="Depuración del plano general"/>
        <s v="Integración de plugin de coordenadas para puntos"/>
        <s v="Preparación del rótulo y puntos"/>
        <s v="Delimitación de polígonos generales de áreas comunes y privadas"/>
        <s v="Ubicación de puntos por vértice"/>
        <s v="Creación de cuadro de puntos"/>
        <s v="Creación de cuadro de áreas generales "/>
        <s v="Diagramación del plano"/>
        <s v="Exportar y enviar correo"/>
        <s v="Revisar archivo de especificaciones "/>
        <s v="Actualizar especificaciones"/>
        <s v="Construir estructura general del documento "/>
        <s v="Ajustar y revisar base planimétrica"/>
        <s v="Sacar bases de planta de ubicación"/>
        <s v="Sacar elevaciones generales"/>
        <s v="Acotar las elevaciones"/>
        <s v="Anexar imágenes a presentación"/>
        <s v="Organizar presentación e información gráfica"/>
        <s v="Exportar"/>
        <s v="Socializar"/>
        <s v="Marcar  líneas propertys de linderos"/>
        <s v="Marcar líneas propertys de Retiros"/>
        <s v="Proponer cabida predial según las necesidades del proyecto"/>
        <s v="Generar convenciones"/>
        <s v="Generar cuadro de áreas general con las respectivas propertys"/>
        <s v="Generar un esquema vial y/o senderos acorde a las necesidades proyectuales y técnicas"/>
        <s v="Clasificar marks de lotes y otras zonas"/>
        <s v="Crear property Lines de retiros de lotes subdivididos"/>
        <s v="Crear marks de nomenclatura de los lotes privados y comunes"/>
        <s v="Crear filtros necesarios para la clasificación restantes"/>
        <s v="Llenar la información correspondiente a cada property line restante"/>
        <s v="Creación de archivo de modelo (Edificio)"/>
        <s v="cabida arquitectónica volumétrica"/>
        <s v="Propuesta de programa arquitectónico 3D"/>
        <s v="Acabados en muros"/>
        <s v="Amoblar"/>
        <s v="Definición Volumétrica ajustada"/>
        <s v="Definición de alturas de muros"/>
        <s v="Definición de altura de puertas y ventanas"/>
        <s v="Acabados en ventanas"/>
        <s v="Definición de aguas y pendientes"/>
        <s v="Aleros"/>
        <s v="Esquemas estructural de la cubierta"/>
        <s v="Definición de fascia, canoa y desagues"/>
        <s v="Acabados de cubierta y cielo "/>
        <s v="Conceptualización y caracterización de los espacios complementarios a la edificación"/>
        <s v="modelado de zona complementaria"/>
        <s v="Adquirir coordenadas"/>
        <s v="Modelado de pad   (edificación)"/>
        <s v="Modelado de pad zona complementaria 1"/>
        <s v="Autodesk Viewer"/>
        <s v="Marcar  linderos"/>
        <s v="Marcar Retiros"/>
        <s v=" Marcar zonas clasificadas"/>
        <s v="Incluir cuadro de área general "/>
        <s v="Incluir Esquema vial propuesto "/>
        <s v="Modificar Marks de lotes y otras zonas"/>
        <s v="Marcar lotes"/>
        <s v="Crear property Lines"/>
        <s v="Ajustar filtros "/>
        <s v="Marcar elementos contextuales relevantes"/>
        <s v="Crear rooms"/>
        <s v="Ambientar"/>
        <s v="Definir sección transversal"/>
        <s v="Definir sección longitudinal"/>
        <s v="Marcar rooms"/>
        <s v="Organizar aspectos generales de la vista 1 y aplicar plantilla de vista"/>
        <s v="Organizar aspectos generales de la vista 2 y aplicar plantilla de vista"/>
        <s v="Marcar materialidad"/>
        <s v="Ajustar tipo de visualización"/>
        <s v="Ajustar luces ambientales"/>
        <s v="Crear cuadro"/>
        <s v="filtrar cuadro"/>
        <s v="Clasificar tipos de área (construida y libre)."/>
        <s v="Modificar nombres"/>
        <s v="Totalizar"/>
        <s v="Marcar vecinos colindantes"/>
        <s v="Marcar pendientes"/>
        <s v="Marcar bajantes"/>
        <s v="Creación modelo copia (Urbanismo)"/>
        <s v="Actualizar urbanismo"/>
        <s v="Ubicar totems en todos los lotes"/>
        <s v="Ubicar portones en todos los lotes"/>
        <s v="Modelar propuesta vial acorde a lineamiento de proveedor"/>
        <s v="Ajustar puntos"/>
        <s v="Proponer terrazas de implantación"/>
        <s v="Detallar modelo de la vía en puntos de encuadres propuestos"/>
        <s v="Ajustes topográficos (puntos) en relación a los enfoques seleccionados para la vía"/>
        <s v="Proponer iluminación en el espacio público"/>
        <s v="Ajustar plataformas de construcción de la tipología"/>
        <s v="Implantar tipologías o terraceos (según aplique)"/>
        <s v="Ajustes topográficos (puntos) en relación a los enfoques seleccionados para las terrazas de implantación"/>
        <s v="Creación de copia de modelo para proceso (zona complementaria)"/>
        <s v="Modificar de fase"/>
        <s v="Actualizar cabida arquitectónica"/>
        <s v="Actualizar programa arquitectónico"/>
        <s v="Actualización de ejes estructurales"/>
        <s v="Coordinación con proveedor estructural"/>
        <s v="Modelado de esquema estructural lod 250"/>
        <s v="Acabados en muros lod 250"/>
        <s v="Acabados en pisos lod 250"/>
        <s v="Actualizar mobiliario"/>
        <s v="Actualización de Volumétria"/>
        <s v="Actualización de alturas de muros"/>
        <s v="Actualización de altura de puertas y ventanas"/>
        <s v="Actualización de aguas y pendientes"/>
        <s v="Actualización de Aleros"/>
        <s v="Actualización de esquemas estructural de la cubierta"/>
        <s v="Definición de fascia"/>
        <s v="Actualización de pads de   (Portería)"/>
        <s v="Actualización de pad zona complementaria 1"/>
        <s v="Actualización de pad zona complementaria 2"/>
        <s v="Actualización de tabla de movimiento de tierras"/>
        <s v="Acabados en elemento generales lod 250"/>
        <s v="Actualización de zonas complementarias"/>
        <s v="Actualización de pads de   (edificación)"/>
        <s v="Actualización de pad zona complementaria "/>
        <s v="Exportar Autodesk Viewer"/>
        <s v="Creación de archivo de modelo (Edificación en Altura)"/>
        <s v="cabida arquitectónica volumétrica y de Urbanismo"/>
        <s v="Propuesta de programa arquitectónico 3D y crecimiento en altura"/>
        <s v="Propuesta de sistema de circulación"/>
        <s v="Acabados en muros generales"/>
        <s v="Definición de elementos de ambientación"/>
        <s v="Definición de altura de puertas y ventanas generales"/>
        <s v="Acabados en ventanas general"/>
        <s v="Acabados en revestimientos general"/>
        <s v="Aleros y funcionamiento de cubierta"/>
        <s v="Ajuste de taludes o topografía"/>
        <s v="Socializar información con cliente"/>
        <s v="Creación de copia de modelo para proceso (edificación)"/>
        <s v="Pasar de fase"/>
        <s v="Extraer resumen de cantidades necesarias"/>
        <s v="Creación de archivo de modelo (Vivienda campestre)"/>
        <s v="Acabados básico en muros"/>
        <s v="Acabados básicos en pisos"/>
        <s v="Esquemas estructural de la cubierta básica"/>
        <s v="Linkear en modelo Topográfico"/>
        <s v="Marcar elementos contextuales relevantes y vecinos colindantes"/>
        <s v="Realizar una propuesta (listado preliminar) de materiales coherentes con los renders de la fase 1 y visita"/>
        <s v="Planear toda la experiencia y comprar insumos"/>
        <s v="En conjunto con un aliado, generar la distribución en el lote"/>
        <s v="Recorrer la vivienda en conjunto con el cliente"/>
        <s v="Realizar las respectivas modificaciones en el modelo"/>
        <s v="Experiencia de identificación de deseos, expectativas presupuestales y necesidades."/>
        <s v="Búsqueda de referentes"/>
        <s v="Taller de diseño"/>
        <s v="Chequeo de áreas, espacios, mediciones y estado del espacio y planeación de logística a considerar."/>
        <s v="Modelo general básico de la propuesta preliminar"/>
        <s v="Montaje de planta ambientada preliminar de acercamiento"/>
        <s v="Diagramar, acotar planta básica"/>
        <s v="Montaje de cuadro de áreas generales (diferenciar por activaciones en el espacio y el customer Journey)"/>
        <s v="Montaje de Ficha resumen"/>
        <s v="Montaje de mood board resumen"/>
        <s v="Extracción de perspectivas y 3D para esquemas"/>
        <s v="Extracción de plantas para esquemas"/>
        <s v="Elección de materiales acorde al estilo"/>
        <s v="Aplicación de materiales en el modelo"/>
        <s v="Modelado de elementos específicos innatos para el logro de la propuesta"/>
        <s v="Elección o diseño de mobiliario acorde al estilo"/>
        <s v="Centralizar información en una presentación "/>
        <s v="cargar y compartir información en la carpeta compartida"/>
        <s v="Definir y participar de la reunión"/>
        <s v="Ejecución de cambios post-entreg"/>
        <s v="Crear materiales en el modelo acorde a todas fichas técnicas y características físicas"/>
        <s v="Modelar elementos a un nivel técnico de carpintería"/>
        <s v="Generar planos de carpintería de los elementos "/>
        <s v="Modelar elementos de señaletica necesarios"/>
        <s v="Generación de Detalle de Señaletica"/>
        <s v="Generación de Detalle de iluminación"/>
        <s v="Diseño de elementos de vitrinismo y exhibición especializados"/>
        <s v="Socializar con los proveedores y cliente la información necesaria"/>
        <s v="Extraer cantidades generales de acabados"/>
        <s v="Montaje de Archivo en excel"/>
        <s v="Pasar información base y condiciones de la cotización"/>
        <s v="Recepción de Información"/>
        <s v="Filtro de Información"/>
        <s v="Fichas técnicas"/>
        <s v="Recomendaciones"/>
        <s v="Centralización de información restante"/>
        <s v="Montaje de base de datos de materiales"/>
        <s v="Generar tablas de cantidades desde el modelo que correlación el adecuado modelado de los elementos"/>
        <s v="Construcción de cronograma de obra"/>
        <s v="Crear anidamiento"/>
        <s v="Crear canal interno Slack"/>
        <s v="Crear Grupo Clientes Whatsapp"/>
        <s v="Construir Infográfico Roles y Responsabilidades"/>
        <s v="Construir Inforgráfico de procesos y tiempos"/>
        <s v="Crear Drive Nube del proyecto"/>
        <s v="Construcción acta de inicio y enviar"/>
        <s v="Enviar correo de inicio de proyecto"/>
        <s v="Creación de formato de control del proyecto"/>
        <s v="Solicitud de información faltante para iniciar"/>
        <s v="Encuesta y formato de solicitud de preliminares"/>
        <s v="Correcto almacenamiento de la información preliminar: Levantamiento topográfico, levantamiento arquitectónico, concepto de norma; entre otros."/>
        <s v="Registro fotográfico y de hitos en el espacio"/>
        <s v="Imprimir insumos base"/>
        <s v="Liderar reunión de equipo para conceptualización"/>
        <s v="Investigación de conceptos y referentes a desarrollar, propios o brindados por cliente"/>
        <s v="elección de imágenes que reflejen el concepto y los referentes de diseño"/>
        <s v="Momento de Moodboard colaborativo con clientes"/>
        <s v="cargar moodboard al drive y compartir información "/>
        <s v="Análsis normativo del lote, según norma urbanística correspondiente (POT, PBOT o EOT)"/>
        <s v="Montaje de información "/>
        <s v="Georeferenciar Topografía"/>
        <s v="Tabla promedio de temperatura"/>
        <s v="Tabla promedio de lluvias"/>
        <s v="Tabla de humedad relativa"/>
        <s v="Tabla climática "/>
        <s v="Rosa de los vientos"/>
        <s v="Sacar bases para esquemas conceptuales"/>
        <s v="Construcción de esquemas conceptuales"/>
        <s v="Montaje de esquemas conceptuales a presentación."/>
        <s v="Construcción de esquemas de solsticio de verano"/>
        <s v="Construcción de esquemas de solsticio de invierno"/>
        <s v="Conclusiones"/>
        <s v="ficha de inicio"/>
        <s v="ficha de presentación"/>
        <s v="registro fotográfico"/>
        <s v="Localización"/>
        <s v="Sacar bases para esquemas conclusivos"/>
        <s v="Construcción de esquemas conclusivos"/>
        <s v="Montaje de esquemas conclusivos a presentación."/>
        <s v="Montaje de imágenes restante a la presentación"/>
        <s v="Exportar presentación"/>
        <s v="Exportar planimetría"/>
        <s v="Entrega interna"/>
        <s v="Construcción acta de entrega"/>
        <s v="Montaje de información a drive"/>
        <s v="Envío de correo posterior a entrega"/>
        <s v="diseño y logística de la experiencia con el cliente"/>
        <s v="programación de evento con grupo de whatsapp o llamada"/>
        <s v="Ejecución experiencia de entrega"/>
        <s v="Montaje de render e imágenes a la presentación"/>
        <s v="Encuesta de identificación de deseos, gustos y expectativas."/>
        <s v="Chequeo de áreas, espacios, mediciones y estado del espacio."/>
        <s v="Modelo general básico del espacio en su estado preliminar"/>
        <s v="Registro de hitos "/>
        <s v="Diagramar, acotar y ajustar representación"/>
        <s v="Montaje de cuadro de áreas generales (diferenciar por niveles y categoría de área libre y área construida)"/>
        <s v="Participar de reunión con cliente"/>
        <s v="Chequeo de áreas, espacios, mediciones, registro de hitos y estado del espacio."/>
        <s v="Moodboard de identificación de deseos, gustos y expectativas."/>
        <s v="Montaje de modelo de propuesta"/>
        <s v="Montaje de planta ambientada"/>
        <s v="Montar ficha de look &amp; feel"/>
        <s v="Montaje de cuadro de áreas generales "/>
        <s v="Exportar Viewer 360"/>
        <s v="Generar renders"/>
        <s v="Registro a mobiliario y modelado de elementos especiales a vincular por petición del cliente"/>
        <s v="Investigaciones y conceptualización"/>
        <s v="Definición de estilo a lograr"/>
        <s v="Montaje de mood board"/>
        <s v="Elección de mobiliario acorde al estilo"/>
        <s v="Aplicación de IA para generar imágenes referentes del espacio deseado a lograr"/>
        <s v="Búsqueda de referentes concretos"/>
        <s v="Modelo general básico y registro de hitos espaciales"/>
        <s v="Montaje de una presentación de perfilamiento "/>
        <s v="Montaje de propuesta preliminar de acercamiento"/>
        <s v="Modelado de muros y enchapes LOD 250"/>
        <s v="Modelado de pisos LOD 250"/>
        <s v="Modelado de cielos LOD 250"/>
        <s v="Modelado de Elementos y espacios complementarios LOD 300"/>
        <s v="Ajustar y proponer mobiliario"/>
        <s v="Revisar funcionamiento general del espacio"/>
        <s v="Detallar planos necesarios"/>
        <s v="Participiar de experiencia"/>
        <s v="Realizar una propuesta (listado preliminar) de materiales coherentes con los renders de la fase 2"/>
        <s v="Extraer cantidades de obra"/>
        <s v="Preparativos de experiencia y agendamiento"/>
        <s v="Estudio general de las condiciones normativas de tres opciones de lote"/>
        <s v="Estudio general de las condiciones bioclimática de tres opciones de lote"/>
        <s v="Registro fotográfico y de lote y análisis presencial de sus características"/>
        <s v="Análisis de aprovechamiento y posible cabida 2D, Según las expectativas del cliente "/>
        <s v="Montaje de ficha de lote resumen"/>
        <s v="Socialización con cliente"/>
        <s v="Ficha resumen"/>
        <s v="Reunión con cliente"/>
        <m/>
      </sharedItems>
    </cacheField>
    <cacheField name="RESPONSABLE" numFmtId="0">
      <sharedItems containsBlank="1" count="4">
        <s v="LA | Leader Architect"/>
        <s v="DM | Design Manager"/>
        <s v="SUPP | Support Architect"/>
        <m/>
      </sharedItems>
    </cacheField>
    <cacheField name="TIEMPO (HORAS)" numFmtId="0">
      <sharedItems containsString="0" containsBlank="1" containsNumber="1" minValue="0.05" maxValue="50"/>
    </cacheField>
    <cacheField name="HONORARIOS POR HORA ($COP)" numFmtId="173">
      <sharedItems containsMixedTypes="1" containsNumber="1" minValue="15197.568389057751" maxValue="20263.424518743668"/>
    </cacheField>
    <cacheField name="SUBTOTAL _x000a_HONORARIOS ($COP)" numFmtId="172">
      <sharedItems containsSemiMixedTypes="0" containsString="0" containsNumber="1" minValue="0" maxValue="886524.82269503549"/>
    </cacheField>
    <cacheField name="HARDWARE _x000a_($ DEPRECIACIÓN)" numFmtId="173">
      <sharedItems containsSemiMixedTypes="0" containsString="0" containsNumber="1" minValue="0" maxValue="211077.33873691317"/>
    </cacheField>
    <cacheField name="SOFTWARE (LICENCIAS)" numFmtId="173">
      <sharedItems containsSemiMixedTypes="0" containsString="0" containsNumber="1" minValue="0" maxValue="170542.74435719918"/>
    </cacheField>
    <cacheField name="CONSUMIBLES ($ INSUMOS)" numFmtId="173">
      <sharedItems containsString="0" containsBlank="1" containsNumber="1" containsInteger="1" minValue="0" maxValue="100000"/>
    </cacheField>
    <cacheField name="SUBCONTRATOS" numFmtId="173">
      <sharedItems containsBlank="1" containsMixedTypes="1" containsNumber="1" containsInteger="1" minValue="0" maxValue="600000"/>
    </cacheField>
    <cacheField name="COSTO _x000a_DIRECTO ($COP)" numFmtId="172">
      <sharedItems containsSemiMixedTypes="0" containsString="0" containsNumber="1" minValue="0" maxValue="1268144.9057891478"/>
    </cacheField>
    <cacheField name="PRORRATEO GASTOS ($COP)" numFmtId="164">
      <sharedItems containsSemiMixedTypes="0" containsString="0" containsNumber="1" minValue="0" maxValue="1389473.8536155201"/>
    </cacheField>
    <cacheField name="COSTOS OPERACIONALES ($COP)" numFmtId="172">
      <sharedItems containsSemiMixedTypes="0" containsString="0" containsNumber="1" minValue="0" maxValue="2657618.7594046677"/>
    </cacheField>
    <cacheField name="DESFASE (%)" numFmtId="9">
      <sharedItems containsString="0" containsBlank="1" containsNumber="1" minValue="0.02" maxValue="0.2"/>
    </cacheField>
    <cacheField name="DESFASE ($COP)" numFmtId="164">
      <sharedItems containsSemiMixedTypes="0" containsString="0" containsNumber="1" minValue="0" maxValue="499632.32676807756"/>
    </cacheField>
    <cacheField name="UTILIDAD (%)" numFmtId="9">
      <sharedItems containsSemiMixedTypes="0" containsString="0" containsNumber="1" minValue="0.1" maxValue="0.5"/>
    </cacheField>
    <cacheField name="UTILIDAD ($COP)" numFmtId="164">
      <sharedItems containsSemiMixedTypes="0" containsString="0" containsNumber="1" minValue="0" maxValue="1070640.7002173094"/>
    </cacheField>
    <cacheField name="VALOR NETO ($COP)" numFmtId="172">
      <sharedItems containsSemiMixedTypes="0" containsString="0" containsNumber="1" minValue="0" maxValue="4068434.6608257745"/>
    </cacheField>
    <cacheField name="MARGEN DE NEGOCIACIÓN (%)" numFmtId="9">
      <sharedItems containsString="0" containsBlank="1" containsNumber="1" minValue="0" maxValue="0.05"/>
    </cacheField>
    <cacheField name="NEGOCIACIÓN ($COP)" numFmtId="164">
      <sharedItems containsSemiMixedTypes="0" containsString="0" containsNumber="1" minValue="0" maxValue="214128.14004346216"/>
    </cacheField>
    <cacheField name="ICA ($COP)" numFmtId="164">
      <sharedItems containsSemiMixedTypes="0" containsString="0" containsNumber="1" minValue="0" maxValue="42825.628008692365"/>
    </cacheField>
    <cacheField name="4 * 1000 ($COP)" numFmtId="164">
      <sharedItems containsSemiMixedTypes="0" containsString="0" containsNumber="1" minValue="0" maxValue="42825.628008692365"/>
    </cacheField>
    <cacheField name="VALOR TOTAL SERVICIO ($COP)" numFmtId="172">
      <sharedItems containsSemiMixedTypes="0" containsString="0" containsNumber="1" minValue="0" maxValue="4368214.056886621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M | Construction Manager" refreshedDate="46030.771820717593" createdVersion="8" refreshedVersion="8" minRefreshableVersion="3" recordCount="6" xr:uid="{84DC0C30-4DCB-4C76-A97A-4869594EB4ED}">
  <cacheSource type="worksheet">
    <worksheetSource ref="F3:M9" sheet="Acciones por Servicio"/>
  </cacheSource>
  <cacheFields count="8">
    <cacheField name="ROL" numFmtId="0">
      <sharedItems/>
    </cacheField>
    <cacheField name="NOMBRE" numFmtId="0">
      <sharedItems containsBlank="1" count="3">
        <m/>
        <s v="Maicol"/>
        <s v="Nati"/>
      </sharedItems>
    </cacheField>
    <cacheField name="HORAS  PROYECTADOS" numFmtId="0">
      <sharedItems containsString="0" containsBlank="1" containsNumber="1" minValue="0.2" maxValue="50"/>
    </cacheField>
    <cacheField name="DÍAS  PROYECTADOS" numFmtId="0">
      <sharedItems containsString="0" containsBlank="1" containsNumber="1" minValue="2.2222222222222223E-2" maxValue="5.5555555555555554"/>
    </cacheField>
    <cacheField name="FECHA DE INICIO" numFmtId="14">
      <sharedItems containsNonDate="0" containsDate="1" containsString="0" containsBlank="1" minDate="2026-01-09T00:00:00" maxDate="2026-01-21T00:00:00"/>
    </cacheField>
    <cacheField name="FECHA FINAL PROYECTADA" numFmtId="0">
      <sharedItems containsNonDate="0" containsDate="1" containsString="0" containsBlank="1" minDate="2026-01-09T00:00:00" maxDate="2026-01-28T00:00:00"/>
    </cacheField>
    <cacheField name="SEMANA INICIO PROYECTADA" numFmtId="0">
      <sharedItems containsString="0" containsBlank="1" containsNumber="1" containsInteger="1" minValue="2" maxValue="4" count="4">
        <m/>
        <n v="4"/>
        <n v="2"/>
        <n v="3"/>
      </sharedItems>
    </cacheField>
    <cacheField name="SEMANA FINAL PROYECTADA" numFmtId="0">
      <sharedItems containsString="0" containsBlank="1" containsNumber="1" containsInteger="1" minValue="2" maxValu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1">
  <r>
    <s v="Fase 1"/>
    <x v="0"/>
    <s v="D1. Parcelaciones y Condominios"/>
    <s v="01. Urbanismo"/>
    <x v="0"/>
    <x v="0"/>
    <s v="Proyecto"/>
    <n v="1"/>
    <x v="0"/>
    <m/>
    <x v="0"/>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0"/>
    <s v="D1. Parcelaciones y Condominios"/>
    <s v="01. Urbanismo"/>
    <x v="0"/>
    <x v="0"/>
    <s v="Proyecto"/>
    <n v="1"/>
    <x v="0"/>
    <m/>
    <x v="1"/>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0"/>
    <s v="D1. Parcelaciones y Condominios"/>
    <s v="01. Urbanismo"/>
    <x v="0"/>
    <x v="0"/>
    <s v="Proyecto"/>
    <n v="1"/>
    <x v="0"/>
    <m/>
    <x v="2"/>
    <x v="0"/>
    <n v="0.3"/>
    <n v="17730.496453900709"/>
    <n v="5319.1489361702124"/>
    <n v="1266.464032421479"/>
    <n v="1023.256466143195"/>
    <n v="0"/>
    <n v="0"/>
    <n v="7608.8694347348865"/>
    <n v="8336.8431216931203"/>
    <n v="15945.712556428007"/>
    <n v="0.15"/>
    <n v="2391.856883464201"/>
    <n v="0.3"/>
    <n v="6833.8768098977198"/>
    <n v="25171.446249789926"/>
    <n v="0.05"/>
    <n v="1324.8129605152608"/>
    <n v="264.96259210305186"/>
    <n v="264.96259210305186"/>
    <n v="27026.184394511292"/>
  </r>
  <r>
    <s v="Fase 1"/>
    <x v="0"/>
    <s v="D1. Parcelaciones y Condominios"/>
    <s v="01. Urbanismo"/>
    <x v="0"/>
    <x v="0"/>
    <s v="Proyecto"/>
    <n v="1"/>
    <x v="0"/>
    <m/>
    <x v="3"/>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0"/>
    <s v="D1. Parcelaciones y Condominios"/>
    <s v="01. Urbanismo"/>
    <x v="0"/>
    <x v="0"/>
    <s v="15 ha"/>
    <n v="1"/>
    <x v="1"/>
    <m/>
    <x v="4"/>
    <x v="0"/>
    <n v="2.5"/>
    <n v="17730.496453900709"/>
    <n v="44326.24113475177"/>
    <n v="10553.866936845659"/>
    <n v="8527.1372178599595"/>
    <n v="0"/>
    <n v="0"/>
    <n v="63407.245289457394"/>
    <n v="69473.692680776003"/>
    <n v="132880.93797023338"/>
    <n v="0.15"/>
    <n v="19932.140695535007"/>
    <n v="0.3"/>
    <n v="56948.973415814311"/>
    <n v="209762.05208158269"/>
    <n v="0.05"/>
    <n v="11040.108004293841"/>
    <n v="2208.0216008587654"/>
    <n v="2208.0216008587654"/>
    <n v="225218.20328759408"/>
  </r>
  <r>
    <s v="Fase 1"/>
    <x v="0"/>
    <s v="D1. Parcelaciones y Condominios"/>
    <s v="01. Urbanismo"/>
    <x v="0"/>
    <x v="0"/>
    <s v="15 ha"/>
    <n v="1"/>
    <x v="1"/>
    <m/>
    <x v="5"/>
    <x v="0"/>
    <n v="2.5"/>
    <n v="17730.496453900709"/>
    <n v="44326.24113475177"/>
    <n v="10553.866936845659"/>
    <n v="8527.1372178599595"/>
    <n v="0"/>
    <n v="0"/>
    <n v="63407.245289457394"/>
    <n v="69473.692680776003"/>
    <n v="132880.93797023338"/>
    <n v="0.15"/>
    <n v="19932.140695535007"/>
    <n v="0.3"/>
    <n v="56948.973415814311"/>
    <n v="209762.05208158269"/>
    <n v="0.05"/>
    <n v="11040.108004293841"/>
    <n v="2208.0216008587654"/>
    <n v="2208.0216008587654"/>
    <n v="225218.20328759408"/>
  </r>
  <r>
    <s v="Fase 1"/>
    <x v="0"/>
    <s v="D1. Parcelaciones y Condominios"/>
    <s v="01. Urbanismo"/>
    <x v="0"/>
    <x v="0"/>
    <s v="15 ha"/>
    <n v="1"/>
    <x v="1"/>
    <m/>
    <x v="6"/>
    <x v="0"/>
    <n v="9.4"/>
    <n v="17730.496453900709"/>
    <n v="166666.66666666666"/>
    <n v="39682.539682539682"/>
    <n v="32062.035939153444"/>
    <n v="0"/>
    <n v="0"/>
    <n v="238411.24228835979"/>
    <n v="261221.08447971777"/>
    <n v="499632.32676807756"/>
    <n v="0.15"/>
    <n v="74944.849015211628"/>
    <n v="0.3"/>
    <n v="214128.14004346181"/>
    <n v="788705.31582675094"/>
    <n v="0.05"/>
    <n v="41510.806096144835"/>
    <n v="8302.1612192289576"/>
    <n v="8302.1612192289576"/>
    <n v="846820.44436135376"/>
  </r>
  <r>
    <s v="Fase 1"/>
    <x v="0"/>
    <s v="D1. Parcelaciones y Condominios"/>
    <s v="01. Urbanismo"/>
    <x v="0"/>
    <x v="0"/>
    <s v="15 ha"/>
    <n v="1"/>
    <x v="1"/>
    <m/>
    <x v="7"/>
    <x v="0"/>
    <n v="2.5"/>
    <n v="17730.496453900709"/>
    <n v="44326.24113475177"/>
    <n v="10553.866936845659"/>
    <n v="8527.1372178599595"/>
    <n v="0"/>
    <n v="0"/>
    <n v="63407.245289457394"/>
    <n v="69473.692680776003"/>
    <n v="132880.93797023338"/>
    <n v="0.15"/>
    <n v="19932.140695535007"/>
    <n v="0.3"/>
    <n v="56948.973415814311"/>
    <n v="209762.05208158269"/>
    <n v="0.05"/>
    <n v="11040.108004293841"/>
    <n v="2208.0216008587654"/>
    <n v="2208.0216008587654"/>
    <n v="225218.20328759408"/>
  </r>
  <r>
    <s v="Fase 1"/>
    <x v="0"/>
    <s v="D1. Parcelaciones y Condominios"/>
    <s v="01. Urbanismo"/>
    <x v="0"/>
    <x v="0"/>
    <s v="15 ha"/>
    <n v="1"/>
    <x v="1"/>
    <m/>
    <x v="8"/>
    <x v="0"/>
    <n v="2.5"/>
    <n v="17730.496453900709"/>
    <n v="44326.24113475177"/>
    <n v="10553.866936845659"/>
    <n v="8527.1372178599595"/>
    <n v="0"/>
    <n v="0"/>
    <n v="63407.245289457394"/>
    <n v="69473.692680776003"/>
    <n v="132880.93797023338"/>
    <n v="0.15"/>
    <n v="19932.140695535007"/>
    <n v="0.3"/>
    <n v="56948.973415814311"/>
    <n v="209762.05208158269"/>
    <n v="0.05"/>
    <n v="11040.108004293841"/>
    <n v="2208.0216008587654"/>
    <n v="2208.0216008587654"/>
    <n v="225218.20328759408"/>
  </r>
  <r>
    <s v="Fase 1"/>
    <x v="0"/>
    <s v="D1. Parcelaciones y Condominios"/>
    <s v="01. Urbanismo"/>
    <x v="0"/>
    <x v="0"/>
    <s v="15 ha"/>
    <n v="1"/>
    <x v="1"/>
    <m/>
    <x v="9"/>
    <x v="0"/>
    <n v="3"/>
    <n v="17730.496453900709"/>
    <n v="53191.48936170213"/>
    <n v="12664.64032421479"/>
    <n v="10232.56466143195"/>
    <n v="0"/>
    <n v="0"/>
    <n v="76088.694347348879"/>
    <n v="83368.431216931203"/>
    <n v="159457.12556428008"/>
    <n v="0.15"/>
    <n v="23918.56883464201"/>
    <n v="0.3"/>
    <n v="68338.768098977191"/>
    <n v="251714.46249789928"/>
    <n v="0.05"/>
    <n v="13248.129605152615"/>
    <n v="2649.6259210305188"/>
    <n v="2649.6259210305188"/>
    <n v="270261.84394511295"/>
  </r>
  <r>
    <s v="Fase 1"/>
    <x v="0"/>
    <s v="D1. Parcelaciones y Condominios"/>
    <s v="01. Urbanismo"/>
    <x v="0"/>
    <x v="0"/>
    <s v="15 ha"/>
    <n v="1"/>
    <x v="1"/>
    <m/>
    <x v="10"/>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0"/>
    <s v="D1. Parcelaciones y Condominios"/>
    <s v="01. Urbanismo"/>
    <x v="0"/>
    <x v="0"/>
    <s v="15 ha"/>
    <n v="1"/>
    <x v="1"/>
    <m/>
    <x v="11"/>
    <x v="0"/>
    <n v="9.4"/>
    <n v="17730.496453900709"/>
    <n v="166666.66666666666"/>
    <n v="39682.539682539682"/>
    <n v="32062.035939153444"/>
    <n v="0"/>
    <n v="0"/>
    <n v="238411.24228835979"/>
    <n v="261221.08447971777"/>
    <n v="499632.32676807756"/>
    <n v="0.15"/>
    <n v="74944.849015211628"/>
    <n v="0.3"/>
    <n v="214128.14004346181"/>
    <n v="788705.31582675094"/>
    <n v="0.05"/>
    <n v="41510.806096144835"/>
    <n v="8302.1612192289576"/>
    <n v="8302.1612192289576"/>
    <n v="846820.44436135376"/>
  </r>
  <r>
    <s v="Fase 1"/>
    <x v="0"/>
    <s v="D1. Parcelaciones y Condominios"/>
    <s v="01. Urbanismo"/>
    <x v="0"/>
    <x v="0"/>
    <s v="15 ha"/>
    <n v="1"/>
    <x v="2"/>
    <m/>
    <x v="12"/>
    <x v="0"/>
    <n v="5"/>
    <n v="17730.496453900709"/>
    <n v="88652.48226950354"/>
    <n v="21107.733873691319"/>
    <n v="17054.274435719919"/>
    <n v="0"/>
    <n v="0"/>
    <n v="126814.49057891479"/>
    <n v="138947.38536155201"/>
    <n v="265761.87594046677"/>
    <n v="0.15"/>
    <n v="39864.281391070013"/>
    <n v="0.3"/>
    <n v="113897.94683162862"/>
    <n v="419524.10416316538"/>
    <n v="0.05"/>
    <n v="22080.216008587682"/>
    <n v="4416.0432017175308"/>
    <n v="4416.0432017175308"/>
    <n v="450436.40657518816"/>
  </r>
  <r>
    <s v="Fase 1"/>
    <x v="0"/>
    <s v="D1. Parcelaciones y Condominios"/>
    <s v="01. Urbanismo"/>
    <x v="0"/>
    <x v="0"/>
    <s v="15 ha"/>
    <n v="1"/>
    <x v="2"/>
    <m/>
    <x v="13"/>
    <x v="0"/>
    <n v="4"/>
    <n v="17730.496453900709"/>
    <n v="70921.985815602835"/>
    <n v="16886.187098953054"/>
    <n v="13643.419548575934"/>
    <n v="0"/>
    <n v="0"/>
    <n v="101451.59246313182"/>
    <n v="111157.9082892416"/>
    <n v="212609.50075237342"/>
    <n v="0.15"/>
    <n v="31891.425112856014"/>
    <n v="0.3"/>
    <n v="91118.357465302921"/>
    <n v="335619.28333053237"/>
    <n v="0.05"/>
    <n v="17664.172806870134"/>
    <n v="3532.8345613740253"/>
    <n v="3532.8345613740253"/>
    <n v="360349.12526015058"/>
  </r>
  <r>
    <s v="Fase 2"/>
    <x v="1"/>
    <s v="D1. Parcelaciones y Condominios"/>
    <s v="01. Urbanismo"/>
    <x v="1"/>
    <x v="1"/>
    <s v="15 ha"/>
    <n v="1"/>
    <x v="3"/>
    <m/>
    <x v="14"/>
    <x v="0"/>
    <n v="9.4"/>
    <n v="17730.496453900709"/>
    <n v="166666.66666666666"/>
    <n v="39682.539682539682"/>
    <n v="32062.035939153444"/>
    <n v="0"/>
    <n v="0"/>
    <n v="238411.24228835979"/>
    <n v="261221.08447971777"/>
    <n v="499632.32676807756"/>
    <n v="0.05"/>
    <n v="24981.616338403881"/>
    <n v="0.2"/>
    <n v="124908.08169201936"/>
    <n v="649522.02479850082"/>
    <n v="0.05"/>
    <n v="34185.36972623691"/>
    <n v="6837.0739452473772"/>
    <n v="6837.0739452473772"/>
    <n v="697381.5424152324"/>
  </r>
  <r>
    <s v="Fase 2"/>
    <x v="1"/>
    <s v="D1. Parcelaciones y Condominios"/>
    <s v="01. Urbanismo"/>
    <x v="1"/>
    <x v="1"/>
    <s v="Und"/>
    <n v="1"/>
    <x v="4"/>
    <m/>
    <x v="15"/>
    <x v="0"/>
    <n v="5"/>
    <n v="17730.496453900709"/>
    <n v="88652.48226950354"/>
    <n v="21107.733873691319"/>
    <n v="17054.274435719919"/>
    <n v="0"/>
    <n v="0"/>
    <n v="126814.49057891479"/>
    <n v="138947.38536155201"/>
    <n v="265761.87594046677"/>
    <n v="0.05"/>
    <n v="13288.093797023339"/>
    <n v="0.2"/>
    <n v="66440.468985116691"/>
    <n v="345490.43872260681"/>
    <n v="0.05"/>
    <n v="18183.707301189832"/>
    <n v="3636.7414602379663"/>
    <n v="3636.7414602379663"/>
    <n v="370947.62894427252"/>
  </r>
  <r>
    <s v="Fase 2"/>
    <x v="1"/>
    <s v="D1. Parcelaciones y Condominios"/>
    <s v="01. Urbanismo"/>
    <x v="1"/>
    <x v="1"/>
    <s v="Und"/>
    <n v="1"/>
    <x v="5"/>
    <m/>
    <x v="16"/>
    <x v="0"/>
    <n v="1.5"/>
    <n v="17730.496453900709"/>
    <n v="26595.744680851065"/>
    <n v="6332.3201621073949"/>
    <n v="5116.2823307159751"/>
    <n v="0"/>
    <n v="0"/>
    <n v="38044.34717367444"/>
    <n v="41684.215608465602"/>
    <n v="79728.562782140041"/>
    <n v="0.05"/>
    <n v="3986.4281391070022"/>
    <n v="0.2"/>
    <n v="19932.14069553501"/>
    <n v="103647.13161678205"/>
    <n v="0.05"/>
    <n v="5455.1121903569583"/>
    <n v="1091.0224380713901"/>
    <n v="1091.0224380713901"/>
    <n v="111284.28868328179"/>
  </r>
  <r>
    <s v="Fase 2"/>
    <x v="1"/>
    <s v="D1. Parcelaciones y Condominios"/>
    <s v="01. Urbanismo"/>
    <x v="1"/>
    <x v="1"/>
    <s v="Und"/>
    <n v="1"/>
    <x v="5"/>
    <m/>
    <x v="17"/>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1"/>
    <s v="D1. Parcelaciones y Condominios"/>
    <s v="01. Urbanismo"/>
    <x v="1"/>
    <x v="1"/>
    <s v="Und"/>
    <n v="1"/>
    <x v="6"/>
    <m/>
    <x v="18"/>
    <x v="0"/>
    <n v="3"/>
    <n v="17730.496453900709"/>
    <n v="53191.48936170213"/>
    <n v="12664.64032421479"/>
    <n v="10232.56466143195"/>
    <n v="0"/>
    <n v="0"/>
    <n v="76088.694347348879"/>
    <n v="83368.431216931203"/>
    <n v="159457.12556428008"/>
    <n v="0.05"/>
    <n v="7972.8562782140043"/>
    <n v="0.2"/>
    <n v="39864.281391070021"/>
    <n v="207294.2632335641"/>
    <n v="0.05"/>
    <n v="10910.224380713917"/>
    <n v="2182.0448761427801"/>
    <n v="2182.0448761427801"/>
    <n v="222568.57736656358"/>
  </r>
  <r>
    <s v="Fase 2"/>
    <x v="1"/>
    <s v="D1. Parcelaciones y Condominios"/>
    <s v="01. Urbanismo"/>
    <x v="1"/>
    <x v="1"/>
    <s v="Etapa"/>
    <n v="1"/>
    <x v="3"/>
    <m/>
    <x v="19"/>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1"/>
    <s v="D1. Parcelaciones y Condominios"/>
    <s v="01. Urbanismo"/>
    <x v="1"/>
    <x v="1"/>
    <s v="Etapa"/>
    <n v="1"/>
    <x v="3"/>
    <m/>
    <x v="20"/>
    <x v="0"/>
    <n v="8"/>
    <n v="17730.496453900709"/>
    <n v="141843.97163120567"/>
    <n v="33772.374197906109"/>
    <n v="27286.839097151867"/>
    <n v="0"/>
    <n v="0"/>
    <n v="202903.18492626364"/>
    <n v="222315.81657848321"/>
    <n v="425219.00150474685"/>
    <n v="0.05"/>
    <n v="21260.950075237342"/>
    <n v="0.2"/>
    <n v="106304.75037618668"/>
    <n v="552784.70195617084"/>
    <n v="0.05"/>
    <n v="29093.931681903778"/>
    <n v="5818.7863363807464"/>
    <n v="5818.7863363807464"/>
    <n v="593516.20631083613"/>
  </r>
  <r>
    <s v="Fase 2"/>
    <x v="1"/>
    <s v="D1. Parcelaciones y Condominios"/>
    <s v="01. Urbanismo"/>
    <x v="1"/>
    <x v="1"/>
    <s v="Etapa"/>
    <n v="1"/>
    <x v="3"/>
    <m/>
    <x v="21"/>
    <x v="0"/>
    <n v="4"/>
    <n v="17730.496453900709"/>
    <n v="70921.985815602835"/>
    <n v="16886.187098953054"/>
    <n v="13643.419548575934"/>
    <n v="0"/>
    <n v="0"/>
    <n v="101451.59246313182"/>
    <n v="111157.9082892416"/>
    <n v="212609.50075237342"/>
    <n v="0.05"/>
    <n v="10630.475037618671"/>
    <n v="0.2"/>
    <n v="53152.375188093341"/>
    <n v="276392.35097808542"/>
    <n v="0.05"/>
    <n v="14546.965840951889"/>
    <n v="2909.3931681903732"/>
    <n v="2909.3931681903732"/>
    <n v="296758.10315541807"/>
  </r>
  <r>
    <s v="Fase 2"/>
    <x v="1"/>
    <s v="D1. Parcelaciones y Condominios"/>
    <s v="01. Urbanismo"/>
    <x v="1"/>
    <x v="1"/>
    <s v="Etapa"/>
    <n v="1"/>
    <x v="3"/>
    <m/>
    <x v="22"/>
    <x v="0"/>
    <n v="4"/>
    <n v="17730.496453900709"/>
    <n v="70921.985815602835"/>
    <n v="16886.187098953054"/>
    <n v="13643.419548575934"/>
    <n v="0"/>
    <n v="0"/>
    <n v="101451.59246313182"/>
    <n v="111157.9082892416"/>
    <n v="212609.50075237342"/>
    <n v="0.05"/>
    <n v="10630.475037618671"/>
    <n v="0.2"/>
    <n v="53152.375188093341"/>
    <n v="276392.35097808542"/>
    <n v="0.05"/>
    <n v="14546.965840951889"/>
    <n v="2909.3931681903732"/>
    <n v="2909.3931681903732"/>
    <n v="296758.10315541807"/>
  </r>
  <r>
    <s v="Fase 2"/>
    <x v="1"/>
    <s v="D1. Parcelaciones y Condominios"/>
    <s v="01. Urbanismo"/>
    <x v="1"/>
    <x v="1"/>
    <s v="Etapa"/>
    <n v="1"/>
    <x v="3"/>
    <m/>
    <x v="23"/>
    <x v="0"/>
    <n v="3"/>
    <n v="17730.496453900709"/>
    <n v="53191.48936170213"/>
    <n v="12664.64032421479"/>
    <n v="10232.56466143195"/>
    <n v="0"/>
    <n v="0"/>
    <n v="76088.694347348879"/>
    <n v="83368.431216931203"/>
    <n v="159457.12556428008"/>
    <n v="0.05"/>
    <n v="7972.8562782140043"/>
    <n v="0.2"/>
    <n v="39864.281391070021"/>
    <n v="207294.2632335641"/>
    <n v="0.05"/>
    <n v="10910.224380713917"/>
    <n v="2182.0448761427801"/>
    <n v="2182.0448761427801"/>
    <n v="222568.57736656358"/>
  </r>
  <r>
    <s v="Fase 2"/>
    <x v="1"/>
    <s v="D1. Parcelaciones y Condominios"/>
    <s v="01. Urbanismo"/>
    <x v="1"/>
    <x v="1"/>
    <s v="Etapa"/>
    <n v="1"/>
    <x v="3"/>
    <m/>
    <x v="24"/>
    <x v="0"/>
    <n v="2"/>
    <n v="17730.496453900709"/>
    <n v="35460.992907801417"/>
    <n v="8443.0935494765272"/>
    <n v="6821.7097742879669"/>
    <n v="0"/>
    <n v="0"/>
    <n v="50725.79623156591"/>
    <n v="55578.954144620802"/>
    <n v="106304.75037618671"/>
    <n v="0.05"/>
    <n v="5315.2375188093356"/>
    <n v="0.2"/>
    <n v="26576.187594046671"/>
    <n v="138196.17548904271"/>
    <n v="0.05"/>
    <n v="7273.4829204759444"/>
    <n v="1454.6965840951866"/>
    <n v="1454.6965840951866"/>
    <n v="148379.05157770903"/>
  </r>
  <r>
    <s v="Fase 2"/>
    <x v="1"/>
    <s v="D1. Parcelaciones y Condominios"/>
    <s v="01. Urbanismo"/>
    <x v="1"/>
    <x v="1"/>
    <s v="Etapa"/>
    <n v="1"/>
    <x v="3"/>
    <m/>
    <x v="25"/>
    <x v="0"/>
    <n v="2"/>
    <n v="17730.496453900709"/>
    <n v="35460.992907801417"/>
    <n v="8443.0935494765272"/>
    <n v="6821.7097742879669"/>
    <n v="0"/>
    <n v="0"/>
    <n v="50725.79623156591"/>
    <n v="55578.954144620802"/>
    <n v="106304.75037618671"/>
    <n v="0.05"/>
    <n v="5315.2375188093356"/>
    <n v="0.2"/>
    <n v="26576.187594046671"/>
    <n v="138196.17548904271"/>
    <n v="0.05"/>
    <n v="7273.4829204759444"/>
    <n v="1454.6965840951866"/>
    <n v="1454.6965840951866"/>
    <n v="148379.05157770903"/>
  </r>
  <r>
    <s v="Fase 2"/>
    <x v="1"/>
    <s v="D1. Parcelaciones y Condominios"/>
    <s v="01. Urbanismo"/>
    <x v="1"/>
    <x v="1"/>
    <s v="Etapa"/>
    <n v="1"/>
    <x v="3"/>
    <m/>
    <x v="26"/>
    <x v="0"/>
    <n v="3"/>
    <n v="17730.496453900709"/>
    <n v="53191.48936170213"/>
    <n v="12664.64032421479"/>
    <n v="10232.56466143195"/>
    <n v="0"/>
    <n v="0"/>
    <n v="76088.694347348879"/>
    <n v="83368.431216931203"/>
    <n v="159457.12556428008"/>
    <n v="0.05"/>
    <n v="7972.8562782140043"/>
    <n v="0.2"/>
    <n v="39864.281391070021"/>
    <n v="207294.2632335641"/>
    <n v="0.05"/>
    <n v="10910.224380713917"/>
    <n v="2182.0448761427801"/>
    <n v="2182.0448761427801"/>
    <n v="222568.57736656358"/>
  </r>
  <r>
    <s v="Fase 2"/>
    <x v="1"/>
    <s v="D1. Parcelaciones y Condominios"/>
    <s v="01. Urbanismo"/>
    <x v="1"/>
    <x v="1"/>
    <s v="Etapa"/>
    <n v="1"/>
    <x v="3"/>
    <m/>
    <x v="27"/>
    <x v="0"/>
    <n v="0.3"/>
    <n v="17730.496453900709"/>
    <n v="5319.1489361702124"/>
    <n v="1266.464032421479"/>
    <n v="1023.256466143195"/>
    <n v="0"/>
    <n v="0"/>
    <n v="7608.8694347348865"/>
    <n v="8336.8431216931203"/>
    <n v="15945.712556428007"/>
    <n v="0.05"/>
    <n v="797.28562782140034"/>
    <n v="0.2"/>
    <n v="3986.4281391069999"/>
    <n v="20729.426323356409"/>
    <n v="0.05"/>
    <n v="1091.0224380713917"/>
    <n v="218.20448761427801"/>
    <n v="218.20448761427801"/>
    <n v="22256.857736656359"/>
  </r>
  <r>
    <s v="Fase 2"/>
    <x v="1"/>
    <s v="D1. Parcelaciones y Condominios"/>
    <s v="01. Urbanismo"/>
    <x v="1"/>
    <x v="1"/>
    <s v="Etapa"/>
    <n v="1"/>
    <x v="3"/>
    <m/>
    <x v="28"/>
    <x v="1"/>
    <n v="1"/>
    <n v="20263.424518743668"/>
    <n v="20263.424518743668"/>
    <n v="2532.9280648429585"/>
    <n v="3410.8548871439834"/>
    <n v="0"/>
    <n v="0"/>
    <n v="26207.207470730609"/>
    <n v="27789.477072310401"/>
    <n v="53996.68454304101"/>
    <n v="0.05"/>
    <n v="2699.8342271520505"/>
    <n v="0.2"/>
    <n v="13499.171135760254"/>
    <n v="70195.689905953317"/>
    <n v="0.05"/>
    <n v="3694.5099950501753"/>
    <n v="738.90199901003496"/>
    <n v="738.90199901003496"/>
    <n v="75368.003899023563"/>
  </r>
  <r>
    <s v="Fase 2"/>
    <x v="2"/>
    <s v="D1. Parcelaciones y Condominios"/>
    <s v="03. Complementario"/>
    <x v="2"/>
    <x v="2"/>
    <s v="Und"/>
    <n v="1"/>
    <x v="7"/>
    <m/>
    <x v="29"/>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7"/>
    <m/>
    <x v="30"/>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7"/>
    <m/>
    <x v="31"/>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8"/>
    <m/>
    <x v="32"/>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8"/>
    <m/>
    <x v="33"/>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8"/>
    <m/>
    <x v="29"/>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8"/>
    <m/>
    <x v="30"/>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8"/>
    <m/>
    <x v="34"/>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8"/>
    <m/>
    <x v="31"/>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9"/>
    <m/>
    <x v="32"/>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9"/>
    <m/>
    <x v="29"/>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9"/>
    <m/>
    <x v="35"/>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9"/>
    <m/>
    <x v="36"/>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9"/>
    <m/>
    <x v="37"/>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9"/>
    <m/>
    <x v="38"/>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9"/>
    <m/>
    <x v="34"/>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9"/>
    <m/>
    <x v="31"/>
    <x v="2"/>
    <n v="0.21"/>
    <n v="15197.568389057751"/>
    <n v="3191.4893617021276"/>
    <n v="709.21985815602829"/>
    <n v="716.27952630023651"/>
    <m/>
    <m/>
    <n v="4616.9887461583921"/>
    <n v="5835.7901851851839"/>
    <n v="10452.778931343575"/>
    <m/>
    <n v="0"/>
    <n v="0.3"/>
    <n v="4479.7623991472483"/>
    <n v="14932.541330490823"/>
    <m/>
    <n v="0"/>
    <n v="149.32541330490824"/>
    <n v="149.32541330490824"/>
    <n v="15231.192157100641"/>
  </r>
  <r>
    <s v="Fase 2"/>
    <x v="2"/>
    <s v="D1. Parcelaciones y Condominios"/>
    <s v="03. Complementario"/>
    <x v="2"/>
    <x v="2"/>
    <s v="Und"/>
    <n v="1"/>
    <x v="10"/>
    <m/>
    <x v="39"/>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10"/>
    <m/>
    <x v="40"/>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10"/>
    <m/>
    <x v="29"/>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10"/>
    <m/>
    <x v="30"/>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10"/>
    <m/>
    <x v="34"/>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10"/>
    <m/>
    <x v="31"/>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11"/>
    <m/>
    <x v="41"/>
    <x v="2"/>
    <n v="0.12"/>
    <n v="15197.568389057751"/>
    <n v="1823.70820668693"/>
    <n v="405.26849037487329"/>
    <n v="409.30258645727798"/>
    <m/>
    <m/>
    <n v="2638.2792835190812"/>
    <n v="3334.7372486772479"/>
    <n v="5973.0165321963286"/>
    <m/>
    <n v="0"/>
    <n v="0.3"/>
    <n v="2559.8642280841414"/>
    <n v="8532.88076028047"/>
    <m/>
    <n v="0"/>
    <n v="85.328807602804702"/>
    <n v="85.328807602804702"/>
    <n v="8703.5383754860777"/>
  </r>
  <r>
    <s v="Fase 2"/>
    <x v="2"/>
    <s v="D1. Parcelaciones y Condominios"/>
    <s v="03. Complementario"/>
    <x v="2"/>
    <x v="2"/>
    <s v="Und"/>
    <n v="1"/>
    <x v="11"/>
    <m/>
    <x v="34"/>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11"/>
    <m/>
    <x v="29"/>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11"/>
    <m/>
    <x v="30"/>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11"/>
    <m/>
    <x v="31"/>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12"/>
    <m/>
    <x v="42"/>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13"/>
    <m/>
    <x v="43"/>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13"/>
    <m/>
    <x v="38"/>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3"/>
    <x v="3"/>
    <s v="D1. Parcelaciones y Condominios"/>
    <s v="03. Complementario"/>
    <x v="3"/>
    <x v="2"/>
    <s v="Und"/>
    <n v="1"/>
    <x v="8"/>
    <m/>
    <x v="34"/>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8"/>
    <m/>
    <x v="31"/>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9"/>
    <m/>
    <x v="32"/>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9"/>
    <m/>
    <x v="29"/>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9"/>
    <m/>
    <x v="35"/>
    <x v="2"/>
    <n v="0.1"/>
    <n v="15197.568389057751"/>
    <n v="1519.7568389057751"/>
    <n v="337.72374197906112"/>
    <n v="341.08548871439837"/>
    <m/>
    <m/>
    <n v="2198.5660695992347"/>
    <n v="2778.9477072310401"/>
    <n v="4977.5137768302748"/>
    <n v="0.15"/>
    <n v="746.62706652454119"/>
    <n v="0.3"/>
    <n v="2133.2201900701184"/>
    <n v="7857.3610334249342"/>
    <n v="0.05"/>
    <n v="413.54531754868094"/>
    <n v="82.709063509736154"/>
    <n v="82.709063509736154"/>
    <n v="8436.3244779930865"/>
  </r>
  <r>
    <s v="Fase 3"/>
    <x v="3"/>
    <s v="D1. Parcelaciones y Condominios"/>
    <s v="03. Complementario"/>
    <x v="3"/>
    <x v="2"/>
    <s v="Und"/>
    <n v="1"/>
    <x v="9"/>
    <m/>
    <x v="36"/>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9"/>
    <m/>
    <x v="37"/>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9"/>
    <m/>
    <x v="38"/>
    <x v="2"/>
    <n v="0.1"/>
    <n v="15197.568389057751"/>
    <n v="1519.7568389057751"/>
    <n v="337.72374197906112"/>
    <n v="341.08548871439837"/>
    <m/>
    <m/>
    <n v="2198.5660695992347"/>
    <n v="2778.9477072310401"/>
    <n v="4977.5137768302748"/>
    <n v="0.15"/>
    <n v="746.62706652454119"/>
    <n v="0.3"/>
    <n v="2133.2201900701184"/>
    <n v="7857.3610334249342"/>
    <n v="0.05"/>
    <n v="413.54531754868094"/>
    <n v="82.709063509736154"/>
    <n v="82.709063509736154"/>
    <n v="8436.3244779930865"/>
  </r>
  <r>
    <s v="Fase 3"/>
    <x v="3"/>
    <s v="D1. Parcelaciones y Condominios"/>
    <s v="03. Complementario"/>
    <x v="3"/>
    <x v="2"/>
    <s v="Und"/>
    <n v="1"/>
    <x v="9"/>
    <m/>
    <x v="34"/>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9"/>
    <m/>
    <x v="31"/>
    <x v="2"/>
    <n v="0.21"/>
    <n v="15197.568389057751"/>
    <n v="3191.4893617021276"/>
    <n v="709.21985815602829"/>
    <n v="716.27952630023651"/>
    <m/>
    <m/>
    <n v="4616.9887461583921"/>
    <n v="5835.7901851851839"/>
    <n v="10452.778931343575"/>
    <n v="0.15"/>
    <n v="1567.9168397015362"/>
    <n v="0.3"/>
    <n v="4479.7623991472483"/>
    <n v="16500.45817019236"/>
    <n v="0.05"/>
    <n v="868.44516685223061"/>
    <n v="173.68903337044591"/>
    <n v="173.68903337044591"/>
    <n v="17716.281403785484"/>
  </r>
  <r>
    <s v="Fase 3"/>
    <x v="3"/>
    <s v="D1. Parcelaciones y Condominios"/>
    <s v="03. Complementario"/>
    <x v="3"/>
    <x v="2"/>
    <s v="Und"/>
    <n v="1"/>
    <x v="10"/>
    <m/>
    <x v="39"/>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10"/>
    <m/>
    <x v="40"/>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10"/>
    <m/>
    <x v="29"/>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10"/>
    <m/>
    <x v="30"/>
    <x v="2"/>
    <n v="0.1"/>
    <n v="15197.568389057751"/>
    <n v="1519.7568389057751"/>
    <n v="337.72374197906112"/>
    <n v="341.08548871439837"/>
    <m/>
    <m/>
    <n v="2198.5660695992347"/>
    <n v="2778.9477072310401"/>
    <n v="4977.5137768302748"/>
    <n v="0.15"/>
    <n v="746.62706652454119"/>
    <n v="0.3"/>
    <n v="2133.2201900701184"/>
    <n v="7857.3610334249342"/>
    <n v="0.05"/>
    <n v="413.54531754868094"/>
    <n v="82.709063509736154"/>
    <n v="82.709063509736154"/>
    <n v="8436.3244779930865"/>
  </r>
  <r>
    <s v="Fase 3"/>
    <x v="3"/>
    <s v="D1. Parcelaciones y Condominios"/>
    <s v="03. Complementario"/>
    <x v="3"/>
    <x v="2"/>
    <s v="Und"/>
    <n v="1"/>
    <x v="10"/>
    <m/>
    <x v="34"/>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10"/>
    <m/>
    <x v="31"/>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11"/>
    <m/>
    <x v="41"/>
    <x v="2"/>
    <n v="0.12"/>
    <n v="15197.568389057751"/>
    <n v="1823.70820668693"/>
    <n v="405.26849037487329"/>
    <n v="409.30258645727798"/>
    <m/>
    <m/>
    <n v="2638.2792835190812"/>
    <n v="3334.7372486772479"/>
    <n v="5973.0165321963286"/>
    <n v="0.15"/>
    <n v="895.95247982944932"/>
    <n v="0.3"/>
    <n v="2559.8642280841414"/>
    <n v="9428.8332401099196"/>
    <n v="0.05"/>
    <n v="496.25438105841749"/>
    <n v="99.250876211683376"/>
    <n v="99.250876211683376"/>
    <n v="10123.589373591703"/>
  </r>
  <r>
    <s v="Fase 3"/>
    <x v="3"/>
    <s v="D1. Parcelaciones y Condominios"/>
    <s v="03. Complementario"/>
    <x v="3"/>
    <x v="2"/>
    <s v="Und"/>
    <n v="1"/>
    <x v="11"/>
    <m/>
    <x v="34"/>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11"/>
    <m/>
    <x v="29"/>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11"/>
    <m/>
    <x v="30"/>
    <x v="2"/>
    <n v="0.1"/>
    <n v="15197.568389057751"/>
    <n v="1519.7568389057751"/>
    <n v="337.72374197906112"/>
    <n v="341.08548871439837"/>
    <m/>
    <m/>
    <n v="2198.5660695992347"/>
    <n v="2778.9477072310401"/>
    <n v="4977.5137768302748"/>
    <n v="0.15"/>
    <n v="746.62706652454119"/>
    <n v="0.3"/>
    <n v="2133.2201900701184"/>
    <n v="7857.3610334249342"/>
    <n v="0.05"/>
    <n v="413.54531754868094"/>
    <n v="82.709063509736154"/>
    <n v="82.709063509736154"/>
    <n v="8436.3244779930865"/>
  </r>
  <r>
    <s v="Fase 3"/>
    <x v="3"/>
    <s v="D1. Parcelaciones y Condominios"/>
    <s v="03. Complementario"/>
    <x v="3"/>
    <x v="2"/>
    <s v="Und"/>
    <n v="1"/>
    <x v="11"/>
    <m/>
    <x v="31"/>
    <x v="2"/>
    <n v="0.1"/>
    <n v="15197.568389057751"/>
    <n v="1519.7568389057751"/>
    <n v="337.72374197906112"/>
    <n v="341.08548871439837"/>
    <m/>
    <m/>
    <n v="2198.5660695992347"/>
    <n v="2778.9477072310401"/>
    <n v="4977.5137768302748"/>
    <n v="0.15"/>
    <n v="746.62706652454119"/>
    <n v="0.3"/>
    <n v="2133.2201900701184"/>
    <n v="7857.3610334249342"/>
    <n v="0.05"/>
    <n v="413.54531754868094"/>
    <n v="82.709063509736154"/>
    <n v="82.709063509736154"/>
    <n v="8436.3244779930865"/>
  </r>
  <r>
    <s v="Fase 3"/>
    <x v="3"/>
    <s v="D1. Parcelaciones y Condominios"/>
    <s v="03. Complementario"/>
    <x v="3"/>
    <x v="2"/>
    <s v="Und"/>
    <n v="1"/>
    <x v="12"/>
    <m/>
    <x v="42"/>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13"/>
    <m/>
    <x v="43"/>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13"/>
    <m/>
    <x v="38"/>
    <x v="2"/>
    <n v="0.1"/>
    <n v="15197.568389057751"/>
    <n v="1519.7568389057751"/>
    <n v="337.72374197906112"/>
    <n v="341.08548871439837"/>
    <m/>
    <m/>
    <n v="2198.5660695992347"/>
    <n v="2778.9477072310401"/>
    <n v="4977.5137768302748"/>
    <n v="0.15"/>
    <n v="746.62706652454119"/>
    <n v="0.3"/>
    <n v="2133.2201900701184"/>
    <n v="7857.3610334249342"/>
    <n v="0.05"/>
    <n v="413.54531754868094"/>
    <n v="82.709063509736154"/>
    <n v="82.709063509736154"/>
    <n v="8436.3244779930865"/>
  </r>
  <r>
    <s v="Fase 2"/>
    <x v="4"/>
    <s v="D1. Parcelaciones y Condominios"/>
    <s v="02. Edificación"/>
    <x v="4"/>
    <x v="3"/>
    <s v="100m2"/>
    <n v="1"/>
    <x v="14"/>
    <m/>
    <x v="29"/>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4"/>
    <m/>
    <x v="30"/>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4"/>
    <m/>
    <x v="31"/>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Und"/>
    <n v="1"/>
    <x v="15"/>
    <m/>
    <x v="32"/>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Und"/>
    <n v="1"/>
    <x v="15"/>
    <m/>
    <x v="33"/>
    <x v="0"/>
    <n v="1"/>
    <n v="17730.496453900709"/>
    <n v="17730.496453900709"/>
    <n v="4221.5467747382636"/>
    <n v="3410.8548871439834"/>
    <n v="0"/>
    <n v="0"/>
    <n v="25362.898115782955"/>
    <n v="27789.477072310401"/>
    <n v="53152.375188093356"/>
    <n v="0.05"/>
    <n v="2657.6187594046678"/>
    <n v="0.3"/>
    <n v="22779.58936632573"/>
    <n v="78589.58331382375"/>
    <n v="0.05"/>
    <n v="4136.2938586223027"/>
    <n v="827.25877172446053"/>
    <n v="827.25877172446053"/>
    <n v="84380.394715894974"/>
  </r>
  <r>
    <s v="Fase 2"/>
    <x v="4"/>
    <s v="D1. Parcelaciones y Condominios"/>
    <s v="02. Edificación"/>
    <x v="4"/>
    <x v="3"/>
    <s v="100m2"/>
    <n v="1"/>
    <x v="15"/>
    <m/>
    <x v="29"/>
    <x v="0"/>
    <n v="2"/>
    <n v="17730.496453900709"/>
    <n v="35460.992907801417"/>
    <n v="8443.0935494765272"/>
    <n v="6821.7097742879669"/>
    <n v="0"/>
    <n v="0"/>
    <n v="50725.79623156591"/>
    <n v="55578.954144620802"/>
    <n v="106304.75037618671"/>
    <n v="0.05"/>
    <n v="5315.2375188093356"/>
    <n v="0.3"/>
    <n v="45559.17873265146"/>
    <n v="157179.1666276475"/>
    <n v="0.05"/>
    <n v="8272.5877172446053"/>
    <n v="1654.5175434489211"/>
    <n v="1654.5175434489211"/>
    <n v="168760.78943178995"/>
  </r>
  <r>
    <s v="Fase 2"/>
    <x v="4"/>
    <s v="D1. Parcelaciones y Condominios"/>
    <s v="02. Edificación"/>
    <x v="4"/>
    <x v="3"/>
    <s v="Und"/>
    <n v="1"/>
    <x v="15"/>
    <m/>
    <x v="44"/>
    <x v="0"/>
    <n v="2"/>
    <n v="17730.496453900709"/>
    <n v="35460.992907801417"/>
    <n v="8443.0935494765272"/>
    <n v="6821.7097742879669"/>
    <n v="0"/>
    <n v="0"/>
    <n v="50725.79623156591"/>
    <n v="55578.954144620802"/>
    <n v="106304.75037618671"/>
    <n v="0.05"/>
    <n v="5315.2375188093356"/>
    <n v="0.3"/>
    <n v="45559.17873265146"/>
    <n v="157179.1666276475"/>
    <n v="0.05"/>
    <n v="8272.5877172446053"/>
    <n v="1654.5175434489211"/>
    <n v="1654.5175434489211"/>
    <n v="168760.78943178995"/>
  </r>
  <r>
    <s v="Fase 2"/>
    <x v="4"/>
    <s v="D1. Parcelaciones y Condominios"/>
    <s v="02. Edificación"/>
    <x v="4"/>
    <x v="3"/>
    <s v="Und"/>
    <n v="1"/>
    <x v="15"/>
    <m/>
    <x v="30"/>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100m2"/>
    <n v="1"/>
    <x v="15"/>
    <m/>
    <x v="34"/>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5"/>
    <m/>
    <x v="31"/>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Und"/>
    <n v="1"/>
    <x v="16"/>
    <m/>
    <x v="32"/>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Und"/>
    <n v="1"/>
    <x v="16"/>
    <m/>
    <x v="29"/>
    <x v="0"/>
    <n v="1"/>
    <n v="17730.496453900709"/>
    <n v="17730.496453900709"/>
    <n v="4221.5467747382636"/>
    <n v="3410.8548871439834"/>
    <n v="0"/>
    <n v="0"/>
    <n v="25362.898115782955"/>
    <n v="27789.477072310401"/>
    <n v="53152.375188093356"/>
    <n v="0.05"/>
    <n v="2657.6187594046678"/>
    <n v="0.3"/>
    <n v="22779.58936632573"/>
    <n v="78589.58331382375"/>
    <n v="0.05"/>
    <n v="4136.2938586223027"/>
    <n v="827.25877172446053"/>
    <n v="827.25877172446053"/>
    <n v="84380.394715894974"/>
  </r>
  <r>
    <s v="Fase 2"/>
    <x v="4"/>
    <s v="D1. Parcelaciones y Condominios"/>
    <s v="02. Edificación"/>
    <x v="4"/>
    <x v="3"/>
    <s v="Und"/>
    <n v="1"/>
    <x v="16"/>
    <m/>
    <x v="35"/>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6"/>
    <m/>
    <x v="36"/>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6"/>
    <m/>
    <x v="37"/>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6"/>
    <m/>
    <x v="38"/>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Und"/>
    <n v="1"/>
    <x v="16"/>
    <m/>
    <x v="34"/>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6"/>
    <m/>
    <x v="31"/>
    <x v="0"/>
    <n v="0.21"/>
    <n v="17730.496453900709"/>
    <n v="3723.4042553191489"/>
    <n v="886.52482269503537"/>
    <n v="716.27952630023651"/>
    <n v="0"/>
    <n v="0"/>
    <n v="5326.2086043144209"/>
    <n v="5835.7901851851839"/>
    <n v="11161.998789499605"/>
    <n v="0.05"/>
    <n v="558.09993947498026"/>
    <n v="0.3"/>
    <n v="4783.7137669284039"/>
    <n v="16503.812495902988"/>
    <n v="0.05"/>
    <n v="868.62171031068283"/>
    <n v="173.72434206213671"/>
    <n v="173.72434206213671"/>
    <n v="17719.882890337947"/>
  </r>
  <r>
    <s v="Fase 2"/>
    <x v="4"/>
    <s v="D1. Parcelaciones y Condominios"/>
    <s v="02. Edificación"/>
    <x v="4"/>
    <x v="3"/>
    <s v="Und"/>
    <n v="1"/>
    <x v="17"/>
    <m/>
    <x v="39"/>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7"/>
    <m/>
    <x v="40"/>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7"/>
    <m/>
    <x v="29"/>
    <x v="0"/>
    <n v="1"/>
    <n v="17730.496453900709"/>
    <n v="17730.496453900709"/>
    <n v="4221.5467747382636"/>
    <n v="3410.8548871439834"/>
    <n v="0"/>
    <n v="0"/>
    <n v="25362.898115782955"/>
    <n v="27789.477072310401"/>
    <n v="53152.375188093356"/>
    <n v="0.05"/>
    <n v="2657.6187594046678"/>
    <n v="0.3"/>
    <n v="22779.58936632573"/>
    <n v="78589.58331382375"/>
    <n v="0.05"/>
    <n v="4136.2938586223027"/>
    <n v="827.25877172446053"/>
    <n v="827.25877172446053"/>
    <n v="84380.394715894974"/>
  </r>
  <r>
    <s v="Fase 2"/>
    <x v="4"/>
    <s v="D1. Parcelaciones y Condominios"/>
    <s v="02. Edificación"/>
    <x v="4"/>
    <x v="3"/>
    <s v="Und"/>
    <n v="1"/>
    <x v="17"/>
    <m/>
    <x v="30"/>
    <x v="0"/>
    <n v="0.3"/>
    <n v="17730.496453900709"/>
    <n v="5319.1489361702124"/>
    <n v="1266.464032421479"/>
    <n v="1023.256466143195"/>
    <n v="0"/>
    <n v="0"/>
    <n v="7608.8694347348865"/>
    <n v="8336.8431216931203"/>
    <n v="15945.712556428007"/>
    <n v="0.05"/>
    <n v="797.28562782140034"/>
    <n v="0.3"/>
    <n v="6833.8768098977198"/>
    <n v="23576.874994147129"/>
    <n v="0.05"/>
    <n v="1240.8881575866908"/>
    <n v="248.1776315173382"/>
    <n v="248.1776315173382"/>
    <n v="25314.118414768494"/>
  </r>
  <r>
    <s v="Fase 2"/>
    <x v="4"/>
    <s v="D1. Parcelaciones y Condominios"/>
    <s v="02. Edificación"/>
    <x v="4"/>
    <x v="3"/>
    <s v="Und"/>
    <n v="1"/>
    <x v="17"/>
    <m/>
    <x v="34"/>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7"/>
    <m/>
    <x v="31"/>
    <x v="0"/>
    <n v="0.3"/>
    <n v="17730.496453900709"/>
    <n v="5319.1489361702124"/>
    <n v="1266.464032421479"/>
    <n v="1023.256466143195"/>
    <n v="0"/>
    <n v="0"/>
    <n v="7608.8694347348865"/>
    <n v="8336.8431216931203"/>
    <n v="15945.712556428007"/>
    <n v="0.05"/>
    <n v="797.28562782140034"/>
    <n v="0.3"/>
    <n v="6833.8768098977198"/>
    <n v="23576.874994147129"/>
    <n v="0.05"/>
    <n v="1240.8881575866908"/>
    <n v="248.1776315173382"/>
    <n v="248.1776315173382"/>
    <n v="25314.118414768494"/>
  </r>
  <r>
    <s v="Fase 2"/>
    <x v="4"/>
    <s v="D1. Parcelaciones y Condominios"/>
    <s v="02. Edificación"/>
    <x v="4"/>
    <x v="3"/>
    <s v="Und"/>
    <n v="1"/>
    <x v="18"/>
    <m/>
    <x v="41"/>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8"/>
    <m/>
    <x v="34"/>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8"/>
    <m/>
    <x v="29"/>
    <x v="0"/>
    <n v="1"/>
    <n v="17730.496453900709"/>
    <n v="17730.496453900709"/>
    <n v="4221.5467747382636"/>
    <n v="3410.8548871439834"/>
    <n v="0"/>
    <n v="0"/>
    <n v="25362.898115782955"/>
    <n v="27789.477072310401"/>
    <n v="53152.375188093356"/>
    <n v="0.05"/>
    <n v="2657.6187594046678"/>
    <n v="0.3"/>
    <n v="22779.58936632573"/>
    <n v="78589.58331382375"/>
    <n v="0.05"/>
    <n v="4136.2938586223027"/>
    <n v="827.25877172446053"/>
    <n v="827.25877172446053"/>
    <n v="84380.394715894974"/>
  </r>
  <r>
    <s v="Fase 2"/>
    <x v="4"/>
    <s v="D1. Parcelaciones y Condominios"/>
    <s v="02. Edificación"/>
    <x v="4"/>
    <x v="3"/>
    <s v="Und"/>
    <n v="1"/>
    <x v="18"/>
    <m/>
    <x v="30"/>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Und"/>
    <n v="1"/>
    <x v="18"/>
    <m/>
    <x v="31"/>
    <x v="0"/>
    <n v="0.1"/>
    <n v="17730.496453900709"/>
    <n v="1773.049645390071"/>
    <n v="422.15467747382638"/>
    <n v="341.08548871439837"/>
    <n v="0"/>
    <n v="0"/>
    <n v="2536.2898115782955"/>
    <n v="2778.9477072310401"/>
    <n v="5315.2375188093356"/>
    <n v="0.05"/>
    <n v="265.76187594046678"/>
    <n v="0.3"/>
    <n v="2277.9589366325727"/>
    <n v="7858.958331382375"/>
    <n v="0.05"/>
    <n v="413.62938586223027"/>
    <n v="82.725877172446062"/>
    <n v="82.725877172446062"/>
    <n v="8438.0394715894981"/>
  </r>
  <r>
    <s v="Fase 2"/>
    <x v="4"/>
    <s v="D1. Parcelaciones y Condominios"/>
    <s v="02. Edificación"/>
    <x v="4"/>
    <x v="3"/>
    <s v="Und"/>
    <n v="1"/>
    <x v="19"/>
    <m/>
    <x v="42"/>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20"/>
    <m/>
    <x v="43"/>
    <x v="0"/>
    <n v="0.6"/>
    <n v="17730.496453900709"/>
    <n v="10638.297872340425"/>
    <n v="2532.9280648429581"/>
    <n v="2046.51293228639"/>
    <n v="0"/>
    <n v="0"/>
    <n v="15217.738869469773"/>
    <n v="16673.686243386241"/>
    <n v="31891.425112856014"/>
    <n v="0.05"/>
    <n v="1594.5712556428007"/>
    <n v="0.3"/>
    <n v="13667.75361979544"/>
    <n v="47153.749988294257"/>
    <n v="0.05"/>
    <n v="2481.7763151733816"/>
    <n v="496.3552630346764"/>
    <n v="496.3552630346764"/>
    <n v="50628.236829536989"/>
  </r>
  <r>
    <s v="Fase 2"/>
    <x v="4"/>
    <s v="D1. Parcelaciones y Condominios"/>
    <s v="02. Edificación"/>
    <x v="4"/>
    <x v="3"/>
    <s v="Und"/>
    <n v="1"/>
    <x v="20"/>
    <m/>
    <x v="38"/>
    <x v="0"/>
    <n v="0.1"/>
    <n v="17730.496453900709"/>
    <n v="1773.049645390071"/>
    <n v="422.15467747382638"/>
    <n v="341.08548871439837"/>
    <n v="0"/>
    <n v="0"/>
    <n v="2536.2898115782955"/>
    <n v="2778.9477072310401"/>
    <n v="5315.2375188093356"/>
    <n v="0.05"/>
    <n v="265.76187594046678"/>
    <n v="0.3"/>
    <n v="2277.9589366325727"/>
    <n v="7858.958331382375"/>
    <n v="0.05"/>
    <n v="413.62938586223027"/>
    <n v="82.725877172446062"/>
    <n v="82.725877172446062"/>
    <n v="8438.0394715894981"/>
  </r>
  <r>
    <s v="Fase 2"/>
    <x v="5"/>
    <s v="D1. Parcelaciones y Condominios"/>
    <s v="01. Urbanismo"/>
    <x v="5"/>
    <x v="4"/>
    <s v="15 ha"/>
    <n v="1"/>
    <x v="21"/>
    <m/>
    <x v="45"/>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2"/>
    <x v="5"/>
    <s v="D1. Parcelaciones y Condominios"/>
    <s v="01. Urbanismo"/>
    <x v="5"/>
    <x v="4"/>
    <s v="15 ha"/>
    <n v="1"/>
    <x v="21"/>
    <m/>
    <x v="46"/>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2"/>
    <x v="5"/>
    <s v="D1. Parcelaciones y Condominios"/>
    <s v="01. Urbanismo"/>
    <x v="5"/>
    <x v="4"/>
    <s v="15 ha"/>
    <n v="1"/>
    <x v="21"/>
    <m/>
    <x v="47"/>
    <x v="0"/>
    <n v="9.4"/>
    <n v="17730.496453900709"/>
    <n v="166666.66666666666"/>
    <n v="39682.539682539682"/>
    <n v="32062.035939153444"/>
    <n v="0"/>
    <n v="0"/>
    <n v="238411.24228835979"/>
    <n v="261221.08447971777"/>
    <n v="499632.32676807756"/>
    <n v="0.15"/>
    <n v="74944.849015211628"/>
    <n v="0.2"/>
    <n v="124908.08169201936"/>
    <n v="699485.25747530849"/>
    <n v="0.05"/>
    <n v="36815.013551332057"/>
    <n v="7363.0027102664053"/>
    <n v="7363.0027102664053"/>
    <n v="751026.27644717332"/>
  </r>
  <r>
    <s v="Fase 2"/>
    <x v="5"/>
    <s v="D1. Parcelaciones y Condominios"/>
    <s v="01. Urbanismo"/>
    <x v="5"/>
    <x v="4"/>
    <s v="15 ha"/>
    <n v="1"/>
    <x v="21"/>
    <m/>
    <x v="48"/>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2"/>
    <x v="5"/>
    <s v="D1. Parcelaciones y Condominios"/>
    <s v="01. Urbanismo"/>
    <x v="5"/>
    <x v="4"/>
    <s v="15 ha"/>
    <n v="1"/>
    <x v="21"/>
    <m/>
    <x v="49"/>
    <x v="0"/>
    <n v="9.4"/>
    <n v="17730.496453900709"/>
    <n v="166666.66666666666"/>
    <n v="39682.539682539682"/>
    <n v="32062.035939153444"/>
    <n v="0"/>
    <n v="0"/>
    <n v="238411.24228835979"/>
    <n v="261221.08447971777"/>
    <n v="499632.32676807756"/>
    <n v="0.15"/>
    <n v="74944.849015211628"/>
    <n v="0.2"/>
    <n v="124908.08169201936"/>
    <n v="699485.25747530849"/>
    <n v="0.05"/>
    <n v="36815.013551332057"/>
    <n v="7363.0027102664053"/>
    <n v="7363.0027102664053"/>
    <n v="751026.27644717332"/>
  </r>
  <r>
    <s v="Fase 2"/>
    <x v="5"/>
    <s v="D1. Parcelaciones y Condominios"/>
    <s v="01. Urbanismo"/>
    <x v="5"/>
    <x v="4"/>
    <s v="15 ha"/>
    <n v="1"/>
    <x v="22"/>
    <m/>
    <x v="50"/>
    <x v="0"/>
    <n v="9.4"/>
    <n v="17730.496453900709"/>
    <n v="166666.66666666666"/>
    <n v="39682.539682539682"/>
    <n v="32062.035939153444"/>
    <n v="0"/>
    <n v="0"/>
    <n v="238411.24228835979"/>
    <n v="261221.08447971777"/>
    <n v="499632.32676807756"/>
    <n v="0.15"/>
    <n v="74944.849015211628"/>
    <n v="0.2"/>
    <n v="124908.08169201936"/>
    <n v="699485.25747530849"/>
    <n v="0.05"/>
    <n v="36815.013551332057"/>
    <n v="7363.0027102664053"/>
    <n v="7363.0027102664053"/>
    <n v="751026.27644717332"/>
  </r>
  <r>
    <s v="Fase 2"/>
    <x v="5"/>
    <s v="D1. Parcelaciones y Condominios"/>
    <s v="01. Urbanismo"/>
    <x v="5"/>
    <x v="4"/>
    <s v="15 ha"/>
    <n v="1"/>
    <x v="21"/>
    <m/>
    <x v="51"/>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2"/>
    <x v="6"/>
    <s v="D1. Parcelaciones y Condominios"/>
    <s v="03. Complementario"/>
    <x v="6"/>
    <x v="5"/>
    <s v="Und"/>
    <n v="1"/>
    <x v="23"/>
    <m/>
    <x v="52"/>
    <x v="0"/>
    <n v="4"/>
    <n v="17730.496453900709"/>
    <n v="70921.985815602835"/>
    <n v="16886.187098953054"/>
    <n v="13643.419548575934"/>
    <m/>
    <m/>
    <n v="101451.59246313182"/>
    <n v="111157.9082892416"/>
    <n v="212609.50075237342"/>
    <m/>
    <n v="0"/>
    <n v="0.3"/>
    <n v="91118.357465302921"/>
    <n v="303727.85821767634"/>
    <m/>
    <n v="0"/>
    <n v="3037.2785821767634"/>
    <n v="3037.2785821767634"/>
    <n v="309802.4153820299"/>
  </r>
  <r>
    <s v="Fase 2"/>
    <x v="6"/>
    <s v="D1. Parcelaciones y Condominios"/>
    <s v="03. Complementario"/>
    <x v="6"/>
    <x v="5"/>
    <s v="Und"/>
    <n v="1"/>
    <x v="23"/>
    <m/>
    <x v="53"/>
    <x v="0"/>
    <n v="1"/>
    <n v="17730.496453900709"/>
    <n v="17730.496453900709"/>
    <n v="4221.5467747382636"/>
    <n v="3410.8548871439834"/>
    <m/>
    <m/>
    <n v="25362.898115782955"/>
    <n v="27789.477072310401"/>
    <n v="53152.375188093356"/>
    <m/>
    <n v="0"/>
    <n v="0.3"/>
    <n v="22779.58936632573"/>
    <n v="75931.964554419086"/>
    <m/>
    <n v="0"/>
    <n v="759.31964554419085"/>
    <n v="759.31964554419085"/>
    <n v="77450.603845507474"/>
  </r>
  <r>
    <s v="Fase 2"/>
    <x v="6"/>
    <s v="D1. Parcelaciones y Condominios"/>
    <s v="03. Complementario"/>
    <x v="6"/>
    <x v="5"/>
    <s v="Und"/>
    <n v="1"/>
    <x v="23"/>
    <m/>
    <x v="54"/>
    <x v="0"/>
    <n v="2"/>
    <n v="17730.496453900709"/>
    <n v="35460.992907801417"/>
    <n v="8443.0935494765272"/>
    <n v="6821.7097742879669"/>
    <m/>
    <m/>
    <n v="50725.79623156591"/>
    <n v="55578.954144620802"/>
    <n v="106304.75037618671"/>
    <m/>
    <n v="0"/>
    <n v="0.3"/>
    <n v="45559.17873265146"/>
    <n v="151863.92910883817"/>
    <m/>
    <n v="0"/>
    <n v="1518.6392910883817"/>
    <n v="1518.6392910883817"/>
    <n v="154901.20769101495"/>
  </r>
  <r>
    <s v="Fase 2"/>
    <x v="6"/>
    <s v="D1. Parcelaciones y Condominios"/>
    <s v="03. Complementario"/>
    <x v="6"/>
    <x v="5"/>
    <s v="Und"/>
    <n v="1"/>
    <x v="21"/>
    <m/>
    <x v="55"/>
    <x v="0"/>
    <n v="0.3"/>
    <n v="17730.496453900709"/>
    <n v="5319.1489361702124"/>
    <n v="1266.464032421479"/>
    <n v="1023.256466143195"/>
    <m/>
    <m/>
    <n v="7608.8694347348865"/>
    <n v="8336.8431216931203"/>
    <n v="15945.712556428007"/>
    <m/>
    <n v="0"/>
    <n v="0.3"/>
    <n v="6833.8768098977198"/>
    <n v="22779.589366325727"/>
    <m/>
    <n v="0"/>
    <n v="227.79589366325726"/>
    <n v="227.79589366325726"/>
    <n v="23235.18115365224"/>
  </r>
  <r>
    <s v="Fase 2"/>
    <x v="6"/>
    <s v="D1. Parcelaciones y Condominios"/>
    <s v="03. Complementario"/>
    <x v="6"/>
    <x v="5"/>
    <s v="Und"/>
    <n v="1"/>
    <x v="21"/>
    <m/>
    <x v="47"/>
    <x v="0"/>
    <n v="4"/>
    <n v="17730.496453900709"/>
    <n v="70921.985815602835"/>
    <n v="16886.187098953054"/>
    <n v="13643.419548575934"/>
    <m/>
    <m/>
    <n v="101451.59246313182"/>
    <n v="111157.9082892416"/>
    <n v="212609.50075237342"/>
    <m/>
    <n v="0"/>
    <n v="0.3"/>
    <n v="91118.357465302921"/>
    <n v="303727.85821767634"/>
    <m/>
    <n v="0"/>
    <n v="3037.2785821767634"/>
    <n v="3037.2785821767634"/>
    <n v="309802.4153820299"/>
  </r>
  <r>
    <s v="Fase 2"/>
    <x v="6"/>
    <s v="D1. Parcelaciones y Condominios"/>
    <s v="03. Complementario"/>
    <x v="6"/>
    <x v="5"/>
    <s v="Und"/>
    <n v="1"/>
    <x v="21"/>
    <m/>
    <x v="56"/>
    <x v="0"/>
    <n v="3"/>
    <n v="17730.496453900709"/>
    <n v="53191.48936170213"/>
    <n v="12664.64032421479"/>
    <n v="10232.56466143195"/>
    <m/>
    <m/>
    <n v="76088.694347348879"/>
    <n v="83368.431216931203"/>
    <n v="159457.12556428008"/>
    <m/>
    <n v="0"/>
    <n v="0.3"/>
    <n v="68338.768098977191"/>
    <n v="227795.89366325727"/>
    <m/>
    <n v="0"/>
    <n v="2277.9589366325727"/>
    <n v="2277.9589366325727"/>
    <n v="232351.81153652244"/>
  </r>
  <r>
    <s v="Fase 2"/>
    <x v="6"/>
    <s v="D1. Parcelaciones y Condominios"/>
    <s v="03. Complementario"/>
    <x v="6"/>
    <x v="5"/>
    <s v="Und"/>
    <n v="1"/>
    <x v="24"/>
    <m/>
    <x v="49"/>
    <x v="0"/>
    <n v="9.4"/>
    <n v="17730.496453900709"/>
    <n v="166666.66666666666"/>
    <n v="39682.539682539682"/>
    <n v="32062.035939153444"/>
    <m/>
    <m/>
    <n v="238411.24228835979"/>
    <n v="261221.08447971777"/>
    <n v="499632.32676807756"/>
    <m/>
    <n v="0"/>
    <n v="0.3"/>
    <n v="214128.14004346181"/>
    <n v="713760.46681153937"/>
    <m/>
    <n v="0"/>
    <n v="7137.6046681153939"/>
    <n v="7137.6046681153939"/>
    <n v="728035.67614777014"/>
  </r>
  <r>
    <s v="Fase 2"/>
    <x v="6"/>
    <s v="D1. Parcelaciones y Condominios"/>
    <s v="03. Complementario"/>
    <x v="6"/>
    <x v="5"/>
    <s v="Und"/>
    <n v="1"/>
    <x v="25"/>
    <m/>
    <x v="50"/>
    <x v="0"/>
    <n v="9.4"/>
    <n v="17730.496453900709"/>
    <n v="166666.66666666666"/>
    <n v="39682.539682539682"/>
    <n v="32062.035939153444"/>
    <m/>
    <m/>
    <n v="238411.24228835979"/>
    <n v="261221.08447971777"/>
    <n v="499632.32676807756"/>
    <m/>
    <n v="0"/>
    <n v="0.3"/>
    <n v="214128.14004346181"/>
    <n v="713760.46681153937"/>
    <m/>
    <n v="0"/>
    <n v="7137.6046681153939"/>
    <n v="7137.6046681153939"/>
    <n v="728035.67614777014"/>
  </r>
  <r>
    <s v="Fase 2"/>
    <x v="6"/>
    <s v="D1. Parcelaciones y Condominios"/>
    <s v="03. Complementario"/>
    <x v="6"/>
    <x v="5"/>
    <s v="Und"/>
    <n v="1"/>
    <x v="26"/>
    <m/>
    <x v="51"/>
    <x v="0"/>
    <n v="0.3"/>
    <n v="17730.496453900709"/>
    <n v="5319.1489361702124"/>
    <n v="1266.464032421479"/>
    <n v="1023.256466143195"/>
    <m/>
    <m/>
    <n v="7608.8694347348865"/>
    <n v="8336.8431216931203"/>
    <n v="15945.712556428007"/>
    <m/>
    <n v="0"/>
    <n v="0.3"/>
    <n v="6833.8768098977198"/>
    <n v="22779.589366325727"/>
    <m/>
    <n v="0"/>
    <n v="227.79589366325726"/>
    <n v="227.79589366325726"/>
    <n v="23235.18115365224"/>
  </r>
  <r>
    <s v="Fase 2"/>
    <x v="7"/>
    <s v="D1. Parcelaciones y Condominios"/>
    <s v="02. Edificación"/>
    <x v="7"/>
    <x v="6"/>
    <s v="Und"/>
    <n v="1"/>
    <x v="23"/>
    <m/>
    <x v="52"/>
    <x v="0"/>
    <n v="4"/>
    <n v="17730.496453900709"/>
    <n v="70921.985815602835"/>
    <n v="16886.187098953054"/>
    <n v="13643.419548575934"/>
    <n v="0"/>
    <n v="0"/>
    <n v="101451.59246313182"/>
    <n v="111157.9082892416"/>
    <n v="212609.50075237342"/>
    <n v="0.05"/>
    <n v="10630.475037618671"/>
    <n v="0.15"/>
    <n v="37519.323662183539"/>
    <n v="260759.29945217562"/>
    <n v="0.05"/>
    <n v="13724.173655377701"/>
    <n v="2744.8347310755335"/>
    <n v="2744.8347310755335"/>
    <n v="279973.14256970433"/>
  </r>
  <r>
    <s v="Fase 2"/>
    <x v="7"/>
    <s v="D1. Parcelaciones y Condominios"/>
    <s v="02. Edificación"/>
    <x v="7"/>
    <x v="6"/>
    <s v="Und"/>
    <n v="1"/>
    <x v="23"/>
    <m/>
    <x v="53"/>
    <x v="0"/>
    <n v="1"/>
    <n v="17730.496453900709"/>
    <n v="17730.496453900709"/>
    <n v="4221.5467747382636"/>
    <n v="3410.8548871439834"/>
    <n v="0"/>
    <m/>
    <n v="25362.898115782955"/>
    <n v="27789.477072310401"/>
    <n v="53152.375188093356"/>
    <n v="0.05"/>
    <n v="2657.6187594046678"/>
    <n v="0.15"/>
    <n v="9379.8309155458846"/>
    <n v="65189.824863043905"/>
    <n v="0.05"/>
    <n v="3431.0434138444252"/>
    <n v="686.20868276888336"/>
    <n v="686.20868276888336"/>
    <n v="69993.285642426083"/>
  </r>
  <r>
    <s v="Fase 2"/>
    <x v="7"/>
    <s v="D1. Parcelaciones y Condominios"/>
    <s v="02. Edificación"/>
    <x v="7"/>
    <x v="6"/>
    <s v="Und"/>
    <n v="1"/>
    <x v="23"/>
    <m/>
    <x v="54"/>
    <x v="0"/>
    <n v="2"/>
    <n v="17730.496453900709"/>
    <n v="35460.992907801417"/>
    <n v="8443.0935494765272"/>
    <n v="6821.7097742879669"/>
    <n v="0"/>
    <n v="0"/>
    <n v="50725.79623156591"/>
    <n v="55578.954144620802"/>
    <n v="106304.75037618671"/>
    <n v="0.05"/>
    <n v="5315.2375188093356"/>
    <n v="0.15"/>
    <n v="18759.661831091769"/>
    <n v="130379.64972608781"/>
    <n v="0.05"/>
    <n v="6862.0868276888505"/>
    <n v="1372.4173655377667"/>
    <n v="1372.4173655377667"/>
    <n v="139986.57128485217"/>
  </r>
  <r>
    <s v="Fase 2"/>
    <x v="7"/>
    <s v="D1. Parcelaciones y Condominios"/>
    <s v="02. Edificación"/>
    <x v="7"/>
    <x v="6"/>
    <s v="Und"/>
    <n v="1"/>
    <x v="21"/>
    <m/>
    <x v="55"/>
    <x v="0"/>
    <n v="0.3"/>
    <n v="17730.496453900709"/>
    <n v="5319.1489361702124"/>
    <n v="1266.464032421479"/>
    <n v="1023.256466143195"/>
    <n v="0"/>
    <n v="0"/>
    <n v="7608.8694347348865"/>
    <n v="8336.8431216931203"/>
    <n v="15945.712556428007"/>
    <n v="0.05"/>
    <n v="797.28562782140034"/>
    <n v="0.15"/>
    <n v="2813.9492746637661"/>
    <n v="19556.947458913175"/>
    <n v="0.05"/>
    <n v="1029.3130241533254"/>
    <n v="205.86260483066502"/>
    <n v="205.86260483066502"/>
    <n v="20997.985692727831"/>
  </r>
  <r>
    <s v="Fase 2"/>
    <x v="7"/>
    <s v="D1. Parcelaciones y Condominios"/>
    <s v="02. Edificación"/>
    <x v="7"/>
    <x v="6"/>
    <s v="Und"/>
    <n v="1"/>
    <x v="21"/>
    <m/>
    <x v="47"/>
    <x v="0"/>
    <n v="4"/>
    <n v="17730.496453900709"/>
    <n v="70921.985815602835"/>
    <n v="16886.187098953054"/>
    <n v="13643.419548575934"/>
    <n v="0"/>
    <n v="0"/>
    <n v="101451.59246313182"/>
    <n v="111157.9082892416"/>
    <n v="212609.50075237342"/>
    <n v="0.05"/>
    <n v="10630.475037618671"/>
    <n v="0.15"/>
    <n v="37519.323662183539"/>
    <n v="260759.29945217562"/>
    <n v="0.05"/>
    <n v="13724.173655377701"/>
    <n v="2744.8347310755335"/>
    <n v="2744.8347310755335"/>
    <n v="279973.14256970433"/>
  </r>
  <r>
    <s v="Fase 2"/>
    <x v="7"/>
    <s v="D1. Parcelaciones y Condominios"/>
    <s v="02. Edificación"/>
    <x v="7"/>
    <x v="6"/>
    <s v="Und"/>
    <n v="1"/>
    <x v="21"/>
    <m/>
    <x v="56"/>
    <x v="0"/>
    <n v="1"/>
    <n v="17730.496453900709"/>
    <n v="17730.496453900709"/>
    <n v="4221.5467747382636"/>
    <n v="3410.8548871439834"/>
    <n v="0"/>
    <n v="0"/>
    <n v="25362.898115782955"/>
    <n v="27789.477072310401"/>
    <n v="53152.375188093356"/>
    <n v="0.05"/>
    <n v="2657.6187594046678"/>
    <n v="0.15"/>
    <n v="9379.8309155458846"/>
    <n v="65189.824863043905"/>
    <n v="0.05"/>
    <n v="3431.0434138444252"/>
    <n v="686.20868276888336"/>
    <n v="686.20868276888336"/>
    <n v="69993.285642426083"/>
  </r>
  <r>
    <s v="Fase 2"/>
    <x v="7"/>
    <s v="D1. Parcelaciones y Condominios"/>
    <s v="02. Edificación"/>
    <x v="7"/>
    <x v="6"/>
    <s v="Und"/>
    <n v="1"/>
    <x v="21"/>
    <m/>
    <x v="49"/>
    <x v="0"/>
    <n v="9.4"/>
    <n v="17730.496453900709"/>
    <n v="166666.66666666666"/>
    <n v="39682.539682539682"/>
    <n v="32062.035939153444"/>
    <n v="0"/>
    <n v="0"/>
    <n v="238411.24228835979"/>
    <n v="261221.08447971777"/>
    <n v="499632.32676807756"/>
    <n v="0.05"/>
    <n v="24981.616338403881"/>
    <n v="0.15"/>
    <n v="88170.410606131307"/>
    <n v="612784.35371261276"/>
    <n v="0.05"/>
    <n v="32251.808090137551"/>
    <n v="6450.361618027503"/>
    <n v="6450.361618027503"/>
    <n v="657936.88503880543"/>
  </r>
  <r>
    <s v="Fase 2"/>
    <x v="7"/>
    <s v="D1. Parcelaciones y Condominios"/>
    <s v="02. Edificación"/>
    <x v="7"/>
    <x v="6"/>
    <s v="Und"/>
    <n v="1"/>
    <x v="21"/>
    <m/>
    <x v="50"/>
    <x v="0"/>
    <n v="9.4"/>
    <n v="17730.496453900709"/>
    <n v="166666.66666666666"/>
    <n v="39682.539682539682"/>
    <n v="32062.035939153444"/>
    <n v="0"/>
    <n v="0"/>
    <n v="238411.24228835979"/>
    <n v="261221.08447971777"/>
    <n v="499632.32676807756"/>
    <n v="0.05"/>
    <n v="24981.616338403881"/>
    <n v="0.15"/>
    <n v="88170.410606131307"/>
    <n v="612784.35371261276"/>
    <n v="0.05"/>
    <n v="32251.808090137551"/>
    <n v="6450.361618027503"/>
    <n v="6450.361618027503"/>
    <n v="657936.88503880543"/>
  </r>
  <r>
    <s v="Fase 2"/>
    <x v="7"/>
    <s v="D1. Parcelaciones y Condominios"/>
    <s v="02. Edificación"/>
    <x v="7"/>
    <x v="6"/>
    <s v="Und"/>
    <n v="1"/>
    <x v="21"/>
    <m/>
    <x v="51"/>
    <x v="0"/>
    <n v="0.3"/>
    <n v="17730.496453900709"/>
    <n v="5319.1489361702124"/>
    <n v="1266.464032421479"/>
    <n v="1023.256466143195"/>
    <n v="0"/>
    <n v="0"/>
    <n v="7608.8694347348865"/>
    <n v="8336.8431216931203"/>
    <n v="15945.712556428007"/>
    <n v="0.05"/>
    <n v="797.28562782140034"/>
    <n v="0.15"/>
    <n v="2813.9492746637661"/>
    <n v="19556.947458913175"/>
    <n v="0.05"/>
    <n v="1029.3130241533254"/>
    <n v="205.86260483066502"/>
    <n v="205.86260483066502"/>
    <n v="20997.985692727831"/>
  </r>
  <r>
    <s v="Fase 3"/>
    <x v="8"/>
    <s v="D1. Parcelaciones y Condominios"/>
    <s v="01. Urbanismo"/>
    <x v="8"/>
    <x v="7"/>
    <s v="500 m² - 1000 m²"/>
    <n v="1"/>
    <x v="27"/>
    <m/>
    <x v="57"/>
    <x v="0"/>
    <n v="0.5"/>
    <n v="17730.496453900709"/>
    <n v="8865.2482269503544"/>
    <n v="2110.7733873691318"/>
    <n v="1705.4274435719917"/>
    <n v="0"/>
    <n v="0"/>
    <n v="12681.449057891477"/>
    <n v="13894.738536155201"/>
    <n v="26576.187594046678"/>
    <n v="0.1"/>
    <n v="2657.6187594046678"/>
    <n v="0.3"/>
    <n v="11389.794683162865"/>
    <n v="40623.601036614215"/>
    <n v="0.05"/>
    <n v="2138.084265084959"/>
    <n v="427.61685301699174"/>
    <n v="427.61685301699174"/>
    <n v="43616.919007733151"/>
  </r>
  <r>
    <s v="Fase 3"/>
    <x v="8"/>
    <s v="D1. Parcelaciones y Condominios"/>
    <s v="01. Urbanismo"/>
    <x v="8"/>
    <x v="7"/>
    <s v="500 m² - 1000 m²"/>
    <n v="1"/>
    <x v="27"/>
    <m/>
    <x v="58"/>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3"/>
    <x v="8"/>
    <s v="D1. Parcelaciones y Condominios"/>
    <s v="01. Urbanismo"/>
    <x v="8"/>
    <x v="7"/>
    <s v="500 m² - 1000 m²"/>
    <n v="1"/>
    <x v="28"/>
    <m/>
    <x v="59"/>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8"/>
    <s v="D1. Parcelaciones y Condominios"/>
    <s v="01. Urbanismo"/>
    <x v="8"/>
    <x v="7"/>
    <s v="500 m² - 1000 m²"/>
    <n v="1"/>
    <x v="28"/>
    <m/>
    <x v="60"/>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8"/>
    <s v="D1. Parcelaciones y Condominios"/>
    <s v="01. Urbanismo"/>
    <x v="8"/>
    <x v="7"/>
    <s v="500 m² - 1000 m²"/>
    <n v="1"/>
    <x v="28"/>
    <m/>
    <x v="61"/>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8"/>
    <s v="D1. Parcelaciones y Condominios"/>
    <s v="01. Urbanismo"/>
    <x v="8"/>
    <x v="7"/>
    <s v="500 m² - 1000 m²"/>
    <n v="1"/>
    <x v="28"/>
    <m/>
    <x v="62"/>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8"/>
    <s v="D1. Parcelaciones y Condominios"/>
    <s v="01. Urbanismo"/>
    <x v="8"/>
    <x v="7"/>
    <s v="500 m² - 1000 m²"/>
    <n v="1"/>
    <x v="28"/>
    <m/>
    <x v="63"/>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8"/>
    <s v="D1. Parcelaciones y Condominios"/>
    <s v="01. Urbanismo"/>
    <x v="8"/>
    <x v="7"/>
    <s v="500 m² - 1000 m²"/>
    <n v="1"/>
    <x v="28"/>
    <m/>
    <x v="64"/>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8"/>
    <s v="D1. Parcelaciones y Condominios"/>
    <s v="01. Urbanismo"/>
    <x v="8"/>
    <x v="7"/>
    <s v="500 m² - 1000 m²"/>
    <n v="1"/>
    <x v="29"/>
    <m/>
    <x v="65"/>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9"/>
    <s v="D1. Parcelaciones y Condominios"/>
    <s v="02. Edificación"/>
    <x v="9"/>
    <x v="7"/>
    <s v="1 m² - 200 m²"/>
    <n v="1"/>
    <x v="27"/>
    <m/>
    <x v="66"/>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9"/>
    <s v="D1. Parcelaciones y Condominios"/>
    <s v="02. Edificación"/>
    <x v="9"/>
    <x v="7"/>
    <s v="1 m² - 200 m²"/>
    <n v="1"/>
    <x v="27"/>
    <m/>
    <x v="58"/>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9"/>
    <s v="D1. Parcelaciones y Condominios"/>
    <s v="02. Edificación"/>
    <x v="9"/>
    <x v="7"/>
    <s v="1 m² - 200 m²"/>
    <n v="1"/>
    <x v="28"/>
    <m/>
    <x v="67"/>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9"/>
    <s v="D1. Parcelaciones y Condominios"/>
    <s v="02. Edificación"/>
    <x v="9"/>
    <x v="7"/>
    <s v="1 m² - 200 m²"/>
    <n v="1"/>
    <x v="28"/>
    <m/>
    <x v="68"/>
    <x v="0"/>
    <n v="10"/>
    <n v="17730.496453900709"/>
    <n v="177304.96453900708"/>
    <n v="42215.467747382638"/>
    <n v="34108.548871439838"/>
    <n v="0"/>
    <n v="0"/>
    <n v="253628.98115782958"/>
    <n v="277894.77072310401"/>
    <n v="531523.75188093353"/>
    <n v="0.1"/>
    <n v="53152.375188093356"/>
    <n v="0.2"/>
    <n v="132880.93797023338"/>
    <n v="717557.06503926031"/>
    <n v="0.05"/>
    <n v="37766.161317855818"/>
    <n v="7553.2322635711616"/>
    <n v="7553.2322635711616"/>
    <n v="770429.69088425837"/>
  </r>
  <r>
    <s v="Fase 3"/>
    <x v="9"/>
    <s v="D1. Parcelaciones y Condominios"/>
    <s v="02. Edificación"/>
    <x v="9"/>
    <x v="7"/>
    <s v="1 m² - 200 m²"/>
    <n v="1"/>
    <x v="28"/>
    <m/>
    <x v="69"/>
    <x v="0"/>
    <n v="10"/>
    <n v="17730.496453900709"/>
    <n v="177304.96453900708"/>
    <n v="42215.467747382638"/>
    <n v="34108.548871439838"/>
    <n v="0"/>
    <n v="0"/>
    <n v="253628.98115782958"/>
    <n v="277894.77072310401"/>
    <n v="531523.75188093353"/>
    <n v="0.1"/>
    <n v="53152.375188093356"/>
    <n v="0.2"/>
    <n v="132880.93797023338"/>
    <n v="717557.06503926031"/>
    <n v="0.05"/>
    <n v="37766.161317855818"/>
    <n v="7553.2322635711616"/>
    <n v="7553.2322635711616"/>
    <n v="770429.69088425837"/>
  </r>
  <r>
    <s v="Fase 3"/>
    <x v="9"/>
    <s v="D1. Parcelaciones y Condominios"/>
    <s v="02. Edificación"/>
    <x v="9"/>
    <x v="7"/>
    <s v="1 m² - 200 m²"/>
    <n v="1"/>
    <x v="28"/>
    <m/>
    <x v="70"/>
    <x v="0"/>
    <n v="10"/>
    <n v="17730.496453900709"/>
    <n v="177304.96453900708"/>
    <n v="42215.467747382638"/>
    <n v="34108.548871439838"/>
    <n v="0"/>
    <n v="0"/>
    <n v="253628.98115782958"/>
    <n v="277894.77072310401"/>
    <n v="531523.75188093353"/>
    <n v="0.1"/>
    <n v="53152.375188093356"/>
    <n v="0.2"/>
    <n v="132880.93797023338"/>
    <n v="717557.06503926031"/>
    <n v="0.05"/>
    <n v="37766.161317855818"/>
    <n v="7553.2322635711616"/>
    <n v="7553.2322635711616"/>
    <n v="770429.69088425837"/>
  </r>
  <r>
    <s v="Fase 3"/>
    <x v="9"/>
    <s v="D1. Parcelaciones y Condominios"/>
    <s v="02. Edificación"/>
    <x v="9"/>
    <x v="7"/>
    <s v="1 m² - 200 m²"/>
    <n v="1"/>
    <x v="28"/>
    <m/>
    <x v="71"/>
    <x v="0"/>
    <n v="10"/>
    <n v="17730.496453900709"/>
    <n v="177304.96453900708"/>
    <n v="42215.467747382638"/>
    <n v="34108.548871439838"/>
    <n v="0"/>
    <n v="0"/>
    <n v="253628.98115782958"/>
    <n v="277894.77072310401"/>
    <n v="531523.75188093353"/>
    <n v="0.1"/>
    <n v="53152.375188093356"/>
    <n v="0.2"/>
    <n v="132880.93797023338"/>
    <n v="717557.06503926031"/>
    <n v="0.05"/>
    <n v="37766.161317855818"/>
    <n v="7553.2322635711616"/>
    <n v="7553.2322635711616"/>
    <n v="770429.69088425837"/>
  </r>
  <r>
    <s v="Fase 3"/>
    <x v="9"/>
    <s v="D1. Parcelaciones y Condominios"/>
    <s v="02. Edificación"/>
    <x v="9"/>
    <x v="7"/>
    <s v="1 m² - 200 m²"/>
    <n v="1"/>
    <x v="28"/>
    <m/>
    <x v="72"/>
    <x v="0"/>
    <n v="10"/>
    <n v="17730.496453900709"/>
    <n v="177304.96453900708"/>
    <n v="42215.467747382638"/>
    <n v="34108.548871439838"/>
    <n v="0"/>
    <n v="0"/>
    <n v="253628.98115782958"/>
    <n v="277894.77072310401"/>
    <n v="531523.75188093353"/>
    <n v="0.1"/>
    <n v="53152.375188093356"/>
    <n v="0.2"/>
    <n v="132880.93797023338"/>
    <n v="717557.06503926031"/>
    <n v="0.05"/>
    <n v="37766.161317855818"/>
    <n v="7553.2322635711616"/>
    <n v="7553.2322635711616"/>
    <n v="770429.69088425837"/>
  </r>
  <r>
    <s v="Fase 3"/>
    <x v="9"/>
    <s v="D1. Parcelaciones y Condominios"/>
    <s v="02. Edificación"/>
    <x v="9"/>
    <x v="7"/>
    <s v="1 m² - 200 m²"/>
    <n v="1"/>
    <x v="28"/>
    <m/>
    <x v="73"/>
    <x v="0"/>
    <n v="9.4"/>
    <n v="17730.496453900709"/>
    <n v="166666.66666666666"/>
    <n v="39682.539682539682"/>
    <n v="32062.035939153444"/>
    <n v="0"/>
    <n v="0"/>
    <n v="238411.24228835979"/>
    <n v="261221.08447971777"/>
    <n v="499632.32676807756"/>
    <n v="0.1"/>
    <n v="49963.232676807762"/>
    <n v="0.2"/>
    <n v="124908.08169201936"/>
    <n v="674503.64113690471"/>
    <n v="0.05"/>
    <n v="35500.191638784483"/>
    <n v="7100.0383277568917"/>
    <n v="7100.0383277568917"/>
    <n v="724203.90943120304"/>
  </r>
  <r>
    <s v="Fase 3"/>
    <x v="9"/>
    <s v="D1. Parcelaciones y Condominios"/>
    <s v="02. Edificación"/>
    <x v="9"/>
    <x v="7"/>
    <s v="1 m² - 200 m²"/>
    <n v="1"/>
    <x v="28"/>
    <m/>
    <x v="74"/>
    <x v="0"/>
    <n v="6"/>
    <n v="17730.496453900709"/>
    <n v="106382.97872340426"/>
    <n v="25329.28064842958"/>
    <n v="20465.129322863901"/>
    <n v="0"/>
    <n v="0"/>
    <n v="152177.38869469776"/>
    <n v="166736.86243386241"/>
    <n v="318914.25112856016"/>
    <n v="0.1"/>
    <n v="31891.425112856017"/>
    <n v="0.2"/>
    <n v="79728.562782140041"/>
    <n v="430534.23902355623"/>
    <n v="0.05"/>
    <n v="22659.696790713526"/>
    <n v="4531.9393581426975"/>
    <n v="4531.9393581426975"/>
    <n v="462257.8145305551"/>
  </r>
  <r>
    <s v="Fase 3"/>
    <x v="9"/>
    <s v="D1. Parcelaciones y Condominios"/>
    <s v="02. Edificación"/>
    <x v="9"/>
    <x v="7"/>
    <s v="1 m² - 200 m²"/>
    <n v="1"/>
    <x v="28"/>
    <m/>
    <x v="64"/>
    <x v="0"/>
    <n v="9.4"/>
    <n v="17730.496453900709"/>
    <n v="166666.66666666666"/>
    <n v="39682.539682539682"/>
    <n v="32062.035939153444"/>
    <m/>
    <m/>
    <n v="238411.24228835979"/>
    <n v="261221.08447971777"/>
    <n v="499632.32676807756"/>
    <n v="0.1"/>
    <n v="49963.232676807762"/>
    <n v="0.2"/>
    <n v="124908.08169201936"/>
    <n v="674503.64113690471"/>
    <m/>
    <n v="0"/>
    <n v="6745.0364113690475"/>
    <n v="6745.0364113690475"/>
    <n v="687993.71395964292"/>
  </r>
  <r>
    <s v="Fase 3"/>
    <x v="9"/>
    <s v="D1. Parcelaciones y Condominios"/>
    <s v="02. Edificación"/>
    <x v="9"/>
    <x v="7"/>
    <s v="1 m² - 200 m²"/>
    <n v="1"/>
    <x v="28"/>
    <m/>
    <x v="75"/>
    <x v="0"/>
    <n v="9.6"/>
    <n v="17730.496453900709"/>
    <n v="170212.7659574468"/>
    <n v="40526.849037487329"/>
    <n v="32744.20691658224"/>
    <m/>
    <m/>
    <n v="243483.82191151637"/>
    <n v="266778.97989417985"/>
    <n v="510262.80180569622"/>
    <n v="0.1"/>
    <n v="51026.280180569622"/>
    <n v="0.2"/>
    <n v="127565.700451424"/>
    <n v="688854.78243768984"/>
    <m/>
    <n v="0"/>
    <n v="6888.5478243768985"/>
    <n v="6888.5478243768985"/>
    <n v="702631.87808644352"/>
  </r>
  <r>
    <s v="Fase 3"/>
    <x v="10"/>
    <s v="D1. Parcelaciones y Condominios"/>
    <s v="01. Urbanismo"/>
    <x v="10"/>
    <x v="8"/>
    <s v="500 m² - 1000 m²"/>
    <n v="1"/>
    <x v="30"/>
    <m/>
    <x v="76"/>
    <x v="0"/>
    <n v="9.6"/>
    <n v="17730.496453900709"/>
    <n v="170212.7659574468"/>
    <n v="40526.849037487329"/>
    <n v="32744.20691658224"/>
    <n v="0"/>
    <s v="-"/>
    <n v="243483.82191151637"/>
    <n v="266778.97989417985"/>
    <n v="510262.80180569622"/>
    <n v="0.1"/>
    <n v="51026.280180569622"/>
    <n v="0.3"/>
    <n v="218684.05791672703"/>
    <n v="779973.13990299287"/>
    <n v="0.05"/>
    <n v="41051.217889631283"/>
    <n v="8210.2435779262414"/>
    <n v="8210.2435779262414"/>
    <n v="837444.84494847653"/>
  </r>
  <r>
    <s v="Fase 3"/>
    <x v="10"/>
    <s v="D1. Parcelaciones y Condominios"/>
    <s v="01. Urbanismo"/>
    <x v="10"/>
    <x v="8"/>
    <s v="500 m² - 1000 m²"/>
    <n v="1"/>
    <x v="30"/>
    <m/>
    <x v="77"/>
    <x v="0"/>
    <n v="5"/>
    <n v="17730.496453900709"/>
    <n v="88652.48226950354"/>
    <n v="21107.733873691319"/>
    <n v="17054.274435719919"/>
    <n v="0"/>
    <s v="-"/>
    <n v="126814.49057891479"/>
    <n v="138947.38536155201"/>
    <n v="265761.87594046677"/>
    <n v="0.1"/>
    <n v="26576.187594046678"/>
    <n v="0.3"/>
    <n v="113897.94683162862"/>
    <n v="406236.01036614209"/>
    <n v="0.05"/>
    <n v="21380.842650849605"/>
    <n v="4276.1685301699172"/>
    <n v="4276.1685301699172"/>
    <n v="436169.19007733156"/>
  </r>
  <r>
    <s v="Fase 3"/>
    <x v="10"/>
    <s v="D1. Parcelaciones y Condominios"/>
    <s v="01. Urbanismo"/>
    <x v="10"/>
    <x v="8"/>
    <s v="500 m² - 1000 m²"/>
    <n v="1"/>
    <x v="30"/>
    <m/>
    <x v="78"/>
    <x v="0"/>
    <n v="20"/>
    <n v="17730.496453900709"/>
    <n v="354609.92907801416"/>
    <n v="84430.935494765276"/>
    <n v="68217.097742879676"/>
    <n v="0"/>
    <s v="-"/>
    <n v="507257.96231565916"/>
    <n v="555789.54144620802"/>
    <n v="1063047.5037618671"/>
    <n v="0.1"/>
    <n v="106304.75037618671"/>
    <n v="0.3"/>
    <n v="455591.78732651449"/>
    <n v="1624944.0414645683"/>
    <n v="0.05"/>
    <n v="85523.37060339842"/>
    <n v="17104.674120679669"/>
    <n v="17104.674120679669"/>
    <n v="1744676.7603093262"/>
  </r>
  <r>
    <s v="Fase 3"/>
    <x v="10"/>
    <s v="D1. Parcelaciones y Condominios"/>
    <s v="01. Urbanismo"/>
    <x v="10"/>
    <x v="8"/>
    <s v="500 m² - 1000 m²"/>
    <n v="1"/>
    <x v="30"/>
    <m/>
    <x v="38"/>
    <x v="0"/>
    <n v="10"/>
    <n v="17730.496453900709"/>
    <n v="177304.96453900708"/>
    <n v="42215.467747382638"/>
    <n v="34108.548871439838"/>
    <n v="0"/>
    <s v="-"/>
    <n v="253628.98115782958"/>
    <n v="277894.77072310401"/>
    <n v="531523.75188093353"/>
    <n v="0.1"/>
    <n v="53152.375188093356"/>
    <n v="0.3"/>
    <n v="227795.89366325724"/>
    <n v="812472.02073228417"/>
    <n v="0.05"/>
    <n v="42761.68530169921"/>
    <n v="8552.3370603398344"/>
    <n v="8552.3370603398344"/>
    <n v="872338.38015466311"/>
  </r>
  <r>
    <s v="Fase 3"/>
    <x v="10"/>
    <s v="D1. Parcelaciones y Condominios"/>
    <s v="01. Urbanismo"/>
    <x v="10"/>
    <x v="8"/>
    <s v="500 m² - 1000 m²"/>
    <n v="1"/>
    <x v="30"/>
    <m/>
    <x v="79"/>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9"/>
    <s v="500 m² - 1000 m²"/>
    <n v="1"/>
    <x v="31"/>
    <m/>
    <x v="80"/>
    <x v="0"/>
    <n v="9.1999999999999993"/>
    <n v="17730.496453900709"/>
    <n v="163120.56737588652"/>
    <n v="38838.23032759202"/>
    <n v="31379.864961724645"/>
    <n v="0"/>
    <s v="-"/>
    <n v="233338.66266520318"/>
    <n v="255663.18906525566"/>
    <n v="489001.85173045885"/>
    <n v="0.1"/>
    <n v="48900.185173045887"/>
    <n v="0.3"/>
    <n v="209572.22217019665"/>
    <n v="747474.25907370145"/>
    <n v="0.05"/>
    <n v="39340.750477563241"/>
    <n v="7868.1500955126467"/>
    <n v="7868.1500955126467"/>
    <n v="802551.30974228994"/>
  </r>
  <r>
    <s v="Fase 3"/>
    <x v="10"/>
    <s v="D1. Parcelaciones y Condominios"/>
    <s v="01. Urbanismo"/>
    <x v="10"/>
    <x v="9"/>
    <s v="500 m² - 1000 m²"/>
    <n v="1"/>
    <x v="31"/>
    <m/>
    <x v="81"/>
    <x v="0"/>
    <n v="3"/>
    <n v="17730.496453900709"/>
    <n v="53191.48936170213"/>
    <n v="12664.64032421479"/>
    <n v="10232.56466143195"/>
    <n v="0"/>
    <s v="-"/>
    <n v="76088.694347348879"/>
    <n v="83368.431216931203"/>
    <n v="159457.12556428008"/>
    <n v="0.1"/>
    <n v="15945.712556428009"/>
    <n v="0.3"/>
    <n v="68338.768098977191"/>
    <n v="243741.60621968529"/>
    <n v="0.05"/>
    <n v="12828.505590509769"/>
    <n v="2565.7011181019507"/>
    <n v="2565.7011181019507"/>
    <n v="261701.51404639895"/>
  </r>
  <r>
    <s v="Fase 3"/>
    <x v="10"/>
    <s v="D1. Parcelaciones y Condominios"/>
    <s v="01. Urbanismo"/>
    <x v="10"/>
    <x v="9"/>
    <s v="500 m² - 1000 m²"/>
    <n v="1"/>
    <x v="31"/>
    <m/>
    <x v="82"/>
    <x v="0"/>
    <n v="0.5"/>
    <n v="17730.496453900709"/>
    <n v="8865.2482269503544"/>
    <n v="2110.7733873691318"/>
    <n v="1705.4274435719917"/>
    <n v="0"/>
    <s v="-"/>
    <n v="12681.449057891477"/>
    <n v="13894.738536155201"/>
    <n v="26576.187594046678"/>
    <n v="0.1"/>
    <n v="2657.6187594046678"/>
    <n v="0.3"/>
    <n v="11389.794683162865"/>
    <n v="40623.601036614215"/>
    <n v="0.05"/>
    <n v="2138.084265084959"/>
    <n v="427.61685301699174"/>
    <n v="427.61685301699174"/>
    <n v="43616.919007733151"/>
  </r>
  <r>
    <s v="Fase 3"/>
    <x v="10"/>
    <s v="D1. Parcelaciones y Condominios"/>
    <s v="01. Urbanismo"/>
    <x v="10"/>
    <x v="9"/>
    <s v="500 m² - 1000 m²"/>
    <n v="1"/>
    <x v="31"/>
    <m/>
    <x v="83"/>
    <x v="0"/>
    <n v="9.1999999999999993"/>
    <n v="17730.496453900709"/>
    <n v="163120.56737588652"/>
    <n v="38838.23032759202"/>
    <n v="31379.864961724645"/>
    <n v="0"/>
    <s v="-"/>
    <n v="233338.66266520318"/>
    <n v="255663.18906525566"/>
    <n v="489001.85173045885"/>
    <n v="0.1"/>
    <n v="48900.185173045887"/>
    <n v="0.3"/>
    <n v="209572.22217019665"/>
    <n v="747474.25907370145"/>
    <n v="0.05"/>
    <n v="39340.750477563241"/>
    <n v="7868.1500955126467"/>
    <n v="7868.1500955126467"/>
    <n v="802551.30974228994"/>
  </r>
  <r>
    <s v="Fase 3"/>
    <x v="10"/>
    <s v="D1. Parcelaciones y Condominios"/>
    <s v="01. Urbanismo"/>
    <x v="10"/>
    <x v="9"/>
    <s v="500 m² - 1000 m²"/>
    <n v="1"/>
    <x v="31"/>
    <m/>
    <x v="84"/>
    <x v="0"/>
    <n v="2"/>
    <n v="17730.496453900709"/>
    <n v="35460.992907801417"/>
    <n v="8443.0935494765272"/>
    <n v="6821.7097742879669"/>
    <n v="0"/>
    <s v="-"/>
    <n v="50725.79623156591"/>
    <n v="55578.954144620802"/>
    <n v="106304.75037618671"/>
    <n v="0.1"/>
    <n v="10630.475037618671"/>
    <n v="0.3"/>
    <n v="45559.17873265146"/>
    <n v="162494.40414645686"/>
    <n v="0.05"/>
    <n v="8552.3370603398362"/>
    <n v="1710.467412067967"/>
    <n v="1710.467412067967"/>
    <n v="174467.67603093261"/>
  </r>
  <r>
    <s v="Fase 3"/>
    <x v="10"/>
    <s v="D1. Parcelaciones y Condominios"/>
    <s v="01. Urbanismo"/>
    <x v="10"/>
    <x v="9"/>
    <s v="500 m² - 1000 m²"/>
    <n v="1"/>
    <x v="31"/>
    <m/>
    <x v="78"/>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9"/>
    <s v="500 m² - 1000 m²"/>
    <n v="1"/>
    <x v="31"/>
    <m/>
    <x v="38"/>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9"/>
    <s v="500 m² - 1000 m²"/>
    <n v="1"/>
    <x v="31"/>
    <m/>
    <x v="79"/>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10"/>
    <s v="500 m² - 1000 m²"/>
    <n v="1"/>
    <x v="32"/>
    <m/>
    <x v="80"/>
    <x v="0"/>
    <n v="9.1999999999999993"/>
    <n v="17730.496453900709"/>
    <n v="163120.56737588652"/>
    <n v="38838.23032759202"/>
    <n v="31379.864961724645"/>
    <n v="0"/>
    <s v="-"/>
    <n v="233338.66266520318"/>
    <n v="255663.18906525566"/>
    <n v="489001.85173045885"/>
    <n v="0.1"/>
    <n v="48900.185173045887"/>
    <n v="0.3"/>
    <n v="209572.22217019665"/>
    <n v="747474.25907370145"/>
    <n v="0.05"/>
    <n v="39340.750477563241"/>
    <n v="7868.1500955126467"/>
    <n v="7868.1500955126467"/>
    <n v="802551.30974228994"/>
  </r>
  <r>
    <s v="Fase 3"/>
    <x v="10"/>
    <s v="D1. Parcelaciones y Condominios"/>
    <s v="01. Urbanismo"/>
    <x v="10"/>
    <x v="10"/>
    <s v="500 m² - 1000 m²"/>
    <n v="1"/>
    <x v="32"/>
    <m/>
    <x v="81"/>
    <x v="0"/>
    <n v="3"/>
    <n v="17730.496453900709"/>
    <n v="53191.48936170213"/>
    <n v="12664.64032421479"/>
    <n v="10232.56466143195"/>
    <n v="0"/>
    <s v="-"/>
    <n v="76088.694347348879"/>
    <n v="83368.431216931203"/>
    <n v="159457.12556428008"/>
    <n v="0.1"/>
    <n v="15945.712556428009"/>
    <n v="0.3"/>
    <n v="68338.768098977191"/>
    <n v="243741.60621968529"/>
    <n v="0.05"/>
    <n v="12828.505590509769"/>
    <n v="2565.7011181019507"/>
    <n v="2565.7011181019507"/>
    <n v="261701.51404639895"/>
  </r>
  <r>
    <s v="Fase 3"/>
    <x v="10"/>
    <s v="D1. Parcelaciones y Condominios"/>
    <s v="01. Urbanismo"/>
    <x v="10"/>
    <x v="10"/>
    <s v="500 m² - 1000 m²"/>
    <n v="1"/>
    <x v="32"/>
    <m/>
    <x v="82"/>
    <x v="0"/>
    <n v="0.5"/>
    <n v="17730.496453900709"/>
    <n v="8865.2482269503544"/>
    <n v="2110.7733873691318"/>
    <n v="1705.4274435719917"/>
    <n v="0"/>
    <s v="-"/>
    <n v="12681.449057891477"/>
    <n v="13894.738536155201"/>
    <n v="26576.187594046678"/>
    <n v="0.1"/>
    <n v="2657.6187594046678"/>
    <n v="0.3"/>
    <n v="11389.794683162865"/>
    <n v="40623.601036614215"/>
    <n v="0.05"/>
    <n v="2138.084265084959"/>
    <n v="427.61685301699174"/>
    <n v="427.61685301699174"/>
    <n v="43616.919007733151"/>
  </r>
  <r>
    <s v="Fase 3"/>
    <x v="10"/>
    <s v="D1. Parcelaciones y Condominios"/>
    <s v="01. Urbanismo"/>
    <x v="10"/>
    <x v="10"/>
    <s v="500 m² - 1000 m²"/>
    <n v="1"/>
    <x v="32"/>
    <m/>
    <x v="83"/>
    <x v="0"/>
    <n v="9.1999999999999993"/>
    <n v="17730.496453900709"/>
    <n v="163120.56737588652"/>
    <n v="38838.23032759202"/>
    <n v="31379.864961724645"/>
    <n v="0"/>
    <s v="-"/>
    <n v="233338.66266520318"/>
    <n v="255663.18906525566"/>
    <n v="489001.85173045885"/>
    <n v="0.1"/>
    <n v="48900.185173045887"/>
    <n v="0.3"/>
    <n v="209572.22217019665"/>
    <n v="747474.25907370145"/>
    <n v="0.05"/>
    <n v="39340.750477563241"/>
    <n v="7868.1500955126467"/>
    <n v="7868.1500955126467"/>
    <n v="802551.30974228994"/>
  </r>
  <r>
    <s v="Fase 3"/>
    <x v="10"/>
    <s v="D1. Parcelaciones y Condominios"/>
    <s v="01. Urbanismo"/>
    <x v="10"/>
    <x v="10"/>
    <s v="500 m² - 1000 m²"/>
    <n v="1"/>
    <x v="32"/>
    <m/>
    <x v="84"/>
    <x v="0"/>
    <n v="2"/>
    <n v="17730.496453900709"/>
    <n v="35460.992907801417"/>
    <n v="8443.0935494765272"/>
    <n v="6821.7097742879669"/>
    <n v="0"/>
    <s v="-"/>
    <n v="50725.79623156591"/>
    <n v="55578.954144620802"/>
    <n v="106304.75037618671"/>
    <n v="0.1"/>
    <n v="10630.475037618671"/>
    <n v="0.3"/>
    <n v="45559.17873265146"/>
    <n v="162494.40414645686"/>
    <n v="0.05"/>
    <n v="8552.3370603398362"/>
    <n v="1710.467412067967"/>
    <n v="1710.467412067967"/>
    <n v="174467.67603093261"/>
  </r>
  <r>
    <s v="Fase 3"/>
    <x v="10"/>
    <s v="D1. Parcelaciones y Condominios"/>
    <s v="01. Urbanismo"/>
    <x v="10"/>
    <x v="10"/>
    <s v="500 m² - 1000 m²"/>
    <n v="1"/>
    <x v="32"/>
    <m/>
    <x v="78"/>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0"/>
    <s v="500 m² - 1000 m²"/>
    <n v="1"/>
    <x v="32"/>
    <m/>
    <x v="38"/>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10"/>
    <s v="500 m² - 1000 m²"/>
    <n v="1"/>
    <x v="32"/>
    <m/>
    <x v="79"/>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11"/>
    <s v="500 m² - 1000 m²"/>
    <n v="1"/>
    <x v="33"/>
    <m/>
    <x v="85"/>
    <x v="0"/>
    <n v="4"/>
    <n v="17730.496453900709"/>
    <n v="70921.985815602835"/>
    <n v="16886.187098953054"/>
    <n v="13643.419548575934"/>
    <n v="0"/>
    <s v="-"/>
    <n v="101451.59246313182"/>
    <n v="111157.9082892416"/>
    <n v="212609.50075237342"/>
    <n v="0.1"/>
    <n v="21260.950075237342"/>
    <n v="0.3"/>
    <n v="91118.357465302921"/>
    <n v="324988.80829291372"/>
    <n v="0.05"/>
    <n v="17104.674120679672"/>
    <n v="3420.9348241359339"/>
    <n v="3420.9348241359339"/>
    <n v="348935.35206186521"/>
  </r>
  <r>
    <s v="Fase 3"/>
    <x v="10"/>
    <s v="D1. Parcelaciones y Condominios"/>
    <s v="01. Urbanismo"/>
    <x v="10"/>
    <x v="11"/>
    <s v="500 m² - 1000 m²"/>
    <n v="1"/>
    <x v="33"/>
    <m/>
    <x v="86"/>
    <x v="0"/>
    <n v="20"/>
    <n v="17730.496453900709"/>
    <n v="354609.92907801416"/>
    <n v="84430.935494765276"/>
    <n v="68217.097742879676"/>
    <n v="0"/>
    <s v="-"/>
    <n v="507257.96231565916"/>
    <n v="555789.54144620802"/>
    <n v="1063047.5037618671"/>
    <n v="0.1"/>
    <n v="106304.75037618671"/>
    <n v="0.3"/>
    <n v="455591.78732651449"/>
    <n v="1624944.0414645683"/>
    <n v="0.05"/>
    <n v="85523.37060339842"/>
    <n v="17104.674120679669"/>
    <n v="17104.674120679669"/>
    <n v="1744676.7603093262"/>
  </r>
  <r>
    <s v="Fase 3"/>
    <x v="10"/>
    <s v="D1. Parcelaciones y Condominios"/>
    <s v="01. Urbanismo"/>
    <x v="10"/>
    <x v="11"/>
    <s v="500 m² - 1000 m²"/>
    <n v="1"/>
    <x v="33"/>
    <m/>
    <x v="87"/>
    <x v="0"/>
    <n v="0.5"/>
    <n v="17730.496453900709"/>
    <n v="8865.2482269503544"/>
    <n v="2110.7733873691318"/>
    <n v="1705.4274435719917"/>
    <n v="0"/>
    <s v="-"/>
    <n v="12681.449057891477"/>
    <n v="13894.738536155201"/>
    <n v="26576.187594046678"/>
    <n v="0.1"/>
    <n v="2657.6187594046678"/>
    <n v="0.3"/>
    <n v="11389.794683162865"/>
    <n v="40623.601036614215"/>
    <n v="0.05"/>
    <n v="2138.084265084959"/>
    <n v="427.61685301699174"/>
    <n v="427.61685301699174"/>
    <n v="43616.919007733151"/>
  </r>
  <r>
    <s v="Fase 3"/>
    <x v="10"/>
    <s v="D1. Parcelaciones y Condominios"/>
    <s v="01. Urbanismo"/>
    <x v="10"/>
    <x v="11"/>
    <s v="500 m² - 1000 m²"/>
    <n v="1"/>
    <x v="33"/>
    <m/>
    <x v="78"/>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1"/>
    <s v="500 m² - 1000 m²"/>
    <n v="1"/>
    <x v="33"/>
    <m/>
    <x v="38"/>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11"/>
    <s v="500 m² - 1000 m²"/>
    <n v="1"/>
    <x v="33"/>
    <m/>
    <x v="84"/>
    <x v="0"/>
    <n v="2"/>
    <n v="17730.496453900709"/>
    <n v="35460.992907801417"/>
    <n v="8443.0935494765272"/>
    <n v="6821.7097742879669"/>
    <n v="0"/>
    <s v="-"/>
    <n v="50725.79623156591"/>
    <n v="55578.954144620802"/>
    <n v="106304.75037618671"/>
    <n v="0.1"/>
    <n v="10630.475037618671"/>
    <n v="0.3"/>
    <n v="45559.17873265146"/>
    <n v="162494.40414645686"/>
    <n v="0.05"/>
    <n v="8552.3370603398362"/>
    <n v="1710.467412067967"/>
    <n v="1710.467412067967"/>
    <n v="174467.67603093261"/>
  </r>
  <r>
    <s v="Fase 3"/>
    <x v="10"/>
    <s v="D1. Parcelaciones y Condominios"/>
    <s v="01. Urbanismo"/>
    <x v="10"/>
    <x v="11"/>
    <s v="500 m² - 1000 m²"/>
    <n v="1"/>
    <x v="33"/>
    <m/>
    <x v="79"/>
    <x v="0"/>
    <n v="0.5"/>
    <n v="17730.496453900709"/>
    <n v="8865.2482269503544"/>
    <n v="2110.7733873691318"/>
    <n v="1705.4274435719917"/>
    <n v="0"/>
    <s v="-"/>
    <n v="12681.449057891477"/>
    <n v="13894.738536155201"/>
    <n v="26576.187594046678"/>
    <n v="0.1"/>
    <n v="2657.6187594046678"/>
    <n v="0.3"/>
    <n v="11389.794683162865"/>
    <n v="40623.601036614215"/>
    <n v="0.05"/>
    <n v="2138.084265084959"/>
    <n v="427.61685301699174"/>
    <n v="427.61685301699174"/>
    <n v="43616.919007733151"/>
  </r>
  <r>
    <s v="Fase 3"/>
    <x v="10"/>
    <s v="D1. Parcelaciones y Condominios"/>
    <s v="01. Urbanismo"/>
    <x v="10"/>
    <x v="12"/>
    <s v="500 m² - 1000 m²"/>
    <n v="1"/>
    <x v="34"/>
    <m/>
    <x v="88"/>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2"/>
    <s v="500 m² - 1000 m²"/>
    <n v="1"/>
    <x v="34"/>
    <m/>
    <x v="80"/>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2"/>
    <s v="500 m² - 1000 m²"/>
    <n v="1"/>
    <x v="34"/>
    <m/>
    <x v="89"/>
    <x v="0"/>
    <n v="3"/>
    <n v="17730.496453900709"/>
    <n v="53191.48936170213"/>
    <n v="12664.64032421479"/>
    <n v="10232.56466143195"/>
    <n v="0"/>
    <s v="-"/>
    <n v="76088.694347348879"/>
    <n v="83368.431216931203"/>
    <n v="159457.12556428008"/>
    <n v="0.1"/>
    <n v="15945.712556428009"/>
    <n v="0.3"/>
    <n v="68338.768098977191"/>
    <n v="243741.60621968529"/>
    <n v="0.05"/>
    <n v="12828.505590509769"/>
    <n v="2565.7011181019507"/>
    <n v="2565.7011181019507"/>
    <n v="261701.51404639895"/>
  </r>
  <r>
    <s v="Fase 3"/>
    <x v="10"/>
    <s v="D1. Parcelaciones y Condominios"/>
    <s v="01. Urbanismo"/>
    <x v="10"/>
    <x v="12"/>
    <s v="500 m² - 1000 m²"/>
    <n v="1"/>
    <x v="34"/>
    <m/>
    <x v="90"/>
    <x v="0"/>
    <n v="3"/>
    <n v="17730.496453900709"/>
    <n v="53191.48936170213"/>
    <n v="12664.64032421479"/>
    <n v="10232.56466143195"/>
    <n v="0"/>
    <s v="-"/>
    <n v="76088.694347348879"/>
    <n v="83368.431216931203"/>
    <n v="159457.12556428008"/>
    <n v="0.1"/>
    <n v="15945.712556428009"/>
    <n v="0.3"/>
    <n v="68338.768098977191"/>
    <n v="243741.60621968529"/>
    <n v="0.05"/>
    <n v="12828.505590509769"/>
    <n v="2565.7011181019507"/>
    <n v="2565.7011181019507"/>
    <n v="261701.51404639895"/>
  </r>
  <r>
    <s v="Fase 3"/>
    <x v="10"/>
    <s v="D1. Parcelaciones y Condominios"/>
    <s v="01. Urbanismo"/>
    <x v="10"/>
    <x v="12"/>
    <s v="500 m² - 1000 m²"/>
    <n v="1"/>
    <x v="34"/>
    <m/>
    <x v="78"/>
    <x v="0"/>
    <n v="5"/>
    <n v="17730.496453900709"/>
    <n v="88652.48226950354"/>
    <n v="21107.733873691319"/>
    <n v="17054.274435719919"/>
    <n v="0"/>
    <s v="-"/>
    <n v="126814.49057891479"/>
    <n v="138947.38536155201"/>
    <n v="265761.87594046677"/>
    <n v="0.1"/>
    <n v="26576.187594046678"/>
    <n v="0.3"/>
    <n v="113897.94683162862"/>
    <n v="406236.01036614209"/>
    <n v="0.05"/>
    <n v="21380.842650849605"/>
    <n v="4276.1685301699172"/>
    <n v="4276.1685301699172"/>
    <n v="436169.19007733156"/>
  </r>
  <r>
    <s v="Fase 3"/>
    <x v="10"/>
    <s v="D1. Parcelaciones y Condominios"/>
    <s v="01. Urbanismo"/>
    <x v="10"/>
    <x v="12"/>
    <s v="500 m² - 1000 m²"/>
    <n v="1"/>
    <x v="34"/>
    <m/>
    <x v="38"/>
    <x v="0"/>
    <n v="5"/>
    <n v="17730.496453900709"/>
    <n v="88652.48226950354"/>
    <n v="21107.733873691319"/>
    <n v="17054.274435719919"/>
    <n v="0"/>
    <s v="-"/>
    <n v="126814.49057891479"/>
    <n v="138947.38536155201"/>
    <n v="265761.87594046677"/>
    <n v="0.1"/>
    <n v="26576.187594046678"/>
    <n v="0.3"/>
    <n v="113897.94683162862"/>
    <n v="406236.01036614209"/>
    <n v="0.05"/>
    <n v="21380.842650849605"/>
    <n v="4276.1685301699172"/>
    <n v="4276.1685301699172"/>
    <n v="436169.19007733156"/>
  </r>
  <r>
    <s v="Fase 3"/>
    <x v="10"/>
    <s v="D1. Parcelaciones y Condominios"/>
    <s v="01. Urbanismo"/>
    <x v="10"/>
    <x v="12"/>
    <s v="500 m² - 1000 m²"/>
    <n v="1"/>
    <x v="34"/>
    <m/>
    <x v="84"/>
    <x v="0"/>
    <n v="4"/>
    <n v="17730.496453900709"/>
    <n v="70921.985815602835"/>
    <n v="16886.187098953054"/>
    <n v="13643.419548575934"/>
    <n v="0"/>
    <s v="-"/>
    <n v="101451.59246313182"/>
    <n v="111157.9082892416"/>
    <n v="212609.50075237342"/>
    <n v="0.1"/>
    <n v="21260.950075237342"/>
    <n v="0.3"/>
    <n v="91118.357465302921"/>
    <n v="324988.80829291372"/>
    <n v="0.05"/>
    <n v="17104.674120679672"/>
    <n v="3420.9348241359339"/>
    <n v="3420.9348241359339"/>
    <n v="348935.35206186521"/>
  </r>
  <r>
    <s v="Fase 3"/>
    <x v="10"/>
    <s v="D1. Parcelaciones y Condominios"/>
    <s v="01. Urbanismo"/>
    <x v="10"/>
    <x v="13"/>
    <s v="500 m² - 1000 m²"/>
    <n v="1"/>
    <x v="34"/>
    <m/>
    <x v="79"/>
    <x v="0"/>
    <n v="0.5"/>
    <n v="17730.496453900709"/>
    <n v="8865.2482269503544"/>
    <n v="2110.7733873691318"/>
    <n v="1705.4274435719917"/>
    <n v="0"/>
    <s v="-"/>
    <n v="12681.449057891477"/>
    <n v="13894.738536155201"/>
    <n v="26576.187594046678"/>
    <n v="0.1"/>
    <n v="2657.6187594046678"/>
    <n v="0.3"/>
    <n v="11389.794683162865"/>
    <n v="40623.601036614215"/>
    <n v="0.05"/>
    <n v="2138.084265084959"/>
    <n v="427.61685301699174"/>
    <n v="427.61685301699174"/>
    <n v="43616.919007733151"/>
  </r>
  <r>
    <s v="Fase 3"/>
    <x v="10"/>
    <s v="D1. Parcelaciones y Condominios"/>
    <s v="01. Urbanismo"/>
    <x v="10"/>
    <x v="12"/>
    <s v="500 m² - 1000 m²"/>
    <n v="1"/>
    <x v="35"/>
    <m/>
    <x v="80"/>
    <x v="0"/>
    <n v="0.2"/>
    <n v="17730.496453900709"/>
    <n v="3546.0992907801419"/>
    <n v="844.30935494765276"/>
    <n v="682.17097742879673"/>
    <n v="0"/>
    <s v="-"/>
    <n v="5072.579623156591"/>
    <n v="5557.8954144620802"/>
    <n v="10630.475037618671"/>
    <n v="0.1"/>
    <n v="1063.0475037618671"/>
    <n v="0.3"/>
    <n v="4555.9178732651453"/>
    <n v="16249.440414645684"/>
    <n v="0.05"/>
    <n v="855.23370603398507"/>
    <n v="171.0467412067967"/>
    <n v="171.0467412067967"/>
    <n v="17446.76760309326"/>
  </r>
  <r>
    <s v="Fase 3"/>
    <x v="10"/>
    <s v="D1. Parcelaciones y Condominios"/>
    <s v="01. Urbanismo"/>
    <x v="10"/>
    <x v="12"/>
    <s v="500 m² - 1000 m²"/>
    <n v="1"/>
    <x v="35"/>
    <m/>
    <x v="91"/>
    <x v="0"/>
    <n v="4"/>
    <n v="17730.496453900709"/>
    <n v="70921.985815602835"/>
    <n v="16886.187098953054"/>
    <n v="13643.419548575934"/>
    <n v="0"/>
    <s v="-"/>
    <n v="101451.59246313182"/>
    <n v="111157.9082892416"/>
    <n v="212609.50075237342"/>
    <n v="0.1"/>
    <n v="21260.950075237342"/>
    <n v="0.3"/>
    <n v="91118.357465302921"/>
    <n v="324988.80829291372"/>
    <n v="0.05"/>
    <n v="17104.674120679672"/>
    <n v="3420.9348241359339"/>
    <n v="3420.9348241359339"/>
    <n v="348935.35206186521"/>
  </r>
  <r>
    <s v="Fase 3"/>
    <x v="10"/>
    <s v="D1. Parcelaciones y Condominios"/>
    <s v="01. Urbanismo"/>
    <x v="10"/>
    <x v="12"/>
    <s v="500 m² - 1000 m²"/>
    <n v="1"/>
    <x v="35"/>
    <m/>
    <x v="82"/>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2"/>
    <s v="500 m² - 1000 m²"/>
    <n v="1"/>
    <x v="35"/>
    <m/>
    <x v="92"/>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2"/>
    <s v="500 m² - 1000 m²"/>
    <n v="1"/>
    <x v="35"/>
    <m/>
    <x v="93"/>
    <x v="0"/>
    <n v="5"/>
    <n v="17730.496453900709"/>
    <n v="88652.48226950354"/>
    <n v="21107.733873691319"/>
    <n v="17054.274435719919"/>
    <n v="0"/>
    <s v="-"/>
    <n v="126814.49057891479"/>
    <n v="138947.38536155201"/>
    <n v="265761.87594046677"/>
    <n v="0.1"/>
    <n v="26576.187594046678"/>
    <n v="0.3"/>
    <n v="113897.94683162862"/>
    <n v="406236.01036614209"/>
    <n v="0.05"/>
    <n v="21380.842650849605"/>
    <n v="4276.1685301699172"/>
    <n v="4276.1685301699172"/>
    <n v="436169.19007733156"/>
  </r>
  <r>
    <s v="Fase 3"/>
    <x v="10"/>
    <s v="D1. Parcelaciones y Condominios"/>
    <s v="01. Urbanismo"/>
    <x v="10"/>
    <x v="12"/>
    <s v="500 m² - 1000 m²"/>
    <n v="1"/>
    <x v="35"/>
    <m/>
    <x v="84"/>
    <x v="0"/>
    <n v="2"/>
    <n v="17730.496453900709"/>
    <n v="35460.992907801417"/>
    <n v="8443.0935494765272"/>
    <n v="6821.7097742879669"/>
    <n v="0"/>
    <s v="-"/>
    <n v="50725.79623156591"/>
    <n v="55578.954144620802"/>
    <n v="106304.75037618671"/>
    <n v="0.1"/>
    <n v="10630.475037618671"/>
    <n v="0.3"/>
    <n v="45559.17873265146"/>
    <n v="162494.40414645686"/>
    <n v="0.05"/>
    <n v="8552.3370603398362"/>
    <n v="1710.467412067967"/>
    <n v="1710.467412067967"/>
    <n v="174467.67603093261"/>
  </r>
  <r>
    <s v="Fase 3"/>
    <x v="10"/>
    <s v="D1. Parcelaciones y Condominios"/>
    <s v="01. Urbanismo"/>
    <x v="10"/>
    <x v="12"/>
    <s v="500 m² - 1000 m²"/>
    <n v="1"/>
    <x v="35"/>
    <m/>
    <x v="78"/>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2"/>
    <s v="500 m² - 1000 m²"/>
    <n v="1"/>
    <x v="35"/>
    <m/>
    <x v="38"/>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12"/>
    <s v="500 m² - 1000 m²"/>
    <n v="1"/>
    <x v="35"/>
    <m/>
    <x v="79"/>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14"/>
    <s v="500 m² - 1000 m²"/>
    <n v="1"/>
    <x v="36"/>
    <m/>
    <x v="94"/>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4"/>
    <s v="500 m² - 1000 m²"/>
    <n v="1"/>
    <x v="36"/>
    <m/>
    <x v="95"/>
    <x v="0"/>
    <n v="10"/>
    <n v="17730.496453900709"/>
    <n v="177304.96453900708"/>
    <n v="42215.467747382638"/>
    <n v="34108.548871439838"/>
    <n v="0"/>
    <s v="-"/>
    <n v="253628.98115782958"/>
    <n v="277894.77072310401"/>
    <n v="531523.75188093353"/>
    <n v="0.1"/>
    <n v="53152.375188093356"/>
    <n v="0.3"/>
    <n v="227795.89366325724"/>
    <n v="812472.02073228417"/>
    <n v="0.05"/>
    <n v="42761.68530169921"/>
    <n v="8552.3370603398344"/>
    <n v="8552.3370603398344"/>
    <n v="872338.38015466311"/>
  </r>
  <r>
    <s v="Fase 3"/>
    <x v="11"/>
    <s v="D1. Parcelaciones y Condominios"/>
    <s v="02. Edificación"/>
    <x v="11"/>
    <x v="8"/>
    <s v="1 m² - 200 m²"/>
    <n v="1"/>
    <x v="37"/>
    <m/>
    <x v="76"/>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11"/>
    <s v="D1. Parcelaciones y Condominios"/>
    <s v="02. Edificación"/>
    <x v="11"/>
    <x v="8"/>
    <s v="1 m² - 200 m²"/>
    <n v="1"/>
    <x v="37"/>
    <m/>
    <x v="96"/>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8"/>
    <s v="1 m² - 200 m²"/>
    <n v="1"/>
    <x v="37"/>
    <m/>
    <x v="7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8"/>
    <s v="1 m² - 200 m²"/>
    <n v="1"/>
    <x v="37"/>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8"/>
    <s v="1 m² - 200 m²"/>
    <n v="1"/>
    <x v="37"/>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9"/>
    <s v="1 m² - 200 m²"/>
    <n v="1"/>
    <x v="38"/>
    <m/>
    <x v="80"/>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11"/>
    <s v="D1. Parcelaciones y Condominios"/>
    <s v="02. Edificación"/>
    <x v="11"/>
    <x v="9"/>
    <s v="1 m² - 200 m²"/>
    <n v="1"/>
    <x v="38"/>
    <m/>
    <x v="81"/>
    <x v="0"/>
    <n v="5"/>
    <n v="17730.496453900709"/>
    <n v="88652.48226950354"/>
    <n v="21107.733873691319"/>
    <n v="17054.274435719919"/>
    <n v="0"/>
    <n v="0"/>
    <n v="126814.49057891479"/>
    <n v="138947.38536155201"/>
    <n v="265761.87594046677"/>
    <n v="0.1"/>
    <n v="26576.187594046678"/>
    <n v="0.2"/>
    <n v="66440.468985116691"/>
    <n v="358778.53251963016"/>
    <n v="0.05"/>
    <n v="18883.080658927909"/>
    <n v="3776.6161317855808"/>
    <n v="3776.6161317855808"/>
    <n v="385214.84544212918"/>
  </r>
  <r>
    <s v="Fase 3"/>
    <x v="11"/>
    <s v="D1. Parcelaciones y Condominios"/>
    <s v="02. Edificación"/>
    <x v="11"/>
    <x v="9"/>
    <s v="1 m² - 200 m²"/>
    <n v="1"/>
    <x v="38"/>
    <m/>
    <x v="82"/>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9"/>
    <s v="1 m² - 200 m²"/>
    <n v="1"/>
    <x v="38"/>
    <m/>
    <x v="97"/>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9"/>
    <s v="1 m² - 200 m²"/>
    <n v="1"/>
    <x v="38"/>
    <m/>
    <x v="8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9"/>
    <s v="1 m² - 200 m²"/>
    <n v="1"/>
    <x v="38"/>
    <m/>
    <x v="78"/>
    <x v="0"/>
    <n v="0.6"/>
    <n v="17730.496453900709"/>
    <n v="10638.297872340425"/>
    <n v="2532.9280648429581"/>
    <n v="2046.51293228639"/>
    <n v="0"/>
    <n v="0"/>
    <n v="15217.738869469773"/>
    <n v="16673.686243386241"/>
    <n v="31891.425112856014"/>
    <n v="0.1"/>
    <n v="3189.1425112856014"/>
    <n v="0.2"/>
    <n v="7972.8562782139998"/>
    <n v="43053.423902355615"/>
    <n v="0.05"/>
    <n v="2265.9696790713497"/>
    <n v="453.19393581426965"/>
    <n v="453.19393581426965"/>
    <n v="46225.781453055504"/>
  </r>
  <r>
    <s v="Fase 3"/>
    <x v="11"/>
    <s v="D1. Parcelaciones y Condominios"/>
    <s v="02. Edificación"/>
    <x v="11"/>
    <x v="9"/>
    <s v="1 m² - 200 m²"/>
    <n v="1"/>
    <x v="38"/>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9"/>
    <s v="1 m² - 200 m²"/>
    <n v="1"/>
    <x v="38"/>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0"/>
    <s v="1 m² - 200 m²"/>
    <n v="1"/>
    <x v="39"/>
    <m/>
    <x v="98"/>
    <x v="0"/>
    <n v="2"/>
    <n v="17730.496453900709"/>
    <n v="35460.992907801417"/>
    <n v="8443.0935494765272"/>
    <n v="6821.7097742879669"/>
    <n v="0"/>
    <n v="0"/>
    <n v="50725.79623156591"/>
    <n v="55578.954144620802"/>
    <n v="106304.75037618671"/>
    <n v="0.1"/>
    <n v="10630.475037618671"/>
    <n v="0.2"/>
    <n v="26576.187594046671"/>
    <n v="143511.41300785204"/>
    <n v="0.05"/>
    <n v="7553.2322635711753"/>
    <n v="1510.6464527142323"/>
    <n v="1510.6464527142323"/>
    <n v="154085.93817685166"/>
  </r>
  <r>
    <s v="Fase 3"/>
    <x v="11"/>
    <s v="D1. Parcelaciones y Condominios"/>
    <s v="02. Edificación"/>
    <x v="11"/>
    <x v="10"/>
    <s v="1 m² - 200 m²"/>
    <n v="1"/>
    <x v="39"/>
    <m/>
    <x v="99"/>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0"/>
    <s v="1 m² - 200 m²"/>
    <n v="1"/>
    <x v="39"/>
    <m/>
    <x v="100"/>
    <x v="0"/>
    <n v="1.5"/>
    <n v="17730.496453900709"/>
    <n v="26595.744680851065"/>
    <n v="6332.3201621073949"/>
    <n v="5116.2823307159751"/>
    <n v="0"/>
    <n v="0"/>
    <n v="38044.34717367444"/>
    <n v="41684.215608465602"/>
    <n v="79728.562782140041"/>
    <n v="0.1"/>
    <n v="7972.8562782140043"/>
    <n v="0.2"/>
    <n v="19932.14069553501"/>
    <n v="107633.55975588906"/>
    <n v="0.05"/>
    <n v="5664.9241976783815"/>
    <n v="1132.9848395356744"/>
    <n v="1132.9848395356744"/>
    <n v="115564.45363263878"/>
  </r>
  <r>
    <s v="Fase 3"/>
    <x v="11"/>
    <s v="D1. Parcelaciones y Condominios"/>
    <s v="02. Edificación"/>
    <x v="11"/>
    <x v="10"/>
    <s v="1 m² - 200 m²"/>
    <n v="1"/>
    <x v="39"/>
    <m/>
    <x v="101"/>
    <x v="0"/>
    <n v="2"/>
    <n v="17730.496453900709"/>
    <n v="35460.992907801417"/>
    <n v="8443.0935494765272"/>
    <n v="6821.7097742879669"/>
    <n v="0"/>
    <n v="0"/>
    <n v="50725.79623156591"/>
    <n v="55578.954144620802"/>
    <n v="106304.75037618671"/>
    <n v="0.1"/>
    <n v="10630.475037618671"/>
    <n v="0.2"/>
    <n v="26576.187594046671"/>
    <n v="143511.41300785204"/>
    <n v="0.05"/>
    <n v="7553.2322635711753"/>
    <n v="1510.6464527142323"/>
    <n v="1510.6464527142323"/>
    <n v="154085.93817685166"/>
  </r>
  <r>
    <s v="Fase 3"/>
    <x v="11"/>
    <s v="D1. Parcelaciones y Condominios"/>
    <s v="02. Edificación"/>
    <x v="11"/>
    <x v="10"/>
    <s v="1 m² - 200 m²"/>
    <n v="1"/>
    <x v="39"/>
    <m/>
    <x v="102"/>
    <x v="0"/>
    <n v="2"/>
    <n v="17730.496453900709"/>
    <n v="35460.992907801417"/>
    <n v="8443.0935494765272"/>
    <n v="6821.7097742879669"/>
    <n v="0"/>
    <n v="0"/>
    <n v="50725.79623156591"/>
    <n v="55578.954144620802"/>
    <n v="106304.75037618671"/>
    <n v="0.1"/>
    <n v="10630.475037618671"/>
    <n v="0.2"/>
    <n v="26576.187594046671"/>
    <n v="143511.41300785204"/>
    <n v="0.05"/>
    <n v="7553.2322635711753"/>
    <n v="1510.6464527142323"/>
    <n v="1510.6464527142323"/>
    <n v="154085.93817685166"/>
  </r>
  <r>
    <s v="Fase 3"/>
    <x v="11"/>
    <s v="D1. Parcelaciones y Condominios"/>
    <s v="02. Edificación"/>
    <x v="11"/>
    <x v="10"/>
    <s v="1 m² - 200 m²"/>
    <n v="1"/>
    <x v="39"/>
    <m/>
    <x v="103"/>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0"/>
    <s v="1 m² - 200 m²"/>
    <n v="1"/>
    <x v="39"/>
    <m/>
    <x v="8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0"/>
    <s v="1 m² - 200 m²"/>
    <n v="1"/>
    <x v="39"/>
    <m/>
    <x v="76"/>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11"/>
    <s v="D1. Parcelaciones y Condominios"/>
    <s v="02. Edificación"/>
    <x v="11"/>
    <x v="10"/>
    <s v="1 m² - 200 m²"/>
    <n v="1"/>
    <x v="39"/>
    <m/>
    <x v="96"/>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0"/>
    <s v="1 m² - 200 m²"/>
    <n v="1"/>
    <x v="39"/>
    <m/>
    <x v="7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0"/>
    <s v="1 m² - 200 m²"/>
    <n v="1"/>
    <x v="39"/>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0"/>
    <s v="1 m² - 200 m²"/>
    <n v="1"/>
    <x v="39"/>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1"/>
    <s v="1 m² - 200 m²"/>
    <n v="1"/>
    <x v="40"/>
    <m/>
    <x v="85"/>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1"/>
    <s v="1 m² - 200 m²"/>
    <n v="1"/>
    <x v="40"/>
    <m/>
    <x v="80"/>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11"/>
    <s v="D1. Parcelaciones y Condominios"/>
    <s v="02. Edificación"/>
    <x v="11"/>
    <x v="11"/>
    <s v="1 m² - 200 m²"/>
    <n v="1"/>
    <x v="40"/>
    <m/>
    <x v="96"/>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1"/>
    <s v="1 m² - 200 m²"/>
    <n v="1"/>
    <x v="40"/>
    <m/>
    <x v="78"/>
    <x v="0"/>
    <n v="0.6"/>
    <n v="17730.496453900709"/>
    <n v="10638.297872340425"/>
    <n v="2532.9280648429581"/>
    <n v="2046.51293228639"/>
    <n v="0"/>
    <n v="0"/>
    <n v="15217.738869469773"/>
    <n v="16673.686243386241"/>
    <n v="31891.425112856014"/>
    <n v="0.1"/>
    <n v="3189.1425112856014"/>
    <n v="0.2"/>
    <n v="7972.8562782139998"/>
    <n v="43053.423902355615"/>
    <n v="0.05"/>
    <n v="2265.9696790713497"/>
    <n v="453.19393581426965"/>
    <n v="453.19393581426965"/>
    <n v="46225.781453055504"/>
  </r>
  <r>
    <s v="Fase 3"/>
    <x v="11"/>
    <s v="D1. Parcelaciones y Condominios"/>
    <s v="02. Edificación"/>
    <x v="11"/>
    <x v="11"/>
    <s v="1 m² - 200 m²"/>
    <n v="1"/>
    <x v="40"/>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1"/>
    <s v="1 m² - 200 m²"/>
    <n v="1"/>
    <x v="40"/>
    <m/>
    <x v="8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1"/>
    <s v="1 m² - 200 m²"/>
    <n v="1"/>
    <x v="40"/>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2"/>
    <s v="1 m² - 200 m²"/>
    <n v="1"/>
    <x v="34"/>
    <m/>
    <x v="8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2"/>
    <s v="1 m² - 200 m²"/>
    <n v="1"/>
    <x v="34"/>
    <m/>
    <x v="80"/>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11"/>
    <s v="D1. Parcelaciones y Condominios"/>
    <s v="02. Edificación"/>
    <x v="11"/>
    <x v="12"/>
    <s v="1 m² - 200 m²"/>
    <n v="1"/>
    <x v="34"/>
    <m/>
    <x v="89"/>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2"/>
    <s v="1 m² - 200 m²"/>
    <n v="1"/>
    <x v="34"/>
    <m/>
    <x v="90"/>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2"/>
    <s v="1 m² - 200 m²"/>
    <n v="1"/>
    <x v="34"/>
    <m/>
    <x v="7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2"/>
    <s v="1 m² - 200 m²"/>
    <n v="1"/>
    <x v="34"/>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2"/>
    <s v="1 m² - 200 m²"/>
    <n v="1"/>
    <x v="34"/>
    <m/>
    <x v="84"/>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3"/>
    <s v="1 m² - 200 m²"/>
    <n v="1"/>
    <x v="34"/>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2"/>
    <s v="1 m² - 200 m²"/>
    <n v="1"/>
    <x v="41"/>
    <m/>
    <x v="80"/>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11"/>
    <s v="D1. Parcelaciones y Condominios"/>
    <s v="02. Edificación"/>
    <x v="11"/>
    <x v="12"/>
    <s v="1 m² - 200 m²"/>
    <n v="1"/>
    <x v="41"/>
    <m/>
    <x v="10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2"/>
    <s v="1 m² - 200 m²"/>
    <n v="1"/>
    <x v="41"/>
    <m/>
    <x v="82"/>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2"/>
    <s v="1 m² - 200 m²"/>
    <n v="1"/>
    <x v="41"/>
    <m/>
    <x v="97"/>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2"/>
    <s v="1 m² - 200 m²"/>
    <n v="1"/>
    <x v="41"/>
    <m/>
    <x v="93"/>
    <x v="0"/>
    <n v="5"/>
    <n v="17730.496453900709"/>
    <n v="88652.48226950354"/>
    <n v="21107.733873691319"/>
    <n v="17054.274435719919"/>
    <n v="0"/>
    <n v="0"/>
    <n v="126814.49057891479"/>
    <n v="138947.38536155201"/>
    <n v="265761.87594046677"/>
    <n v="0.1"/>
    <n v="26576.187594046678"/>
    <n v="0.2"/>
    <n v="66440.468985116691"/>
    <n v="358778.53251963016"/>
    <n v="0.05"/>
    <n v="18883.080658927909"/>
    <n v="3776.6161317855808"/>
    <n v="3776.6161317855808"/>
    <n v="385214.84544212918"/>
  </r>
  <r>
    <s v="Fase 3"/>
    <x v="11"/>
    <s v="D1. Parcelaciones y Condominios"/>
    <s v="02. Edificación"/>
    <x v="11"/>
    <x v="12"/>
    <s v="1 m² - 200 m²"/>
    <n v="1"/>
    <x v="41"/>
    <m/>
    <x v="8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2"/>
    <s v="1 m² - 200 m²"/>
    <n v="1"/>
    <x v="41"/>
    <m/>
    <x v="7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2"/>
    <s v="1 m² - 200 m²"/>
    <n v="1"/>
    <x v="41"/>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2"/>
    <s v="1 m² - 200 m²"/>
    <n v="1"/>
    <x v="41"/>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4"/>
    <s v="1 m² - 200 m²"/>
    <n v="1"/>
    <x v="42"/>
    <m/>
    <x v="105"/>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106"/>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107"/>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10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109"/>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11"/>
    <s v="D1. Parcelaciones y Condominios"/>
    <s v="02. Edificación"/>
    <x v="11"/>
    <x v="14"/>
    <s v="1 m² - 200 m²"/>
    <n v="1"/>
    <x v="42"/>
    <m/>
    <x v="110"/>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11"/>
    <s v="D1. Parcelaciones y Condominios"/>
    <s v="02. Edificación"/>
    <x v="11"/>
    <x v="14"/>
    <s v="1 m² - 200 m²"/>
    <n v="1"/>
    <x v="42"/>
    <m/>
    <x v="38"/>
    <x v="0"/>
    <n v="1.5"/>
    <n v="17730.496453900709"/>
    <n v="26595.744680851065"/>
    <n v="6332.3201621073949"/>
    <n v="5116.2823307159751"/>
    <n v="0"/>
    <n v="0"/>
    <n v="38044.34717367444"/>
    <n v="41684.215608465602"/>
    <n v="79728.562782140041"/>
    <n v="0.1"/>
    <n v="7972.8562782140043"/>
    <n v="0.2"/>
    <n v="19932.14069553501"/>
    <n v="107633.55975588906"/>
    <n v="0.05"/>
    <n v="5664.9241976783815"/>
    <n v="1132.9848395356744"/>
    <n v="1132.9848395356744"/>
    <n v="115564.45363263878"/>
  </r>
  <r>
    <s v="Fase 3"/>
    <x v="11"/>
    <s v="D1. Parcelaciones y Condominios"/>
    <s v="02. Edificación"/>
    <x v="11"/>
    <x v="14"/>
    <s v="1 m² - 200 m²"/>
    <n v="1"/>
    <x v="42"/>
    <m/>
    <x v="111"/>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8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112"/>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5"/>
    <s v="1 m² - 200 m²"/>
    <n v="1"/>
    <x v="43"/>
    <m/>
    <x v="113"/>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5"/>
    <s v="1 m² - 200 m²"/>
    <n v="1"/>
    <x v="43"/>
    <m/>
    <x v="11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5"/>
    <s v="1 m² - 200 m²"/>
    <n v="1"/>
    <x v="43"/>
    <m/>
    <x v="115"/>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11"/>
    <s v="D1. Parcelaciones y Condominios"/>
    <s v="02. Edificación"/>
    <x v="11"/>
    <x v="15"/>
    <s v="1 m² - 200 m²"/>
    <n v="1"/>
    <x v="43"/>
    <m/>
    <x v="3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5"/>
    <s v="1 m² - 200 m²"/>
    <n v="1"/>
    <x v="43"/>
    <m/>
    <x v="111"/>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5"/>
    <s v="1 m² - 200 m²"/>
    <n v="1"/>
    <x v="43"/>
    <m/>
    <x v="84"/>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11"/>
    <s v="D1. Parcelaciones y Condominios"/>
    <s v="02. Edificación"/>
    <x v="11"/>
    <x v="15"/>
    <s v="1 m² - 200 m²"/>
    <n v="1"/>
    <x v="43"/>
    <m/>
    <x v="112"/>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5"/>
    <s v="1 m² - 200 m²"/>
    <n v="1"/>
    <x v="43"/>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12"/>
    <s v="D1. Parcelaciones y Condominios"/>
    <s v="03. Complementario"/>
    <x v="12"/>
    <x v="16"/>
    <s v="100m2"/>
    <n v="1"/>
    <x v="44"/>
    <m/>
    <x v="116"/>
    <x v="0"/>
    <n v="0.25"/>
    <n v="17730.496453900709"/>
    <n v="4432.6241134751772"/>
    <n v="1055.3866936845659"/>
    <n v="852.71372178599586"/>
    <n v="0"/>
    <n v="0"/>
    <n v="6340.7245289457387"/>
    <n v="6947.3692680776003"/>
    <n v="13288.093797023339"/>
    <n v="0.15"/>
    <n v="1993.2140695535008"/>
    <n v="0.2"/>
    <n v="3322.0234492558338"/>
    <n v="18603.331315832675"/>
    <n v="0.05"/>
    <n v="979.12270083330077"/>
    <n v="195.82454016665974"/>
    <n v="195.82454016665974"/>
    <n v="19974.103096999297"/>
  </r>
  <r>
    <s v="Fase 1"/>
    <x v="12"/>
    <s v="D1. Parcelaciones y Condominios"/>
    <s v="03. Complementario"/>
    <x v="12"/>
    <x v="16"/>
    <s v="100m2"/>
    <n v="1"/>
    <x v="44"/>
    <m/>
    <x v="117"/>
    <x v="0"/>
    <n v="0.1"/>
    <n v="17730.496453900709"/>
    <n v="1773.049645390071"/>
    <n v="422.15467747382638"/>
    <n v="341.08548871439837"/>
    <n v="0"/>
    <n v="0"/>
    <n v="2536.2898115782955"/>
    <n v="2778.9477072310401"/>
    <n v="5315.2375188093356"/>
    <n v="0.15"/>
    <n v="797.28562782140034"/>
    <n v="0.2"/>
    <n v="1328.8093797023339"/>
    <n v="7441.3325263330698"/>
    <n v="0.05"/>
    <n v="391.64908033331994"/>
    <n v="78.329816066663895"/>
    <n v="78.329816066663895"/>
    <n v="7989.641238799717"/>
  </r>
  <r>
    <s v="Fase 1"/>
    <x v="12"/>
    <s v="D1. Parcelaciones y Condominios"/>
    <s v="03. Complementario"/>
    <x v="12"/>
    <x v="16"/>
    <s v="100m2"/>
    <n v="1"/>
    <x v="44"/>
    <m/>
    <x v="118"/>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12"/>
    <s v="D1. Parcelaciones y Condominios"/>
    <s v="03. Complementario"/>
    <x v="12"/>
    <x v="16"/>
    <s v="100m2"/>
    <n v="1"/>
    <x v="44"/>
    <m/>
    <x v="119"/>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12"/>
    <s v="D1. Parcelaciones y Condominios"/>
    <s v="03. Complementario"/>
    <x v="12"/>
    <x v="16"/>
    <s v="100m2"/>
    <n v="1"/>
    <x v="44"/>
    <m/>
    <x v="120"/>
    <x v="0"/>
    <n v="0.3"/>
    <n v="17730.496453900709"/>
    <n v="5319.1489361702124"/>
    <n v="1266.464032421479"/>
    <n v="1023.256466143195"/>
    <n v="0"/>
    <n v="0"/>
    <n v="7608.8694347348865"/>
    <n v="8336.8431216931203"/>
    <n v="15945.712556428007"/>
    <n v="0.15"/>
    <n v="2391.856883464201"/>
    <n v="0.2"/>
    <n v="3986.4281391069999"/>
    <n v="22323.997578999206"/>
    <n v="0.05"/>
    <n v="1174.947240999958"/>
    <n v="234.98944819999164"/>
    <n v="234.98944819999164"/>
    <n v="23968.923716399146"/>
  </r>
  <r>
    <s v="Fase 1"/>
    <x v="12"/>
    <s v="D1. Parcelaciones y Condominios"/>
    <s v="03. Complementario"/>
    <x v="12"/>
    <x v="16"/>
    <s v="100m2"/>
    <n v="1"/>
    <x v="44"/>
    <m/>
    <x v="121"/>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1"/>
    <x v="12"/>
    <s v="D1. Parcelaciones y Condominios"/>
    <s v="03. Complementario"/>
    <x v="12"/>
    <x v="16"/>
    <s v="100m2"/>
    <n v="1"/>
    <x v="44"/>
    <m/>
    <x v="122"/>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12"/>
    <s v="D1. Parcelaciones y Condominios"/>
    <s v="03. Complementario"/>
    <x v="12"/>
    <x v="16"/>
    <s v="100m2"/>
    <n v="1"/>
    <x v="44"/>
    <m/>
    <x v="123"/>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12"/>
    <s v="D1. Parcelaciones y Condominios"/>
    <s v="03. Complementario"/>
    <x v="12"/>
    <x v="16"/>
    <s v="100m2"/>
    <n v="1"/>
    <x v="44"/>
    <m/>
    <x v="124"/>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12"/>
    <s v="D1. Parcelaciones y Condominios"/>
    <s v="03. Complementario"/>
    <x v="12"/>
    <x v="16"/>
    <s v="100m2"/>
    <n v="1"/>
    <x v="45"/>
    <m/>
    <x v="125"/>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1"/>
    <x v="12"/>
    <s v="D1. Parcelaciones y Condominios"/>
    <s v="03. Complementario"/>
    <x v="12"/>
    <x v="16"/>
    <s v="100m2"/>
    <n v="1"/>
    <x v="45"/>
    <m/>
    <x v="126"/>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12"/>
    <s v="D1. Parcelaciones y Condominios"/>
    <s v="03. Complementario"/>
    <x v="12"/>
    <x v="16"/>
    <s v="100m2"/>
    <n v="1"/>
    <x v="45"/>
    <m/>
    <x v="127"/>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12"/>
    <s v="D1. Parcelaciones y Condominios"/>
    <s v="03. Complementario"/>
    <x v="12"/>
    <x v="16"/>
    <s v="100m2"/>
    <n v="1"/>
    <x v="45"/>
    <m/>
    <x v="128"/>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1"/>
    <x v="12"/>
    <s v="D1. Parcelaciones y Condominios"/>
    <s v="03. Complementario"/>
    <x v="12"/>
    <x v="16"/>
    <s v="100m2"/>
    <n v="1"/>
    <x v="46"/>
    <m/>
    <x v="129"/>
    <x v="0"/>
    <n v="0.3"/>
    <n v="17730.496453900709"/>
    <n v="5319.1489361702124"/>
    <n v="1266.464032421479"/>
    <n v="1023.256466143195"/>
    <n v="0"/>
    <n v="0"/>
    <n v="7608.8694347348865"/>
    <n v="8336.8431216931203"/>
    <n v="15945.712556428007"/>
    <n v="0.15"/>
    <n v="2391.856883464201"/>
    <n v="0.2"/>
    <n v="3986.4281391069999"/>
    <n v="22323.997578999206"/>
    <n v="0.05"/>
    <n v="1174.947240999958"/>
    <n v="234.98944819999164"/>
    <n v="234.98944819999164"/>
    <n v="23968.923716399146"/>
  </r>
  <r>
    <s v="Fase 1"/>
    <x v="12"/>
    <s v="D1. Parcelaciones y Condominios"/>
    <s v="03. Complementario"/>
    <x v="12"/>
    <x v="16"/>
    <s v="100m2"/>
    <n v="1"/>
    <x v="46"/>
    <m/>
    <x v="130"/>
    <x v="0"/>
    <n v="0.3"/>
    <n v="17730.496453900709"/>
    <n v="5319.1489361702124"/>
    <n v="1266.464032421479"/>
    <n v="1023.256466143195"/>
    <n v="0"/>
    <n v="0"/>
    <n v="7608.8694347348865"/>
    <n v="8336.8431216931203"/>
    <n v="15945.712556428007"/>
    <n v="0.15"/>
    <n v="2391.856883464201"/>
    <n v="0.2"/>
    <n v="3986.4281391069999"/>
    <n v="22323.997578999206"/>
    <n v="0.05"/>
    <n v="1174.947240999958"/>
    <n v="234.98944819999164"/>
    <n v="234.98944819999164"/>
    <n v="23968.923716399146"/>
  </r>
  <r>
    <s v="Fase 1"/>
    <x v="12"/>
    <s v="D1. Parcelaciones y Condominios"/>
    <s v="03. Complementario"/>
    <x v="12"/>
    <x v="16"/>
    <s v="100m2"/>
    <n v="1"/>
    <x v="46"/>
    <m/>
    <x v="131"/>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1"/>
    <x v="12"/>
    <s v="D1. Parcelaciones y Condominios"/>
    <s v="03. Complementario"/>
    <x v="12"/>
    <x v="16"/>
    <s v="100m2"/>
    <n v="1"/>
    <x v="46"/>
    <m/>
    <x v="132"/>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12"/>
    <s v="D1. Parcelaciones y Condominios"/>
    <s v="03. Complementario"/>
    <x v="12"/>
    <x v="16"/>
    <s v="100m2"/>
    <n v="1"/>
    <x v="46"/>
    <m/>
    <x v="133"/>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1"/>
    <x v="12"/>
    <s v="D1. Parcelaciones y Condominios"/>
    <s v="03. Complementario"/>
    <x v="12"/>
    <x v="16"/>
    <s v="100m2"/>
    <n v="1"/>
    <x v="46"/>
    <m/>
    <x v="134"/>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1"/>
    <x v="12"/>
    <s v="D1. Parcelaciones y Condominios"/>
    <s v="03. Complementario"/>
    <x v="12"/>
    <x v="16"/>
    <s v="100m2"/>
    <n v="1"/>
    <x v="47"/>
    <m/>
    <x v="135"/>
    <x v="0"/>
    <n v="0.3"/>
    <n v="17730.496453900709"/>
    <n v="5319.1489361702124"/>
    <n v="1266.464032421479"/>
    <n v="1023.256466143195"/>
    <n v="0"/>
    <n v="0"/>
    <n v="7608.8694347348865"/>
    <n v="8336.8431216931203"/>
    <n v="15945.712556428007"/>
    <n v="0.15"/>
    <n v="2391.856883464201"/>
    <n v="0.2"/>
    <n v="3986.4281391069999"/>
    <n v="22323.997578999206"/>
    <n v="0.05"/>
    <n v="1174.947240999958"/>
    <n v="234.98944819999164"/>
    <n v="234.98944819999164"/>
    <n v="23968.923716399146"/>
  </r>
  <r>
    <s v="Fase 3"/>
    <x v="13"/>
    <s v="D1. Parcelaciones y Condominios"/>
    <s v="01. Urbanismo"/>
    <x v="13"/>
    <x v="17"/>
    <s v="500 m² - 1000 m²"/>
    <n v="1"/>
    <x v="21"/>
    <m/>
    <x v="45"/>
    <x v="0"/>
    <n v="18.8"/>
    <n v="17730.496453900709"/>
    <n v="333333.33333333331"/>
    <n v="79365.079365079364"/>
    <n v="64124.071878306888"/>
    <n v="0"/>
    <n v="0"/>
    <n v="476822.48457671958"/>
    <n v="522442.16895943554"/>
    <n v="999264.65353615512"/>
    <n v="0.2"/>
    <n v="199852.93070723105"/>
    <n v="0.2"/>
    <n v="249816.16338403872"/>
    <n v="1448933.7476274248"/>
    <n v="0.05"/>
    <n v="76259.67092775926"/>
    <n v="15251.934185551841"/>
    <n v="15251.934185551841"/>
    <n v="1555697.2869262879"/>
  </r>
  <r>
    <s v="Fase 3"/>
    <x v="13"/>
    <s v="D1. Parcelaciones y Condominios"/>
    <s v="01. Urbanismo"/>
    <x v="13"/>
    <x v="17"/>
    <s v="500 m² - 1000 m²"/>
    <n v="1"/>
    <x v="21"/>
    <m/>
    <x v="136"/>
    <x v="0"/>
    <n v="3"/>
    <n v="17730.496453900709"/>
    <n v="53191.48936170213"/>
    <n v="12664.64032421479"/>
    <n v="10232.56466143195"/>
    <n v="0"/>
    <n v="0"/>
    <n v="76088.694347348879"/>
    <n v="83368.431216931203"/>
    <n v="159457.12556428008"/>
    <n v="0.2"/>
    <n v="31891.425112856017"/>
    <n v="0.2"/>
    <n v="39864.281391070021"/>
    <n v="231212.83206820613"/>
    <n v="0.05"/>
    <n v="12169.096424642426"/>
    <n v="2433.8192849284856"/>
    <n v="2433.8192849284856"/>
    <n v="248249.56706270555"/>
  </r>
  <r>
    <s v="Fase 3"/>
    <x v="13"/>
    <s v="D1. Parcelaciones y Condominios"/>
    <s v="01. Urbanismo"/>
    <x v="13"/>
    <x v="17"/>
    <s v="500 m² - 1000 m²"/>
    <n v="1"/>
    <x v="21"/>
    <m/>
    <x v="137"/>
    <x v="0"/>
    <n v="9.4"/>
    <n v="17730.496453900709"/>
    <n v="166666.66666666666"/>
    <n v="39682.539682539682"/>
    <n v="32062.035939153444"/>
    <n v="0"/>
    <n v="0"/>
    <n v="238411.24228835979"/>
    <n v="261221.08447971777"/>
    <n v="499632.32676807756"/>
    <n v="0.2"/>
    <n v="99926.465353615524"/>
    <n v="0.2"/>
    <n v="124908.08169201936"/>
    <n v="724466.87381371239"/>
    <n v="0.05"/>
    <n v="38129.83546387963"/>
    <n v="7625.9670927759207"/>
    <n v="7625.9670927759207"/>
    <n v="777848.64346314396"/>
  </r>
  <r>
    <s v="Fase 3"/>
    <x v="13"/>
    <s v="D1. Parcelaciones y Condominios"/>
    <s v="01. Urbanismo"/>
    <x v="13"/>
    <x v="17"/>
    <s v="500 m² - 1000 m²"/>
    <n v="1"/>
    <x v="21"/>
    <m/>
    <x v="138"/>
    <x v="0"/>
    <n v="2"/>
    <n v="17730.496453900709"/>
    <n v="35460.992907801417"/>
    <n v="8443.0935494765272"/>
    <n v="6821.7097742879669"/>
    <n v="0"/>
    <n v="0"/>
    <n v="50725.79623156591"/>
    <n v="55578.954144620802"/>
    <n v="106304.75037618671"/>
    <n v="0.2"/>
    <n v="21260.950075237342"/>
    <n v="0.2"/>
    <n v="26576.187594046671"/>
    <n v="154141.88804547073"/>
    <n v="0.05"/>
    <n v="8112.730949761637"/>
    <n v="1622.5461899523236"/>
    <n v="1622.5461899523236"/>
    <n v="165499.71137513701"/>
  </r>
  <r>
    <s v="Fase 3"/>
    <x v="13"/>
    <s v="D1. Parcelaciones y Condominios"/>
    <s v="01. Urbanismo"/>
    <x v="13"/>
    <x v="17"/>
    <s v="500 m² - 1000 m²"/>
    <n v="1"/>
    <x v="21"/>
    <m/>
    <x v="139"/>
    <x v="0"/>
    <n v="2"/>
    <n v="17730.496453900709"/>
    <n v="35460.992907801417"/>
    <n v="8443.0935494765272"/>
    <n v="6821.7097742879669"/>
    <n v="0"/>
    <n v="0"/>
    <n v="50725.79623156591"/>
    <n v="55578.954144620802"/>
    <n v="106304.75037618671"/>
    <n v="0.2"/>
    <n v="21260.950075237342"/>
    <n v="0.2"/>
    <n v="26576.187594046671"/>
    <n v="154141.88804547073"/>
    <n v="0.05"/>
    <n v="8112.730949761637"/>
    <n v="1622.5461899523236"/>
    <n v="1622.5461899523236"/>
    <n v="165499.71137513701"/>
  </r>
  <r>
    <s v="Fase 3"/>
    <x v="13"/>
    <s v="D1. Parcelaciones y Condominios"/>
    <s v="01. Urbanismo"/>
    <x v="13"/>
    <x v="17"/>
    <s v="500 m² - 1000 m²"/>
    <n v="1"/>
    <x v="21"/>
    <m/>
    <x v="50"/>
    <x v="0"/>
    <n v="10"/>
    <n v="17730.496453900709"/>
    <n v="177304.96453900708"/>
    <n v="42215.467747382638"/>
    <n v="34108.548871439838"/>
    <n v="0"/>
    <n v="0"/>
    <n v="253628.98115782958"/>
    <n v="277894.77072310401"/>
    <n v="531523.75188093353"/>
    <n v="0.2"/>
    <n v="106304.75037618671"/>
    <n v="0.2"/>
    <n v="132880.93797023338"/>
    <n v="770709.4402273536"/>
    <n v="0.05"/>
    <n v="40563.654748808127"/>
    <n v="8112.730949761617"/>
    <n v="8112.730949761617"/>
    <n v="827498.55687568488"/>
  </r>
  <r>
    <s v="Fase 3"/>
    <x v="13"/>
    <s v="D1. Parcelaciones y Condominios"/>
    <s v="01. Urbanismo"/>
    <x v="13"/>
    <x v="17"/>
    <s v="500 m² - 1000 m²"/>
    <n v="1"/>
    <x v="21"/>
    <m/>
    <x v="51"/>
    <x v="0"/>
    <n v="0.3"/>
    <n v="17730.496453900709"/>
    <n v="5319.1489361702124"/>
    <n v="1266.464032421479"/>
    <n v="1023.256466143195"/>
    <n v="0"/>
    <n v="0"/>
    <n v="7608.8694347348865"/>
    <n v="8336.8431216931203"/>
    <n v="15945.712556428007"/>
    <n v="0.2"/>
    <n v="3189.1425112856014"/>
    <n v="0.2"/>
    <n v="3986.4281391069999"/>
    <n v="23121.283206820608"/>
    <n v="0.05"/>
    <n v="1216.9096424642448"/>
    <n v="243.38192849284854"/>
    <n v="243.38192849284854"/>
    <n v="24824.956706270546"/>
  </r>
  <r>
    <s v="Fase 3"/>
    <x v="14"/>
    <s v="D1. Parcelaciones y Condominios"/>
    <s v="02. Edificación"/>
    <x v="14"/>
    <x v="18"/>
    <s v="1 m² - 200 m²"/>
    <n v="1"/>
    <x v="48"/>
    <m/>
    <x v="140"/>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4"/>
    <s v="D1. Parcelaciones y Condominios"/>
    <s v="02. Edificación"/>
    <x v="14"/>
    <x v="18"/>
    <s v="1 m² - 200 m²"/>
    <n v="1"/>
    <x v="48"/>
    <m/>
    <x v="141"/>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14"/>
    <s v="D1. Parcelaciones y Condominios"/>
    <s v="02. Edificación"/>
    <x v="14"/>
    <x v="18"/>
    <s v="1 m² - 200 m²"/>
    <n v="1"/>
    <x v="48"/>
    <m/>
    <x v="142"/>
    <x v="0"/>
    <n v="9.4"/>
    <n v="17730.496453900709"/>
    <n v="166666.66666666666"/>
    <n v="39682.539682539682"/>
    <n v="32062.035939153444"/>
    <n v="0"/>
    <n v="0"/>
    <n v="238411.24228835979"/>
    <n v="261221.08447971777"/>
    <n v="499632.32676807756"/>
    <n v="0.1"/>
    <n v="49963.232676807762"/>
    <n v="0.2"/>
    <n v="124908.08169201936"/>
    <n v="674503.64113690471"/>
    <n v="0.05"/>
    <n v="35500.191638784483"/>
    <n v="7100.0383277568917"/>
    <n v="7100.0383277568917"/>
    <n v="724203.90943120304"/>
  </r>
  <r>
    <s v="Fase 3"/>
    <x v="14"/>
    <s v="D1. Parcelaciones y Condominios"/>
    <s v="02. Edificación"/>
    <x v="14"/>
    <x v="18"/>
    <s v="1 m² - 200 m²"/>
    <n v="1"/>
    <x v="21"/>
    <m/>
    <x v="45"/>
    <x v="0"/>
    <n v="3"/>
    <n v="17730.496453900709"/>
    <n v="53191.48936170213"/>
    <n v="12664.64032421479"/>
    <n v="10232.56466143195"/>
    <n v="0"/>
    <n v="0"/>
    <n v="76088.694347348879"/>
    <n v="83368.431216931203"/>
    <n v="159457.12556428008"/>
    <n v="0.1"/>
    <n v="15945.712556428009"/>
    <n v="0.2"/>
    <n v="39864.281391070021"/>
    <n v="215267.11951177812"/>
    <n v="0.05"/>
    <n v="11329.848395356763"/>
    <n v="2265.9696790713488"/>
    <n v="2265.9696790713488"/>
    <n v="231128.90726527755"/>
  </r>
  <r>
    <s v="Fase 3"/>
    <x v="14"/>
    <s v="D1. Parcelaciones y Condominios"/>
    <s v="02. Edificación"/>
    <x v="14"/>
    <x v="18"/>
    <s v="1 m² - 200 m²"/>
    <n v="1"/>
    <x v="21"/>
    <m/>
    <x v="136"/>
    <x v="0"/>
    <n v="3"/>
    <n v="17730.496453900709"/>
    <n v="53191.48936170213"/>
    <n v="12664.64032421479"/>
    <n v="10232.56466143195"/>
    <n v="0"/>
    <n v="0"/>
    <n v="76088.694347348879"/>
    <n v="83368.431216931203"/>
    <n v="159457.12556428008"/>
    <n v="0.1"/>
    <n v="15945.712556428009"/>
    <n v="0.2"/>
    <n v="39864.281391070021"/>
    <n v="215267.11951177812"/>
    <n v="0.05"/>
    <n v="11329.848395356763"/>
    <n v="2265.9696790713488"/>
    <n v="2265.9696790713488"/>
    <n v="231128.90726527755"/>
  </r>
  <r>
    <s v="Fase 3"/>
    <x v="14"/>
    <s v="D1. Parcelaciones y Condominios"/>
    <s v="02. Edificación"/>
    <x v="14"/>
    <x v="18"/>
    <s v="1 m² - 200 m²"/>
    <n v="1"/>
    <x v="21"/>
    <m/>
    <x v="137"/>
    <x v="0"/>
    <n v="2"/>
    <n v="17730.496453900709"/>
    <n v="35460.992907801417"/>
    <n v="8443.0935494765272"/>
    <n v="6821.7097742879669"/>
    <n v="0"/>
    <n v="0"/>
    <n v="50725.79623156591"/>
    <n v="55578.954144620802"/>
    <n v="106304.75037618671"/>
    <n v="0.1"/>
    <n v="10630.475037618671"/>
    <n v="0.2"/>
    <n v="26576.187594046671"/>
    <n v="143511.41300785204"/>
    <n v="0.05"/>
    <n v="7553.2322635711753"/>
    <n v="1510.6464527142323"/>
    <n v="1510.6464527142323"/>
    <n v="154085.93817685166"/>
  </r>
  <r>
    <s v="Fase 3"/>
    <x v="14"/>
    <s v="D1. Parcelaciones y Condominios"/>
    <s v="02. Edificación"/>
    <x v="14"/>
    <x v="18"/>
    <s v="1 m² - 200 m²"/>
    <n v="1"/>
    <x v="21"/>
    <m/>
    <x v="138"/>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14"/>
    <s v="D1. Parcelaciones y Condominios"/>
    <s v="02. Edificación"/>
    <x v="14"/>
    <x v="18"/>
    <s v="1 m² - 200 m²"/>
    <n v="1"/>
    <x v="21"/>
    <m/>
    <x v="139"/>
    <x v="0"/>
    <n v="3"/>
    <n v="17730.496453900709"/>
    <n v="53191.48936170213"/>
    <n v="12664.64032421479"/>
    <n v="10232.56466143195"/>
    <n v="0"/>
    <n v="0"/>
    <n v="76088.694347348879"/>
    <n v="83368.431216931203"/>
    <n v="159457.12556428008"/>
    <n v="0.1"/>
    <n v="15945.712556428009"/>
    <n v="0.2"/>
    <n v="39864.281391070021"/>
    <n v="215267.11951177812"/>
    <n v="0.05"/>
    <n v="11329.848395356763"/>
    <n v="2265.9696790713488"/>
    <n v="2265.9696790713488"/>
    <n v="231128.90726527755"/>
  </r>
  <r>
    <s v="Fase 3"/>
    <x v="14"/>
    <s v="D1. Parcelaciones y Condominios"/>
    <s v="02. Edificación"/>
    <x v="14"/>
    <x v="18"/>
    <s v="1 m² - 200 m²"/>
    <n v="1"/>
    <x v="21"/>
    <m/>
    <x v="50"/>
    <x v="0"/>
    <n v="9.4"/>
    <n v="17730.496453900709"/>
    <n v="166666.66666666666"/>
    <n v="39682.539682539682"/>
    <n v="32062.035939153444"/>
    <n v="0"/>
    <n v="0"/>
    <n v="238411.24228835979"/>
    <n v="261221.08447971777"/>
    <n v="499632.32676807756"/>
    <n v="0.1"/>
    <n v="49963.232676807762"/>
    <n v="0.2"/>
    <n v="124908.08169201936"/>
    <n v="674503.64113690471"/>
    <n v="0.05"/>
    <n v="35500.191638784483"/>
    <n v="7100.0383277568917"/>
    <n v="7100.0383277568917"/>
    <n v="724203.90943120304"/>
  </r>
  <r>
    <s v="Fase 3"/>
    <x v="14"/>
    <s v="D1. Parcelaciones y Condominios"/>
    <s v="02. Edificación"/>
    <x v="14"/>
    <x v="18"/>
    <s v="1 m² - 200 m²"/>
    <n v="1"/>
    <x v="21"/>
    <m/>
    <x v="51"/>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2"/>
    <x v="15"/>
    <s v="D1. Parcelaciones y Condominios"/>
    <s v="01. Urbanismo"/>
    <x v="15"/>
    <x v="19"/>
    <s v="10ha"/>
    <n v="1"/>
    <x v="49"/>
    <m/>
    <x v="143"/>
    <x v="0"/>
    <n v="0.2"/>
    <n v="17730.496453900709"/>
    <n v="3546.0992907801419"/>
    <n v="844.30935494765276"/>
    <n v="682.17097742879673"/>
    <n v="0"/>
    <n v="0"/>
    <n v="5072.579623156591"/>
    <n v="5557.8954144620802"/>
    <n v="10630.475037618671"/>
    <n v="0.1"/>
    <n v="1063.0475037618671"/>
    <n v="0.15"/>
    <n v="1875.966183109178"/>
    <n v="13569.488724489716"/>
    <n v="0.05"/>
    <n v="714.18361707840631"/>
    <n v="142.83672341568123"/>
    <n v="142.83672341568123"/>
    <n v="14569.345788399485"/>
  </r>
  <r>
    <s v="Fase 2"/>
    <x v="15"/>
    <s v="D1. Parcelaciones y Condominios"/>
    <s v="01. Urbanismo"/>
    <x v="15"/>
    <x v="19"/>
    <s v="10ha"/>
    <n v="1"/>
    <x v="49"/>
    <m/>
    <x v="144"/>
    <x v="0"/>
    <n v="0.2"/>
    <n v="17730.496453900709"/>
    <n v="3546.0992907801419"/>
    <n v="844.30935494765276"/>
    <n v="682.17097742879673"/>
    <n v="0"/>
    <n v="0"/>
    <n v="5072.579623156591"/>
    <n v="5557.8954144620802"/>
    <n v="10630.475037618671"/>
    <n v="0.1"/>
    <n v="1063.0475037618671"/>
    <n v="0.15"/>
    <n v="1875.966183109178"/>
    <n v="13569.488724489716"/>
    <n v="0.05"/>
    <n v="714.18361707840631"/>
    <n v="142.83672341568123"/>
    <n v="142.83672341568123"/>
    <n v="14569.345788399485"/>
  </r>
  <r>
    <s v="Fase 2"/>
    <x v="15"/>
    <s v="D1. Parcelaciones y Condominios"/>
    <s v="01. Urbanismo"/>
    <x v="15"/>
    <x v="19"/>
    <s v="10ha"/>
    <n v="1"/>
    <x v="49"/>
    <m/>
    <x v="145"/>
    <x v="0"/>
    <n v="0.1"/>
    <n v="17730.496453900709"/>
    <n v="1773.049645390071"/>
    <n v="422.15467747382638"/>
    <n v="341.08548871439837"/>
    <n v="0"/>
    <n v="0"/>
    <n v="2536.2898115782955"/>
    <n v="2778.9477072310401"/>
    <n v="5315.2375188093356"/>
    <n v="0.1"/>
    <n v="531.52375188093356"/>
    <n v="0.15"/>
    <n v="937.98309155458901"/>
    <n v="6784.7443622448582"/>
    <n v="0.05"/>
    <n v="357.09180853920316"/>
    <n v="71.418361707840617"/>
    <n v="71.418361707840617"/>
    <n v="7284.6728941997426"/>
  </r>
  <r>
    <s v="Fase 2"/>
    <x v="15"/>
    <s v="D1. Parcelaciones y Condominios"/>
    <s v="01. Urbanismo"/>
    <x v="15"/>
    <x v="19"/>
    <s v="10ha"/>
    <n v="1"/>
    <x v="50"/>
    <m/>
    <x v="146"/>
    <x v="0"/>
    <n v="5"/>
    <n v="17730.496453900709"/>
    <n v="88652.48226950354"/>
    <n v="21107.733873691319"/>
    <n v="17054.274435719919"/>
    <n v="0"/>
    <n v="0"/>
    <n v="126814.49057891479"/>
    <n v="138947.38536155201"/>
    <n v="265761.87594046677"/>
    <n v="0.1"/>
    <n v="26576.187594046678"/>
    <n v="0.15"/>
    <n v="46899.154577729409"/>
    <n v="339237.21811224287"/>
    <n v="0.05"/>
    <n v="17854.590426960145"/>
    <n v="3570.9180853920302"/>
    <n v="3570.9180853920302"/>
    <n v="364233.6447099871"/>
  </r>
  <r>
    <s v="Fase 2"/>
    <x v="15"/>
    <s v="D1. Parcelaciones y Condominios"/>
    <s v="01. Urbanismo"/>
    <x v="15"/>
    <x v="19"/>
    <s v="10ha"/>
    <n v="1"/>
    <x v="50"/>
    <m/>
    <x v="147"/>
    <x v="0"/>
    <n v="5"/>
    <n v="17730.496453900709"/>
    <n v="88652.48226950354"/>
    <n v="21107.733873691319"/>
    <n v="17054.274435719919"/>
    <n v="0"/>
    <n v="0"/>
    <n v="126814.49057891479"/>
    <n v="138947.38536155201"/>
    <n v="265761.87594046677"/>
    <n v="0.1"/>
    <n v="26576.187594046678"/>
    <n v="0.15"/>
    <n v="46899.154577729409"/>
    <n v="339237.21811224287"/>
    <n v="0.05"/>
    <n v="17854.590426960145"/>
    <n v="3570.9180853920302"/>
    <n v="3570.9180853920302"/>
    <n v="364233.6447099871"/>
  </r>
  <r>
    <s v="Fase 2"/>
    <x v="15"/>
    <s v="D1. Parcelaciones y Condominios"/>
    <s v="01. Urbanismo"/>
    <x v="15"/>
    <x v="19"/>
    <s v="10ha"/>
    <n v="1"/>
    <x v="50"/>
    <m/>
    <x v="148"/>
    <x v="0"/>
    <n v="2.5"/>
    <n v="17730.496453900709"/>
    <n v="44326.24113475177"/>
    <n v="10553.866936845659"/>
    <n v="8527.1372178599595"/>
    <n v="0"/>
    <n v="0"/>
    <n v="63407.245289457394"/>
    <n v="69473.692680776003"/>
    <n v="132880.93797023338"/>
    <n v="0.1"/>
    <n v="13288.093797023339"/>
    <n v="0.15"/>
    <n v="23449.577288864704"/>
    <n v="169618.60905612144"/>
    <n v="0.05"/>
    <n v="8927.2952134800726"/>
    <n v="1785.4590426960151"/>
    <n v="1785.4590426960151"/>
    <n v="182116.82235499355"/>
  </r>
  <r>
    <s v="Fase 2"/>
    <x v="15"/>
    <s v="D1. Parcelaciones y Condominios"/>
    <s v="01. Urbanismo"/>
    <x v="15"/>
    <x v="19"/>
    <s v="10ha"/>
    <n v="1"/>
    <x v="51"/>
    <m/>
    <x v="149"/>
    <x v="0"/>
    <n v="2"/>
    <n v="17730.496453900709"/>
    <n v="35460.992907801417"/>
    <n v="8443.0935494765272"/>
    <n v="6821.7097742879669"/>
    <n v="0"/>
    <n v="0"/>
    <n v="50725.79623156591"/>
    <n v="55578.954144620802"/>
    <n v="106304.75037618671"/>
    <n v="0.1"/>
    <n v="10630.475037618671"/>
    <n v="0.15"/>
    <n v="18759.661831091769"/>
    <n v="135694.88724489714"/>
    <n v="0.05"/>
    <n v="7141.8361707840522"/>
    <n v="1428.3672341568119"/>
    <n v="1428.3672341568119"/>
    <n v="145693.45788399482"/>
  </r>
  <r>
    <s v="Fase 2"/>
    <x v="15"/>
    <s v="D1. Parcelaciones y Condominios"/>
    <s v="01. Urbanismo"/>
    <x v="15"/>
    <x v="19"/>
    <s v="10ha"/>
    <n v="1"/>
    <x v="50"/>
    <m/>
    <x v="28"/>
    <x v="1"/>
    <n v="0.8"/>
    <n v="20263.424518743668"/>
    <n v="16210.739614994935"/>
    <n v="2026.3424518743668"/>
    <n v="2728.6839097151869"/>
    <n v="0"/>
    <n v="0"/>
    <n v="20965.765976584487"/>
    <n v="22231.581657848321"/>
    <n v="43197.347634432808"/>
    <n v="0.1"/>
    <n v="4319.7347634432808"/>
    <n v="0.15"/>
    <n v="7623.0613472528494"/>
    <n v="55140.143745128938"/>
    <n v="0.05"/>
    <n v="2902.1128286910025"/>
    <n v="580.42256573819941"/>
    <n v="580.42256573819941"/>
    <n v="59203.101705296336"/>
  </r>
  <r>
    <s v="Fase 2"/>
    <x v="15"/>
    <s v="D1. Parcelaciones y Condominios"/>
    <s v="01. Urbanismo"/>
    <x v="15"/>
    <x v="19"/>
    <s v="10ha"/>
    <n v="1"/>
    <x v="50"/>
    <m/>
    <x v="150"/>
    <x v="0"/>
    <n v="0.2"/>
    <n v="17730.496453900709"/>
    <n v="3546.0992907801419"/>
    <n v="844.30935494765276"/>
    <n v="682.17097742879673"/>
    <n v="0"/>
    <n v="0"/>
    <n v="5072.579623156591"/>
    <n v="5557.8954144620802"/>
    <n v="10630.475037618671"/>
    <n v="0.1"/>
    <n v="1063.0475037618671"/>
    <n v="0.15"/>
    <n v="1875.966183109178"/>
    <n v="13569.488724489716"/>
    <n v="0.05"/>
    <n v="714.18361707840631"/>
    <n v="142.83672341568123"/>
    <n v="142.83672341568123"/>
    <n v="14569.345788399485"/>
  </r>
  <r>
    <s v="Fase 2"/>
    <x v="15"/>
    <s v="D1. Parcelaciones y Condominios"/>
    <s v="01. Urbanismo"/>
    <x v="15"/>
    <x v="19"/>
    <s v="10ha"/>
    <n v="1"/>
    <x v="50"/>
    <m/>
    <x v="151"/>
    <x v="0"/>
    <n v="0.2"/>
    <n v="17730.496453900709"/>
    <n v="3546.0992907801419"/>
    <n v="844.30935494765276"/>
    <n v="682.17097742879673"/>
    <n v="20000"/>
    <n v="0"/>
    <n v="25072.579623156591"/>
    <n v="5557.8954144620802"/>
    <n v="30630.475037618671"/>
    <n v="0.1"/>
    <n v="3063.0475037618671"/>
    <n v="0.15"/>
    <n v="5405.3779478150609"/>
    <n v="39098.900489195599"/>
    <n v="0.05"/>
    <n v="2057.8368678523984"/>
    <n v="411.56737357047996"/>
    <n v="411.56737357047996"/>
    <n v="41979.872104188951"/>
  </r>
  <r>
    <s v="Fase 2"/>
    <x v="16"/>
    <s v="D1. Parcelaciones y Condominios"/>
    <s v="02. Edificación"/>
    <x v="16"/>
    <x v="20"/>
    <s v="1"/>
    <n v="1"/>
    <x v="52"/>
    <m/>
    <x v="152"/>
    <x v="1"/>
    <n v="2"/>
    <n v="20263.424518743668"/>
    <n v="40526.849037487336"/>
    <n v="5065.856129685917"/>
    <n v="6821.7097742879669"/>
    <m/>
    <m/>
    <n v="52414.414941461218"/>
    <n v="55578.954144620802"/>
    <n v="107993.36908608202"/>
    <n v="0.05"/>
    <n v="5399.668454304101"/>
    <n v="0.4"/>
    <n v="71995.579390721352"/>
    <n v="185388.61693110748"/>
    <n v="0.05"/>
    <n v="9757.2956279530481"/>
    <n v="1951.4591255906053"/>
    <n v="1951.4591255906053"/>
    <n v="199048.83081024172"/>
  </r>
  <r>
    <s v="Fase 2"/>
    <x v="16"/>
    <s v="D1. Parcelaciones y Condominios"/>
    <s v="02. Edificación"/>
    <x v="16"/>
    <x v="20"/>
    <s v="1"/>
    <n v="1"/>
    <x v="52"/>
    <m/>
    <x v="153"/>
    <x v="1"/>
    <n v="3"/>
    <n v="20263.424518743668"/>
    <n v="60790.273556231004"/>
    <n v="7598.7841945288756"/>
    <n v="10232.56466143195"/>
    <m/>
    <m/>
    <n v="78621.622412191835"/>
    <n v="83368.431216931203"/>
    <n v="161990.05362912302"/>
    <n v="0.05"/>
    <n v="8099.5026814561515"/>
    <n v="0.4"/>
    <n v="107993.36908608204"/>
    <n v="278082.92539666122"/>
    <n v="0.05"/>
    <n v="14635.943441929528"/>
    <n v="2927.1886883859074"/>
    <n v="2927.1886883859074"/>
    <n v="298573.24621536251"/>
  </r>
  <r>
    <s v="Fase 2"/>
    <x v="16"/>
    <s v="D1. Parcelaciones y Condominios"/>
    <s v="02. Edificación"/>
    <x v="16"/>
    <x v="20"/>
    <s v="1"/>
    <n v="1"/>
    <x v="52"/>
    <m/>
    <x v="154"/>
    <x v="1"/>
    <n v="1"/>
    <n v="20263.424518743668"/>
    <n v="20263.424518743668"/>
    <n v="2532.9280648429585"/>
    <n v="3410.8548871439834"/>
    <m/>
    <m/>
    <n v="26207.207470730609"/>
    <n v="27789.477072310401"/>
    <n v="53996.68454304101"/>
    <n v="0.05"/>
    <n v="2699.8342271520505"/>
    <n v="0.4"/>
    <n v="35997.789695360676"/>
    <n v="92694.308465553739"/>
    <n v="0.05"/>
    <n v="4878.647813976524"/>
    <n v="975.72956279530263"/>
    <n v="975.72956279530263"/>
    <n v="99524.415405120861"/>
  </r>
  <r>
    <s v="Fase 2"/>
    <x v="16"/>
    <s v="D1. Parcelaciones y Condominios"/>
    <s v="02. Edificación"/>
    <x v="16"/>
    <x v="20"/>
    <s v="1"/>
    <n v="1"/>
    <x v="53"/>
    <m/>
    <x v="155"/>
    <x v="1"/>
    <n v="8"/>
    <n v="20263.424518743668"/>
    <n v="162107.39614994935"/>
    <n v="20263.424518743668"/>
    <n v="27286.839097151867"/>
    <m/>
    <m/>
    <n v="209657.65976584487"/>
    <n v="222315.81657848321"/>
    <n v="431973.47634432808"/>
    <n v="0.05"/>
    <n v="21598.673817216404"/>
    <n v="0.4"/>
    <n v="287982.31756288541"/>
    <n v="741554.46772442991"/>
    <n v="0.05"/>
    <n v="39029.182511812192"/>
    <n v="7805.836502362421"/>
    <n v="7805.836502362421"/>
    <n v="796195.32324096689"/>
  </r>
  <r>
    <s v="Fase 2"/>
    <x v="16"/>
    <s v="D1. Parcelaciones y Condominios"/>
    <s v="02. Edificación"/>
    <x v="16"/>
    <x v="20"/>
    <s v="1"/>
    <n v="1"/>
    <x v="53"/>
    <m/>
    <x v="156"/>
    <x v="1"/>
    <n v="0.5"/>
    <n v="20263.424518743668"/>
    <n v="10131.712259371834"/>
    <n v="1266.4640324214793"/>
    <n v="1705.4274435719917"/>
    <m/>
    <m/>
    <n v="13103.603735365305"/>
    <n v="13894.738536155201"/>
    <n v="26998.342271520505"/>
    <n v="0.05"/>
    <n v="1349.9171135760253"/>
    <n v="0.4"/>
    <n v="17998.894847680338"/>
    <n v="46347.154232776869"/>
    <n v="0.05"/>
    <n v="2439.323906988262"/>
    <n v="487.86478139765131"/>
    <n v="487.86478139765131"/>
    <n v="49762.20770256043"/>
  </r>
  <r>
    <s v="Fase 2"/>
    <x v="16"/>
    <s v="D1. Parcelaciones y Condominios"/>
    <s v="02. Edificación"/>
    <x v="16"/>
    <x v="20"/>
    <s v="1"/>
    <n v="1"/>
    <x v="53"/>
    <m/>
    <x v="157"/>
    <x v="1"/>
    <n v="1"/>
    <n v="20263.424518743668"/>
    <n v="20263.424518743668"/>
    <n v="2532.9280648429585"/>
    <n v="3410.8548871439834"/>
    <m/>
    <m/>
    <n v="26207.207470730609"/>
    <n v="27789.477072310401"/>
    <n v="53996.68454304101"/>
    <n v="0.05"/>
    <n v="2699.8342271520505"/>
    <n v="0.4"/>
    <n v="35997.789695360676"/>
    <n v="92694.308465553739"/>
    <n v="0.05"/>
    <n v="4878.647813976524"/>
    <n v="975.72956279530263"/>
    <n v="975.72956279530263"/>
    <n v="99524.415405120861"/>
  </r>
  <r>
    <s v="Fase 2"/>
    <x v="16"/>
    <s v="D1. Parcelaciones y Condominios"/>
    <s v="02. Edificación"/>
    <x v="16"/>
    <x v="20"/>
    <s v="1"/>
    <n v="1"/>
    <x v="53"/>
    <m/>
    <x v="158"/>
    <x v="1"/>
    <n v="4"/>
    <n v="20263.424518743668"/>
    <n v="81053.698074974673"/>
    <n v="10131.712259371834"/>
    <n v="13643.419548575934"/>
    <m/>
    <m/>
    <n v="104828.82988292244"/>
    <n v="111157.9082892416"/>
    <n v="215986.73817216404"/>
    <n v="0.05"/>
    <n v="10799.336908608202"/>
    <n v="0.4"/>
    <n v="143991.1587814427"/>
    <n v="370777.23386221495"/>
    <n v="0.05"/>
    <n v="19514.591255906096"/>
    <n v="3902.9182511812105"/>
    <n v="3902.9182511812105"/>
    <n v="398097.66162048344"/>
  </r>
  <r>
    <s v="Fase 2"/>
    <x v="16"/>
    <s v="D1. Parcelaciones y Condominios"/>
    <s v="02. Edificación"/>
    <x v="16"/>
    <x v="20"/>
    <s v="1"/>
    <n v="1"/>
    <x v="53"/>
    <m/>
    <x v="159"/>
    <x v="1"/>
    <n v="2"/>
    <n v="20263.424518743668"/>
    <n v="40526.849037487336"/>
    <n v="5065.856129685917"/>
    <n v="6821.7097742879669"/>
    <m/>
    <m/>
    <n v="52414.414941461218"/>
    <n v="55578.954144620802"/>
    <n v="107993.36908608202"/>
    <n v="0.05"/>
    <n v="5399.668454304101"/>
    <n v="0.4"/>
    <n v="71995.579390721352"/>
    <n v="185388.61693110748"/>
    <n v="0.05"/>
    <n v="9757.2956279530481"/>
    <n v="1951.4591255906053"/>
    <n v="1951.4591255906053"/>
    <n v="199048.83081024172"/>
  </r>
  <r>
    <s v="Fase 2"/>
    <x v="16"/>
    <s v="D1. Parcelaciones y Condominios"/>
    <s v="02. Edificación"/>
    <x v="16"/>
    <x v="20"/>
    <s v="1"/>
    <n v="1"/>
    <x v="54"/>
    <m/>
    <x v="160"/>
    <x v="1"/>
    <n v="8"/>
    <n v="20263.424518743668"/>
    <n v="162107.39614994935"/>
    <n v="20263.424518743668"/>
    <n v="27286.839097151867"/>
    <m/>
    <m/>
    <n v="209657.65976584487"/>
    <n v="222315.81657848321"/>
    <n v="431973.47634432808"/>
    <n v="0.05"/>
    <n v="21598.673817216404"/>
    <n v="0.4"/>
    <n v="287982.31756288541"/>
    <n v="741554.46772442991"/>
    <n v="0.05"/>
    <n v="39029.182511812192"/>
    <n v="7805.836502362421"/>
    <n v="7805.836502362421"/>
    <n v="796195.32324096689"/>
  </r>
  <r>
    <s v="Fase 2"/>
    <x v="16"/>
    <s v="D1. Parcelaciones y Condominios"/>
    <s v="02. Edificación"/>
    <x v="16"/>
    <x v="20"/>
    <s v="1"/>
    <n v="1"/>
    <x v="54"/>
    <m/>
    <x v="161"/>
    <x v="1"/>
    <n v="0.5"/>
    <n v="20263.424518743668"/>
    <n v="10131.712259371834"/>
    <n v="1266.4640324214793"/>
    <n v="1705.4274435719917"/>
    <m/>
    <m/>
    <n v="13103.603735365305"/>
    <n v="13894.738536155201"/>
    <n v="26998.342271520505"/>
    <n v="0.05"/>
    <n v="1349.9171135760253"/>
    <n v="0.4"/>
    <n v="17998.894847680338"/>
    <n v="46347.154232776869"/>
    <n v="0.05"/>
    <n v="2439.323906988262"/>
    <n v="487.86478139765131"/>
    <n v="487.86478139765131"/>
    <n v="49762.20770256043"/>
  </r>
  <r>
    <s v="Fase 2"/>
    <x v="16"/>
    <s v="D1. Parcelaciones y Condominios"/>
    <s v="02. Edificación"/>
    <x v="16"/>
    <x v="20"/>
    <s v="1"/>
    <n v="1"/>
    <x v="54"/>
    <m/>
    <x v="162"/>
    <x v="1"/>
    <n v="0.5"/>
    <n v="20263.424518743668"/>
    <n v="10131.712259371834"/>
    <n v="1266.4640324214793"/>
    <n v="1705.4274435719917"/>
    <m/>
    <m/>
    <n v="13103.603735365305"/>
    <n v="13894.738536155201"/>
    <n v="26998.342271520505"/>
    <n v="0.05"/>
    <n v="1349.9171135760253"/>
    <n v="0.4"/>
    <n v="17998.894847680338"/>
    <n v="46347.154232776869"/>
    <n v="0.05"/>
    <n v="2439.323906988262"/>
    <n v="487.86478139765131"/>
    <n v="487.86478139765131"/>
    <n v="49762.20770256043"/>
  </r>
  <r>
    <s v="Fase 1"/>
    <x v="17"/>
    <s v="D1. Parcelaciones y Condominios"/>
    <s v="01. Urbanismo"/>
    <x v="17"/>
    <x v="1"/>
    <s v="15 ha"/>
    <n v="1"/>
    <x v="3"/>
    <m/>
    <x v="163"/>
    <x v="0"/>
    <n v="2"/>
    <n v="17730.496453900709"/>
    <n v="35460.992907801417"/>
    <n v="8443.0935494765272"/>
    <n v="6821.7097742879669"/>
    <m/>
    <m/>
    <n v="50725.79623156591"/>
    <n v="55578.954144620802"/>
    <n v="106304.75037618671"/>
    <n v="0.1"/>
    <n v="10630.475037618671"/>
    <n v="0.5"/>
    <n v="106304.75037618671"/>
    <n v="223239.97578999208"/>
    <n v="0.05"/>
    <n v="11749.47240999958"/>
    <n v="2349.8944819999165"/>
    <n v="2349.8944819999165"/>
    <n v="239689.23716399149"/>
  </r>
  <r>
    <s v="Fase 1"/>
    <x v="17"/>
    <s v="D1. Parcelaciones y Condominios"/>
    <s v="01. Urbanismo"/>
    <x v="18"/>
    <x v="1"/>
    <s v="15 ha"/>
    <n v="1"/>
    <x v="3"/>
    <m/>
    <x v="164"/>
    <x v="0"/>
    <n v="2"/>
    <n v="17730.496453900709"/>
    <n v="35460.992907801417"/>
    <n v="8443.0935494765272"/>
    <n v="6821.7097742879669"/>
    <m/>
    <m/>
    <n v="50725.79623156591"/>
    <n v="55578.954144620802"/>
    <n v="106304.75037618671"/>
    <n v="0.1"/>
    <n v="10630.475037618671"/>
    <n v="0.3"/>
    <n v="45559.17873265146"/>
    <n v="162494.40414645686"/>
    <n v="0.05"/>
    <n v="8552.3370603398362"/>
    <n v="1710.467412067967"/>
    <n v="1710.467412067967"/>
    <n v="174467.67603093261"/>
  </r>
  <r>
    <s v="Fase 1"/>
    <x v="17"/>
    <s v="D1. Parcelaciones y Condominios"/>
    <s v="01. Urbanismo"/>
    <x v="18"/>
    <x v="1"/>
    <s v="15 ha"/>
    <n v="1"/>
    <x v="3"/>
    <m/>
    <x v="165"/>
    <x v="0"/>
    <n v="18.8"/>
    <n v="17730.496453900709"/>
    <n v="333333.33333333331"/>
    <n v="79365.079365079364"/>
    <n v="64124.071878306888"/>
    <m/>
    <m/>
    <n v="476822.48457671958"/>
    <n v="522442.16895943554"/>
    <n v="999264.65353615512"/>
    <n v="0.1"/>
    <n v="99926.465353615524"/>
    <n v="0.3"/>
    <n v="428256.28008692362"/>
    <n v="1527447.3989766943"/>
    <n v="0.05"/>
    <n v="80391.968367194524"/>
    <n v="16078.393673438888"/>
    <n v="16078.393673438888"/>
    <n v="1639996.1546907665"/>
  </r>
  <r>
    <s v="Fase 1"/>
    <x v="17"/>
    <s v="D1. Parcelaciones y Condominios"/>
    <s v="01. Urbanismo"/>
    <x v="18"/>
    <x v="1"/>
    <s v="15 ha"/>
    <n v="1"/>
    <x v="3"/>
    <m/>
    <x v="166"/>
    <x v="0"/>
    <n v="0.5"/>
    <n v="17730.496453900709"/>
    <n v="8865.2482269503544"/>
    <n v="2110.7733873691318"/>
    <n v="1705.4274435719917"/>
    <m/>
    <m/>
    <n v="12681.449057891477"/>
    <n v="13894.738536155201"/>
    <n v="26576.187594046678"/>
    <n v="0.1"/>
    <n v="2657.6187594046678"/>
    <n v="0.3"/>
    <n v="11389.794683162865"/>
    <n v="40623.601036614215"/>
    <n v="0.05"/>
    <n v="2138.084265084959"/>
    <n v="427.61685301699174"/>
    <n v="427.61685301699174"/>
    <n v="43616.919007733151"/>
  </r>
  <r>
    <s v="Fase 1"/>
    <x v="17"/>
    <s v="D1. Parcelaciones y Condominios"/>
    <s v="01. Urbanismo"/>
    <x v="18"/>
    <x v="1"/>
    <s v="15 ha"/>
    <n v="1"/>
    <x v="3"/>
    <m/>
    <x v="167"/>
    <x v="0"/>
    <n v="1"/>
    <n v="17730.496453900709"/>
    <n v="17730.496453900709"/>
    <n v="4221.5467747382636"/>
    <n v="3410.8548871439834"/>
    <m/>
    <m/>
    <n v="25362.898115782955"/>
    <n v="27789.477072310401"/>
    <n v="53152.375188093356"/>
    <n v="0.1"/>
    <n v="5315.2375188093356"/>
    <n v="0.3"/>
    <n v="22779.58936632573"/>
    <n v="81247.202073228429"/>
    <n v="0.05"/>
    <n v="4276.1685301699181"/>
    <n v="855.23370603398348"/>
    <n v="855.23370603398348"/>
    <n v="87233.838015466303"/>
  </r>
  <r>
    <s v="Fase 1"/>
    <x v="17"/>
    <s v="D1. Parcelaciones y Condominios"/>
    <s v="01. Urbanismo"/>
    <x v="18"/>
    <x v="1"/>
    <s v="15 ha"/>
    <n v="1"/>
    <x v="3"/>
    <m/>
    <x v="168"/>
    <x v="0"/>
    <n v="4"/>
    <n v="17730.496453900709"/>
    <n v="70921.985815602835"/>
    <n v="16886.187098953054"/>
    <n v="13643.419548575934"/>
    <m/>
    <m/>
    <n v="101451.59246313182"/>
    <n v="111157.9082892416"/>
    <n v="212609.50075237342"/>
    <n v="0.1"/>
    <n v="21260.950075237342"/>
    <n v="0.3"/>
    <n v="91118.357465302921"/>
    <n v="324988.80829291372"/>
    <n v="0.05"/>
    <n v="17104.674120679672"/>
    <n v="3420.9348241359339"/>
    <n v="3420.9348241359339"/>
    <n v="348935.35206186521"/>
  </r>
  <r>
    <s v="Fase 1"/>
    <x v="17"/>
    <s v="D1. Parcelaciones y Condominios"/>
    <s v="01. Urbanismo"/>
    <x v="18"/>
    <x v="1"/>
    <s v="15 ha"/>
    <n v="1"/>
    <x v="55"/>
    <m/>
    <x v="169"/>
    <x v="0"/>
    <n v="2"/>
    <n v="17730.496453900709"/>
    <n v="35460.992907801417"/>
    <n v="8443.0935494765272"/>
    <n v="6821.7097742879669"/>
    <m/>
    <m/>
    <n v="50725.79623156591"/>
    <n v="55578.954144620802"/>
    <n v="106304.75037618671"/>
    <n v="0.1"/>
    <n v="10630.475037618671"/>
    <n v="0.3"/>
    <n v="45559.17873265146"/>
    <n v="162494.40414645686"/>
    <n v="0.05"/>
    <n v="8552.3370603398362"/>
    <n v="1710.467412067967"/>
    <n v="1710.467412067967"/>
    <n v="174467.67603093261"/>
  </r>
  <r>
    <s v="Fase 1"/>
    <x v="17"/>
    <s v="D1. Parcelaciones y Condominios"/>
    <s v="01. Urbanismo"/>
    <x v="18"/>
    <x v="1"/>
    <s v="15 ha"/>
    <n v="1"/>
    <x v="56"/>
    <m/>
    <x v="170"/>
    <x v="0"/>
    <n v="4"/>
    <n v="17730.496453900709"/>
    <n v="70921.985815602835"/>
    <n v="16886.187098953054"/>
    <n v="13643.419548575934"/>
    <m/>
    <m/>
    <n v="101451.59246313182"/>
    <n v="111157.9082892416"/>
    <n v="212609.50075237342"/>
    <n v="0.1"/>
    <n v="21260.950075237342"/>
    <n v="0.3"/>
    <n v="91118.357465302921"/>
    <n v="324988.80829291372"/>
    <n v="0.05"/>
    <n v="17104.674120679672"/>
    <n v="3420.9348241359339"/>
    <n v="3420.9348241359339"/>
    <n v="348935.35206186521"/>
  </r>
  <r>
    <s v="Fase 1"/>
    <x v="17"/>
    <s v="D1. Parcelaciones y Condominios"/>
    <s v="01. Urbanismo"/>
    <x v="18"/>
    <x v="1"/>
    <s v="15 ha"/>
    <n v="1"/>
    <x v="56"/>
    <m/>
    <x v="171"/>
    <x v="0"/>
    <n v="1"/>
    <n v="17730.496453900709"/>
    <n v="17730.496453900709"/>
    <n v="4221.5467747382636"/>
    <n v="3410.8548871439834"/>
    <m/>
    <m/>
    <n v="25362.898115782955"/>
    <n v="27789.477072310401"/>
    <n v="53152.375188093356"/>
    <n v="0.1"/>
    <n v="5315.2375188093356"/>
    <n v="0.3"/>
    <n v="22779.58936632573"/>
    <n v="81247.202073228429"/>
    <n v="0.05"/>
    <n v="4276.1685301699181"/>
    <n v="855.23370603398348"/>
    <n v="855.23370603398348"/>
    <n v="87233.838015466303"/>
  </r>
  <r>
    <s v="Fase 1"/>
    <x v="17"/>
    <s v="D1. Parcelaciones y Condominios"/>
    <s v="01. Urbanismo"/>
    <x v="18"/>
    <x v="1"/>
    <s v="15 ha"/>
    <n v="1"/>
    <x v="56"/>
    <m/>
    <x v="172"/>
    <x v="0"/>
    <n v="2"/>
    <n v="17730.496453900709"/>
    <n v="35460.992907801417"/>
    <n v="8443.0935494765272"/>
    <n v="6821.7097742879669"/>
    <m/>
    <m/>
    <n v="50725.79623156591"/>
    <n v="55578.954144620802"/>
    <n v="106304.75037618671"/>
    <n v="0.1"/>
    <n v="10630.475037618671"/>
    <n v="0.3"/>
    <n v="45559.17873265146"/>
    <n v="162494.40414645686"/>
    <n v="0.05"/>
    <n v="8552.3370603398362"/>
    <n v="1710.467412067967"/>
    <n v="1710.467412067967"/>
    <n v="174467.67603093261"/>
  </r>
  <r>
    <s v="Fase 1"/>
    <x v="17"/>
    <s v="D1. Parcelaciones y Condominios"/>
    <s v="01. Urbanismo"/>
    <x v="18"/>
    <x v="1"/>
    <s v="15 ha"/>
    <n v="1"/>
    <x v="56"/>
    <m/>
    <x v="173"/>
    <x v="0"/>
    <n v="2.5"/>
    <n v="17730.496453900709"/>
    <n v="44326.24113475177"/>
    <n v="10553.866936845659"/>
    <n v="8527.1372178599595"/>
    <m/>
    <m/>
    <n v="63407.245289457394"/>
    <n v="69473.692680776003"/>
    <n v="132880.93797023338"/>
    <n v="0.1"/>
    <n v="13288.093797023339"/>
    <n v="0.3"/>
    <n v="56948.973415814311"/>
    <n v="203118.00518307104"/>
    <n v="0.05"/>
    <n v="10690.421325424802"/>
    <n v="2138.0842650849586"/>
    <n v="2138.0842650849586"/>
    <n v="218084.59503866578"/>
  </r>
  <r>
    <s v="Fase 1"/>
    <x v="18"/>
    <s v="D1. Parcelaciones y Condominios"/>
    <s v="02. Edificación"/>
    <x v="19"/>
    <x v="7"/>
    <s v="100m2"/>
    <n v="1"/>
    <x v="57"/>
    <m/>
    <x v="174"/>
    <x v="0"/>
    <n v="0.25"/>
    <n v="17730.496453900709"/>
    <n v="4432.6241134751772"/>
    <n v="1055.3866936845659"/>
    <n v="852.71372178599586"/>
    <n v="0"/>
    <n v="0"/>
    <n v="6340.7245289457387"/>
    <n v="6947.3692680776003"/>
    <n v="13288.093797023339"/>
    <n v="0.15"/>
    <n v="1993.2140695535008"/>
    <n v="0.3"/>
    <n v="5694.8973415814326"/>
    <n v="20976.205208158273"/>
    <n v="0.05"/>
    <n v="1104.0108004293834"/>
    <n v="220.80216008587658"/>
    <n v="220.80216008587658"/>
    <n v="22521.820328759411"/>
  </r>
  <r>
    <s v="Fase 1"/>
    <x v="18"/>
    <s v="D1. Parcelaciones y Condominios"/>
    <s v="02. Edificación"/>
    <x v="19"/>
    <x v="7"/>
    <s v="100m2"/>
    <n v="1"/>
    <x v="57"/>
    <m/>
    <x v="117"/>
    <x v="0"/>
    <n v="0.05"/>
    <n v="17730.496453900709"/>
    <n v="886.52482269503548"/>
    <n v="211.07733873691319"/>
    <n v="170.54274435719918"/>
    <n v="0"/>
    <n v="0"/>
    <n v="1268.1449057891477"/>
    <n v="1389.4738536155201"/>
    <n v="2657.6187594046678"/>
    <n v="0.15"/>
    <n v="398.64281391070017"/>
    <n v="0.3"/>
    <n v="1138.9794683162863"/>
    <n v="4195.2410416316543"/>
    <n v="0.05"/>
    <n v="220.80216008587649"/>
    <n v="44.16043201717531"/>
    <n v="44.16043201717531"/>
    <n v="4504.3640657518818"/>
  </r>
  <r>
    <s v="Fase 1"/>
    <x v="18"/>
    <s v="D1. Parcelaciones y Condominios"/>
    <s v="02. Edificación"/>
    <x v="19"/>
    <x v="7"/>
    <s v="100m2"/>
    <n v="1"/>
    <x v="57"/>
    <m/>
    <x v="175"/>
    <x v="0"/>
    <n v="5"/>
    <n v="17730.496453900709"/>
    <n v="88652.48226950354"/>
    <n v="21107.733873691319"/>
    <n v="17054.274435719919"/>
    <n v="0"/>
    <n v="0"/>
    <n v="126814.49057891479"/>
    <n v="138947.38536155201"/>
    <n v="265761.87594046677"/>
    <n v="0.15"/>
    <n v="39864.281391070013"/>
    <n v="0.3"/>
    <n v="113897.94683162862"/>
    <n v="419524.10416316538"/>
    <n v="0.05"/>
    <n v="22080.216008587682"/>
    <n v="4416.0432017175308"/>
    <n v="4416.0432017175308"/>
    <n v="450436.40657518816"/>
  </r>
  <r>
    <s v="Fase 1"/>
    <x v="18"/>
    <s v="D1. Parcelaciones y Condominios"/>
    <s v="02. Edificación"/>
    <x v="19"/>
    <x v="7"/>
    <s v="100m2"/>
    <n v="1"/>
    <x v="57"/>
    <m/>
    <x v="176"/>
    <x v="0"/>
    <n v="4"/>
    <n v="17730.496453900709"/>
    <n v="70921.985815602835"/>
    <n v="16886.187098953054"/>
    <n v="13643.419548575934"/>
    <n v="0"/>
    <n v="0"/>
    <n v="101451.59246313182"/>
    <n v="111157.9082892416"/>
    <n v="212609.50075237342"/>
    <n v="0.15"/>
    <n v="31891.425112856014"/>
    <n v="0.3"/>
    <n v="91118.357465302921"/>
    <n v="335619.28333053237"/>
    <n v="0.05"/>
    <n v="17664.172806870134"/>
    <n v="3532.8345613740253"/>
    <n v="3532.8345613740253"/>
    <n v="360349.12526015058"/>
  </r>
  <r>
    <s v="Fase 1"/>
    <x v="18"/>
    <s v="D1. Parcelaciones y Condominios"/>
    <s v="02. Edificación"/>
    <x v="19"/>
    <x v="7"/>
    <s v="100m2"/>
    <n v="1"/>
    <x v="57"/>
    <m/>
    <x v="120"/>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8"/>
    <s v="D1. Parcelaciones y Condominios"/>
    <s v="02. Edificación"/>
    <x v="19"/>
    <x v="7"/>
    <s v="100m2"/>
    <n v="1"/>
    <x v="57"/>
    <m/>
    <x v="121"/>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7"/>
    <m/>
    <x v="177"/>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18"/>
    <s v="D1. Parcelaciones y Condominios"/>
    <s v="02. Edificación"/>
    <x v="19"/>
    <x v="7"/>
    <s v="100m2"/>
    <n v="1"/>
    <x v="57"/>
    <m/>
    <x v="123"/>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7"/>
    <m/>
    <x v="178"/>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18"/>
    <s v="D1. Parcelaciones y Condominios"/>
    <s v="02. Edificación"/>
    <x v="19"/>
    <x v="7"/>
    <s v="100m2"/>
    <n v="1"/>
    <x v="58"/>
    <m/>
    <x v="179"/>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18"/>
    <s v="D1. Parcelaciones y Condominios"/>
    <s v="02. Edificación"/>
    <x v="19"/>
    <x v="7"/>
    <s v="100m2"/>
    <n v="1"/>
    <x v="58"/>
    <m/>
    <x v="180"/>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8"/>
    <m/>
    <x v="181"/>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18"/>
    <s v="D1. Parcelaciones y Condominios"/>
    <s v="02. Edificación"/>
    <x v="19"/>
    <x v="7"/>
    <s v="100m2"/>
    <n v="1"/>
    <x v="58"/>
    <m/>
    <x v="182"/>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8"/>
    <s v="D1. Parcelaciones y Condominios"/>
    <s v="02. Edificación"/>
    <x v="19"/>
    <x v="7"/>
    <s v="100m2"/>
    <n v="1"/>
    <x v="58"/>
    <m/>
    <x v="128"/>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8"/>
    <m/>
    <x v="183"/>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8"/>
    <m/>
    <x v="184"/>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8"/>
    <s v="D1. Parcelaciones y Condominios"/>
    <s v="02. Edificación"/>
    <x v="19"/>
    <x v="7"/>
    <s v="100m2"/>
    <n v="1"/>
    <x v="58"/>
    <m/>
    <x v="185"/>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8"/>
    <m/>
    <x v="186"/>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8"/>
    <m/>
    <x v="187"/>
    <x v="0"/>
    <n v="0.25"/>
    <n v="17730.496453900709"/>
    <n v="4432.6241134751772"/>
    <n v="1055.3866936845659"/>
    <n v="852.71372178599586"/>
    <n v="0"/>
    <n v="0"/>
    <n v="6340.7245289457387"/>
    <n v="6947.3692680776003"/>
    <n v="13288.093797023339"/>
    <n v="0.15"/>
    <n v="1993.2140695535008"/>
    <n v="0.3"/>
    <n v="5694.8973415814326"/>
    <n v="20976.205208158273"/>
    <n v="0.05"/>
    <n v="1104.0108004293834"/>
    <n v="220.80216008587658"/>
    <n v="220.80216008587658"/>
    <n v="22521.820328759411"/>
  </r>
  <r>
    <s v="Fase 1"/>
    <x v="18"/>
    <s v="D1. Parcelaciones y Condominios"/>
    <s v="02. Edificación"/>
    <x v="19"/>
    <x v="7"/>
    <s v="100m2"/>
    <n v="1"/>
    <x v="58"/>
    <m/>
    <x v="188"/>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9"/>
    <m/>
    <x v="189"/>
    <x v="0"/>
    <n v="5"/>
    <n v="17730.496453900709"/>
    <n v="88652.48226950354"/>
    <n v="21107.733873691319"/>
    <n v="17054.274435719919"/>
    <n v="0"/>
    <n v="0"/>
    <n v="126814.49057891479"/>
    <n v="138947.38536155201"/>
    <n v="265761.87594046677"/>
    <n v="0.15"/>
    <n v="39864.281391070013"/>
    <n v="0.3"/>
    <n v="113897.94683162862"/>
    <n v="419524.10416316538"/>
    <n v="0.05"/>
    <n v="22080.216008587682"/>
    <n v="4416.0432017175308"/>
    <n v="4416.0432017175308"/>
    <n v="450436.40657518816"/>
  </r>
  <r>
    <s v="Fase 1"/>
    <x v="18"/>
    <s v="D1. Parcelaciones y Condominios"/>
    <s v="02. Edificación"/>
    <x v="19"/>
    <x v="7"/>
    <s v="100m2"/>
    <n v="1"/>
    <x v="60"/>
    <m/>
    <x v="129"/>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8"/>
    <s v="D1. Parcelaciones y Condominios"/>
    <s v="02. Edificación"/>
    <x v="19"/>
    <x v="7"/>
    <s v="100m2"/>
    <n v="1"/>
    <x v="60"/>
    <m/>
    <x v="190"/>
    <x v="0"/>
    <n v="0.25"/>
    <n v="17730.496453900709"/>
    <n v="4432.6241134751772"/>
    <n v="1055.3866936845659"/>
    <n v="852.71372178599586"/>
    <n v="0"/>
    <n v="0"/>
    <n v="6340.7245289457387"/>
    <n v="6947.3692680776003"/>
    <n v="13288.093797023339"/>
    <n v="0.15"/>
    <n v="1993.2140695535008"/>
    <n v="0.3"/>
    <n v="5694.8973415814326"/>
    <n v="20976.205208158273"/>
    <n v="0.05"/>
    <n v="1104.0108004293834"/>
    <n v="220.80216008587658"/>
    <n v="220.80216008587658"/>
    <n v="22521.820328759411"/>
  </r>
  <r>
    <s v="Fase 1"/>
    <x v="18"/>
    <s v="D1. Parcelaciones y Condominios"/>
    <s v="02. Edificación"/>
    <x v="19"/>
    <x v="7"/>
    <s v="100m2"/>
    <n v="1"/>
    <x v="60"/>
    <m/>
    <x v="191"/>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8"/>
    <s v="D1. Parcelaciones y Condominios"/>
    <s v="02. Edificación"/>
    <x v="19"/>
    <x v="7"/>
    <s v="100m2"/>
    <n v="1"/>
    <x v="60"/>
    <m/>
    <x v="192"/>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8"/>
    <s v="D1. Parcelaciones y Condominios"/>
    <s v="02. Edificación"/>
    <x v="19"/>
    <x v="7"/>
    <s v="100m2"/>
    <n v="1"/>
    <x v="60"/>
    <m/>
    <x v="132"/>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18"/>
    <s v="D1. Parcelaciones y Condominios"/>
    <s v="02. Edificación"/>
    <x v="19"/>
    <x v="7"/>
    <s v="100m2"/>
    <n v="1"/>
    <x v="60"/>
    <m/>
    <x v="133"/>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18"/>
    <s v="D1. Parcelaciones y Condominios"/>
    <s v="02. Edificación"/>
    <x v="19"/>
    <x v="7"/>
    <s v="100m2"/>
    <n v="1"/>
    <x v="60"/>
    <m/>
    <x v="134"/>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61"/>
    <m/>
    <x v="193"/>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9"/>
    <s v="D1. Parcelaciones y Condominios"/>
    <s v="01. Urbanismo"/>
    <x v="20"/>
    <x v="1"/>
    <s v="15 ha"/>
    <n v="1"/>
    <x v="3"/>
    <m/>
    <x v="194"/>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1"/>
    <x v="19"/>
    <s v="D1. Parcelaciones y Condominios"/>
    <s v="01. Urbanismo"/>
    <x v="20"/>
    <x v="1"/>
    <s v="15 ha"/>
    <n v="1"/>
    <x v="3"/>
    <m/>
    <x v="195"/>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1"/>
    <x v="19"/>
    <s v="D1. Parcelaciones y Condominios"/>
    <s v="01. Urbanismo"/>
    <x v="20"/>
    <x v="1"/>
    <s v="15 ha"/>
    <n v="1"/>
    <x v="3"/>
    <m/>
    <x v="196"/>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1"/>
    <x v="19"/>
    <s v="D1. Parcelaciones y Condominios"/>
    <s v="01. Urbanismo"/>
    <x v="20"/>
    <x v="1"/>
    <s v="15 ha"/>
    <n v="1"/>
    <x v="3"/>
    <m/>
    <x v="166"/>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1"/>
    <x v="19"/>
    <s v="D1. Parcelaciones y Condominios"/>
    <s v="01. Urbanismo"/>
    <x v="20"/>
    <x v="1"/>
    <s v="15 ha"/>
    <n v="1"/>
    <x v="3"/>
    <m/>
    <x v="197"/>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19"/>
    <s v="D1. Parcelaciones y Condominios"/>
    <s v="01. Urbanismo"/>
    <x v="20"/>
    <x v="1"/>
    <s v="15 ha"/>
    <n v="1"/>
    <x v="3"/>
    <m/>
    <x v="198"/>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19"/>
    <s v="D1. Parcelaciones y Condominios"/>
    <s v="01. Urbanismo"/>
    <x v="20"/>
    <x v="1"/>
    <s v="15 ha"/>
    <n v="1"/>
    <x v="55"/>
    <m/>
    <x v="199"/>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1"/>
    <x v="19"/>
    <s v="D1. Parcelaciones y Condominios"/>
    <s v="01. Urbanismo"/>
    <x v="20"/>
    <x v="1"/>
    <s v="15 ha"/>
    <n v="1"/>
    <x v="55"/>
    <m/>
    <x v="166"/>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1"/>
    <x v="19"/>
    <s v="D1. Parcelaciones y Condominios"/>
    <s v="01. Urbanismo"/>
    <x v="20"/>
    <x v="1"/>
    <s v="15 ha"/>
    <n v="1"/>
    <x v="55"/>
    <m/>
    <x v="200"/>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19"/>
    <s v="D1. Parcelaciones y Condominios"/>
    <s v="01. Urbanismo"/>
    <x v="20"/>
    <x v="1"/>
    <s v="15 ha"/>
    <n v="1"/>
    <x v="56"/>
    <m/>
    <x v="201"/>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1"/>
    <x v="19"/>
    <s v="D1. Parcelaciones y Condominios"/>
    <s v="01. Urbanismo"/>
    <x v="20"/>
    <x v="1"/>
    <s v="15 ha"/>
    <n v="1"/>
    <x v="56"/>
    <m/>
    <x v="171"/>
    <x v="0"/>
    <n v="3"/>
    <n v="17730.496453900709"/>
    <n v="53191.48936170213"/>
    <n v="12664.64032421479"/>
    <n v="10232.56466143195"/>
    <n v="0"/>
    <n v="0"/>
    <n v="76088.694347348879"/>
    <n v="83368.431216931203"/>
    <n v="159457.12556428008"/>
    <n v="0.15"/>
    <n v="23918.56883464201"/>
    <n v="0.2"/>
    <n v="39864.281391070021"/>
    <n v="223239.97578999211"/>
    <n v="0.05"/>
    <n v="11749.472409999609"/>
    <n v="2349.8944819999174"/>
    <n v="2349.8944819999174"/>
    <n v="239689.23716399155"/>
  </r>
  <r>
    <s v="Fase 1"/>
    <x v="19"/>
    <s v="D1. Parcelaciones y Condominios"/>
    <s v="01. Urbanismo"/>
    <x v="20"/>
    <x v="1"/>
    <s v="15 ha"/>
    <n v="1"/>
    <x v="56"/>
    <m/>
    <x v="25"/>
    <x v="0"/>
    <n v="3"/>
    <n v="17730.496453900709"/>
    <n v="53191.48936170213"/>
    <n v="12664.64032421479"/>
    <n v="10232.56466143195"/>
    <n v="0"/>
    <n v="0"/>
    <n v="76088.694347348879"/>
    <n v="83368.431216931203"/>
    <n v="159457.12556428008"/>
    <n v="0.15"/>
    <n v="23918.56883464201"/>
    <n v="0.2"/>
    <n v="39864.281391070021"/>
    <n v="223239.97578999211"/>
    <n v="0.05"/>
    <n v="11749.472409999609"/>
    <n v="2349.8944819999174"/>
    <n v="2349.8944819999174"/>
    <n v="239689.23716399155"/>
  </r>
  <r>
    <s v="Fase 1"/>
    <x v="19"/>
    <s v="D1. Parcelaciones y Condominios"/>
    <s v="01. Urbanismo"/>
    <x v="20"/>
    <x v="1"/>
    <s v="15 ha"/>
    <n v="1"/>
    <x v="56"/>
    <m/>
    <x v="26"/>
    <x v="0"/>
    <n v="2.5"/>
    <n v="17730.496453900709"/>
    <n v="44326.24113475177"/>
    <n v="10553.866936845659"/>
    <n v="8527.1372178599595"/>
    <n v="0"/>
    <n v="0"/>
    <n v="63407.245289457394"/>
    <n v="69473.692680776003"/>
    <n v="132880.93797023338"/>
    <n v="0.15"/>
    <n v="19932.140695535007"/>
    <n v="0.2"/>
    <n v="33220.234492558346"/>
    <n v="186033.31315832672"/>
    <n v="0.05"/>
    <n v="9791.2270083329931"/>
    <n v="1958.2454016665972"/>
    <n v="1958.2454016665972"/>
    <n v="199741.03096999289"/>
  </r>
  <r>
    <s v="Fase 1"/>
    <x v="20"/>
    <s v="D1. Parcelaciones y Condominios"/>
    <s v="03. Complementario"/>
    <x v="21"/>
    <x v="21"/>
    <s v="100m2"/>
    <n v="1"/>
    <x v="62"/>
    <m/>
    <x v="32"/>
    <x v="0"/>
    <n v="0.25"/>
    <n v="17730.496453900709"/>
    <n v="4432.6241134751772"/>
    <n v="1055.3866936845659"/>
    <n v="852.71372178599586"/>
    <n v="0"/>
    <n v="0"/>
    <n v="6340.7245289457387"/>
    <n v="6947.3692680776003"/>
    <n v="13288.093797023339"/>
    <n v="0.1"/>
    <n v="1328.8093797023339"/>
    <n v="0.2"/>
    <n v="3322.0234492558338"/>
    <n v="17938.926625981505"/>
    <n v="0.05"/>
    <n v="944.15403294639691"/>
    <n v="188.83080658927904"/>
    <n v="188.83080658927904"/>
    <n v="19260.742272106458"/>
  </r>
  <r>
    <s v="Fase 1"/>
    <x v="20"/>
    <s v="D1. Parcelaciones y Condominios"/>
    <s v="03. Complementario"/>
    <x v="21"/>
    <x v="21"/>
    <s v="100m2"/>
    <n v="1"/>
    <x v="62"/>
    <m/>
    <x v="202"/>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1"/>
    <x v="20"/>
    <s v="D1. Parcelaciones y Condominios"/>
    <s v="03. Complementario"/>
    <x v="21"/>
    <x v="21"/>
    <s v="100m2"/>
    <n v="1"/>
    <x v="62"/>
    <m/>
    <x v="203"/>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1"/>
    <x v="20"/>
    <s v="D1. Parcelaciones y Condominios"/>
    <s v="03. Complementario"/>
    <x v="21"/>
    <x v="21"/>
    <s v="100m2"/>
    <n v="1"/>
    <x v="62"/>
    <m/>
    <x v="111"/>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2"/>
    <m/>
    <x v="38"/>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2"/>
    <m/>
    <x v="31"/>
    <x v="0"/>
    <n v="0.25"/>
    <n v="17730.496453900709"/>
    <n v="4432.6241134751772"/>
    <n v="1055.3866936845659"/>
    <n v="852.71372178599586"/>
    <n v="0"/>
    <n v="0"/>
    <n v="6340.7245289457387"/>
    <n v="6947.3692680776003"/>
    <n v="13288.093797023339"/>
    <n v="0.1"/>
    <n v="1328.8093797023339"/>
    <n v="0.2"/>
    <n v="3322.0234492558338"/>
    <n v="17938.926625981505"/>
    <n v="0.05"/>
    <n v="944.15403294639691"/>
    <n v="188.83080658927904"/>
    <n v="188.83080658927904"/>
    <n v="19260.742272106458"/>
  </r>
  <r>
    <s v="Fase 1"/>
    <x v="20"/>
    <s v="D1. Parcelaciones y Condominios"/>
    <s v="03. Complementario"/>
    <x v="21"/>
    <x v="21"/>
    <s v="100m2"/>
    <n v="1"/>
    <x v="63"/>
    <m/>
    <x v="32"/>
    <x v="0"/>
    <n v="0.25"/>
    <n v="17730.496453900709"/>
    <n v="4432.6241134751772"/>
    <n v="1055.3866936845659"/>
    <n v="852.71372178599586"/>
    <n v="0"/>
    <n v="0"/>
    <n v="6340.7245289457387"/>
    <n v="6947.3692680776003"/>
    <n v="13288.093797023339"/>
    <n v="0.1"/>
    <n v="1328.8093797023339"/>
    <n v="0.2"/>
    <n v="3322.0234492558338"/>
    <n v="17938.926625981505"/>
    <n v="0.05"/>
    <n v="944.15403294639691"/>
    <n v="188.83080658927904"/>
    <n v="188.83080658927904"/>
    <n v="19260.742272106458"/>
  </r>
  <r>
    <s v="Fase 1"/>
    <x v="20"/>
    <s v="D1. Parcelaciones y Condominios"/>
    <s v="03. Complementario"/>
    <x v="21"/>
    <x v="21"/>
    <s v="100m2"/>
    <n v="1"/>
    <x v="63"/>
    <m/>
    <x v="20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0"/>
    <s v="D1. Parcelaciones y Condominios"/>
    <s v="03. Complementario"/>
    <x v="21"/>
    <x v="21"/>
    <s v="100m2"/>
    <n v="1"/>
    <x v="63"/>
    <m/>
    <x v="111"/>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0"/>
    <s v="D1. Parcelaciones y Condominios"/>
    <s v="03. Complementario"/>
    <x v="21"/>
    <x v="21"/>
    <s v="100m2"/>
    <n v="1"/>
    <x v="63"/>
    <m/>
    <x v="17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0"/>
    <s v="D1. Parcelaciones y Condominios"/>
    <s v="03. Complementario"/>
    <x v="21"/>
    <x v="21"/>
    <s v="100m2"/>
    <n v="1"/>
    <x v="63"/>
    <m/>
    <x v="205"/>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3"/>
    <m/>
    <x v="38"/>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1"/>
    <x v="20"/>
    <s v="D1. Parcelaciones y Condominios"/>
    <s v="03. Complementario"/>
    <x v="21"/>
    <x v="21"/>
    <s v="100m2"/>
    <n v="1"/>
    <x v="63"/>
    <m/>
    <x v="31"/>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4"/>
    <m/>
    <x v="206"/>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4"/>
    <m/>
    <x v="207"/>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4"/>
    <m/>
    <x v="32"/>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4"/>
    <m/>
    <x v="20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4"/>
    <m/>
    <x v="111"/>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4"/>
    <m/>
    <x v="205"/>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4"/>
    <m/>
    <x v="38"/>
    <x v="0"/>
    <n v="0.25"/>
    <n v="17730.496453900709"/>
    <n v="4432.6241134751772"/>
    <n v="1055.3866936845659"/>
    <n v="852.71372178599586"/>
    <n v="0"/>
    <n v="0"/>
    <n v="6340.7245289457387"/>
    <n v="6947.3692680776003"/>
    <n v="13288.093797023339"/>
    <n v="0.1"/>
    <n v="1328.8093797023339"/>
    <n v="0.2"/>
    <n v="3322.0234492558338"/>
    <n v="17938.926625981505"/>
    <n v="0.05"/>
    <n v="944.15403294639691"/>
    <n v="188.83080658927904"/>
    <n v="188.83080658927904"/>
    <n v="19260.742272106458"/>
  </r>
  <r>
    <s v="Fase 1"/>
    <x v="20"/>
    <s v="D1. Parcelaciones y Condominios"/>
    <s v="03. Complementario"/>
    <x v="21"/>
    <x v="21"/>
    <s v="100m2"/>
    <n v="1"/>
    <x v="64"/>
    <m/>
    <x v="31"/>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5"/>
    <m/>
    <x v="209"/>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5"/>
    <m/>
    <x v="210"/>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5"/>
    <m/>
    <x v="211"/>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5"/>
    <m/>
    <x v="111"/>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5"/>
    <m/>
    <x v="205"/>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5"/>
    <m/>
    <x v="38"/>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5"/>
    <m/>
    <x v="31"/>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6"/>
    <m/>
    <x v="212"/>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6"/>
    <m/>
    <x v="213"/>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6"/>
    <m/>
    <x v="209"/>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6"/>
    <m/>
    <x v="38"/>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7"/>
    <m/>
    <x v="214"/>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7"/>
    <m/>
    <x v="215"/>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7"/>
    <m/>
    <x v="216"/>
    <x v="0"/>
    <n v="0.4"/>
    <n v="17730.496453900709"/>
    <n v="7092.1985815602839"/>
    <n v="1688.6187098953055"/>
    <n v="1364.3419548575935"/>
    <n v="0"/>
    <n v="0"/>
    <n v="10145.159246313182"/>
    <n v="11115.79082892416"/>
    <n v="21260.950075237342"/>
    <n v="0.1"/>
    <n v="2126.0950075237342"/>
    <n v="0.2"/>
    <n v="5315.2375188093356"/>
    <n v="28702.282601570412"/>
    <n v="0.05"/>
    <n v="1510.6464527142343"/>
    <n v="302.12929054284649"/>
    <n v="302.12929054284649"/>
    <n v="30817.187635370337"/>
  </r>
  <r>
    <s v="Fase 1"/>
    <x v="20"/>
    <s v="D1. Parcelaciones y Condominios"/>
    <s v="03. Complementario"/>
    <x v="21"/>
    <x v="21"/>
    <s v="100m2"/>
    <n v="1"/>
    <x v="67"/>
    <m/>
    <x v="217"/>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7"/>
    <m/>
    <x v="21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0"/>
    <s v="D1. Parcelaciones y Condominios"/>
    <s v="03. Complementario"/>
    <x v="21"/>
    <x v="21"/>
    <s v="100m2"/>
    <n v="1"/>
    <x v="67"/>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0"/>
    <s v="D1. Parcelaciones y Condominios"/>
    <s v="03. Complementario"/>
    <x v="21"/>
    <x v="21"/>
    <s v="Und"/>
    <n v="1"/>
    <x v="68"/>
    <m/>
    <x v="27"/>
    <x v="0"/>
    <n v="0.25"/>
    <n v="17730.496453900709"/>
    <n v="4432.6241134751772"/>
    <n v="1055.3866936845659"/>
    <n v="852.71372178599586"/>
    <n v="0"/>
    <n v="0"/>
    <n v="6340.7245289457387"/>
    <n v="6947.3692680776003"/>
    <n v="13288.093797023339"/>
    <n v="0.1"/>
    <n v="1328.8093797023339"/>
    <n v="0.2"/>
    <n v="3322.0234492558338"/>
    <n v="17938.926625981505"/>
    <n v="0.05"/>
    <n v="944.15403294639691"/>
    <n v="188.83080658927904"/>
    <n v="188.83080658927904"/>
    <n v="19260.742272106458"/>
  </r>
  <r>
    <s v="Fase 1"/>
    <x v="21"/>
    <s v="D1. Parcelaciones y Condominios"/>
    <s v="02. Edificación"/>
    <x v="22"/>
    <x v="22"/>
    <s v="100m2"/>
    <n v="1"/>
    <x v="69"/>
    <m/>
    <x v="32"/>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69"/>
    <m/>
    <x v="202"/>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69"/>
    <m/>
    <x v="219"/>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69"/>
    <m/>
    <x v="203"/>
    <x v="0"/>
    <n v="0.8"/>
    <n v="17730.496453900709"/>
    <n v="14184.397163120568"/>
    <n v="3377.2374197906111"/>
    <n v="2728.6839097151869"/>
    <n v="0"/>
    <n v="0"/>
    <n v="20290.318492626364"/>
    <n v="22231.581657848321"/>
    <n v="42521.900150474685"/>
    <n v="0.1"/>
    <n v="4252.1900150474685"/>
    <n v="0.2"/>
    <n v="10630.475037618671"/>
    <n v="57404.565203140824"/>
    <n v="0.05"/>
    <n v="3021.2929054284687"/>
    <n v="604.25858108569298"/>
    <n v="604.25858108569298"/>
    <n v="61634.375270740675"/>
  </r>
  <r>
    <s v="Fase 1"/>
    <x v="21"/>
    <s v="D1. Parcelaciones y Condominios"/>
    <s v="02. Edificación"/>
    <x v="22"/>
    <x v="22"/>
    <s v="100m2"/>
    <n v="1"/>
    <x v="69"/>
    <m/>
    <x v="111"/>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69"/>
    <m/>
    <x v="3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69"/>
    <m/>
    <x v="31"/>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0"/>
    <m/>
    <x v="32"/>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0"/>
    <m/>
    <x v="20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0"/>
    <m/>
    <x v="111"/>
    <x v="0"/>
    <n v="2.5"/>
    <n v="17730.496453900709"/>
    <n v="44326.24113475177"/>
    <n v="10553.866936845659"/>
    <n v="8527.1372178599595"/>
    <n v="0"/>
    <n v="0"/>
    <n v="63407.245289457394"/>
    <n v="69473.692680776003"/>
    <n v="132880.93797023338"/>
    <n v="0.1"/>
    <n v="13288.093797023339"/>
    <n v="0.2"/>
    <n v="33220.234492558346"/>
    <n v="179389.26625981508"/>
    <n v="0.05"/>
    <n v="9441.5403294639545"/>
    <n v="1888.3080658927904"/>
    <n v="1888.3080658927904"/>
    <n v="192607.42272106459"/>
  </r>
  <r>
    <s v="Fase 1"/>
    <x v="21"/>
    <s v="D1. Parcelaciones y Condominios"/>
    <s v="02. Edificación"/>
    <x v="22"/>
    <x v="22"/>
    <s v="100m2"/>
    <n v="1"/>
    <x v="70"/>
    <m/>
    <x v="178"/>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1"/>
    <x v="21"/>
    <s v="D1. Parcelaciones y Condominios"/>
    <s v="02. Edificación"/>
    <x v="22"/>
    <x v="22"/>
    <s v="100m2"/>
    <n v="1"/>
    <x v="70"/>
    <m/>
    <x v="205"/>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0"/>
    <m/>
    <x v="3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0"/>
    <m/>
    <x v="31"/>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1"/>
    <m/>
    <x v="32"/>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1"/>
    <m/>
    <x v="111"/>
    <x v="0"/>
    <n v="2.5"/>
    <n v="17730.496453900709"/>
    <n v="44326.24113475177"/>
    <n v="10553.866936845659"/>
    <n v="8527.1372178599595"/>
    <n v="0"/>
    <n v="0"/>
    <n v="63407.245289457394"/>
    <n v="69473.692680776003"/>
    <n v="132880.93797023338"/>
    <n v="0.1"/>
    <n v="13288.093797023339"/>
    <n v="0.2"/>
    <n v="33220.234492558346"/>
    <n v="179389.26625981508"/>
    <n v="0.05"/>
    <n v="9441.5403294639545"/>
    <n v="1888.3080658927904"/>
    <n v="1888.3080658927904"/>
    <n v="192607.42272106459"/>
  </r>
  <r>
    <s v="Fase 1"/>
    <x v="21"/>
    <s v="D1. Parcelaciones y Condominios"/>
    <s v="02. Edificación"/>
    <x v="22"/>
    <x v="22"/>
    <s v="100m2"/>
    <n v="1"/>
    <x v="71"/>
    <m/>
    <x v="220"/>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1"/>
    <m/>
    <x v="211"/>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1"/>
    <m/>
    <x v="221"/>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1"/>
    <m/>
    <x v="3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1"/>
    <m/>
    <x v="31"/>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2"/>
    <m/>
    <x v="206"/>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2"/>
    <m/>
    <x v="207"/>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2"/>
    <m/>
    <x v="32"/>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2"/>
    <m/>
    <x v="20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2"/>
    <m/>
    <x v="111"/>
    <x v="0"/>
    <n v="2.5"/>
    <n v="17730.496453900709"/>
    <n v="44326.24113475177"/>
    <n v="10553.866936845659"/>
    <n v="8527.1372178599595"/>
    <n v="0"/>
    <n v="0"/>
    <n v="63407.245289457394"/>
    <n v="69473.692680776003"/>
    <n v="132880.93797023338"/>
    <n v="0.1"/>
    <n v="13288.093797023339"/>
    <n v="0.2"/>
    <n v="33220.234492558346"/>
    <n v="179389.26625981508"/>
    <n v="0.05"/>
    <n v="9441.5403294639545"/>
    <n v="1888.3080658927904"/>
    <n v="1888.3080658927904"/>
    <n v="192607.42272106459"/>
  </r>
  <r>
    <s v="Fase 1"/>
    <x v="21"/>
    <s v="D1. Parcelaciones y Condominios"/>
    <s v="02. Edificación"/>
    <x v="22"/>
    <x v="22"/>
    <s v="100m2"/>
    <n v="1"/>
    <x v="72"/>
    <m/>
    <x v="205"/>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2"/>
    <m/>
    <x v="3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2"/>
    <m/>
    <x v="31"/>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3"/>
    <m/>
    <x v="209"/>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3"/>
    <m/>
    <x v="210"/>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3"/>
    <m/>
    <x v="211"/>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3"/>
    <m/>
    <x v="111"/>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3"/>
    <m/>
    <x v="205"/>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3"/>
    <m/>
    <x v="3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3"/>
    <m/>
    <x v="31"/>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4"/>
    <m/>
    <x v="212"/>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4"/>
    <m/>
    <x v="213"/>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4"/>
    <m/>
    <x v="20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4"/>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5"/>
    <m/>
    <x v="214"/>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5"/>
    <m/>
    <x v="215"/>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1"/>
    <x v="21"/>
    <s v="D1. Parcelaciones y Condominios"/>
    <s v="02. Edificación"/>
    <x v="22"/>
    <x v="22"/>
    <s v="100m2"/>
    <n v="1"/>
    <x v="75"/>
    <m/>
    <x v="216"/>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5"/>
    <m/>
    <x v="217"/>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5"/>
    <m/>
    <x v="21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5"/>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Und"/>
    <n v="1"/>
    <x v="76"/>
    <m/>
    <x v="27"/>
    <x v="0"/>
    <n v="0.25"/>
    <n v="17730.496453900709"/>
    <n v="4432.6241134751772"/>
    <n v="1055.3866936845659"/>
    <n v="852.71372178599586"/>
    <n v="0"/>
    <n v="0"/>
    <n v="6340.7245289457387"/>
    <n v="6947.3692680776003"/>
    <n v="13288.093797023339"/>
    <n v="0.1"/>
    <n v="1328.8093797023339"/>
    <n v="0.2"/>
    <n v="3322.0234492558338"/>
    <n v="17938.926625981505"/>
    <n v="0.05"/>
    <n v="944.15403294639691"/>
    <n v="188.83080658927904"/>
    <n v="188.83080658927904"/>
    <n v="19260.742272106458"/>
  </r>
  <r>
    <s v="Fase 2"/>
    <x v="22"/>
    <s v="D1. Parcelaciones y Condominios"/>
    <s v="01. Urbanismo"/>
    <x v="23"/>
    <x v="0"/>
    <s v="Und"/>
    <n v="1"/>
    <x v="27"/>
    <m/>
    <x v="222"/>
    <x v="0"/>
    <n v="0.5"/>
    <n v="17730.496453900709"/>
    <n v="8865.2482269503544"/>
    <n v="2110.7733873691318"/>
    <n v="1705.4274435719917"/>
    <n v="0"/>
    <n v="0"/>
    <n v="12681.449057891477"/>
    <n v="13894.738536155201"/>
    <n v="26576.187594046678"/>
    <n v="0.05"/>
    <n v="1328.8093797023339"/>
    <n v="0.15"/>
    <n v="4689.9154577729423"/>
    <n v="32594.912431521952"/>
    <n v="0.05"/>
    <n v="1715.5217069222126"/>
    <n v="343.10434138444168"/>
    <n v="343.10434138444168"/>
    <n v="34996.642821213041"/>
  </r>
  <r>
    <s v="Fase 2"/>
    <x v="22"/>
    <s v="D1. Parcelaciones y Condominios"/>
    <s v="01. Urbanismo"/>
    <x v="23"/>
    <x v="0"/>
    <s v="Und"/>
    <n v="1"/>
    <x v="27"/>
    <m/>
    <x v="58"/>
    <x v="0"/>
    <n v="0.5"/>
    <n v="17730.496453900709"/>
    <n v="8865.2482269503544"/>
    <n v="2110.7733873691318"/>
    <n v="1705.4274435719917"/>
    <n v="0"/>
    <n v="0"/>
    <n v="12681.449057891477"/>
    <n v="13894.738536155201"/>
    <n v="26576.187594046678"/>
    <n v="0.05"/>
    <n v="1328.8093797023339"/>
    <n v="0.15"/>
    <n v="4689.9154577729423"/>
    <n v="32594.912431521952"/>
    <n v="0.05"/>
    <n v="1715.5217069222126"/>
    <n v="343.10434138444168"/>
    <n v="343.10434138444168"/>
    <n v="34996.642821213041"/>
  </r>
  <r>
    <s v="Fase 2"/>
    <x v="22"/>
    <s v="D1. Parcelaciones y Condominios"/>
    <s v="01. Urbanismo"/>
    <x v="23"/>
    <x v="0"/>
    <s v="15 ha"/>
    <n v="1"/>
    <x v="27"/>
    <m/>
    <x v="223"/>
    <x v="0"/>
    <n v="9.4"/>
    <n v="17730.496453900709"/>
    <n v="166666.66666666666"/>
    <n v="39682.539682539682"/>
    <n v="32062.035939153444"/>
    <n v="0"/>
    <n v="0"/>
    <n v="238411.24228835979"/>
    <n v="261221.08447971777"/>
    <n v="499632.32676807756"/>
    <n v="0.05"/>
    <n v="24981.616338403881"/>
    <n v="0.15"/>
    <n v="88170.410606131307"/>
    <n v="612784.35371261276"/>
    <n v="0.05"/>
    <n v="32251.808090137551"/>
    <n v="6450.361618027503"/>
    <n v="6450.361618027503"/>
    <n v="657936.88503880543"/>
  </r>
  <r>
    <s v="Fase 2"/>
    <x v="22"/>
    <s v="D1. Parcelaciones y Condominios"/>
    <s v="01. Urbanismo"/>
    <x v="23"/>
    <x v="0"/>
    <s v="1 ha"/>
    <n v="1"/>
    <x v="27"/>
    <m/>
    <x v="224"/>
    <x v="0"/>
    <n v="3"/>
    <n v="17730.496453900709"/>
    <n v="53191.48936170213"/>
    <n v="12664.64032421479"/>
    <n v="10232.56466143195"/>
    <n v="0"/>
    <n v="0"/>
    <n v="76088.694347348879"/>
    <n v="83368.431216931203"/>
    <n v="159457.12556428008"/>
    <n v="0.05"/>
    <n v="7972.8562782140043"/>
    <n v="0.15"/>
    <n v="28139.492746637668"/>
    <n v="195569.47458913174"/>
    <n v="0.05"/>
    <n v="10293.130241533247"/>
    <n v="2058.6260483066499"/>
    <n v="2058.6260483066499"/>
    <n v="209979.85692727828"/>
  </r>
  <r>
    <s v="Fase 2"/>
    <x v="22"/>
    <s v="D1. Parcelaciones y Condominios"/>
    <s v="01. Urbanismo"/>
    <x v="23"/>
    <x v="0"/>
    <s v="1 ha"/>
    <n v="1"/>
    <x v="27"/>
    <m/>
    <x v="225"/>
    <x v="0"/>
    <n v="3"/>
    <n v="17730.496453900709"/>
    <n v="53191.48936170213"/>
    <n v="12664.64032421479"/>
    <n v="10232.56466143195"/>
    <n v="0"/>
    <n v="0"/>
    <n v="76088.694347348879"/>
    <n v="83368.431216931203"/>
    <n v="159457.12556428008"/>
    <n v="0.05"/>
    <n v="7972.8562782140043"/>
    <n v="0.15"/>
    <n v="28139.492746637668"/>
    <n v="195569.47458913174"/>
    <n v="0.05"/>
    <n v="10293.130241533247"/>
    <n v="2058.6260483066499"/>
    <n v="2058.6260483066499"/>
    <n v="209979.85692727828"/>
  </r>
  <r>
    <s v="Fase 2"/>
    <x v="22"/>
    <s v="D1. Parcelaciones y Condominios"/>
    <s v="01. Urbanismo"/>
    <x v="23"/>
    <x v="0"/>
    <s v="1 ha"/>
    <n v="1"/>
    <x v="1"/>
    <m/>
    <x v="226"/>
    <x v="0"/>
    <n v="18.8"/>
    <n v="17730.496453900709"/>
    <n v="333333.33333333331"/>
    <n v="79365.079365079364"/>
    <n v="64124.071878306888"/>
    <n v="0"/>
    <n v="0"/>
    <n v="476822.48457671958"/>
    <n v="522442.16895943554"/>
    <n v="999264.65353615512"/>
    <n v="0.05"/>
    <n v="49963.232676807762"/>
    <n v="0.15"/>
    <n v="176340.82121226261"/>
    <n v="1225568.7074252255"/>
    <n v="0.05"/>
    <n v="64503.616180275101"/>
    <n v="12900.723236055006"/>
    <n v="12900.723236055006"/>
    <n v="1315873.7700776109"/>
  </r>
  <r>
    <s v="Fase 2"/>
    <x v="22"/>
    <s v="D1. Parcelaciones y Condominios"/>
    <s v="01. Urbanismo"/>
    <x v="23"/>
    <x v="0"/>
    <s v="1 ha"/>
    <n v="1"/>
    <x v="27"/>
    <m/>
    <x v="227"/>
    <x v="0"/>
    <n v="6"/>
    <n v="17730.496453900709"/>
    <n v="106382.97872340426"/>
    <n v="25329.28064842958"/>
    <n v="20465.129322863901"/>
    <n v="0"/>
    <n v="0"/>
    <n v="152177.38869469776"/>
    <n v="166736.86243386241"/>
    <n v="318914.25112856016"/>
    <n v="0.05"/>
    <n v="15945.712556428009"/>
    <n v="0.15"/>
    <n v="56278.985493275337"/>
    <n v="391138.94917826349"/>
    <n v="0.05"/>
    <n v="20586.260483066493"/>
    <n v="4117.2520966132997"/>
    <n v="4117.2520966132997"/>
    <n v="419959.71385455655"/>
  </r>
  <r>
    <s v="Fase 2"/>
    <x v="22"/>
    <s v="D1. Parcelaciones y Condominios"/>
    <s v="01. Urbanismo"/>
    <x v="23"/>
    <x v="0"/>
    <s v="1 ha"/>
    <n v="1"/>
    <x v="27"/>
    <m/>
    <x v="228"/>
    <x v="0"/>
    <n v="5"/>
    <n v="17730.496453900709"/>
    <n v="88652.48226950354"/>
    <n v="21107.733873691319"/>
    <n v="17054.274435719919"/>
    <n v="0"/>
    <n v="0"/>
    <n v="126814.49057891479"/>
    <n v="138947.38536155201"/>
    <n v="265761.87594046677"/>
    <n v="0.05"/>
    <n v="13288.093797023339"/>
    <n v="0.15"/>
    <n v="46899.154577729409"/>
    <n v="325949.12431521952"/>
    <n v="0.05"/>
    <n v="17155.217069222068"/>
    <n v="3431.0434138444161"/>
    <n v="3431.0434138444161"/>
    <n v="349966.42821213044"/>
  </r>
  <r>
    <s v="Fase 2"/>
    <x v="22"/>
    <s v="D1. Parcelaciones y Condominios"/>
    <s v="01. Urbanismo"/>
    <x v="23"/>
    <x v="23"/>
    <s v="1 ha"/>
    <n v="1"/>
    <x v="1"/>
    <m/>
    <x v="229"/>
    <x v="0"/>
    <n v="2"/>
    <n v="17730.496453900709"/>
    <n v="35460.992907801417"/>
    <n v="8443.0935494765272"/>
    <n v="6821.7097742879669"/>
    <n v="0"/>
    <n v="0"/>
    <n v="50725.79623156591"/>
    <n v="55578.954144620802"/>
    <n v="106304.75037618671"/>
    <n v="0.05"/>
    <n v="5315.2375188093356"/>
    <n v="0.15"/>
    <n v="18759.661831091769"/>
    <n v="130379.64972608781"/>
    <n v="0.05"/>
    <n v="6862.0868276888505"/>
    <n v="1372.4173655377667"/>
    <n v="1372.4173655377667"/>
    <n v="139986.57128485217"/>
  </r>
  <r>
    <s v="Fase 2"/>
    <x v="22"/>
    <s v="D1. Parcelaciones y Condominios"/>
    <s v="01. Urbanismo"/>
    <x v="23"/>
    <x v="23"/>
    <s v="1 ha"/>
    <n v="1"/>
    <x v="1"/>
    <m/>
    <x v="230"/>
    <x v="0"/>
    <n v="2"/>
    <n v="17730.496453900709"/>
    <n v="35460.992907801417"/>
    <n v="8443.0935494765272"/>
    <n v="6821.7097742879669"/>
    <n v="0"/>
    <n v="0"/>
    <n v="50725.79623156591"/>
    <n v="55578.954144620802"/>
    <n v="106304.75037618671"/>
    <n v="0.05"/>
    <n v="5315.2375188093356"/>
    <n v="0.15"/>
    <n v="18759.661831091769"/>
    <n v="130379.64972608781"/>
    <n v="0.05"/>
    <n v="6862.0868276888505"/>
    <n v="1372.4173655377667"/>
    <n v="1372.4173655377667"/>
    <n v="139986.57128485217"/>
  </r>
  <r>
    <s v="Fase 2"/>
    <x v="22"/>
    <s v="D1. Parcelaciones y Condominios"/>
    <s v="01. Urbanismo"/>
    <x v="23"/>
    <x v="23"/>
    <s v="1 ha"/>
    <n v="1"/>
    <x v="77"/>
    <m/>
    <x v="231"/>
    <x v="0"/>
    <n v="1"/>
    <n v="17730.496453900709"/>
    <n v="17730.496453900709"/>
    <n v="4221.5467747382636"/>
    <n v="3410.8548871439834"/>
    <n v="0"/>
    <n v="0"/>
    <n v="25362.898115782955"/>
    <n v="27789.477072310401"/>
    <n v="53152.375188093356"/>
    <n v="0.05"/>
    <n v="2657.6187594046678"/>
    <n v="0.15"/>
    <n v="9379.8309155458846"/>
    <n v="65189.824863043905"/>
    <n v="0.05"/>
    <n v="3431.0434138444252"/>
    <n v="686.20868276888336"/>
    <n v="686.20868276888336"/>
    <n v="69993.285642426083"/>
  </r>
  <r>
    <s v="Fase 2"/>
    <x v="22"/>
    <s v="D1. Parcelaciones y Condominios"/>
    <s v="01. Urbanismo"/>
    <x v="23"/>
    <x v="23"/>
    <s v="1 ha"/>
    <n v="1"/>
    <x v="78"/>
    <m/>
    <x v="232"/>
    <x v="0"/>
    <n v="1"/>
    <n v="17730.496453900709"/>
    <n v="17730.496453900709"/>
    <n v="4221.5467747382636"/>
    <n v="3410.8548871439834"/>
    <n v="0"/>
    <n v="0"/>
    <n v="25362.898115782955"/>
    <n v="27789.477072310401"/>
    <n v="53152.375188093356"/>
    <n v="0.05"/>
    <n v="2657.6187594046678"/>
    <n v="0.15"/>
    <n v="9379.8309155458846"/>
    <n v="65189.824863043905"/>
    <n v="0.05"/>
    <n v="3431.0434138444252"/>
    <n v="686.20868276888336"/>
    <n v="686.20868276888336"/>
    <n v="69993.285642426083"/>
  </r>
  <r>
    <s v="Fase 2"/>
    <x v="22"/>
    <s v="D1. Parcelaciones y Condominios"/>
    <s v="01. Urbanismo"/>
    <x v="23"/>
    <x v="23"/>
    <s v="1 ha"/>
    <n v="1"/>
    <x v="78"/>
    <m/>
    <x v="233"/>
    <x v="0"/>
    <n v="1"/>
    <n v="17730.496453900709"/>
    <n v="17730.496453900709"/>
    <n v="4221.5467747382636"/>
    <n v="3410.8548871439834"/>
    <n v="0"/>
    <n v="0"/>
    <n v="25362.898115782955"/>
    <n v="27789.477072310401"/>
    <n v="53152.375188093356"/>
    <n v="0.05"/>
    <n v="2657.6187594046678"/>
    <n v="0.15"/>
    <n v="9379.8309155458846"/>
    <n v="65189.824863043905"/>
    <n v="0.05"/>
    <n v="3431.0434138444252"/>
    <n v="686.20868276888336"/>
    <n v="686.20868276888336"/>
    <n v="69993.285642426083"/>
  </r>
  <r>
    <s v="Fase 2"/>
    <x v="22"/>
    <s v="D1. Parcelaciones y Condominios"/>
    <s v="01. Urbanismo"/>
    <x v="23"/>
    <x v="23"/>
    <s v="1 ha"/>
    <n v="1"/>
    <x v="78"/>
    <m/>
    <x v="234"/>
    <x v="0"/>
    <n v="1"/>
    <n v="17730.496453900709"/>
    <n v="17730.496453900709"/>
    <n v="4221.5467747382636"/>
    <n v="3410.8548871439834"/>
    <n v="0"/>
    <n v="0"/>
    <n v="25362.898115782955"/>
    <n v="27789.477072310401"/>
    <n v="53152.375188093356"/>
    <n v="0.05"/>
    <n v="2657.6187594046678"/>
    <n v="0.15"/>
    <n v="9379.8309155458846"/>
    <n v="65189.824863043905"/>
    <n v="0.05"/>
    <n v="3431.0434138444252"/>
    <n v="686.20868276888336"/>
    <n v="686.20868276888336"/>
    <n v="69993.285642426083"/>
  </r>
  <r>
    <s v="Fase 2"/>
    <x v="23"/>
    <s v="D1. Parcelaciones y Condominios"/>
    <s v="03. Complementario"/>
    <x v="24"/>
    <x v="24"/>
    <s v="Und"/>
    <n v="1"/>
    <x v="44"/>
    <m/>
    <x v="235"/>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2"/>
    <x v="23"/>
    <s v="D1. Parcelaciones y Condominios"/>
    <s v="03. Complementario"/>
    <x v="24"/>
    <x v="24"/>
    <s v="Und"/>
    <n v="1"/>
    <x v="44"/>
    <m/>
    <x v="236"/>
    <x v="0"/>
    <n v="0.25"/>
    <n v="17730.496453900709"/>
    <n v="4432.6241134751772"/>
    <n v="1055.3866936845659"/>
    <n v="852.71372178599586"/>
    <n v="0"/>
    <n v="0"/>
    <n v="6340.7245289457387"/>
    <n v="6947.3692680776003"/>
    <n v="13288.093797023339"/>
    <n v="0.15"/>
    <n v="1993.2140695535008"/>
    <n v="0.2"/>
    <n v="3322.0234492558338"/>
    <n v="18603.331315832675"/>
    <n v="0.05"/>
    <n v="979.12270083330077"/>
    <n v="195.82454016665974"/>
    <n v="195.82454016665974"/>
    <n v="19974.103096999297"/>
  </r>
  <r>
    <s v="Fase 2"/>
    <x v="23"/>
    <s v="D1. Parcelaciones y Condominios"/>
    <s v="03. Complementario"/>
    <x v="24"/>
    <x v="24"/>
    <s v="Und"/>
    <n v="1"/>
    <x v="44"/>
    <m/>
    <x v="237"/>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2"/>
    <x v="23"/>
    <s v="D1. Parcelaciones y Condominios"/>
    <s v="03. Complementario"/>
    <x v="24"/>
    <x v="24"/>
    <s v="Und"/>
    <n v="1"/>
    <x v="44"/>
    <m/>
    <x v="238"/>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2"/>
    <x v="23"/>
    <s v="D1. Parcelaciones y Condominios"/>
    <s v="03. Complementario"/>
    <x v="24"/>
    <x v="24"/>
    <s v="Und"/>
    <n v="1"/>
    <x v="44"/>
    <m/>
    <x v="239"/>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2"/>
    <x v="23"/>
    <s v="D1. Parcelaciones y Condominios"/>
    <s v="03. Complementario"/>
    <x v="24"/>
    <x v="24"/>
    <s v="Und"/>
    <n v="1"/>
    <x v="44"/>
    <m/>
    <x v="240"/>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2"/>
    <x v="23"/>
    <s v="D1. Parcelaciones y Condominios"/>
    <s v="03. Complementario"/>
    <x v="24"/>
    <x v="24"/>
    <s v="Und"/>
    <n v="1"/>
    <x v="44"/>
    <m/>
    <x v="241"/>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2"/>
    <x v="23"/>
    <s v="D1. Parcelaciones y Condominios"/>
    <s v="03. Complementario"/>
    <x v="24"/>
    <x v="24"/>
    <s v="Und"/>
    <n v="1"/>
    <x v="44"/>
    <m/>
    <x v="242"/>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4"/>
    <m/>
    <x v="243"/>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4"/>
    <m/>
    <x v="244"/>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5"/>
    <m/>
    <x v="245"/>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5"/>
    <m/>
    <x v="246"/>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5"/>
    <m/>
    <x v="247"/>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5"/>
    <m/>
    <x v="182"/>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5"/>
    <m/>
    <x v="128"/>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79"/>
    <m/>
    <x v="248"/>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79"/>
    <m/>
    <x v="249"/>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2"/>
    <x v="23"/>
    <s v="D1. Parcelaciones y Condominios"/>
    <s v="03. Complementario"/>
    <x v="24"/>
    <x v="24"/>
    <s v="Und"/>
    <n v="1"/>
    <x v="79"/>
    <m/>
    <x v="250"/>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2"/>
    <x v="23"/>
    <s v="D1. Parcelaciones y Condominios"/>
    <s v="03. Complementario"/>
    <x v="24"/>
    <x v="24"/>
    <s v="Und"/>
    <n v="1"/>
    <x v="79"/>
    <m/>
    <x v="251"/>
    <x v="0"/>
    <n v="0.3"/>
    <n v="17730.496453900709"/>
    <n v="5319.1489361702124"/>
    <n v="1266.464032421479"/>
    <n v="1023.256466143195"/>
    <n v="0"/>
    <n v="0"/>
    <n v="7608.8694347348865"/>
    <n v="8336.8431216931203"/>
    <n v="15945.712556428007"/>
    <n v="0.15"/>
    <n v="2391.856883464201"/>
    <n v="0.2"/>
    <n v="3986.4281391069999"/>
    <n v="22323.997578999206"/>
    <n v="0.05"/>
    <n v="1174.947240999958"/>
    <n v="234.98944819999164"/>
    <n v="234.98944819999164"/>
    <n v="23968.923716399146"/>
  </r>
  <r>
    <s v="Fase 2"/>
    <x v="23"/>
    <s v="D1. Parcelaciones y Condominios"/>
    <s v="03. Complementario"/>
    <x v="24"/>
    <x v="24"/>
    <s v="Und"/>
    <n v="1"/>
    <x v="79"/>
    <m/>
    <x v="187"/>
    <x v="0"/>
    <n v="0.3"/>
    <n v="17730.496453900709"/>
    <n v="5319.1489361702124"/>
    <n v="1266.464032421479"/>
    <n v="1023.256466143195"/>
    <n v="0"/>
    <n v="0"/>
    <n v="7608.8694347348865"/>
    <n v="8336.8431216931203"/>
    <n v="15945.712556428007"/>
    <n v="0.15"/>
    <n v="2391.856883464201"/>
    <n v="0.2"/>
    <n v="3986.4281391069999"/>
    <n v="22323.997578999206"/>
    <n v="0.05"/>
    <n v="1174.947240999958"/>
    <n v="234.98944819999164"/>
    <n v="234.98944819999164"/>
    <n v="23968.923716399146"/>
  </r>
  <r>
    <s v="Fase 2"/>
    <x v="23"/>
    <s v="D1. Parcelaciones y Condominios"/>
    <s v="03. Complementario"/>
    <x v="24"/>
    <x v="24"/>
    <s v="Und"/>
    <n v="1"/>
    <x v="46"/>
    <m/>
    <x v="252"/>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2"/>
    <x v="23"/>
    <s v="D1. Parcelaciones y Condominios"/>
    <s v="03. Complementario"/>
    <x v="24"/>
    <x v="24"/>
    <s v="Und"/>
    <n v="1"/>
    <x v="46"/>
    <m/>
    <x v="253"/>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2"/>
    <x v="23"/>
    <s v="D1. Parcelaciones y Condominios"/>
    <s v="03. Complementario"/>
    <x v="24"/>
    <x v="24"/>
    <s v="Und"/>
    <n v="1"/>
    <x v="46"/>
    <m/>
    <x v="254"/>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2"/>
    <x v="23"/>
    <s v="D1. Parcelaciones y Condominios"/>
    <s v="03. Complementario"/>
    <x v="24"/>
    <x v="24"/>
    <s v="Und"/>
    <n v="1"/>
    <x v="46"/>
    <m/>
    <x v="132"/>
    <x v="0"/>
    <n v="0.6"/>
    <n v="17730.496453900709"/>
    <n v="10638.297872340425"/>
    <n v="2532.9280648429581"/>
    <n v="2046.51293228639"/>
    <n v="0"/>
    <n v="0"/>
    <n v="15217.738869469773"/>
    <n v="16673.686243386241"/>
    <n v="31891.425112856014"/>
    <n v="0.15"/>
    <n v="4783.713766928402"/>
    <n v="0.2"/>
    <n v="7972.8562782139998"/>
    <n v="44647.995157998412"/>
    <n v="0.05"/>
    <n v="2349.894481999916"/>
    <n v="469.97889639998328"/>
    <n v="469.97889639998328"/>
    <n v="47937.847432798291"/>
  </r>
  <r>
    <s v="Fase 2"/>
    <x v="23"/>
    <s v="D1. Parcelaciones y Condominios"/>
    <s v="03. Complementario"/>
    <x v="24"/>
    <x v="24"/>
    <s v="Und"/>
    <n v="1"/>
    <x v="46"/>
    <m/>
    <x v="133"/>
    <x v="0"/>
    <n v="0.6"/>
    <n v="17730.496453900709"/>
    <n v="10638.297872340425"/>
    <n v="2532.9280648429581"/>
    <n v="2046.51293228639"/>
    <n v="0"/>
    <n v="0"/>
    <n v="15217.738869469773"/>
    <n v="16673.686243386241"/>
    <n v="31891.425112856014"/>
    <n v="0.15"/>
    <n v="4783.713766928402"/>
    <n v="0.2"/>
    <n v="7972.8562782139998"/>
    <n v="44647.995157998412"/>
    <n v="0.05"/>
    <n v="2349.894481999916"/>
    <n v="469.97889639998328"/>
    <n v="469.97889639998328"/>
    <n v="47937.847432798291"/>
  </r>
  <r>
    <s v="Fase 2"/>
    <x v="23"/>
    <s v="D1. Parcelaciones y Condominios"/>
    <s v="03. Complementario"/>
    <x v="24"/>
    <x v="24"/>
    <s v="Und"/>
    <n v="1"/>
    <x v="46"/>
    <m/>
    <x v="255"/>
    <x v="0"/>
    <n v="0.6"/>
    <n v="17730.496453900709"/>
    <n v="10638.297872340425"/>
    <n v="2532.9280648429581"/>
    <n v="2046.51293228639"/>
    <n v="0"/>
    <n v="0"/>
    <n v="15217.738869469773"/>
    <n v="16673.686243386241"/>
    <n v="31891.425112856014"/>
    <n v="0.15"/>
    <n v="4783.713766928402"/>
    <n v="0.2"/>
    <n v="7972.8562782139998"/>
    <n v="44647.995157998412"/>
    <n v="0.05"/>
    <n v="2349.894481999916"/>
    <n v="469.97889639998328"/>
    <n v="469.97889639998328"/>
    <n v="47937.847432798291"/>
  </r>
  <r>
    <s v="Fase 3"/>
    <x v="24"/>
    <s v="D1. Parcelaciones y Condominios"/>
    <s v="03. Complementario"/>
    <x v="25"/>
    <x v="24"/>
    <s v="Und"/>
    <n v="1"/>
    <x v="44"/>
    <m/>
    <x v="235"/>
    <x v="0"/>
    <n v="0.5"/>
    <n v="17730.496453900709"/>
    <n v="8865.2482269503544"/>
    <n v="2110.7733873691318"/>
    <n v="1705.4274435719917"/>
    <m/>
    <m/>
    <n v="12681.449057891477"/>
    <n v="13894.738536155201"/>
    <n v="26576.187594046678"/>
    <n v="0.15"/>
    <n v="3986.4281391070017"/>
    <n v="0.3"/>
    <n v="11389.794683162865"/>
    <n v="41952.410416316547"/>
    <n v="0.05"/>
    <n v="2208.0216008587668"/>
    <n v="441.60432017175316"/>
    <n v="441.60432017175316"/>
    <n v="45043.640657518823"/>
  </r>
  <r>
    <s v="Fase 3"/>
    <x v="24"/>
    <s v="D1. Parcelaciones y Condominios"/>
    <s v="03. Complementario"/>
    <x v="25"/>
    <x v="24"/>
    <s v="Und"/>
    <n v="1"/>
    <x v="44"/>
    <m/>
    <x v="236"/>
    <x v="0"/>
    <n v="0.25"/>
    <n v="17730.496453900709"/>
    <n v="4432.6241134751772"/>
    <n v="1055.3866936845659"/>
    <n v="852.71372178599586"/>
    <m/>
    <m/>
    <n v="6340.7245289457387"/>
    <n v="6947.3692680776003"/>
    <n v="13288.093797023339"/>
    <n v="0.15"/>
    <n v="1993.2140695535008"/>
    <n v="0.3"/>
    <n v="5694.8973415814326"/>
    <n v="20976.205208158273"/>
    <n v="0.05"/>
    <n v="1104.0108004293834"/>
    <n v="220.80216008587658"/>
    <n v="220.80216008587658"/>
    <n v="22521.820328759411"/>
  </r>
  <r>
    <s v="Fase 3"/>
    <x v="24"/>
    <s v="D1. Parcelaciones y Condominios"/>
    <s v="03. Complementario"/>
    <x v="25"/>
    <x v="24"/>
    <s v="Und"/>
    <n v="1"/>
    <x v="44"/>
    <m/>
    <x v="237"/>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44"/>
    <m/>
    <x v="238"/>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44"/>
    <m/>
    <x v="239"/>
    <x v="0"/>
    <n v="0.5"/>
    <n v="17730.496453900709"/>
    <n v="8865.2482269503544"/>
    <n v="2110.7733873691318"/>
    <n v="1705.4274435719917"/>
    <m/>
    <m/>
    <n v="12681.449057891477"/>
    <n v="13894.738536155201"/>
    <n v="26576.187594046678"/>
    <n v="0.15"/>
    <n v="3986.4281391070017"/>
    <n v="0.3"/>
    <n v="11389.794683162865"/>
    <n v="41952.410416316547"/>
    <n v="0.05"/>
    <n v="2208.0216008587668"/>
    <n v="441.60432017175316"/>
    <n v="441.60432017175316"/>
    <n v="45043.640657518823"/>
  </r>
  <r>
    <s v="Fase 3"/>
    <x v="24"/>
    <s v="D1. Parcelaciones y Condominios"/>
    <s v="03. Complementario"/>
    <x v="25"/>
    <x v="24"/>
    <s v="Und"/>
    <n v="1"/>
    <x v="44"/>
    <m/>
    <x v="241"/>
    <x v="0"/>
    <n v="3"/>
    <n v="17730.496453900709"/>
    <n v="53191.48936170213"/>
    <n v="12664.64032421479"/>
    <n v="10232.56466143195"/>
    <m/>
    <m/>
    <n v="76088.694347348879"/>
    <n v="83368.431216931203"/>
    <n v="159457.12556428008"/>
    <n v="0.15"/>
    <n v="23918.56883464201"/>
    <n v="0.3"/>
    <n v="68338.768098977191"/>
    <n v="251714.46249789928"/>
    <n v="0.05"/>
    <n v="13248.129605152615"/>
    <n v="2649.6259210305188"/>
    <n v="2649.6259210305188"/>
    <n v="270261.84394511295"/>
  </r>
  <r>
    <s v="Fase 3"/>
    <x v="24"/>
    <s v="D1. Parcelaciones y Condominios"/>
    <s v="03. Complementario"/>
    <x v="25"/>
    <x v="24"/>
    <s v="Und"/>
    <n v="1"/>
    <x v="44"/>
    <m/>
    <x v="256"/>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44"/>
    <m/>
    <x v="243"/>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44"/>
    <m/>
    <x v="244"/>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45"/>
    <m/>
    <x v="245"/>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45"/>
    <m/>
    <x v="128"/>
    <x v="0"/>
    <n v="0.7"/>
    <n v="17730.496453900709"/>
    <n v="12411.347517730495"/>
    <n v="2955.0827423167843"/>
    <n v="2387.5984210007882"/>
    <m/>
    <m/>
    <n v="17754.028681048068"/>
    <n v="19452.633950617281"/>
    <n v="37206.662631665349"/>
    <n v="0.15"/>
    <n v="5580.9993947498024"/>
    <n v="0.3"/>
    <n v="15945.712556428007"/>
    <n v="58733.374582843157"/>
    <n v="0.05"/>
    <n v="3091.2302412022764"/>
    <n v="618.24604824045434"/>
    <n v="618.24604824045434"/>
    <n v="63061.096920526346"/>
  </r>
  <r>
    <s v="Fase 3"/>
    <x v="24"/>
    <s v="D1. Parcelaciones y Condominios"/>
    <s v="03. Complementario"/>
    <x v="25"/>
    <x v="24"/>
    <s v="Und"/>
    <n v="1"/>
    <x v="79"/>
    <m/>
    <x v="248"/>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79"/>
    <m/>
    <x v="249"/>
    <x v="0"/>
    <n v="0.5"/>
    <n v="17730.496453900709"/>
    <n v="8865.2482269503544"/>
    <n v="2110.7733873691318"/>
    <n v="1705.4274435719917"/>
    <m/>
    <m/>
    <n v="12681.449057891477"/>
    <n v="13894.738536155201"/>
    <n v="26576.187594046678"/>
    <n v="0.15"/>
    <n v="3986.4281391070017"/>
    <n v="0.3"/>
    <n v="11389.794683162865"/>
    <n v="41952.410416316547"/>
    <n v="0.05"/>
    <n v="2208.0216008587668"/>
    <n v="441.60432017175316"/>
    <n v="441.60432017175316"/>
    <n v="45043.640657518823"/>
  </r>
  <r>
    <s v="Fase 3"/>
    <x v="24"/>
    <s v="D1. Parcelaciones y Condominios"/>
    <s v="03. Complementario"/>
    <x v="25"/>
    <x v="24"/>
    <s v="Und"/>
    <n v="1"/>
    <x v="79"/>
    <m/>
    <x v="250"/>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79"/>
    <m/>
    <x v="251"/>
    <x v="0"/>
    <n v="0.5"/>
    <n v="17730.496453900709"/>
    <n v="8865.2482269503544"/>
    <n v="2110.7733873691318"/>
    <n v="1705.4274435719917"/>
    <m/>
    <m/>
    <n v="12681.449057891477"/>
    <n v="13894.738536155201"/>
    <n v="26576.187594046678"/>
    <n v="0.15"/>
    <n v="3986.4281391070017"/>
    <n v="0.3"/>
    <n v="11389.794683162865"/>
    <n v="41952.410416316547"/>
    <n v="0.05"/>
    <n v="2208.0216008587668"/>
    <n v="441.60432017175316"/>
    <n v="441.60432017175316"/>
    <n v="45043.640657518823"/>
  </r>
  <r>
    <s v="Fase 3"/>
    <x v="24"/>
    <s v="D1. Parcelaciones y Condominios"/>
    <s v="03. Complementario"/>
    <x v="25"/>
    <x v="24"/>
    <s v="Und"/>
    <n v="1"/>
    <x v="79"/>
    <m/>
    <x v="187"/>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2"/>
    <x v="23"/>
    <s v="D1. Parcelaciones y Condominios"/>
    <s v="03. Complementario"/>
    <x v="24"/>
    <x v="24"/>
    <s v="Und"/>
    <n v="1"/>
    <x v="46"/>
    <m/>
    <x v="132"/>
    <x v="0"/>
    <n v="0.6"/>
    <n v="17730.496453900709"/>
    <n v="10638.297872340425"/>
    <n v="2532.9280648429581"/>
    <n v="2046.51293228639"/>
    <n v="0"/>
    <n v="0"/>
    <n v="15217.738869469773"/>
    <n v="16673.686243386241"/>
    <n v="31891.425112856014"/>
    <n v="0.1"/>
    <n v="3189.1425112856014"/>
    <n v="0.2"/>
    <n v="7972.8562782139998"/>
    <n v="43053.423902355615"/>
    <n v="0.05"/>
    <n v="2265.9696790713497"/>
    <n v="453.19393581426965"/>
    <n v="453.19393581426965"/>
    <n v="46225.781453055504"/>
  </r>
  <r>
    <s v="Fase 2"/>
    <x v="23"/>
    <s v="D1. Parcelaciones y Condominios"/>
    <s v="03. Complementario"/>
    <x v="24"/>
    <x v="24"/>
    <s v="Und"/>
    <n v="1"/>
    <x v="46"/>
    <m/>
    <x v="133"/>
    <x v="0"/>
    <n v="0.6"/>
    <n v="17730.496453900709"/>
    <n v="10638.297872340425"/>
    <n v="2532.9280648429581"/>
    <n v="2046.51293228639"/>
    <n v="0"/>
    <n v="0"/>
    <n v="15217.738869469773"/>
    <n v="16673.686243386241"/>
    <n v="31891.425112856014"/>
    <n v="0.1"/>
    <n v="3189.1425112856014"/>
    <n v="0.2"/>
    <n v="7972.8562782139998"/>
    <n v="43053.423902355615"/>
    <n v="0.05"/>
    <n v="2265.9696790713497"/>
    <n v="453.19393581426965"/>
    <n v="453.19393581426965"/>
    <n v="46225.781453055504"/>
  </r>
  <r>
    <s v="Fase 2"/>
    <x v="23"/>
    <s v="D1. Parcelaciones y Condominios"/>
    <s v="03. Complementario"/>
    <x v="24"/>
    <x v="24"/>
    <s v="Und"/>
    <n v="1"/>
    <x v="46"/>
    <m/>
    <x v="255"/>
    <x v="0"/>
    <n v="0.6"/>
    <n v="17730.496453900709"/>
    <n v="10638.297872340425"/>
    <n v="2532.9280648429581"/>
    <n v="2046.51293228639"/>
    <n v="0"/>
    <n v="0"/>
    <n v="15217.738869469773"/>
    <n v="16673.686243386241"/>
    <n v="31891.425112856014"/>
    <n v="0.1"/>
    <n v="3189.1425112856014"/>
    <n v="0.2"/>
    <n v="7972.8562782139998"/>
    <n v="43053.423902355615"/>
    <n v="0.05"/>
    <n v="2265.9696790713497"/>
    <n v="453.19393581426965"/>
    <n v="453.19393581426965"/>
    <n v="46225.781453055504"/>
  </r>
  <r>
    <s v="Fase 2"/>
    <x v="25"/>
    <s v="D1. Parcelaciones y Condominios"/>
    <s v="02. Edificación"/>
    <x v="26"/>
    <x v="7"/>
    <s v="100m2"/>
    <n v="1"/>
    <x v="57"/>
    <m/>
    <x v="238"/>
    <x v="0"/>
    <n v="5"/>
    <n v="17730.496453900709"/>
    <n v="88652.48226950354"/>
    <n v="21107.733873691319"/>
    <n v="17054.274435719919"/>
    <n v="0"/>
    <n v="0"/>
    <n v="126814.49057891479"/>
    <n v="138947.38536155201"/>
    <n v="265761.87594046677"/>
    <n v="0.05"/>
    <n v="13288.093797023339"/>
    <n v="0.2"/>
    <n v="66440.468985116691"/>
    <n v="345490.43872260681"/>
    <n v="0.05"/>
    <n v="18183.707301189832"/>
    <n v="3636.7414602379663"/>
    <n v="3636.7414602379663"/>
    <n v="370947.62894427252"/>
  </r>
  <r>
    <s v="Fase 2"/>
    <x v="25"/>
    <s v="D1. Parcelaciones y Condominios"/>
    <s v="02. Edificación"/>
    <x v="26"/>
    <x v="7"/>
    <s v="100m2"/>
    <n v="1"/>
    <x v="57"/>
    <m/>
    <x v="239"/>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57"/>
    <m/>
    <x v="240"/>
    <x v="0"/>
    <n v="4"/>
    <n v="17730.496453900709"/>
    <n v="70921.985815602835"/>
    <n v="16886.187098953054"/>
    <n v="13643.419548575934"/>
    <n v="0"/>
    <n v="0"/>
    <n v="101451.59246313182"/>
    <n v="111157.9082892416"/>
    <n v="212609.50075237342"/>
    <n v="0.05"/>
    <n v="10630.475037618671"/>
    <n v="0.2"/>
    <n v="53152.375188093341"/>
    <n v="276392.35097808542"/>
    <n v="0.05"/>
    <n v="14546.965840951889"/>
    <n v="2909.3931681903732"/>
    <n v="2909.3931681903732"/>
    <n v="296758.10315541807"/>
  </r>
  <r>
    <s v="Fase 2"/>
    <x v="25"/>
    <s v="D1. Parcelaciones y Condominios"/>
    <s v="02. Edificación"/>
    <x v="26"/>
    <x v="7"/>
    <s v="100m2"/>
    <n v="1"/>
    <x v="57"/>
    <m/>
    <x v="241"/>
    <x v="0"/>
    <n v="5"/>
    <n v="17730.496453900709"/>
    <n v="88652.48226950354"/>
    <n v="21107.733873691319"/>
    <n v="17054.274435719919"/>
    <n v="0"/>
    <n v="0"/>
    <n v="126814.49057891479"/>
    <n v="138947.38536155201"/>
    <n v="265761.87594046677"/>
    <n v="0.05"/>
    <n v="13288.093797023339"/>
    <n v="0.2"/>
    <n v="66440.468985116691"/>
    <n v="345490.43872260681"/>
    <n v="0.05"/>
    <n v="18183.707301189832"/>
    <n v="3636.7414602379663"/>
    <n v="3636.7414602379663"/>
    <n v="370947.62894427252"/>
  </r>
  <r>
    <s v="Fase 2"/>
    <x v="25"/>
    <s v="D1. Parcelaciones y Condominios"/>
    <s v="02. Edificación"/>
    <x v="26"/>
    <x v="7"/>
    <s v="100m2"/>
    <n v="1"/>
    <x v="57"/>
    <m/>
    <x v="242"/>
    <x v="0"/>
    <n v="9.4"/>
    <n v="17730.496453900709"/>
    <n v="166666.66666666666"/>
    <n v="39682.539682539682"/>
    <n v="32062.035939153444"/>
    <n v="0"/>
    <n v="0"/>
    <n v="238411.24228835979"/>
    <n v="261221.08447971777"/>
    <n v="499632.32676807756"/>
    <n v="0.05"/>
    <n v="24981.616338403881"/>
    <n v="0.2"/>
    <n v="124908.08169201936"/>
    <n v="649522.02479850082"/>
    <n v="0.05"/>
    <n v="34185.36972623691"/>
    <n v="6837.0739452473772"/>
    <n v="6837.0739452473772"/>
    <n v="697381.5424152324"/>
  </r>
  <r>
    <s v="Fase 2"/>
    <x v="25"/>
    <s v="D1. Parcelaciones y Condominios"/>
    <s v="02. Edificación"/>
    <x v="26"/>
    <x v="7"/>
    <s v="100m2"/>
    <n v="1"/>
    <x v="57"/>
    <m/>
    <x v="243"/>
    <x v="0"/>
    <n v="4"/>
    <n v="17730.496453900709"/>
    <n v="70921.985815602835"/>
    <n v="16886.187098953054"/>
    <n v="13643.419548575934"/>
    <n v="0"/>
    <n v="0"/>
    <n v="101451.59246313182"/>
    <n v="111157.9082892416"/>
    <n v="212609.50075237342"/>
    <n v="0.05"/>
    <n v="10630.475037618671"/>
    <n v="0.2"/>
    <n v="53152.375188093341"/>
    <n v="276392.35097808542"/>
    <n v="0.05"/>
    <n v="14546.965840951889"/>
    <n v="2909.3931681903732"/>
    <n v="2909.3931681903732"/>
    <n v="296758.10315541807"/>
  </r>
  <r>
    <s v="Fase 2"/>
    <x v="25"/>
    <s v="D1. Parcelaciones y Condominios"/>
    <s v="02. Edificación"/>
    <x v="26"/>
    <x v="7"/>
    <s v="100m2"/>
    <n v="1"/>
    <x v="57"/>
    <m/>
    <x v="244"/>
    <x v="0"/>
    <n v="2"/>
    <n v="17730.496453900709"/>
    <n v="35460.992907801417"/>
    <n v="8443.0935494765272"/>
    <n v="6821.7097742879669"/>
    <n v="0"/>
    <n v="0"/>
    <n v="50725.79623156591"/>
    <n v="55578.954144620802"/>
    <n v="106304.75037618671"/>
    <n v="0.05"/>
    <n v="5315.2375188093356"/>
    <n v="0.2"/>
    <n v="26576.187594046671"/>
    <n v="138196.17548904271"/>
    <n v="0.05"/>
    <n v="7273.4829204759444"/>
    <n v="1454.6965840951866"/>
    <n v="1454.6965840951866"/>
    <n v="148379.05157770903"/>
  </r>
  <r>
    <s v="Fase 2"/>
    <x v="25"/>
    <s v="D1. Parcelaciones y Condominios"/>
    <s v="02. Edificación"/>
    <x v="26"/>
    <x v="7"/>
    <s v="100m2"/>
    <n v="1"/>
    <x v="58"/>
    <m/>
    <x v="245"/>
    <x v="0"/>
    <n v="5"/>
    <n v="17730.496453900709"/>
    <n v="88652.48226950354"/>
    <n v="21107.733873691319"/>
    <n v="17054.274435719919"/>
    <n v="0"/>
    <n v="0"/>
    <n v="126814.49057891479"/>
    <n v="138947.38536155201"/>
    <n v="265761.87594046677"/>
    <n v="0.05"/>
    <n v="13288.093797023339"/>
    <n v="0.2"/>
    <n v="66440.468985116691"/>
    <n v="345490.43872260681"/>
    <n v="0.05"/>
    <n v="18183.707301189832"/>
    <n v="3636.7414602379663"/>
    <n v="3636.7414602379663"/>
    <n v="370947.62894427252"/>
  </r>
  <r>
    <s v="Fase 2"/>
    <x v="25"/>
    <s v="D1. Parcelaciones y Condominios"/>
    <s v="02. Edificación"/>
    <x v="26"/>
    <x v="7"/>
    <s v="100m2"/>
    <n v="1"/>
    <x v="58"/>
    <m/>
    <x v="246"/>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58"/>
    <m/>
    <x v="247"/>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58"/>
    <m/>
    <x v="182"/>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58"/>
    <m/>
    <x v="128"/>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80"/>
    <m/>
    <x v="248"/>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80"/>
    <m/>
    <x v="249"/>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25"/>
    <s v="D1. Parcelaciones y Condominios"/>
    <s v="02. Edificación"/>
    <x v="26"/>
    <x v="7"/>
    <s v="100m2"/>
    <n v="1"/>
    <x v="80"/>
    <m/>
    <x v="250"/>
    <x v="0"/>
    <n v="2"/>
    <n v="17730.496453900709"/>
    <n v="35460.992907801417"/>
    <n v="8443.0935494765272"/>
    <n v="6821.7097742879669"/>
    <n v="0"/>
    <n v="0"/>
    <n v="50725.79623156591"/>
    <n v="55578.954144620802"/>
    <n v="106304.75037618671"/>
    <n v="0.05"/>
    <n v="5315.2375188093356"/>
    <n v="0.2"/>
    <n v="26576.187594046671"/>
    <n v="138196.17548904271"/>
    <n v="0.05"/>
    <n v="7273.4829204759444"/>
    <n v="1454.6965840951866"/>
    <n v="1454.6965840951866"/>
    <n v="148379.05157770903"/>
  </r>
  <r>
    <s v="Fase 2"/>
    <x v="25"/>
    <s v="D1. Parcelaciones y Condominios"/>
    <s v="02. Edificación"/>
    <x v="26"/>
    <x v="7"/>
    <s v="100m2"/>
    <n v="1"/>
    <x v="80"/>
    <m/>
    <x v="251"/>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25"/>
    <s v="D1. Parcelaciones y Condominios"/>
    <s v="02. Edificación"/>
    <x v="26"/>
    <x v="7"/>
    <s v="100m2"/>
    <n v="1"/>
    <x v="80"/>
    <m/>
    <x v="187"/>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25"/>
    <s v="D1. Parcelaciones y Condominios"/>
    <s v="02. Edificación"/>
    <x v="26"/>
    <x v="7"/>
    <s v="100m2"/>
    <n v="1"/>
    <x v="59"/>
    <m/>
    <x v="257"/>
    <x v="0"/>
    <n v="2.5"/>
    <n v="17730.496453900709"/>
    <n v="44326.24113475177"/>
    <n v="10553.866936845659"/>
    <n v="8527.1372178599595"/>
    <n v="0"/>
    <n v="0"/>
    <n v="63407.245289457394"/>
    <n v="69473.692680776003"/>
    <n v="132880.93797023338"/>
    <n v="0.05"/>
    <n v="6644.0468985116695"/>
    <n v="0.2"/>
    <n v="33220.234492558346"/>
    <n v="172745.2193613034"/>
    <n v="0.05"/>
    <n v="9091.853650594916"/>
    <n v="1818.3707301189831"/>
    <n v="1818.3707301189831"/>
    <n v="185473.81447213626"/>
  </r>
  <r>
    <s v="Fase 2"/>
    <x v="25"/>
    <s v="D1. Parcelaciones y Condominios"/>
    <s v="02. Edificación"/>
    <x v="26"/>
    <x v="7"/>
    <s v="100m2"/>
    <n v="1"/>
    <x v="60"/>
    <m/>
    <x v="258"/>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25"/>
    <s v="D1. Parcelaciones y Condominios"/>
    <s v="02. Edificación"/>
    <x v="26"/>
    <x v="7"/>
    <s v="100m2"/>
    <n v="1"/>
    <x v="60"/>
    <m/>
    <x v="259"/>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25"/>
    <s v="D1. Parcelaciones y Condominios"/>
    <s v="02. Edificación"/>
    <x v="26"/>
    <x v="7"/>
    <s v="100m2"/>
    <n v="1"/>
    <x v="60"/>
    <m/>
    <x v="132"/>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60"/>
    <m/>
    <x v="133"/>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60"/>
    <m/>
    <x v="255"/>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25"/>
    <s v="D1. Parcelaciones y Condominios"/>
    <s v="02. Edificación"/>
    <x v="26"/>
    <x v="7"/>
    <s v="Und"/>
    <n v="1"/>
    <x v="61"/>
    <m/>
    <x v="260"/>
    <x v="0"/>
    <n v="0.2"/>
    <n v="17730.496453900709"/>
    <n v="3546.0992907801419"/>
    <n v="844.30935494765276"/>
    <n v="682.17097742879673"/>
    <n v="0"/>
    <n v="0"/>
    <n v="5072.579623156591"/>
    <n v="5557.8954144620802"/>
    <n v="10630.475037618671"/>
    <n v="0.05"/>
    <n v="531.52375188093356"/>
    <n v="0.2"/>
    <n v="2657.6187594046678"/>
    <n v="13819.617548904273"/>
    <n v="0.05"/>
    <n v="727.34829204759444"/>
    <n v="145.46965840951867"/>
    <n v="145.46965840951867"/>
    <n v="14837.905157770903"/>
  </r>
  <r>
    <s v="Fase 1"/>
    <x v="26"/>
    <s v="D2. Edificación en Altura"/>
    <s v="02. Edificación"/>
    <x v="27"/>
    <x v="7"/>
    <s v="200m2"/>
    <n v="1"/>
    <x v="81"/>
    <m/>
    <x v="261"/>
    <x v="0"/>
    <n v="0.25"/>
    <n v="17730.496453900709"/>
    <n v="4432.6241134751772"/>
    <n v="1055.3866936845659"/>
    <n v="852.71372178599586"/>
    <m/>
    <m/>
    <n v="6340.7245289457387"/>
    <n v="6947.3692680776003"/>
    <n v="13288.093797023339"/>
    <n v="0.2"/>
    <n v="2657.6187594046678"/>
    <n v="0.3"/>
    <n v="5694.8973415814326"/>
    <n v="21640.609898009439"/>
    <n v="0.05"/>
    <n v="1138.9794683162872"/>
    <n v="227.79589366325726"/>
    <n v="227.79589366325726"/>
    <n v="23235.18115365224"/>
  </r>
  <r>
    <s v="Fase 1"/>
    <x v="26"/>
    <s v="D2. Edificación en Altura"/>
    <s v="02. Edificación"/>
    <x v="27"/>
    <x v="7"/>
    <s v="200m2"/>
    <n v="1"/>
    <x v="81"/>
    <m/>
    <x v="117"/>
    <x v="0"/>
    <n v="0.05"/>
    <n v="17730.496453900709"/>
    <n v="886.52482269503548"/>
    <n v="211.07733873691319"/>
    <n v="170.54274435719918"/>
    <m/>
    <m/>
    <n v="1268.1449057891477"/>
    <n v="1389.4738536155201"/>
    <n v="2657.6187594046678"/>
    <n v="0.2"/>
    <n v="531.52375188093356"/>
    <n v="0.3"/>
    <n v="1138.9794683162863"/>
    <n v="4328.1219796018877"/>
    <n v="0.05"/>
    <n v="227.79589366325763"/>
    <n v="45.559178732651453"/>
    <n v="45.559178732651453"/>
    <n v="4647.0362307304476"/>
  </r>
  <r>
    <s v="Fase 1"/>
    <x v="26"/>
    <s v="D2. Edificación en Altura"/>
    <s v="02. Edificación"/>
    <x v="27"/>
    <x v="7"/>
    <s v="200m2"/>
    <n v="1"/>
    <x v="81"/>
    <m/>
    <x v="262"/>
    <x v="0"/>
    <n v="18"/>
    <n v="17730.496453900709"/>
    <n v="319148.93617021275"/>
    <n v="75987.841945288747"/>
    <n v="61395.387968591705"/>
    <m/>
    <m/>
    <n v="456532.16608409322"/>
    <n v="500210.58730158722"/>
    <n v="956742.75338568049"/>
    <n v="0.2"/>
    <n v="191348.55067713611"/>
    <n v="0.3"/>
    <n v="410032.6085938632"/>
    <n v="1558123.9126566797"/>
    <n v="0.05"/>
    <n v="82006.521718772594"/>
    <n v="16401.304343754524"/>
    <n v="16401.304343754524"/>
    <n v="1672933.0430629612"/>
  </r>
  <r>
    <s v="Fase 1"/>
    <x v="26"/>
    <s v="D2. Edificación en Altura"/>
    <s v="02. Edificación"/>
    <x v="27"/>
    <x v="7"/>
    <s v="200m2"/>
    <n v="1"/>
    <x v="81"/>
    <m/>
    <x v="263"/>
    <x v="0"/>
    <n v="28.2"/>
    <n v="17730.496453900709"/>
    <n v="500000"/>
    <n v="119047.61904761902"/>
    <n v="96186.107817460332"/>
    <m/>
    <m/>
    <n v="715233.72686507937"/>
    <n v="783663.25343915331"/>
    <n v="1498896.9803042328"/>
    <n v="0.2"/>
    <n v="299779.39606084657"/>
    <n v="0.3"/>
    <n v="642384.42013038555"/>
    <n v="2441060.7964954646"/>
    <n v="0.05"/>
    <n v="128476.88402607711"/>
    <n v="25695.376805215419"/>
    <n v="25695.376805215419"/>
    <n v="2620928.434131973"/>
  </r>
  <r>
    <s v="Fase 1"/>
    <x v="26"/>
    <s v="D2. Edificación en Altura"/>
    <s v="02. Edificación"/>
    <x v="27"/>
    <x v="7"/>
    <s v="200m2"/>
    <n v="1"/>
    <x v="81"/>
    <m/>
    <x v="264"/>
    <x v="0"/>
    <n v="9.4"/>
    <n v="17730.496453900709"/>
    <n v="166666.66666666666"/>
    <n v="39682.539682539682"/>
    <n v="32062.035939153444"/>
    <m/>
    <m/>
    <n v="238411.24228835979"/>
    <n v="261221.08447971777"/>
    <n v="499632.32676807756"/>
    <n v="0.2"/>
    <n v="99926.465353615524"/>
    <n v="0.3"/>
    <n v="214128.14004346181"/>
    <n v="813686.93216515484"/>
    <n v="0.05"/>
    <n v="42825.628008692409"/>
    <n v="8565.1256017384731"/>
    <n v="8565.1256017384731"/>
    <n v="873642.81137732416"/>
  </r>
  <r>
    <s v="Fase 1"/>
    <x v="26"/>
    <s v="D2. Edificación en Altura"/>
    <s v="02. Edificación"/>
    <x v="27"/>
    <x v="7"/>
    <s v="200m2"/>
    <n v="1"/>
    <x v="81"/>
    <m/>
    <x v="120"/>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1"/>
    <m/>
    <x v="121"/>
    <x v="0"/>
    <n v="9.4"/>
    <n v="17730.496453900709"/>
    <n v="166666.66666666666"/>
    <n v="39682.539682539682"/>
    <n v="32062.035939153444"/>
    <m/>
    <m/>
    <n v="238411.24228835979"/>
    <n v="261221.08447971777"/>
    <n v="499632.32676807756"/>
    <n v="0.2"/>
    <n v="99926.465353615524"/>
    <n v="0.3"/>
    <n v="214128.14004346181"/>
    <n v="813686.93216515484"/>
    <n v="0.05"/>
    <n v="42825.628008692409"/>
    <n v="8565.1256017384731"/>
    <n v="8565.1256017384731"/>
    <n v="873642.81137732416"/>
  </r>
  <r>
    <s v="Fase 1"/>
    <x v="26"/>
    <s v="D2. Edificación en Altura"/>
    <s v="02. Edificación"/>
    <x v="27"/>
    <x v="7"/>
    <s v="200m2"/>
    <n v="1"/>
    <x v="81"/>
    <m/>
    <x v="265"/>
    <x v="0"/>
    <n v="9.4"/>
    <n v="17730.496453900709"/>
    <n v="166666.66666666666"/>
    <n v="39682.539682539682"/>
    <n v="32062.035939153444"/>
    <m/>
    <m/>
    <n v="238411.24228835979"/>
    <n v="261221.08447971777"/>
    <n v="499632.32676807756"/>
    <n v="0.2"/>
    <n v="99926.465353615524"/>
    <n v="0.3"/>
    <n v="214128.14004346181"/>
    <n v="813686.93216515484"/>
    <n v="0.05"/>
    <n v="42825.628008692409"/>
    <n v="8565.1256017384731"/>
    <n v="8565.1256017384731"/>
    <n v="873642.81137732416"/>
  </r>
  <r>
    <s v="Fase 1"/>
    <x v="26"/>
    <s v="D2. Edificación en Altura"/>
    <s v="02. Edificación"/>
    <x v="27"/>
    <x v="7"/>
    <s v="200m2"/>
    <n v="1"/>
    <x v="81"/>
    <m/>
    <x v="123"/>
    <x v="0"/>
    <n v="9.4"/>
    <n v="17730.496453900709"/>
    <n v="166666.66666666666"/>
    <n v="39682.539682539682"/>
    <n v="32062.035939153444"/>
    <m/>
    <m/>
    <n v="238411.24228835979"/>
    <n v="261221.08447971777"/>
    <n v="499632.32676807756"/>
    <n v="0.2"/>
    <n v="99926.465353615524"/>
    <n v="0.3"/>
    <n v="214128.14004346181"/>
    <n v="813686.93216515484"/>
    <n v="0.05"/>
    <n v="42825.628008692409"/>
    <n v="8565.1256017384731"/>
    <n v="8565.1256017384731"/>
    <n v="873642.81137732416"/>
  </r>
  <r>
    <s v="Fase 1"/>
    <x v="26"/>
    <s v="D2. Edificación en Altura"/>
    <s v="02. Edificación"/>
    <x v="27"/>
    <x v="7"/>
    <s v="200m2"/>
    <n v="1"/>
    <x v="81"/>
    <m/>
    <x v="178"/>
    <x v="0"/>
    <n v="18.8"/>
    <n v="17730.496453900709"/>
    <n v="333333.33333333331"/>
    <n v="79365.079365079364"/>
    <n v="64124.071878306888"/>
    <m/>
    <m/>
    <n v="476822.48457671958"/>
    <n v="522442.16895943554"/>
    <n v="999264.65353615512"/>
    <n v="0.2"/>
    <n v="199852.93070723105"/>
    <n v="0.3"/>
    <n v="428256.28008692362"/>
    <n v="1627373.8643303097"/>
    <n v="0.05"/>
    <n v="85651.256017384818"/>
    <n v="17130.251203476946"/>
    <n v="17130.251203476946"/>
    <n v="1747285.6227546483"/>
  </r>
  <r>
    <s v="Fase 1"/>
    <x v="26"/>
    <s v="D2. Edificación en Altura"/>
    <s v="02. Edificación"/>
    <x v="27"/>
    <x v="7"/>
    <s v="200m2"/>
    <n v="1"/>
    <x v="82"/>
    <m/>
    <x v="179"/>
    <x v="0"/>
    <n v="9.4"/>
    <n v="17730.496453900709"/>
    <n v="166666.66666666666"/>
    <n v="39682.539682539682"/>
    <n v="32062.035939153444"/>
    <m/>
    <m/>
    <n v="238411.24228835979"/>
    <n v="261221.08447971777"/>
    <n v="499632.32676807756"/>
    <n v="0.2"/>
    <n v="99926.465353615524"/>
    <n v="0.3"/>
    <n v="214128.14004346181"/>
    <n v="813686.93216515484"/>
    <n v="0.05"/>
    <n v="42825.628008692409"/>
    <n v="8565.1256017384731"/>
    <n v="8565.1256017384731"/>
    <n v="873642.81137732416"/>
  </r>
  <r>
    <s v="Fase 1"/>
    <x v="26"/>
    <s v="D2. Edificación en Altura"/>
    <s v="02. Edificación"/>
    <x v="27"/>
    <x v="7"/>
    <s v="200m2"/>
    <n v="1"/>
    <x v="82"/>
    <m/>
    <x v="266"/>
    <x v="0"/>
    <n v="5"/>
    <n v="17730.496453900709"/>
    <n v="88652.48226950354"/>
    <n v="21107.733873691319"/>
    <n v="17054.274435719919"/>
    <m/>
    <m/>
    <n v="126814.49057891479"/>
    <n v="138947.38536155201"/>
    <n v="265761.87594046677"/>
    <n v="0.2"/>
    <n v="53152.375188093356"/>
    <n v="0.3"/>
    <n v="113897.94683162862"/>
    <n v="432812.19796018873"/>
    <n v="0.05"/>
    <n v="22779.589366325759"/>
    <n v="4555.9178732651453"/>
    <n v="4555.9178732651453"/>
    <n v="464703.62307304482"/>
  </r>
  <r>
    <s v="Fase 1"/>
    <x v="26"/>
    <s v="D2. Edificación en Altura"/>
    <s v="02. Edificación"/>
    <x v="27"/>
    <x v="7"/>
    <s v="200m2"/>
    <n v="1"/>
    <x v="82"/>
    <m/>
    <x v="267"/>
    <x v="0"/>
    <n v="5"/>
    <n v="17730.496453900709"/>
    <n v="88652.48226950354"/>
    <n v="21107.733873691319"/>
    <n v="17054.274435719919"/>
    <m/>
    <m/>
    <n v="126814.49057891479"/>
    <n v="138947.38536155201"/>
    <n v="265761.87594046677"/>
    <n v="0.2"/>
    <n v="53152.375188093356"/>
    <n v="0.3"/>
    <n v="113897.94683162862"/>
    <n v="432812.19796018873"/>
    <n v="0.05"/>
    <n v="22779.589366325759"/>
    <n v="4555.9178732651453"/>
    <n v="4555.9178732651453"/>
    <n v="464703.62307304482"/>
  </r>
  <r>
    <s v="Fase 1"/>
    <x v="26"/>
    <s v="D2. Edificación en Altura"/>
    <s v="02. Edificación"/>
    <x v="27"/>
    <x v="7"/>
    <s v="200m2"/>
    <n v="1"/>
    <x v="82"/>
    <m/>
    <x v="268"/>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2"/>
    <m/>
    <x v="269"/>
    <x v="0"/>
    <n v="5"/>
    <n v="17730.496453900709"/>
    <n v="88652.48226950354"/>
    <n v="21107.733873691319"/>
    <n v="17054.274435719919"/>
    <m/>
    <m/>
    <n v="126814.49057891479"/>
    <n v="138947.38536155201"/>
    <n v="265761.87594046677"/>
    <n v="0.2"/>
    <n v="53152.375188093356"/>
    <n v="0.3"/>
    <n v="113897.94683162862"/>
    <n v="432812.19796018873"/>
    <n v="0.05"/>
    <n v="22779.589366325759"/>
    <n v="4555.9178732651453"/>
    <n v="4555.9178732651453"/>
    <n v="464703.62307304482"/>
  </r>
  <r>
    <s v="Fase 1"/>
    <x v="26"/>
    <s v="D2. Edificación en Altura"/>
    <s v="02. Edificación"/>
    <x v="27"/>
    <x v="7"/>
    <s v="200m2"/>
    <n v="1"/>
    <x v="82"/>
    <m/>
    <x v="183"/>
    <x v="0"/>
    <n v="5"/>
    <n v="17730.496453900709"/>
    <n v="88652.48226950354"/>
    <n v="21107.733873691319"/>
    <n v="17054.274435719919"/>
    <m/>
    <m/>
    <n v="126814.49057891479"/>
    <n v="138947.38536155201"/>
    <n v="265761.87594046677"/>
    <n v="0.2"/>
    <n v="53152.375188093356"/>
    <n v="0.3"/>
    <n v="113897.94683162862"/>
    <n v="432812.19796018873"/>
    <n v="0.05"/>
    <n v="22779.589366325759"/>
    <n v="4555.9178732651453"/>
    <n v="4555.9178732651453"/>
    <n v="464703.62307304482"/>
  </r>
  <r>
    <s v="Fase 1"/>
    <x v="26"/>
    <s v="D2. Edificación en Altura"/>
    <s v="02. Edificación"/>
    <x v="27"/>
    <x v="7"/>
    <s v="200m2"/>
    <n v="1"/>
    <x v="82"/>
    <m/>
    <x v="270"/>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2"/>
    <m/>
    <x v="185"/>
    <x v="0"/>
    <n v="3"/>
    <n v="17730.496453900709"/>
    <n v="53191.48936170213"/>
    <n v="12664.64032421479"/>
    <n v="10232.56466143195"/>
    <m/>
    <m/>
    <n v="76088.694347348879"/>
    <n v="83368.431216931203"/>
    <n v="159457.12556428008"/>
    <n v="0.2"/>
    <n v="31891.425112856017"/>
    <n v="0.3"/>
    <n v="68338.768098977191"/>
    <n v="259687.3187761133"/>
    <n v="0.05"/>
    <n v="13667.753619795461"/>
    <n v="2733.5507239590875"/>
    <n v="2733.5507239590875"/>
    <n v="278822.17384382698"/>
  </r>
  <r>
    <s v="Fase 1"/>
    <x v="26"/>
    <s v="D2. Edificación en Altura"/>
    <s v="02. Edificación"/>
    <x v="27"/>
    <x v="7"/>
    <s v="200m2"/>
    <n v="1"/>
    <x v="82"/>
    <m/>
    <x v="186"/>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2"/>
    <m/>
    <x v="187"/>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2"/>
    <m/>
    <x v="188"/>
    <x v="0"/>
    <n v="47"/>
    <n v="17730.496453900709"/>
    <n v="833333.33333333326"/>
    <n v="198412.6984126984"/>
    <n v="160310.17969576723"/>
    <m/>
    <m/>
    <n v="1192056.2114417991"/>
    <n v="1306105.4223985889"/>
    <n v="2498161.6338403877"/>
    <n v="0.2"/>
    <n v="499632.32676807756"/>
    <n v="0.3"/>
    <n v="1070640.7002173094"/>
    <n v="4068434.6608257745"/>
    <n v="0.05"/>
    <n v="214128.14004346216"/>
    <n v="42825.628008692365"/>
    <n v="42825.628008692365"/>
    <n v="4368214.0568866218"/>
  </r>
  <r>
    <s v="Fase 1"/>
    <x v="26"/>
    <s v="D2. Edificación en Altura"/>
    <s v="02. Edificación"/>
    <x v="27"/>
    <x v="7"/>
    <s v="200m2"/>
    <n v="1"/>
    <x v="83"/>
    <m/>
    <x v="189"/>
    <x v="0"/>
    <n v="47"/>
    <n v="17730.496453900709"/>
    <n v="833333.33333333326"/>
    <n v="198412.6984126984"/>
    <n v="160310.17969576723"/>
    <m/>
    <m/>
    <n v="1192056.2114417991"/>
    <n v="1306105.4223985889"/>
    <n v="2498161.6338403877"/>
    <n v="0.2"/>
    <n v="499632.32676807756"/>
    <n v="0.3"/>
    <n v="1070640.7002173094"/>
    <n v="4068434.6608257745"/>
    <n v="0.05"/>
    <n v="214128.14004346216"/>
    <n v="42825.628008692365"/>
    <n v="42825.628008692365"/>
    <n v="4368214.0568866218"/>
  </r>
  <r>
    <s v="Fase 1"/>
    <x v="26"/>
    <s v="D2. Edificación en Altura"/>
    <s v="02. Edificación"/>
    <x v="27"/>
    <x v="7"/>
    <s v="200m2"/>
    <n v="1"/>
    <x v="84"/>
    <m/>
    <x v="129"/>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4"/>
    <m/>
    <x v="190"/>
    <x v="0"/>
    <n v="0.5"/>
    <n v="17730.496453900709"/>
    <n v="8865.2482269503544"/>
    <n v="2110.7733873691318"/>
    <n v="1705.4274435719917"/>
    <m/>
    <m/>
    <n v="12681.449057891477"/>
    <n v="13894.738536155201"/>
    <n v="26576.187594046678"/>
    <n v="0.2"/>
    <n v="5315.2375188093356"/>
    <n v="0.3"/>
    <n v="11389.794683162865"/>
    <n v="43281.219796018879"/>
    <n v="0.05"/>
    <n v="2277.9589366325745"/>
    <n v="455.59178732651452"/>
    <n v="455.59178732651452"/>
    <n v="46470.36230730448"/>
  </r>
  <r>
    <s v="Fase 1"/>
    <x v="26"/>
    <s v="D2. Edificación en Altura"/>
    <s v="02. Edificación"/>
    <x v="27"/>
    <x v="7"/>
    <s v="200m2"/>
    <n v="1"/>
    <x v="84"/>
    <m/>
    <x v="191"/>
    <x v="0"/>
    <n v="0.5"/>
    <n v="17730.496453900709"/>
    <n v="8865.2482269503544"/>
    <n v="2110.7733873691318"/>
    <n v="1705.4274435719917"/>
    <m/>
    <m/>
    <n v="12681.449057891477"/>
    <n v="13894.738536155201"/>
    <n v="26576.187594046678"/>
    <n v="0.2"/>
    <n v="5315.2375188093356"/>
    <n v="0.3"/>
    <n v="11389.794683162865"/>
    <n v="43281.219796018879"/>
    <n v="0.05"/>
    <n v="2277.9589366325745"/>
    <n v="455.59178732651452"/>
    <n v="455.59178732651452"/>
    <n v="46470.36230730448"/>
  </r>
  <r>
    <s v="Fase 1"/>
    <x v="26"/>
    <s v="D2. Edificación en Altura"/>
    <s v="02. Edificación"/>
    <x v="27"/>
    <x v="7"/>
    <s v="200m2"/>
    <n v="1"/>
    <x v="84"/>
    <m/>
    <x v="192"/>
    <x v="0"/>
    <n v="5"/>
    <n v="17730.496453900709"/>
    <n v="88652.48226950354"/>
    <n v="21107.733873691319"/>
    <n v="17054.274435719919"/>
    <m/>
    <m/>
    <n v="126814.49057891479"/>
    <n v="138947.38536155201"/>
    <n v="265761.87594046677"/>
    <n v="0.2"/>
    <n v="53152.375188093356"/>
    <n v="0.3"/>
    <n v="113897.94683162862"/>
    <n v="432812.19796018873"/>
    <n v="0.05"/>
    <n v="22779.589366325759"/>
    <n v="4555.9178732651453"/>
    <n v="4555.9178732651453"/>
    <n v="464703.62307304482"/>
  </r>
  <r>
    <s v="Fase 1"/>
    <x v="26"/>
    <s v="D2. Edificación en Altura"/>
    <s v="02. Edificación"/>
    <x v="27"/>
    <x v="7"/>
    <s v="200m2"/>
    <n v="1"/>
    <x v="84"/>
    <m/>
    <x v="132"/>
    <x v="0"/>
    <n v="2"/>
    <n v="17730.496453900709"/>
    <n v="35460.992907801417"/>
    <n v="8443.0935494765272"/>
    <n v="6821.7097742879669"/>
    <m/>
    <m/>
    <n v="50725.79623156591"/>
    <n v="55578.954144620802"/>
    <n v="106304.75037618671"/>
    <n v="0.2"/>
    <n v="21260.950075237342"/>
    <n v="0.3"/>
    <n v="45559.17873265146"/>
    <n v="173124.87918407551"/>
    <n v="0.05"/>
    <n v="9111.8357465302979"/>
    <n v="1822.3671493060581"/>
    <n v="1822.3671493060581"/>
    <n v="185881.44922921792"/>
  </r>
  <r>
    <s v="Fase 1"/>
    <x v="26"/>
    <s v="D2. Edificación en Altura"/>
    <s v="02. Edificación"/>
    <x v="27"/>
    <x v="7"/>
    <s v="200m2"/>
    <n v="1"/>
    <x v="84"/>
    <m/>
    <x v="271"/>
    <x v="0"/>
    <n v="8"/>
    <n v="17730.496453900709"/>
    <n v="141843.97163120567"/>
    <n v="33772.374197906109"/>
    <n v="27286.839097151867"/>
    <m/>
    <m/>
    <n v="202903.18492626364"/>
    <n v="222315.81657848321"/>
    <n v="425219.00150474685"/>
    <n v="0.2"/>
    <n v="85043.80030094937"/>
    <n v="0.3"/>
    <n v="182236.71493060584"/>
    <n v="692499.51673630206"/>
    <n v="0.05"/>
    <n v="36447.342986121192"/>
    <n v="7289.4685972242323"/>
    <n v="7289.4685972242323"/>
    <n v="743525.79691687168"/>
  </r>
  <r>
    <s v="Fase 1"/>
    <x v="26"/>
    <s v="D2. Edificación en Altura"/>
    <s v="02. Edificación"/>
    <x v="27"/>
    <x v="7"/>
    <s v="200m2"/>
    <n v="1"/>
    <x v="85"/>
    <m/>
    <x v="260"/>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6"/>
    <m/>
    <x v="272"/>
    <x v="0"/>
    <n v="2"/>
    <n v="17730.496453900709"/>
    <n v="35460.992907801417"/>
    <n v="8443.0935494765272"/>
    <n v="6821.7097742879669"/>
    <m/>
    <m/>
    <n v="50725.79623156591"/>
    <n v="55578.954144620802"/>
    <n v="106304.75037618671"/>
    <n v="0.2"/>
    <n v="21260.950075237342"/>
    <n v="0.3"/>
    <n v="45559.17873265146"/>
    <n v="173124.87918407551"/>
    <n v="0.05"/>
    <n v="9111.8357465302979"/>
    <n v="1822.3671493060581"/>
    <n v="1822.3671493060581"/>
    <n v="185881.44922921792"/>
  </r>
  <r>
    <s v="Fase 1"/>
    <x v="27"/>
    <s v="D2. Edificación en Altura"/>
    <s v="02. Edificación"/>
    <x v="28"/>
    <x v="22"/>
    <s v="200m2"/>
    <n v="1"/>
    <x v="87"/>
    <m/>
    <x v="32"/>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7"/>
    <m/>
    <x v="202"/>
    <x v="0"/>
    <n v="5"/>
    <n v="17730.496453900709"/>
    <n v="88652.48226950354"/>
    <n v="21107.733873691319"/>
    <n v="17054.274435719919"/>
    <m/>
    <m/>
    <n v="126814.49057891479"/>
    <n v="138947.38536155201"/>
    <n v="265761.87594046677"/>
    <n v="0.15"/>
    <n v="39864.281391070013"/>
    <n v="0.3"/>
    <n v="113897.94683162862"/>
    <n v="419524.10416316538"/>
    <n v="0.05"/>
    <n v="22080.216008587682"/>
    <n v="4416.0432017175308"/>
    <n v="4416.0432017175308"/>
    <n v="450436.40657518816"/>
  </r>
  <r>
    <s v="Fase 1"/>
    <x v="27"/>
    <s v="D2. Edificación en Altura"/>
    <s v="02. Edificación"/>
    <x v="28"/>
    <x v="22"/>
    <s v="200m2"/>
    <n v="1"/>
    <x v="87"/>
    <m/>
    <x v="219"/>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87"/>
    <m/>
    <x v="203"/>
    <x v="0"/>
    <n v="5"/>
    <n v="17730.496453900709"/>
    <n v="88652.48226950354"/>
    <n v="21107.733873691319"/>
    <n v="17054.274435719919"/>
    <m/>
    <m/>
    <n v="126814.49057891479"/>
    <n v="138947.38536155201"/>
    <n v="265761.87594046677"/>
    <n v="0.15"/>
    <n v="39864.281391070013"/>
    <n v="0.3"/>
    <n v="113897.94683162862"/>
    <n v="419524.10416316538"/>
    <n v="0.05"/>
    <n v="22080.216008587682"/>
    <n v="4416.0432017175308"/>
    <n v="4416.0432017175308"/>
    <n v="450436.40657518816"/>
  </r>
  <r>
    <s v="Fase 1"/>
    <x v="27"/>
    <s v="D2. Edificación en Altura"/>
    <s v="02. Edificación"/>
    <x v="28"/>
    <x v="22"/>
    <s v="200m2"/>
    <n v="1"/>
    <x v="87"/>
    <m/>
    <x v="111"/>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7"/>
    <m/>
    <x v="38"/>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87"/>
    <m/>
    <x v="31"/>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88"/>
    <m/>
    <x v="32"/>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88"/>
    <m/>
    <x v="204"/>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8"/>
    <m/>
    <x v="111"/>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8"/>
    <m/>
    <x v="178"/>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8"/>
    <m/>
    <x v="205"/>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8"/>
    <m/>
    <x v="38"/>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88"/>
    <m/>
    <x v="31"/>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89"/>
    <m/>
    <x v="32"/>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89"/>
    <m/>
    <x v="111"/>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9"/>
    <m/>
    <x v="220"/>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89"/>
    <m/>
    <x v="211"/>
    <x v="0"/>
    <n v="4"/>
    <n v="17730.496453900709"/>
    <n v="70921.985815602835"/>
    <n v="16886.187098953054"/>
    <n v="13643.419548575934"/>
    <m/>
    <m/>
    <n v="101451.59246313182"/>
    <n v="111157.9082892416"/>
    <n v="212609.50075237342"/>
    <n v="0.15"/>
    <n v="31891.425112856014"/>
    <n v="0.3"/>
    <n v="91118.357465302921"/>
    <n v="335619.28333053237"/>
    <n v="0.05"/>
    <n v="17664.172806870134"/>
    <n v="3532.8345613740253"/>
    <n v="3532.8345613740253"/>
    <n v="360349.12526015058"/>
  </r>
  <r>
    <s v="Fase 1"/>
    <x v="27"/>
    <s v="D2. Edificación en Altura"/>
    <s v="02. Edificación"/>
    <x v="28"/>
    <x v="22"/>
    <s v="200m2"/>
    <n v="1"/>
    <x v="89"/>
    <m/>
    <x v="221"/>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89"/>
    <m/>
    <x v="38"/>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89"/>
    <m/>
    <x v="31"/>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0"/>
    <m/>
    <x v="206"/>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0"/>
    <m/>
    <x v="207"/>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0"/>
    <m/>
    <x v="32"/>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90"/>
    <m/>
    <x v="208"/>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90"/>
    <m/>
    <x v="111"/>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90"/>
    <m/>
    <x v="205"/>
    <x v="0"/>
    <n v="5"/>
    <n v="17730.496453900709"/>
    <n v="88652.48226950354"/>
    <n v="21107.733873691319"/>
    <n v="17054.274435719919"/>
    <m/>
    <m/>
    <n v="126814.49057891479"/>
    <n v="138947.38536155201"/>
    <n v="265761.87594046677"/>
    <n v="0.15"/>
    <n v="39864.281391070013"/>
    <n v="0.3"/>
    <n v="113897.94683162862"/>
    <n v="419524.10416316538"/>
    <n v="0.05"/>
    <n v="22080.216008587682"/>
    <n v="4416.0432017175308"/>
    <n v="4416.0432017175308"/>
    <n v="450436.40657518816"/>
  </r>
  <r>
    <s v="Fase 1"/>
    <x v="27"/>
    <s v="D2. Edificación en Altura"/>
    <s v="02. Edificación"/>
    <x v="28"/>
    <x v="22"/>
    <s v="200m2"/>
    <n v="1"/>
    <x v="90"/>
    <m/>
    <x v="38"/>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0"/>
    <m/>
    <x v="31"/>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1"/>
    <m/>
    <x v="209"/>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1"/>
    <m/>
    <x v="210"/>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1"/>
    <m/>
    <x v="211"/>
    <x v="0"/>
    <n v="4"/>
    <n v="17730.496453900709"/>
    <n v="70921.985815602835"/>
    <n v="16886.187098953054"/>
    <n v="13643.419548575934"/>
    <m/>
    <m/>
    <n v="101451.59246313182"/>
    <n v="111157.9082892416"/>
    <n v="212609.50075237342"/>
    <n v="0.15"/>
    <n v="31891.425112856014"/>
    <n v="0.3"/>
    <n v="91118.357465302921"/>
    <n v="335619.28333053237"/>
    <n v="0.05"/>
    <n v="17664.172806870134"/>
    <n v="3532.8345613740253"/>
    <n v="3532.8345613740253"/>
    <n v="360349.12526015058"/>
  </r>
  <r>
    <s v="Fase 1"/>
    <x v="27"/>
    <s v="D2. Edificación en Altura"/>
    <s v="02. Edificación"/>
    <x v="28"/>
    <x v="22"/>
    <s v="200m2"/>
    <n v="1"/>
    <x v="91"/>
    <m/>
    <x v="111"/>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91"/>
    <m/>
    <x v="205"/>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1"/>
    <m/>
    <x v="38"/>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91"/>
    <m/>
    <x v="31"/>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2"/>
    <m/>
    <x v="212"/>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2"/>
    <m/>
    <x v="213"/>
    <x v="0"/>
    <n v="0.5"/>
    <n v="17730.496453900709"/>
    <n v="8865.2482269503544"/>
    <n v="2110.7733873691318"/>
    <n v="1705.4274435719917"/>
    <m/>
    <m/>
    <n v="12681.449057891477"/>
    <n v="13894.738536155201"/>
    <n v="26576.187594046678"/>
    <n v="0.15"/>
    <n v="3986.4281391070017"/>
    <n v="0.3"/>
    <n v="11389.794683162865"/>
    <n v="41952.410416316547"/>
    <n v="0.05"/>
    <n v="2208.0216008587668"/>
    <n v="441.60432017175316"/>
    <n v="441.60432017175316"/>
    <n v="45043.640657518823"/>
  </r>
  <r>
    <s v="Fase 1"/>
    <x v="27"/>
    <s v="D2. Edificación en Altura"/>
    <s v="02. Edificación"/>
    <x v="28"/>
    <x v="22"/>
    <s v="200m2"/>
    <n v="1"/>
    <x v="92"/>
    <m/>
    <x v="209"/>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2"/>
    <m/>
    <x v="38"/>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3"/>
    <m/>
    <x v="214"/>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3"/>
    <m/>
    <x v="215"/>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3"/>
    <m/>
    <x v="216"/>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93"/>
    <m/>
    <x v="217"/>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3"/>
    <m/>
    <x v="218"/>
    <x v="0"/>
    <n v="0.5"/>
    <n v="17730.496453900709"/>
    <n v="8865.2482269503544"/>
    <n v="2110.7733873691318"/>
    <n v="1705.4274435719917"/>
    <m/>
    <m/>
    <n v="12681.449057891477"/>
    <n v="13894.738536155201"/>
    <n v="26576.187594046678"/>
    <n v="0.15"/>
    <n v="3986.4281391070017"/>
    <n v="0.3"/>
    <n v="11389.794683162865"/>
    <n v="41952.410416316547"/>
    <n v="0.05"/>
    <n v="2208.0216008587668"/>
    <n v="441.60432017175316"/>
    <n v="441.60432017175316"/>
    <n v="45043.640657518823"/>
  </r>
  <r>
    <s v="Fase 1"/>
    <x v="27"/>
    <s v="D2. Edificación en Altura"/>
    <s v="02. Edificación"/>
    <x v="28"/>
    <x v="22"/>
    <s v="200m2"/>
    <n v="1"/>
    <x v="93"/>
    <m/>
    <x v="38"/>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Und"/>
    <n v="1"/>
    <x v="76"/>
    <m/>
    <x v="27"/>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2"/>
    <x v="28"/>
    <s v="D2. Edificación en Altura"/>
    <s v="02. Edificación"/>
    <x v="29"/>
    <x v="7"/>
    <s v="100m2"/>
    <n v="1"/>
    <x v="81"/>
    <m/>
    <x v="273"/>
    <x v="0"/>
    <n v="0.25"/>
    <n v="17730.496453900709"/>
    <n v="4432.6241134751772"/>
    <n v="1055.3866936845659"/>
    <n v="852.71372178599586"/>
    <m/>
    <m/>
    <n v="6340.7245289457387"/>
    <n v="6947.3692680776003"/>
    <n v="13288.093797023339"/>
    <n v="0.1"/>
    <n v="1328.8093797023339"/>
    <n v="0.1"/>
    <n v="1476.4548663359255"/>
    <n v="16093.358043061598"/>
    <n v="0.05"/>
    <n v="847.01884437166518"/>
    <n v="169.40376887433263"/>
    <n v="169.40376887433263"/>
    <n v="17279.184425181931"/>
  </r>
  <r>
    <s v="Fase 2"/>
    <x v="28"/>
    <s v="D2. Edificación en Altura"/>
    <s v="02. Edificación"/>
    <x v="29"/>
    <x v="7"/>
    <s v="100m2"/>
    <n v="1"/>
    <x v="81"/>
    <m/>
    <x v="274"/>
    <x v="0"/>
    <n v="0.25"/>
    <n v="17730.496453900709"/>
    <n v="4432.6241134751772"/>
    <n v="1055.3866936845659"/>
    <n v="852.71372178599586"/>
    <m/>
    <m/>
    <n v="6340.7245289457387"/>
    <n v="6947.3692680776003"/>
    <n v="13288.093797023339"/>
    <n v="0.1"/>
    <n v="1328.8093797023339"/>
    <n v="0.1"/>
    <n v="1476.4548663359255"/>
    <n v="16093.358043061598"/>
    <n v="0.05"/>
    <n v="847.01884437166518"/>
    <n v="169.40376887433263"/>
    <n v="169.40376887433263"/>
    <n v="17279.184425181931"/>
  </r>
  <r>
    <s v="Fase 2"/>
    <x v="28"/>
    <s v="D2. Edificación en Altura"/>
    <s v="02. Edificación"/>
    <x v="29"/>
    <x v="7"/>
    <s v="100m2"/>
    <n v="1"/>
    <x v="81"/>
    <m/>
    <x v="237"/>
    <x v="0"/>
    <n v="4"/>
    <n v="17730.496453900709"/>
    <n v="70921.985815602835"/>
    <n v="16886.187098953054"/>
    <n v="13643.419548575934"/>
    <m/>
    <m/>
    <n v="101451.59246313182"/>
    <n v="111157.9082892416"/>
    <n v="212609.50075237342"/>
    <n v="0.1"/>
    <n v="21260.950075237342"/>
    <n v="0.1"/>
    <n v="23623.277861374809"/>
    <n v="257493.72868898557"/>
    <n v="0.05"/>
    <n v="13552.301509946643"/>
    <n v="2710.460301989322"/>
    <n v="2710.460301989322"/>
    <n v="276466.9508029109"/>
  </r>
  <r>
    <s v="Fase 2"/>
    <x v="28"/>
    <s v="D2. Edificación en Altura"/>
    <s v="02. Edificación"/>
    <x v="29"/>
    <x v="7"/>
    <s v="100m2"/>
    <n v="1"/>
    <x v="81"/>
    <m/>
    <x v="238"/>
    <x v="0"/>
    <n v="5"/>
    <n v="17730.496453900709"/>
    <n v="88652.48226950354"/>
    <n v="21107.733873691319"/>
    <n v="17054.274435719919"/>
    <m/>
    <m/>
    <n v="126814.49057891479"/>
    <n v="138947.38536155201"/>
    <n v="265761.87594046677"/>
    <n v="0.1"/>
    <n v="26576.187594046678"/>
    <n v="0.1"/>
    <n v="29529.097326718504"/>
    <n v="321867.16086123197"/>
    <n v="0.05"/>
    <n v="16940.376887433289"/>
    <n v="3388.0753774866525"/>
    <n v="3388.0753774866525"/>
    <n v="345583.68850363855"/>
  </r>
  <r>
    <s v="Fase 2"/>
    <x v="28"/>
    <s v="D2. Edificación en Altura"/>
    <s v="02. Edificación"/>
    <x v="29"/>
    <x v="7"/>
    <s v="100m2"/>
    <n v="1"/>
    <x v="81"/>
    <m/>
    <x v="239"/>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81"/>
    <m/>
    <x v="241"/>
    <x v="0"/>
    <n v="2"/>
    <n v="17730.496453900709"/>
    <n v="35460.992907801417"/>
    <n v="8443.0935494765272"/>
    <n v="6821.7097742879669"/>
    <m/>
    <m/>
    <n v="50725.79623156591"/>
    <n v="55578.954144620802"/>
    <n v="106304.75037618671"/>
    <n v="0.1"/>
    <n v="10630.475037618671"/>
    <n v="0.1"/>
    <n v="11811.638930687404"/>
    <n v="128746.86434449279"/>
    <n v="0.05"/>
    <n v="6776.1507549733215"/>
    <n v="1355.230150994661"/>
    <n v="1355.230150994661"/>
    <n v="138233.47540145545"/>
  </r>
  <r>
    <s v="Fase 2"/>
    <x v="28"/>
    <s v="D2. Edificación en Altura"/>
    <s v="02. Edificación"/>
    <x v="29"/>
    <x v="7"/>
    <s v="100m2"/>
    <n v="1"/>
    <x v="81"/>
    <m/>
    <x v="242"/>
    <x v="0"/>
    <n v="3"/>
    <n v="17730.496453900709"/>
    <n v="53191.48936170213"/>
    <n v="12664.64032421479"/>
    <n v="10232.56466143195"/>
    <m/>
    <m/>
    <n v="76088.694347348879"/>
    <n v="83368.431216931203"/>
    <n v="159457.12556428008"/>
    <n v="0.1"/>
    <n v="15945.712556428009"/>
    <n v="0.1"/>
    <n v="17717.458396031114"/>
    <n v="193120.29651673921"/>
    <n v="0.05"/>
    <n v="10164.226132459968"/>
    <n v="2032.8452264919918"/>
    <n v="2032.8452264919918"/>
    <n v="207350.21310218319"/>
  </r>
  <r>
    <s v="Fase 2"/>
    <x v="28"/>
    <s v="D2. Edificación en Altura"/>
    <s v="02. Edificación"/>
    <x v="29"/>
    <x v="7"/>
    <s v="100m2"/>
    <n v="1"/>
    <x v="81"/>
    <m/>
    <x v="243"/>
    <x v="0"/>
    <n v="2"/>
    <n v="17730.496453900709"/>
    <n v="35460.992907801417"/>
    <n v="8443.0935494765272"/>
    <n v="6821.7097742879669"/>
    <m/>
    <m/>
    <n v="50725.79623156591"/>
    <n v="55578.954144620802"/>
    <n v="106304.75037618671"/>
    <n v="0.1"/>
    <n v="10630.475037618671"/>
    <n v="0.1"/>
    <n v="11811.638930687404"/>
    <n v="128746.86434449279"/>
    <n v="0.05"/>
    <n v="6776.1507549733215"/>
    <n v="1355.230150994661"/>
    <n v="1355.230150994661"/>
    <n v="138233.47540145545"/>
  </r>
  <r>
    <s v="Fase 2"/>
    <x v="28"/>
    <s v="D2. Edificación en Altura"/>
    <s v="02. Edificación"/>
    <x v="29"/>
    <x v="7"/>
    <s v="100m2"/>
    <n v="1"/>
    <x v="81"/>
    <m/>
    <x v="244"/>
    <x v="0"/>
    <n v="5"/>
    <n v="17730.496453900709"/>
    <n v="88652.48226950354"/>
    <n v="21107.733873691319"/>
    <n v="17054.274435719919"/>
    <m/>
    <m/>
    <n v="126814.49057891479"/>
    <n v="138947.38536155201"/>
    <n v="265761.87594046677"/>
    <n v="0.1"/>
    <n v="26576.187594046678"/>
    <n v="0.1"/>
    <n v="29529.097326718504"/>
    <n v="321867.16086123197"/>
    <n v="0.05"/>
    <n v="16940.376887433289"/>
    <n v="3388.0753774866525"/>
    <n v="3388.0753774866525"/>
    <n v="345583.68850363855"/>
  </r>
  <r>
    <s v="Fase 2"/>
    <x v="28"/>
    <s v="D2. Edificación en Altura"/>
    <s v="02. Edificación"/>
    <x v="29"/>
    <x v="7"/>
    <s v="100m2"/>
    <n v="1"/>
    <x v="82"/>
    <m/>
    <x v="245"/>
    <x v="0"/>
    <n v="5"/>
    <n v="17730.496453900709"/>
    <n v="88652.48226950354"/>
    <n v="21107.733873691319"/>
    <n v="17054.274435719919"/>
    <m/>
    <m/>
    <n v="126814.49057891479"/>
    <n v="138947.38536155201"/>
    <n v="265761.87594046677"/>
    <n v="0.1"/>
    <n v="26576.187594046678"/>
    <n v="0.1"/>
    <n v="29529.097326718504"/>
    <n v="321867.16086123197"/>
    <n v="0.05"/>
    <n v="16940.376887433289"/>
    <n v="3388.0753774866525"/>
    <n v="3388.0753774866525"/>
    <n v="345583.68850363855"/>
  </r>
  <r>
    <s v="Fase 2"/>
    <x v="28"/>
    <s v="D2. Edificación en Altura"/>
    <s v="02. Edificación"/>
    <x v="29"/>
    <x v="7"/>
    <s v="100m2"/>
    <n v="1"/>
    <x v="82"/>
    <m/>
    <x v="246"/>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82"/>
    <m/>
    <x v="247"/>
    <x v="0"/>
    <n v="2.5"/>
    <n v="17730.496453900709"/>
    <n v="44326.24113475177"/>
    <n v="10553.866936845659"/>
    <n v="8527.1372178599595"/>
    <m/>
    <m/>
    <n v="63407.245289457394"/>
    <n v="69473.692680776003"/>
    <n v="132880.93797023338"/>
    <n v="0.1"/>
    <n v="13288.093797023339"/>
    <n v="0.1"/>
    <n v="14764.548663359252"/>
    <n v="160933.58043061598"/>
    <n v="0.05"/>
    <n v="8470.1884437166445"/>
    <n v="1694.0376887433263"/>
    <n v="1694.0376887433263"/>
    <n v="172791.84425181928"/>
  </r>
  <r>
    <s v="Fase 2"/>
    <x v="28"/>
    <s v="D2. Edificación en Altura"/>
    <s v="02. Edificación"/>
    <x v="29"/>
    <x v="7"/>
    <s v="100m2"/>
    <n v="1"/>
    <x v="82"/>
    <m/>
    <x v="182"/>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82"/>
    <m/>
    <x v="128"/>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94"/>
    <m/>
    <x v="248"/>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94"/>
    <m/>
    <x v="249"/>
    <x v="0"/>
    <n v="0.5"/>
    <n v="17730.496453900709"/>
    <n v="8865.2482269503544"/>
    <n v="2110.7733873691318"/>
    <n v="1705.4274435719917"/>
    <m/>
    <m/>
    <n v="12681.449057891477"/>
    <n v="13894.738536155201"/>
    <n v="26576.187594046678"/>
    <n v="0.1"/>
    <n v="2657.6187594046678"/>
    <n v="0.1"/>
    <n v="2952.9097326718511"/>
    <n v="32186.716086123197"/>
    <n v="0.05"/>
    <n v="1694.0376887433304"/>
    <n v="338.80753774866525"/>
    <n v="338.80753774866525"/>
    <n v="34558.368850363862"/>
  </r>
  <r>
    <s v="Fase 2"/>
    <x v="28"/>
    <s v="D2. Edificación en Altura"/>
    <s v="02. Edificación"/>
    <x v="29"/>
    <x v="7"/>
    <s v="100m2"/>
    <n v="1"/>
    <x v="94"/>
    <m/>
    <x v="250"/>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94"/>
    <m/>
    <x v="251"/>
    <x v="0"/>
    <n v="0.5"/>
    <n v="17730.496453900709"/>
    <n v="8865.2482269503544"/>
    <n v="2110.7733873691318"/>
    <n v="1705.4274435719917"/>
    <m/>
    <m/>
    <n v="12681.449057891477"/>
    <n v="13894.738536155201"/>
    <n v="26576.187594046678"/>
    <n v="0.1"/>
    <n v="2657.6187594046678"/>
    <n v="0.1"/>
    <n v="2952.9097326718511"/>
    <n v="32186.716086123197"/>
    <n v="0.05"/>
    <n v="1694.0376887433304"/>
    <n v="338.80753774866525"/>
    <n v="338.80753774866525"/>
    <n v="34558.368850363862"/>
  </r>
  <r>
    <s v="Fase 2"/>
    <x v="28"/>
    <s v="D2. Edificación en Altura"/>
    <s v="02. Edificación"/>
    <x v="29"/>
    <x v="7"/>
    <s v="100m2"/>
    <n v="1"/>
    <x v="94"/>
    <m/>
    <x v="187"/>
    <x v="0"/>
    <n v="0.5"/>
    <n v="17730.496453900709"/>
    <n v="8865.2482269503544"/>
    <n v="2110.7733873691318"/>
    <n v="1705.4274435719917"/>
    <m/>
    <m/>
    <n v="12681.449057891477"/>
    <n v="13894.738536155201"/>
    <n v="26576.187594046678"/>
    <n v="0.1"/>
    <n v="2657.6187594046678"/>
    <n v="0.1"/>
    <n v="2952.9097326718511"/>
    <n v="32186.716086123197"/>
    <n v="0.05"/>
    <n v="1694.0376887433304"/>
    <n v="338.80753774866525"/>
    <n v="338.80753774866525"/>
    <n v="34558.368850363862"/>
  </r>
  <r>
    <s v="Fase 2"/>
    <x v="28"/>
    <s v="D2. Edificación en Altura"/>
    <s v="02. Edificación"/>
    <x v="29"/>
    <x v="7"/>
    <s v="100m2"/>
    <n v="1"/>
    <x v="95"/>
    <m/>
    <x v="257"/>
    <x v="0"/>
    <n v="2.5"/>
    <n v="17730.496453900709"/>
    <n v="44326.24113475177"/>
    <n v="10553.866936845659"/>
    <n v="8527.1372178599595"/>
    <m/>
    <m/>
    <n v="63407.245289457394"/>
    <n v="69473.692680776003"/>
    <n v="132880.93797023338"/>
    <n v="0.1"/>
    <n v="13288.093797023339"/>
    <n v="0.1"/>
    <n v="14764.548663359252"/>
    <n v="160933.58043061598"/>
    <n v="0.05"/>
    <n v="8470.1884437166445"/>
    <n v="1694.0376887433263"/>
    <n v="1694.0376887433263"/>
    <n v="172791.84425181928"/>
  </r>
  <r>
    <s v="Fase 2"/>
    <x v="28"/>
    <s v="D2. Edificación en Altura"/>
    <s v="02. Edificación"/>
    <x v="29"/>
    <x v="7"/>
    <s v="100m2"/>
    <n v="1"/>
    <x v="96"/>
    <m/>
    <x v="258"/>
    <x v="0"/>
    <n v="0.5"/>
    <n v="17730.496453900709"/>
    <n v="8865.2482269503544"/>
    <n v="2110.7733873691318"/>
    <n v="1705.4274435719917"/>
    <m/>
    <m/>
    <n v="12681.449057891477"/>
    <n v="13894.738536155201"/>
    <n v="26576.187594046678"/>
    <n v="0.1"/>
    <n v="2657.6187594046678"/>
    <n v="0.1"/>
    <n v="2952.9097326718511"/>
    <n v="32186.716086123197"/>
    <n v="0.05"/>
    <n v="1694.0376887433304"/>
    <n v="338.80753774866525"/>
    <n v="338.80753774866525"/>
    <n v="34558.368850363862"/>
  </r>
  <r>
    <s v="Fase 2"/>
    <x v="28"/>
    <s v="D2. Edificación en Altura"/>
    <s v="02. Edificación"/>
    <x v="29"/>
    <x v="7"/>
    <s v="100m2"/>
    <n v="1"/>
    <x v="96"/>
    <m/>
    <x v="259"/>
    <x v="0"/>
    <n v="0.5"/>
    <n v="17730.496453900709"/>
    <n v="8865.2482269503544"/>
    <n v="2110.7733873691318"/>
    <n v="1705.4274435719917"/>
    <m/>
    <m/>
    <n v="12681.449057891477"/>
    <n v="13894.738536155201"/>
    <n v="26576.187594046678"/>
    <n v="0.1"/>
    <n v="2657.6187594046678"/>
    <n v="0.1"/>
    <n v="2952.9097326718511"/>
    <n v="32186.716086123197"/>
    <n v="0.05"/>
    <n v="1694.0376887433304"/>
    <n v="338.80753774866525"/>
    <n v="338.80753774866525"/>
    <n v="34558.368850363862"/>
  </r>
  <r>
    <s v="Fase 2"/>
    <x v="28"/>
    <s v="D2. Edificación en Altura"/>
    <s v="02. Edificación"/>
    <x v="29"/>
    <x v="7"/>
    <s v="100m2"/>
    <n v="1"/>
    <x v="96"/>
    <m/>
    <x v="132"/>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96"/>
    <m/>
    <x v="133"/>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96"/>
    <m/>
    <x v="255"/>
    <x v="0"/>
    <n v="0.5"/>
    <n v="17730.496453900709"/>
    <n v="8865.2482269503544"/>
    <n v="2110.7733873691318"/>
    <n v="1705.4274435719917"/>
    <m/>
    <m/>
    <n v="12681.449057891477"/>
    <n v="13894.738536155201"/>
    <n v="26576.187594046678"/>
    <n v="0.1"/>
    <n v="2657.6187594046678"/>
    <n v="0.1"/>
    <n v="2952.9097326718511"/>
    <n v="32186.716086123197"/>
    <n v="0.05"/>
    <n v="1694.0376887433304"/>
    <n v="338.80753774866525"/>
    <n v="338.80753774866525"/>
    <n v="34558.368850363862"/>
  </r>
  <r>
    <s v="Fase 2"/>
    <x v="28"/>
    <s v="D2. Edificación en Altura"/>
    <s v="02. Edificación"/>
    <x v="29"/>
    <x v="7"/>
    <s v="Und"/>
    <n v="1"/>
    <x v="97"/>
    <m/>
    <x v="260"/>
    <x v="0"/>
    <n v="0.2"/>
    <n v="17730.496453900709"/>
    <n v="3546.0992907801419"/>
    <n v="844.30935494765276"/>
    <n v="682.17097742879673"/>
    <m/>
    <m/>
    <n v="5072.579623156591"/>
    <n v="5557.8954144620802"/>
    <n v="10630.475037618671"/>
    <n v="0.1"/>
    <n v="1063.0475037618671"/>
    <n v="0.1"/>
    <n v="1181.1638930687404"/>
    <n v="12874.686434449279"/>
    <n v="0.05"/>
    <n v="677.61507549733142"/>
    <n v="135.52301509946611"/>
    <n v="135.52301509946611"/>
    <n v="13823.347540145543"/>
  </r>
  <r>
    <s v="Fase 2"/>
    <x v="29"/>
    <s v="D2. Edificación en Altura"/>
    <s v="02. Edificación"/>
    <x v="30"/>
    <x v="25"/>
    <s v="100m2"/>
    <n v="1"/>
    <x v="98"/>
    <m/>
    <x v="29"/>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98"/>
    <m/>
    <x v="30"/>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98"/>
    <m/>
    <x v="31"/>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Und"/>
    <n v="1"/>
    <x v="99"/>
    <m/>
    <x v="32"/>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Und"/>
    <n v="1"/>
    <x v="99"/>
    <m/>
    <x v="33"/>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2"/>
    <x v="29"/>
    <s v="D2. Edificación en Altura"/>
    <s v="02. Edificación"/>
    <x v="30"/>
    <x v="25"/>
    <s v="100m2"/>
    <n v="1"/>
    <x v="99"/>
    <m/>
    <x v="29"/>
    <x v="0"/>
    <n v="2"/>
    <n v="17730.496453900709"/>
    <n v="35460.992907801417"/>
    <n v="8443.0935494765272"/>
    <n v="6821.7097742879669"/>
    <m/>
    <m/>
    <n v="50725.79623156591"/>
    <n v="55578.954144620802"/>
    <n v="106304.75037618671"/>
    <n v="0.1"/>
    <n v="10630.475037618671"/>
    <n v="0.15"/>
    <n v="18759.661831091769"/>
    <n v="135694.88724489714"/>
    <n v="0.05"/>
    <n v="7141.8361707840522"/>
    <n v="1428.3672341568119"/>
    <n v="1428.3672341568119"/>
    <n v="145693.45788399482"/>
  </r>
  <r>
    <s v="Fase 2"/>
    <x v="29"/>
    <s v="D2. Edificación en Altura"/>
    <s v="02. Edificación"/>
    <x v="30"/>
    <x v="25"/>
    <s v="Und"/>
    <n v="1"/>
    <x v="99"/>
    <m/>
    <x v="44"/>
    <x v="0"/>
    <n v="2"/>
    <n v="17730.496453900709"/>
    <n v="35460.992907801417"/>
    <n v="8443.0935494765272"/>
    <n v="6821.7097742879669"/>
    <m/>
    <m/>
    <n v="50725.79623156591"/>
    <n v="55578.954144620802"/>
    <n v="106304.75037618671"/>
    <n v="0.1"/>
    <n v="10630.475037618671"/>
    <n v="0.15"/>
    <n v="18759.661831091769"/>
    <n v="135694.88724489714"/>
    <n v="0.05"/>
    <n v="7141.8361707840522"/>
    <n v="1428.3672341568119"/>
    <n v="1428.3672341568119"/>
    <n v="145693.45788399482"/>
  </r>
  <r>
    <s v="Fase 2"/>
    <x v="29"/>
    <s v="D2. Edificación en Altura"/>
    <s v="02. Edificación"/>
    <x v="30"/>
    <x v="25"/>
    <s v="Und"/>
    <n v="1"/>
    <x v="99"/>
    <m/>
    <x v="30"/>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100m2"/>
    <n v="1"/>
    <x v="99"/>
    <m/>
    <x v="34"/>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99"/>
    <m/>
    <x v="31"/>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Und"/>
    <n v="1"/>
    <x v="99"/>
    <m/>
    <x v="32"/>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Und"/>
    <n v="1"/>
    <x v="100"/>
    <m/>
    <x v="29"/>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2"/>
    <x v="29"/>
    <s v="D2. Edificación en Altura"/>
    <s v="02. Edificación"/>
    <x v="30"/>
    <x v="25"/>
    <s v="Und"/>
    <n v="1"/>
    <x v="100"/>
    <m/>
    <x v="35"/>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0"/>
    <m/>
    <x v="36"/>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0"/>
    <m/>
    <x v="37"/>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0"/>
    <m/>
    <x v="38"/>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Und"/>
    <n v="1"/>
    <x v="100"/>
    <m/>
    <x v="34"/>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0"/>
    <m/>
    <x v="31"/>
    <x v="0"/>
    <n v="0.21"/>
    <n v="17730.496453900709"/>
    <n v="3723.4042553191489"/>
    <n v="886.52482269503537"/>
    <n v="716.27952630023651"/>
    <m/>
    <m/>
    <n v="5326.2086043144209"/>
    <n v="5835.7901851851839"/>
    <n v="11161.998789499605"/>
    <n v="0.1"/>
    <n v="1116.1998789499605"/>
    <n v="0.15"/>
    <n v="1969.7644922646359"/>
    <n v="14247.963160714202"/>
    <n v="0.05"/>
    <n v="749.89279793232708"/>
    <n v="149.97855958646528"/>
    <n v="149.97855958646528"/>
    <n v="15297.813077819459"/>
  </r>
  <r>
    <s v="Fase 2"/>
    <x v="29"/>
    <s v="D2. Edificación en Altura"/>
    <s v="02. Edificación"/>
    <x v="30"/>
    <x v="25"/>
    <s v="Und"/>
    <n v="1"/>
    <x v="101"/>
    <m/>
    <x v="39"/>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1"/>
    <m/>
    <x v="40"/>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1"/>
    <m/>
    <x v="29"/>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2"/>
    <x v="29"/>
    <s v="D2. Edificación en Altura"/>
    <s v="02. Edificación"/>
    <x v="30"/>
    <x v="25"/>
    <s v="Und"/>
    <n v="1"/>
    <x v="101"/>
    <m/>
    <x v="30"/>
    <x v="0"/>
    <n v="0.3"/>
    <n v="17730.496453900709"/>
    <n v="5319.1489361702124"/>
    <n v="1266.464032421479"/>
    <n v="1023.256466143195"/>
    <m/>
    <m/>
    <n v="7608.8694347348865"/>
    <n v="8336.8431216931203"/>
    <n v="15945.712556428007"/>
    <n v="0.1"/>
    <n v="1594.5712556428007"/>
    <n v="0.15"/>
    <n v="2813.9492746637661"/>
    <n v="20354.233086734574"/>
    <n v="0.05"/>
    <n v="1071.2754256176086"/>
    <n v="214.25508512352184"/>
    <n v="214.25508512352184"/>
    <n v="21854.018682599224"/>
  </r>
  <r>
    <s v="Fase 2"/>
    <x v="29"/>
    <s v="D2. Edificación en Altura"/>
    <s v="02. Edificación"/>
    <x v="30"/>
    <x v="25"/>
    <s v="Und"/>
    <n v="1"/>
    <x v="101"/>
    <m/>
    <x v="34"/>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1"/>
    <m/>
    <x v="31"/>
    <x v="0"/>
    <n v="0.3"/>
    <n v="17730.496453900709"/>
    <n v="5319.1489361702124"/>
    <n v="1266.464032421479"/>
    <n v="1023.256466143195"/>
    <m/>
    <m/>
    <n v="7608.8694347348865"/>
    <n v="8336.8431216931203"/>
    <n v="15945.712556428007"/>
    <n v="0.1"/>
    <n v="1594.5712556428007"/>
    <n v="0.15"/>
    <n v="2813.9492746637661"/>
    <n v="20354.233086734574"/>
    <n v="0.05"/>
    <n v="1071.2754256176086"/>
    <n v="214.25508512352184"/>
    <n v="214.25508512352184"/>
    <n v="21854.018682599224"/>
  </r>
  <r>
    <s v="Fase 2"/>
    <x v="29"/>
    <s v="D2. Edificación en Altura"/>
    <s v="02. Edificación"/>
    <x v="30"/>
    <x v="25"/>
    <s v="Und"/>
    <n v="1"/>
    <x v="102"/>
    <m/>
    <x v="41"/>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2"/>
    <m/>
    <x v="34"/>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2"/>
    <m/>
    <x v="29"/>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2"/>
    <x v="29"/>
    <s v="D2. Edificación en Altura"/>
    <s v="02. Edificación"/>
    <x v="30"/>
    <x v="25"/>
    <s v="Und"/>
    <n v="1"/>
    <x v="102"/>
    <m/>
    <x v="30"/>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Und"/>
    <n v="1"/>
    <x v="102"/>
    <m/>
    <x v="31"/>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2"/>
    <x v="29"/>
    <s v="D2. Edificación en Altura"/>
    <s v="02. Edificación"/>
    <x v="30"/>
    <x v="25"/>
    <s v="Und"/>
    <n v="1"/>
    <x v="92"/>
    <m/>
    <x v="42"/>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93"/>
    <m/>
    <x v="43"/>
    <x v="0"/>
    <n v="0.6"/>
    <n v="17730.496453900709"/>
    <n v="10638.297872340425"/>
    <n v="2532.9280648429581"/>
    <n v="2046.51293228639"/>
    <m/>
    <m/>
    <n v="15217.738869469773"/>
    <n v="16673.686243386241"/>
    <n v="31891.425112856014"/>
    <n v="0.1"/>
    <n v="3189.1425112856014"/>
    <n v="0.15"/>
    <n v="5627.8985493275322"/>
    <n v="40708.466173469147"/>
    <n v="0.05"/>
    <n v="2142.5508512352171"/>
    <n v="428.51017024704367"/>
    <n v="428.51017024704367"/>
    <n v="43708.037365198448"/>
  </r>
  <r>
    <s v="Fase 2"/>
    <x v="29"/>
    <s v="D2. Edificación en Altura"/>
    <s v="02. Edificación"/>
    <x v="30"/>
    <x v="25"/>
    <s v="Und"/>
    <n v="1"/>
    <x v="93"/>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2"/>
    <x v="30"/>
    <s v="D2. Edificación en Altura"/>
    <s v="02. Edificación"/>
    <x v="31"/>
    <x v="26"/>
    <s v="200m2"/>
    <n v="1"/>
    <x v="23"/>
    <m/>
    <x v="53"/>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2"/>
    <x v="30"/>
    <s v="D2. Edificación en Altura"/>
    <s v="02. Edificación"/>
    <x v="31"/>
    <x v="26"/>
    <s v="200m2"/>
    <n v="1"/>
    <x v="23"/>
    <m/>
    <x v="54"/>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2"/>
    <x v="30"/>
    <s v="D2. Edificación en Altura"/>
    <s v="02. Edificación"/>
    <x v="31"/>
    <x v="26"/>
    <s v="200m2"/>
    <n v="1"/>
    <x v="21"/>
    <m/>
    <x v="55"/>
    <x v="0"/>
    <n v="0.3"/>
    <n v="17730.496453900709"/>
    <n v="5319.1489361702124"/>
    <n v="1266.464032421479"/>
    <n v="1023.256466143195"/>
    <m/>
    <m/>
    <n v="7608.8694347348865"/>
    <n v="8336.8431216931203"/>
    <n v="15945.712556428007"/>
    <n v="0.1"/>
    <n v="1594.5712556428007"/>
    <n v="0.2"/>
    <n v="3986.4281391069999"/>
    <n v="21526.711951177807"/>
    <n v="0.05"/>
    <n v="1132.9848395356748"/>
    <n v="226.59696790713483"/>
    <n v="226.59696790713483"/>
    <n v="23112.890726527752"/>
  </r>
  <r>
    <s v="Fase 2"/>
    <x v="30"/>
    <s v="D2. Edificación en Altura"/>
    <s v="02. Edificación"/>
    <x v="31"/>
    <x v="26"/>
    <s v="200m2"/>
    <n v="1"/>
    <x v="21"/>
    <m/>
    <x v="47"/>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2"/>
    <x v="30"/>
    <s v="D2. Edificación en Altura"/>
    <s v="02. Edificación"/>
    <x v="31"/>
    <x v="26"/>
    <s v="200m2"/>
    <n v="1"/>
    <x v="21"/>
    <m/>
    <x v="56"/>
    <x v="0"/>
    <n v="3"/>
    <n v="17730.496453900709"/>
    <n v="53191.48936170213"/>
    <n v="12664.64032421479"/>
    <n v="10232.56466143195"/>
    <m/>
    <m/>
    <n v="76088.694347348879"/>
    <n v="83368.431216931203"/>
    <n v="159457.12556428008"/>
    <n v="0.1"/>
    <n v="15945.712556428009"/>
    <n v="0.2"/>
    <n v="39864.281391070021"/>
    <n v="215267.11951177812"/>
    <n v="0.05"/>
    <n v="11329.848395356763"/>
    <n v="2265.9696790713488"/>
    <n v="2265.9696790713488"/>
    <n v="231128.90726527755"/>
  </r>
  <r>
    <s v="Fase 2"/>
    <x v="30"/>
    <s v="D2. Edificación en Altura"/>
    <s v="02. Edificación"/>
    <x v="31"/>
    <x v="26"/>
    <s v="200m2"/>
    <n v="1"/>
    <x v="21"/>
    <m/>
    <x v="49"/>
    <x v="0"/>
    <n v="9.4"/>
    <n v="17730.496453900709"/>
    <n v="166666.66666666666"/>
    <n v="39682.539682539682"/>
    <n v="32062.035939153444"/>
    <m/>
    <m/>
    <n v="238411.24228835979"/>
    <n v="261221.08447971777"/>
    <n v="499632.32676807756"/>
    <n v="0.1"/>
    <n v="49963.232676807762"/>
    <n v="0.2"/>
    <n v="124908.08169201936"/>
    <n v="674503.64113690471"/>
    <n v="0.05"/>
    <n v="35500.191638784483"/>
    <n v="7100.0383277568917"/>
    <n v="7100.0383277568917"/>
    <n v="724203.90943120304"/>
  </r>
  <r>
    <s v="Fase 2"/>
    <x v="30"/>
    <s v="D2. Edificación en Altura"/>
    <s v="02. Edificación"/>
    <x v="31"/>
    <x v="26"/>
    <s v="200m2"/>
    <n v="1"/>
    <x v="21"/>
    <m/>
    <x v="50"/>
    <x v="0"/>
    <n v="9.4"/>
    <n v="17730.496453900709"/>
    <n v="166666.66666666666"/>
    <n v="39682.539682539682"/>
    <n v="32062.035939153444"/>
    <m/>
    <m/>
    <n v="238411.24228835979"/>
    <n v="261221.08447971777"/>
    <n v="499632.32676807756"/>
    <n v="0.1"/>
    <n v="49963.232676807762"/>
    <n v="0.2"/>
    <n v="124908.08169201936"/>
    <n v="674503.64113690471"/>
    <n v="0.05"/>
    <n v="35500.191638784483"/>
    <n v="7100.0383277568917"/>
    <n v="7100.0383277568917"/>
    <n v="724203.90943120304"/>
  </r>
  <r>
    <s v="Fase 2"/>
    <x v="30"/>
    <s v="D2. Edificación en Altura"/>
    <s v="02. Edificación"/>
    <x v="31"/>
    <x v="26"/>
    <s v="200m2"/>
    <n v="1"/>
    <x v="21"/>
    <m/>
    <x v="51"/>
    <x v="0"/>
    <n v="0.3"/>
    <n v="17730.496453900709"/>
    <n v="5319.1489361702124"/>
    <n v="1266.464032421479"/>
    <n v="1023.256466143195"/>
    <m/>
    <m/>
    <n v="7608.8694347348865"/>
    <n v="8336.8431216931203"/>
    <n v="15945.712556428007"/>
    <n v="0.1"/>
    <n v="1594.5712556428007"/>
    <n v="0.2"/>
    <n v="3986.4281391069999"/>
    <n v="21526.711951177807"/>
    <n v="0.05"/>
    <n v="1132.9848395356748"/>
    <n v="226.59696790713483"/>
    <n v="226.59696790713483"/>
    <n v="23112.890726527752"/>
  </r>
  <r>
    <s v="Fase 3"/>
    <x v="31"/>
    <s v="D2. Edificación en Altura"/>
    <s v="02. Edificación"/>
    <x v="9"/>
    <x v="7"/>
    <s v="1 m² - 200 m²"/>
    <n v="1"/>
    <x v="27"/>
    <m/>
    <x v="66"/>
    <x v="0"/>
    <n v="0.2"/>
    <n v="17730.496453900709"/>
    <n v="3546.0992907801419"/>
    <n v="844.30935494765276"/>
    <n v="682.17097742879673"/>
    <m/>
    <m/>
    <n v="5072.579623156591"/>
    <n v="5557.8954144620802"/>
    <n v="10630.475037618671"/>
    <n v="0.15"/>
    <n v="1594.5712556428007"/>
    <n v="0.16"/>
    <n v="2024.8523881178426"/>
    <n v="14249.898681379314"/>
    <n v="0.05"/>
    <n v="749.99466744101665"/>
    <n v="149.99893348820331"/>
    <n v="149.99893348820331"/>
    <n v="15299.891215796737"/>
  </r>
  <r>
    <s v="Fase 3"/>
    <x v="31"/>
    <s v="D2. Edificación en Altura"/>
    <s v="02. Edificación"/>
    <x v="9"/>
    <x v="7"/>
    <s v="1 m² - 200 m²"/>
    <n v="1"/>
    <x v="27"/>
    <m/>
    <x v="58"/>
    <x v="0"/>
    <n v="0.2"/>
    <n v="17730.496453900709"/>
    <n v="3546.0992907801419"/>
    <n v="844.30935494765276"/>
    <n v="682.17097742879673"/>
    <m/>
    <m/>
    <n v="5072.579623156591"/>
    <n v="5557.8954144620802"/>
    <n v="10630.475037618671"/>
    <n v="0.15"/>
    <n v="1594.5712556428007"/>
    <n v="0.16"/>
    <n v="2024.8523881178426"/>
    <n v="14249.898681379314"/>
    <n v="0.05"/>
    <n v="749.99466744101665"/>
    <n v="149.99893348820331"/>
    <n v="149.99893348820331"/>
    <n v="15299.891215796737"/>
  </r>
  <r>
    <s v="Fase 3"/>
    <x v="31"/>
    <s v="D2. Edificación en Altura"/>
    <s v="02. Edificación"/>
    <x v="9"/>
    <x v="7"/>
    <s v="1 m² - 200 m²"/>
    <n v="1"/>
    <x v="28"/>
    <m/>
    <x v="67"/>
    <x v="0"/>
    <n v="4"/>
    <n v="17730.496453900709"/>
    <n v="70921.985815602835"/>
    <n v="16886.187098953054"/>
    <n v="13643.419548575934"/>
    <m/>
    <m/>
    <n v="101451.59246313182"/>
    <n v="111157.9082892416"/>
    <n v="212609.50075237342"/>
    <n v="0.15"/>
    <n v="31891.425112856014"/>
    <n v="0.16"/>
    <n v="40497.047762356844"/>
    <n v="284997.97362758627"/>
    <n v="0.05"/>
    <n v="14999.893348820333"/>
    <n v="2999.9786697640661"/>
    <n v="2999.9786697640661"/>
    <n v="305997.82431593473"/>
  </r>
  <r>
    <s v="Fase 3"/>
    <x v="31"/>
    <s v="D2. Edificación en Altura"/>
    <s v="02. Edificación"/>
    <x v="9"/>
    <x v="7"/>
    <s v="1 m² - 200 m²"/>
    <n v="1"/>
    <x v="28"/>
    <m/>
    <x v="68"/>
    <x v="0"/>
    <n v="9"/>
    <n v="17730.496453900709"/>
    <n v="159574.46808510637"/>
    <n v="37993.920972644373"/>
    <n v="30697.693984295853"/>
    <m/>
    <m/>
    <n v="228266.08304204661"/>
    <n v="250105.29365079361"/>
    <n v="478371.37669284025"/>
    <n v="0.15"/>
    <n v="71755.706503926034"/>
    <n v="0.16"/>
    <n v="91118.357465302921"/>
    <n v="641245.44066206925"/>
    <n v="0.05"/>
    <n v="33749.760034845793"/>
    <n v="6749.9520069691507"/>
    <n v="6749.9520069691507"/>
    <n v="688495.10471085331"/>
  </r>
  <r>
    <s v="Fase 3"/>
    <x v="31"/>
    <s v="D2. Edificación en Altura"/>
    <s v="02. Edificación"/>
    <x v="9"/>
    <x v="7"/>
    <s v="1 m² - 200 m²"/>
    <n v="1"/>
    <x v="28"/>
    <m/>
    <x v="69"/>
    <x v="0"/>
    <n v="5"/>
    <n v="17730.496453900709"/>
    <n v="88652.48226950354"/>
    <n v="21107.733873691319"/>
    <n v="17054.274435719919"/>
    <m/>
    <m/>
    <n v="126814.49057891479"/>
    <n v="138947.38536155201"/>
    <n v="265761.87594046677"/>
    <n v="0.15"/>
    <n v="39864.281391070013"/>
    <n v="0.16"/>
    <n v="50621.309702946048"/>
    <n v="356247.4670344828"/>
    <n v="0.05"/>
    <n v="18749.866686025402"/>
    <n v="3749.9733372050823"/>
    <n v="3749.9733372050823"/>
    <n v="382497.28039491834"/>
  </r>
  <r>
    <s v="Fase 3"/>
    <x v="31"/>
    <s v="D2. Edificación en Altura"/>
    <s v="02. Edificación"/>
    <x v="9"/>
    <x v="7"/>
    <s v="1 m² - 200 m²"/>
    <n v="1"/>
    <x v="28"/>
    <m/>
    <x v="70"/>
    <x v="0"/>
    <n v="9"/>
    <n v="17730.496453900709"/>
    <n v="159574.46808510637"/>
    <n v="37993.920972644373"/>
    <n v="30697.693984295853"/>
    <m/>
    <m/>
    <n v="228266.08304204661"/>
    <n v="250105.29365079361"/>
    <n v="478371.37669284025"/>
    <n v="0.15"/>
    <n v="71755.706503926034"/>
    <n v="0.16"/>
    <n v="91118.357465302921"/>
    <n v="641245.44066206925"/>
    <n v="0.05"/>
    <n v="33749.760034845793"/>
    <n v="6749.9520069691507"/>
    <n v="6749.9520069691507"/>
    <n v="688495.10471085331"/>
  </r>
  <r>
    <s v="Fase 3"/>
    <x v="31"/>
    <s v="D2. Edificación en Altura"/>
    <s v="02. Edificación"/>
    <x v="9"/>
    <x v="7"/>
    <s v="1 m² - 200 m²"/>
    <n v="1"/>
    <x v="28"/>
    <m/>
    <x v="71"/>
    <x v="0"/>
    <n v="9"/>
    <n v="17730.496453900709"/>
    <n v="159574.46808510637"/>
    <n v="37993.920972644373"/>
    <n v="30697.693984295853"/>
    <m/>
    <m/>
    <n v="228266.08304204661"/>
    <n v="250105.29365079361"/>
    <n v="478371.37669284025"/>
    <n v="0.15"/>
    <n v="71755.706503926034"/>
    <n v="0.16"/>
    <n v="91118.357465302921"/>
    <n v="641245.44066206925"/>
    <n v="0.05"/>
    <n v="33749.760034845793"/>
    <n v="6749.9520069691507"/>
    <n v="6749.9520069691507"/>
    <n v="688495.10471085331"/>
  </r>
  <r>
    <s v="Fase 3"/>
    <x v="31"/>
    <s v="D2. Edificación en Altura"/>
    <s v="02. Edificación"/>
    <x v="9"/>
    <x v="7"/>
    <s v="1 m² - 200 m²"/>
    <n v="1"/>
    <x v="28"/>
    <m/>
    <x v="72"/>
    <x v="0"/>
    <n v="9"/>
    <n v="17730.496453900709"/>
    <n v="159574.46808510637"/>
    <n v="37993.920972644373"/>
    <n v="30697.693984295853"/>
    <m/>
    <m/>
    <n v="228266.08304204661"/>
    <n v="250105.29365079361"/>
    <n v="478371.37669284025"/>
    <n v="0.15"/>
    <n v="71755.706503926034"/>
    <n v="0.16"/>
    <n v="91118.357465302921"/>
    <n v="641245.44066206925"/>
    <n v="0.05"/>
    <n v="33749.760034845793"/>
    <n v="6749.9520069691507"/>
    <n v="6749.9520069691507"/>
    <n v="688495.10471085331"/>
  </r>
  <r>
    <s v="Fase 3"/>
    <x v="31"/>
    <s v="D2. Edificación en Altura"/>
    <s v="02. Edificación"/>
    <x v="9"/>
    <x v="7"/>
    <s v="1 m² - 200 m²"/>
    <n v="1"/>
    <x v="28"/>
    <m/>
    <x v="73"/>
    <x v="0"/>
    <n v="9.4"/>
    <n v="17730.496453900709"/>
    <n v="166666.66666666666"/>
    <n v="39682.539682539682"/>
    <n v="32062.035939153444"/>
    <m/>
    <m/>
    <n v="238411.24228835979"/>
    <n v="261221.08447971777"/>
    <n v="499632.32676807756"/>
    <n v="0.15"/>
    <n v="74944.849015211628"/>
    <n v="0.16"/>
    <n v="95168.062241538661"/>
    <n v="669745.23802482779"/>
    <n v="0.05"/>
    <n v="35249.749369727797"/>
    <n v="7049.9498739455557"/>
    <n v="7049.9498739455557"/>
    <n v="719094.88714244671"/>
  </r>
  <r>
    <s v="Fase 3"/>
    <x v="31"/>
    <s v="D2. Edificación en Altura"/>
    <s v="02. Edificación"/>
    <x v="9"/>
    <x v="7"/>
    <s v="1 m² - 200 m²"/>
    <n v="1"/>
    <x v="28"/>
    <m/>
    <x v="74"/>
    <x v="0"/>
    <n v="6"/>
    <n v="17730.496453900709"/>
    <n v="106382.97872340426"/>
    <n v="25329.28064842958"/>
    <n v="20465.129322863901"/>
    <m/>
    <m/>
    <n v="152177.38869469776"/>
    <n v="166736.86243386241"/>
    <n v="318914.25112856016"/>
    <n v="0.15"/>
    <n v="47837.13766928402"/>
    <n v="0.16"/>
    <n v="60745.571643535281"/>
    <n v="427496.96044137946"/>
    <n v="0.05"/>
    <n v="22499.840023230528"/>
    <n v="4499.9680046460999"/>
    <n v="4499.9680046460999"/>
    <n v="458996.73647390225"/>
  </r>
  <r>
    <s v="Fase 3"/>
    <x v="31"/>
    <s v="D2. Edificación en Altura"/>
    <s v="02. Edificación"/>
    <x v="9"/>
    <x v="7"/>
    <s v="1 m² - 200 m²"/>
    <n v="1"/>
    <x v="28"/>
    <m/>
    <x v="64"/>
    <x v="0"/>
    <n v="5"/>
    <n v="17730.496453900709"/>
    <n v="88652.48226950354"/>
    <n v="21107.733873691319"/>
    <n v="17054.274435719919"/>
    <m/>
    <m/>
    <n v="126814.49057891479"/>
    <n v="138947.38536155201"/>
    <n v="265761.87594046677"/>
    <n v="0.15"/>
    <n v="39864.281391070013"/>
    <n v="0.16"/>
    <n v="50621.309702946048"/>
    <n v="356247.4670344828"/>
    <n v="0.05"/>
    <n v="18749.866686025402"/>
    <n v="3749.9733372050823"/>
    <n v="3749.9733372050823"/>
    <n v="382497.28039491834"/>
  </r>
  <r>
    <s v="Fase 3"/>
    <x v="31"/>
    <s v="D2. Edificación en Altura"/>
    <s v="02. Edificación"/>
    <x v="9"/>
    <x v="7"/>
    <s v="1 m² - 200 m²"/>
    <n v="1"/>
    <x v="28"/>
    <m/>
    <x v="75"/>
    <x v="0"/>
    <n v="9"/>
    <n v="17730.496453900709"/>
    <n v="159574.46808510637"/>
    <n v="37993.920972644373"/>
    <n v="30697.693984295853"/>
    <m/>
    <m/>
    <n v="228266.08304204661"/>
    <n v="250105.29365079361"/>
    <n v="478371.37669284025"/>
    <n v="0.15"/>
    <n v="71755.706503926034"/>
    <n v="0.16"/>
    <n v="91118.357465302921"/>
    <n v="641245.44066206925"/>
    <n v="0.05"/>
    <n v="33749.760034845793"/>
    <n v="6749.9520069691507"/>
    <n v="6749.9520069691507"/>
    <n v="688495.10471085331"/>
  </r>
  <r>
    <s v="Fase 3"/>
    <x v="32"/>
    <s v="D2. Edificación en Altura"/>
    <s v="02. Edificación"/>
    <x v="32"/>
    <x v="8"/>
    <s v="1 m² - 200 m²"/>
    <n v="1"/>
    <x v="37"/>
    <m/>
    <x v="76"/>
    <x v="0"/>
    <n v="0.2"/>
    <n v="17730.496453900709"/>
    <n v="3546.0992907801419"/>
    <n v="844.30935494765276"/>
    <n v="682.17097742879673"/>
    <m/>
    <m/>
    <n v="5072.579623156591"/>
    <n v="5557.8954144620802"/>
    <n v="10630.475037618671"/>
    <n v="0.1"/>
    <n v="1063.0475037618671"/>
    <n v="0.15"/>
    <n v="1875.966183109178"/>
    <n v="13569.488724489716"/>
    <n v="0.05"/>
    <n v="714.18361707840631"/>
    <n v="142.83672341568123"/>
    <n v="142.83672341568123"/>
    <n v="14569.345788399485"/>
  </r>
  <r>
    <s v="Fase 3"/>
    <x v="32"/>
    <s v="D2. Edificación en Altura"/>
    <s v="02. Edificación"/>
    <x v="32"/>
    <x v="8"/>
    <s v="1 m² - 200 m²"/>
    <n v="1"/>
    <x v="37"/>
    <m/>
    <x v="96"/>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8"/>
    <s v="1 m² - 200 m²"/>
    <n v="1"/>
    <x v="37"/>
    <m/>
    <x v="78"/>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8"/>
    <s v="1 m² - 200 m²"/>
    <n v="1"/>
    <x v="37"/>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8"/>
    <s v="1 m² - 200 m²"/>
    <n v="1"/>
    <x v="37"/>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9"/>
    <s v="1 m² - 200 m²"/>
    <n v="1"/>
    <x v="38"/>
    <m/>
    <x v="80"/>
    <x v="0"/>
    <n v="0.2"/>
    <n v="17730.496453900709"/>
    <n v="3546.0992907801419"/>
    <n v="844.30935494765276"/>
    <n v="682.17097742879673"/>
    <m/>
    <m/>
    <n v="5072.579623156591"/>
    <n v="5557.8954144620802"/>
    <n v="10630.475037618671"/>
    <n v="0.1"/>
    <n v="1063.0475037618671"/>
    <n v="0.15"/>
    <n v="1875.966183109178"/>
    <n v="13569.488724489716"/>
    <n v="0.05"/>
    <n v="714.18361707840631"/>
    <n v="142.83672341568123"/>
    <n v="142.83672341568123"/>
    <n v="14569.345788399485"/>
  </r>
  <r>
    <s v="Fase 3"/>
    <x v="32"/>
    <s v="D2. Edificación en Altura"/>
    <s v="02. Edificación"/>
    <x v="32"/>
    <x v="9"/>
    <s v="1 m² - 200 m²"/>
    <n v="1"/>
    <x v="38"/>
    <m/>
    <x v="81"/>
    <x v="0"/>
    <n v="5"/>
    <n v="17730.496453900709"/>
    <n v="88652.48226950354"/>
    <n v="21107.733873691319"/>
    <n v="17054.274435719919"/>
    <m/>
    <m/>
    <n v="126814.49057891479"/>
    <n v="138947.38536155201"/>
    <n v="265761.87594046677"/>
    <n v="0.1"/>
    <n v="26576.187594046678"/>
    <n v="0.15"/>
    <n v="46899.154577729409"/>
    <n v="339237.21811224287"/>
    <n v="0.05"/>
    <n v="17854.590426960145"/>
    <n v="3570.9180853920302"/>
    <n v="3570.9180853920302"/>
    <n v="364233.6447099871"/>
  </r>
  <r>
    <s v="Fase 3"/>
    <x v="32"/>
    <s v="D2. Edificación en Altura"/>
    <s v="02. Edificación"/>
    <x v="32"/>
    <x v="9"/>
    <s v="1 m² - 200 m²"/>
    <n v="1"/>
    <x v="38"/>
    <m/>
    <x v="82"/>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9"/>
    <s v="1 m² - 200 m²"/>
    <n v="1"/>
    <x v="38"/>
    <m/>
    <x v="97"/>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9"/>
    <s v="1 m² - 200 m²"/>
    <n v="1"/>
    <x v="38"/>
    <m/>
    <x v="8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9"/>
    <s v="1 m² - 200 m²"/>
    <n v="1"/>
    <x v="38"/>
    <m/>
    <x v="78"/>
    <x v="0"/>
    <n v="0.6"/>
    <n v="17730.496453900709"/>
    <n v="10638.297872340425"/>
    <n v="2532.9280648429581"/>
    <n v="2046.51293228639"/>
    <m/>
    <m/>
    <n v="15217.738869469773"/>
    <n v="16673.686243386241"/>
    <n v="31891.425112856014"/>
    <n v="0.1"/>
    <n v="3189.1425112856014"/>
    <n v="0.15"/>
    <n v="5627.8985493275322"/>
    <n v="40708.466173469147"/>
    <n v="0.05"/>
    <n v="2142.5508512352171"/>
    <n v="428.51017024704367"/>
    <n v="428.51017024704367"/>
    <n v="43708.037365198448"/>
  </r>
  <r>
    <s v="Fase 3"/>
    <x v="32"/>
    <s v="D2. Edificación en Altura"/>
    <s v="02. Edificación"/>
    <x v="32"/>
    <x v="9"/>
    <s v="1 m² - 200 m²"/>
    <n v="1"/>
    <x v="38"/>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9"/>
    <s v="1 m² - 200 m²"/>
    <n v="1"/>
    <x v="38"/>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0"/>
    <s v="1 m² - 200 m²"/>
    <n v="1"/>
    <x v="39"/>
    <m/>
    <x v="98"/>
    <x v="0"/>
    <n v="5"/>
    <n v="17730.496453900709"/>
    <n v="88652.48226950354"/>
    <n v="21107.733873691319"/>
    <n v="17054.274435719919"/>
    <m/>
    <m/>
    <n v="126814.49057891479"/>
    <n v="138947.38536155201"/>
    <n v="265761.87594046677"/>
    <n v="0.1"/>
    <n v="26576.187594046678"/>
    <n v="0.15"/>
    <n v="46899.154577729409"/>
    <n v="339237.21811224287"/>
    <n v="0.05"/>
    <n v="17854.590426960145"/>
    <n v="3570.9180853920302"/>
    <n v="3570.9180853920302"/>
    <n v="364233.6447099871"/>
  </r>
  <r>
    <s v="Fase 3"/>
    <x v="32"/>
    <s v="D2. Edificación en Altura"/>
    <s v="02. Edificación"/>
    <x v="32"/>
    <x v="10"/>
    <s v="1 m² - 200 m²"/>
    <n v="1"/>
    <x v="39"/>
    <m/>
    <x v="99"/>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0"/>
    <s v="1 m² - 200 m²"/>
    <n v="1"/>
    <x v="39"/>
    <m/>
    <x v="100"/>
    <x v="0"/>
    <n v="1.5"/>
    <n v="17730.496453900709"/>
    <n v="26595.744680851065"/>
    <n v="6332.3201621073949"/>
    <n v="5116.2823307159751"/>
    <m/>
    <m/>
    <n v="38044.34717367444"/>
    <n v="41684.215608465602"/>
    <n v="79728.562782140041"/>
    <n v="0.1"/>
    <n v="7972.8562782140043"/>
    <n v="0.15"/>
    <n v="14069.746373318834"/>
    <n v="101771.16543367288"/>
    <n v="0.05"/>
    <n v="5356.3771280880464"/>
    <n v="1071.2754256176092"/>
    <n v="1071.2754256176092"/>
    <n v="109270.09341299615"/>
  </r>
  <r>
    <s v="Fase 3"/>
    <x v="32"/>
    <s v="D2. Edificación en Altura"/>
    <s v="02. Edificación"/>
    <x v="32"/>
    <x v="10"/>
    <s v="1 m² - 200 m²"/>
    <n v="1"/>
    <x v="39"/>
    <m/>
    <x v="101"/>
    <x v="0"/>
    <n v="2"/>
    <n v="17730.496453900709"/>
    <n v="35460.992907801417"/>
    <n v="8443.0935494765272"/>
    <n v="6821.7097742879669"/>
    <m/>
    <m/>
    <n v="50725.79623156591"/>
    <n v="55578.954144620802"/>
    <n v="106304.75037618671"/>
    <n v="0.1"/>
    <n v="10630.475037618671"/>
    <n v="0.15"/>
    <n v="18759.661831091769"/>
    <n v="135694.88724489714"/>
    <n v="0.05"/>
    <n v="7141.8361707840522"/>
    <n v="1428.3672341568119"/>
    <n v="1428.3672341568119"/>
    <n v="145693.45788399482"/>
  </r>
  <r>
    <s v="Fase 3"/>
    <x v="32"/>
    <s v="D2. Edificación en Altura"/>
    <s v="02. Edificación"/>
    <x v="32"/>
    <x v="10"/>
    <s v="1 m² - 200 m²"/>
    <n v="1"/>
    <x v="39"/>
    <m/>
    <x v="102"/>
    <x v="0"/>
    <n v="2"/>
    <n v="17730.496453900709"/>
    <n v="35460.992907801417"/>
    <n v="8443.0935494765272"/>
    <n v="6821.7097742879669"/>
    <m/>
    <m/>
    <n v="50725.79623156591"/>
    <n v="55578.954144620802"/>
    <n v="106304.75037618671"/>
    <n v="0.1"/>
    <n v="10630.475037618671"/>
    <n v="0.15"/>
    <n v="18759.661831091769"/>
    <n v="135694.88724489714"/>
    <n v="0.05"/>
    <n v="7141.8361707840522"/>
    <n v="1428.3672341568119"/>
    <n v="1428.3672341568119"/>
    <n v="145693.45788399482"/>
  </r>
  <r>
    <s v="Fase 3"/>
    <x v="32"/>
    <s v="D2. Edificación en Altura"/>
    <s v="02. Edificación"/>
    <x v="32"/>
    <x v="10"/>
    <s v="1 m² - 200 m²"/>
    <n v="1"/>
    <x v="39"/>
    <m/>
    <x v="103"/>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0"/>
    <s v="1 m² - 200 m²"/>
    <n v="1"/>
    <x v="39"/>
    <m/>
    <x v="8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0"/>
    <s v="1 m² - 200 m²"/>
    <n v="1"/>
    <x v="39"/>
    <m/>
    <x v="76"/>
    <x v="0"/>
    <n v="0.2"/>
    <n v="17730.496453900709"/>
    <n v="3546.0992907801419"/>
    <n v="844.30935494765276"/>
    <n v="682.17097742879673"/>
    <m/>
    <m/>
    <n v="5072.579623156591"/>
    <n v="5557.8954144620802"/>
    <n v="10630.475037618671"/>
    <n v="0.1"/>
    <n v="1063.0475037618671"/>
    <n v="0.15"/>
    <n v="1875.966183109178"/>
    <n v="13569.488724489716"/>
    <n v="0.05"/>
    <n v="714.18361707840631"/>
    <n v="142.83672341568123"/>
    <n v="142.83672341568123"/>
    <n v="14569.345788399485"/>
  </r>
  <r>
    <s v="Fase 3"/>
    <x v="32"/>
    <s v="D2. Edificación en Altura"/>
    <s v="02. Edificación"/>
    <x v="32"/>
    <x v="10"/>
    <s v="1 m² - 200 m²"/>
    <n v="1"/>
    <x v="39"/>
    <m/>
    <x v="96"/>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0"/>
    <s v="1 m² - 200 m²"/>
    <n v="1"/>
    <x v="39"/>
    <m/>
    <x v="78"/>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0"/>
    <s v="1 m² - 200 m²"/>
    <n v="1"/>
    <x v="39"/>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0"/>
    <s v="1 m² - 200 m²"/>
    <n v="1"/>
    <x v="39"/>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1"/>
    <s v="1 m² - 200 m²"/>
    <n v="1"/>
    <x v="40"/>
    <m/>
    <x v="85"/>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1"/>
    <s v="1 m² - 200 m²"/>
    <n v="1"/>
    <x v="40"/>
    <m/>
    <x v="80"/>
    <x v="0"/>
    <n v="0.2"/>
    <n v="17730.496453900709"/>
    <n v="3546.0992907801419"/>
    <n v="844.30935494765276"/>
    <n v="682.17097742879673"/>
    <m/>
    <m/>
    <n v="5072.579623156591"/>
    <n v="5557.8954144620802"/>
    <n v="10630.475037618671"/>
    <n v="0.1"/>
    <n v="1063.0475037618671"/>
    <n v="0.15"/>
    <n v="1875.966183109178"/>
    <n v="13569.488724489716"/>
    <n v="0.05"/>
    <n v="714.18361707840631"/>
    <n v="142.83672341568123"/>
    <n v="142.83672341568123"/>
    <n v="14569.345788399485"/>
  </r>
  <r>
    <s v="Fase 3"/>
    <x v="32"/>
    <s v="D2. Edificación en Altura"/>
    <s v="02. Edificación"/>
    <x v="32"/>
    <x v="11"/>
    <s v="1 m² - 200 m²"/>
    <n v="1"/>
    <x v="40"/>
    <m/>
    <x v="96"/>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1"/>
    <s v="1 m² - 200 m²"/>
    <n v="1"/>
    <x v="40"/>
    <m/>
    <x v="78"/>
    <x v="0"/>
    <n v="0.6"/>
    <n v="17730.496453900709"/>
    <n v="10638.297872340425"/>
    <n v="2532.9280648429581"/>
    <n v="2046.51293228639"/>
    <m/>
    <m/>
    <n v="15217.738869469773"/>
    <n v="16673.686243386241"/>
    <n v="31891.425112856014"/>
    <n v="0.1"/>
    <n v="3189.1425112856014"/>
    <n v="0.15"/>
    <n v="5627.8985493275322"/>
    <n v="40708.466173469147"/>
    <n v="0.05"/>
    <n v="2142.5508512352171"/>
    <n v="428.51017024704367"/>
    <n v="428.51017024704367"/>
    <n v="43708.037365198448"/>
  </r>
  <r>
    <s v="Fase 3"/>
    <x v="32"/>
    <s v="D2. Edificación en Altura"/>
    <s v="02. Edificación"/>
    <x v="32"/>
    <x v="11"/>
    <s v="1 m² - 200 m²"/>
    <n v="1"/>
    <x v="40"/>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1"/>
    <s v="1 m² - 200 m²"/>
    <n v="1"/>
    <x v="40"/>
    <m/>
    <x v="8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1"/>
    <s v="1 m² - 200 m²"/>
    <n v="1"/>
    <x v="40"/>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2"/>
    <s v="1 m² - 200 m²"/>
    <n v="1"/>
    <x v="34"/>
    <m/>
    <x v="88"/>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2"/>
    <s v="1 m² - 200 m²"/>
    <n v="1"/>
    <x v="34"/>
    <m/>
    <x v="80"/>
    <x v="0"/>
    <n v="0.2"/>
    <n v="17730.496453900709"/>
    <n v="3546.0992907801419"/>
    <n v="844.30935494765276"/>
    <n v="682.17097742879673"/>
    <m/>
    <m/>
    <n v="5072.579623156591"/>
    <n v="5557.8954144620802"/>
    <n v="10630.475037618671"/>
    <n v="0.1"/>
    <n v="1063.0475037618671"/>
    <n v="0.15"/>
    <n v="1875.966183109178"/>
    <n v="13569.488724489716"/>
    <n v="0.05"/>
    <n v="714.18361707840631"/>
    <n v="142.83672341568123"/>
    <n v="142.83672341568123"/>
    <n v="14569.345788399485"/>
  </r>
  <r>
    <s v="Fase 3"/>
    <x v="32"/>
    <s v="D2. Edificación en Altura"/>
    <s v="02. Edificación"/>
    <x v="32"/>
    <x v="12"/>
    <s v="1 m² - 200 m²"/>
    <n v="1"/>
    <x v="34"/>
    <m/>
    <x v="89"/>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2"/>
    <s v="1 m² - 200 m²"/>
    <n v="1"/>
    <x v="34"/>
    <m/>
    <x v="90"/>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2"/>
    <s v="1 m² - 200 m²"/>
    <n v="1"/>
    <x v="34"/>
    <m/>
    <x v="78"/>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2"/>
    <s v="1 m² - 200 m²"/>
    <n v="1"/>
    <x v="34"/>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2"/>
    <s v="1 m² - 200 m²"/>
    <n v="1"/>
    <x v="34"/>
    <m/>
    <x v="84"/>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3"/>
    <s v="1 m² - 200 m²"/>
    <n v="1"/>
    <x v="34"/>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2"/>
    <s v="1 m² - 200 m²"/>
    <n v="1"/>
    <x v="41"/>
    <m/>
    <x v="80"/>
    <x v="0"/>
    <n v="0.2"/>
    <n v="17730.496453900709"/>
    <n v="3546.0992907801419"/>
    <n v="844.30935494765276"/>
    <n v="682.17097742879673"/>
    <m/>
    <m/>
    <n v="5072.579623156591"/>
    <n v="5557.8954144620802"/>
    <n v="10630.475037618671"/>
    <n v="0.1"/>
    <n v="1063.0475037618671"/>
    <n v="0.15"/>
    <n v="1875.966183109178"/>
    <n v="13569.488724489716"/>
    <n v="0.05"/>
    <n v="714.18361707840631"/>
    <n v="142.83672341568123"/>
    <n v="142.83672341568123"/>
    <n v="14569.345788399485"/>
  </r>
  <r>
    <s v="Fase 3"/>
    <x v="32"/>
    <s v="D2. Edificación en Altura"/>
    <s v="02. Edificación"/>
    <x v="32"/>
    <x v="12"/>
    <s v="1 m² - 200 m²"/>
    <n v="1"/>
    <x v="41"/>
    <m/>
    <x v="10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2"/>
    <s v="1 m² - 200 m²"/>
    <n v="1"/>
    <x v="41"/>
    <m/>
    <x v="82"/>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2"/>
    <s v="1 m² - 200 m²"/>
    <n v="1"/>
    <x v="41"/>
    <m/>
    <x v="97"/>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2"/>
    <s v="1 m² - 200 m²"/>
    <n v="1"/>
    <x v="41"/>
    <m/>
    <x v="93"/>
    <x v="0"/>
    <n v="5"/>
    <n v="17730.496453900709"/>
    <n v="88652.48226950354"/>
    <n v="21107.733873691319"/>
    <n v="17054.274435719919"/>
    <m/>
    <m/>
    <n v="126814.49057891479"/>
    <n v="138947.38536155201"/>
    <n v="265761.87594046677"/>
    <n v="0.1"/>
    <n v="26576.187594046678"/>
    <n v="0.15"/>
    <n v="46899.154577729409"/>
    <n v="339237.21811224287"/>
    <n v="0.05"/>
    <n v="17854.590426960145"/>
    <n v="3570.9180853920302"/>
    <n v="3570.9180853920302"/>
    <n v="364233.6447099871"/>
  </r>
  <r>
    <s v="Fase 3"/>
    <x v="32"/>
    <s v="D2. Edificación en Altura"/>
    <s v="02. Edificación"/>
    <x v="32"/>
    <x v="12"/>
    <s v="1 m² - 200 m²"/>
    <n v="1"/>
    <x v="41"/>
    <m/>
    <x v="8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2"/>
    <s v="1 m² - 200 m²"/>
    <n v="1"/>
    <x v="41"/>
    <m/>
    <x v="78"/>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2"/>
    <s v="1 m² - 200 m²"/>
    <n v="1"/>
    <x v="41"/>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2"/>
    <s v="1 m² - 200 m²"/>
    <n v="1"/>
    <x v="41"/>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4"/>
    <s v="1 m² - 200 m²"/>
    <n v="1"/>
    <x v="42"/>
    <m/>
    <x v="105"/>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106"/>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107"/>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108"/>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109"/>
    <x v="0"/>
    <n v="5"/>
    <n v="17730.496453900709"/>
    <n v="88652.48226950354"/>
    <n v="21107.733873691319"/>
    <n v="17054.274435719919"/>
    <m/>
    <m/>
    <n v="126814.49057891479"/>
    <n v="138947.38536155201"/>
    <n v="265761.87594046677"/>
    <n v="0.1"/>
    <n v="26576.187594046678"/>
    <n v="0.15"/>
    <n v="46899.154577729409"/>
    <n v="339237.21811224287"/>
    <n v="0.05"/>
    <n v="17854.590426960145"/>
    <n v="3570.9180853920302"/>
    <n v="3570.9180853920302"/>
    <n v="364233.6447099871"/>
  </r>
  <r>
    <s v="Fase 3"/>
    <x v="32"/>
    <s v="D2. Edificación en Altura"/>
    <s v="02. Edificación"/>
    <x v="32"/>
    <x v="14"/>
    <s v="1 m² - 200 m²"/>
    <n v="1"/>
    <x v="42"/>
    <m/>
    <x v="110"/>
    <x v="0"/>
    <n v="5"/>
    <n v="17730.496453900709"/>
    <n v="88652.48226950354"/>
    <n v="21107.733873691319"/>
    <n v="17054.274435719919"/>
    <m/>
    <m/>
    <n v="126814.49057891479"/>
    <n v="138947.38536155201"/>
    <n v="265761.87594046677"/>
    <n v="0.1"/>
    <n v="26576.187594046678"/>
    <n v="0.15"/>
    <n v="46899.154577729409"/>
    <n v="339237.21811224287"/>
    <n v="0.05"/>
    <n v="17854.590426960145"/>
    <n v="3570.9180853920302"/>
    <n v="3570.9180853920302"/>
    <n v="364233.6447099871"/>
  </r>
  <r>
    <s v="Fase 3"/>
    <x v="32"/>
    <s v="D2. Edificación en Altura"/>
    <s v="02. Edificación"/>
    <x v="32"/>
    <x v="14"/>
    <s v="1 m² - 200 m²"/>
    <n v="1"/>
    <x v="42"/>
    <m/>
    <x v="38"/>
    <x v="0"/>
    <n v="1.5"/>
    <n v="17730.496453900709"/>
    <n v="26595.744680851065"/>
    <n v="6332.3201621073949"/>
    <n v="5116.2823307159751"/>
    <m/>
    <m/>
    <n v="38044.34717367444"/>
    <n v="41684.215608465602"/>
    <n v="79728.562782140041"/>
    <n v="0.1"/>
    <n v="7972.8562782140043"/>
    <n v="0.15"/>
    <n v="14069.746373318834"/>
    <n v="101771.16543367288"/>
    <n v="0.05"/>
    <n v="5356.3771280880464"/>
    <n v="1071.2754256176092"/>
    <n v="1071.2754256176092"/>
    <n v="109270.09341299615"/>
  </r>
  <r>
    <s v="Fase 3"/>
    <x v="32"/>
    <s v="D2. Edificación en Altura"/>
    <s v="02. Edificación"/>
    <x v="32"/>
    <x v="14"/>
    <s v="1 m² - 200 m²"/>
    <n v="1"/>
    <x v="42"/>
    <m/>
    <x v="111"/>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8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112"/>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5"/>
    <s v="1 m² - 200 m²"/>
    <n v="1"/>
    <x v="43"/>
    <m/>
    <x v="113"/>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5"/>
    <s v="1 m² - 200 m²"/>
    <n v="1"/>
    <x v="43"/>
    <m/>
    <x v="11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5"/>
    <s v="1 m² - 200 m²"/>
    <n v="1"/>
    <x v="43"/>
    <m/>
    <x v="115"/>
    <x v="0"/>
    <n v="5"/>
    <n v="17730.496453900709"/>
    <n v="88652.48226950354"/>
    <n v="21107.733873691319"/>
    <n v="17054.274435719919"/>
    <m/>
    <m/>
    <n v="126814.49057891479"/>
    <n v="138947.38536155201"/>
    <n v="265761.87594046677"/>
    <n v="0.1"/>
    <n v="26576.187594046678"/>
    <n v="0.15"/>
    <n v="46899.154577729409"/>
    <n v="339237.21811224287"/>
    <n v="0.05"/>
    <n v="17854.590426960145"/>
    <n v="3570.9180853920302"/>
    <n v="3570.9180853920302"/>
    <n v="364233.6447099871"/>
  </r>
  <r>
    <s v="Fase 3"/>
    <x v="32"/>
    <s v="D2. Edificación en Altura"/>
    <s v="02. Edificación"/>
    <x v="32"/>
    <x v="15"/>
    <s v="1 m² - 200 m²"/>
    <n v="1"/>
    <x v="43"/>
    <m/>
    <x v="38"/>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5"/>
    <s v="1 m² - 200 m²"/>
    <n v="1"/>
    <x v="43"/>
    <m/>
    <x v="111"/>
    <x v="0"/>
    <n v="2"/>
    <n v="17730.496453900709"/>
    <n v="35460.992907801417"/>
    <n v="8443.0935494765272"/>
    <n v="6821.7097742879669"/>
    <m/>
    <m/>
    <n v="50725.79623156591"/>
    <n v="55578.954144620802"/>
    <n v="106304.75037618671"/>
    <n v="0.1"/>
    <n v="10630.475037618671"/>
    <n v="0.15"/>
    <n v="18759.661831091769"/>
    <n v="135694.88724489714"/>
    <n v="0.05"/>
    <n v="7141.8361707840522"/>
    <n v="1428.3672341568119"/>
    <n v="1428.3672341568119"/>
    <n v="145693.45788399482"/>
  </r>
  <r>
    <s v="Fase 3"/>
    <x v="32"/>
    <s v="D2. Edificación en Altura"/>
    <s v="02. Edificación"/>
    <x v="32"/>
    <x v="15"/>
    <s v="1 m² - 200 m²"/>
    <n v="1"/>
    <x v="43"/>
    <m/>
    <x v="84"/>
    <x v="0"/>
    <n v="9.4"/>
    <n v="17730.496453900709"/>
    <n v="166666.66666666666"/>
    <n v="39682.539682539682"/>
    <n v="32062.035939153444"/>
    <m/>
    <m/>
    <n v="238411.24228835979"/>
    <n v="261221.08447971777"/>
    <n v="499632.32676807756"/>
    <n v="0.1"/>
    <n v="49963.232676807762"/>
    <n v="0.15"/>
    <n v="88170.410606131307"/>
    <n v="637765.97005101666"/>
    <n v="0.05"/>
    <n v="33566.630002685124"/>
    <n v="6713.3260005370175"/>
    <n v="6713.3260005370175"/>
    <n v="684759.25205477583"/>
  </r>
  <r>
    <s v="Fase 3"/>
    <x v="32"/>
    <s v="D2. Edificación en Altura"/>
    <s v="02. Edificación"/>
    <x v="32"/>
    <x v="15"/>
    <s v="1 m² - 200 m²"/>
    <n v="1"/>
    <x v="43"/>
    <m/>
    <x v="112"/>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5"/>
    <s v="1 m² - 200 m²"/>
    <n v="1"/>
    <x v="43"/>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3"/>
    <s v="D2. Edificación en Altura"/>
    <s v="02. Edificación"/>
    <x v="14"/>
    <x v="18"/>
    <s v="1 m² - 200 m²"/>
    <n v="1"/>
    <x v="21"/>
    <m/>
    <x v="45"/>
    <x v="0"/>
    <n v="9.6"/>
    <n v="17730.496453900709"/>
    <n v="170212.7659574468"/>
    <n v="40526.849037487329"/>
    <n v="32744.20691658224"/>
    <m/>
    <m/>
    <n v="243483.82191151637"/>
    <n v="266778.97989417985"/>
    <n v="510262.80180569622"/>
    <n v="0.1"/>
    <n v="51026.280180569622"/>
    <n v="0.15"/>
    <n v="90046.376789240516"/>
    <n v="651335.45877550635"/>
    <n v="0.05"/>
    <n v="34280.813619763474"/>
    <n v="6856.1627239526988"/>
    <n v="6856.1627239526988"/>
    <n v="699328.59784317517"/>
  </r>
  <r>
    <s v="Fase 3"/>
    <x v="33"/>
    <s v="D2. Edificación en Altura"/>
    <s v="02. Edificación"/>
    <x v="14"/>
    <x v="18"/>
    <s v="1 m² - 200 m²"/>
    <n v="1"/>
    <x v="21"/>
    <m/>
    <x v="136"/>
    <x v="0"/>
    <n v="4"/>
    <n v="17730.496453900709"/>
    <n v="70921.985815602835"/>
    <n v="16886.187098953054"/>
    <n v="13643.419548575934"/>
    <m/>
    <m/>
    <n v="101451.59246313182"/>
    <n v="111157.9082892416"/>
    <n v="212609.50075237342"/>
    <n v="0.1"/>
    <n v="21260.950075237342"/>
    <n v="0.15"/>
    <n v="37519.323662183539"/>
    <n v="271389.77448979428"/>
    <n v="0.05"/>
    <n v="14283.672341568104"/>
    <n v="2856.7344683136239"/>
    <n v="2856.7344683136239"/>
    <n v="291386.91576798965"/>
  </r>
  <r>
    <s v="Fase 3"/>
    <x v="33"/>
    <s v="D2. Edificación en Altura"/>
    <s v="02. Edificación"/>
    <x v="14"/>
    <x v="18"/>
    <s v="1 m² - 200 m²"/>
    <n v="1"/>
    <x v="21"/>
    <m/>
    <x v="137"/>
    <x v="0"/>
    <n v="9.6"/>
    <n v="17730.496453900709"/>
    <n v="170212.7659574468"/>
    <n v="40526.849037487329"/>
    <n v="32744.20691658224"/>
    <m/>
    <m/>
    <n v="243483.82191151637"/>
    <n v="266778.97989417985"/>
    <n v="510262.80180569622"/>
    <n v="0.1"/>
    <n v="51026.280180569622"/>
    <n v="0.15"/>
    <n v="90046.376789240516"/>
    <n v="651335.45877550635"/>
    <n v="0.05"/>
    <n v="34280.813619763474"/>
    <n v="6856.1627239526988"/>
    <n v="6856.1627239526988"/>
    <n v="699328.59784317517"/>
  </r>
  <r>
    <s v="Fase 3"/>
    <x v="33"/>
    <s v="D2. Edificación en Altura"/>
    <s v="02. Edificación"/>
    <x v="14"/>
    <x v="18"/>
    <s v="1 m² - 200 m²"/>
    <n v="1"/>
    <x v="21"/>
    <m/>
    <x v="275"/>
    <x v="0"/>
    <n v="6"/>
    <n v="17730.496453900709"/>
    <n v="106382.97872340426"/>
    <n v="25329.28064842958"/>
    <n v="20465.129322863901"/>
    <m/>
    <m/>
    <n v="152177.38869469776"/>
    <n v="166736.86243386241"/>
    <n v="318914.25112856016"/>
    <n v="0.1"/>
    <n v="31891.425112856017"/>
    <n v="0.15"/>
    <n v="56278.985493275337"/>
    <n v="407084.66173469153"/>
    <n v="0.05"/>
    <n v="21425.508512352186"/>
    <n v="4285.101702470437"/>
    <n v="4285.101702470437"/>
    <n v="437080.37365198461"/>
  </r>
  <r>
    <s v="Fase 3"/>
    <x v="33"/>
    <s v="D2. Edificación en Altura"/>
    <s v="02. Edificación"/>
    <x v="14"/>
    <x v="18"/>
    <s v="1 m² - 200 m²"/>
    <n v="1"/>
    <x v="21"/>
    <m/>
    <x v="139"/>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3"/>
    <s v="D2. Edificación en Altura"/>
    <s v="02. Edificación"/>
    <x v="14"/>
    <x v="18"/>
    <s v="1 m² - 200 m²"/>
    <n v="1"/>
    <x v="21"/>
    <m/>
    <x v="50"/>
    <x v="0"/>
    <n v="4"/>
    <n v="17730.496453900709"/>
    <n v="70921.985815602835"/>
    <n v="16886.187098953054"/>
    <n v="13643.419548575934"/>
    <m/>
    <m/>
    <n v="101451.59246313182"/>
    <n v="111157.9082892416"/>
    <n v="212609.50075237342"/>
    <n v="0.1"/>
    <n v="21260.950075237342"/>
    <n v="0.15"/>
    <n v="37519.323662183539"/>
    <n v="271389.77448979428"/>
    <n v="0.05"/>
    <n v="14283.672341568104"/>
    <n v="2856.7344683136239"/>
    <n v="2856.7344683136239"/>
    <n v="291386.91576798965"/>
  </r>
  <r>
    <s v="Fase 3"/>
    <x v="33"/>
    <s v="D2. Edificación en Altura"/>
    <s v="02. Edificación"/>
    <x v="14"/>
    <x v="18"/>
    <s v="1 m² - 200 m²"/>
    <n v="1"/>
    <x v="21"/>
    <m/>
    <x v="51"/>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1"/>
    <x v="34"/>
    <s v="D3. Vivienda Campestre"/>
    <s v="02. Edificación"/>
    <x v="33"/>
    <x v="7"/>
    <s v="100m2"/>
    <n v="1"/>
    <x v="57"/>
    <m/>
    <x v="276"/>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1"/>
    <x v="34"/>
    <s v="D3. Vivienda Campestre"/>
    <s v="02. Edificación"/>
    <x v="33"/>
    <x v="7"/>
    <s v="100m2"/>
    <n v="1"/>
    <x v="57"/>
    <m/>
    <x v="117"/>
    <x v="0"/>
    <n v="0.05"/>
    <n v="17730.496453900709"/>
    <n v="886.52482269503548"/>
    <n v="211.07733873691319"/>
    <n v="170.54274435719918"/>
    <m/>
    <m/>
    <n v="1268.1449057891477"/>
    <n v="1389.4738536155201"/>
    <n v="2657.6187594046678"/>
    <n v="0.1"/>
    <n v="265.76187594046678"/>
    <n v="0.2"/>
    <n v="664.40468985116695"/>
    <n v="3587.7853251963015"/>
    <n v="0.05"/>
    <n v="188.83080658927929"/>
    <n v="37.766161317855811"/>
    <n v="37.766161317855811"/>
    <n v="3852.1484544212922"/>
  </r>
  <r>
    <s v="Fase 1"/>
    <x v="34"/>
    <s v="D3. Vivienda Campestre"/>
    <s v="02. Edificación"/>
    <x v="33"/>
    <x v="7"/>
    <s v="100m2"/>
    <n v="1"/>
    <x v="57"/>
    <m/>
    <x v="175"/>
    <x v="0"/>
    <n v="5"/>
    <n v="17730.496453900709"/>
    <n v="88652.48226950354"/>
    <n v="21107.733873691319"/>
    <n v="17054.274435719919"/>
    <m/>
    <m/>
    <n v="126814.49057891479"/>
    <n v="138947.38536155201"/>
    <n v="265761.87594046677"/>
    <n v="0.1"/>
    <n v="26576.187594046678"/>
    <n v="0.2"/>
    <n v="66440.468985116691"/>
    <n v="358778.53251963016"/>
    <n v="0.05"/>
    <n v="18883.080658927909"/>
    <n v="3776.6161317855808"/>
    <n v="3776.6161317855808"/>
    <n v="385214.84544212918"/>
  </r>
  <r>
    <s v="Fase 1"/>
    <x v="34"/>
    <s v="D3. Vivienda Campestre"/>
    <s v="02. Edificación"/>
    <x v="33"/>
    <x v="7"/>
    <s v="100m2"/>
    <n v="1"/>
    <x v="57"/>
    <m/>
    <x v="176"/>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1"/>
    <x v="34"/>
    <s v="D3. Vivienda Campestre"/>
    <s v="02. Edificación"/>
    <x v="33"/>
    <x v="7"/>
    <s v="100m2"/>
    <n v="1"/>
    <x v="57"/>
    <m/>
    <x v="120"/>
    <x v="0"/>
    <n v="1.5"/>
    <n v="17730.496453900709"/>
    <n v="26595.744680851065"/>
    <n v="6332.3201621073949"/>
    <n v="5116.2823307159751"/>
    <m/>
    <m/>
    <n v="38044.34717367444"/>
    <n v="41684.215608465602"/>
    <n v="79728.562782140041"/>
    <n v="0.1"/>
    <n v="7972.8562782140043"/>
    <n v="0.2"/>
    <n v="19932.14069553501"/>
    <n v="107633.55975588906"/>
    <n v="0.05"/>
    <n v="5664.9241976783815"/>
    <n v="1132.9848395356744"/>
    <n v="1132.9848395356744"/>
    <n v="115564.45363263878"/>
  </r>
  <r>
    <s v="Fase 1"/>
    <x v="34"/>
    <s v="D3. Vivienda Campestre"/>
    <s v="02. Edificación"/>
    <x v="33"/>
    <x v="7"/>
    <s v="100m2"/>
    <n v="1"/>
    <x v="57"/>
    <m/>
    <x v="121"/>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57"/>
    <m/>
    <x v="277"/>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57"/>
    <m/>
    <x v="278"/>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57"/>
    <m/>
    <x v="178"/>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58"/>
    <m/>
    <x v="179"/>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58"/>
    <m/>
    <x v="180"/>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58"/>
    <m/>
    <x v="181"/>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58"/>
    <m/>
    <x v="182"/>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58"/>
    <m/>
    <x v="128"/>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58"/>
    <m/>
    <x v="183"/>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58"/>
    <m/>
    <x v="184"/>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4"/>
    <s v="D3. Vivienda Campestre"/>
    <s v="02. Edificación"/>
    <x v="33"/>
    <x v="7"/>
    <s v="100m2"/>
    <n v="1"/>
    <x v="58"/>
    <m/>
    <x v="279"/>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58"/>
    <m/>
    <x v="186"/>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4"/>
    <s v="D3. Vivienda Campestre"/>
    <s v="02. Edificación"/>
    <x v="33"/>
    <x v="7"/>
    <s v="100m2"/>
    <n v="1"/>
    <x v="58"/>
    <m/>
    <x v="187"/>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1"/>
    <x v="34"/>
    <s v="D3. Vivienda Campestre"/>
    <s v="02. Edificación"/>
    <x v="33"/>
    <x v="7"/>
    <s v="100m2"/>
    <n v="1"/>
    <x v="58"/>
    <m/>
    <x v="188"/>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59"/>
    <m/>
    <x v="189"/>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60"/>
    <m/>
    <x v="129"/>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4"/>
    <s v="D3. Vivienda Campestre"/>
    <s v="02. Edificación"/>
    <x v="33"/>
    <x v="7"/>
    <s v="100m2"/>
    <n v="1"/>
    <x v="60"/>
    <m/>
    <x v="190"/>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1"/>
    <x v="34"/>
    <s v="D3. Vivienda Campestre"/>
    <s v="02. Edificación"/>
    <x v="33"/>
    <x v="7"/>
    <s v="100m2"/>
    <n v="1"/>
    <x v="60"/>
    <m/>
    <x v="191"/>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4"/>
    <s v="D3. Vivienda Campestre"/>
    <s v="02. Edificación"/>
    <x v="33"/>
    <x v="7"/>
    <s v="100m2"/>
    <n v="1"/>
    <x v="60"/>
    <m/>
    <x v="192"/>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4"/>
    <s v="D3. Vivienda Campestre"/>
    <s v="02. Edificación"/>
    <x v="33"/>
    <x v="7"/>
    <s v="100m2"/>
    <n v="1"/>
    <x v="60"/>
    <m/>
    <x v="132"/>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60"/>
    <m/>
    <x v="133"/>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60"/>
    <m/>
    <x v="134"/>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61"/>
    <m/>
    <x v="260"/>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4"/>
    <s v="D3. Vivienda Campestre"/>
    <s v="02. Edificación"/>
    <x v="33"/>
    <x v="7"/>
    <s v="100m2"/>
    <n v="1"/>
    <x v="86"/>
    <m/>
    <x v="272"/>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5"/>
    <s v="D7. Select"/>
    <s v="02. Edificación"/>
    <x v="33"/>
    <x v="7"/>
    <s v="100m2"/>
    <n v="1"/>
    <x v="57"/>
    <m/>
    <x v="276"/>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1"/>
    <x v="35"/>
    <s v="D7. Select"/>
    <s v="02. Edificación"/>
    <x v="33"/>
    <x v="7"/>
    <s v="100m2"/>
    <n v="1"/>
    <x v="57"/>
    <m/>
    <x v="117"/>
    <x v="0"/>
    <n v="0.05"/>
    <n v="17730.496453900709"/>
    <n v="886.52482269503548"/>
    <n v="211.07733873691319"/>
    <n v="170.54274435719918"/>
    <m/>
    <m/>
    <n v="1268.1449057891477"/>
    <n v="1389.4738536155201"/>
    <n v="2657.6187594046678"/>
    <n v="0.1"/>
    <n v="265.76187594046678"/>
    <n v="0.2"/>
    <n v="664.40468985116695"/>
    <n v="3587.7853251963015"/>
    <n v="0.05"/>
    <n v="188.83080658927929"/>
    <n v="37.766161317855811"/>
    <n v="37.766161317855811"/>
    <n v="3852.1484544212922"/>
  </r>
  <r>
    <s v="Fase 1"/>
    <x v="35"/>
    <s v="D7. Select"/>
    <s v="02. Edificación"/>
    <x v="33"/>
    <x v="7"/>
    <s v="100m2"/>
    <n v="1"/>
    <x v="57"/>
    <m/>
    <x v="175"/>
    <x v="0"/>
    <n v="5"/>
    <n v="17730.496453900709"/>
    <n v="88652.48226950354"/>
    <n v="21107.733873691319"/>
    <n v="17054.274435719919"/>
    <m/>
    <m/>
    <n v="126814.49057891479"/>
    <n v="138947.38536155201"/>
    <n v="265761.87594046677"/>
    <n v="0.1"/>
    <n v="26576.187594046678"/>
    <n v="0.2"/>
    <n v="66440.468985116691"/>
    <n v="358778.53251963016"/>
    <n v="0.05"/>
    <n v="18883.080658927909"/>
    <n v="3776.6161317855808"/>
    <n v="3776.6161317855808"/>
    <n v="385214.84544212918"/>
  </r>
  <r>
    <s v="Fase 1"/>
    <x v="35"/>
    <s v="D7. Select"/>
    <s v="02. Edificación"/>
    <x v="33"/>
    <x v="7"/>
    <s v="100m2"/>
    <n v="1"/>
    <x v="57"/>
    <m/>
    <x v="176"/>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1"/>
    <x v="35"/>
    <s v="D7. Select"/>
    <s v="02. Edificación"/>
    <x v="33"/>
    <x v="7"/>
    <s v="100m2"/>
    <n v="1"/>
    <x v="57"/>
    <m/>
    <x v="120"/>
    <x v="0"/>
    <n v="1.5"/>
    <n v="17730.496453900709"/>
    <n v="26595.744680851065"/>
    <n v="6332.3201621073949"/>
    <n v="5116.2823307159751"/>
    <m/>
    <m/>
    <n v="38044.34717367444"/>
    <n v="41684.215608465602"/>
    <n v="79728.562782140041"/>
    <n v="0.1"/>
    <n v="7972.8562782140043"/>
    <n v="0.2"/>
    <n v="19932.14069553501"/>
    <n v="107633.55975588906"/>
    <n v="0.05"/>
    <n v="5664.9241976783815"/>
    <n v="1132.9848395356744"/>
    <n v="1132.9848395356744"/>
    <n v="115564.45363263878"/>
  </r>
  <r>
    <s v="Fase 1"/>
    <x v="35"/>
    <s v="D7. Select"/>
    <s v="02. Edificación"/>
    <x v="33"/>
    <x v="7"/>
    <s v="100m2"/>
    <n v="1"/>
    <x v="57"/>
    <m/>
    <x v="121"/>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5"/>
    <s v="D7. Select"/>
    <s v="02. Edificación"/>
    <x v="33"/>
    <x v="7"/>
    <s v="100m2"/>
    <n v="1"/>
    <x v="57"/>
    <m/>
    <x v="177"/>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1"/>
    <x v="35"/>
    <s v="D7. Select"/>
    <s v="02. Edificación"/>
    <x v="33"/>
    <x v="7"/>
    <s v="100m2"/>
    <n v="1"/>
    <x v="57"/>
    <m/>
    <x v="123"/>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5"/>
    <s v="D7. Select"/>
    <s v="02. Edificación"/>
    <x v="33"/>
    <x v="7"/>
    <s v="100m2"/>
    <n v="1"/>
    <x v="57"/>
    <m/>
    <x v="178"/>
    <x v="0"/>
    <n v="5"/>
    <n v="17730.496453900709"/>
    <n v="88652.48226950354"/>
    <n v="21107.733873691319"/>
    <n v="17054.274435719919"/>
    <m/>
    <m/>
    <n v="126814.49057891479"/>
    <n v="138947.38536155201"/>
    <n v="265761.87594046677"/>
    <n v="0.1"/>
    <n v="26576.187594046678"/>
    <n v="0.2"/>
    <n v="66440.468985116691"/>
    <n v="358778.53251963016"/>
    <n v="0.05"/>
    <n v="18883.080658927909"/>
    <n v="3776.6161317855808"/>
    <n v="3776.6161317855808"/>
    <n v="385214.84544212918"/>
  </r>
  <r>
    <s v="Fase 1"/>
    <x v="35"/>
    <s v="D7. Select"/>
    <s v="02. Edificación"/>
    <x v="33"/>
    <x v="7"/>
    <s v="100m2"/>
    <n v="1"/>
    <x v="58"/>
    <m/>
    <x v="179"/>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1"/>
    <x v="35"/>
    <s v="D7. Select"/>
    <s v="02. Edificación"/>
    <x v="33"/>
    <x v="7"/>
    <s v="100m2"/>
    <n v="1"/>
    <x v="58"/>
    <m/>
    <x v="180"/>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5"/>
    <s v="D7. Select"/>
    <s v="02. Edificación"/>
    <x v="33"/>
    <x v="7"/>
    <s v="100m2"/>
    <n v="1"/>
    <x v="58"/>
    <m/>
    <x v="181"/>
    <x v="0"/>
    <n v="3"/>
    <n v="17730.496453900709"/>
    <n v="53191.48936170213"/>
    <n v="12664.64032421479"/>
    <n v="10232.56466143195"/>
    <m/>
    <m/>
    <n v="76088.694347348879"/>
    <n v="83368.431216931203"/>
    <n v="159457.12556428008"/>
    <n v="0.1"/>
    <n v="15945.712556428009"/>
    <n v="0.2"/>
    <n v="39864.281391070021"/>
    <n v="215267.11951177812"/>
    <n v="0.05"/>
    <n v="11329.848395356763"/>
    <n v="2265.9696790713488"/>
    <n v="2265.9696790713488"/>
    <n v="231128.90726527755"/>
  </r>
  <r>
    <s v="Fase 1"/>
    <x v="35"/>
    <s v="D7. Select"/>
    <s v="02. Edificación"/>
    <x v="33"/>
    <x v="7"/>
    <s v="100m2"/>
    <n v="1"/>
    <x v="58"/>
    <m/>
    <x v="182"/>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5"/>
    <s v="D7. Select"/>
    <s v="02. Edificación"/>
    <x v="33"/>
    <x v="7"/>
    <s v="100m2"/>
    <n v="1"/>
    <x v="58"/>
    <m/>
    <x v="128"/>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5"/>
    <s v="D7. Select"/>
    <s v="02. Edificación"/>
    <x v="33"/>
    <x v="7"/>
    <s v="100m2"/>
    <n v="1"/>
    <x v="58"/>
    <m/>
    <x v="183"/>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5"/>
    <s v="D7. Select"/>
    <s v="02. Edificación"/>
    <x v="33"/>
    <x v="7"/>
    <s v="100m2"/>
    <n v="1"/>
    <x v="58"/>
    <m/>
    <x v="184"/>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5"/>
    <s v="D7. Select"/>
    <s v="02. Edificación"/>
    <x v="33"/>
    <x v="7"/>
    <s v="100m2"/>
    <n v="1"/>
    <x v="58"/>
    <m/>
    <x v="185"/>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5"/>
    <s v="D7. Select"/>
    <s v="02. Edificación"/>
    <x v="33"/>
    <x v="7"/>
    <s v="100m2"/>
    <n v="1"/>
    <x v="58"/>
    <m/>
    <x v="186"/>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5"/>
    <s v="D7. Select"/>
    <s v="02. Edificación"/>
    <x v="33"/>
    <x v="7"/>
    <s v="100m2"/>
    <n v="1"/>
    <x v="58"/>
    <m/>
    <x v="187"/>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1"/>
    <x v="35"/>
    <s v="D7. Select"/>
    <s v="02. Edificación"/>
    <x v="33"/>
    <x v="7"/>
    <s v="100m2"/>
    <n v="1"/>
    <x v="58"/>
    <m/>
    <x v="188"/>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1"/>
    <x v="35"/>
    <s v="D7. Select"/>
    <s v="02. Edificación"/>
    <x v="33"/>
    <x v="7"/>
    <s v="100m2"/>
    <n v="1"/>
    <x v="59"/>
    <m/>
    <x v="189"/>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1"/>
    <x v="35"/>
    <s v="D7. Select"/>
    <s v="02. Edificación"/>
    <x v="33"/>
    <x v="7"/>
    <s v="100m2"/>
    <n v="1"/>
    <x v="60"/>
    <m/>
    <x v="280"/>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5"/>
    <s v="D7. Select"/>
    <s v="02. Edificación"/>
    <x v="33"/>
    <x v="7"/>
    <s v="100m2"/>
    <n v="1"/>
    <x v="60"/>
    <m/>
    <x v="190"/>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1"/>
    <x v="35"/>
    <s v="D7. Select"/>
    <s v="02. Edificación"/>
    <x v="33"/>
    <x v="7"/>
    <s v="100m2"/>
    <n v="1"/>
    <x v="60"/>
    <m/>
    <x v="191"/>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5"/>
    <s v="D7. Select"/>
    <s v="02. Edificación"/>
    <x v="33"/>
    <x v="7"/>
    <s v="100m2"/>
    <n v="1"/>
    <x v="60"/>
    <m/>
    <x v="192"/>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5"/>
    <s v="D7. Select"/>
    <s v="02. Edificación"/>
    <x v="33"/>
    <x v="7"/>
    <s v="100m2"/>
    <n v="1"/>
    <x v="60"/>
    <m/>
    <x v="132"/>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5"/>
    <s v="D7. Select"/>
    <s v="02. Edificación"/>
    <x v="33"/>
    <x v="7"/>
    <s v="100m2"/>
    <n v="1"/>
    <x v="60"/>
    <m/>
    <x v="133"/>
    <x v="0"/>
    <n v="3"/>
    <n v="17730.496453900709"/>
    <n v="53191.48936170213"/>
    <n v="12664.64032421479"/>
    <n v="10232.56466143195"/>
    <m/>
    <m/>
    <n v="76088.694347348879"/>
    <n v="83368.431216931203"/>
    <n v="159457.12556428008"/>
    <n v="0.1"/>
    <n v="15945.712556428009"/>
    <n v="0.2"/>
    <n v="39864.281391070021"/>
    <n v="215267.11951177812"/>
    <n v="0.05"/>
    <n v="11329.848395356763"/>
    <n v="2265.9696790713488"/>
    <n v="2265.9696790713488"/>
    <n v="231128.90726527755"/>
  </r>
  <r>
    <s v="Fase 1"/>
    <x v="35"/>
    <s v="D7. Select"/>
    <s v="02. Edificación"/>
    <x v="33"/>
    <x v="7"/>
    <s v="100m2"/>
    <n v="1"/>
    <x v="61"/>
    <m/>
    <x v="260"/>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6"/>
    <s v="D3. Vivienda Campestre"/>
    <s v="02. Edificación"/>
    <x v="34"/>
    <x v="22"/>
    <s v="100m2"/>
    <n v="1"/>
    <x v="103"/>
    <m/>
    <x v="32"/>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3"/>
    <m/>
    <x v="202"/>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3"/>
    <m/>
    <x v="219"/>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3"/>
    <m/>
    <x v="203"/>
    <x v="0"/>
    <n v="0.8"/>
    <n v="17730.496453900709"/>
    <n v="14184.397163120568"/>
    <n v="3377.2374197906111"/>
    <n v="2728.6839097151869"/>
    <m/>
    <m/>
    <n v="20290.318492626364"/>
    <n v="22231.581657848321"/>
    <n v="42521.900150474685"/>
    <n v="0.05"/>
    <n v="2126.0950075237342"/>
    <n v="0.2"/>
    <n v="10630.475037618671"/>
    <n v="55278.47019561709"/>
    <n v="0.05"/>
    <n v="2909.3931681903778"/>
    <n v="581.87863363807469"/>
    <n v="581.87863363807469"/>
    <n v="59351.620631083613"/>
  </r>
  <r>
    <s v="Fase 1"/>
    <x v="36"/>
    <s v="D3. Vivienda Campestre"/>
    <s v="02. Edificación"/>
    <x v="34"/>
    <x v="22"/>
    <s v="100m2"/>
    <n v="1"/>
    <x v="103"/>
    <m/>
    <x v="111"/>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3"/>
    <m/>
    <x v="38"/>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3"/>
    <m/>
    <x v="31"/>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4"/>
    <m/>
    <x v="32"/>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4"/>
    <m/>
    <x v="204"/>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4"/>
    <m/>
    <x v="111"/>
    <x v="0"/>
    <n v="2.5"/>
    <n v="17730.496453900709"/>
    <n v="44326.24113475177"/>
    <n v="10553.866936845659"/>
    <n v="8527.1372178599595"/>
    <m/>
    <m/>
    <n v="63407.245289457394"/>
    <n v="69473.692680776003"/>
    <n v="132880.93797023338"/>
    <n v="0.05"/>
    <n v="6644.0468985116695"/>
    <n v="0.2"/>
    <n v="33220.234492558346"/>
    <n v="172745.2193613034"/>
    <n v="0.05"/>
    <n v="9091.853650594916"/>
    <n v="1818.3707301189831"/>
    <n v="1818.3707301189831"/>
    <n v="185473.81447213626"/>
  </r>
  <r>
    <s v="Fase 1"/>
    <x v="36"/>
    <s v="D3. Vivienda Campestre"/>
    <s v="02. Edificación"/>
    <x v="34"/>
    <x v="22"/>
    <s v="100m2"/>
    <n v="1"/>
    <x v="104"/>
    <m/>
    <x v="178"/>
    <x v="0"/>
    <n v="4"/>
    <n v="17730.496453900709"/>
    <n v="70921.985815602835"/>
    <n v="16886.187098953054"/>
    <n v="13643.419548575934"/>
    <m/>
    <m/>
    <n v="101451.59246313182"/>
    <n v="111157.9082892416"/>
    <n v="212609.50075237342"/>
    <n v="0.05"/>
    <n v="10630.475037618671"/>
    <n v="0.2"/>
    <n v="53152.375188093341"/>
    <n v="276392.35097808542"/>
    <n v="0.05"/>
    <n v="14546.965840951889"/>
    <n v="2909.3931681903732"/>
    <n v="2909.3931681903732"/>
    <n v="296758.10315541807"/>
  </r>
  <r>
    <s v="Fase 1"/>
    <x v="36"/>
    <s v="D3. Vivienda Campestre"/>
    <s v="02. Edificación"/>
    <x v="34"/>
    <x v="22"/>
    <s v="100m2"/>
    <n v="1"/>
    <x v="104"/>
    <m/>
    <x v="205"/>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4"/>
    <m/>
    <x v="38"/>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4"/>
    <m/>
    <x v="31"/>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5"/>
    <m/>
    <x v="32"/>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5"/>
    <m/>
    <x v="111"/>
    <x v="0"/>
    <n v="2.5"/>
    <n v="17730.496453900709"/>
    <n v="44326.24113475177"/>
    <n v="10553.866936845659"/>
    <n v="8527.1372178599595"/>
    <m/>
    <m/>
    <n v="63407.245289457394"/>
    <n v="69473.692680776003"/>
    <n v="132880.93797023338"/>
    <n v="0.05"/>
    <n v="6644.0468985116695"/>
    <n v="0.2"/>
    <n v="33220.234492558346"/>
    <n v="172745.2193613034"/>
    <n v="0.05"/>
    <n v="9091.853650594916"/>
    <n v="1818.3707301189831"/>
    <n v="1818.3707301189831"/>
    <n v="185473.81447213626"/>
  </r>
  <r>
    <s v="Fase 1"/>
    <x v="36"/>
    <s v="D3. Vivienda Campestre"/>
    <s v="02. Edificación"/>
    <x v="34"/>
    <x v="22"/>
    <s v="100m2"/>
    <n v="1"/>
    <x v="105"/>
    <m/>
    <x v="220"/>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5"/>
    <m/>
    <x v="211"/>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5"/>
    <m/>
    <x v="221"/>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5"/>
    <m/>
    <x v="38"/>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5"/>
    <m/>
    <x v="31"/>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6"/>
    <m/>
    <x v="206"/>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6"/>
    <m/>
    <x v="207"/>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6"/>
    <m/>
    <x v="32"/>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6"/>
    <m/>
    <x v="208"/>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6"/>
    <m/>
    <x v="111"/>
    <x v="0"/>
    <n v="2.5"/>
    <n v="17730.496453900709"/>
    <n v="44326.24113475177"/>
    <n v="10553.866936845659"/>
    <n v="8527.1372178599595"/>
    <m/>
    <m/>
    <n v="63407.245289457394"/>
    <n v="69473.692680776003"/>
    <n v="132880.93797023338"/>
    <n v="0.05"/>
    <n v="6644.0468985116695"/>
    <n v="0.2"/>
    <n v="33220.234492558346"/>
    <n v="172745.2193613034"/>
    <n v="0.05"/>
    <n v="9091.853650594916"/>
    <n v="1818.3707301189831"/>
    <n v="1818.3707301189831"/>
    <n v="185473.81447213626"/>
  </r>
  <r>
    <s v="Fase 1"/>
    <x v="36"/>
    <s v="D3. Vivienda Campestre"/>
    <s v="02. Edificación"/>
    <x v="34"/>
    <x v="22"/>
    <s v="100m2"/>
    <n v="1"/>
    <x v="106"/>
    <m/>
    <x v="205"/>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6"/>
    <m/>
    <x v="38"/>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6"/>
    <m/>
    <x v="31"/>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7"/>
    <m/>
    <x v="209"/>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7"/>
    <m/>
    <x v="210"/>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7"/>
    <m/>
    <x v="211"/>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7"/>
    <m/>
    <x v="111"/>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7"/>
    <m/>
    <x v="205"/>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7"/>
    <m/>
    <x v="38"/>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7"/>
    <m/>
    <x v="31"/>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8"/>
    <m/>
    <x v="212"/>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8"/>
    <m/>
    <x v="213"/>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8"/>
    <m/>
    <x v="209"/>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8"/>
    <m/>
    <x v="38"/>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9"/>
    <m/>
    <x v="214"/>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9"/>
    <m/>
    <x v="215"/>
    <x v="0"/>
    <n v="0.2"/>
    <n v="17730.496453900709"/>
    <n v="3546.0992907801419"/>
    <n v="844.30935494765276"/>
    <n v="682.17097742879673"/>
    <m/>
    <m/>
    <n v="5072.579623156591"/>
    <n v="5557.8954144620802"/>
    <n v="10630.475037618671"/>
    <n v="0.05"/>
    <n v="531.52375188093356"/>
    <n v="0.2"/>
    <n v="2657.6187594046678"/>
    <n v="13819.617548904273"/>
    <n v="0.05"/>
    <n v="727.34829204759444"/>
    <n v="145.46965840951867"/>
    <n v="145.46965840951867"/>
    <n v="14837.905157770903"/>
  </r>
  <r>
    <s v="Fase 1"/>
    <x v="36"/>
    <s v="D3. Vivienda Campestre"/>
    <s v="02. Edificación"/>
    <x v="34"/>
    <x v="22"/>
    <s v="100m2"/>
    <n v="1"/>
    <x v="109"/>
    <m/>
    <x v="216"/>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9"/>
    <m/>
    <x v="217"/>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9"/>
    <m/>
    <x v="218"/>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9"/>
    <m/>
    <x v="38"/>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Und"/>
    <n v="1"/>
    <x v="76"/>
    <m/>
    <x v="27"/>
    <x v="0"/>
    <n v="0.25"/>
    <n v="17730.496453900709"/>
    <n v="4432.6241134751772"/>
    <n v="1055.3866936845659"/>
    <n v="852.71372178599586"/>
    <m/>
    <m/>
    <n v="6340.7245289457387"/>
    <n v="6947.3692680776003"/>
    <n v="13288.093797023339"/>
    <n v="0.05"/>
    <n v="664.40468985116695"/>
    <n v="0.2"/>
    <n v="3322.0234492558338"/>
    <n v="17274.521936130339"/>
    <n v="0.05"/>
    <n v="909.18536505949305"/>
    <n v="181.83707301189833"/>
    <n v="181.83707301189833"/>
    <n v="18547.381447213629"/>
  </r>
  <r>
    <s v="Fase 1"/>
    <x v="37"/>
    <s v="D7. Select"/>
    <s v="02. Edificación"/>
    <x v="34"/>
    <x v="22"/>
    <s v="100m2"/>
    <n v="1"/>
    <x v="103"/>
    <m/>
    <x v="32"/>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3"/>
    <m/>
    <x v="202"/>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3"/>
    <m/>
    <x v="281"/>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3"/>
    <m/>
    <x v="111"/>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3"/>
    <m/>
    <x v="38"/>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3"/>
    <m/>
    <x v="31"/>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4"/>
    <m/>
    <x v="32"/>
    <x v="0"/>
    <n v="0.2"/>
    <n v="17730.496453900709"/>
    <n v="3546.0992907801419"/>
    <n v="844.30935494765276"/>
    <n v="682.17097742879673"/>
    <m/>
    <m/>
    <n v="5072.579623156591"/>
    <n v="5557.8954144620802"/>
    <n v="10630.475037618671"/>
    <n v="0.1"/>
    <n v="1063.0475037618671"/>
    <n v="0.2"/>
    <n v="2657.6187594046678"/>
    <n v="14351.141300785206"/>
    <n v="0.05"/>
    <n v="755.32322635711716"/>
    <n v="151.06464527142325"/>
    <n v="151.06464527142325"/>
    <n v="15408.593817685169"/>
  </r>
  <r>
    <s v="Fase 1"/>
    <x v="37"/>
    <s v="D7. Select"/>
    <s v="02. Edificación"/>
    <x v="34"/>
    <x v="22"/>
    <s v="100m2"/>
    <n v="1"/>
    <x v="104"/>
    <m/>
    <x v="204"/>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4"/>
    <m/>
    <x v="111"/>
    <x v="0"/>
    <n v="1.5"/>
    <n v="17730.496453900709"/>
    <n v="26595.744680851065"/>
    <n v="6332.3201621073949"/>
    <n v="5116.2823307159751"/>
    <m/>
    <m/>
    <n v="38044.34717367444"/>
    <n v="41684.215608465602"/>
    <n v="79728.562782140041"/>
    <n v="0.1"/>
    <n v="7972.8562782140043"/>
    <n v="0.2"/>
    <n v="19932.14069553501"/>
    <n v="107633.55975588906"/>
    <n v="0.05"/>
    <n v="5664.9241976783815"/>
    <n v="1132.9848395356744"/>
    <n v="1132.9848395356744"/>
    <n v="115564.45363263878"/>
  </r>
  <r>
    <s v="Fase 1"/>
    <x v="37"/>
    <s v="D7. Select"/>
    <s v="02. Edificación"/>
    <x v="34"/>
    <x v="22"/>
    <s v="100m2"/>
    <n v="1"/>
    <x v="104"/>
    <m/>
    <x v="178"/>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7"/>
    <s v="D7. Select"/>
    <s v="02. Edificación"/>
    <x v="34"/>
    <x v="22"/>
    <s v="100m2"/>
    <n v="1"/>
    <x v="104"/>
    <m/>
    <x v="205"/>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4"/>
    <m/>
    <x v="38"/>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4"/>
    <m/>
    <x v="31"/>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5"/>
    <m/>
    <x v="32"/>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5"/>
    <m/>
    <x v="111"/>
    <x v="0"/>
    <n v="1.5"/>
    <n v="17730.496453900709"/>
    <n v="26595.744680851065"/>
    <n v="6332.3201621073949"/>
    <n v="5116.2823307159751"/>
    <m/>
    <m/>
    <n v="38044.34717367444"/>
    <n v="41684.215608465602"/>
    <n v="79728.562782140041"/>
    <n v="0.1"/>
    <n v="7972.8562782140043"/>
    <n v="0.2"/>
    <n v="19932.14069553501"/>
    <n v="107633.55975588906"/>
    <n v="0.05"/>
    <n v="5664.9241976783815"/>
    <n v="1132.9848395356744"/>
    <n v="1132.9848395356744"/>
    <n v="115564.45363263878"/>
  </r>
  <r>
    <s v="Fase 1"/>
    <x v="37"/>
    <s v="D7. Select"/>
    <s v="02. Edificación"/>
    <x v="34"/>
    <x v="22"/>
    <s v="100m2"/>
    <n v="1"/>
    <x v="105"/>
    <m/>
    <x v="220"/>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5"/>
    <m/>
    <x v="211"/>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5"/>
    <m/>
    <x v="221"/>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5"/>
    <m/>
    <x v="38"/>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5"/>
    <m/>
    <x v="31"/>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6"/>
    <m/>
    <x v="206"/>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6"/>
    <m/>
    <x v="207"/>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6"/>
    <m/>
    <x v="32"/>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6"/>
    <m/>
    <x v="208"/>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6"/>
    <m/>
    <x v="111"/>
    <x v="0"/>
    <n v="1.5"/>
    <n v="17730.496453900709"/>
    <n v="26595.744680851065"/>
    <n v="6332.3201621073949"/>
    <n v="5116.2823307159751"/>
    <m/>
    <m/>
    <n v="38044.34717367444"/>
    <n v="41684.215608465602"/>
    <n v="79728.562782140041"/>
    <n v="0.1"/>
    <n v="7972.8562782140043"/>
    <n v="0.2"/>
    <n v="19932.14069553501"/>
    <n v="107633.55975588906"/>
    <n v="0.05"/>
    <n v="5664.9241976783815"/>
    <n v="1132.9848395356744"/>
    <n v="1132.9848395356744"/>
    <n v="115564.45363263878"/>
  </r>
  <r>
    <s v="Fase 1"/>
    <x v="37"/>
    <s v="D7. Select"/>
    <s v="02. Edificación"/>
    <x v="34"/>
    <x v="22"/>
    <s v="100m2"/>
    <n v="1"/>
    <x v="106"/>
    <m/>
    <x v="205"/>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6"/>
    <m/>
    <x v="38"/>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6"/>
    <m/>
    <x v="31"/>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7"/>
    <m/>
    <x v="209"/>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7"/>
    <m/>
    <x v="210"/>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7"/>
    <m/>
    <x v="211"/>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7"/>
    <m/>
    <x v="111"/>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7"/>
    <m/>
    <x v="205"/>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7"/>
    <m/>
    <x v="38"/>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7"/>
    <m/>
    <x v="31"/>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8"/>
    <m/>
    <x v="212"/>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8"/>
    <m/>
    <x v="213"/>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8"/>
    <m/>
    <x v="209"/>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8"/>
    <m/>
    <x v="38"/>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9"/>
    <m/>
    <x v="214"/>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6"/>
    <s v="D3. Vivienda Campestre"/>
    <s v="02. Edificación"/>
    <x v="34"/>
    <x v="22"/>
    <s v="100m2"/>
    <n v="1"/>
    <x v="109"/>
    <m/>
    <x v="215"/>
    <x v="0"/>
    <n v="0.2"/>
    <n v="17730.496453900709"/>
    <n v="3546.0992907801419"/>
    <n v="844.30935494765276"/>
    <n v="682.17097742879673"/>
    <m/>
    <m/>
    <n v="5072.579623156591"/>
    <n v="5557.8954144620802"/>
    <n v="10630.475037618671"/>
    <n v="0.1"/>
    <n v="1063.0475037618671"/>
    <n v="0.2"/>
    <n v="2657.6187594046678"/>
    <n v="14351.141300785206"/>
    <n v="0.05"/>
    <n v="755.32322635711716"/>
    <n v="151.06464527142325"/>
    <n v="151.06464527142325"/>
    <n v="15408.593817685169"/>
  </r>
  <r>
    <s v="Fase 1"/>
    <x v="36"/>
    <s v="D3. Vivienda Campestre"/>
    <s v="02. Edificación"/>
    <x v="34"/>
    <x v="22"/>
    <s v="100m2"/>
    <n v="1"/>
    <x v="109"/>
    <m/>
    <x v="216"/>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6"/>
    <s v="D3. Vivienda Campestre"/>
    <s v="02. Edificación"/>
    <x v="34"/>
    <x v="22"/>
    <s v="100m2"/>
    <n v="1"/>
    <x v="109"/>
    <m/>
    <x v="217"/>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6"/>
    <s v="D3. Vivienda Campestre"/>
    <s v="02. Edificación"/>
    <x v="34"/>
    <x v="22"/>
    <s v="100m2"/>
    <n v="1"/>
    <x v="109"/>
    <m/>
    <x v="218"/>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6"/>
    <s v="D3. Vivienda Campestre"/>
    <s v="02. Edificación"/>
    <x v="34"/>
    <x v="22"/>
    <s v="100m2"/>
    <n v="1"/>
    <x v="109"/>
    <m/>
    <x v="38"/>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6"/>
    <s v="D3. Vivienda Campestre"/>
    <s v="02. Edificación"/>
    <x v="34"/>
    <x v="22"/>
    <s v="Und"/>
    <n v="1"/>
    <x v="76"/>
    <m/>
    <x v="27"/>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2"/>
    <x v="38"/>
    <s v="D3. Vivienda Campestre"/>
    <s v="02. Edificación"/>
    <x v="35"/>
    <x v="27"/>
    <s v="100m2"/>
    <n v="1"/>
    <x v="21"/>
    <m/>
    <x v="49"/>
    <x v="0"/>
    <n v="9.4"/>
    <n v="17730.496453900709"/>
    <n v="166666.66666666666"/>
    <n v="39682.539682539682"/>
    <n v="32062.035939153444"/>
    <m/>
    <m/>
    <n v="238411.24228835979"/>
    <n v="261221.08447971777"/>
    <n v="499632.32676807756"/>
    <n v="0.1"/>
    <n v="49963.232676807762"/>
    <n v="0.3"/>
    <n v="214128.14004346181"/>
    <n v="763723.69948834716"/>
    <n v="0.05"/>
    <n v="40195.984183597262"/>
    <n v="8039.196836719444"/>
    <n v="8039.196836719444"/>
    <n v="819998.07734538324"/>
  </r>
  <r>
    <s v="Fase 2"/>
    <x v="38"/>
    <s v="D3. Vivienda Campestre"/>
    <s v="02. Edificación"/>
    <x v="35"/>
    <x v="27"/>
    <s v="100m2"/>
    <n v="1"/>
    <x v="21"/>
    <m/>
    <x v="50"/>
    <x v="0"/>
    <n v="5"/>
    <n v="17730.496453900709"/>
    <n v="88652.48226950354"/>
    <n v="21107.733873691319"/>
    <n v="17054.274435719919"/>
    <m/>
    <m/>
    <n v="126814.49057891479"/>
    <n v="138947.38536155201"/>
    <n v="265761.87594046677"/>
    <n v="0.1"/>
    <n v="26576.187594046678"/>
    <n v="0.3"/>
    <n v="113897.94683162862"/>
    <n v="406236.01036614209"/>
    <n v="0.05"/>
    <n v="21380.842650849605"/>
    <n v="4276.1685301699172"/>
    <n v="4276.1685301699172"/>
    <n v="436169.19007733156"/>
  </r>
  <r>
    <s v="Fase 2"/>
    <x v="38"/>
    <s v="D3. Vivienda Campestre"/>
    <s v="02. Edificación"/>
    <x v="35"/>
    <x v="27"/>
    <s v="100m2"/>
    <n v="1"/>
    <x v="21"/>
    <m/>
    <x v="51"/>
    <x v="0"/>
    <n v="0.3"/>
    <n v="17730.496453900709"/>
    <n v="5319.1489361702124"/>
    <n v="1266.464032421479"/>
    <n v="1023.256466143195"/>
    <m/>
    <m/>
    <n v="7608.8694347348865"/>
    <n v="8336.8431216931203"/>
    <n v="15945.712556428007"/>
    <n v="0.1"/>
    <n v="1594.5712556428007"/>
    <n v="0.3"/>
    <n v="6833.8768098977198"/>
    <n v="24374.160621968527"/>
    <n v="0.05"/>
    <n v="1282.8505590509776"/>
    <n v="256.57011181019504"/>
    <n v="256.57011181019504"/>
    <n v="26170.151404639892"/>
  </r>
  <r>
    <s v="Fase 2"/>
    <x v="38"/>
    <s v="D3. Vivienda Campestre"/>
    <s v="02. Edificación"/>
    <x v="35"/>
    <x v="27"/>
    <s v="100m2"/>
    <n v="1"/>
    <x v="23"/>
    <m/>
    <x v="282"/>
    <x v="0"/>
    <n v="9"/>
    <n v="17730.496453900709"/>
    <n v="159574.46808510637"/>
    <n v="37993.920972644373"/>
    <n v="30697.693984295853"/>
    <m/>
    <m/>
    <n v="228266.08304204661"/>
    <n v="250105.29365079361"/>
    <n v="478371.37669284025"/>
    <m/>
    <n v="0"/>
    <n v="0.3"/>
    <n v="205016.3042969316"/>
    <n v="683387.68098977185"/>
    <m/>
    <n v="0"/>
    <n v="6833.8768098977189"/>
    <n v="6833.8768098977189"/>
    <n v="697055.43460956728"/>
  </r>
  <r>
    <s v="Fase 2"/>
    <x v="39"/>
    <s v="D3. Vivienda Campestre"/>
    <s v="02. Edificación"/>
    <x v="36"/>
    <x v="7"/>
    <s v="100m2"/>
    <n v="1"/>
    <x v="110"/>
    <m/>
    <x v="273"/>
    <x v="0"/>
    <n v="0.25"/>
    <n v="17730.496453900709"/>
    <n v="4432.6241134751772"/>
    <n v="1055.3866936845659"/>
    <n v="852.71372178599586"/>
    <m/>
    <m/>
    <n v="6340.7245289457387"/>
    <n v="6947.3692680776003"/>
    <n v="13288.093797023339"/>
    <n v="0.05"/>
    <n v="664.40468985116695"/>
    <n v="0.4"/>
    <n v="8858.7291980155605"/>
    <n v="22811.227684890066"/>
    <n v="0.05"/>
    <n v="1200.5909307836882"/>
    <n v="240.11818615673755"/>
    <n v="240.11818615673755"/>
    <n v="24492.054987987231"/>
  </r>
  <r>
    <s v="Fase 2"/>
    <x v="39"/>
    <s v="D3. Vivienda Campestre"/>
    <s v="02. Edificación"/>
    <x v="36"/>
    <x v="7"/>
    <s v="100m2"/>
    <n v="1"/>
    <x v="110"/>
    <m/>
    <x v="274"/>
    <x v="0"/>
    <n v="0.25"/>
    <n v="17730.496453900709"/>
    <n v="4432.6241134751772"/>
    <n v="1055.3866936845659"/>
    <n v="852.71372178599586"/>
    <m/>
    <m/>
    <n v="6340.7245289457387"/>
    <n v="6947.3692680776003"/>
    <n v="13288.093797023339"/>
    <n v="0.05"/>
    <n v="664.40468985116695"/>
    <n v="0.4"/>
    <n v="8858.7291980155605"/>
    <n v="22811.227684890066"/>
    <n v="0.05"/>
    <n v="1200.5909307836882"/>
    <n v="240.11818615673755"/>
    <n v="240.11818615673755"/>
    <n v="24492.054987987231"/>
  </r>
  <r>
    <s v="Fase 2"/>
    <x v="39"/>
    <s v="D3. Vivienda Campestre"/>
    <s v="02. Edificación"/>
    <x v="36"/>
    <x v="7"/>
    <s v="100m2"/>
    <n v="1"/>
    <x v="110"/>
    <m/>
    <x v="237"/>
    <x v="0"/>
    <n v="2"/>
    <n v="17730.496453900709"/>
    <n v="35460.992907801417"/>
    <n v="8443.0935494765272"/>
    <n v="6821.7097742879669"/>
    <m/>
    <m/>
    <n v="50725.79623156591"/>
    <n v="55578.954144620802"/>
    <n v="106304.75037618671"/>
    <n v="0.05"/>
    <n v="5315.2375188093356"/>
    <n v="0.4"/>
    <n v="70869.833584124484"/>
    <n v="182489.82147912052"/>
    <n v="0.05"/>
    <n v="9604.7274462695059"/>
    <n v="1920.9454892539004"/>
    <n v="1920.9454892539004"/>
    <n v="195936.43990389784"/>
  </r>
  <r>
    <s v="Fase 2"/>
    <x v="39"/>
    <s v="D3. Vivienda Campestre"/>
    <s v="02. Edificación"/>
    <x v="36"/>
    <x v="7"/>
    <s v="100m2"/>
    <n v="1"/>
    <x v="110"/>
    <m/>
    <x v="238"/>
    <x v="0"/>
    <n v="2"/>
    <n v="17730.496453900709"/>
    <n v="35460.992907801417"/>
    <n v="8443.0935494765272"/>
    <n v="6821.7097742879669"/>
    <m/>
    <m/>
    <n v="50725.79623156591"/>
    <n v="55578.954144620802"/>
    <n v="106304.75037618671"/>
    <n v="0.05"/>
    <n v="5315.2375188093356"/>
    <n v="0.4"/>
    <n v="70869.833584124484"/>
    <n v="182489.82147912052"/>
    <n v="0.05"/>
    <n v="9604.7274462695059"/>
    <n v="1920.9454892539004"/>
    <n v="1920.9454892539004"/>
    <n v="195936.43990389784"/>
  </r>
  <r>
    <s v="Fase 2"/>
    <x v="39"/>
    <s v="D3. Vivienda Campestre"/>
    <s v="02. Edificación"/>
    <x v="36"/>
    <x v="7"/>
    <s v="100m2"/>
    <n v="1"/>
    <x v="110"/>
    <m/>
    <x v="239"/>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0"/>
    <m/>
    <x v="240"/>
    <x v="0"/>
    <n v="2"/>
    <n v="17730.496453900709"/>
    <n v="35460.992907801417"/>
    <n v="8443.0935494765272"/>
    <n v="6821.7097742879669"/>
    <m/>
    <m/>
    <n v="50725.79623156591"/>
    <n v="55578.954144620802"/>
    <n v="106304.75037618671"/>
    <n v="0.05"/>
    <n v="5315.2375188093356"/>
    <n v="0.4"/>
    <n v="70869.833584124484"/>
    <n v="182489.82147912052"/>
    <n v="0.05"/>
    <n v="9604.7274462695059"/>
    <n v="1920.9454892539004"/>
    <n v="1920.9454892539004"/>
    <n v="195936.43990389784"/>
  </r>
  <r>
    <s v="Fase 2"/>
    <x v="39"/>
    <s v="D3. Vivienda Campestre"/>
    <s v="02. Edificación"/>
    <x v="36"/>
    <x v="7"/>
    <s v="100m2"/>
    <n v="1"/>
    <x v="110"/>
    <m/>
    <x v="241"/>
    <x v="0"/>
    <n v="2"/>
    <n v="17730.496453900709"/>
    <n v="35460.992907801417"/>
    <n v="8443.0935494765272"/>
    <n v="6821.7097742879669"/>
    <m/>
    <m/>
    <n v="50725.79623156591"/>
    <n v="55578.954144620802"/>
    <n v="106304.75037618671"/>
    <n v="0.05"/>
    <n v="5315.2375188093356"/>
    <n v="0.4"/>
    <n v="70869.833584124484"/>
    <n v="182489.82147912052"/>
    <n v="0.05"/>
    <n v="9604.7274462695059"/>
    <n v="1920.9454892539004"/>
    <n v="1920.9454892539004"/>
    <n v="195936.43990389784"/>
  </r>
  <r>
    <s v="Fase 2"/>
    <x v="39"/>
    <s v="D3. Vivienda Campestre"/>
    <s v="02. Edificación"/>
    <x v="36"/>
    <x v="7"/>
    <s v="100m2"/>
    <n v="1"/>
    <x v="110"/>
    <m/>
    <x v="242"/>
    <x v="0"/>
    <n v="8"/>
    <n v="17730.496453900709"/>
    <n v="141843.97163120567"/>
    <n v="33772.374197906109"/>
    <n v="27286.839097151867"/>
    <m/>
    <m/>
    <n v="202903.18492626364"/>
    <n v="222315.81657848321"/>
    <n v="425219.00150474685"/>
    <n v="0.05"/>
    <n v="21260.950075237342"/>
    <n v="0.4"/>
    <n v="283479.33433649794"/>
    <n v="729959.2859164821"/>
    <n v="0.05"/>
    <n v="38418.909785078024"/>
    <n v="7683.7819570156016"/>
    <n v="7683.7819570156016"/>
    <n v="783745.75961559138"/>
  </r>
  <r>
    <s v="Fase 2"/>
    <x v="39"/>
    <s v="D3. Vivienda Campestre"/>
    <s v="02. Edificación"/>
    <x v="36"/>
    <x v="7"/>
    <s v="100m2"/>
    <n v="1"/>
    <x v="110"/>
    <m/>
    <x v="243"/>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0"/>
    <m/>
    <x v="244"/>
    <x v="0"/>
    <n v="2"/>
    <n v="17730.496453900709"/>
    <n v="35460.992907801417"/>
    <n v="8443.0935494765272"/>
    <n v="6821.7097742879669"/>
    <m/>
    <m/>
    <n v="50725.79623156591"/>
    <n v="55578.954144620802"/>
    <n v="106304.75037618671"/>
    <n v="0.05"/>
    <n v="5315.2375188093356"/>
    <n v="0.4"/>
    <n v="70869.833584124484"/>
    <n v="182489.82147912052"/>
    <n v="0.05"/>
    <n v="9604.7274462695059"/>
    <n v="1920.9454892539004"/>
    <n v="1920.9454892539004"/>
    <n v="195936.43990389784"/>
  </r>
  <r>
    <s v="Fase 2"/>
    <x v="39"/>
    <s v="D3. Vivienda Campestre"/>
    <s v="02. Edificación"/>
    <x v="36"/>
    <x v="7"/>
    <s v="100m2"/>
    <n v="1"/>
    <x v="111"/>
    <m/>
    <x v="245"/>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1"/>
    <m/>
    <x v="246"/>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1"/>
    <m/>
    <x v="247"/>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1"/>
    <m/>
    <x v="182"/>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1"/>
    <m/>
    <x v="128"/>
    <x v="0"/>
    <n v="2"/>
    <n v="17730.496453900709"/>
    <n v="35460.992907801417"/>
    <n v="8443.0935494765272"/>
    <n v="6821.7097742879669"/>
    <m/>
    <m/>
    <n v="50725.79623156591"/>
    <n v="55578.954144620802"/>
    <n v="106304.75037618671"/>
    <n v="0.05"/>
    <n v="5315.2375188093356"/>
    <n v="0.4"/>
    <n v="70869.833584124484"/>
    <n v="182489.82147912052"/>
    <n v="0.05"/>
    <n v="9604.7274462695059"/>
    <n v="1920.9454892539004"/>
    <n v="1920.9454892539004"/>
    <n v="195936.43990389784"/>
  </r>
  <r>
    <s v="Fase 2"/>
    <x v="39"/>
    <s v="D3. Vivienda Campestre"/>
    <s v="02. Edificación"/>
    <x v="36"/>
    <x v="7"/>
    <s v="100m2"/>
    <n v="1"/>
    <x v="112"/>
    <m/>
    <x v="248"/>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2"/>
    <m/>
    <x v="249"/>
    <x v="0"/>
    <n v="0.5"/>
    <n v="17730.496453900709"/>
    <n v="8865.2482269503544"/>
    <n v="2110.7733873691318"/>
    <n v="1705.4274435719917"/>
    <m/>
    <m/>
    <n v="12681.449057891477"/>
    <n v="13894.738536155201"/>
    <n v="26576.187594046678"/>
    <n v="0.05"/>
    <n v="1328.8093797023339"/>
    <n v="0.4"/>
    <n v="17717.458396031121"/>
    <n v="45622.455369780131"/>
    <n v="0.05"/>
    <n v="2401.1818615673765"/>
    <n v="480.2363723134751"/>
    <n v="480.2363723134751"/>
    <n v="48984.109975974461"/>
  </r>
  <r>
    <s v="Fase 2"/>
    <x v="39"/>
    <s v="D3. Vivienda Campestre"/>
    <s v="02. Edificación"/>
    <x v="36"/>
    <x v="7"/>
    <s v="100m2"/>
    <n v="1"/>
    <x v="112"/>
    <m/>
    <x v="250"/>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2"/>
    <m/>
    <x v="251"/>
    <x v="0"/>
    <n v="0.5"/>
    <n v="17730.496453900709"/>
    <n v="8865.2482269503544"/>
    <n v="2110.7733873691318"/>
    <n v="1705.4274435719917"/>
    <m/>
    <m/>
    <n v="12681.449057891477"/>
    <n v="13894.738536155201"/>
    <n v="26576.187594046678"/>
    <n v="0.05"/>
    <n v="1328.8093797023339"/>
    <n v="0.4"/>
    <n v="17717.458396031121"/>
    <n v="45622.455369780131"/>
    <n v="0.05"/>
    <n v="2401.1818615673765"/>
    <n v="480.2363723134751"/>
    <n v="480.2363723134751"/>
    <n v="48984.109975974461"/>
  </r>
  <r>
    <s v="Fase 2"/>
    <x v="39"/>
    <s v="D3. Vivienda Campestre"/>
    <s v="02. Edificación"/>
    <x v="36"/>
    <x v="7"/>
    <s v="100m2"/>
    <n v="1"/>
    <x v="112"/>
    <m/>
    <x v="187"/>
    <x v="0"/>
    <n v="0.5"/>
    <n v="17730.496453900709"/>
    <n v="8865.2482269503544"/>
    <n v="2110.7733873691318"/>
    <n v="1705.4274435719917"/>
    <m/>
    <m/>
    <n v="12681.449057891477"/>
    <n v="13894.738536155201"/>
    <n v="26576.187594046678"/>
    <n v="0.05"/>
    <n v="1328.8093797023339"/>
    <n v="0.4"/>
    <n v="17717.458396031121"/>
    <n v="45622.455369780131"/>
    <n v="0.05"/>
    <n v="2401.1818615673765"/>
    <n v="480.2363723134751"/>
    <n v="480.2363723134751"/>
    <n v="48984.109975974461"/>
  </r>
  <r>
    <s v="Fase 2"/>
    <x v="39"/>
    <s v="D3. Vivienda Campestre"/>
    <s v="02. Edificación"/>
    <x v="36"/>
    <x v="7"/>
    <s v="100m2"/>
    <n v="1"/>
    <x v="113"/>
    <m/>
    <x v="257"/>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4"/>
    <m/>
    <x v="258"/>
    <x v="0"/>
    <n v="0.5"/>
    <n v="17730.496453900709"/>
    <n v="8865.2482269503544"/>
    <n v="2110.7733873691318"/>
    <n v="1705.4274435719917"/>
    <m/>
    <m/>
    <n v="12681.449057891477"/>
    <n v="13894.738536155201"/>
    <n v="26576.187594046678"/>
    <n v="0.05"/>
    <n v="1328.8093797023339"/>
    <n v="0.4"/>
    <n v="17717.458396031121"/>
    <n v="45622.455369780131"/>
    <n v="0.05"/>
    <n v="2401.1818615673765"/>
    <n v="480.2363723134751"/>
    <n v="480.2363723134751"/>
    <n v="48984.109975974461"/>
  </r>
  <r>
    <s v="Fase 2"/>
    <x v="39"/>
    <s v="D3. Vivienda Campestre"/>
    <s v="02. Edificación"/>
    <x v="36"/>
    <x v="7"/>
    <s v="100m2"/>
    <n v="1"/>
    <x v="114"/>
    <m/>
    <x v="259"/>
    <x v="0"/>
    <n v="0.5"/>
    <n v="17730.496453900709"/>
    <n v="8865.2482269503544"/>
    <n v="2110.7733873691318"/>
    <n v="1705.4274435719917"/>
    <m/>
    <m/>
    <n v="12681.449057891477"/>
    <n v="13894.738536155201"/>
    <n v="26576.187594046678"/>
    <n v="0.05"/>
    <n v="1328.8093797023339"/>
    <n v="0.4"/>
    <n v="17717.458396031121"/>
    <n v="45622.455369780131"/>
    <n v="0.05"/>
    <n v="2401.1818615673765"/>
    <n v="480.2363723134751"/>
    <n v="480.2363723134751"/>
    <n v="48984.109975974461"/>
  </r>
  <r>
    <s v="Fase 2"/>
    <x v="39"/>
    <s v="D3. Vivienda Campestre"/>
    <s v="02. Edificación"/>
    <x v="36"/>
    <x v="7"/>
    <s v="100m2"/>
    <n v="1"/>
    <x v="114"/>
    <m/>
    <x v="132"/>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4"/>
    <m/>
    <x v="133"/>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4"/>
    <m/>
    <x v="255"/>
    <x v="0"/>
    <n v="0.5"/>
    <n v="17730.496453900709"/>
    <n v="8865.2482269503544"/>
    <n v="2110.7733873691318"/>
    <n v="1705.4274435719917"/>
    <m/>
    <m/>
    <n v="12681.449057891477"/>
    <n v="13894.738536155201"/>
    <n v="26576.187594046678"/>
    <n v="0.05"/>
    <n v="1328.8093797023339"/>
    <n v="0.4"/>
    <n v="17717.458396031121"/>
    <n v="45622.455369780131"/>
    <n v="0.05"/>
    <n v="2401.1818615673765"/>
    <n v="480.2363723134751"/>
    <n v="480.2363723134751"/>
    <n v="48984.109975974461"/>
  </r>
  <r>
    <s v="Fase 2"/>
    <x v="39"/>
    <s v="D3. Vivienda Campestre"/>
    <s v="02. Edificación"/>
    <x v="36"/>
    <x v="7"/>
    <s v="Und"/>
    <n v="1"/>
    <x v="115"/>
    <m/>
    <x v="260"/>
    <x v="0"/>
    <n v="0.2"/>
    <n v="17730.496453900709"/>
    <n v="3546.0992907801419"/>
    <n v="844.30935494765276"/>
    <n v="682.17097742879673"/>
    <m/>
    <m/>
    <n v="5072.579623156591"/>
    <n v="5557.8954144620802"/>
    <n v="10630.475037618671"/>
    <n v="0.05"/>
    <n v="531.52375188093356"/>
    <n v="0.4"/>
    <n v="7086.9833584124499"/>
    <n v="18248.982147912055"/>
    <n v="0.05"/>
    <n v="960.47274462694986"/>
    <n v="192.09454892539006"/>
    <n v="192.09454892539006"/>
    <n v="19593.643990389784"/>
  </r>
  <r>
    <s v="Fase 2"/>
    <x v="40"/>
    <s v="D3. Vivienda Campestre"/>
    <s v="02. Edificación"/>
    <x v="37"/>
    <x v="28"/>
    <s v="100m2"/>
    <n v="1"/>
    <x v="116"/>
    <m/>
    <x v="29"/>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6"/>
    <m/>
    <x v="30"/>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6"/>
    <m/>
    <x v="31"/>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Und"/>
    <n v="1"/>
    <x v="117"/>
    <m/>
    <x v="32"/>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Und"/>
    <n v="1"/>
    <x v="117"/>
    <m/>
    <x v="33"/>
    <x v="0"/>
    <n v="1"/>
    <n v="17730.496453900709"/>
    <n v="17730.496453900709"/>
    <n v="4221.5467747382636"/>
    <n v="3410.8548871439834"/>
    <m/>
    <m/>
    <n v="25362.898115782955"/>
    <n v="27789.477072310401"/>
    <n v="53152.375188093356"/>
    <n v="0.05"/>
    <n v="2657.6187594046678"/>
    <n v="0.3"/>
    <n v="22779.58936632573"/>
    <n v="78589.58331382375"/>
    <n v="0.05"/>
    <n v="4136.2938586223027"/>
    <n v="827.25877172446053"/>
    <n v="827.25877172446053"/>
    <n v="84380.394715894974"/>
  </r>
  <r>
    <s v="Fase 2"/>
    <x v="40"/>
    <s v="D3. Vivienda Campestre"/>
    <s v="02. Edificación"/>
    <x v="37"/>
    <x v="28"/>
    <s v="100m2"/>
    <n v="1"/>
    <x v="117"/>
    <m/>
    <x v="29"/>
    <x v="0"/>
    <n v="2"/>
    <n v="17730.496453900709"/>
    <n v="35460.992907801417"/>
    <n v="8443.0935494765272"/>
    <n v="6821.7097742879669"/>
    <m/>
    <m/>
    <n v="50725.79623156591"/>
    <n v="55578.954144620802"/>
    <n v="106304.75037618671"/>
    <n v="0.05"/>
    <n v="5315.2375188093356"/>
    <n v="0.3"/>
    <n v="45559.17873265146"/>
    <n v="157179.1666276475"/>
    <n v="0.05"/>
    <n v="8272.5877172446053"/>
    <n v="1654.5175434489211"/>
    <n v="1654.5175434489211"/>
    <n v="168760.78943178995"/>
  </r>
  <r>
    <s v="Fase 2"/>
    <x v="40"/>
    <s v="D3. Vivienda Campestre"/>
    <s v="02. Edificación"/>
    <x v="37"/>
    <x v="28"/>
    <s v="Und"/>
    <n v="1"/>
    <x v="117"/>
    <m/>
    <x v="44"/>
    <x v="0"/>
    <n v="2"/>
    <n v="17730.496453900709"/>
    <n v="35460.992907801417"/>
    <n v="8443.0935494765272"/>
    <n v="6821.7097742879669"/>
    <m/>
    <m/>
    <n v="50725.79623156591"/>
    <n v="55578.954144620802"/>
    <n v="106304.75037618671"/>
    <n v="0.05"/>
    <n v="5315.2375188093356"/>
    <n v="0.3"/>
    <n v="45559.17873265146"/>
    <n v="157179.1666276475"/>
    <n v="0.05"/>
    <n v="8272.5877172446053"/>
    <n v="1654.5175434489211"/>
    <n v="1654.5175434489211"/>
    <n v="168760.78943178995"/>
  </r>
  <r>
    <s v="Fase 2"/>
    <x v="40"/>
    <s v="D3. Vivienda Campestre"/>
    <s v="02. Edificación"/>
    <x v="37"/>
    <x v="28"/>
    <s v="Und"/>
    <n v="1"/>
    <x v="117"/>
    <m/>
    <x v="30"/>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100m2"/>
    <n v="1"/>
    <x v="117"/>
    <m/>
    <x v="34"/>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7"/>
    <m/>
    <x v="31"/>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Und"/>
    <n v="1"/>
    <x v="118"/>
    <m/>
    <x v="32"/>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Und"/>
    <n v="1"/>
    <x v="118"/>
    <m/>
    <x v="29"/>
    <x v="0"/>
    <n v="1"/>
    <n v="17730.496453900709"/>
    <n v="17730.496453900709"/>
    <n v="4221.5467747382636"/>
    <n v="3410.8548871439834"/>
    <m/>
    <m/>
    <n v="25362.898115782955"/>
    <n v="27789.477072310401"/>
    <n v="53152.375188093356"/>
    <n v="0.05"/>
    <n v="2657.6187594046678"/>
    <n v="0.3"/>
    <n v="22779.58936632573"/>
    <n v="78589.58331382375"/>
    <n v="0.05"/>
    <n v="4136.2938586223027"/>
    <n v="827.25877172446053"/>
    <n v="827.25877172446053"/>
    <n v="84380.394715894974"/>
  </r>
  <r>
    <s v="Fase 2"/>
    <x v="40"/>
    <s v="D3. Vivienda Campestre"/>
    <s v="02. Edificación"/>
    <x v="37"/>
    <x v="28"/>
    <s v="Und"/>
    <n v="1"/>
    <x v="118"/>
    <m/>
    <x v="35"/>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8"/>
    <m/>
    <x v="36"/>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8"/>
    <m/>
    <x v="37"/>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8"/>
    <m/>
    <x v="38"/>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Und"/>
    <n v="1"/>
    <x v="118"/>
    <m/>
    <x v="34"/>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8"/>
    <m/>
    <x v="31"/>
    <x v="0"/>
    <n v="0.21"/>
    <n v="17730.496453900709"/>
    <n v="3723.4042553191489"/>
    <n v="886.52482269503537"/>
    <n v="716.27952630023651"/>
    <m/>
    <m/>
    <n v="5326.2086043144209"/>
    <n v="5835.7901851851839"/>
    <n v="11161.998789499605"/>
    <n v="0.05"/>
    <n v="558.09993947498026"/>
    <n v="0.3"/>
    <n v="4783.7137669284039"/>
    <n v="16503.812495902988"/>
    <n v="0.05"/>
    <n v="868.62171031068283"/>
    <n v="173.72434206213671"/>
    <n v="173.72434206213671"/>
    <n v="17719.882890337947"/>
  </r>
  <r>
    <s v="Fase 2"/>
    <x v="40"/>
    <s v="D3. Vivienda Campestre"/>
    <s v="02. Edificación"/>
    <x v="37"/>
    <x v="28"/>
    <s v="Und"/>
    <n v="1"/>
    <x v="119"/>
    <m/>
    <x v="39"/>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9"/>
    <m/>
    <x v="40"/>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9"/>
    <m/>
    <x v="29"/>
    <x v="0"/>
    <n v="1"/>
    <n v="17730.496453900709"/>
    <n v="17730.496453900709"/>
    <n v="4221.5467747382636"/>
    <n v="3410.8548871439834"/>
    <m/>
    <m/>
    <n v="25362.898115782955"/>
    <n v="27789.477072310401"/>
    <n v="53152.375188093356"/>
    <n v="0.05"/>
    <n v="2657.6187594046678"/>
    <n v="0.3"/>
    <n v="22779.58936632573"/>
    <n v="78589.58331382375"/>
    <n v="0.05"/>
    <n v="4136.2938586223027"/>
    <n v="827.25877172446053"/>
    <n v="827.25877172446053"/>
    <n v="84380.394715894974"/>
  </r>
  <r>
    <s v="Fase 2"/>
    <x v="40"/>
    <s v="D3. Vivienda Campestre"/>
    <s v="02. Edificación"/>
    <x v="37"/>
    <x v="28"/>
    <s v="Und"/>
    <n v="1"/>
    <x v="119"/>
    <m/>
    <x v="30"/>
    <x v="0"/>
    <n v="0.3"/>
    <n v="17730.496453900709"/>
    <n v="5319.1489361702124"/>
    <n v="1266.464032421479"/>
    <n v="1023.256466143195"/>
    <m/>
    <m/>
    <n v="7608.8694347348865"/>
    <n v="8336.8431216931203"/>
    <n v="15945.712556428007"/>
    <n v="0.05"/>
    <n v="797.28562782140034"/>
    <n v="0.3"/>
    <n v="6833.8768098977198"/>
    <n v="23576.874994147129"/>
    <n v="0.05"/>
    <n v="1240.8881575866908"/>
    <n v="248.1776315173382"/>
    <n v="248.1776315173382"/>
    <n v="25314.118414768494"/>
  </r>
  <r>
    <s v="Fase 2"/>
    <x v="40"/>
    <s v="D3. Vivienda Campestre"/>
    <s v="02. Edificación"/>
    <x v="37"/>
    <x v="28"/>
    <s v="Und"/>
    <n v="1"/>
    <x v="119"/>
    <m/>
    <x v="34"/>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9"/>
    <m/>
    <x v="31"/>
    <x v="0"/>
    <n v="0.3"/>
    <n v="17730.496453900709"/>
    <n v="5319.1489361702124"/>
    <n v="1266.464032421479"/>
    <n v="1023.256466143195"/>
    <m/>
    <m/>
    <n v="7608.8694347348865"/>
    <n v="8336.8431216931203"/>
    <n v="15945.712556428007"/>
    <n v="0.05"/>
    <n v="797.28562782140034"/>
    <n v="0.3"/>
    <n v="6833.8768098977198"/>
    <n v="23576.874994147129"/>
    <n v="0.05"/>
    <n v="1240.8881575866908"/>
    <n v="248.1776315173382"/>
    <n v="248.1776315173382"/>
    <n v="25314.118414768494"/>
  </r>
  <r>
    <s v="Fase 2"/>
    <x v="40"/>
    <s v="D3. Vivienda Campestre"/>
    <s v="02. Edificación"/>
    <x v="37"/>
    <x v="28"/>
    <s v="Und"/>
    <n v="1"/>
    <x v="120"/>
    <m/>
    <x v="41"/>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20"/>
    <m/>
    <x v="34"/>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20"/>
    <m/>
    <x v="29"/>
    <x v="0"/>
    <n v="1"/>
    <n v="17730.496453900709"/>
    <n v="17730.496453900709"/>
    <n v="4221.5467747382636"/>
    <n v="3410.8548871439834"/>
    <m/>
    <m/>
    <n v="25362.898115782955"/>
    <n v="27789.477072310401"/>
    <n v="53152.375188093356"/>
    <n v="0.05"/>
    <n v="2657.6187594046678"/>
    <n v="0.3"/>
    <n v="22779.58936632573"/>
    <n v="78589.58331382375"/>
    <n v="0.05"/>
    <n v="4136.2938586223027"/>
    <n v="827.25877172446053"/>
    <n v="827.25877172446053"/>
    <n v="84380.394715894974"/>
  </r>
  <r>
    <s v="Fase 2"/>
    <x v="40"/>
    <s v="D3. Vivienda Campestre"/>
    <s v="02. Edificación"/>
    <x v="37"/>
    <x v="28"/>
    <s v="Und"/>
    <n v="1"/>
    <x v="120"/>
    <m/>
    <x v="30"/>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Und"/>
    <n v="1"/>
    <x v="120"/>
    <m/>
    <x v="31"/>
    <x v="0"/>
    <n v="0.1"/>
    <n v="17730.496453900709"/>
    <n v="1773.049645390071"/>
    <n v="422.15467747382638"/>
    <n v="341.08548871439837"/>
    <m/>
    <m/>
    <n v="2536.2898115782955"/>
    <n v="2778.9477072310401"/>
    <n v="5315.2375188093356"/>
    <n v="0.05"/>
    <n v="265.76187594046678"/>
    <n v="0.3"/>
    <n v="2277.9589366325727"/>
    <n v="7858.958331382375"/>
    <n v="0.05"/>
    <n v="413.62938586223027"/>
    <n v="82.725877172446062"/>
    <n v="82.725877172446062"/>
    <n v="8438.0394715894981"/>
  </r>
  <r>
    <s v="Fase 2"/>
    <x v="40"/>
    <s v="D3. Vivienda Campestre"/>
    <s v="02. Edificación"/>
    <x v="37"/>
    <x v="28"/>
    <s v="Und"/>
    <n v="1"/>
    <x v="108"/>
    <m/>
    <x v="42"/>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09"/>
    <m/>
    <x v="43"/>
    <x v="0"/>
    <n v="0.6"/>
    <n v="17730.496453900709"/>
    <n v="10638.297872340425"/>
    <n v="2532.9280648429581"/>
    <n v="2046.51293228639"/>
    <m/>
    <m/>
    <n v="15217.738869469773"/>
    <n v="16673.686243386241"/>
    <n v="31891.425112856014"/>
    <n v="0.05"/>
    <n v="1594.5712556428007"/>
    <n v="0.3"/>
    <n v="13667.75361979544"/>
    <n v="47153.749988294257"/>
    <n v="0.05"/>
    <n v="2481.7763151733816"/>
    <n v="496.3552630346764"/>
    <n v="496.3552630346764"/>
    <n v="50628.236829536989"/>
  </r>
  <r>
    <s v="Fase 2"/>
    <x v="40"/>
    <s v="D3. Vivienda Campestre"/>
    <s v="02. Edificación"/>
    <x v="37"/>
    <x v="28"/>
    <s v="Und"/>
    <n v="1"/>
    <x v="109"/>
    <m/>
    <x v="38"/>
    <x v="0"/>
    <n v="0.1"/>
    <n v="17730.496453900709"/>
    <n v="1773.049645390071"/>
    <n v="422.15467747382638"/>
    <n v="341.08548871439837"/>
    <m/>
    <m/>
    <n v="2536.2898115782955"/>
    <n v="2778.9477072310401"/>
    <n v="5315.2375188093356"/>
    <n v="0.05"/>
    <n v="265.76187594046678"/>
    <n v="0.3"/>
    <n v="2277.9589366325727"/>
    <n v="7858.958331382375"/>
    <n v="0.05"/>
    <n v="413.62938586223027"/>
    <n v="82.725877172446062"/>
    <n v="82.725877172446062"/>
    <n v="8438.0394715894981"/>
  </r>
  <r>
    <s v="Fase 3"/>
    <x v="41"/>
    <s v="D3. Vivienda Campestre"/>
    <s v="02. Edificación"/>
    <x v="38"/>
    <x v="29"/>
    <s v="1"/>
    <n v="1"/>
    <x v="121"/>
    <m/>
    <x v="283"/>
    <x v="0"/>
    <n v="1"/>
    <n v="17730.496453900709"/>
    <n v="17730.496453900709"/>
    <n v="4221.5467747382636"/>
    <n v="3410.8548871439834"/>
    <m/>
    <n v="250000"/>
    <n v="275362.89811578294"/>
    <n v="27789.477072310401"/>
    <n v="303152.37518809334"/>
    <n v="0.2"/>
    <n v="60630.475037618671"/>
    <n v="0.15"/>
    <n v="53497.477974369423"/>
    <n v="417280.32820008142"/>
    <n v="0.05"/>
    <n v="21962.122536846437"/>
    <n v="4392.4245073692791"/>
    <n v="4392.4245073692791"/>
    <n v="448027.29975166643"/>
  </r>
  <r>
    <s v="Fase 3"/>
    <x v="41"/>
    <s v="D3. Vivienda Campestre"/>
    <s v="02. Edificación"/>
    <x v="38"/>
    <x v="29"/>
    <s v="1"/>
    <n v="1"/>
    <x v="122"/>
    <m/>
    <x v="284"/>
    <x v="0"/>
    <n v="8"/>
    <n v="17730.496453900709"/>
    <n v="141843.97163120567"/>
    <n v="33772.374197906109"/>
    <n v="27286.839097151867"/>
    <m/>
    <n v="600000"/>
    <n v="802903.18492626364"/>
    <n v="222315.81657848321"/>
    <n v="1025219.0015047468"/>
    <n v="0.2"/>
    <n v="205043.80030094937"/>
    <n v="0.15"/>
    <n v="180921.0002655437"/>
    <n v="1411183.8020712398"/>
    <n v="0.05"/>
    <n v="74272.831687960075"/>
    <n v="14854.566337591999"/>
    <n v="14854.566337591999"/>
    <n v="1515165.7664343838"/>
  </r>
  <r>
    <s v="Fase 3"/>
    <x v="41"/>
    <s v="D3. Vivienda Campestre"/>
    <s v="02. Edificación"/>
    <x v="38"/>
    <x v="29"/>
    <s v="1"/>
    <n v="1"/>
    <x v="123"/>
    <m/>
    <x v="285"/>
    <x v="0"/>
    <n v="2"/>
    <n v="17730.496453900709"/>
    <n v="35460.992907801417"/>
    <n v="8443.0935494765272"/>
    <n v="6821.7097742879669"/>
    <m/>
    <n v="0"/>
    <n v="50725.79623156591"/>
    <n v="55578.954144620802"/>
    <n v="106304.75037618671"/>
    <n v="0.2"/>
    <n v="21260.950075237342"/>
    <n v="0.15"/>
    <n v="18759.661831091769"/>
    <n v="146325.36228251582"/>
    <n v="0.05"/>
    <n v="7701.334856974514"/>
    <n v="1540.2669713949035"/>
    <n v="1540.2669713949035"/>
    <n v="157107.23108228017"/>
  </r>
  <r>
    <s v="Fase 3"/>
    <x v="41"/>
    <s v="D3. Vivienda Campestre"/>
    <s v="02. Edificación"/>
    <x v="38"/>
    <x v="29"/>
    <s v="1"/>
    <n v="1"/>
    <x v="124"/>
    <m/>
    <x v="286"/>
    <x v="0"/>
    <n v="5"/>
    <n v="17730.496453900709"/>
    <n v="88652.48226950354"/>
    <n v="21107.733873691319"/>
    <n v="17054.274435719919"/>
    <m/>
    <n v="0"/>
    <n v="126814.49057891479"/>
    <n v="138947.38536155201"/>
    <n v="265761.87594046677"/>
    <n v="0.2"/>
    <n v="53152.375188093356"/>
    <n v="0.15"/>
    <n v="46899.154577729409"/>
    <n v="365813.40570628952"/>
    <n v="0.05"/>
    <n v="19253.337142436299"/>
    <n v="3850.6674284872583"/>
    <n v="3850.6674284872583"/>
    <n v="392768.07770570036"/>
  </r>
  <r>
    <s v="Fase 3"/>
    <x v="42"/>
    <s v="D3. Vivienda Campestre"/>
    <s v="02. Edificación"/>
    <x v="9"/>
    <x v="7"/>
    <s v="1 m² - 200 m²"/>
    <n v="1"/>
    <x v="27"/>
    <m/>
    <x v="66"/>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2"/>
    <s v="D3. Vivienda Campestre"/>
    <s v="02. Edificación"/>
    <x v="9"/>
    <x v="7"/>
    <s v="1 m² - 200 m²"/>
    <n v="1"/>
    <x v="27"/>
    <m/>
    <x v="58"/>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2"/>
    <s v="D3. Vivienda Campestre"/>
    <s v="02. Edificación"/>
    <x v="9"/>
    <x v="7"/>
    <s v="1 m² - 200 m²"/>
    <n v="1"/>
    <x v="28"/>
    <m/>
    <x v="67"/>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2"/>
    <s v="D3. Vivienda Campestre"/>
    <s v="02. Edificación"/>
    <x v="9"/>
    <x v="7"/>
    <s v="1 m² - 200 m²"/>
    <n v="1"/>
    <x v="28"/>
    <m/>
    <x v="68"/>
    <x v="0"/>
    <n v="9"/>
    <n v="17730.496453900709"/>
    <n v="159574.46808510637"/>
    <n v="37993.920972644373"/>
    <n v="30697.693984295853"/>
    <m/>
    <m/>
    <n v="228266.08304204661"/>
    <n v="250105.29365079361"/>
    <n v="478371.37669284025"/>
    <n v="0.05"/>
    <n v="23918.568834642014"/>
    <n v="0.15"/>
    <n v="84418.478239913005"/>
    <n v="586708.42376739532"/>
    <n v="0.05"/>
    <n v="30879.390724599827"/>
    <n v="6175.8781449199514"/>
    <n v="6175.8781449199514"/>
    <n v="629939.57078183512"/>
  </r>
  <r>
    <s v="Fase 3"/>
    <x v="42"/>
    <s v="D3. Vivienda Campestre"/>
    <s v="02. Edificación"/>
    <x v="9"/>
    <x v="7"/>
    <s v="1 m² - 200 m²"/>
    <n v="1"/>
    <x v="28"/>
    <m/>
    <x v="69"/>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2"/>
    <s v="D3. Vivienda Campestre"/>
    <s v="02. Edificación"/>
    <x v="9"/>
    <x v="7"/>
    <s v="1 m² - 200 m²"/>
    <n v="1"/>
    <x v="28"/>
    <m/>
    <x v="70"/>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2"/>
    <s v="D3. Vivienda Campestre"/>
    <s v="02. Edificación"/>
    <x v="9"/>
    <x v="7"/>
    <s v="1 m² - 200 m²"/>
    <n v="1"/>
    <x v="28"/>
    <m/>
    <x v="71"/>
    <x v="0"/>
    <n v="9"/>
    <n v="17730.496453900709"/>
    <n v="159574.46808510637"/>
    <n v="37993.920972644373"/>
    <n v="30697.693984295853"/>
    <m/>
    <m/>
    <n v="228266.08304204661"/>
    <n v="250105.29365079361"/>
    <n v="478371.37669284025"/>
    <n v="0.05"/>
    <n v="23918.568834642014"/>
    <n v="0.15"/>
    <n v="84418.478239913005"/>
    <n v="586708.42376739532"/>
    <n v="0.05"/>
    <n v="30879.390724599827"/>
    <n v="6175.8781449199514"/>
    <n v="6175.8781449199514"/>
    <n v="629939.57078183512"/>
  </r>
  <r>
    <s v="Fase 3"/>
    <x v="42"/>
    <s v="D3. Vivienda Campestre"/>
    <s v="02. Edificación"/>
    <x v="9"/>
    <x v="7"/>
    <s v="1 m² - 200 m²"/>
    <n v="1"/>
    <x v="28"/>
    <m/>
    <x v="72"/>
    <x v="0"/>
    <n v="9"/>
    <n v="17730.496453900709"/>
    <n v="159574.46808510637"/>
    <n v="37993.920972644373"/>
    <n v="30697.693984295853"/>
    <m/>
    <m/>
    <n v="228266.08304204661"/>
    <n v="250105.29365079361"/>
    <n v="478371.37669284025"/>
    <n v="0.05"/>
    <n v="23918.568834642014"/>
    <n v="0.15"/>
    <n v="84418.478239913005"/>
    <n v="586708.42376739532"/>
    <n v="0.05"/>
    <n v="30879.390724599827"/>
    <n v="6175.8781449199514"/>
    <n v="6175.8781449199514"/>
    <n v="629939.57078183512"/>
  </r>
  <r>
    <s v="Fase 3"/>
    <x v="42"/>
    <s v="D3. Vivienda Campestre"/>
    <s v="02. Edificación"/>
    <x v="9"/>
    <x v="7"/>
    <s v="1 m² - 200 m²"/>
    <n v="1"/>
    <x v="28"/>
    <m/>
    <x v="73"/>
    <x v="0"/>
    <n v="9.4"/>
    <n v="17730.496453900709"/>
    <n v="166666.66666666666"/>
    <n v="39682.539682539682"/>
    <n v="32062.035939153444"/>
    <m/>
    <m/>
    <n v="238411.24228835979"/>
    <n v="261221.08447971777"/>
    <n v="499632.32676807756"/>
    <n v="0.05"/>
    <n v="24981.616338403881"/>
    <n v="0.15"/>
    <n v="88170.410606131307"/>
    <n v="612784.35371261276"/>
    <n v="0.05"/>
    <n v="32251.808090137551"/>
    <n v="6450.361618027503"/>
    <n v="6450.361618027503"/>
    <n v="657936.88503880543"/>
  </r>
  <r>
    <s v="Fase 3"/>
    <x v="42"/>
    <s v="D3. Vivienda Campestre"/>
    <s v="02. Edificación"/>
    <x v="9"/>
    <x v="7"/>
    <s v="1 m² - 200 m²"/>
    <n v="1"/>
    <x v="28"/>
    <m/>
    <x v="74"/>
    <x v="0"/>
    <n v="3"/>
    <n v="17730.496453900709"/>
    <n v="53191.48936170213"/>
    <n v="12664.64032421479"/>
    <n v="10232.56466143195"/>
    <m/>
    <m/>
    <n v="76088.694347348879"/>
    <n v="83368.431216931203"/>
    <n v="159457.12556428008"/>
    <n v="0.05"/>
    <n v="7972.8562782140043"/>
    <n v="0.15"/>
    <n v="28139.492746637668"/>
    <n v="195569.47458913174"/>
    <n v="0.05"/>
    <n v="10293.130241533247"/>
    <n v="2058.6260483066499"/>
    <n v="2058.6260483066499"/>
    <n v="209979.85692727828"/>
  </r>
  <r>
    <s v="Fase 3"/>
    <x v="42"/>
    <s v="D3. Vivienda Campestre"/>
    <s v="02. Edificación"/>
    <x v="9"/>
    <x v="7"/>
    <s v="1 m² - 200 m²"/>
    <n v="1"/>
    <x v="28"/>
    <m/>
    <x v="64"/>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2"/>
    <s v="D3. Vivienda Campestre"/>
    <s v="02. Edificación"/>
    <x v="9"/>
    <x v="7"/>
    <s v="1 m² - 200 m²"/>
    <n v="1"/>
    <x v="28"/>
    <m/>
    <x v="75"/>
    <x v="0"/>
    <n v="9"/>
    <n v="17730.496453900709"/>
    <n v="159574.46808510637"/>
    <n v="37993.920972644373"/>
    <n v="30697.693984295853"/>
    <m/>
    <m/>
    <n v="228266.08304204661"/>
    <n v="250105.29365079361"/>
    <n v="478371.37669284025"/>
    <n v="0.05"/>
    <n v="23918.568834642014"/>
    <n v="0.15"/>
    <n v="84418.478239913005"/>
    <n v="586708.42376739532"/>
    <n v="0.05"/>
    <n v="30879.390724599827"/>
    <n v="6175.8781449199514"/>
    <n v="6175.8781449199514"/>
    <n v="629939.57078183512"/>
  </r>
  <r>
    <s v="Fase 3"/>
    <x v="43"/>
    <s v="D3. Vivienda Campestre"/>
    <s v="02. Edificación"/>
    <x v="32"/>
    <x v="8"/>
    <s v="1 m² - 200 m²"/>
    <n v="1"/>
    <x v="37"/>
    <m/>
    <x v="76"/>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3"/>
    <s v="D3. Vivienda Campestre"/>
    <s v="02. Edificación"/>
    <x v="32"/>
    <x v="8"/>
    <s v="1 m² - 200 m²"/>
    <n v="1"/>
    <x v="37"/>
    <m/>
    <x v="96"/>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8"/>
    <s v="1 m² - 200 m²"/>
    <n v="1"/>
    <x v="37"/>
    <m/>
    <x v="78"/>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8"/>
    <s v="1 m² - 200 m²"/>
    <n v="1"/>
    <x v="37"/>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8"/>
    <s v="1 m² - 200 m²"/>
    <n v="1"/>
    <x v="37"/>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9"/>
    <s v="1 m² - 200 m²"/>
    <n v="1"/>
    <x v="38"/>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3"/>
    <s v="D3. Vivienda Campestre"/>
    <s v="02. Edificación"/>
    <x v="32"/>
    <x v="9"/>
    <s v="1 m² - 200 m²"/>
    <n v="1"/>
    <x v="38"/>
    <m/>
    <x v="81"/>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9"/>
    <s v="1 m² - 200 m²"/>
    <n v="1"/>
    <x v="38"/>
    <m/>
    <x v="8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9"/>
    <s v="1 m² - 200 m²"/>
    <n v="1"/>
    <x v="38"/>
    <m/>
    <x v="97"/>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9"/>
    <s v="1 m² - 200 m²"/>
    <n v="1"/>
    <x v="38"/>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9"/>
    <s v="1 m² - 200 m²"/>
    <n v="1"/>
    <x v="38"/>
    <m/>
    <x v="78"/>
    <x v="0"/>
    <n v="0.6"/>
    <n v="17730.496453900709"/>
    <n v="10638.297872340425"/>
    <n v="2532.9280648429581"/>
    <n v="2046.51293228639"/>
    <m/>
    <m/>
    <n v="15217.738869469773"/>
    <n v="16673.686243386241"/>
    <n v="31891.425112856014"/>
    <n v="0.05"/>
    <n v="1594.5712556428007"/>
    <n v="0.15"/>
    <n v="5627.8985493275322"/>
    <n v="39113.89491782635"/>
    <n v="0.05"/>
    <n v="2058.6260483066508"/>
    <n v="411.72520966133004"/>
    <n v="411.72520966133004"/>
    <n v="41995.971385455661"/>
  </r>
  <r>
    <s v="Fase 3"/>
    <x v="43"/>
    <s v="D3. Vivienda Campestre"/>
    <s v="02. Edificación"/>
    <x v="32"/>
    <x v="9"/>
    <s v="1 m² - 200 m²"/>
    <n v="1"/>
    <x v="38"/>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9"/>
    <s v="1 m² - 200 m²"/>
    <n v="1"/>
    <x v="38"/>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0"/>
    <s v="1 m² - 200 m²"/>
    <n v="1"/>
    <x v="39"/>
    <m/>
    <x v="98"/>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3"/>
    <s v="D3. Vivienda Campestre"/>
    <s v="02. Edificación"/>
    <x v="32"/>
    <x v="10"/>
    <s v="1 m² - 200 m²"/>
    <n v="1"/>
    <x v="39"/>
    <m/>
    <x v="99"/>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0"/>
    <s v="1 m² - 200 m²"/>
    <n v="1"/>
    <x v="39"/>
    <m/>
    <x v="100"/>
    <x v="0"/>
    <n v="1.5"/>
    <n v="17730.496453900709"/>
    <n v="26595.744680851065"/>
    <n v="6332.3201621073949"/>
    <n v="5116.2823307159751"/>
    <m/>
    <m/>
    <n v="38044.34717367444"/>
    <n v="41684.215608465602"/>
    <n v="79728.562782140041"/>
    <n v="0.05"/>
    <n v="3986.4281391070022"/>
    <n v="0.15"/>
    <n v="14069.746373318834"/>
    <n v="97784.737294565872"/>
    <n v="0.05"/>
    <n v="5146.5651207666233"/>
    <n v="1029.3130241533249"/>
    <n v="1029.3130241533249"/>
    <n v="104989.92846363914"/>
  </r>
  <r>
    <s v="Fase 3"/>
    <x v="43"/>
    <s v="D3. Vivienda Campestre"/>
    <s v="02. Edificación"/>
    <x v="32"/>
    <x v="10"/>
    <s v="1 m² - 200 m²"/>
    <n v="1"/>
    <x v="39"/>
    <m/>
    <x v="101"/>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0"/>
    <s v="1 m² - 200 m²"/>
    <n v="1"/>
    <x v="39"/>
    <m/>
    <x v="10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0"/>
    <s v="1 m² - 200 m²"/>
    <n v="1"/>
    <x v="39"/>
    <m/>
    <x v="103"/>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0"/>
    <s v="1 m² - 200 m²"/>
    <n v="1"/>
    <x v="39"/>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0"/>
    <s v="1 m² - 200 m²"/>
    <n v="1"/>
    <x v="39"/>
    <m/>
    <x v="76"/>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3"/>
    <s v="D3. Vivienda Campestre"/>
    <s v="02. Edificación"/>
    <x v="32"/>
    <x v="10"/>
    <s v="1 m² - 200 m²"/>
    <n v="1"/>
    <x v="39"/>
    <m/>
    <x v="96"/>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0"/>
    <s v="1 m² - 200 m²"/>
    <n v="1"/>
    <x v="39"/>
    <m/>
    <x v="7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0"/>
    <s v="1 m² - 200 m²"/>
    <n v="1"/>
    <x v="39"/>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0"/>
    <s v="1 m² - 200 m²"/>
    <n v="1"/>
    <x v="39"/>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1"/>
    <s v="1 m² - 200 m²"/>
    <n v="1"/>
    <x v="40"/>
    <m/>
    <x v="85"/>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1"/>
    <s v="1 m² - 200 m²"/>
    <n v="1"/>
    <x v="40"/>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3"/>
    <s v="D3. Vivienda Campestre"/>
    <s v="02. Edificación"/>
    <x v="32"/>
    <x v="11"/>
    <s v="1 m² - 200 m²"/>
    <n v="1"/>
    <x v="40"/>
    <m/>
    <x v="96"/>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1"/>
    <s v="1 m² - 200 m²"/>
    <n v="1"/>
    <x v="40"/>
    <m/>
    <x v="78"/>
    <x v="0"/>
    <n v="0.6"/>
    <n v="17730.496453900709"/>
    <n v="10638.297872340425"/>
    <n v="2532.9280648429581"/>
    <n v="2046.51293228639"/>
    <m/>
    <m/>
    <n v="15217.738869469773"/>
    <n v="16673.686243386241"/>
    <n v="31891.425112856014"/>
    <n v="0.05"/>
    <n v="1594.5712556428007"/>
    <n v="0.15"/>
    <n v="5627.8985493275322"/>
    <n v="39113.89491782635"/>
    <n v="0.05"/>
    <n v="2058.6260483066508"/>
    <n v="411.72520966133004"/>
    <n v="411.72520966133004"/>
    <n v="41995.971385455661"/>
  </r>
  <r>
    <s v="Fase 3"/>
    <x v="43"/>
    <s v="D3. Vivienda Campestre"/>
    <s v="02. Edificación"/>
    <x v="32"/>
    <x v="11"/>
    <s v="1 m² - 200 m²"/>
    <n v="1"/>
    <x v="40"/>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1"/>
    <s v="1 m² - 200 m²"/>
    <n v="1"/>
    <x v="40"/>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1"/>
    <s v="1 m² - 200 m²"/>
    <n v="1"/>
    <x v="40"/>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2"/>
    <s v="1 m² - 200 m²"/>
    <n v="1"/>
    <x v="34"/>
    <m/>
    <x v="8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2"/>
    <s v="1 m² - 200 m²"/>
    <n v="1"/>
    <x v="34"/>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3"/>
    <s v="D3. Vivienda Campestre"/>
    <s v="02. Edificación"/>
    <x v="32"/>
    <x v="12"/>
    <s v="1 m² - 200 m²"/>
    <n v="1"/>
    <x v="34"/>
    <m/>
    <x v="89"/>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2"/>
    <s v="1 m² - 200 m²"/>
    <n v="1"/>
    <x v="34"/>
    <m/>
    <x v="90"/>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2"/>
    <s v="1 m² - 200 m²"/>
    <n v="1"/>
    <x v="34"/>
    <m/>
    <x v="7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2"/>
    <s v="1 m² - 200 m²"/>
    <n v="1"/>
    <x v="34"/>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2"/>
    <s v="1 m² - 200 m²"/>
    <n v="1"/>
    <x v="34"/>
    <m/>
    <x v="84"/>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3"/>
    <s v="1 m² - 200 m²"/>
    <n v="1"/>
    <x v="34"/>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2"/>
    <s v="1 m² - 200 m²"/>
    <n v="1"/>
    <x v="41"/>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3"/>
    <s v="D3. Vivienda Campestre"/>
    <s v="02. Edificación"/>
    <x v="32"/>
    <x v="12"/>
    <s v="1 m² - 200 m²"/>
    <n v="1"/>
    <x v="41"/>
    <m/>
    <x v="10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2"/>
    <s v="1 m² - 200 m²"/>
    <n v="1"/>
    <x v="41"/>
    <m/>
    <x v="82"/>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2"/>
    <s v="1 m² - 200 m²"/>
    <n v="1"/>
    <x v="41"/>
    <m/>
    <x v="97"/>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2"/>
    <s v="1 m² - 200 m²"/>
    <n v="1"/>
    <x v="41"/>
    <m/>
    <x v="93"/>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2"/>
    <s v="1 m² - 200 m²"/>
    <n v="1"/>
    <x v="41"/>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2"/>
    <s v="1 m² - 200 m²"/>
    <n v="1"/>
    <x v="41"/>
    <m/>
    <x v="78"/>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2"/>
    <s v="1 m² - 200 m²"/>
    <n v="1"/>
    <x v="41"/>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2"/>
    <s v="1 m² - 200 m²"/>
    <n v="1"/>
    <x v="41"/>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4"/>
    <s v="1 m² - 200 m²"/>
    <n v="1"/>
    <x v="42"/>
    <m/>
    <x v="105"/>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106"/>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107"/>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10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109"/>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3"/>
    <s v="D3. Vivienda Campestre"/>
    <s v="02. Edificación"/>
    <x v="32"/>
    <x v="14"/>
    <s v="1 m² - 200 m²"/>
    <n v="1"/>
    <x v="42"/>
    <m/>
    <x v="110"/>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3"/>
    <s v="D3. Vivienda Campestre"/>
    <s v="02. Edificación"/>
    <x v="32"/>
    <x v="14"/>
    <s v="1 m² - 200 m²"/>
    <n v="1"/>
    <x v="42"/>
    <m/>
    <x v="38"/>
    <x v="0"/>
    <n v="1.5"/>
    <n v="17730.496453900709"/>
    <n v="26595.744680851065"/>
    <n v="6332.3201621073949"/>
    <n v="5116.2823307159751"/>
    <m/>
    <m/>
    <n v="38044.34717367444"/>
    <n v="41684.215608465602"/>
    <n v="79728.562782140041"/>
    <n v="0.05"/>
    <n v="3986.4281391070022"/>
    <n v="0.15"/>
    <n v="14069.746373318834"/>
    <n v="97784.737294565872"/>
    <n v="0.05"/>
    <n v="5146.5651207666233"/>
    <n v="1029.3130241533249"/>
    <n v="1029.3130241533249"/>
    <n v="104989.92846363914"/>
  </r>
  <r>
    <s v="Fase 3"/>
    <x v="43"/>
    <s v="D3. Vivienda Campestre"/>
    <s v="02. Edificación"/>
    <x v="32"/>
    <x v="14"/>
    <s v="1 m² - 200 m²"/>
    <n v="1"/>
    <x v="42"/>
    <m/>
    <x v="111"/>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11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5"/>
    <s v="1 m² - 200 m²"/>
    <n v="1"/>
    <x v="43"/>
    <m/>
    <x v="113"/>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5"/>
    <s v="1 m² - 200 m²"/>
    <n v="1"/>
    <x v="43"/>
    <m/>
    <x v="11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5"/>
    <s v="1 m² - 200 m²"/>
    <n v="1"/>
    <x v="43"/>
    <m/>
    <x v="115"/>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3"/>
    <s v="D3. Vivienda Campestre"/>
    <s v="02. Edificación"/>
    <x v="32"/>
    <x v="15"/>
    <s v="1 m² - 200 m²"/>
    <n v="1"/>
    <x v="43"/>
    <m/>
    <x v="3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5"/>
    <s v="1 m² - 200 m²"/>
    <n v="1"/>
    <x v="43"/>
    <m/>
    <x v="111"/>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5"/>
    <s v="1 m² - 200 m²"/>
    <n v="1"/>
    <x v="43"/>
    <m/>
    <x v="84"/>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3"/>
    <s v="D3. Vivienda Campestre"/>
    <s v="02. Edificación"/>
    <x v="32"/>
    <x v="15"/>
    <s v="1 m² - 200 m²"/>
    <n v="1"/>
    <x v="43"/>
    <m/>
    <x v="11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5"/>
    <s v="1 m² - 200 m²"/>
    <n v="1"/>
    <x v="43"/>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4"/>
    <s v="D3. Vivienda Campestre"/>
    <s v="02. Edificación"/>
    <x v="14"/>
    <x v="18"/>
    <s v="1 m² - 200 m²"/>
    <n v="1"/>
    <x v="21"/>
    <m/>
    <x v="45"/>
    <x v="0"/>
    <n v="9.6"/>
    <n v="17730.496453900709"/>
    <n v="170212.7659574468"/>
    <n v="40526.849037487329"/>
    <n v="32744.20691658224"/>
    <m/>
    <m/>
    <n v="243483.82191151637"/>
    <n v="266778.97989417985"/>
    <n v="510262.80180569622"/>
    <n v="0.05"/>
    <n v="25513.140090284811"/>
    <n v="0.2"/>
    <n v="127565.700451424"/>
    <n v="663341.64234740508"/>
    <n v="0.05"/>
    <n v="34912.718018284533"/>
    <n v="6982.5436036568963"/>
    <n v="6982.5436036568963"/>
    <n v="712219.44757300348"/>
  </r>
  <r>
    <s v="Fase 3"/>
    <x v="44"/>
    <s v="D3. Vivienda Campestre"/>
    <s v="02. Edificación"/>
    <x v="14"/>
    <x v="18"/>
    <s v="1 m² - 200 m²"/>
    <n v="1"/>
    <x v="21"/>
    <m/>
    <x v="136"/>
    <x v="0"/>
    <n v="4"/>
    <n v="17730.496453900709"/>
    <n v="70921.985815602835"/>
    <n v="16886.187098953054"/>
    <n v="13643.419548575934"/>
    <m/>
    <m/>
    <n v="101451.59246313182"/>
    <n v="111157.9082892416"/>
    <n v="212609.50075237342"/>
    <n v="0.05"/>
    <n v="10630.475037618671"/>
    <n v="0.2"/>
    <n v="53152.375188093341"/>
    <n v="276392.35097808542"/>
    <n v="0.05"/>
    <n v="14546.965840951889"/>
    <n v="2909.3931681903732"/>
    <n v="2909.3931681903732"/>
    <n v="296758.10315541807"/>
  </r>
  <r>
    <s v="Fase 3"/>
    <x v="44"/>
    <s v="D3. Vivienda Campestre"/>
    <s v="02. Edificación"/>
    <x v="14"/>
    <x v="18"/>
    <s v="1 m² - 200 m²"/>
    <n v="1"/>
    <x v="21"/>
    <m/>
    <x v="137"/>
    <x v="0"/>
    <n v="5"/>
    <n v="17730.496453900709"/>
    <n v="88652.48226950354"/>
    <n v="21107.733873691319"/>
    <n v="17054.274435719919"/>
    <m/>
    <m/>
    <n v="126814.49057891479"/>
    <n v="138947.38536155201"/>
    <n v="265761.87594046677"/>
    <n v="0.05"/>
    <n v="13288.093797023339"/>
    <n v="0.2"/>
    <n v="66440.468985116691"/>
    <n v="345490.43872260681"/>
    <n v="0.05"/>
    <n v="18183.707301189832"/>
    <n v="3636.7414602379663"/>
    <n v="3636.7414602379663"/>
    <n v="370947.62894427252"/>
  </r>
  <r>
    <s v="Fase 3"/>
    <x v="44"/>
    <s v="D3. Vivienda Campestre"/>
    <s v="02. Edificación"/>
    <x v="14"/>
    <x v="18"/>
    <s v="1 m² - 200 m²"/>
    <n v="1"/>
    <x v="21"/>
    <m/>
    <x v="275"/>
    <x v="0"/>
    <n v="6"/>
    <n v="17730.496453900709"/>
    <n v="106382.97872340426"/>
    <n v="25329.28064842958"/>
    <n v="20465.129322863901"/>
    <m/>
    <m/>
    <n v="152177.38869469776"/>
    <n v="166736.86243386241"/>
    <n v="318914.25112856016"/>
    <n v="0.05"/>
    <n v="15945.712556428009"/>
    <n v="0.2"/>
    <n v="79728.562782140041"/>
    <n v="414588.52646712819"/>
    <n v="0.05"/>
    <n v="21820.448761427833"/>
    <n v="4364.0897522855603"/>
    <n v="4364.0897522855603"/>
    <n v="445137.15473312716"/>
  </r>
  <r>
    <s v="Fase 3"/>
    <x v="44"/>
    <s v="D3. Vivienda Campestre"/>
    <s v="02. Edificación"/>
    <x v="14"/>
    <x v="18"/>
    <s v="1 m² - 200 m²"/>
    <n v="1"/>
    <x v="21"/>
    <m/>
    <x v="139"/>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3"/>
    <x v="44"/>
    <s v="D3. Vivienda Campestre"/>
    <s v="02. Edificación"/>
    <x v="14"/>
    <x v="18"/>
    <s v="1 m² - 200 m²"/>
    <n v="1"/>
    <x v="21"/>
    <m/>
    <x v="50"/>
    <x v="0"/>
    <n v="4"/>
    <n v="17730.496453900709"/>
    <n v="70921.985815602835"/>
    <n v="16886.187098953054"/>
    <n v="13643.419548575934"/>
    <m/>
    <m/>
    <n v="101451.59246313182"/>
    <n v="111157.9082892416"/>
    <n v="212609.50075237342"/>
    <n v="0.05"/>
    <n v="10630.475037618671"/>
    <n v="0.2"/>
    <n v="53152.375188093341"/>
    <n v="276392.35097808542"/>
    <n v="0.05"/>
    <n v="14546.965840951889"/>
    <n v="2909.3931681903732"/>
    <n v="2909.3931681903732"/>
    <n v="296758.10315541807"/>
  </r>
  <r>
    <s v="Fase 3"/>
    <x v="44"/>
    <s v="D3. Vivienda Campestre"/>
    <s v="02. Edificación"/>
    <x v="14"/>
    <x v="18"/>
    <s v="1 m² - 200 m²"/>
    <n v="1"/>
    <x v="21"/>
    <m/>
    <x v="51"/>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45"/>
    <s v="D4. Comercial"/>
    <s v="03. Complementario"/>
    <x v="39"/>
    <x v="30"/>
    <s v="Proyecto"/>
    <n v="1"/>
    <x v="125"/>
    <m/>
    <x v="287"/>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1"/>
    <s v="Proyecto"/>
    <n v="1"/>
    <x v="126"/>
    <m/>
    <x v="288"/>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1"/>
    <s v="Proyecto"/>
    <n v="1"/>
    <x v="126"/>
    <m/>
    <x v="289"/>
    <x v="0"/>
    <n v="2"/>
    <n v="17730.496453900709"/>
    <n v="35460.992907801417"/>
    <n v="8443.0935494765272"/>
    <n v="6821.7097742879669"/>
    <m/>
    <m/>
    <n v="50725.79623156591"/>
    <n v="55578.954144620802"/>
    <n v="106304.75037618671"/>
    <n v="0.15"/>
    <n v="15945.712556428007"/>
    <n v="0.2"/>
    <n v="26576.187594046671"/>
    <n v="148826.6505266614"/>
    <n v="0.05"/>
    <n v="7832.9816066664062"/>
    <n v="1566.596321333278"/>
    <n v="1566.596321333278"/>
    <n v="159792.82477599438"/>
  </r>
  <r>
    <s v="Fase 1"/>
    <x v="45"/>
    <s v="D4. Comercial"/>
    <s v="03. Complementario"/>
    <x v="39"/>
    <x v="31"/>
    <s v="Proyecto"/>
    <n v="1"/>
    <x v="126"/>
    <m/>
    <x v="290"/>
    <x v="0"/>
    <n v="4"/>
    <n v="17730.496453900709"/>
    <n v="70921.985815602835"/>
    <n v="16886.187098953054"/>
    <n v="13643.419548575934"/>
    <m/>
    <m/>
    <n v="101451.59246313182"/>
    <n v="111157.9082892416"/>
    <n v="212609.50075237342"/>
    <n v="0.15"/>
    <n v="31891.425112856014"/>
    <n v="0.2"/>
    <n v="53152.375188093341"/>
    <n v="297653.30105332279"/>
    <n v="0.05"/>
    <n v="15665.963213332812"/>
    <n v="3133.1926426665559"/>
    <n v="3133.1926426665559"/>
    <n v="319585.64955198875"/>
  </r>
  <r>
    <s v="Fase 1"/>
    <x v="45"/>
    <s v="D4. Comercial"/>
    <s v="03. Complementario"/>
    <x v="39"/>
    <x v="31"/>
    <s v="Proyecto"/>
    <n v="1"/>
    <x v="127"/>
    <m/>
    <x v="291"/>
    <x v="0"/>
    <n v="9.6"/>
    <n v="17730.496453900709"/>
    <n v="170212.7659574468"/>
    <n v="40526.849037487329"/>
    <n v="32744.20691658224"/>
    <m/>
    <m/>
    <n v="243483.82191151637"/>
    <n v="266778.97989417985"/>
    <n v="510262.80180569622"/>
    <n v="0.15"/>
    <n v="76539.420270854433"/>
    <n v="0.2"/>
    <n v="127565.700451424"/>
    <n v="714367.92252797459"/>
    <n v="0.05"/>
    <n v="37598.311711998656"/>
    <n v="7519.6623423997326"/>
    <n v="7519.6623423997326"/>
    <n v="767005.55892477266"/>
  </r>
  <r>
    <s v="Fase 1"/>
    <x v="45"/>
    <s v="D4. Comercial"/>
    <s v="03. Complementario"/>
    <x v="39"/>
    <x v="32"/>
    <s v="Proyecto"/>
    <n v="1"/>
    <x v="127"/>
    <m/>
    <x v="292"/>
    <x v="0"/>
    <n v="2"/>
    <n v="17730.496453900709"/>
    <n v="35460.992907801417"/>
    <n v="8443.0935494765272"/>
    <n v="6821.7097742879669"/>
    <m/>
    <m/>
    <n v="50725.79623156591"/>
    <n v="55578.954144620802"/>
    <n v="106304.75037618671"/>
    <n v="0.15"/>
    <n v="15945.712556428007"/>
    <n v="0.2"/>
    <n v="26576.187594046671"/>
    <n v="148826.6505266614"/>
    <n v="0.05"/>
    <n v="7832.9816066664062"/>
    <n v="1566.596321333278"/>
    <n v="1566.596321333278"/>
    <n v="159792.82477599438"/>
  </r>
  <r>
    <s v="Fase 1"/>
    <x v="45"/>
    <s v="D4. Comercial"/>
    <s v="03. Complementario"/>
    <x v="39"/>
    <x v="33"/>
    <s v="Proyecto"/>
    <n v="1"/>
    <x v="128"/>
    <m/>
    <x v="293"/>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3"/>
    <s v="Proyecto"/>
    <n v="1"/>
    <x v="51"/>
    <m/>
    <x v="294"/>
    <x v="0"/>
    <n v="0.5"/>
    <n v="17730.496453900709"/>
    <n v="8865.2482269503544"/>
    <n v="2110.7733873691318"/>
    <n v="1705.4274435719917"/>
    <m/>
    <m/>
    <n v="12681.449057891477"/>
    <n v="13894.738536155201"/>
    <n v="26576.187594046678"/>
    <n v="0.15"/>
    <n v="3986.4281391070017"/>
    <n v="0.2"/>
    <n v="6644.0468985116677"/>
    <n v="37206.662631665349"/>
    <n v="0.05"/>
    <n v="1958.2454016666015"/>
    <n v="391.64908033331949"/>
    <n v="391.64908033331949"/>
    <n v="39948.206193998594"/>
  </r>
  <r>
    <s v="Fase 1"/>
    <x v="45"/>
    <s v="D4. Comercial"/>
    <s v="03. Complementario"/>
    <x v="39"/>
    <x v="34"/>
    <s v="Proyecto"/>
    <n v="1"/>
    <x v="129"/>
    <m/>
    <x v="295"/>
    <x v="0"/>
    <n v="0.5"/>
    <n v="17730.496453900709"/>
    <n v="8865.2482269503544"/>
    <n v="2110.7733873691318"/>
    <n v="1705.4274435719917"/>
    <m/>
    <m/>
    <n v="12681.449057891477"/>
    <n v="13894.738536155201"/>
    <n v="26576.187594046678"/>
    <n v="0.15"/>
    <n v="3986.4281391070017"/>
    <n v="0.2"/>
    <n v="6644.0468985116677"/>
    <n v="37206.662631665349"/>
    <n v="0.05"/>
    <n v="1958.2454016666015"/>
    <n v="391.64908033331949"/>
    <n v="391.64908033331949"/>
    <n v="39948.206193998594"/>
  </r>
  <r>
    <s v="Fase 1"/>
    <x v="45"/>
    <s v="D4. Comercial"/>
    <s v="03. Complementario"/>
    <x v="39"/>
    <x v="34"/>
    <s v="Proyecto"/>
    <n v="1"/>
    <x v="129"/>
    <m/>
    <x v="296"/>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4"/>
    <s v="Proyecto"/>
    <n v="1"/>
    <x v="129"/>
    <m/>
    <x v="297"/>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4"/>
    <s v="Proyecto"/>
    <n v="1"/>
    <x v="129"/>
    <m/>
    <x v="298"/>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4"/>
    <s v="Proyecto"/>
    <n v="1"/>
    <x v="127"/>
    <m/>
    <x v="299"/>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4"/>
    <s v="Proyecto"/>
    <n v="1"/>
    <x v="127"/>
    <m/>
    <x v="300"/>
    <x v="0"/>
    <n v="2.5"/>
    <n v="17730.496453900709"/>
    <n v="44326.24113475177"/>
    <n v="10553.866936845659"/>
    <n v="8527.1372178599595"/>
    <m/>
    <m/>
    <n v="63407.245289457394"/>
    <n v="69473.692680776003"/>
    <n v="132880.93797023338"/>
    <n v="0.15"/>
    <n v="19932.140695535007"/>
    <n v="0.2"/>
    <n v="33220.234492558346"/>
    <n v="186033.31315832672"/>
    <n v="0.05"/>
    <n v="9791.2270083329931"/>
    <n v="1958.2454016665972"/>
    <n v="1958.2454016665972"/>
    <n v="199741.03096999289"/>
  </r>
  <r>
    <s v="Fase 1"/>
    <x v="45"/>
    <s v="D4. Comercial"/>
    <s v="03. Complementario"/>
    <x v="39"/>
    <x v="34"/>
    <s v="Proyecto"/>
    <n v="1"/>
    <x v="127"/>
    <m/>
    <x v="301"/>
    <x v="0"/>
    <n v="3"/>
    <n v="17730.496453900709"/>
    <n v="53191.48936170213"/>
    <n v="12664.64032421479"/>
    <n v="10232.56466143195"/>
    <m/>
    <m/>
    <n v="76088.694347348879"/>
    <n v="83368.431216931203"/>
    <n v="159457.12556428008"/>
    <n v="0.15"/>
    <n v="23918.56883464201"/>
    <n v="0.2"/>
    <n v="39864.281391070021"/>
    <n v="223239.97578999211"/>
    <n v="0.05"/>
    <n v="11749.472409999609"/>
    <n v="2349.8944819999174"/>
    <n v="2349.8944819999174"/>
    <n v="239689.23716399155"/>
  </r>
  <r>
    <s v="Fase 1"/>
    <x v="45"/>
    <s v="D4. Comercial"/>
    <s v="03. Complementario"/>
    <x v="39"/>
    <x v="34"/>
    <s v="Proyecto"/>
    <n v="1"/>
    <x v="127"/>
    <m/>
    <x v="302"/>
    <x v="0"/>
    <n v="4"/>
    <n v="17730.496453900709"/>
    <n v="70921.985815602835"/>
    <n v="16886.187098953054"/>
    <n v="13643.419548575934"/>
    <m/>
    <m/>
    <n v="101451.59246313182"/>
    <n v="111157.9082892416"/>
    <n v="212609.50075237342"/>
    <n v="0.15"/>
    <n v="31891.425112856014"/>
    <n v="0.2"/>
    <n v="53152.375188093341"/>
    <n v="297653.30105332279"/>
    <n v="0.05"/>
    <n v="15665.963213332812"/>
    <n v="3133.1926426665559"/>
    <n v="3133.1926426665559"/>
    <n v="319585.64955198875"/>
  </r>
  <r>
    <s v="Fase 1"/>
    <x v="45"/>
    <s v="D4. Comercial"/>
    <s v="03. Complementario"/>
    <x v="39"/>
    <x v="34"/>
    <s v="Proyecto"/>
    <n v="1"/>
    <x v="129"/>
    <m/>
    <x v="303"/>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4"/>
    <s v="Proyecto"/>
    <n v="1"/>
    <x v="129"/>
    <m/>
    <x v="304"/>
    <x v="0"/>
    <n v="0.1"/>
    <n v="17730.496453900709"/>
    <n v="1773.049645390071"/>
    <n v="422.15467747382638"/>
    <n v="341.08548871439837"/>
    <m/>
    <m/>
    <n v="2536.2898115782955"/>
    <n v="2778.9477072310401"/>
    <n v="5315.2375188093356"/>
    <n v="0.15"/>
    <n v="797.28562782140034"/>
    <n v="0.2"/>
    <n v="1328.8093797023339"/>
    <n v="7441.3325263330698"/>
    <n v="0.05"/>
    <n v="391.64908033331994"/>
    <n v="78.329816066663895"/>
    <n v="78.329816066663895"/>
    <n v="7989.641238799717"/>
  </r>
  <r>
    <s v="Fase 1"/>
    <x v="45"/>
    <s v="D4. Comercial"/>
    <s v="03. Complementario"/>
    <x v="39"/>
    <x v="34"/>
    <s v="Proyecto"/>
    <n v="1"/>
    <x v="129"/>
    <m/>
    <x v="305"/>
    <x v="0"/>
    <n v="1"/>
    <n v="17730.496453900709"/>
    <n v="17730.496453900709"/>
    <n v="4221.5467747382636"/>
    <n v="3410.8548871439834"/>
    <n v="100000"/>
    <m/>
    <n v="125362.89811578295"/>
    <n v="27789.477072310401"/>
    <n v="153152.37518809334"/>
    <n v="0.15"/>
    <n v="22972.856278214"/>
    <n v="0.2"/>
    <n v="38288.093797023321"/>
    <n v="214413.32526333065"/>
    <n v="0.05"/>
    <n v="11284.911855964776"/>
    <n v="2256.9823711929544"/>
    <n v="2256.9823711929544"/>
    <n v="230212.20186168133"/>
  </r>
  <r>
    <s v="Fase 1"/>
    <x v="45"/>
    <s v="D4. Comercial"/>
    <s v="03. Complementario"/>
    <x v="39"/>
    <x v="34"/>
    <s v="Proyecto"/>
    <n v="1"/>
    <x v="129"/>
    <m/>
    <x v="306"/>
    <x v="0"/>
    <n v="19.2"/>
    <n v="17730.496453900709"/>
    <n v="340425.5319148936"/>
    <n v="81053.698074974658"/>
    <n v="65488.413833164479"/>
    <m/>
    <m/>
    <n v="486967.64382303273"/>
    <n v="533557.9597883597"/>
    <n v="1020525.6036113924"/>
    <n v="0.15"/>
    <n v="153078.84054170887"/>
    <n v="0.2"/>
    <n v="255131.40090284799"/>
    <n v="1428735.8450559492"/>
    <n v="0.05"/>
    <n v="75196.623423997313"/>
    <n v="15039.324684799465"/>
    <n v="15039.324684799465"/>
    <n v="1534011.1178495453"/>
  </r>
  <r>
    <s v="Fase 2"/>
    <x v="46"/>
    <s v="D4. Comercial"/>
    <s v="03. Complementario"/>
    <x v="40"/>
    <x v="35"/>
    <s v="Proyecto"/>
    <n v="1"/>
    <x v="130"/>
    <m/>
    <x v="307"/>
    <x v="0"/>
    <n v="4"/>
    <n v="17730.496453900709"/>
    <n v="70921.985815602835"/>
    <n v="16886.187098953054"/>
    <n v="13643.419548575934"/>
    <m/>
    <m/>
    <n v="101451.59246313182"/>
    <n v="111157.9082892416"/>
    <n v="212609.50075237342"/>
    <n v="0.15"/>
    <n v="31891.425112856014"/>
    <n v="0.2"/>
    <n v="53152.375188093341"/>
    <n v="297653.30105332279"/>
    <n v="0.05"/>
    <n v="15665.963213332812"/>
    <n v="3133.1926426665559"/>
    <n v="3133.1926426665559"/>
    <n v="319585.64955198875"/>
  </r>
  <r>
    <s v="Fase 2"/>
    <x v="46"/>
    <s v="D4. Comercial"/>
    <s v="03. Complementario"/>
    <x v="40"/>
    <x v="35"/>
    <s v="Proyecto"/>
    <n v="1"/>
    <x v="131"/>
    <m/>
    <x v="308"/>
    <x v="0"/>
    <n v="9.6"/>
    <n v="17730.496453900709"/>
    <n v="170212.7659574468"/>
    <n v="40526.849037487329"/>
    <n v="32744.20691658224"/>
    <m/>
    <m/>
    <n v="243483.82191151637"/>
    <n v="266778.97989417985"/>
    <n v="510262.80180569622"/>
    <n v="0.15"/>
    <n v="76539.420270854433"/>
    <n v="0.2"/>
    <n v="127565.700451424"/>
    <n v="714367.92252797459"/>
    <n v="0.05"/>
    <n v="37598.311711998656"/>
    <n v="7519.6623423997326"/>
    <n v="7519.6623423997326"/>
    <n v="767005.55892477266"/>
  </r>
  <r>
    <s v="Fase 2"/>
    <x v="46"/>
    <s v="D4. Comercial"/>
    <s v="03. Complementario"/>
    <x v="40"/>
    <x v="35"/>
    <s v="Proyecto"/>
    <n v="1"/>
    <x v="131"/>
    <m/>
    <x v="309"/>
    <x v="0"/>
    <n v="18"/>
    <n v="17730.496453900709"/>
    <n v="319148.93617021275"/>
    <n v="75987.841945288747"/>
    <n v="61395.387968591705"/>
    <m/>
    <m/>
    <n v="456532.16608409322"/>
    <n v="500210.58730158722"/>
    <n v="956742.75338568049"/>
    <n v="0.15"/>
    <n v="143511.41300785207"/>
    <n v="0.2"/>
    <n v="239185.68834641995"/>
    <n v="1339439.8547399526"/>
    <n v="0.05"/>
    <n v="70496.834459997481"/>
    <n v="14099.366891999502"/>
    <n v="14099.366891999502"/>
    <n v="1438135.4229839491"/>
  </r>
  <r>
    <s v="Fase 2"/>
    <x v="46"/>
    <s v="D4. Comercial"/>
    <s v="03. Complementario"/>
    <x v="40"/>
    <x v="35"/>
    <s v="Proyecto"/>
    <n v="1"/>
    <x v="132"/>
    <m/>
    <x v="310"/>
    <x v="0"/>
    <n v="2"/>
    <n v="17730.496453900709"/>
    <n v="35460.992907801417"/>
    <n v="8443.0935494765272"/>
    <n v="6821.7097742879669"/>
    <m/>
    <m/>
    <n v="50725.79623156591"/>
    <n v="55578.954144620802"/>
    <n v="106304.75037618671"/>
    <n v="0.15"/>
    <n v="15945.712556428007"/>
    <n v="0.2"/>
    <n v="26576.187594046671"/>
    <n v="148826.6505266614"/>
    <n v="0.05"/>
    <n v="7832.9816066664062"/>
    <n v="1566.596321333278"/>
    <n v="1566.596321333278"/>
    <n v="159792.82477599438"/>
  </r>
  <r>
    <s v="Fase 2"/>
    <x v="46"/>
    <s v="D4. Comercial"/>
    <s v="03. Complementario"/>
    <x v="40"/>
    <x v="35"/>
    <s v="Proyecto"/>
    <n v="1"/>
    <x v="133"/>
    <m/>
    <x v="311"/>
    <x v="0"/>
    <n v="4"/>
    <n v="17730.496453900709"/>
    <n v="70921.985815602835"/>
    <n v="16886.187098953054"/>
    <n v="13643.419548575934"/>
    <m/>
    <m/>
    <n v="101451.59246313182"/>
    <n v="111157.9082892416"/>
    <n v="212609.50075237342"/>
    <n v="0.15"/>
    <n v="31891.425112856014"/>
    <n v="0.2"/>
    <n v="53152.375188093341"/>
    <n v="297653.30105332279"/>
    <n v="0.05"/>
    <n v="15665.963213332812"/>
    <n v="3133.1926426665559"/>
    <n v="3133.1926426665559"/>
    <n v="319585.64955198875"/>
  </r>
  <r>
    <s v="Fase 2"/>
    <x v="46"/>
    <s v="D4. Comercial"/>
    <s v="03. Complementario"/>
    <x v="40"/>
    <x v="35"/>
    <s v="Proyecto"/>
    <n v="1"/>
    <x v="34"/>
    <m/>
    <x v="312"/>
    <x v="0"/>
    <n v="9"/>
    <n v="17730.496453900709"/>
    <n v="159574.46808510637"/>
    <n v="37993.920972644373"/>
    <n v="30697.693984295853"/>
    <m/>
    <m/>
    <n v="228266.08304204661"/>
    <n v="250105.29365079361"/>
    <n v="478371.37669284025"/>
    <n v="0.15"/>
    <n v="71755.706503926034"/>
    <n v="0.2"/>
    <n v="119592.84417320997"/>
    <n v="669719.9273699763"/>
    <n v="0.05"/>
    <n v="35248.41722999874"/>
    <n v="7049.6834459997508"/>
    <n v="7049.6834459997508"/>
    <n v="719067.71149197454"/>
  </r>
  <r>
    <s v="Fase 2"/>
    <x v="46"/>
    <s v="D4. Comercial"/>
    <s v="03. Complementario"/>
    <x v="40"/>
    <x v="35"/>
    <s v="Proyecto"/>
    <n v="1"/>
    <x v="134"/>
    <m/>
    <x v="313"/>
    <x v="0"/>
    <n v="5"/>
    <n v="17730.496453900709"/>
    <n v="88652.48226950354"/>
    <n v="21107.733873691319"/>
    <n v="17054.274435719919"/>
    <m/>
    <m/>
    <n v="126814.49057891479"/>
    <n v="138947.38536155201"/>
    <n v="265761.87594046677"/>
    <n v="0.15"/>
    <n v="39864.281391070013"/>
    <n v="0.2"/>
    <n v="66440.468985116691"/>
    <n v="372066.62631665345"/>
    <n v="0.05"/>
    <n v="19582.454016665986"/>
    <n v="3916.4908033331944"/>
    <n v="3916.4908033331944"/>
    <n v="399482.06193998578"/>
  </r>
  <r>
    <s v="Fase 2"/>
    <x v="46"/>
    <s v="D4. Comercial"/>
    <s v="03. Complementario"/>
    <x v="40"/>
    <x v="35"/>
    <s v="Proyecto"/>
    <n v="1"/>
    <x v="135"/>
    <m/>
    <x v="314"/>
    <x v="0"/>
    <n v="2"/>
    <n v="17730.496453900709"/>
    <n v="35460.992907801417"/>
    <n v="8443.0935494765272"/>
    <n v="6821.7097742879669"/>
    <m/>
    <m/>
    <n v="50725.79623156591"/>
    <n v="55578.954144620802"/>
    <n v="106304.75037618671"/>
    <n v="0.15"/>
    <n v="15945.712556428007"/>
    <n v="0.2"/>
    <n v="26576.187594046671"/>
    <n v="148826.6505266614"/>
    <n v="0.05"/>
    <n v="7832.9816066664062"/>
    <n v="1566.596321333278"/>
    <n v="1566.596321333278"/>
    <n v="159792.82477599438"/>
  </r>
  <r>
    <s v="Fase 2"/>
    <x v="46"/>
    <s v="D4. Comercial"/>
    <s v="03. Complementario"/>
    <x v="40"/>
    <x v="35"/>
    <s v="Proyecto"/>
    <n v="1"/>
    <x v="136"/>
    <m/>
    <x v="315"/>
    <x v="0"/>
    <n v="9"/>
    <n v="17730.496453900709"/>
    <n v="159574.46808510637"/>
    <n v="37993.920972644373"/>
    <n v="30697.693984295853"/>
    <m/>
    <m/>
    <n v="228266.08304204661"/>
    <n v="250105.29365079361"/>
    <n v="478371.37669284025"/>
    <n v="0.15"/>
    <n v="71755.706503926034"/>
    <n v="0.2"/>
    <n v="119592.84417320997"/>
    <n v="669719.9273699763"/>
    <n v="0.05"/>
    <n v="35248.41722999874"/>
    <n v="7049.6834459997508"/>
    <n v="7049.6834459997508"/>
    <n v="719067.71149197454"/>
  </r>
  <r>
    <s v="Fase 3"/>
    <x v="47"/>
    <s v="D4. Comercial"/>
    <s v="03. Complementario"/>
    <x v="41"/>
    <x v="36"/>
    <s v="Proyecto"/>
    <n v="1"/>
    <x v="137"/>
    <m/>
    <x v="316"/>
    <x v="0"/>
    <n v="5"/>
    <n v="17730.496453900709"/>
    <n v="88652.48226950354"/>
    <n v="21107.733873691319"/>
    <n v="17054.274435719919"/>
    <m/>
    <m/>
    <n v="126814.49057891479"/>
    <n v="138947.38536155201"/>
    <n v="265761.87594046677"/>
    <n v="0.05"/>
    <n v="13288.093797023339"/>
    <n v="0.2"/>
    <n v="66440.468985116691"/>
    <n v="345490.43872260681"/>
    <n v="0.05"/>
    <n v="18183.707301189832"/>
    <n v="3636.7414602379663"/>
    <n v="3636.7414602379663"/>
    <n v="370947.62894427252"/>
  </r>
  <r>
    <s v="Fase 3"/>
    <x v="47"/>
    <s v="D4. Comercial"/>
    <s v="03. Complementario"/>
    <x v="41"/>
    <x v="36"/>
    <s v="Proyecto"/>
    <n v="1"/>
    <x v="138"/>
    <m/>
    <x v="317"/>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3"/>
    <x v="47"/>
    <s v="D4. Comercial"/>
    <s v="03. Complementario"/>
    <x v="41"/>
    <x v="36"/>
    <s v="Proyecto"/>
    <n v="1"/>
    <x v="138"/>
    <m/>
    <x v="318"/>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3"/>
    <x v="47"/>
    <s v="D4. Comercial"/>
    <s v="03. Complementario"/>
    <x v="41"/>
    <x v="36"/>
    <s v="Proyecto"/>
    <n v="1"/>
    <x v="138"/>
    <m/>
    <x v="319"/>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47"/>
    <s v="D4. Comercial"/>
    <s v="03. Complementario"/>
    <x v="41"/>
    <x v="36"/>
    <s v="Proyecto"/>
    <n v="1"/>
    <x v="139"/>
    <m/>
    <x v="320"/>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3"/>
    <x v="47"/>
    <s v="D4. Comercial"/>
    <s v="03. Complementario"/>
    <x v="41"/>
    <x v="36"/>
    <s v="Proyecto"/>
    <n v="1"/>
    <x v="139"/>
    <m/>
    <x v="321"/>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3"/>
    <x v="47"/>
    <s v="D4. Comercial"/>
    <s v="03. Complementario"/>
    <x v="41"/>
    <x v="36"/>
    <s v="Proyecto"/>
    <n v="1"/>
    <x v="140"/>
    <m/>
    <x v="322"/>
    <x v="0"/>
    <n v="5"/>
    <n v="17730.496453900709"/>
    <n v="88652.48226950354"/>
    <n v="21107.733873691319"/>
    <n v="17054.274435719919"/>
    <m/>
    <m/>
    <n v="126814.49057891479"/>
    <n v="138947.38536155201"/>
    <n v="265761.87594046677"/>
    <n v="0.05"/>
    <n v="13288.093797023339"/>
    <n v="0.2"/>
    <n v="66440.468985116691"/>
    <n v="345490.43872260681"/>
    <n v="0.05"/>
    <n v="18183.707301189832"/>
    <n v="3636.7414602379663"/>
    <n v="3636.7414602379663"/>
    <n v="370947.62894427252"/>
  </r>
  <r>
    <s v="Fase 3"/>
    <x v="47"/>
    <s v="D4. Comercial"/>
    <s v="03. Complementario"/>
    <x v="41"/>
    <x v="36"/>
    <s v="Proyecto"/>
    <n v="1"/>
    <x v="137"/>
    <m/>
    <x v="323"/>
    <x v="0"/>
    <n v="9.6"/>
    <n v="17730.496453900709"/>
    <n v="170212.7659574468"/>
    <n v="40526.849037487329"/>
    <n v="32744.20691658224"/>
    <m/>
    <m/>
    <n v="243483.82191151637"/>
    <n v="266778.97989417985"/>
    <n v="510262.80180569622"/>
    <n v="0.05"/>
    <n v="25513.140090284811"/>
    <n v="0.2"/>
    <n v="127565.700451424"/>
    <n v="663341.64234740508"/>
    <n v="0.05"/>
    <n v="34912.718018284533"/>
    <n v="6982.5436036568963"/>
    <n v="6982.5436036568963"/>
    <n v="712219.44757300348"/>
  </r>
  <r>
    <s v="Fase 3"/>
    <x v="47"/>
    <s v="D4. Comercial"/>
    <s v="03. Complementario"/>
    <x v="42"/>
    <x v="37"/>
    <s v="Proyecto"/>
    <n v="1"/>
    <x v="141"/>
    <m/>
    <x v="324"/>
    <x v="0"/>
    <n v="18.8"/>
    <n v="17730.496453900709"/>
    <n v="333333.33333333331"/>
    <n v="79365.079365079364"/>
    <n v="64124.071878306888"/>
    <m/>
    <m/>
    <n v="476822.48457671958"/>
    <n v="522442.16895943554"/>
    <n v="999264.65353615512"/>
    <n v="0.05"/>
    <n v="49963.232676807762"/>
    <n v="0.2"/>
    <n v="249816.16338403872"/>
    <n v="1299044.0495970016"/>
    <n v="0.05"/>
    <n v="68370.739452473819"/>
    <n v="13674.147890494754"/>
    <n v="13674.147890494754"/>
    <n v="1394763.0848304648"/>
  </r>
  <r>
    <s v="Fase 3"/>
    <x v="47"/>
    <s v="D4. Comercial"/>
    <s v="03. Complementario"/>
    <x v="41"/>
    <x v="36"/>
    <s v="Proyecto"/>
    <n v="1"/>
    <x v="142"/>
    <m/>
    <x v="325"/>
    <x v="0"/>
    <n v="9.4"/>
    <n v="17730.496453900709"/>
    <n v="166666.66666666666"/>
    <n v="39682.539682539682"/>
    <n v="32062.035939153444"/>
    <m/>
    <m/>
    <n v="238411.24228835979"/>
    <n v="261221.08447971777"/>
    <n v="499632.32676807756"/>
    <n v="0.05"/>
    <n v="24981.616338403881"/>
    <n v="0.2"/>
    <n v="124908.08169201936"/>
    <n v="649522.02479850082"/>
    <n v="0.05"/>
    <n v="34185.36972623691"/>
    <n v="6837.0739452473772"/>
    <n v="6837.0739452473772"/>
    <n v="697381.5424152324"/>
  </r>
  <r>
    <s v="Fase 1"/>
    <x v="48"/>
    <s v="D0. Proyecto"/>
    <s v="00. Proyecto"/>
    <x v="43"/>
    <x v="38"/>
    <s v="Proyecto"/>
    <n v="1"/>
    <x v="143"/>
    <s v="https://drive.google.com/open?id=1WgfE3zTeGx9hfRcKx4gaRcOuAFB9ZaLD&amp;usp=drive_fs"/>
    <x v="326"/>
    <x v="1"/>
    <n v="0.1"/>
    <n v="20263.424518743668"/>
    <n v="2026.3424518743668"/>
    <n v="253.29280648429585"/>
    <n v="341.08548871439837"/>
    <n v="0"/>
    <n v="0"/>
    <n v="2620.7207470730609"/>
    <n v="2778.9477072310401"/>
    <n v="5399.668454304101"/>
    <n v="0.15"/>
    <n v="809.95026814561515"/>
    <n v="0.2"/>
    <n v="1349.9171135760253"/>
    <n v="7559.5358360257414"/>
    <n v="0.05"/>
    <n v="397.87030715924993"/>
    <n v="79.574061431849913"/>
    <n v="79.574061431849913"/>
    <n v="8116.5542660486917"/>
  </r>
  <r>
    <s v="Fase 1"/>
    <x v="48"/>
    <s v="D0. Proyecto"/>
    <s v="00. Proyecto"/>
    <x v="43"/>
    <x v="38"/>
    <s v="Proyecto"/>
    <n v="1"/>
    <x v="143"/>
    <m/>
    <x v="327"/>
    <x v="1"/>
    <n v="0.1"/>
    <n v="20263.424518743668"/>
    <n v="2026.3424518743668"/>
    <n v="253.29280648429585"/>
    <n v="341.08548871439837"/>
    <n v="0"/>
    <n v="0"/>
    <n v="2620.7207470730609"/>
    <n v="2778.9477072310401"/>
    <n v="5399.668454304101"/>
    <n v="0.15"/>
    <n v="809.95026814561515"/>
    <n v="0.2"/>
    <n v="1349.9171135760253"/>
    <n v="7559.5358360257414"/>
    <n v="0.05"/>
    <n v="397.87030715924993"/>
    <n v="79.574061431849913"/>
    <n v="79.574061431849913"/>
    <n v="8116.5542660486917"/>
  </r>
  <r>
    <s v="Fase 1"/>
    <x v="48"/>
    <s v="D0. Proyecto"/>
    <s v="00. Proyecto"/>
    <x v="43"/>
    <x v="38"/>
    <s v="Proyecto"/>
    <n v="1"/>
    <x v="143"/>
    <m/>
    <x v="328"/>
    <x v="0"/>
    <n v="0.1"/>
    <n v="17730.496453900709"/>
    <n v="1773.049645390071"/>
    <n v="422.15467747382638"/>
    <n v="341.08548871439837"/>
    <n v="0"/>
    <n v="0"/>
    <n v="2536.2898115782955"/>
    <n v="2778.9477072310401"/>
    <n v="5315.2375188093356"/>
    <n v="0.15"/>
    <n v="797.28562782140034"/>
    <n v="0.2"/>
    <n v="1328.8093797023339"/>
    <n v="7441.3325263330698"/>
    <n v="0.05"/>
    <n v="391.64908033331994"/>
    <n v="78.329816066663895"/>
    <n v="78.329816066663895"/>
    <n v="7989.641238799717"/>
  </r>
  <r>
    <s v="Fase 1"/>
    <x v="48"/>
    <s v="D0. Proyecto"/>
    <s v="00. Proyecto"/>
    <x v="43"/>
    <x v="38"/>
    <s v="Proyecto"/>
    <n v="1"/>
    <x v="143"/>
    <m/>
    <x v="329"/>
    <x v="1"/>
    <n v="0.2"/>
    <n v="20263.424518743668"/>
    <n v="4052.6849037487336"/>
    <n v="506.5856129685917"/>
    <n v="682.17097742879673"/>
    <n v="0"/>
    <n v="0"/>
    <n v="5241.4414941461218"/>
    <n v="5557.8954144620802"/>
    <n v="10799.336908608202"/>
    <n v="0.15"/>
    <n v="1619.9005362912303"/>
    <n v="0.2"/>
    <n v="2699.8342271520505"/>
    <n v="15119.071672051483"/>
    <n v="0.05"/>
    <n v="795.74061431849987"/>
    <n v="159.14812286369983"/>
    <n v="159.14812286369983"/>
    <n v="16233.108532097383"/>
  </r>
  <r>
    <s v="Fase 1"/>
    <x v="48"/>
    <s v="D0. Proyecto"/>
    <s v="00. Proyecto"/>
    <x v="43"/>
    <x v="38"/>
    <s v="Proyecto"/>
    <n v="1"/>
    <x v="143"/>
    <m/>
    <x v="330"/>
    <x v="1"/>
    <n v="0.2"/>
    <n v="20263.424518743668"/>
    <n v="4052.6849037487336"/>
    <n v="506.5856129685917"/>
    <n v="682.17097742879673"/>
    <n v="0"/>
    <n v="0"/>
    <n v="5241.4414941461218"/>
    <n v="5557.8954144620802"/>
    <n v="10799.336908608202"/>
    <n v="0.15"/>
    <n v="1619.9005362912303"/>
    <n v="0.2"/>
    <n v="2699.8342271520505"/>
    <n v="15119.071672051483"/>
    <n v="0.05"/>
    <n v="795.74061431849987"/>
    <n v="159.14812286369983"/>
    <n v="159.14812286369983"/>
    <n v="16233.108532097383"/>
  </r>
  <r>
    <s v="Fase 1"/>
    <x v="48"/>
    <s v="D0. Proyecto"/>
    <s v="00. Proyecto"/>
    <x v="43"/>
    <x v="38"/>
    <s v="Proyecto"/>
    <n v="1"/>
    <x v="143"/>
    <m/>
    <x v="331"/>
    <x v="0"/>
    <n v="0.1"/>
    <n v="17730.496453900709"/>
    <n v="1773.049645390071"/>
    <n v="422.15467747382638"/>
    <n v="341.08548871439837"/>
    <n v="0"/>
    <n v="0"/>
    <n v="2536.2898115782955"/>
    <n v="2778.9477072310401"/>
    <n v="5315.2375188093356"/>
    <n v="0.15"/>
    <n v="797.28562782140034"/>
    <n v="0.2"/>
    <n v="1328.8093797023339"/>
    <n v="7441.3325263330698"/>
    <n v="0.05"/>
    <n v="391.64908033331994"/>
    <n v="78.329816066663895"/>
    <n v="78.329816066663895"/>
    <n v="7989.641238799717"/>
  </r>
  <r>
    <s v="Fase 1"/>
    <x v="48"/>
    <s v="D0. Proyecto"/>
    <s v="00. Proyecto"/>
    <x v="43"/>
    <x v="38"/>
    <s v="Proyecto"/>
    <n v="1"/>
    <x v="143"/>
    <m/>
    <x v="332"/>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1"/>
    <x v="48"/>
    <s v="D0. Proyecto"/>
    <s v="00. Proyecto"/>
    <x v="43"/>
    <x v="38"/>
    <s v="Proyecto"/>
    <n v="1"/>
    <x v="143"/>
    <m/>
    <x v="333"/>
    <x v="0"/>
    <n v="0.1"/>
    <n v="17730.496453900709"/>
    <n v="1773.049645390071"/>
    <n v="422.15467747382638"/>
    <n v="341.08548871439837"/>
    <n v="0"/>
    <n v="0"/>
    <n v="2536.2898115782955"/>
    <n v="2778.9477072310401"/>
    <n v="5315.2375188093356"/>
    <n v="0.15"/>
    <n v="797.28562782140034"/>
    <n v="0.2"/>
    <n v="1328.8093797023339"/>
    <n v="7441.3325263330698"/>
    <n v="0.05"/>
    <n v="391.64908033331994"/>
    <n v="78.329816066663895"/>
    <n v="78.329816066663895"/>
    <n v="7989.641238799717"/>
  </r>
  <r>
    <s v="Fase 1"/>
    <x v="48"/>
    <s v="D0. Proyecto"/>
    <s v="00. Proyecto"/>
    <x v="43"/>
    <x v="39"/>
    <s v="Proyecto"/>
    <n v="1"/>
    <x v="143"/>
    <m/>
    <x v="334"/>
    <x v="1"/>
    <n v="1"/>
    <n v="20263.424518743668"/>
    <n v="20263.424518743668"/>
    <n v="2532.9280648429585"/>
    <n v="3410.8548871439834"/>
    <n v="0"/>
    <n v="0"/>
    <n v="26207.207470730609"/>
    <n v="27789.477072310401"/>
    <n v="53996.68454304101"/>
    <n v="0.15"/>
    <n v="8099.5026814561515"/>
    <n v="0.2"/>
    <n v="13499.171135760254"/>
    <n v="75595.358360257407"/>
    <n v="0.05"/>
    <n v="3978.7030715924921"/>
    <n v="795.74061431849896"/>
    <n v="795.74061431849896"/>
    <n v="81165.542660486884"/>
  </r>
  <r>
    <s v="Fase 1"/>
    <x v="48"/>
    <s v="D0. Proyecto"/>
    <s v="00. Proyecto"/>
    <x v="43"/>
    <x v="40"/>
    <s v="Proyecto"/>
    <n v="1"/>
    <x v="144"/>
    <m/>
    <x v="335"/>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8"/>
    <s v="D0. Proyecto"/>
    <s v="00. Proyecto"/>
    <x v="43"/>
    <x v="41"/>
    <s v="Proyecto"/>
    <n v="1"/>
    <x v="144"/>
    <m/>
    <x v="336"/>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1"/>
    <x v="48"/>
    <s v="D0. Proyecto"/>
    <s v="00. Proyecto"/>
    <x v="43"/>
    <x v="40"/>
    <s v="Proyecto"/>
    <n v="1"/>
    <x v="144"/>
    <m/>
    <x v="337"/>
    <x v="0"/>
    <n v="50"/>
    <n v="17730.496453900709"/>
    <n v="886524.82269503549"/>
    <n v="211077.33873691317"/>
    <n v="170542.74435719918"/>
    <n v="0"/>
    <n v="0"/>
    <n v="1268144.9057891478"/>
    <n v="1389473.8536155201"/>
    <n v="2657618.7594046677"/>
    <n v="0.15"/>
    <n v="398642.81391070015"/>
    <n v="0.2"/>
    <n v="664404.68985116668"/>
    <n v="3720666.2631665347"/>
    <n v="0.05"/>
    <n v="195824.54016665975"/>
    <n v="39164.908033331943"/>
    <n v="39164.908033331943"/>
    <n v="3994820.6193998582"/>
  </r>
  <r>
    <s v="Fase 1"/>
    <x v="48"/>
    <s v="D0. Proyecto"/>
    <s v="00. Proyecto"/>
    <x v="43"/>
    <x v="40"/>
    <s v="Proyecto"/>
    <n v="1"/>
    <x v="145"/>
    <m/>
    <x v="338"/>
    <x v="0"/>
    <n v="4"/>
    <n v="17730.496453900709"/>
    <n v="70921.985815602835"/>
    <n v="16886.187098953054"/>
    <n v="13643.419548575934"/>
    <n v="0"/>
    <n v="0"/>
    <n v="101451.59246313182"/>
    <n v="111157.9082892416"/>
    <n v="212609.50075237342"/>
    <n v="0.15"/>
    <n v="31891.425112856014"/>
    <n v="0.2"/>
    <n v="53152.375188093341"/>
    <n v="297653.30105332279"/>
    <n v="0.05"/>
    <n v="15665.963213332812"/>
    <n v="3133.1926426665559"/>
    <n v="3133.1926426665559"/>
    <n v="319585.64955198875"/>
  </r>
  <r>
    <s v="Fase 1"/>
    <x v="49"/>
    <s v="D0. Proyecto"/>
    <s v="00. Proyecto"/>
    <x v="44"/>
    <x v="40"/>
    <s v="ha"/>
    <n v="1"/>
    <x v="146"/>
    <m/>
    <x v="339"/>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0"/>
    <s v="ha"/>
    <n v="1"/>
    <x v="146"/>
    <m/>
    <x v="340"/>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49"/>
    <s v="D0. Proyecto"/>
    <s v="00. Proyecto"/>
    <x v="44"/>
    <x v="40"/>
    <s v="ha"/>
    <n v="1"/>
    <x v="147"/>
    <m/>
    <x v="341"/>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49"/>
    <s v="D0. Proyecto"/>
    <s v="00. Proyecto"/>
    <x v="44"/>
    <x v="42"/>
    <s v="Análisis"/>
    <n v="1"/>
    <x v="148"/>
    <m/>
    <x v="342"/>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49"/>
    <s v="D0. Proyecto"/>
    <s v="00. Proyecto"/>
    <x v="44"/>
    <x v="42"/>
    <s v="Análisis"/>
    <n v="1"/>
    <x v="148"/>
    <m/>
    <x v="343"/>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49"/>
    <s v="D0. Proyecto"/>
    <s v="00. Proyecto"/>
    <x v="44"/>
    <x v="42"/>
    <s v="Análisis"/>
    <n v="1"/>
    <x v="148"/>
    <m/>
    <x v="344"/>
    <x v="0"/>
    <n v="0.1"/>
    <n v="17730.496453900709"/>
    <n v="1773.049645390071"/>
    <n v="422.15467747382638"/>
    <n v="341.08548871439837"/>
    <n v="0"/>
    <n v="0"/>
    <n v="2536.2898115782955"/>
    <n v="2778.9477072310401"/>
    <n v="5315.2375188093356"/>
    <n v="0.15"/>
    <n v="797.28562782140034"/>
    <n v="0.2"/>
    <n v="1328.8093797023339"/>
    <n v="7441.3325263330698"/>
    <n v="0.05"/>
    <n v="391.64908033331994"/>
    <n v="78.329816066663895"/>
    <n v="78.329816066663895"/>
    <n v="7989.641238799717"/>
  </r>
  <r>
    <s v="Fase 1"/>
    <x v="49"/>
    <s v="D0. Proyecto"/>
    <s v="00. Proyecto"/>
    <x v="44"/>
    <x v="43"/>
    <s v="Proyecto"/>
    <n v="1"/>
    <x v="149"/>
    <m/>
    <x v="345"/>
    <x v="0"/>
    <n v="9.4"/>
    <n v="17730.496453900709"/>
    <n v="166666.66666666666"/>
    <n v="39682.539682539682"/>
    <n v="32062.035939153444"/>
    <n v="0"/>
    <n v="0"/>
    <n v="238411.24228835979"/>
    <n v="261221.08447971777"/>
    <n v="499632.32676807756"/>
    <n v="0.15"/>
    <n v="74944.849015211628"/>
    <n v="0.2"/>
    <n v="124908.08169201936"/>
    <n v="699485.25747530849"/>
    <n v="0.05"/>
    <n v="36815.013551332057"/>
    <n v="7363.0027102664053"/>
    <n v="7363.0027102664053"/>
    <n v="751026.27644717332"/>
  </r>
  <r>
    <s v="Fase 1"/>
    <x v="49"/>
    <s v="D0. Proyecto"/>
    <s v="00. Proyecto"/>
    <x v="44"/>
    <x v="43"/>
    <s v="Proyecto"/>
    <n v="1"/>
    <x v="149"/>
    <m/>
    <x v="346"/>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0"/>
    <m/>
    <x v="347"/>
    <x v="0"/>
    <n v="0.1"/>
    <n v="17730.496453900709"/>
    <n v="1773.049645390071"/>
    <n v="422.15467747382638"/>
    <n v="341.08548871439837"/>
    <n v="0"/>
    <n v="0"/>
    <n v="2536.2898115782955"/>
    <n v="2778.9477072310401"/>
    <n v="5315.2375188093356"/>
    <n v="0.15"/>
    <n v="797.28562782140034"/>
    <n v="0.2"/>
    <n v="1328.8093797023339"/>
    <n v="7441.3325263330698"/>
    <n v="0.05"/>
    <n v="391.64908033331994"/>
    <n v="78.329816066663895"/>
    <n v="78.329816066663895"/>
    <n v="7989.641238799717"/>
  </r>
  <r>
    <s v="Fase 1"/>
    <x v="49"/>
    <s v="D0. Proyecto"/>
    <s v="00. Proyecto"/>
    <x v="44"/>
    <x v="43"/>
    <s v="Proyecto"/>
    <n v="1"/>
    <x v="150"/>
    <m/>
    <x v="348"/>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0"/>
    <m/>
    <x v="349"/>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0"/>
    <m/>
    <x v="350"/>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0"/>
    <m/>
    <x v="351"/>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0"/>
    <m/>
    <x v="352"/>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0"/>
    <m/>
    <x v="353"/>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49"/>
    <s v="D0. Proyecto"/>
    <s v="00. Proyecto"/>
    <x v="44"/>
    <x v="43"/>
    <s v="Proyecto"/>
    <n v="1"/>
    <x v="150"/>
    <m/>
    <x v="354"/>
    <x v="0"/>
    <n v="4"/>
    <n v="17730.496453900709"/>
    <n v="70921.985815602835"/>
    <n v="16886.187098953054"/>
    <n v="13643.419548575934"/>
    <n v="0"/>
    <n v="0"/>
    <n v="101451.59246313182"/>
    <n v="111157.9082892416"/>
    <n v="212609.50075237342"/>
    <n v="0.15"/>
    <n v="31891.425112856014"/>
    <n v="0.2"/>
    <n v="53152.375188093341"/>
    <n v="297653.30105332279"/>
    <n v="0.05"/>
    <n v="15665.963213332812"/>
    <n v="3133.1926426665559"/>
    <n v="3133.1926426665559"/>
    <n v="319585.64955198875"/>
  </r>
  <r>
    <s v="Fase 1"/>
    <x v="49"/>
    <s v="D0. Proyecto"/>
    <s v="00. Proyecto"/>
    <x v="44"/>
    <x v="43"/>
    <s v="Proyecto"/>
    <n v="1"/>
    <x v="150"/>
    <m/>
    <x v="355"/>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1"/>
    <m/>
    <x v="356"/>
    <x v="0"/>
    <n v="4"/>
    <n v="17730.496453900709"/>
    <n v="70921.985815602835"/>
    <n v="16886.187098953054"/>
    <n v="13643.419548575934"/>
    <n v="0"/>
    <n v="0"/>
    <n v="101451.59246313182"/>
    <n v="111157.9082892416"/>
    <n v="212609.50075237342"/>
    <n v="0.15"/>
    <n v="31891.425112856014"/>
    <n v="0.2"/>
    <n v="53152.375188093341"/>
    <n v="297653.30105332279"/>
    <n v="0.05"/>
    <n v="15665.963213332812"/>
    <n v="3133.1926426665559"/>
    <n v="3133.1926426665559"/>
    <n v="319585.64955198875"/>
  </r>
  <r>
    <s v="Fase 1"/>
    <x v="49"/>
    <s v="D0. Proyecto"/>
    <s v="00. Proyecto"/>
    <x v="44"/>
    <x v="43"/>
    <s v="Proyecto"/>
    <n v="1"/>
    <x v="151"/>
    <m/>
    <x v="357"/>
    <x v="0"/>
    <n v="4"/>
    <n v="17730.496453900709"/>
    <n v="70921.985815602835"/>
    <n v="16886.187098953054"/>
    <n v="13643.419548575934"/>
    <n v="0"/>
    <n v="0"/>
    <n v="101451.59246313182"/>
    <n v="111157.9082892416"/>
    <n v="212609.50075237342"/>
    <n v="0.15"/>
    <n v="31891.425112856014"/>
    <n v="0.2"/>
    <n v="53152.375188093341"/>
    <n v="297653.30105332279"/>
    <n v="0.05"/>
    <n v="15665.963213332812"/>
    <n v="3133.1926426665559"/>
    <n v="3133.1926426665559"/>
    <n v="319585.64955198875"/>
  </r>
  <r>
    <s v="Fase 1"/>
    <x v="49"/>
    <s v="D0. Proyecto"/>
    <s v="00. Proyecto"/>
    <x v="44"/>
    <x v="43"/>
    <s v="Proyecto"/>
    <n v="1"/>
    <x v="151"/>
    <m/>
    <x v="358"/>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50"/>
    <s v="D0. Proyecto"/>
    <s v="00. Proyecto"/>
    <x v="45"/>
    <x v="44"/>
    <s v="Proyecto"/>
    <n v="1"/>
    <x v="152"/>
    <m/>
    <x v="359"/>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4"/>
    <s v="Proyecto"/>
    <n v="1"/>
    <x v="152"/>
    <m/>
    <x v="360"/>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4"/>
    <s v="Proyecto"/>
    <n v="1"/>
    <x v="152"/>
    <m/>
    <x v="361"/>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4"/>
    <s v="Proyecto"/>
    <n v="1"/>
    <x v="152"/>
    <m/>
    <x v="362"/>
    <x v="0"/>
    <n v="0.5"/>
    <n v="17730.496453900709"/>
    <n v="8865.2482269503544"/>
    <n v="2110.7733873691318"/>
    <n v="1705.4274435719917"/>
    <n v="0"/>
    <n v="0"/>
    <n v="12681.449057891477"/>
    <n v="13894.738536155201"/>
    <n v="26576.187594046678"/>
    <n v="0.1"/>
    <n v="2657.6187594046678"/>
    <n v="0.3"/>
    <n v="11389.794683162865"/>
    <n v="40623.601036614215"/>
    <n v="0.05"/>
    <n v="2138.084265084959"/>
    <n v="427.61685301699174"/>
    <n v="427.61685301699174"/>
    <n v="43616.919007733151"/>
  </r>
  <r>
    <s v="Fase 1"/>
    <x v="50"/>
    <s v="D0. Proyecto"/>
    <s v="00. Proyecto"/>
    <x v="45"/>
    <x v="44"/>
    <s v="Proyecto"/>
    <n v="1"/>
    <x v="126"/>
    <m/>
    <x v="363"/>
    <x v="0"/>
    <n v="1"/>
    <n v="17730.496453900709"/>
    <n v="17730.496453900709"/>
    <n v="4221.5467747382636"/>
    <n v="3410.8548871439834"/>
    <n v="0"/>
    <n v="0"/>
    <n v="25362.898115782955"/>
    <n v="27789.477072310401"/>
    <n v="53152.375188093356"/>
    <n v="0.1"/>
    <n v="5315.2375188093356"/>
    <n v="0.3"/>
    <n v="22779.58936632573"/>
    <n v="81247.202073228429"/>
    <n v="0.05"/>
    <n v="4276.1685301699181"/>
    <n v="855.23370603398348"/>
    <n v="855.23370603398348"/>
    <n v="87233.838015466303"/>
  </r>
  <r>
    <s v="Fase 1"/>
    <x v="50"/>
    <s v="D0. Proyecto"/>
    <s v="00. Proyecto"/>
    <x v="45"/>
    <x v="44"/>
    <s v="Proyecto"/>
    <n v="1"/>
    <x v="126"/>
    <m/>
    <x v="364"/>
    <x v="0"/>
    <n v="2"/>
    <n v="17730.496453900709"/>
    <n v="35460.992907801417"/>
    <n v="8443.0935494765272"/>
    <n v="6821.7097742879669"/>
    <n v="0"/>
    <n v="0"/>
    <n v="50725.79623156591"/>
    <n v="55578.954144620802"/>
    <n v="106304.75037618671"/>
    <n v="0.1"/>
    <n v="10630.475037618671"/>
    <n v="0.3"/>
    <n v="45559.17873265146"/>
    <n v="162494.40414645686"/>
    <n v="0.05"/>
    <n v="8552.3370603398362"/>
    <n v="1710.467412067967"/>
    <n v="1710.467412067967"/>
    <n v="174467.67603093261"/>
  </r>
  <r>
    <s v="Fase 1"/>
    <x v="50"/>
    <s v="D0. Proyecto"/>
    <s v="00. Proyecto"/>
    <x v="45"/>
    <x v="44"/>
    <s v="Proyecto"/>
    <n v="1"/>
    <x v="126"/>
    <m/>
    <x v="365"/>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4"/>
    <s v="Proyecto"/>
    <n v="1"/>
    <x v="153"/>
    <m/>
    <x v="366"/>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67"/>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68"/>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69"/>
    <x v="0"/>
    <n v="1"/>
    <n v="17730.496453900709"/>
    <n v="17730.496453900709"/>
    <n v="4221.5467747382636"/>
    <n v="3410.8548871439834"/>
    <n v="0"/>
    <n v="0"/>
    <n v="25362.898115782955"/>
    <n v="27789.477072310401"/>
    <n v="53152.375188093356"/>
    <n v="0.1"/>
    <n v="5315.2375188093356"/>
    <n v="0.3"/>
    <n v="22779.58936632573"/>
    <n v="81247.202073228429"/>
    <n v="0.05"/>
    <n v="4276.1685301699181"/>
    <n v="855.23370603398348"/>
    <n v="855.23370603398348"/>
    <n v="87233.838015466303"/>
  </r>
  <r>
    <s v="Fase 1"/>
    <x v="50"/>
    <s v="D0. Proyecto"/>
    <s v="00. Proyecto"/>
    <x v="45"/>
    <x v="45"/>
    <s v="Proyecto"/>
    <n v="1"/>
    <x v="154"/>
    <m/>
    <x v="370"/>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71"/>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5"/>
    <s v="Proyecto"/>
    <n v="1"/>
    <x v="154"/>
    <m/>
    <x v="372"/>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73"/>
    <x v="0"/>
    <n v="1"/>
    <n v="17730.496453900709"/>
    <n v="17730.496453900709"/>
    <n v="4221.5467747382636"/>
    <n v="3410.8548871439834"/>
    <n v="0"/>
    <n v="0"/>
    <n v="25362.898115782955"/>
    <n v="27789.477072310401"/>
    <n v="53152.375188093356"/>
    <n v="0.1"/>
    <n v="5315.2375188093356"/>
    <n v="0.3"/>
    <n v="22779.58936632573"/>
    <n v="81247.202073228429"/>
    <n v="0.05"/>
    <n v="4276.1685301699181"/>
    <n v="855.23370603398348"/>
    <n v="855.23370603398348"/>
    <n v="87233.838015466303"/>
  </r>
  <r>
    <s v="Fase 1"/>
    <x v="50"/>
    <s v="D0. Proyecto"/>
    <s v="00. Proyecto"/>
    <x v="45"/>
    <x v="45"/>
    <s v="Proyecto"/>
    <n v="1"/>
    <x v="154"/>
    <m/>
    <x v="374"/>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75"/>
    <x v="0"/>
    <n v="2"/>
    <n v="17730.496453900709"/>
    <n v="35460.992907801417"/>
    <n v="8443.0935494765272"/>
    <n v="6821.7097742879669"/>
    <n v="50000"/>
    <n v="0"/>
    <n v="100725.79623156591"/>
    <n v="55578.954144620802"/>
    <n v="156304.75037618671"/>
    <n v="0.1"/>
    <n v="15630.475037618671"/>
    <n v="0.3"/>
    <n v="66987.750161222881"/>
    <n v="238922.97557502828"/>
    <n v="0.05"/>
    <n v="12574.893451317301"/>
    <n v="2514.978690263456"/>
    <n v="2514.978690263456"/>
    <n v="256527.82640687251"/>
  </r>
  <r>
    <s v="Fase 1"/>
    <x v="50"/>
    <s v="D0. Proyecto"/>
    <s v="00. Proyecto"/>
    <x v="45"/>
    <x v="44"/>
    <s v="Proyecto"/>
    <n v="1"/>
    <x v="152"/>
    <m/>
    <x v="359"/>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4"/>
    <s v="Proyecto"/>
    <n v="1"/>
    <x v="152"/>
    <m/>
    <x v="360"/>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4"/>
    <s v="Proyecto"/>
    <n v="1"/>
    <x v="152"/>
    <m/>
    <x v="361"/>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4"/>
    <s v="Proyecto"/>
    <n v="1"/>
    <x v="152"/>
    <m/>
    <x v="362"/>
    <x v="0"/>
    <n v="0.5"/>
    <n v="17730.496453900709"/>
    <n v="8865.2482269503544"/>
    <n v="2110.7733873691318"/>
    <n v="1705.4274435719917"/>
    <n v="0"/>
    <n v="0"/>
    <n v="12681.449057891477"/>
    <n v="13894.738536155201"/>
    <n v="26576.187594046678"/>
    <n v="0.1"/>
    <n v="2657.6187594046678"/>
    <n v="0.3"/>
    <n v="11389.794683162865"/>
    <n v="40623.601036614215"/>
    <n v="0.05"/>
    <n v="2138.084265084959"/>
    <n v="427.61685301699174"/>
    <n v="427.61685301699174"/>
    <n v="43616.919007733151"/>
  </r>
  <r>
    <s v="Fase 1"/>
    <x v="50"/>
    <s v="D0. Proyecto"/>
    <s v="00. Proyecto"/>
    <x v="45"/>
    <x v="44"/>
    <s v="Proyecto"/>
    <n v="1"/>
    <x v="126"/>
    <m/>
    <x v="363"/>
    <x v="0"/>
    <n v="1"/>
    <n v="17730.496453900709"/>
    <n v="17730.496453900709"/>
    <n v="4221.5467747382636"/>
    <n v="3410.8548871439834"/>
    <n v="0"/>
    <n v="0"/>
    <n v="25362.898115782955"/>
    <n v="27789.477072310401"/>
    <n v="53152.375188093356"/>
    <n v="0.1"/>
    <n v="5315.2375188093356"/>
    <n v="0.3"/>
    <n v="22779.58936632573"/>
    <n v="81247.202073228429"/>
    <n v="0.05"/>
    <n v="4276.1685301699181"/>
    <n v="855.23370603398348"/>
    <n v="855.23370603398348"/>
    <n v="87233.838015466303"/>
  </r>
  <r>
    <s v="Fase 1"/>
    <x v="50"/>
    <s v="D0. Proyecto"/>
    <s v="00. Proyecto"/>
    <x v="45"/>
    <x v="44"/>
    <s v="Proyecto"/>
    <n v="1"/>
    <x v="126"/>
    <m/>
    <x v="364"/>
    <x v="0"/>
    <n v="4"/>
    <n v="17730.496453900709"/>
    <n v="70921.985815602835"/>
    <n v="16886.187098953054"/>
    <n v="13643.419548575934"/>
    <n v="0"/>
    <n v="0"/>
    <n v="101451.59246313182"/>
    <n v="111157.9082892416"/>
    <n v="212609.50075237342"/>
    <n v="0.1"/>
    <n v="21260.950075237342"/>
    <n v="0.3"/>
    <n v="91118.357465302921"/>
    <n v="324988.80829291372"/>
    <n v="0.05"/>
    <n v="17104.674120679672"/>
    <n v="3420.9348241359339"/>
    <n v="3420.9348241359339"/>
    <n v="348935.35206186521"/>
  </r>
  <r>
    <s v="Fase 1"/>
    <x v="50"/>
    <s v="D0. Proyecto"/>
    <s v="00. Proyecto"/>
    <x v="45"/>
    <x v="44"/>
    <s v="Proyecto"/>
    <n v="1"/>
    <x v="126"/>
    <m/>
    <x v="365"/>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4"/>
    <s v="Proyecto"/>
    <n v="1"/>
    <x v="153"/>
    <m/>
    <x v="376"/>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5"/>
    <s v="Proyecto"/>
    <n v="1"/>
    <x v="154"/>
    <m/>
    <x v="367"/>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5"/>
    <s v="Proyecto"/>
    <n v="1"/>
    <x v="154"/>
    <m/>
    <x v="368"/>
    <x v="0"/>
    <n v="0.5"/>
    <n v="17730.496453900709"/>
    <n v="8865.2482269503544"/>
    <n v="2110.7733873691318"/>
    <n v="1705.4274435719917"/>
    <n v="0"/>
    <n v="0"/>
    <n v="12681.449057891477"/>
    <n v="13894.738536155201"/>
    <n v="26576.187594046678"/>
    <n v="0.1"/>
    <n v="2657.6187594046678"/>
    <n v="0.3"/>
    <n v="11389.794683162865"/>
    <n v="40623.601036614215"/>
    <n v="0.05"/>
    <n v="2138.084265084959"/>
    <n v="427.61685301699174"/>
    <n v="427.61685301699174"/>
    <n v="43616.919007733151"/>
  </r>
  <r>
    <s v="Fase 1"/>
    <x v="50"/>
    <s v="D0. Proyecto"/>
    <s v="00. Proyecto"/>
    <x v="45"/>
    <x v="45"/>
    <s v="Proyecto"/>
    <n v="1"/>
    <x v="154"/>
    <m/>
    <x v="369"/>
    <x v="0"/>
    <n v="1"/>
    <n v="17730.496453900709"/>
    <n v="17730.496453900709"/>
    <n v="4221.5467747382636"/>
    <n v="3410.8548871439834"/>
    <n v="0"/>
    <n v="0"/>
    <n v="25362.898115782955"/>
    <n v="27789.477072310401"/>
    <n v="53152.375188093356"/>
    <n v="0.1"/>
    <n v="5315.2375188093356"/>
    <n v="0.3"/>
    <n v="22779.58936632573"/>
    <n v="81247.202073228429"/>
    <n v="0.05"/>
    <n v="4276.1685301699181"/>
    <n v="855.23370603398348"/>
    <n v="855.23370603398348"/>
    <n v="87233.838015466303"/>
  </r>
  <r>
    <s v="Fase 1"/>
    <x v="50"/>
    <s v="D0. Proyecto"/>
    <s v="00. Proyecto"/>
    <x v="45"/>
    <x v="45"/>
    <s v="Proyecto"/>
    <n v="1"/>
    <x v="154"/>
    <m/>
    <x v="370"/>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5"/>
    <s v="Proyecto"/>
    <n v="1"/>
    <x v="154"/>
    <m/>
    <x v="371"/>
    <x v="0"/>
    <n v="0.5"/>
    <n v="17730.496453900709"/>
    <n v="8865.2482269503544"/>
    <n v="2110.7733873691318"/>
    <n v="1705.4274435719917"/>
    <n v="0"/>
    <n v="0"/>
    <n v="12681.449057891477"/>
    <n v="13894.738536155201"/>
    <n v="26576.187594046678"/>
    <n v="0.1"/>
    <n v="2657.6187594046678"/>
    <n v="0.3"/>
    <n v="11389.794683162865"/>
    <n v="40623.601036614215"/>
    <n v="0.05"/>
    <n v="2138.084265084959"/>
    <n v="427.61685301699174"/>
    <n v="427.61685301699174"/>
    <n v="43616.919007733151"/>
  </r>
  <r>
    <s v="Fase 1"/>
    <x v="50"/>
    <s v="D0. Proyecto"/>
    <s v="00. Proyecto"/>
    <x v="45"/>
    <x v="45"/>
    <s v="Proyecto"/>
    <n v="1"/>
    <x v="154"/>
    <m/>
    <x v="372"/>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73"/>
    <x v="0"/>
    <n v="1"/>
    <n v="17730.496453900709"/>
    <n v="17730.496453900709"/>
    <n v="4221.5467747382636"/>
    <n v="3410.8548871439834"/>
    <n v="0"/>
    <n v="0"/>
    <n v="25362.898115782955"/>
    <n v="27789.477072310401"/>
    <n v="53152.375188093356"/>
    <n v="0.1"/>
    <n v="5315.2375188093356"/>
    <n v="0.3"/>
    <n v="22779.58936632573"/>
    <n v="81247.202073228429"/>
    <n v="0.05"/>
    <n v="4276.1685301699181"/>
    <n v="855.23370603398348"/>
    <n v="855.23370603398348"/>
    <n v="87233.838015466303"/>
  </r>
  <r>
    <s v="Fase 1"/>
    <x v="50"/>
    <s v="D0. Proyecto"/>
    <s v="00. Proyecto"/>
    <x v="45"/>
    <x v="45"/>
    <s v="Proyecto"/>
    <n v="1"/>
    <x v="154"/>
    <m/>
    <x v="374"/>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75"/>
    <x v="0"/>
    <n v="2"/>
    <n v="17730.496453900709"/>
    <n v="35460.992907801417"/>
    <n v="8443.0935494765272"/>
    <n v="6821.7097742879669"/>
    <n v="0"/>
    <n v="0"/>
    <n v="50725.79623156591"/>
    <n v="55578.954144620802"/>
    <n v="106304.75037618671"/>
    <n v="0.1"/>
    <n v="10630.475037618671"/>
    <n v="0.3"/>
    <n v="45559.17873265146"/>
    <n v="162494.40414645686"/>
    <n v="0.05"/>
    <n v="8552.3370603398362"/>
    <n v="1710.467412067967"/>
    <n v="1710.467412067967"/>
    <n v="174467.67603093261"/>
  </r>
  <r>
    <s v="Fase 1"/>
    <x v="51"/>
    <s v="D6. Diseño Interior"/>
    <s v="04. Espacio Interior"/>
    <x v="46"/>
    <x v="30"/>
    <s v="Proyecto"/>
    <n v="1"/>
    <x v="125"/>
    <m/>
    <x v="377"/>
    <x v="0"/>
    <n v="0.5"/>
    <n v="17730.496453900709"/>
    <n v="8865.2482269503544"/>
    <n v="2110.7733873691318"/>
    <n v="1705.4274435719917"/>
    <m/>
    <m/>
    <n v="12681.449057891477"/>
    <n v="13894.738536155201"/>
    <n v="26576.187594046678"/>
    <m/>
    <n v="0"/>
    <n v="0.3"/>
    <n v="11389.794683162865"/>
    <n v="37965.982277209543"/>
    <m/>
    <n v="0"/>
    <n v="379.65982277209542"/>
    <n v="379.65982277209542"/>
    <n v="38725.301922753737"/>
  </r>
  <r>
    <s v="Fase 1"/>
    <x v="51"/>
    <s v="D6. Diseño Interior"/>
    <s v="04. Espacio Interior"/>
    <x v="46"/>
    <x v="31"/>
    <s v="100m2"/>
    <n v="1"/>
    <x v="126"/>
    <m/>
    <x v="288"/>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51"/>
    <s v="D6. Diseño Interior"/>
    <s v="04. Espacio Interior"/>
    <x v="46"/>
    <x v="31"/>
    <s v="100m2"/>
    <n v="1"/>
    <x v="126"/>
    <m/>
    <x v="289"/>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51"/>
    <s v="D6. Diseño Interior"/>
    <s v="04. Espacio Interior"/>
    <x v="46"/>
    <x v="31"/>
    <s v="100m2"/>
    <n v="1"/>
    <x v="126"/>
    <m/>
    <x v="378"/>
    <x v="0"/>
    <n v="8"/>
    <n v="17730.496453900709"/>
    <n v="141843.97163120567"/>
    <n v="33772.374197906109"/>
    <n v="27286.839097151867"/>
    <n v="0"/>
    <n v="0"/>
    <n v="202903.18492626364"/>
    <n v="222315.81657848321"/>
    <n v="425219.00150474685"/>
    <n v="0.15"/>
    <n v="63782.850225712027"/>
    <n v="0.2"/>
    <n v="106304.75037618668"/>
    <n v="595306.60210664559"/>
    <n v="0.05"/>
    <n v="31331.926426665625"/>
    <n v="6266.3852853331118"/>
    <n v="6266.3852853331118"/>
    <n v="639171.29910397751"/>
  </r>
  <r>
    <s v="Fase 1"/>
    <x v="51"/>
    <s v="D6. Diseño Interior"/>
    <s v="04. Espacio Interior"/>
    <x v="46"/>
    <x v="31"/>
    <s v="100m2"/>
    <n v="1"/>
    <x v="155"/>
    <m/>
    <x v="379"/>
    <x v="0"/>
    <n v="8"/>
    <n v="17730.496453900709"/>
    <n v="141843.97163120567"/>
    <n v="33772.374197906109"/>
    <n v="27286.839097151867"/>
    <n v="0"/>
    <n v="0"/>
    <n v="202903.18492626364"/>
    <n v="222315.81657848321"/>
    <n v="425219.00150474685"/>
    <n v="0.15"/>
    <n v="63782.850225712027"/>
    <n v="0.2"/>
    <n v="106304.75037618668"/>
    <n v="595306.60210664559"/>
    <n v="0.05"/>
    <n v="31331.926426665625"/>
    <n v="6266.3852853331118"/>
    <n v="6266.3852853331118"/>
    <n v="639171.29910397751"/>
  </r>
  <r>
    <s v="Fase 1"/>
    <x v="51"/>
    <s v="D6. Diseño Interior"/>
    <s v="04. Espacio Interior"/>
    <x v="46"/>
    <x v="32"/>
    <s v="10m2"/>
    <n v="1"/>
    <x v="156"/>
    <m/>
    <x v="380"/>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51"/>
    <s v="D6. Diseño Interior"/>
    <s v="04. Espacio Interior"/>
    <x v="46"/>
    <x v="32"/>
    <s v="10m2"/>
    <n v="1"/>
    <x v="127"/>
    <m/>
    <x v="292"/>
    <x v="0"/>
    <n v="4"/>
    <n v="17730.496453900709"/>
    <n v="70921.985815602835"/>
    <n v="16886.187098953054"/>
    <n v="13643.419548575934"/>
    <n v="0"/>
    <n v="0"/>
    <n v="101451.59246313182"/>
    <n v="111157.9082892416"/>
    <n v="212609.50075237342"/>
    <n v="0.15"/>
    <n v="31891.425112856014"/>
    <n v="0.2"/>
    <n v="53152.375188093341"/>
    <n v="297653.30105332279"/>
    <n v="0.05"/>
    <n v="15665.963213332812"/>
    <n v="3133.1926426665559"/>
    <n v="3133.1926426665559"/>
    <n v="319585.64955198875"/>
  </r>
  <r>
    <s v="Fase 1"/>
    <x v="51"/>
    <s v="D6. Diseño Interior"/>
    <s v="04. Espacio Interior"/>
    <x v="46"/>
    <x v="33"/>
    <s v="10m2"/>
    <n v="1"/>
    <x v="157"/>
    <m/>
    <x v="381"/>
    <x v="0"/>
    <n v="4"/>
    <n v="17730.496453900709"/>
    <n v="70921.985815602835"/>
    <n v="16886.187098953054"/>
    <n v="13643.419548575934"/>
    <n v="0"/>
    <n v="0"/>
    <n v="101451.59246313182"/>
    <n v="111157.9082892416"/>
    <n v="212609.50075237342"/>
    <n v="0.15"/>
    <n v="31891.425112856014"/>
    <n v="0.2"/>
    <n v="53152.375188093341"/>
    <n v="297653.30105332279"/>
    <n v="0.05"/>
    <n v="15665.963213332812"/>
    <n v="3133.1926426665559"/>
    <n v="3133.1926426665559"/>
    <n v="319585.64955198875"/>
  </r>
  <r>
    <s v="Fase 1"/>
    <x v="51"/>
    <s v="D6. Diseño Interior"/>
    <s v="04. Espacio Interior"/>
    <x v="46"/>
    <x v="33"/>
    <s v="Proyecto"/>
    <n v="1"/>
    <x v="51"/>
    <m/>
    <x v="382"/>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51"/>
    <s v="D6. Diseño Interior"/>
    <s v="04. Espacio Interior"/>
    <x v="46"/>
    <x v="33"/>
    <s v="Proyecto"/>
    <m/>
    <x v="158"/>
    <m/>
    <x v="383"/>
    <x v="0"/>
    <n v="1"/>
    <n v="17730.496453900709"/>
    <n v="17730.496453900709"/>
    <n v="4221.5467747382636"/>
    <n v="3410.8548871439834"/>
    <m/>
    <m/>
    <n v="25362.898115782955"/>
    <n v="27789.477072310401"/>
    <n v="53152.375188093356"/>
    <m/>
    <n v="0"/>
    <n v="0.3"/>
    <n v="22779.58936632573"/>
    <n v="75931.964554419086"/>
    <m/>
    <n v="0"/>
    <n v="759.31964554419085"/>
    <n v="759.31964554419085"/>
    <n v="77450.603845507474"/>
  </r>
  <r>
    <s v="Fase 1"/>
    <x v="52"/>
    <s v="D6. Diseño Interior"/>
    <s v="04. Espacio Interior"/>
    <x v="47"/>
    <x v="31"/>
    <s v="50m2"/>
    <n v="1"/>
    <x v="156"/>
    <m/>
    <x v="384"/>
    <x v="0"/>
    <n v="5"/>
    <n v="17730.496453900709"/>
    <n v="88652.48226950354"/>
    <n v="21107.733873691319"/>
    <n v="17054.274435719919"/>
    <m/>
    <m/>
    <n v="126814.49057891479"/>
    <n v="138947.38536155201"/>
    <n v="265761.87594046677"/>
    <n v="0.05"/>
    <n v="13288.093797023339"/>
    <n v="0.18"/>
    <n v="58337.972767419531"/>
    <n v="337387.94250490965"/>
    <n v="0"/>
    <n v="0"/>
    <n v="3373.8794250490964"/>
    <n v="3373.8794250490964"/>
    <n v="344135.70135500788"/>
  </r>
  <r>
    <s v="Fase 1"/>
    <x v="52"/>
    <s v="D6. Diseño Interior"/>
    <s v="04. Espacio Interior"/>
    <x v="47"/>
    <x v="31"/>
    <s v="50m2"/>
    <n v="1"/>
    <x v="155"/>
    <m/>
    <x v="379"/>
    <x v="0"/>
    <n v="5"/>
    <n v="17730.496453900709"/>
    <n v="88652.48226950354"/>
    <n v="21107.733873691319"/>
    <n v="17054.274435719919"/>
    <m/>
    <m/>
    <n v="126814.49057891479"/>
    <n v="138947.38536155201"/>
    <n v="265761.87594046677"/>
    <n v="0.05"/>
    <n v="13288.093797023339"/>
    <n v="0.18"/>
    <n v="58337.972767419531"/>
    <n v="337387.94250490965"/>
    <n v="0"/>
    <n v="0"/>
    <n v="3373.8794250490964"/>
    <n v="3373.8794250490964"/>
    <n v="344135.70135500788"/>
  </r>
  <r>
    <s v="Fase 1"/>
    <x v="52"/>
    <s v="D6. Diseño Interior"/>
    <s v="04. Espacio Interior"/>
    <x v="47"/>
    <x v="30"/>
    <s v="50m2"/>
    <n v="1"/>
    <x v="125"/>
    <m/>
    <x v="385"/>
    <x v="0"/>
    <n v="2"/>
    <n v="17730.496453900709"/>
    <n v="35460.992907801417"/>
    <n v="8443.0935494765272"/>
    <n v="6821.7097742879669"/>
    <m/>
    <m/>
    <n v="50725.79623156591"/>
    <n v="55578.954144620802"/>
    <n v="106304.75037618671"/>
    <n v="0.05"/>
    <n v="5315.2375188093356"/>
    <n v="0.18"/>
    <n v="23335.189106967809"/>
    <n v="134955.17700196384"/>
    <n v="0"/>
    <n v="0"/>
    <n v="1349.5517700196383"/>
    <n v="1349.5517700196383"/>
    <n v="137654.28054200311"/>
  </r>
  <r>
    <s v="Fase 1"/>
    <x v="52"/>
    <s v="D6. Diseño Interior"/>
    <s v="04. Espacio Interior"/>
    <x v="47"/>
    <x v="31"/>
    <s v="50m2"/>
    <n v="1"/>
    <x v="126"/>
    <m/>
    <x v="288"/>
    <x v="0"/>
    <n v="1"/>
    <n v="17730.496453900709"/>
    <n v="17730.496453900709"/>
    <n v="4221.5467747382636"/>
    <n v="3410.8548871439834"/>
    <m/>
    <m/>
    <n v="25362.898115782955"/>
    <n v="27789.477072310401"/>
    <n v="53152.375188093356"/>
    <n v="0.05"/>
    <n v="2657.6187594046678"/>
    <n v="0.18"/>
    <n v="11667.594553483905"/>
    <n v="67477.588500981918"/>
    <n v="0"/>
    <n v="0"/>
    <n v="674.77588500981915"/>
    <n v="674.77588500981915"/>
    <n v="68827.140271001554"/>
  </r>
  <r>
    <s v="Fase 1"/>
    <x v="52"/>
    <s v="D6. Diseño Interior"/>
    <s v="04. Espacio Interior"/>
    <x v="47"/>
    <x v="31"/>
    <s v="50m2"/>
    <n v="1"/>
    <x v="126"/>
    <m/>
    <x v="289"/>
    <x v="0"/>
    <n v="1"/>
    <n v="17730.496453900709"/>
    <n v="17730.496453900709"/>
    <n v="4221.5467747382636"/>
    <n v="3410.8548871439834"/>
    <m/>
    <m/>
    <n v="25362.898115782955"/>
    <n v="27789.477072310401"/>
    <n v="53152.375188093356"/>
    <n v="0.05"/>
    <n v="2657.6187594046678"/>
    <n v="0.18"/>
    <n v="11667.594553483905"/>
    <n v="67477.588500981918"/>
    <n v="0"/>
    <n v="0"/>
    <n v="674.77588500981915"/>
    <n v="674.77588500981915"/>
    <n v="68827.140271001554"/>
  </r>
  <r>
    <s v="Fase 1"/>
    <x v="52"/>
    <s v="D6. Diseño Interior"/>
    <s v="04. Espacio Interior"/>
    <x v="47"/>
    <x v="32"/>
    <s v="50m2"/>
    <n v="1"/>
    <x v="127"/>
    <m/>
    <x v="386"/>
    <x v="0"/>
    <n v="8"/>
    <n v="17730.496453900709"/>
    <n v="141843.97163120567"/>
    <n v="33772.374197906109"/>
    <n v="27286.839097151867"/>
    <m/>
    <m/>
    <n v="202903.18492626364"/>
    <n v="222315.81657848321"/>
    <n v="425219.00150474685"/>
    <n v="0.05"/>
    <n v="21260.950075237342"/>
    <n v="0.18"/>
    <n v="93340.756427871238"/>
    <n v="539820.70800785534"/>
    <n v="0"/>
    <n v="0"/>
    <n v="5398.2070800785532"/>
    <n v="5398.2070800785532"/>
    <n v="550617.12216801243"/>
  </r>
  <r>
    <s v="Fase 1"/>
    <x v="52"/>
    <s v="D6. Diseño Interior"/>
    <s v="04. Espacio Interior"/>
    <x v="47"/>
    <x v="46"/>
    <s v="50m2"/>
    <m/>
    <x v="159"/>
    <m/>
    <x v="387"/>
    <x v="0"/>
    <n v="2"/>
    <n v="17730.496453900709"/>
    <n v="35460.992907801417"/>
    <n v="8443.0935494765272"/>
    <n v="6821.7097742879669"/>
    <m/>
    <m/>
    <n v="50725.79623156591"/>
    <n v="55578.954144620802"/>
    <n v="106304.75037618671"/>
    <n v="0.05"/>
    <n v="5315.2375188093356"/>
    <n v="0.18"/>
    <n v="23335.189106967809"/>
    <n v="134955.17700196384"/>
    <n v="0"/>
    <n v="0"/>
    <n v="1349.5517700196383"/>
    <n v="1349.5517700196383"/>
    <n v="137654.28054200311"/>
  </r>
  <r>
    <s v="Fase 1"/>
    <x v="52"/>
    <s v="D6. Diseño Interior"/>
    <s v="04. Espacio Interior"/>
    <x v="47"/>
    <x v="33"/>
    <s v="50m2"/>
    <n v="1"/>
    <x v="157"/>
    <m/>
    <x v="388"/>
    <x v="0"/>
    <n v="5"/>
    <n v="17730.496453900709"/>
    <n v="88652.48226950354"/>
    <n v="21107.733873691319"/>
    <n v="17054.274435719919"/>
    <m/>
    <m/>
    <n v="126814.49057891479"/>
    <n v="138947.38536155201"/>
    <n v="265761.87594046677"/>
    <n v="0.05"/>
    <n v="13288.093797023339"/>
    <n v="0.18"/>
    <n v="58337.972767419531"/>
    <n v="337387.94250490965"/>
    <n v="0"/>
    <n v="0"/>
    <n v="3373.8794250490964"/>
    <n v="3373.8794250490964"/>
    <n v="344135.70135500788"/>
  </r>
  <r>
    <s v="Fase 1"/>
    <x v="52"/>
    <s v="D6. Diseño Interior"/>
    <s v="04. Espacio Interior"/>
    <x v="47"/>
    <x v="33"/>
    <s v="50m2"/>
    <n v="1"/>
    <x v="51"/>
    <m/>
    <x v="389"/>
    <x v="0"/>
    <n v="0.5"/>
    <n v="17730.496453900709"/>
    <n v="8865.2482269503544"/>
    <n v="2110.7733873691318"/>
    <n v="1705.4274435719917"/>
    <m/>
    <m/>
    <n v="12681.449057891477"/>
    <n v="13894.738536155201"/>
    <n v="26576.187594046678"/>
    <n v="0.05"/>
    <n v="1328.8093797023339"/>
    <n v="0.18"/>
    <n v="5833.7972767419524"/>
    <n v="33738.794250490959"/>
    <n v="0"/>
    <n v="0"/>
    <n v="337.38794250490957"/>
    <n v="337.38794250490957"/>
    <n v="34413.570135500777"/>
  </r>
  <r>
    <s v="Fase 1"/>
    <x v="52"/>
    <s v="D6. Diseño Interior"/>
    <s v="04. Espacio Interior"/>
    <x v="47"/>
    <x v="47"/>
    <s v="50m2"/>
    <n v="1"/>
    <x v="160"/>
    <m/>
    <x v="390"/>
    <x v="0"/>
    <n v="0.5"/>
    <n v="17730.496453900709"/>
    <n v="8865.2482269503544"/>
    <n v="2110.7733873691318"/>
    <n v="1705.4274435719917"/>
    <m/>
    <m/>
    <n v="12681.449057891477"/>
    <n v="13894.738536155201"/>
    <n v="26576.187594046678"/>
    <n v="0.05"/>
    <n v="1328.8093797023339"/>
    <n v="0.18"/>
    <n v="5833.7972767419524"/>
    <n v="33738.794250490959"/>
    <n v="0"/>
    <n v="0"/>
    <n v="337.38794250490957"/>
    <n v="337.38794250490957"/>
    <n v="34413.570135500777"/>
  </r>
  <r>
    <s v="Fase 1"/>
    <x v="52"/>
    <s v="D6. Diseño Interior"/>
    <s v="04. Espacio Interior"/>
    <x v="47"/>
    <x v="48"/>
    <s v="50m2"/>
    <n v="1"/>
    <x v="161"/>
    <m/>
    <x v="391"/>
    <x v="0"/>
    <n v="30"/>
    <n v="17730.496453900709"/>
    <n v="531914.89361702127"/>
    <n v="126646.40324214791"/>
    <n v="102325.6466143195"/>
    <m/>
    <m/>
    <n v="760886.94347348867"/>
    <n v="833684.31216931203"/>
    <n v="1594571.2556428006"/>
    <n v="0.05"/>
    <n v="79728.562782140041"/>
    <n v="0.18"/>
    <n v="350027.83660451695"/>
    <n v="2024327.6550294575"/>
    <n v="0"/>
    <n v="0"/>
    <n v="20243.276550294577"/>
    <n v="20243.276550294577"/>
    <n v="2064814.2081300467"/>
  </r>
  <r>
    <s v="Fase 1"/>
    <x v="52"/>
    <s v="D6. Diseño Interior"/>
    <s v="04. Espacio Interior"/>
    <x v="47"/>
    <x v="33"/>
    <s v="50m2"/>
    <m/>
    <x v="158"/>
    <m/>
    <x v="383"/>
    <x v="0"/>
    <n v="1"/>
    <n v="17730.496453900709"/>
    <n v="17730.496453900709"/>
    <n v="4221.5467747382636"/>
    <n v="3410.8548871439834"/>
    <m/>
    <m/>
    <n v="25362.898115782955"/>
    <n v="27789.477072310401"/>
    <n v="53152.375188093356"/>
    <n v="0.05"/>
    <n v="2657.6187594046678"/>
    <n v="0.18"/>
    <n v="11667.594553483905"/>
    <n v="67477.588500981918"/>
    <n v="0"/>
    <n v="0"/>
    <n v="674.77588500981915"/>
    <n v="674.77588500981915"/>
    <n v="68827.140271001554"/>
  </r>
  <r>
    <s v="Fase 1"/>
    <x v="53"/>
    <s v="D6. Diseño Interior"/>
    <s v="04. Espacio Interior"/>
    <x v="48"/>
    <x v="31"/>
    <s v="PDF"/>
    <n v="1"/>
    <x v="156"/>
    <m/>
    <x v="384"/>
    <x v="0"/>
    <n v="5"/>
    <n v="17730.496453900709"/>
    <n v="88652.48226950354"/>
    <n v="21107.733873691319"/>
    <n v="17054.274435719919"/>
    <m/>
    <m/>
    <n v="126814.49057891479"/>
    <n v="138947.38536155201"/>
    <n v="265761.87594046677"/>
    <n v="0.05"/>
    <n v="13288.093797023339"/>
    <n v="0.18"/>
    <n v="58337.972767419531"/>
    <n v="337387.94250490965"/>
    <n v="0"/>
    <n v="0"/>
    <n v="3373.8794250490964"/>
    <n v="3373.8794250490964"/>
    <n v="344135.70135500788"/>
  </r>
  <r>
    <s v="Fase 1"/>
    <x v="53"/>
    <s v="D6. Diseño Interior"/>
    <s v="04. Espacio Interior"/>
    <x v="48"/>
    <x v="31"/>
    <s v="PDF"/>
    <n v="1"/>
    <x v="162"/>
    <m/>
    <x v="392"/>
    <x v="0"/>
    <n v="8"/>
    <n v="17730.496453900709"/>
    <n v="141843.97163120567"/>
    <n v="33772.374197906109"/>
    <n v="27286.839097151867"/>
    <m/>
    <m/>
    <n v="202903.18492626364"/>
    <n v="222315.81657848321"/>
    <n v="425219.00150474685"/>
    <n v="0.05"/>
    <n v="21260.950075237342"/>
    <n v="0.18"/>
    <n v="93340.756427871238"/>
    <n v="539820.70800785534"/>
    <n v="0"/>
    <n v="0"/>
    <n v="5398.2070800785532"/>
    <n v="5398.2070800785532"/>
    <n v="550617.12216801243"/>
  </r>
  <r>
    <s v="Fase 1"/>
    <x v="53"/>
    <s v="D6. Diseño Interior"/>
    <s v="04. Espacio Interior"/>
    <x v="48"/>
    <x v="31"/>
    <s v="PDF"/>
    <n v="1"/>
    <x v="155"/>
    <m/>
    <x v="379"/>
    <x v="0"/>
    <n v="5"/>
    <n v="17730.496453900709"/>
    <n v="88652.48226950354"/>
    <n v="21107.733873691319"/>
    <n v="17054.274435719919"/>
    <m/>
    <m/>
    <n v="126814.49057891479"/>
    <n v="138947.38536155201"/>
    <n v="265761.87594046677"/>
    <n v="0.05"/>
    <n v="13288.093797023339"/>
    <n v="0.18"/>
    <n v="58337.972767419531"/>
    <n v="337387.94250490965"/>
    <n v="0"/>
    <n v="0"/>
    <n v="3373.8794250490964"/>
    <n v="3373.8794250490964"/>
    <n v="344135.70135500788"/>
  </r>
  <r>
    <s v="Fase 1"/>
    <x v="53"/>
    <s v="D6. Diseño Interior"/>
    <s v="04. Espacio Interior"/>
    <x v="48"/>
    <x v="30"/>
    <s v="PDF"/>
    <n v="1"/>
    <x v="125"/>
    <m/>
    <x v="385"/>
    <x v="0"/>
    <n v="2"/>
    <n v="17730.496453900709"/>
    <n v="35460.992907801417"/>
    <n v="8443.0935494765272"/>
    <n v="6821.7097742879669"/>
    <m/>
    <m/>
    <n v="50725.79623156591"/>
    <n v="55578.954144620802"/>
    <n v="106304.75037618671"/>
    <n v="0.05"/>
    <n v="5315.2375188093356"/>
    <n v="0.18"/>
    <n v="23335.189106967809"/>
    <n v="134955.17700196384"/>
    <n v="0"/>
    <n v="0"/>
    <n v="1349.5517700196383"/>
    <n v="1349.5517700196383"/>
    <n v="137654.28054200311"/>
  </r>
  <r>
    <s v="Fase 1"/>
    <x v="53"/>
    <s v="D6. Diseño Interior"/>
    <s v="04. Espacio Interior"/>
    <x v="48"/>
    <x v="31"/>
    <s v="PDF"/>
    <n v="1"/>
    <x v="126"/>
    <m/>
    <x v="288"/>
    <x v="0"/>
    <n v="1"/>
    <n v="17730.496453900709"/>
    <n v="17730.496453900709"/>
    <n v="4221.5467747382636"/>
    <n v="3410.8548871439834"/>
    <m/>
    <m/>
    <n v="25362.898115782955"/>
    <n v="27789.477072310401"/>
    <n v="53152.375188093356"/>
    <n v="0.05"/>
    <n v="2657.6187594046678"/>
    <n v="0.18"/>
    <n v="11667.594553483905"/>
    <n v="67477.588500981918"/>
    <n v="0"/>
    <n v="0"/>
    <n v="674.77588500981915"/>
    <n v="674.77588500981915"/>
    <n v="68827.140271001554"/>
  </r>
  <r>
    <s v="Fase 1"/>
    <x v="53"/>
    <s v="D6. Diseño Interior"/>
    <s v="04. Espacio Interior"/>
    <x v="48"/>
    <x v="31"/>
    <s v="PDF"/>
    <n v="1"/>
    <x v="126"/>
    <m/>
    <x v="289"/>
    <x v="0"/>
    <n v="1"/>
    <n v="17730.496453900709"/>
    <n v="17730.496453900709"/>
    <n v="4221.5467747382636"/>
    <n v="3410.8548871439834"/>
    <m/>
    <m/>
    <n v="25362.898115782955"/>
    <n v="27789.477072310401"/>
    <n v="53152.375188093356"/>
    <n v="0.05"/>
    <n v="2657.6187594046678"/>
    <n v="0.18"/>
    <n v="11667.594553483905"/>
    <n v="67477.588500981918"/>
    <n v="0"/>
    <n v="0"/>
    <n v="674.77588500981915"/>
    <n v="674.77588500981915"/>
    <n v="68827.140271001554"/>
  </r>
  <r>
    <s v="Fase 1"/>
    <x v="53"/>
    <s v="D6. Diseño Interior"/>
    <s v="04. Espacio Interior"/>
    <x v="48"/>
    <x v="32"/>
    <s v="PDF"/>
    <n v="1"/>
    <x v="127"/>
    <m/>
    <x v="386"/>
    <x v="0"/>
    <n v="8"/>
    <n v="17730.496453900709"/>
    <n v="141843.97163120567"/>
    <n v="33772.374197906109"/>
    <n v="27286.839097151867"/>
    <m/>
    <m/>
    <n v="202903.18492626364"/>
    <n v="222315.81657848321"/>
    <n v="425219.00150474685"/>
    <n v="0.05"/>
    <n v="21260.950075237342"/>
    <n v="0.18"/>
    <n v="93340.756427871238"/>
    <n v="539820.70800785534"/>
    <n v="0"/>
    <n v="0"/>
    <n v="5398.2070800785532"/>
    <n v="5398.2070800785532"/>
    <n v="550617.12216801243"/>
  </r>
  <r>
    <s v="Fase 1"/>
    <x v="53"/>
    <s v="D6. Diseño Interior"/>
    <s v="04. Espacio Interior"/>
    <x v="48"/>
    <x v="46"/>
    <s v="PDF"/>
    <m/>
    <x v="159"/>
    <m/>
    <x v="387"/>
    <x v="0"/>
    <n v="2"/>
    <n v="17730.496453900709"/>
    <n v="35460.992907801417"/>
    <n v="8443.0935494765272"/>
    <n v="6821.7097742879669"/>
    <m/>
    <m/>
    <n v="50725.79623156591"/>
    <n v="55578.954144620802"/>
    <n v="106304.75037618671"/>
    <n v="0.05"/>
    <n v="5315.2375188093356"/>
    <n v="0.18"/>
    <n v="23335.189106967809"/>
    <n v="134955.17700196384"/>
    <n v="0"/>
    <n v="0"/>
    <n v="1349.5517700196383"/>
    <n v="1349.5517700196383"/>
    <n v="137654.28054200311"/>
  </r>
  <r>
    <s v="Fase 1"/>
    <x v="53"/>
    <s v="D6. Diseño Interior"/>
    <s v="04. Espacio Interior"/>
    <x v="48"/>
    <x v="33"/>
    <s v="PDF"/>
    <n v="1"/>
    <x v="157"/>
    <m/>
    <x v="388"/>
    <x v="0"/>
    <n v="5"/>
    <n v="17730.496453900709"/>
    <n v="88652.48226950354"/>
    <n v="21107.733873691319"/>
    <n v="17054.274435719919"/>
    <m/>
    <m/>
    <n v="126814.49057891479"/>
    <n v="138947.38536155201"/>
    <n v="265761.87594046677"/>
    <n v="0.05"/>
    <n v="13288.093797023339"/>
    <n v="0.18"/>
    <n v="58337.972767419531"/>
    <n v="337387.94250490965"/>
    <n v="0"/>
    <n v="0"/>
    <n v="3373.8794250490964"/>
    <n v="3373.8794250490964"/>
    <n v="344135.70135500788"/>
  </r>
  <r>
    <s v="Fase 1"/>
    <x v="53"/>
    <s v="D6. Diseño Interior"/>
    <s v="04. Espacio Interior"/>
    <x v="48"/>
    <x v="33"/>
    <s v="PDF"/>
    <n v="1"/>
    <x v="51"/>
    <m/>
    <x v="389"/>
    <x v="0"/>
    <n v="0.5"/>
    <n v="17730.496453900709"/>
    <n v="8865.2482269503544"/>
    <n v="2110.7733873691318"/>
    <n v="1705.4274435719917"/>
    <m/>
    <m/>
    <n v="12681.449057891477"/>
    <n v="13894.738536155201"/>
    <n v="26576.187594046678"/>
    <n v="0.05"/>
    <n v="1328.8093797023339"/>
    <n v="0.18"/>
    <n v="5833.7972767419524"/>
    <n v="33738.794250490959"/>
    <n v="0"/>
    <n v="0"/>
    <n v="337.38794250490957"/>
    <n v="337.38794250490957"/>
    <n v="34413.570135500777"/>
  </r>
  <r>
    <s v="Fase 1"/>
    <x v="53"/>
    <s v="D6. Diseño Interior"/>
    <s v="04. Espacio Interior"/>
    <x v="48"/>
    <x v="47"/>
    <s v="PDF"/>
    <n v="1"/>
    <x v="160"/>
    <m/>
    <x v="390"/>
    <x v="0"/>
    <n v="0.5"/>
    <n v="17730.496453900709"/>
    <n v="8865.2482269503544"/>
    <n v="2110.7733873691318"/>
    <n v="1705.4274435719917"/>
    <m/>
    <m/>
    <n v="12681.449057891477"/>
    <n v="13894.738536155201"/>
    <n v="26576.187594046678"/>
    <n v="0.05"/>
    <n v="1328.8093797023339"/>
    <n v="0.18"/>
    <n v="5833.7972767419524"/>
    <n v="33738.794250490959"/>
    <n v="0"/>
    <n v="0"/>
    <n v="337.38794250490957"/>
    <n v="337.38794250490957"/>
    <n v="34413.570135500777"/>
  </r>
  <r>
    <s v="Fase 1"/>
    <x v="53"/>
    <s v="D6. Diseño Interior"/>
    <s v="04. Espacio Interior"/>
    <x v="48"/>
    <x v="48"/>
    <s v="PDF"/>
    <n v="1"/>
    <x v="161"/>
    <m/>
    <x v="391"/>
    <x v="0"/>
    <n v="30"/>
    <n v="17730.496453900709"/>
    <n v="531914.89361702127"/>
    <n v="126646.40324214791"/>
    <n v="102325.6466143195"/>
    <m/>
    <m/>
    <n v="760886.94347348867"/>
    <n v="833684.31216931203"/>
    <n v="1594571.2556428006"/>
    <n v="0.05"/>
    <n v="79728.562782140041"/>
    <n v="0.18"/>
    <n v="350027.83660451695"/>
    <n v="2024327.6550294575"/>
    <n v="0"/>
    <n v="0"/>
    <n v="20243.276550294577"/>
    <n v="20243.276550294577"/>
    <n v="2064814.2081300467"/>
  </r>
  <r>
    <s v="Fase 1"/>
    <x v="53"/>
    <s v="D6. Diseño Interior"/>
    <s v="04. Espacio Interior"/>
    <x v="48"/>
    <x v="33"/>
    <s v="PDF"/>
    <m/>
    <x v="158"/>
    <m/>
    <x v="383"/>
    <x v="0"/>
    <n v="1"/>
    <n v="17730.496453900709"/>
    <n v="17730.496453900709"/>
    <n v="4221.5467747382636"/>
    <n v="3410.8548871439834"/>
    <m/>
    <m/>
    <n v="25362.898115782955"/>
    <n v="27789.477072310401"/>
    <n v="53152.375188093356"/>
    <n v="0.05"/>
    <n v="2657.6187594046678"/>
    <n v="0.18"/>
    <n v="11667.594553483905"/>
    <n v="67477.588500981918"/>
    <n v="0"/>
    <n v="0"/>
    <n v="674.77588500981915"/>
    <n v="674.77588500981915"/>
    <n v="68827.140271001554"/>
  </r>
  <r>
    <s v="Fase 2"/>
    <x v="54"/>
    <s v="D6. Diseño Interior"/>
    <s v="00. Proyecto"/>
    <x v="49"/>
    <x v="34"/>
    <s v="Proyecto"/>
    <n v="1"/>
    <x v="146"/>
    <m/>
    <x v="393"/>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2"/>
    <x v="54"/>
    <s v="D6. Diseño Interior"/>
    <s v="00. Proyecto"/>
    <x v="49"/>
    <x v="34"/>
    <s v="Proyecto"/>
    <n v="1"/>
    <x v="163"/>
    <m/>
    <x v="394"/>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2"/>
    <x v="54"/>
    <s v="D6. Diseño Interior"/>
    <s v="00. Proyecto"/>
    <x v="49"/>
    <x v="34"/>
    <s v="Proyecto"/>
    <n v="1"/>
    <x v="163"/>
    <m/>
    <x v="295"/>
    <x v="0"/>
    <n v="0.2"/>
    <n v="17730.496453900709"/>
    <n v="3546.0992907801419"/>
    <n v="844.30935494765276"/>
    <n v="682.17097742879673"/>
    <n v="0"/>
    <n v="0"/>
    <n v="5072.579623156591"/>
    <n v="5557.8954144620802"/>
    <n v="10630.475037618671"/>
    <n v="0.15"/>
    <n v="1594.5712556428007"/>
    <n v="0.3"/>
    <n v="4555.9178732651453"/>
    <n v="16780.964166526617"/>
    <n v="0.05"/>
    <n v="883.20864034350598"/>
    <n v="176.64172806870124"/>
    <n v="176.64172806870124"/>
    <n v="18017.456263007527"/>
  </r>
  <r>
    <s v="Fase 2"/>
    <x v="54"/>
    <s v="D6. Diseño Interior"/>
    <s v="00. Proyecto"/>
    <x v="49"/>
    <x v="34"/>
    <s v="Proyecto"/>
    <n v="1"/>
    <x v="163"/>
    <m/>
    <x v="395"/>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2"/>
    <x v="54"/>
    <s v="D6. Diseño Interior"/>
    <s v="00. Proyecto"/>
    <x v="49"/>
    <x v="34"/>
    <s v="100m2"/>
    <n v="1"/>
    <x v="163"/>
    <m/>
    <x v="297"/>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2"/>
    <x v="54"/>
    <s v="D6. Diseño Interior"/>
    <s v="00. Proyecto"/>
    <x v="49"/>
    <x v="34"/>
    <s v="100m2"/>
    <n v="1"/>
    <x v="163"/>
    <m/>
    <x v="298"/>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2"/>
    <x v="54"/>
    <s v="D6. Diseño Interior"/>
    <s v="00. Proyecto"/>
    <x v="49"/>
    <x v="34"/>
    <s v="100m2"/>
    <n v="1"/>
    <x v="163"/>
    <m/>
    <x v="299"/>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2"/>
    <x v="54"/>
    <s v="D6. Diseño Interior"/>
    <s v="00. Proyecto"/>
    <x v="49"/>
    <x v="34"/>
    <s v="100m2"/>
    <n v="1"/>
    <x v="163"/>
    <m/>
    <x v="300"/>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2"/>
    <x v="54"/>
    <s v="D6. Diseño Interior"/>
    <s v="00. Proyecto"/>
    <x v="49"/>
    <x v="34"/>
    <s v="100m2"/>
    <n v="1"/>
    <x v="163"/>
    <m/>
    <x v="301"/>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2"/>
    <x v="54"/>
    <s v="D6. Diseño Interior"/>
    <s v="00. Proyecto"/>
    <x v="49"/>
    <x v="34"/>
    <s v="100m2"/>
    <n v="1"/>
    <x v="163"/>
    <m/>
    <x v="396"/>
    <x v="0"/>
    <n v="3"/>
    <n v="17730.496453900709"/>
    <n v="53191.48936170213"/>
    <n v="12664.64032421479"/>
    <n v="10232.56466143195"/>
    <n v="0"/>
    <n v="0"/>
    <n v="76088.694347348879"/>
    <n v="83368.431216931203"/>
    <n v="159457.12556428008"/>
    <n v="0.15"/>
    <n v="23918.56883464201"/>
    <n v="0.3"/>
    <n v="68338.768098977191"/>
    <n v="251714.46249789928"/>
    <n v="0.05"/>
    <n v="13248.129605152615"/>
    <n v="2649.6259210305188"/>
    <n v="2649.6259210305188"/>
    <n v="270261.84394511295"/>
  </r>
  <r>
    <s v="Fase 2"/>
    <x v="54"/>
    <s v="D6. Diseño Interior"/>
    <s v="00. Proyecto"/>
    <x v="49"/>
    <x v="34"/>
    <s v="Imagen"/>
    <n v="1"/>
    <x v="164"/>
    <m/>
    <x v="397"/>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2"/>
    <x v="54"/>
    <s v="D6. Diseño Interior"/>
    <s v="00. Proyecto"/>
    <x v="49"/>
    <x v="34"/>
    <s v="Referentes"/>
    <n v="1"/>
    <x v="164"/>
    <m/>
    <x v="398"/>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2"/>
    <x v="54"/>
    <s v="D6. Diseño Interior"/>
    <s v="00. Proyecto"/>
    <x v="49"/>
    <x v="34"/>
    <s v="100m2"/>
    <n v="1"/>
    <x v="163"/>
    <m/>
    <x v="303"/>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2"/>
    <x v="54"/>
    <s v="D6. Diseño Interior"/>
    <s v="00. Proyecto"/>
    <x v="49"/>
    <x v="34"/>
    <s v="100m2"/>
    <n v="1"/>
    <x v="163"/>
    <m/>
    <x v="344"/>
    <x v="0"/>
    <n v="0.1"/>
    <n v="17730.496453900709"/>
    <n v="1773.049645390071"/>
    <n v="422.15467747382638"/>
    <n v="341.08548871439837"/>
    <n v="0"/>
    <n v="0"/>
    <n v="2536.2898115782955"/>
    <n v="2778.9477072310401"/>
    <n v="5315.2375188093356"/>
    <n v="0.15"/>
    <n v="797.28562782140034"/>
    <n v="0.3"/>
    <n v="2277.9589366325727"/>
    <n v="8390.4820832633086"/>
    <n v="0.05"/>
    <n v="441.60432017175299"/>
    <n v="88.32086403435062"/>
    <n v="88.32086403435062"/>
    <n v="9008.7281315037635"/>
  </r>
  <r>
    <s v="Fase 2"/>
    <x v="54"/>
    <s v="D6. Diseño Interior"/>
    <s v="00. Proyecto"/>
    <x v="49"/>
    <x v="34"/>
    <s v="Proyecto"/>
    <n v="1"/>
    <x v="165"/>
    <m/>
    <x v="305"/>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51"/>
    <s v="D6. Diseño Interior"/>
    <s v="02. Edificación"/>
    <x v="50"/>
    <x v="32"/>
    <s v="10m2"/>
    <n v="1"/>
    <x v="156"/>
    <m/>
    <x v="378"/>
    <x v="0"/>
    <n v="1.5"/>
    <n v="17730.496453900709"/>
    <n v="26595.744680851065"/>
    <n v="6332.3201621073949"/>
    <n v="5116.2823307159751"/>
    <m/>
    <m/>
    <n v="38044.34717367444"/>
    <n v="41684.215608465602"/>
    <n v="79728.562782140041"/>
    <m/>
    <n v="0"/>
    <n v="0.3"/>
    <n v="34169.384049488595"/>
    <n v="113897.94683162864"/>
    <m/>
    <n v="0"/>
    <n v="1138.9794683162863"/>
    <n v="1138.9794683162863"/>
    <n v="116175.90576826122"/>
  </r>
  <r>
    <s v="Fase 1"/>
    <x v="51"/>
    <s v="D6. Diseño Interior"/>
    <s v="02. Edificación"/>
    <x v="50"/>
    <x v="32"/>
    <s v="10m2"/>
    <n v="1"/>
    <x v="127"/>
    <m/>
    <x v="399"/>
    <x v="0"/>
    <n v="2"/>
    <n v="17730.496453900709"/>
    <n v="35460.992907801417"/>
    <n v="8443.0935494765272"/>
    <n v="6821.7097742879669"/>
    <m/>
    <m/>
    <n v="50725.79623156591"/>
    <n v="55578.954144620802"/>
    <n v="106304.75037618671"/>
    <m/>
    <n v="0"/>
    <n v="0.3"/>
    <n v="45559.17873265146"/>
    <n v="151863.92910883817"/>
    <m/>
    <n v="0"/>
    <n v="1518.6392910883817"/>
    <n v="1518.6392910883817"/>
    <n v="154901.20769101495"/>
  </r>
  <r>
    <s v="Fase 1"/>
    <x v="51"/>
    <s v="D6. Diseño Interior"/>
    <s v="02. Edificación"/>
    <x v="50"/>
    <x v="30"/>
    <s v="Proyecto"/>
    <n v="1"/>
    <x v="125"/>
    <m/>
    <x v="377"/>
    <x v="0"/>
    <n v="0.5"/>
    <n v="17730.496453900709"/>
    <n v="8865.2482269503544"/>
    <n v="2110.7733873691318"/>
    <n v="1705.4274435719917"/>
    <m/>
    <m/>
    <n v="12681.449057891477"/>
    <n v="13894.738536155201"/>
    <n v="26576.187594046678"/>
    <m/>
    <n v="0"/>
    <n v="0.3"/>
    <n v="11389.794683162865"/>
    <n v="37965.982277209543"/>
    <m/>
    <n v="0"/>
    <n v="379.65982277209542"/>
    <n v="379.65982277209542"/>
    <n v="38725.301922753737"/>
  </r>
  <r>
    <s v="Fase 1"/>
    <x v="51"/>
    <s v="D6. Diseño Interior"/>
    <s v="02. Edificación"/>
    <x v="50"/>
    <x v="31"/>
    <s v="100m2"/>
    <n v="1"/>
    <x v="126"/>
    <m/>
    <x v="288"/>
    <x v="0"/>
    <n v="1.5"/>
    <n v="17730.496453900709"/>
    <n v="26595.744680851065"/>
    <n v="6332.3201621073949"/>
    <n v="5116.2823307159751"/>
    <m/>
    <m/>
    <n v="38044.34717367444"/>
    <n v="41684.215608465602"/>
    <n v="79728.562782140041"/>
    <m/>
    <n v="0"/>
    <n v="0.3"/>
    <n v="34169.384049488595"/>
    <n v="113897.94683162864"/>
    <m/>
    <n v="0"/>
    <n v="1138.9794683162863"/>
    <n v="1138.9794683162863"/>
    <n v="116175.90576826122"/>
  </r>
  <r>
    <s v="Fase 1"/>
    <x v="51"/>
    <s v="D6. Diseño Interior"/>
    <s v="02. Edificación"/>
    <x v="50"/>
    <x v="31"/>
    <s v="100m2"/>
    <n v="1"/>
    <x v="126"/>
    <m/>
    <x v="289"/>
    <x v="0"/>
    <n v="1"/>
    <n v="17730.496453900709"/>
    <n v="17730.496453900709"/>
    <n v="4221.5467747382636"/>
    <n v="3410.8548871439834"/>
    <m/>
    <m/>
    <n v="25362.898115782955"/>
    <n v="27789.477072310401"/>
    <n v="53152.375188093356"/>
    <m/>
    <n v="0"/>
    <n v="0.3"/>
    <n v="22779.58936632573"/>
    <n v="75931.964554419086"/>
    <m/>
    <n v="0"/>
    <n v="759.31964554419085"/>
    <n v="759.31964554419085"/>
    <n v="77450.603845507474"/>
  </r>
  <r>
    <s v="Fase 1"/>
    <x v="51"/>
    <s v="D6. Diseño Interior"/>
    <s v="02. Edificación"/>
    <x v="50"/>
    <x v="31"/>
    <s v="100m2"/>
    <n v="1"/>
    <x v="126"/>
    <m/>
    <x v="400"/>
    <x v="0"/>
    <n v="3"/>
    <n v="17730.496453900709"/>
    <n v="53191.48936170213"/>
    <n v="12664.64032421479"/>
    <n v="10232.56466143195"/>
    <m/>
    <m/>
    <n v="76088.694347348879"/>
    <n v="83368.431216931203"/>
    <n v="159457.12556428008"/>
    <m/>
    <n v="0"/>
    <n v="0.3"/>
    <n v="68338.768098977191"/>
    <n v="227795.89366325727"/>
    <m/>
    <n v="0"/>
    <n v="2277.9589366325727"/>
    <n v="2277.9589366325727"/>
    <n v="232351.81153652244"/>
  </r>
  <r>
    <s v="Fase 1"/>
    <x v="51"/>
    <s v="D6. Diseño Interior"/>
    <s v="02. Edificación"/>
    <x v="50"/>
    <x v="31"/>
    <s v="100m2"/>
    <n v="1"/>
    <x v="166"/>
    <m/>
    <x v="401"/>
    <x v="0"/>
    <n v="4"/>
    <n v="17730.496453900709"/>
    <n v="70921.985815602835"/>
    <n v="16886.187098953054"/>
    <n v="13643.419548575934"/>
    <m/>
    <m/>
    <n v="101451.59246313182"/>
    <n v="111157.9082892416"/>
    <n v="212609.50075237342"/>
    <m/>
    <n v="0"/>
    <n v="0.3"/>
    <n v="91118.357465302921"/>
    <n v="303727.85821767634"/>
    <m/>
    <n v="0"/>
    <n v="3037.2785821767634"/>
    <n v="3037.2785821767634"/>
    <n v="309802.4153820299"/>
  </r>
  <r>
    <s v="Fase 1"/>
    <x v="51"/>
    <s v="D6. Diseño Interior"/>
    <s v="02. Edificación"/>
    <x v="50"/>
    <x v="33"/>
    <s v="10m2"/>
    <n v="1"/>
    <x v="157"/>
    <m/>
    <x v="381"/>
    <x v="0"/>
    <n v="1"/>
    <n v="17730.496453900709"/>
    <n v="17730.496453900709"/>
    <n v="4221.5467747382636"/>
    <n v="3410.8548871439834"/>
    <m/>
    <m/>
    <n v="25362.898115782955"/>
    <n v="27789.477072310401"/>
    <n v="53152.375188093356"/>
    <m/>
    <n v="0"/>
    <n v="0.3"/>
    <n v="22779.58936632573"/>
    <n v="75931.964554419086"/>
    <m/>
    <n v="0"/>
    <n v="759.31964554419085"/>
    <n v="759.31964554419085"/>
    <n v="77450.603845507474"/>
  </r>
  <r>
    <s v="Fase 1"/>
    <x v="51"/>
    <s v="D6. Diseño Interior"/>
    <s v="02. Edificación"/>
    <x v="50"/>
    <x v="33"/>
    <s v="Proyecto"/>
    <n v="1"/>
    <x v="167"/>
    <m/>
    <x v="382"/>
    <x v="0"/>
    <n v="0.5"/>
    <n v="17730.496453900709"/>
    <n v="8865.2482269503544"/>
    <n v="2110.7733873691318"/>
    <n v="1705.4274435719917"/>
    <m/>
    <m/>
    <n v="12681.449057891477"/>
    <n v="13894.738536155201"/>
    <n v="26576.187594046678"/>
    <m/>
    <n v="0"/>
    <n v="0.3"/>
    <n v="11389.794683162865"/>
    <n v="37965.982277209543"/>
    <m/>
    <n v="0"/>
    <n v="379.65982277209542"/>
    <n v="379.65982277209542"/>
    <n v="38725.301922753737"/>
  </r>
  <r>
    <s v="Fase 1"/>
    <x v="51"/>
    <s v="D6. Diseño Interior"/>
    <s v="02. Edificación"/>
    <x v="50"/>
    <x v="30"/>
    <s v="Proyecto"/>
    <n v="1"/>
    <x v="125"/>
    <m/>
    <x v="377"/>
    <x v="0"/>
    <n v="0.1"/>
    <n v="17730.496453900709"/>
    <n v="1773.049645390071"/>
    <n v="422.15467747382638"/>
    <n v="341.08548871439837"/>
    <m/>
    <m/>
    <n v="2536.2898115782955"/>
    <n v="2778.9477072310401"/>
    <n v="5315.2375188093356"/>
    <m/>
    <n v="0"/>
    <n v="0.3"/>
    <n v="2277.9589366325727"/>
    <n v="7593.1964554419083"/>
    <m/>
    <n v="0"/>
    <n v="75.931964554419082"/>
    <n v="75.931964554419082"/>
    <n v="7745.0603845507467"/>
  </r>
  <r>
    <s v="Fase 2"/>
    <x v="55"/>
    <s v="D6. Diseño Interior"/>
    <s v="04. Espacio Interior"/>
    <x v="51"/>
    <x v="7"/>
    <s v="1 m² - 200 m²"/>
    <n v="1"/>
    <x v="27"/>
    <m/>
    <x v="66"/>
    <x v="0"/>
    <n v="0.1"/>
    <n v="17730.496453900709"/>
    <n v="1773.049645390071"/>
    <n v="422.15467747382638"/>
    <n v="341.08548871439837"/>
    <m/>
    <m/>
    <n v="2536.2898115782955"/>
    <n v="2778.9477072310401"/>
    <n v="5315.2375188093356"/>
    <n v="0.15"/>
    <n v="797.28562782140034"/>
    <n v="0.3"/>
    <n v="2277.9589366325727"/>
    <n v="8390.4820832633086"/>
    <n v="0.05"/>
    <n v="441.60432017175299"/>
    <n v="88.32086403435062"/>
    <n v="88.32086403435062"/>
    <n v="9008.7281315037635"/>
  </r>
  <r>
    <s v="Fase 2"/>
    <x v="55"/>
    <s v="D6. Diseño Interior"/>
    <s v="04. Espacio Interior"/>
    <x v="51"/>
    <x v="7"/>
    <s v="1 m² - 200 m²"/>
    <n v="1"/>
    <x v="27"/>
    <m/>
    <x v="58"/>
    <x v="0"/>
    <n v="0.1"/>
    <n v="17730.496453900709"/>
    <n v="1773.049645390071"/>
    <n v="422.15467747382638"/>
    <n v="341.08548871439837"/>
    <m/>
    <m/>
    <n v="2536.2898115782955"/>
    <n v="2778.9477072310401"/>
    <n v="5315.2375188093356"/>
    <n v="0.15"/>
    <n v="797.28562782140034"/>
    <n v="0.3"/>
    <n v="2277.9589366325727"/>
    <n v="8390.4820832633086"/>
    <n v="0.05"/>
    <n v="441.60432017175299"/>
    <n v="88.32086403435062"/>
    <n v="88.32086403435062"/>
    <n v="9008.7281315037635"/>
  </r>
  <r>
    <s v="Fase 2"/>
    <x v="55"/>
    <s v="D6. Diseño Interior"/>
    <s v="04. Espacio Interior"/>
    <x v="51"/>
    <x v="7"/>
    <s v="1 m² - 200 m²"/>
    <n v="1"/>
    <x v="28"/>
    <m/>
    <x v="402"/>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2"/>
    <x v="55"/>
    <s v="D6. Diseño Interior"/>
    <s v="04. Espacio Interior"/>
    <x v="51"/>
    <x v="7"/>
    <s v="1 m² - 200 m²"/>
    <n v="1"/>
    <x v="28"/>
    <m/>
    <x v="403"/>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2"/>
    <x v="55"/>
    <s v="D6. Diseño Interior"/>
    <s v="04. Espacio Interior"/>
    <x v="51"/>
    <x v="7"/>
    <s v="1 m² - 200 m²"/>
    <n v="1"/>
    <x v="28"/>
    <m/>
    <x v="404"/>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2"/>
    <x v="55"/>
    <s v="D6. Diseño Interior"/>
    <s v="04. Espacio Interior"/>
    <x v="51"/>
    <x v="7"/>
    <s v="1 m² - 200 m²"/>
    <n v="1"/>
    <x v="28"/>
    <m/>
    <x v="71"/>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2"/>
    <x v="55"/>
    <s v="D6. Diseño Interior"/>
    <s v="04. Espacio Interior"/>
    <x v="51"/>
    <x v="7"/>
    <s v="1 m² - 200 m²"/>
    <n v="1"/>
    <x v="28"/>
    <m/>
    <x v="405"/>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2"/>
    <x v="55"/>
    <s v="D6. Diseño Interior"/>
    <s v="04. Espacio Interior"/>
    <x v="51"/>
    <x v="7"/>
    <s v="1 m² - 200 m²"/>
    <n v="1"/>
    <x v="28"/>
    <m/>
    <x v="406"/>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2"/>
    <x v="55"/>
    <s v="D6. Diseño Interior"/>
    <s v="04. Espacio Interior"/>
    <x v="51"/>
    <x v="7"/>
    <s v="1 m² - 200 m²"/>
    <n v="1"/>
    <x v="28"/>
    <m/>
    <x v="74"/>
    <x v="0"/>
    <n v="3"/>
    <n v="17730.496453900709"/>
    <n v="53191.48936170213"/>
    <n v="12664.64032421479"/>
    <n v="10232.56466143195"/>
    <m/>
    <m/>
    <n v="76088.694347348879"/>
    <n v="83368.431216931203"/>
    <n v="159457.12556428008"/>
    <n v="0.15"/>
    <n v="23918.56883464201"/>
    <n v="0.3"/>
    <n v="68338.768098977191"/>
    <n v="251714.46249789928"/>
    <n v="0.05"/>
    <n v="13248.129605152615"/>
    <n v="2649.6259210305188"/>
    <n v="2649.6259210305188"/>
    <n v="270261.84394511295"/>
  </r>
  <r>
    <s v="Fase 2"/>
    <x v="56"/>
    <s v="D6. Diseño Interior"/>
    <s v="04. Espacio Interior"/>
    <x v="52"/>
    <x v="9"/>
    <s v="1 m² - 200 m²"/>
    <n v="1"/>
    <x v="38"/>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2"/>
    <x v="56"/>
    <s v="D6. Diseño Interior"/>
    <s v="04. Espacio Interior"/>
    <x v="52"/>
    <x v="9"/>
    <s v="1 m² - 200 m²"/>
    <n v="1"/>
    <x v="38"/>
    <m/>
    <x v="81"/>
    <x v="0"/>
    <n v="5"/>
    <n v="17730.496453900709"/>
    <n v="88652.48226950354"/>
    <n v="21107.733873691319"/>
    <n v="17054.274435719919"/>
    <m/>
    <m/>
    <n v="126814.49057891479"/>
    <n v="138947.38536155201"/>
    <n v="265761.87594046677"/>
    <n v="0.05"/>
    <n v="13288.093797023339"/>
    <n v="0.15"/>
    <n v="46899.154577729409"/>
    <n v="325949.12431521952"/>
    <n v="0.05"/>
    <n v="17155.217069222068"/>
    <n v="3431.0434138444161"/>
    <n v="3431.0434138444161"/>
    <n v="349966.42821213044"/>
  </r>
  <r>
    <s v="Fase 2"/>
    <x v="56"/>
    <s v="D6. Diseño Interior"/>
    <s v="04. Espacio Interior"/>
    <x v="52"/>
    <x v="9"/>
    <s v="1 m² - 200 m²"/>
    <n v="1"/>
    <x v="38"/>
    <m/>
    <x v="8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9"/>
    <s v="1 m² - 200 m²"/>
    <n v="1"/>
    <x v="38"/>
    <m/>
    <x v="97"/>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9"/>
    <s v="1 m² - 200 m²"/>
    <n v="1"/>
    <x v="38"/>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9"/>
    <s v="1 m² - 200 m²"/>
    <n v="1"/>
    <x v="38"/>
    <m/>
    <x v="78"/>
    <x v="0"/>
    <n v="0.6"/>
    <n v="17730.496453900709"/>
    <n v="10638.297872340425"/>
    <n v="2532.9280648429581"/>
    <n v="2046.51293228639"/>
    <m/>
    <m/>
    <n v="15217.738869469773"/>
    <n v="16673.686243386241"/>
    <n v="31891.425112856014"/>
    <n v="0.05"/>
    <n v="1594.5712556428007"/>
    <n v="0.15"/>
    <n v="5627.8985493275322"/>
    <n v="39113.89491782635"/>
    <n v="0.05"/>
    <n v="2058.6260483066508"/>
    <n v="411.72520966133004"/>
    <n v="411.72520966133004"/>
    <n v="41995.971385455661"/>
  </r>
  <r>
    <s v="Fase 2"/>
    <x v="56"/>
    <s v="D6. Diseño Interior"/>
    <s v="04. Espacio Interior"/>
    <x v="52"/>
    <x v="9"/>
    <s v="1 m² - 200 m²"/>
    <n v="1"/>
    <x v="38"/>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9"/>
    <s v="1 m² - 200 m²"/>
    <n v="1"/>
    <x v="38"/>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0"/>
    <s v="1 m² - 200 m²"/>
    <n v="1"/>
    <x v="168"/>
    <m/>
    <x v="98"/>
    <x v="0"/>
    <n v="5"/>
    <n v="17730.496453900709"/>
    <n v="88652.48226950354"/>
    <n v="21107.733873691319"/>
    <n v="17054.274435719919"/>
    <m/>
    <m/>
    <n v="126814.49057891479"/>
    <n v="138947.38536155201"/>
    <n v="265761.87594046677"/>
    <n v="0.05"/>
    <n v="13288.093797023339"/>
    <n v="0.15"/>
    <n v="46899.154577729409"/>
    <n v="325949.12431521952"/>
    <n v="0.05"/>
    <n v="17155.217069222068"/>
    <n v="3431.0434138444161"/>
    <n v="3431.0434138444161"/>
    <n v="349966.42821213044"/>
  </r>
  <r>
    <s v="Fase 2"/>
    <x v="56"/>
    <s v="D6. Diseño Interior"/>
    <s v="04. Espacio Interior"/>
    <x v="52"/>
    <x v="10"/>
    <s v="1 m² - 200 m²"/>
    <n v="1"/>
    <x v="168"/>
    <m/>
    <x v="407"/>
    <x v="0"/>
    <n v="1.5"/>
    <n v="17730.496453900709"/>
    <n v="26595.744680851065"/>
    <n v="6332.3201621073949"/>
    <n v="5116.2823307159751"/>
    <m/>
    <m/>
    <n v="38044.34717367444"/>
    <n v="41684.215608465602"/>
    <n v="79728.562782140041"/>
    <n v="0.05"/>
    <n v="3986.4281391070022"/>
    <n v="0.15"/>
    <n v="14069.746373318834"/>
    <n v="97784.737294565872"/>
    <n v="0.05"/>
    <n v="5146.5651207666233"/>
    <n v="1029.3130241533249"/>
    <n v="1029.3130241533249"/>
    <n v="104989.92846363914"/>
  </r>
  <r>
    <s v="Fase 2"/>
    <x v="56"/>
    <s v="D6. Diseño Interior"/>
    <s v="04. Espacio Interior"/>
    <x v="52"/>
    <x v="10"/>
    <s v="1 m² - 200 m²"/>
    <n v="1"/>
    <x v="168"/>
    <m/>
    <x v="408"/>
    <x v="0"/>
    <n v="6"/>
    <n v="17730.496453900709"/>
    <n v="106382.97872340426"/>
    <n v="25329.28064842958"/>
    <n v="20465.129322863901"/>
    <m/>
    <m/>
    <n v="152177.38869469776"/>
    <n v="166736.86243386241"/>
    <n v="318914.25112856016"/>
    <n v="0.05"/>
    <n v="15945.712556428009"/>
    <n v="0.15"/>
    <n v="56278.985493275337"/>
    <n v="391138.94917826349"/>
    <n v="0.05"/>
    <n v="20586.260483066493"/>
    <n v="4117.2520966132997"/>
    <n v="4117.2520966132997"/>
    <n v="419959.71385455655"/>
  </r>
  <r>
    <s v="Fase 2"/>
    <x v="56"/>
    <s v="D6. Diseño Interior"/>
    <s v="04. Espacio Interior"/>
    <x v="52"/>
    <x v="10"/>
    <s v="1 m² - 200 m²"/>
    <n v="1"/>
    <x v="168"/>
    <m/>
    <x v="76"/>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2"/>
    <x v="56"/>
    <s v="D6. Diseño Interior"/>
    <s v="04. Espacio Interior"/>
    <x v="52"/>
    <x v="10"/>
    <s v="1 m² - 200 m²"/>
    <n v="1"/>
    <x v="168"/>
    <m/>
    <x v="96"/>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0"/>
    <s v="1 m² - 200 m²"/>
    <n v="1"/>
    <x v="168"/>
    <m/>
    <x v="7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0"/>
    <s v="1 m² - 200 m²"/>
    <n v="1"/>
    <x v="168"/>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0"/>
    <s v="1 m² - 200 m²"/>
    <n v="1"/>
    <x v="168"/>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1"/>
    <s v="1 m² - 200 m²"/>
    <n v="1"/>
    <x v="40"/>
    <m/>
    <x v="85"/>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1"/>
    <s v="1 m² - 200 m²"/>
    <n v="1"/>
    <x v="40"/>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2"/>
    <x v="56"/>
    <s v="D6. Diseño Interior"/>
    <s v="04. Espacio Interior"/>
    <x v="52"/>
    <x v="11"/>
    <s v="1 m² - 200 m²"/>
    <n v="1"/>
    <x v="40"/>
    <m/>
    <x v="96"/>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1"/>
    <s v="1 m² - 200 m²"/>
    <n v="1"/>
    <x v="40"/>
    <m/>
    <x v="78"/>
    <x v="0"/>
    <n v="0.6"/>
    <n v="17730.496453900709"/>
    <n v="10638.297872340425"/>
    <n v="2532.9280648429581"/>
    <n v="2046.51293228639"/>
    <m/>
    <m/>
    <n v="15217.738869469773"/>
    <n v="16673.686243386241"/>
    <n v="31891.425112856014"/>
    <n v="0.05"/>
    <n v="1594.5712556428007"/>
    <n v="0.15"/>
    <n v="5627.8985493275322"/>
    <n v="39113.89491782635"/>
    <n v="0.05"/>
    <n v="2058.6260483066508"/>
    <n v="411.72520966133004"/>
    <n v="411.72520966133004"/>
    <n v="41995.971385455661"/>
  </r>
  <r>
    <s v="Fase 2"/>
    <x v="56"/>
    <s v="D6. Diseño Interior"/>
    <s v="04. Espacio Interior"/>
    <x v="52"/>
    <x v="11"/>
    <s v="1 m² - 200 m²"/>
    <n v="1"/>
    <x v="40"/>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1"/>
    <s v="1 m² - 200 m²"/>
    <n v="1"/>
    <x v="40"/>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1"/>
    <s v="1 m² - 200 m²"/>
    <n v="1"/>
    <x v="40"/>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2"/>
    <s v="1 m² - 200 m²"/>
    <n v="1"/>
    <x v="34"/>
    <m/>
    <x v="8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2"/>
    <s v="1 m² - 200 m²"/>
    <n v="1"/>
    <x v="34"/>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2"/>
    <x v="56"/>
    <s v="D6. Diseño Interior"/>
    <s v="04. Espacio Interior"/>
    <x v="52"/>
    <x v="12"/>
    <s v="1 m² - 200 m²"/>
    <n v="1"/>
    <x v="34"/>
    <m/>
    <x v="89"/>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2"/>
    <s v="1 m² - 200 m²"/>
    <n v="1"/>
    <x v="34"/>
    <m/>
    <x v="90"/>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2"/>
    <s v="1 m² - 200 m²"/>
    <n v="1"/>
    <x v="34"/>
    <m/>
    <x v="7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2"/>
    <s v="1 m² - 200 m²"/>
    <n v="1"/>
    <x v="34"/>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2"/>
    <s v="1 m² - 200 m²"/>
    <n v="1"/>
    <x v="34"/>
    <m/>
    <x v="84"/>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3"/>
    <s v="1 m² - 200 m²"/>
    <n v="1"/>
    <x v="34"/>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2"/>
    <s v="1 m² - 200 m²"/>
    <n v="1"/>
    <x v="41"/>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2"/>
    <x v="56"/>
    <s v="D6. Diseño Interior"/>
    <s v="04. Espacio Interior"/>
    <x v="52"/>
    <x v="12"/>
    <s v="1 m² - 200 m²"/>
    <n v="1"/>
    <x v="41"/>
    <m/>
    <x v="10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2"/>
    <s v="1 m² - 200 m²"/>
    <n v="1"/>
    <x v="41"/>
    <m/>
    <x v="82"/>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2"/>
    <s v="1 m² - 200 m²"/>
    <n v="1"/>
    <x v="41"/>
    <m/>
    <x v="97"/>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2"/>
    <s v="1 m² - 200 m²"/>
    <n v="1"/>
    <x v="41"/>
    <m/>
    <x v="93"/>
    <x v="0"/>
    <n v="5"/>
    <n v="17730.496453900709"/>
    <n v="88652.48226950354"/>
    <n v="21107.733873691319"/>
    <n v="17054.274435719919"/>
    <m/>
    <m/>
    <n v="126814.49057891479"/>
    <n v="138947.38536155201"/>
    <n v="265761.87594046677"/>
    <n v="0.05"/>
    <n v="13288.093797023339"/>
    <n v="0.15"/>
    <n v="46899.154577729409"/>
    <n v="325949.12431521952"/>
    <n v="0.05"/>
    <n v="17155.217069222068"/>
    <n v="3431.0434138444161"/>
    <n v="3431.0434138444161"/>
    <n v="349966.42821213044"/>
  </r>
  <r>
    <s v="Fase 2"/>
    <x v="56"/>
    <s v="D6. Diseño Interior"/>
    <s v="04. Espacio Interior"/>
    <x v="52"/>
    <x v="12"/>
    <s v="1 m² - 200 m²"/>
    <n v="1"/>
    <x v="41"/>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2"/>
    <s v="1 m² - 200 m²"/>
    <n v="1"/>
    <x v="41"/>
    <m/>
    <x v="78"/>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2"/>
    <s v="1 m² - 200 m²"/>
    <n v="1"/>
    <x v="41"/>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2"/>
    <s v="1 m² - 200 m²"/>
    <n v="1"/>
    <x v="41"/>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4"/>
    <s v="1 m² - 200 m²"/>
    <n v="1"/>
    <x v="42"/>
    <m/>
    <x v="105"/>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106"/>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107"/>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10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109"/>
    <x v="0"/>
    <n v="9.4"/>
    <n v="17730.496453900709"/>
    <n v="166666.66666666666"/>
    <n v="39682.539682539682"/>
    <n v="32062.035939153444"/>
    <m/>
    <m/>
    <n v="238411.24228835979"/>
    <n v="261221.08447971777"/>
    <n v="499632.32676807756"/>
    <n v="0.05"/>
    <n v="24981.616338403881"/>
    <n v="0.15"/>
    <n v="88170.410606131307"/>
    <n v="612784.35371261276"/>
    <n v="0.05"/>
    <n v="32251.808090137551"/>
    <n v="6450.361618027503"/>
    <n v="6450.361618027503"/>
    <n v="657936.88503880543"/>
  </r>
  <r>
    <s v="Fase 2"/>
    <x v="56"/>
    <s v="D6. Diseño Interior"/>
    <s v="04. Espacio Interior"/>
    <x v="52"/>
    <x v="14"/>
    <s v="1 m² - 200 m²"/>
    <n v="1"/>
    <x v="42"/>
    <m/>
    <x v="110"/>
    <x v="0"/>
    <n v="9.4"/>
    <n v="17730.496453900709"/>
    <n v="166666.66666666666"/>
    <n v="39682.539682539682"/>
    <n v="32062.035939153444"/>
    <m/>
    <m/>
    <n v="238411.24228835979"/>
    <n v="261221.08447971777"/>
    <n v="499632.32676807756"/>
    <n v="0.05"/>
    <n v="24981.616338403881"/>
    <n v="0.15"/>
    <n v="88170.410606131307"/>
    <n v="612784.35371261276"/>
    <n v="0.05"/>
    <n v="32251.808090137551"/>
    <n v="6450.361618027503"/>
    <n v="6450.361618027503"/>
    <n v="657936.88503880543"/>
  </r>
  <r>
    <s v="Fase 2"/>
    <x v="56"/>
    <s v="D6. Diseño Interior"/>
    <s v="04. Espacio Interior"/>
    <x v="52"/>
    <x v="14"/>
    <s v="1 m² - 200 m²"/>
    <n v="1"/>
    <x v="42"/>
    <m/>
    <x v="38"/>
    <x v="0"/>
    <n v="1.5"/>
    <n v="17730.496453900709"/>
    <n v="26595.744680851065"/>
    <n v="6332.3201621073949"/>
    <n v="5116.2823307159751"/>
    <m/>
    <m/>
    <n v="38044.34717367444"/>
    <n v="41684.215608465602"/>
    <n v="79728.562782140041"/>
    <n v="0.05"/>
    <n v="3986.4281391070022"/>
    <n v="0.15"/>
    <n v="14069.746373318834"/>
    <n v="97784.737294565872"/>
    <n v="0.05"/>
    <n v="5146.5651207666233"/>
    <n v="1029.3130241533249"/>
    <n v="1029.3130241533249"/>
    <n v="104989.92846363914"/>
  </r>
  <r>
    <s v="Fase 2"/>
    <x v="56"/>
    <s v="D6. Diseño Interior"/>
    <s v="04. Espacio Interior"/>
    <x v="52"/>
    <x v="14"/>
    <s v="1 m² - 200 m²"/>
    <n v="1"/>
    <x v="42"/>
    <m/>
    <x v="111"/>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11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5"/>
    <s v="1 m² - 200 m²"/>
    <n v="1"/>
    <x v="43"/>
    <m/>
    <x v="113"/>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5"/>
    <s v="1 m² - 200 m²"/>
    <n v="1"/>
    <x v="43"/>
    <m/>
    <x v="11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5"/>
    <s v="1 m² - 200 m²"/>
    <n v="1"/>
    <x v="43"/>
    <m/>
    <x v="115"/>
    <x v="0"/>
    <n v="9.4"/>
    <n v="17730.496453900709"/>
    <n v="166666.66666666666"/>
    <n v="39682.539682539682"/>
    <n v="32062.035939153444"/>
    <m/>
    <m/>
    <n v="238411.24228835979"/>
    <n v="261221.08447971777"/>
    <n v="499632.32676807756"/>
    <n v="0.05"/>
    <n v="24981.616338403881"/>
    <n v="0.15"/>
    <n v="88170.410606131307"/>
    <n v="612784.35371261276"/>
    <n v="0.05"/>
    <n v="32251.808090137551"/>
    <n v="6450.361618027503"/>
    <n v="6450.361618027503"/>
    <n v="657936.88503880543"/>
  </r>
  <r>
    <s v="Fase 2"/>
    <x v="56"/>
    <s v="D6. Diseño Interior"/>
    <s v="04. Espacio Interior"/>
    <x v="52"/>
    <x v="15"/>
    <s v="1 m² - 200 m²"/>
    <n v="1"/>
    <x v="43"/>
    <m/>
    <x v="3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5"/>
    <s v="1 m² - 200 m²"/>
    <n v="1"/>
    <x v="43"/>
    <m/>
    <x v="111"/>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2"/>
    <x v="56"/>
    <s v="D6. Diseño Interior"/>
    <s v="04. Espacio Interior"/>
    <x v="52"/>
    <x v="15"/>
    <s v="1 m² - 200 m²"/>
    <n v="1"/>
    <x v="43"/>
    <m/>
    <x v="84"/>
    <x v="0"/>
    <n v="9.4"/>
    <n v="17730.496453900709"/>
    <n v="166666.66666666666"/>
    <n v="39682.539682539682"/>
    <n v="32062.035939153444"/>
    <m/>
    <m/>
    <n v="238411.24228835979"/>
    <n v="261221.08447971777"/>
    <n v="499632.32676807756"/>
    <n v="0.05"/>
    <n v="24981.616338403881"/>
    <n v="0.15"/>
    <n v="88170.410606131307"/>
    <n v="612784.35371261276"/>
    <n v="0.05"/>
    <n v="32251.808090137551"/>
    <n v="6450.361618027503"/>
    <n v="6450.361618027503"/>
    <n v="657936.88503880543"/>
  </r>
  <r>
    <s v="Fase 2"/>
    <x v="56"/>
    <s v="D6. Diseño Interior"/>
    <s v="04. Espacio Interior"/>
    <x v="52"/>
    <x v="15"/>
    <s v="1 m² - 200 m²"/>
    <n v="1"/>
    <x v="43"/>
    <m/>
    <x v="11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5"/>
    <s v="1 m² - 200 m²"/>
    <n v="1"/>
    <x v="43"/>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57"/>
    <s v="D6. Diseño Interior"/>
    <s v="04. Espacio Interior"/>
    <x v="53"/>
    <x v="49"/>
    <s v="Und"/>
    <n v="1"/>
    <x v="169"/>
    <m/>
    <x v="409"/>
    <x v="0"/>
    <n v="4"/>
    <n v="17730.496453900709"/>
    <n v="70921.985815602835"/>
    <n v="16886.187098953054"/>
    <n v="13643.419548575934"/>
    <m/>
    <m/>
    <n v="101451.59246313182"/>
    <n v="111157.9082892416"/>
    <n v="212609.50075237342"/>
    <n v="0.05"/>
    <n v="10630.475037618671"/>
    <n v="0.2"/>
    <n v="53152.375188093341"/>
    <n v="276392.35097808542"/>
    <n v="0.05"/>
    <n v="14546.965840951889"/>
    <n v="2909.3931681903732"/>
    <n v="2909.3931681903732"/>
    <n v="296758.10315541807"/>
  </r>
  <r>
    <s v="Fase 3"/>
    <x v="57"/>
    <s v="D6. Diseño Interior"/>
    <s v="04. Espacio Interior"/>
    <x v="53"/>
    <x v="49"/>
    <s v="Und"/>
    <n v="1"/>
    <x v="23"/>
    <m/>
    <x v="410"/>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57"/>
    <s v="D6. Diseño Interior"/>
    <s v="04. Espacio Interior"/>
    <x v="53"/>
    <x v="49"/>
    <s v="Und"/>
    <n v="1"/>
    <x v="23"/>
    <m/>
    <x v="53"/>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3"/>
    <x v="57"/>
    <s v="D6. Diseño Interior"/>
    <s v="04. Espacio Interior"/>
    <x v="53"/>
    <x v="49"/>
    <s v="Und"/>
    <n v="1"/>
    <x v="23"/>
    <m/>
    <x v="54"/>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57"/>
    <s v="D6. Diseño Interior"/>
    <s v="04. Espacio Interior"/>
    <x v="53"/>
    <x v="49"/>
    <s v="Und"/>
    <n v="1"/>
    <x v="21"/>
    <m/>
    <x v="55"/>
    <x v="0"/>
    <n v="0.3"/>
    <n v="17730.496453900709"/>
    <n v="5319.1489361702124"/>
    <n v="1266.464032421479"/>
    <n v="1023.256466143195"/>
    <m/>
    <m/>
    <n v="7608.8694347348865"/>
    <n v="8336.8431216931203"/>
    <n v="15945.712556428007"/>
    <n v="0.05"/>
    <n v="797.28562782140034"/>
    <n v="0.2"/>
    <n v="3986.4281391069999"/>
    <n v="20729.426323356409"/>
    <n v="0.05"/>
    <n v="1091.0224380713917"/>
    <n v="218.20448761427801"/>
    <n v="218.20448761427801"/>
    <n v="22256.857736656359"/>
  </r>
  <r>
    <s v="Fase 3"/>
    <x v="57"/>
    <s v="D6. Diseño Interior"/>
    <s v="04. Espacio Interior"/>
    <x v="53"/>
    <x v="49"/>
    <s v="Und"/>
    <n v="1"/>
    <x v="21"/>
    <m/>
    <x v="47"/>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57"/>
    <s v="D6. Diseño Interior"/>
    <s v="04. Espacio Interior"/>
    <x v="53"/>
    <x v="49"/>
    <s v="Und"/>
    <n v="1"/>
    <x v="21"/>
    <m/>
    <x v="56"/>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57"/>
    <s v="D6. Diseño Interior"/>
    <s v="04. Espacio Interior"/>
    <x v="53"/>
    <x v="49"/>
    <s v="Und"/>
    <n v="1"/>
    <x v="21"/>
    <m/>
    <x v="49"/>
    <x v="0"/>
    <n v="9.4"/>
    <n v="17730.496453900709"/>
    <n v="166666.66666666666"/>
    <n v="39682.539682539682"/>
    <n v="32062.035939153444"/>
    <m/>
    <m/>
    <n v="238411.24228835979"/>
    <n v="261221.08447971777"/>
    <n v="499632.32676807756"/>
    <n v="0.05"/>
    <n v="24981.616338403881"/>
    <n v="0.2"/>
    <n v="124908.08169201936"/>
    <n v="649522.02479850082"/>
    <n v="0.05"/>
    <n v="34185.36972623691"/>
    <n v="6837.0739452473772"/>
    <n v="6837.0739452473772"/>
    <n v="697381.5424152324"/>
  </r>
  <r>
    <s v="Fase 3"/>
    <x v="57"/>
    <s v="D6. Diseño Interior"/>
    <s v="04. Espacio Interior"/>
    <x v="53"/>
    <x v="49"/>
    <s v="Und"/>
    <n v="1"/>
    <x v="21"/>
    <m/>
    <x v="50"/>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57"/>
    <s v="D6. Diseño Interior"/>
    <s v="04. Espacio Interior"/>
    <x v="53"/>
    <x v="49"/>
    <s v="Und"/>
    <n v="1"/>
    <x v="21"/>
    <m/>
    <x v="51"/>
    <x v="0"/>
    <n v="0.3"/>
    <n v="17730.496453900709"/>
    <n v="5319.1489361702124"/>
    <n v="1266.464032421479"/>
    <n v="1023.256466143195"/>
    <m/>
    <m/>
    <n v="7608.8694347348865"/>
    <n v="8336.8431216931203"/>
    <n v="15945.712556428007"/>
    <n v="0.05"/>
    <n v="797.28562782140034"/>
    <n v="0.2"/>
    <n v="3986.4281391069999"/>
    <n v="20729.426323356409"/>
    <n v="0.05"/>
    <n v="1091.0224380713917"/>
    <n v="218.20448761427801"/>
    <n v="218.20448761427801"/>
    <n v="22256.857736656359"/>
  </r>
  <r>
    <s v="Fase 3"/>
    <x v="57"/>
    <s v="D6. Diseño Interior"/>
    <s v="04. Espacio Interior"/>
    <x v="53"/>
    <x v="49"/>
    <s v="Und"/>
    <n v="1"/>
    <x v="169"/>
    <m/>
    <x v="411"/>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57"/>
    <s v="D6. Diseño Interior"/>
    <s v="04. Espacio Interior"/>
    <x v="53"/>
    <x v="49"/>
    <s v="Und"/>
    <n v="1"/>
    <x v="169"/>
    <m/>
    <x v="412"/>
    <x v="0"/>
    <n v="1"/>
    <n v="17730.496453900709"/>
    <n v="17730.496453900709"/>
    <n v="4221.5467747382636"/>
    <n v="3410.8548871439834"/>
    <m/>
    <n v="100000"/>
    <n v="125362.89811578295"/>
    <n v="27789.477072310401"/>
    <n v="153152.37518809334"/>
    <n v="0.05"/>
    <n v="7657.6187594046678"/>
    <n v="0.2"/>
    <n v="38288.093797023321"/>
    <n v="199098.08774452133"/>
    <n v="0.05"/>
    <n v="10478.846723395865"/>
    <n v="2095.7693446791718"/>
    <n v="2095.7693446791718"/>
    <n v="213768.47315727553"/>
  </r>
  <r>
    <s v="Fase 1"/>
    <x v="58"/>
    <s v="D3. Vivienda Campestre"/>
    <s v="02. Edificación"/>
    <x v="54"/>
    <x v="50"/>
    <s v="Documento PDF"/>
    <n v="1"/>
    <x v="143"/>
    <m/>
    <x v="326"/>
    <x v="1"/>
    <n v="0.1"/>
    <n v="20263.424518743668"/>
    <n v="2026.3424518743668"/>
    <n v="253.29280648429585"/>
    <n v="341.08548871439837"/>
    <m/>
    <m/>
    <n v="2620.7207470730609"/>
    <n v="2778.9477072310401"/>
    <n v="5399.668454304101"/>
    <n v="0.02"/>
    <n v="107.99336908608203"/>
    <n v="0.1"/>
    <n v="599.96316158934405"/>
    <n v="6107.6249849795267"/>
    <n v="0"/>
    <n v="0"/>
    <n v="61.076249849795268"/>
    <n v="61.076249849795268"/>
    <n v="6229.7774846791172"/>
  </r>
  <r>
    <s v="Fase 1"/>
    <x v="58"/>
    <s v="D3. Vivienda Campestre"/>
    <s v="02. Edificación"/>
    <x v="54"/>
    <x v="50"/>
    <s v="Documento PDF"/>
    <n v="1"/>
    <x v="143"/>
    <m/>
    <x v="327"/>
    <x v="1"/>
    <n v="0.1"/>
    <n v="20263.424518743668"/>
    <n v="2026.3424518743668"/>
    <n v="253.29280648429585"/>
    <n v="341.08548871439837"/>
    <m/>
    <m/>
    <n v="2620.7207470730609"/>
    <n v="2778.9477072310401"/>
    <n v="5399.668454304101"/>
    <n v="0.02"/>
    <n v="107.99336908608203"/>
    <n v="0.1"/>
    <n v="599.96316158934405"/>
    <n v="6107.6249849795267"/>
    <n v="0"/>
    <n v="0"/>
    <n v="61.076249849795268"/>
    <n v="61.076249849795268"/>
    <n v="6229.7774846791172"/>
  </r>
  <r>
    <s v="Fase 1"/>
    <x v="58"/>
    <s v="D3. Vivienda Campestre"/>
    <s v="02. Edificación"/>
    <x v="54"/>
    <x v="50"/>
    <s v="Documento PDF"/>
    <n v="1"/>
    <x v="143"/>
    <m/>
    <x v="328"/>
    <x v="2"/>
    <n v="0.1"/>
    <n v="15197.568389057751"/>
    <n v="1519.7568389057751"/>
    <n v="337.72374197906112"/>
    <n v="341.08548871439837"/>
    <m/>
    <m/>
    <n v="2198.5660695992347"/>
    <n v="2778.9477072310401"/>
    <n v="4977.5137768302748"/>
    <n v="0.02"/>
    <n v="99.550275536605497"/>
    <n v="0.1"/>
    <n v="553.05708631447487"/>
    <n v="5630.1211386813548"/>
    <n v="0"/>
    <n v="0"/>
    <n v="56.301211386813549"/>
    <n v="56.301211386813549"/>
    <n v="5742.7235614549818"/>
  </r>
  <r>
    <s v="Fase 1"/>
    <x v="58"/>
    <s v="D3. Vivienda Campestre"/>
    <s v="02. Edificación"/>
    <x v="54"/>
    <x v="50"/>
    <s v="Documento PDF"/>
    <n v="1"/>
    <x v="143"/>
    <m/>
    <x v="329"/>
    <x v="1"/>
    <n v="0.2"/>
    <n v="20263.424518743668"/>
    <n v="4052.6849037487336"/>
    <n v="506.5856129685917"/>
    <n v="682.17097742879673"/>
    <m/>
    <m/>
    <n v="5241.4414941461218"/>
    <n v="5557.8954144620802"/>
    <n v="10799.336908608202"/>
    <n v="0.02"/>
    <n v="215.98673817216405"/>
    <n v="0.1"/>
    <n v="1199.9263231786881"/>
    <n v="12215.249969959053"/>
    <n v="0"/>
    <n v="0"/>
    <n v="122.15249969959054"/>
    <n v="122.15249969959054"/>
    <n v="12459.554969358234"/>
  </r>
  <r>
    <s v="Fase 1"/>
    <x v="58"/>
    <s v="D3. Vivienda Campestre"/>
    <s v="02. Edificación"/>
    <x v="54"/>
    <x v="50"/>
    <s v="Documento PDF"/>
    <n v="1"/>
    <x v="143"/>
    <m/>
    <x v="330"/>
    <x v="2"/>
    <n v="0.2"/>
    <n v="15197.568389057751"/>
    <n v="3039.5136778115502"/>
    <n v="675.44748395812223"/>
    <n v="682.17097742879673"/>
    <m/>
    <m/>
    <n v="4397.1321391984693"/>
    <n v="5557.8954144620802"/>
    <n v="9955.0275536605495"/>
    <n v="0.02"/>
    <n v="199.10055107321099"/>
    <n v="0.1"/>
    <n v="1106.1141726289497"/>
    <n v="11260.24227736271"/>
    <n v="0"/>
    <n v="0"/>
    <n v="112.6024227736271"/>
    <n v="112.6024227736271"/>
    <n v="11485.447122909964"/>
  </r>
  <r>
    <s v="Fase 1"/>
    <x v="58"/>
    <s v="D3. Vivienda Campestre"/>
    <s v="02. Edificación"/>
    <x v="54"/>
    <x v="50"/>
    <s v="Documento PDF"/>
    <n v="1"/>
    <x v="143"/>
    <m/>
    <x v="331"/>
    <x v="2"/>
    <n v="0.1"/>
    <n v="15197.568389057751"/>
    <n v="1519.7568389057751"/>
    <n v="337.72374197906112"/>
    <n v="341.08548871439837"/>
    <m/>
    <m/>
    <n v="2198.5660695992347"/>
    <n v="2778.9477072310401"/>
    <n v="4977.5137768302748"/>
    <n v="0.02"/>
    <n v="99.550275536605497"/>
    <n v="0.1"/>
    <n v="553.05708631447487"/>
    <n v="5630.1211386813548"/>
    <n v="0"/>
    <n v="0"/>
    <n v="56.301211386813549"/>
    <n v="56.301211386813549"/>
    <n v="5742.7235614549818"/>
  </r>
  <r>
    <s v="Fase 1"/>
    <x v="58"/>
    <s v="D3. Vivienda Campestre"/>
    <s v="02. Edificación"/>
    <x v="54"/>
    <x v="50"/>
    <s v="Documento PDF"/>
    <n v="1"/>
    <x v="143"/>
    <m/>
    <x v="332"/>
    <x v="2"/>
    <n v="0.1"/>
    <n v="15197.568389057751"/>
    <n v="1519.7568389057751"/>
    <n v="337.72374197906112"/>
    <n v="341.08548871439837"/>
    <m/>
    <m/>
    <n v="2198.5660695992347"/>
    <n v="2778.9477072310401"/>
    <n v="4977.5137768302748"/>
    <n v="0.02"/>
    <n v="99.550275536605497"/>
    <n v="0.1"/>
    <n v="553.05708631447487"/>
    <n v="5630.1211386813548"/>
    <n v="0"/>
    <n v="0"/>
    <n v="56.301211386813549"/>
    <n v="56.301211386813549"/>
    <n v="5742.7235614549818"/>
  </r>
  <r>
    <s v="Fase 1"/>
    <x v="58"/>
    <s v="D3. Vivienda Campestre"/>
    <s v="02. Edificación"/>
    <x v="54"/>
    <x v="50"/>
    <s v="Documento PDF"/>
    <n v="1"/>
    <x v="143"/>
    <m/>
    <x v="333"/>
    <x v="2"/>
    <n v="0.1"/>
    <n v="15197.568389057751"/>
    <n v="1519.7568389057751"/>
    <n v="337.72374197906112"/>
    <n v="341.08548871439837"/>
    <m/>
    <m/>
    <n v="2198.5660695992347"/>
    <n v="2778.9477072310401"/>
    <n v="4977.5137768302748"/>
    <n v="0.02"/>
    <n v="99.550275536605497"/>
    <n v="0.1"/>
    <n v="553.05708631447487"/>
    <n v="5630.1211386813548"/>
    <n v="0"/>
    <n v="0"/>
    <n v="56.301211386813549"/>
    <n v="56.301211386813549"/>
    <n v="5742.7235614549818"/>
  </r>
  <r>
    <s v="Fase 1"/>
    <x v="58"/>
    <s v="D3. Vivienda Campestre"/>
    <s v="02. Edificación"/>
    <x v="54"/>
    <x v="50"/>
    <s v="Documento PDF"/>
    <n v="1"/>
    <x v="143"/>
    <m/>
    <x v="334"/>
    <x v="1"/>
    <n v="0.5"/>
    <n v="20263.424518743668"/>
    <n v="10131.712259371834"/>
    <n v="1266.4640324214793"/>
    <n v="1705.4274435719917"/>
    <m/>
    <m/>
    <n v="13103.603735365305"/>
    <n v="13894.738536155201"/>
    <n v="26998.342271520505"/>
    <n v="0.02"/>
    <n v="539.9668454304101"/>
    <n v="0.1"/>
    <n v="2999.8158079467212"/>
    <n v="30538.124924897635"/>
    <n v="0"/>
    <n v="0"/>
    <n v="305.38124924897636"/>
    <n v="305.38124924897636"/>
    <n v="31148.88742339559"/>
  </r>
  <r>
    <s v="Fase 1"/>
    <x v="58"/>
    <s v="D3. Vivienda Campestre"/>
    <s v="02. Edificación"/>
    <x v="54"/>
    <x v="50"/>
    <s v="Documento PDF"/>
    <n v="1"/>
    <x v="144"/>
    <m/>
    <x v="335"/>
    <x v="2"/>
    <n v="0.2"/>
    <n v="15197.568389057751"/>
    <n v="3039.5136778115502"/>
    <n v="675.44748395812223"/>
    <n v="682.17097742879673"/>
    <m/>
    <m/>
    <n v="4397.1321391984693"/>
    <n v="5557.8954144620802"/>
    <n v="9955.0275536605495"/>
    <n v="0.02"/>
    <n v="199.10055107321099"/>
    <n v="0.1"/>
    <n v="1106.1141726289497"/>
    <n v="11260.24227736271"/>
    <n v="0"/>
    <n v="0"/>
    <n v="112.6024227736271"/>
    <n v="112.6024227736271"/>
    <n v="11485.447122909964"/>
  </r>
  <r>
    <s v="Fase 1"/>
    <x v="58"/>
    <s v="D3. Vivienda Campestre"/>
    <s v="02. Edificación"/>
    <x v="54"/>
    <x v="50"/>
    <s v="Documento PDF"/>
    <n v="1"/>
    <x v="144"/>
    <m/>
    <x v="337"/>
    <x v="2"/>
    <n v="0.2"/>
    <n v="15197.568389057751"/>
    <n v="3039.5136778115502"/>
    <n v="675.44748395812223"/>
    <n v="682.17097742879673"/>
    <m/>
    <m/>
    <n v="4397.1321391984693"/>
    <n v="5557.8954144620802"/>
    <n v="9955.0275536605495"/>
    <n v="0.02"/>
    <n v="199.10055107321099"/>
    <n v="0.1"/>
    <n v="1106.1141726289497"/>
    <n v="11260.24227736271"/>
    <n v="0"/>
    <n v="0"/>
    <n v="112.6024227736271"/>
    <n v="112.6024227736271"/>
    <n v="11485.447122909964"/>
  </r>
  <r>
    <s v="Fase 1"/>
    <x v="58"/>
    <s v="D3. Vivienda Campestre"/>
    <s v="02. Edificación"/>
    <x v="54"/>
    <x v="50"/>
    <s v="Documento PDF"/>
    <n v="1"/>
    <x v="170"/>
    <m/>
    <x v="413"/>
    <x v="2"/>
    <n v="2"/>
    <n v="15197.568389057751"/>
    <n v="30395.136778115502"/>
    <n v="6754.4748395812221"/>
    <n v="6821.7097742879669"/>
    <m/>
    <m/>
    <n v="43971.321391984689"/>
    <n v="55578.954144620802"/>
    <n v="99550.275536605492"/>
    <n v="0.02"/>
    <n v="1991.0055107321098"/>
    <n v="0.15"/>
    <n v="17567.695682930382"/>
    <n v="119108.97673026798"/>
    <n v="0"/>
    <n v="0"/>
    <n v="1191.0897673026798"/>
    <n v="1191.0897673026798"/>
    <n v="121491.15626487334"/>
  </r>
  <r>
    <s v="Fase 1"/>
    <x v="58"/>
    <s v="D3. Vivienda Campestre"/>
    <s v="02. Edificación"/>
    <x v="54"/>
    <x v="50"/>
    <s v="Documento PDF"/>
    <n v="1"/>
    <x v="171"/>
    <m/>
    <x v="414"/>
    <x v="2"/>
    <n v="2"/>
    <n v="15197.568389057751"/>
    <n v="30395.136778115502"/>
    <n v="6754.4748395812221"/>
    <n v="6821.7097742879669"/>
    <m/>
    <m/>
    <n v="43971.321391984689"/>
    <n v="55578.954144620802"/>
    <n v="99550.275536605492"/>
    <n v="0.02"/>
    <n v="1991.0055107321098"/>
    <n v="0.15"/>
    <n v="17567.695682930382"/>
    <n v="119108.97673026798"/>
    <n v="0"/>
    <n v="0"/>
    <n v="1191.0897673026798"/>
    <n v="1191.0897673026798"/>
    <n v="121491.15626487334"/>
  </r>
  <r>
    <s v="Fase 1"/>
    <x v="58"/>
    <s v="D3. Vivienda Campestre"/>
    <s v="02. Edificación"/>
    <x v="54"/>
    <x v="50"/>
    <s v="Documento PDF"/>
    <n v="1"/>
    <x v="145"/>
    <m/>
    <x v="415"/>
    <x v="2"/>
    <n v="4"/>
    <n v="15197.568389057751"/>
    <n v="60790.273556231004"/>
    <n v="13508.949679162444"/>
    <n v="13643.419548575934"/>
    <n v="70000"/>
    <m/>
    <n v="157942.64278396938"/>
    <n v="111157.9082892416"/>
    <n v="269100.55107321101"/>
    <n v="0.02"/>
    <n v="5382.01102146422"/>
    <n v="0.15"/>
    <n v="47488.332542331365"/>
    <n v="321970.89463700663"/>
    <n v="0"/>
    <n v="0"/>
    <n v="3219.7089463700663"/>
    <n v="3219.7089463700663"/>
    <n v="328410.31252974673"/>
  </r>
  <r>
    <s v="Fase 1"/>
    <x v="58"/>
    <s v="D3. Vivienda Campestre"/>
    <s v="02. Edificación"/>
    <x v="54"/>
    <x v="50"/>
    <s v="Documento PDF"/>
    <n v="1"/>
    <x v="172"/>
    <m/>
    <x v="416"/>
    <x v="2"/>
    <n v="1"/>
    <n v="15197.568389057751"/>
    <n v="15197.568389057751"/>
    <n v="3377.2374197906111"/>
    <n v="3410.8548871439834"/>
    <m/>
    <m/>
    <n v="21985.660695992345"/>
    <n v="27789.477072310401"/>
    <n v="49775.137768302746"/>
    <n v="0.02"/>
    <n v="995.50275536605488"/>
    <n v="0.15"/>
    <n v="8783.8478414651909"/>
    <n v="59554.488365133991"/>
    <n v="0"/>
    <n v="0"/>
    <n v="595.54488365133989"/>
    <n v="595.54488365133989"/>
    <n v="60745.578132436669"/>
  </r>
  <r>
    <s v="Fase 1"/>
    <x v="58"/>
    <s v="D3. Vivienda Campestre"/>
    <s v="02. Edificación"/>
    <x v="54"/>
    <x v="50"/>
    <s v="Documento PDF"/>
    <n v="1"/>
    <x v="173"/>
    <m/>
    <x v="417"/>
    <x v="2"/>
    <n v="1"/>
    <n v="15197.568389057751"/>
    <n v="15197.568389057751"/>
    <n v="3377.2374197906111"/>
    <n v="3410.8548871439834"/>
    <m/>
    <m/>
    <n v="21985.660695992345"/>
    <n v="27789.477072310401"/>
    <n v="49775.137768302746"/>
    <n v="0.02"/>
    <n v="995.50275536605488"/>
    <n v="0.15"/>
    <n v="8783.8478414651909"/>
    <n v="59554.488365133991"/>
    <n v="0"/>
    <n v="0"/>
    <n v="595.54488365133989"/>
    <n v="595.54488365133989"/>
    <n v="60745.578132436669"/>
  </r>
  <r>
    <s v="Fase 1"/>
    <x v="58"/>
    <s v="D3. Vivienda Campestre"/>
    <s v="02. Edificación"/>
    <x v="54"/>
    <x v="50"/>
    <s v="Documento PDF"/>
    <n v="1"/>
    <x v="173"/>
    <m/>
    <x v="418"/>
    <x v="2"/>
    <n v="1"/>
    <n v="15197.568389057751"/>
    <n v="15197.568389057751"/>
    <n v="3377.2374197906111"/>
    <n v="3410.8548871439834"/>
    <m/>
    <m/>
    <n v="21985.660695992345"/>
    <n v="27789.477072310401"/>
    <n v="49775.137768302746"/>
    <n v="0.02"/>
    <n v="995.50275536605488"/>
    <n v="0.15"/>
    <n v="8783.8478414651909"/>
    <n v="59554.488365133991"/>
    <n v="0"/>
    <n v="0"/>
    <n v="595.54488365133989"/>
    <n v="595.54488365133989"/>
    <n v="60745.578132436669"/>
  </r>
  <r>
    <s v="Fase 1"/>
    <x v="59"/>
    <s v="D3. Vivienda Campestre"/>
    <s v="02. Edificación"/>
    <x v="54"/>
    <x v="50"/>
    <s v="Documento PDF"/>
    <n v="1"/>
    <x v="143"/>
    <m/>
    <x v="326"/>
    <x v="1"/>
    <n v="0.1"/>
    <n v="20263.424518743668"/>
    <n v="2026.3424518743668"/>
    <n v="253.29280648429585"/>
    <n v="341.08548871439837"/>
    <m/>
    <m/>
    <n v="2620.7207470730609"/>
    <n v="2778.9477072310401"/>
    <n v="5399.668454304101"/>
    <n v="0.05"/>
    <n v="269.98342271520505"/>
    <n v="0.15"/>
    <n v="952.88266840660617"/>
    <n v="6622.5345454259123"/>
    <n v="0"/>
    <n v="0"/>
    <n v="66.225345454259127"/>
    <n v="66.225345454259127"/>
    <n v="6754.9852363344298"/>
  </r>
  <r>
    <s v="Fase 1"/>
    <x v="59"/>
    <s v="D3. Vivienda Campestre"/>
    <s v="02. Edificación"/>
    <x v="54"/>
    <x v="50"/>
    <s v="Documento PDF"/>
    <n v="1"/>
    <x v="143"/>
    <m/>
    <x v="327"/>
    <x v="1"/>
    <n v="0.1"/>
    <n v="20263.424518743668"/>
    <n v="2026.3424518743668"/>
    <n v="253.29280648429585"/>
    <n v="341.08548871439837"/>
    <m/>
    <m/>
    <n v="2620.7207470730609"/>
    <n v="2778.9477072310401"/>
    <n v="5399.668454304101"/>
    <n v="0.05"/>
    <n v="269.98342271520505"/>
    <n v="0.15"/>
    <n v="952.88266840660617"/>
    <n v="6622.5345454259123"/>
    <n v="0"/>
    <n v="0"/>
    <n v="66.225345454259127"/>
    <n v="66.225345454259127"/>
    <n v="6754.9852363344298"/>
  </r>
  <r>
    <s v="Fase 1"/>
    <x v="59"/>
    <s v="D3. Vivienda Campestre"/>
    <s v="02. Edificación"/>
    <x v="54"/>
    <x v="50"/>
    <s v="Documento PDF"/>
    <n v="1"/>
    <x v="143"/>
    <m/>
    <x v="328"/>
    <x v="2"/>
    <n v="0.1"/>
    <n v="15197.568389057751"/>
    <n v="1519.7568389057751"/>
    <n v="337.72374197906112"/>
    <n v="341.08548871439837"/>
    <m/>
    <m/>
    <n v="2198.5660695992347"/>
    <n v="2778.9477072310401"/>
    <n v="4977.5137768302748"/>
    <n v="0.05"/>
    <n v="248.87568884151375"/>
    <n v="0.15"/>
    <n v="878.38478414651945"/>
    <n v="6104.7742498183079"/>
    <n v="0"/>
    <n v="0"/>
    <n v="61.047742498183084"/>
    <n v="61.047742498183084"/>
    <n v="6226.8697348146734"/>
  </r>
  <r>
    <s v="Fase 1"/>
    <x v="59"/>
    <s v="D3. Vivienda Campestre"/>
    <s v="02. Edificación"/>
    <x v="54"/>
    <x v="50"/>
    <s v="Documento PDF"/>
    <n v="1"/>
    <x v="143"/>
    <m/>
    <x v="329"/>
    <x v="1"/>
    <n v="0.2"/>
    <n v="20263.424518743668"/>
    <n v="4052.6849037487336"/>
    <n v="506.5856129685917"/>
    <n v="682.17097742879673"/>
    <m/>
    <m/>
    <n v="5241.4414941461218"/>
    <n v="5557.8954144620802"/>
    <n v="10799.336908608202"/>
    <n v="0.05"/>
    <n v="539.9668454304101"/>
    <n v="0.15"/>
    <n v="1905.7653368132123"/>
    <n v="13245.069090851825"/>
    <n v="0"/>
    <n v="0"/>
    <n v="132.45069090851825"/>
    <n v="132.45069090851825"/>
    <n v="13509.97047266886"/>
  </r>
  <r>
    <s v="Fase 1"/>
    <x v="59"/>
    <s v="D3. Vivienda Campestre"/>
    <s v="02. Edificación"/>
    <x v="54"/>
    <x v="50"/>
    <s v="Documento PDF"/>
    <n v="1"/>
    <x v="143"/>
    <m/>
    <x v="330"/>
    <x v="2"/>
    <n v="0.2"/>
    <n v="15197.568389057751"/>
    <n v="3039.5136778115502"/>
    <n v="675.44748395812223"/>
    <n v="682.17097742879673"/>
    <m/>
    <m/>
    <n v="4397.1321391984693"/>
    <n v="5557.8954144620802"/>
    <n v="9955.0275536605495"/>
    <n v="0.05"/>
    <n v="497.7513776830275"/>
    <n v="0.15"/>
    <n v="1756.7695682930389"/>
    <n v="12209.548499636616"/>
    <n v="0"/>
    <n v="0"/>
    <n v="122.09548499636617"/>
    <n v="122.09548499636617"/>
    <n v="12453.739469629347"/>
  </r>
  <r>
    <s v="Fase 1"/>
    <x v="59"/>
    <s v="D3. Vivienda Campestre"/>
    <s v="02. Edificación"/>
    <x v="54"/>
    <x v="50"/>
    <s v="Documento PDF"/>
    <n v="1"/>
    <x v="143"/>
    <m/>
    <x v="331"/>
    <x v="2"/>
    <n v="0.1"/>
    <n v="15197.568389057751"/>
    <n v="1519.7568389057751"/>
    <n v="337.72374197906112"/>
    <n v="341.08548871439837"/>
    <m/>
    <m/>
    <n v="2198.5660695992347"/>
    <n v="2778.9477072310401"/>
    <n v="4977.5137768302748"/>
    <n v="0.05"/>
    <n v="248.87568884151375"/>
    <n v="0.15"/>
    <n v="878.38478414651945"/>
    <n v="6104.7742498183079"/>
    <n v="0"/>
    <n v="0"/>
    <n v="61.047742498183084"/>
    <n v="61.047742498183084"/>
    <n v="6226.8697348146734"/>
  </r>
  <r>
    <s v="Fase 1"/>
    <x v="59"/>
    <s v="D3. Vivienda Campestre"/>
    <s v="02. Edificación"/>
    <x v="54"/>
    <x v="50"/>
    <s v="Documento PDF"/>
    <n v="1"/>
    <x v="143"/>
    <m/>
    <x v="332"/>
    <x v="2"/>
    <n v="0.1"/>
    <n v="15197.568389057751"/>
    <n v="1519.7568389057751"/>
    <n v="337.72374197906112"/>
    <n v="341.08548871439837"/>
    <m/>
    <m/>
    <n v="2198.5660695992347"/>
    <n v="2778.9477072310401"/>
    <n v="4977.5137768302748"/>
    <n v="0.05"/>
    <n v="248.87568884151375"/>
    <n v="0.15"/>
    <n v="878.38478414651945"/>
    <n v="6104.7742498183079"/>
    <n v="0"/>
    <n v="0"/>
    <n v="61.047742498183084"/>
    <n v="61.047742498183084"/>
    <n v="6226.8697348146734"/>
  </r>
  <r>
    <s v="Fase 1"/>
    <x v="59"/>
    <s v="D3. Vivienda Campestre"/>
    <s v="02. Edificación"/>
    <x v="54"/>
    <x v="50"/>
    <s v="Documento PDF"/>
    <n v="1"/>
    <x v="143"/>
    <m/>
    <x v="333"/>
    <x v="2"/>
    <n v="0.1"/>
    <n v="15197.568389057751"/>
    <n v="1519.7568389057751"/>
    <n v="337.72374197906112"/>
    <n v="341.08548871439837"/>
    <m/>
    <m/>
    <n v="2198.5660695992347"/>
    <n v="2778.9477072310401"/>
    <n v="4977.5137768302748"/>
    <n v="0.05"/>
    <n v="248.87568884151375"/>
    <n v="0.15"/>
    <n v="878.38478414651945"/>
    <n v="6104.7742498183079"/>
    <n v="0"/>
    <n v="0"/>
    <n v="61.047742498183084"/>
    <n v="61.047742498183084"/>
    <n v="6226.8697348146734"/>
  </r>
  <r>
    <s v="Fase 1"/>
    <x v="59"/>
    <s v="D3. Vivienda Campestre"/>
    <s v="02. Edificación"/>
    <x v="54"/>
    <x v="50"/>
    <s v="Documento PDF"/>
    <n v="1"/>
    <x v="143"/>
    <m/>
    <x v="334"/>
    <x v="1"/>
    <n v="0.5"/>
    <n v="20263.424518743668"/>
    <n v="10131.712259371834"/>
    <n v="1266.4640324214793"/>
    <n v="1705.4274435719917"/>
    <m/>
    <m/>
    <n v="13103.603735365305"/>
    <n v="13894.738536155201"/>
    <n v="26998.342271520505"/>
    <n v="0.05"/>
    <n v="1349.9171135760253"/>
    <n v="0.15"/>
    <n v="4764.4133420330327"/>
    <n v="33112.672727129568"/>
    <n v="0"/>
    <n v="0"/>
    <n v="331.12672727129569"/>
    <n v="331.12672727129569"/>
    <n v="33774.926181672156"/>
  </r>
  <r>
    <s v="Fase 1"/>
    <x v="59"/>
    <s v="D3. Vivienda Campestre"/>
    <s v="02. Edificación"/>
    <x v="54"/>
    <x v="50"/>
    <s v="Documento PDF"/>
    <n v="1"/>
    <x v="144"/>
    <m/>
    <x v="335"/>
    <x v="2"/>
    <n v="0.2"/>
    <n v="15197.568389057751"/>
    <n v="3039.5136778115502"/>
    <n v="675.44748395812223"/>
    <n v="682.17097742879673"/>
    <m/>
    <m/>
    <n v="4397.1321391984693"/>
    <n v="5557.8954144620802"/>
    <n v="9955.0275536605495"/>
    <n v="0.05"/>
    <n v="497.7513776830275"/>
    <n v="0.15"/>
    <n v="1756.7695682930389"/>
    <n v="12209.548499636616"/>
    <n v="0"/>
    <n v="0"/>
    <n v="122.09548499636617"/>
    <n v="122.09548499636617"/>
    <n v="12453.739469629347"/>
  </r>
  <r>
    <s v="Fase 1"/>
    <x v="59"/>
    <s v="D3. Vivienda Campestre"/>
    <s v="02. Edificación"/>
    <x v="54"/>
    <x v="50"/>
    <s v="Documento PDF"/>
    <n v="1"/>
    <x v="144"/>
    <m/>
    <x v="337"/>
    <x v="2"/>
    <n v="0.2"/>
    <n v="15197.568389057751"/>
    <n v="3039.5136778115502"/>
    <n v="675.44748395812223"/>
    <n v="682.17097742879673"/>
    <m/>
    <m/>
    <n v="4397.1321391984693"/>
    <n v="5557.8954144620802"/>
    <n v="9955.0275536605495"/>
    <n v="0.05"/>
    <n v="497.7513776830275"/>
    <n v="0.15"/>
    <n v="1756.7695682930389"/>
    <n v="12209.548499636616"/>
    <n v="0"/>
    <n v="0"/>
    <n v="122.09548499636617"/>
    <n v="122.09548499636617"/>
    <n v="12453.739469629347"/>
  </r>
  <r>
    <s v="Fase 1"/>
    <x v="59"/>
    <s v="D3. Vivienda Campestre"/>
    <s v="02. Edificación"/>
    <x v="54"/>
    <x v="50"/>
    <s v="Documento PDF"/>
    <n v="1"/>
    <x v="170"/>
    <m/>
    <x v="413"/>
    <x v="2"/>
    <n v="2"/>
    <n v="15197.568389057751"/>
    <n v="30395.136778115502"/>
    <n v="6754.4748395812221"/>
    <n v="6821.7097742879669"/>
    <m/>
    <m/>
    <n v="43971.321391984689"/>
    <n v="55578.954144620802"/>
    <n v="99550.275536605492"/>
    <n v="0.05"/>
    <n v="4977.5137768302748"/>
    <n v="0.2"/>
    <n v="24887.568884151362"/>
    <n v="129415.35819758713"/>
    <n v="0"/>
    <n v="0"/>
    <n v="1294.1535819758715"/>
    <n v="1294.1535819758715"/>
    <n v="132003.66536153888"/>
  </r>
  <r>
    <s v="Fase 1"/>
    <x v="59"/>
    <s v="D3. Vivienda Campestre"/>
    <s v="02. Edificación"/>
    <x v="54"/>
    <x v="50"/>
    <s v="Documento PDF"/>
    <n v="1"/>
    <x v="171"/>
    <m/>
    <x v="414"/>
    <x v="2"/>
    <n v="2"/>
    <n v="15197.568389057751"/>
    <n v="30395.136778115502"/>
    <n v="6754.4748395812221"/>
    <n v="6821.7097742879669"/>
    <m/>
    <m/>
    <n v="43971.321391984689"/>
    <n v="55578.954144620802"/>
    <n v="99550.275536605492"/>
    <n v="0.05"/>
    <n v="4977.5137768302748"/>
    <n v="0.2"/>
    <n v="24887.568884151362"/>
    <n v="129415.35819758713"/>
    <n v="0"/>
    <n v="0"/>
    <n v="1294.1535819758715"/>
    <n v="1294.1535819758715"/>
    <n v="132003.66536153888"/>
  </r>
  <r>
    <s v="Fase 1"/>
    <x v="59"/>
    <s v="D3. Vivienda Campestre"/>
    <s v="02. Edificación"/>
    <x v="54"/>
    <x v="50"/>
    <s v="Documento PDF"/>
    <n v="1"/>
    <x v="174"/>
    <m/>
    <x v="419"/>
    <x v="2"/>
    <n v="1"/>
    <n v="15197.568389057751"/>
    <n v="15197.568389057751"/>
    <n v="3377.2374197906111"/>
    <n v="3410.8548871439834"/>
    <m/>
    <m/>
    <n v="21985.660695992345"/>
    <n v="27789.477072310401"/>
    <n v="49775.137768302746"/>
    <n v="0.05"/>
    <n v="2488.7568884151374"/>
    <n v="0.2"/>
    <n v="12443.784442075681"/>
    <n v="64707.679098793567"/>
    <n v="0"/>
    <n v="0"/>
    <n v="647.07679098793574"/>
    <n v="647.07679098793574"/>
    <n v="66001.832680769439"/>
  </r>
  <r>
    <s v="Fase 1"/>
    <x v="59"/>
    <s v="D3. Vivienda Campestre"/>
    <s v="02. Edificación"/>
    <x v="54"/>
    <x v="50"/>
    <s v="Documento PDF"/>
    <n v="1"/>
    <x v="86"/>
    <m/>
    <x v="420"/>
    <x v="2"/>
    <n v="1"/>
    <n v="15197.568389057751"/>
    <n v="15197.568389057751"/>
    <n v="3377.2374197906111"/>
    <n v="3410.8548871439834"/>
    <m/>
    <m/>
    <n v="21985.660695992345"/>
    <n v="27789.477072310401"/>
    <n v="49775.137768302746"/>
    <n v="0.05"/>
    <n v="2488.7568884151374"/>
    <n v="0.2"/>
    <n v="12443.784442075681"/>
    <n v="64707.679098793567"/>
    <n v="0"/>
    <n v="0"/>
    <n v="647.07679098793574"/>
    <n v="647.07679098793574"/>
    <n v="66001.832680769439"/>
  </r>
  <r>
    <m/>
    <x v="60"/>
    <e v="#N/A"/>
    <m/>
    <x v="55"/>
    <x v="51"/>
    <m/>
    <m/>
    <x v="175"/>
    <m/>
    <x v="421"/>
    <x v="3"/>
    <m/>
    <s v="0"/>
    <n v="0"/>
    <n v="0"/>
    <n v="0"/>
    <m/>
    <m/>
    <n v="0"/>
    <n v="0"/>
    <n v="0"/>
    <m/>
    <n v="0"/>
    <n v="0.3"/>
    <n v="0"/>
    <n v="0"/>
    <m/>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e v="#N/A"/>
    <x v="0"/>
    <m/>
    <m/>
    <m/>
    <m/>
    <x v="0"/>
    <m/>
  </r>
  <r>
    <s v="LA | Leader Architect"/>
    <x v="1"/>
    <n v="50"/>
    <n v="5.5555555555555554"/>
    <d v="2026-01-20T00:00:00"/>
    <d v="2026-01-27T00:00:00"/>
    <x v="1"/>
    <n v="5"/>
  </r>
  <r>
    <s v="LA | Leader Architect"/>
    <x v="2"/>
    <n v="0.2"/>
    <n v="2.2222222222222223E-2"/>
    <d v="2026-01-09T00:00:00"/>
    <d v="2026-01-09T00:00:00"/>
    <x v="2"/>
    <n v="2"/>
  </r>
  <r>
    <s v="LA | Leader Architect"/>
    <x v="2"/>
    <n v="4"/>
    <n v="0.44444444444444442"/>
    <d v="2026-01-10T00:00:00"/>
    <d v="2026-01-10T00:00:00"/>
    <x v="2"/>
    <n v="2"/>
  </r>
  <r>
    <s v="LA | Leader Architect"/>
    <x v="2"/>
    <n v="0.5"/>
    <n v="5.5555555555555552E-2"/>
    <d v="2026-01-11T00:00:00"/>
    <d v="2026-01-11T00:00:00"/>
    <x v="2"/>
    <n v="2"/>
  </r>
  <r>
    <s v="DM | Design Manager"/>
    <x v="2"/>
    <n v="1"/>
    <n v="0.1111111111111111"/>
    <d v="2026-01-12T00:00:00"/>
    <d v="2026-01-12T00:00:00"/>
    <x v="3"/>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6F8FB9-CE05-4F2B-AC24-185BF1B4CBBE}"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E18" firstHeaderRow="1" firstDataRow="1" firstDataCol="4" rowPageCount="1" colPageCount="1"/>
  <pivotFields count="32">
    <pivotField showAll="0"/>
    <pivotField axis="axisPage" outline="0" multipleItemSelectionAllowed="1" showAll="0" defaultSubtotal="0">
      <items count="61">
        <item x="48"/>
        <item h="1" x="49"/>
        <item h="1" x="50"/>
        <item h="1" x="0"/>
        <item h="1" x="1"/>
        <item h="1" x="2"/>
        <item h="1" x="4"/>
        <item h="1" x="5"/>
        <item h="1" x="6"/>
        <item h="1" x="7"/>
        <item h="1" x="8"/>
        <item h="1" x="9"/>
        <item h="1" x="10"/>
        <item h="1" x="11"/>
        <item h="1" x="12"/>
        <item h="1" x="13"/>
        <item h="1" x="14"/>
        <item h="1" x="15"/>
        <item h="1" x="16"/>
        <item h="1" x="17"/>
        <item h="1" x="24"/>
        <item h="1" x="3"/>
        <item h="1" x="18"/>
        <item h="1" x="19"/>
        <item h="1" x="20"/>
        <item h="1" x="21"/>
        <item h="1" x="22"/>
        <item h="1" x="23"/>
        <item h="1" x="25"/>
        <item h="1" x="26"/>
        <item h="1" x="27"/>
        <item h="1" x="28"/>
        <item h="1" x="29"/>
        <item h="1" x="30"/>
        <item h="1" x="31"/>
        <item h="1" x="32"/>
        <item h="1" x="33"/>
        <item h="1" x="34"/>
        <item h="1" x="58"/>
        <item h="1" x="59"/>
        <item h="1" x="36"/>
        <item h="1" x="38"/>
        <item h="1" x="39"/>
        <item h="1" x="40"/>
        <item h="1" x="41"/>
        <item h="1" x="42"/>
        <item h="1" x="43"/>
        <item h="1" x="44"/>
        <item h="1" x="45"/>
        <item h="1" x="46"/>
        <item h="1" x="47"/>
        <item h="1" x="51"/>
        <item h="1" x="54"/>
        <item h="1" x="55"/>
        <item h="1" x="56"/>
        <item h="1" x="57"/>
        <item h="1" x="52"/>
        <item h="1" x="53"/>
        <item h="1" x="35"/>
        <item h="1" x="37"/>
        <item h="1" x="60"/>
      </items>
    </pivotField>
    <pivotField showAll="0"/>
    <pivotField showAll="0"/>
    <pivotField axis="axisRow" outline="0" showAll="0">
      <items count="57">
        <item x="44"/>
        <item x="46"/>
        <item x="43"/>
        <item x="47"/>
        <item x="50"/>
        <item x="14"/>
        <item x="7"/>
        <item x="31"/>
        <item x="6"/>
        <item x="35"/>
        <item x="5"/>
        <item x="13"/>
        <item x="53"/>
        <item x="49"/>
        <item x="16"/>
        <item x="12"/>
        <item x="9"/>
        <item x="8"/>
        <item x="51"/>
        <item x="19"/>
        <item x="27"/>
        <item sd="0" x="33"/>
        <item x="0"/>
        <item x="26"/>
        <item x="24"/>
        <item x="25"/>
        <item x="23"/>
        <item x="29"/>
        <item x="36"/>
        <item x="40"/>
        <item x="54"/>
        <item x="42"/>
        <item x="11"/>
        <item x="32"/>
        <item x="10"/>
        <item x="52"/>
        <item x="20"/>
        <item x="1"/>
        <item x="22"/>
        <item x="4"/>
        <item x="28"/>
        <item x="30"/>
        <item x="21"/>
        <item x="2"/>
        <item x="3"/>
        <item sd="0" x="34"/>
        <item x="37"/>
        <item x="15"/>
        <item x="45"/>
        <item x="41"/>
        <item x="39"/>
        <item x="48"/>
        <item x="38"/>
        <item x="18"/>
        <item x="17"/>
        <item x="55"/>
        <item t="default"/>
      </items>
    </pivotField>
    <pivotField axis="axisRow" outline="0" showAll="0" defaultSubtotal="0">
      <items count="52">
        <item x="48"/>
        <item x="30"/>
        <item x="38"/>
        <item x="42"/>
        <item x="40"/>
        <item x="41"/>
        <item x="45"/>
        <item x="6"/>
        <item x="18"/>
        <item x="26"/>
        <item x="5"/>
        <item x="17"/>
        <item x="27"/>
        <item x="4"/>
        <item x="49"/>
        <item x="43"/>
        <item x="29"/>
        <item x="37"/>
        <item x="50"/>
        <item x="20"/>
        <item x="24"/>
        <item x="16"/>
        <item sd="0" x="7"/>
        <item x="23"/>
        <item x="0"/>
        <item x="32"/>
        <item x="35"/>
        <item x="33"/>
        <item x="46"/>
        <item x="11"/>
        <item x="8"/>
        <item x="15"/>
        <item x="13"/>
        <item x="10"/>
        <item x="12"/>
        <item x="9"/>
        <item x="14"/>
        <item x="25"/>
        <item x="28"/>
        <item x="1"/>
        <item x="3"/>
        <item x="2"/>
        <item x="22"/>
        <item x="21"/>
        <item x="19"/>
        <item x="31"/>
        <item x="34"/>
        <item x="44"/>
        <item x="36"/>
        <item x="39"/>
        <item x="47"/>
        <item x="51"/>
      </items>
    </pivotField>
    <pivotField showAll="0"/>
    <pivotField showAll="0"/>
    <pivotField axis="axisRow" outline="0" showAll="0" defaultSubtotal="0">
      <items count="176">
        <item x="173"/>
        <item x="77"/>
        <item x="171"/>
        <item x="150"/>
        <item x="140"/>
        <item x="149"/>
        <item x="170"/>
        <item x="52"/>
        <item x="152"/>
        <item x="139"/>
        <item x="24"/>
        <item x="25"/>
        <item x="136"/>
        <item x="126"/>
        <item x="148"/>
        <item x="137"/>
        <item x="29"/>
        <item x="138"/>
        <item x="0"/>
        <item x="142"/>
        <item x="56"/>
        <item x="51"/>
        <item x="75"/>
        <item x="93"/>
        <item x="20"/>
        <item x="13"/>
        <item x="109"/>
        <item x="167"/>
        <item x="67"/>
        <item x="125"/>
        <item x="28"/>
        <item x="37"/>
        <item x="36"/>
        <item x="30"/>
        <item x="168"/>
        <item x="39"/>
        <item x="43"/>
        <item x="42"/>
        <item x="34"/>
        <item x="33"/>
        <item x="41"/>
        <item x="38"/>
        <item x="32"/>
        <item x="31"/>
        <item x="133"/>
        <item x="40"/>
        <item x="35"/>
        <item x="95"/>
        <item x="113"/>
        <item x="59"/>
        <item x="83"/>
        <item x="80"/>
        <item x="58"/>
        <item x="57"/>
        <item x="82"/>
        <item x="81"/>
        <item x="94"/>
        <item x="112"/>
        <item x="111"/>
        <item x="110"/>
        <item x="79"/>
        <item x="45"/>
        <item x="44"/>
        <item x="23"/>
        <item x="172"/>
        <item x="169"/>
        <item x="158"/>
        <item x="48"/>
        <item x="97"/>
        <item x="115"/>
        <item x="61"/>
        <item x="85"/>
        <item x="47"/>
        <item x="141"/>
        <item x="73"/>
        <item x="91"/>
        <item x="107"/>
        <item x="102"/>
        <item x="120"/>
        <item x="18"/>
        <item x="11"/>
        <item x="65"/>
        <item x="76"/>
        <item x="68"/>
        <item x="123"/>
        <item x="143"/>
        <item x="159"/>
        <item x="96"/>
        <item x="114"/>
        <item x="60"/>
        <item x="78"/>
        <item x="84"/>
        <item x="46"/>
        <item x="74"/>
        <item x="92"/>
        <item x="19"/>
        <item x="12"/>
        <item x="108"/>
        <item x="66"/>
        <item x="135"/>
        <item x="2"/>
        <item x="130"/>
        <item x="164"/>
        <item x="131"/>
        <item x="160"/>
        <item x="124"/>
        <item x="174"/>
        <item x="21"/>
        <item x="128"/>
        <item x="127"/>
        <item x="166"/>
        <item x="157"/>
        <item x="129"/>
        <item x="163"/>
        <item x="154"/>
        <item x="53"/>
        <item x="70"/>
        <item x="88"/>
        <item x="104"/>
        <item x="99"/>
        <item x="117"/>
        <item x="15"/>
        <item x="8"/>
        <item x="63"/>
        <item x="71"/>
        <item x="89"/>
        <item x="105"/>
        <item x="100"/>
        <item x="118"/>
        <item x="16"/>
        <item x="9"/>
        <item x="55"/>
        <item x="4"/>
        <item x="69"/>
        <item x="87"/>
        <item x="103"/>
        <item x="98"/>
        <item x="116"/>
        <item x="14"/>
        <item x="7"/>
        <item x="62"/>
        <item x="3"/>
        <item x="50"/>
        <item x="1"/>
        <item x="147"/>
        <item x="49"/>
        <item x="121"/>
        <item x="27"/>
        <item x="54"/>
        <item x="26"/>
        <item x="155"/>
        <item x="144"/>
        <item x="162"/>
        <item x="22"/>
        <item x="161"/>
        <item x="153"/>
        <item x="122"/>
        <item x="151"/>
        <item x="165"/>
        <item x="5"/>
        <item x="72"/>
        <item x="90"/>
        <item x="106"/>
        <item x="101"/>
        <item x="119"/>
        <item x="17"/>
        <item x="10"/>
        <item x="64"/>
        <item x="132"/>
        <item x="86"/>
        <item x="6"/>
        <item x="146"/>
        <item x="156"/>
        <item x="145"/>
        <item x="134"/>
        <item x="175"/>
      </items>
    </pivotField>
    <pivotField showAll="0"/>
    <pivotField axis="axisRow" showAll="0">
      <items count="423">
        <item x="196"/>
        <item x="277"/>
        <item x="278"/>
        <item x="187"/>
        <item x="256"/>
        <item x="177"/>
        <item x="265"/>
        <item x="242"/>
        <item x="123"/>
        <item x="243"/>
        <item x="128"/>
        <item x="269"/>
        <item x="182"/>
        <item x="268"/>
        <item x="122"/>
        <item x="111"/>
        <item x="78"/>
        <item x="158"/>
        <item x="248"/>
        <item x="249"/>
        <item x="247"/>
        <item x="246"/>
        <item x="239"/>
        <item x="250"/>
        <item x="259"/>
        <item x="253"/>
        <item x="254"/>
        <item x="258"/>
        <item x="252"/>
        <item x="255"/>
        <item x="245"/>
        <item x="257"/>
        <item x="237"/>
        <item x="43"/>
        <item x="153"/>
        <item x="244"/>
        <item x="66"/>
        <item x="57"/>
        <item x="15"/>
        <item x="14"/>
        <item x="238"/>
        <item x="40"/>
        <item x="39"/>
        <item x="16"/>
        <item x="223"/>
        <item x="41"/>
        <item x="24"/>
        <item x="190"/>
        <item x="202"/>
        <item x="213"/>
        <item x="22"/>
        <item x="73"/>
        <item x="232"/>
        <item x="21"/>
        <item x="227"/>
        <item x="33"/>
        <item x="212"/>
        <item x="406"/>
        <item x="155"/>
        <item x="133"/>
        <item x="271"/>
        <item x="230"/>
        <item x="234"/>
        <item x="184"/>
        <item x="270"/>
        <item x="127"/>
        <item x="205"/>
        <item x="178"/>
        <item x="124"/>
        <item x="416"/>
        <item x="5"/>
        <item x="345"/>
        <item x="159"/>
        <item x="82"/>
        <item x="397"/>
        <item x="300"/>
        <item x="50"/>
        <item x="85"/>
        <item x="193"/>
        <item x="48"/>
        <item x="139"/>
        <item x="53"/>
        <item x="288"/>
        <item x="398"/>
        <item x="118"/>
        <item x="175"/>
        <item x="262"/>
        <item x="135"/>
        <item x="344"/>
        <item x="304"/>
        <item x="322"/>
        <item x="303"/>
        <item x="37"/>
        <item x="113"/>
        <item x="94"/>
        <item x="105"/>
        <item x="106"/>
        <item x="36"/>
        <item x="35"/>
        <item x="290"/>
        <item x="378"/>
        <item x="384"/>
        <item x="169"/>
        <item x="216"/>
        <item x="56"/>
        <item x="34"/>
        <item x="188"/>
        <item x="358"/>
        <item x="370"/>
        <item x="332"/>
        <item x="325"/>
        <item x="354"/>
        <item x="364"/>
        <item x="357"/>
        <item x="356"/>
        <item x="154"/>
        <item x="329"/>
        <item x="330"/>
        <item x="142"/>
        <item x="28"/>
        <item x="95"/>
        <item x="240"/>
        <item x="65"/>
        <item x="337"/>
        <item x="261"/>
        <item x="174"/>
        <item x="276"/>
        <item x="116"/>
        <item x="273"/>
        <item x="235"/>
        <item x="149"/>
        <item x="148"/>
        <item x="120"/>
        <item x="334"/>
        <item x="117"/>
        <item x="134"/>
        <item x="222"/>
        <item x="326"/>
        <item x="19"/>
        <item x="327"/>
        <item x="214"/>
        <item x="331"/>
        <item x="25"/>
        <item x="172"/>
        <item x="46"/>
        <item x="3"/>
        <item x="328"/>
        <item x="171"/>
        <item x="307"/>
        <item x="49"/>
        <item x="2"/>
        <item x="13"/>
        <item x="109"/>
        <item x="110"/>
        <item x="115"/>
        <item x="201"/>
        <item x="170"/>
        <item x="204"/>
        <item x="55"/>
        <item x="137"/>
        <item x="183"/>
        <item x="181"/>
        <item x="267"/>
        <item x="126"/>
        <item x="180"/>
        <item x="266"/>
        <item x="394"/>
        <item x="251"/>
        <item x="186"/>
        <item x="125"/>
        <item x="179"/>
        <item x="114"/>
        <item x="107"/>
        <item x="108"/>
        <item x="207"/>
        <item x="206"/>
        <item x="305"/>
        <item x="146"/>
        <item x="143"/>
        <item x="102"/>
        <item x="229"/>
        <item x="408"/>
        <item x="86"/>
        <item x="150"/>
        <item x="38"/>
        <item x="293"/>
        <item x="381"/>
        <item x="313"/>
        <item x="373"/>
        <item x="306"/>
        <item x="375"/>
        <item x="342"/>
        <item x="299"/>
        <item x="396"/>
        <item x="302"/>
        <item x="284"/>
        <item x="377"/>
        <item x="336"/>
        <item x="369"/>
        <item x="333"/>
        <item x="372"/>
        <item x="45"/>
        <item x="185"/>
        <item x="279"/>
        <item x="414"/>
        <item x="413"/>
        <item x="287"/>
        <item x="161"/>
        <item x="260"/>
        <item x="27"/>
        <item x="368"/>
        <item x="367"/>
        <item x="51"/>
        <item x="390"/>
        <item x="151"/>
        <item x="75"/>
        <item x="297"/>
        <item x="298"/>
        <item x="411"/>
        <item x="315"/>
        <item x="275"/>
        <item x="359"/>
        <item x="360"/>
        <item x="419"/>
        <item x="320"/>
        <item x="215"/>
        <item x="319"/>
        <item x="312"/>
        <item x="311"/>
        <item x="166"/>
        <item x="167"/>
        <item x="83"/>
        <item x="93"/>
        <item x="309"/>
        <item x="112"/>
        <item x="391"/>
        <item x="324"/>
        <item x="84"/>
        <item x="168"/>
        <item x="347"/>
        <item x="58"/>
        <item x="62"/>
        <item x="233"/>
        <item x="0"/>
        <item x="339"/>
        <item x="197"/>
        <item x="198"/>
        <item x="23"/>
        <item x="144"/>
        <item x="10"/>
        <item x="341"/>
        <item x="136"/>
        <item x="393"/>
        <item x="81"/>
        <item x="104"/>
        <item x="91"/>
        <item x="1"/>
        <item x="340"/>
        <item x="60"/>
        <item x="129"/>
        <item x="280"/>
        <item x="47"/>
        <item x="31"/>
        <item x="26"/>
        <item x="173"/>
        <item x="79"/>
        <item x="362"/>
        <item x="9"/>
        <item x="194"/>
        <item x="163"/>
        <item x="221"/>
        <item x="96"/>
        <item x="77"/>
        <item x="87"/>
        <item x="203"/>
        <item x="281"/>
        <item x="17"/>
        <item x="164"/>
        <item x="200"/>
        <item x="211"/>
        <item x="92"/>
        <item x="220"/>
        <item x="97"/>
        <item x="195"/>
        <item x="208"/>
        <item x="219"/>
        <item x="404"/>
        <item x="70"/>
        <item x="71"/>
        <item x="301"/>
        <item x="405"/>
        <item x="64"/>
        <item x="121"/>
        <item x="241"/>
        <item x="12"/>
        <item x="67"/>
        <item x="402"/>
        <item x="68"/>
        <item x="191"/>
        <item x="131"/>
        <item x="192"/>
        <item x="403"/>
        <item x="69"/>
        <item x="72"/>
        <item x="63"/>
        <item x="59"/>
        <item x="189"/>
        <item x="100"/>
        <item x="101"/>
        <item x="308"/>
        <item x="310"/>
        <item x="226"/>
        <item x="291"/>
        <item x="379"/>
        <item x="399"/>
        <item x="236"/>
        <item x="199"/>
        <item x="217"/>
        <item x="343"/>
        <item x="316"/>
        <item x="323"/>
        <item x="389"/>
        <item x="294"/>
        <item x="382"/>
        <item x="355"/>
        <item x="365"/>
        <item x="417"/>
        <item x="295"/>
        <item x="366"/>
        <item x="346"/>
        <item x="371"/>
        <item x="386"/>
        <item x="395"/>
        <item x="296"/>
        <item x="387"/>
        <item x="292"/>
        <item x="401"/>
        <item x="376"/>
        <item x="400"/>
        <item x="388"/>
        <item x="385"/>
        <item x="61"/>
        <item x="132"/>
        <item x="11"/>
        <item x="209"/>
        <item x="210"/>
        <item x="32"/>
        <item x="160"/>
        <item x="80"/>
        <item x="76"/>
        <item x="383"/>
        <item x="409"/>
        <item x="274"/>
        <item x="317"/>
        <item x="283"/>
        <item x="145"/>
        <item x="412"/>
        <item x="119"/>
        <item x="374"/>
        <item x="140"/>
        <item x="165"/>
        <item x="231"/>
        <item x="228"/>
        <item x="176"/>
        <item x="263"/>
        <item x="20"/>
        <item x="264"/>
        <item x="130"/>
        <item x="29"/>
        <item x="98"/>
        <item x="286"/>
        <item x="52"/>
        <item x="282"/>
        <item x="410"/>
        <item x="141"/>
        <item x="44"/>
        <item x="318"/>
        <item x="321"/>
        <item x="285"/>
        <item x="30"/>
        <item x="392"/>
        <item x="380"/>
        <item x="361"/>
        <item x="338"/>
        <item x="415"/>
        <item x="420"/>
        <item x="152"/>
        <item x="103"/>
        <item x="99"/>
        <item x="407"/>
        <item x="42"/>
        <item x="352"/>
        <item x="156"/>
        <item x="353"/>
        <item x="363"/>
        <item x="157"/>
        <item x="6"/>
        <item x="7"/>
        <item x="8"/>
        <item x="88"/>
        <item x="418"/>
        <item x="162"/>
        <item x="314"/>
        <item x="272"/>
        <item x="54"/>
        <item x="335"/>
        <item x="351"/>
        <item x="350"/>
        <item x="18"/>
        <item x="349"/>
        <item x="348"/>
        <item x="289"/>
        <item x="218"/>
        <item x="4"/>
        <item x="147"/>
        <item x="225"/>
        <item x="224"/>
        <item x="90"/>
        <item x="74"/>
        <item x="138"/>
        <item x="89"/>
        <item x="421"/>
        <item t="default"/>
      </items>
    </pivotField>
    <pivotField showAll="0"/>
    <pivotField dataField="1" showAll="0"/>
    <pivotField showAll="0"/>
    <pivotField numFmtId="172" showAll="0"/>
    <pivotField numFmtId="173" showAll="0"/>
    <pivotField numFmtId="173" showAll="0"/>
    <pivotField showAll="0"/>
    <pivotField showAll="0"/>
    <pivotField numFmtId="172" showAll="0"/>
    <pivotField numFmtId="164" showAll="0"/>
    <pivotField numFmtId="172" showAll="0"/>
    <pivotField showAll="0"/>
    <pivotField numFmtId="164" showAll="0"/>
    <pivotField numFmtId="9" showAll="0"/>
    <pivotField numFmtId="164" showAll="0"/>
    <pivotField numFmtId="172" showAll="0"/>
    <pivotField showAll="0"/>
    <pivotField numFmtId="164" showAll="0"/>
    <pivotField numFmtId="164" showAll="0"/>
    <pivotField numFmtId="164" showAll="0"/>
    <pivotField numFmtId="172" showAll="0"/>
  </pivotFields>
  <rowFields count="4">
    <field x="4"/>
    <field x="5"/>
    <field x="8"/>
    <field x="10"/>
  </rowFields>
  <rowItems count="15">
    <i>
      <x v="2"/>
      <x v="2"/>
      <x v="85"/>
      <x v="109"/>
    </i>
    <i r="3">
      <x v="116"/>
    </i>
    <i r="3">
      <x v="117"/>
    </i>
    <i r="3">
      <x v="137"/>
    </i>
    <i r="3">
      <x v="139"/>
    </i>
    <i r="3">
      <x v="141"/>
    </i>
    <i r="3">
      <x v="146"/>
    </i>
    <i r="3">
      <x v="199"/>
    </i>
    <i r="1">
      <x v="4"/>
      <x v="151"/>
      <x v="123"/>
    </i>
    <i r="3">
      <x v="405"/>
    </i>
    <i r="2">
      <x v="173"/>
      <x v="383"/>
    </i>
    <i r="1">
      <x v="5"/>
      <x v="151"/>
      <x v="197"/>
    </i>
    <i r="1">
      <x v="49"/>
      <x v="85"/>
      <x v="133"/>
    </i>
    <i t="default">
      <x v="2"/>
    </i>
    <i t="grand">
      <x/>
    </i>
  </rowItems>
  <colItems count="1">
    <i/>
  </colItems>
  <pageFields count="1">
    <pageField fld="1" hier="-1"/>
  </pageFields>
  <dataFields count="1">
    <dataField name="Suma de TIEMPO (HORAS)" fld="12" baseField="0" baseItem="0"/>
  </dataFields>
  <formats count="27">
    <format dxfId="177">
      <pivotArea field="1" type="button" dataOnly="0" labelOnly="1" outline="0" axis="axisPage" fieldPosition="0"/>
    </format>
    <format dxfId="176">
      <pivotArea field="4" type="button" dataOnly="0" labelOnly="1" outline="0" axis="axisRow" fieldPosition="0"/>
    </format>
    <format dxfId="175">
      <pivotArea field="8" type="button" dataOnly="0" labelOnly="1" outline="0" axis="axisRow" fieldPosition="2"/>
    </format>
    <format dxfId="174">
      <pivotArea field="10" type="button" dataOnly="0" labelOnly="1" outline="0" axis="axisRow" fieldPosition="3"/>
    </format>
    <format dxfId="173">
      <pivotArea dataOnly="0" labelOnly="1" outline="0" axis="axisValues" fieldPosition="0"/>
    </format>
    <format dxfId="172">
      <pivotArea field="1" type="button" dataOnly="0" labelOnly="1" outline="0" axis="axisPage" fieldPosition="0"/>
    </format>
    <format dxfId="171">
      <pivotArea field="4" type="button" dataOnly="0" labelOnly="1" outline="0" axis="axisRow" fieldPosition="0"/>
    </format>
    <format dxfId="170">
      <pivotArea field="8" type="button" dataOnly="0" labelOnly="1" outline="0" axis="axisRow" fieldPosition="2"/>
    </format>
    <format dxfId="169">
      <pivotArea field="10" type="button" dataOnly="0" labelOnly="1" outline="0" axis="axisRow" fieldPosition="3"/>
    </format>
    <format dxfId="168">
      <pivotArea dataOnly="0" labelOnly="1" outline="0" axis="axisValues" fieldPosition="0"/>
    </format>
    <format dxfId="167">
      <pivotArea field="1" type="button" dataOnly="0" labelOnly="1" outline="0" axis="axisPage" fieldPosition="0"/>
    </format>
    <format dxfId="166">
      <pivotArea field="4" type="button" dataOnly="0" labelOnly="1" outline="0" axis="axisRow" fieldPosition="0"/>
    </format>
    <format dxfId="165">
      <pivotArea field="8" type="button" dataOnly="0" labelOnly="1" outline="0" axis="axisRow" fieldPosition="2"/>
    </format>
    <format dxfId="164">
      <pivotArea field="10" type="button" dataOnly="0" labelOnly="1" outline="0" axis="axisRow" fieldPosition="3"/>
    </format>
    <format dxfId="163">
      <pivotArea dataOnly="0" labelOnly="1" outline="0" axis="axisValues" fieldPosition="0"/>
    </format>
    <format dxfId="162">
      <pivotArea field="1" type="button" dataOnly="0" labelOnly="1" outline="0" axis="axisPage" fieldPosition="0"/>
    </format>
    <format dxfId="161">
      <pivotArea field="4" type="button" dataOnly="0" labelOnly="1" outline="0" axis="axisRow" fieldPosition="0"/>
    </format>
    <format dxfId="160">
      <pivotArea field="8" type="button" dataOnly="0" labelOnly="1" outline="0" axis="axisRow" fieldPosition="2"/>
    </format>
    <format dxfId="159">
      <pivotArea field="10" type="button" dataOnly="0" labelOnly="1" outline="0" axis="axisRow" fieldPosition="3"/>
    </format>
    <format dxfId="158">
      <pivotArea dataOnly="0" labelOnly="1" outline="0" axis="axisValues" fieldPosition="0"/>
    </format>
    <format dxfId="157">
      <pivotArea field="5" type="button" dataOnly="0" labelOnly="1" outline="0" axis="axisRow" fieldPosition="1"/>
    </format>
    <format dxfId="156">
      <pivotArea dataOnly="0" labelOnly="1" outline="0" axis="axisValues" fieldPosition="0"/>
    </format>
    <format dxfId="155">
      <pivotArea collapsedLevelsAreSubtotals="1" fieldPosition="0">
        <references count="2">
          <reference field="4" count="1" selected="0">
            <x v="2"/>
          </reference>
          <reference field="5" count="1">
            <x v="2"/>
          </reference>
        </references>
      </pivotArea>
    </format>
    <format dxfId="154">
      <pivotArea collapsedLevelsAreSubtotals="1" fieldPosition="0">
        <references count="4">
          <reference field="4" count="1" selected="0">
            <x v="2"/>
          </reference>
          <reference field="5" count="1" selected="0">
            <x v="4"/>
          </reference>
          <reference field="8" count="1" selected="0">
            <x v="151"/>
          </reference>
          <reference field="10" count="2">
            <x v="123"/>
            <x v="405"/>
          </reference>
        </references>
      </pivotArea>
    </format>
    <format dxfId="153">
      <pivotArea collapsedLevelsAreSubtotals="1" fieldPosition="0">
        <references count="4">
          <reference field="4" count="1" selected="0">
            <x v="2"/>
          </reference>
          <reference field="5" count="1" selected="0">
            <x v="4"/>
          </reference>
          <reference field="8" count="1" selected="0">
            <x v="173"/>
          </reference>
          <reference field="10" count="1">
            <x v="383"/>
          </reference>
        </references>
      </pivotArea>
    </format>
    <format dxfId="152">
      <pivotArea collapsedLevelsAreSubtotals="1" fieldPosition="0">
        <references count="4">
          <reference field="4" count="1" selected="0">
            <x v="2"/>
          </reference>
          <reference field="5" count="1" selected="0">
            <x v="5"/>
          </reference>
          <reference field="8" count="1" selected="0">
            <x v="151"/>
          </reference>
          <reference field="10" count="1">
            <x v="197"/>
          </reference>
        </references>
      </pivotArea>
    </format>
    <format dxfId="151">
      <pivotArea collapsedLevelsAreSubtotals="1" fieldPosition="0">
        <references count="4">
          <reference field="4" count="1" selected="0">
            <x v="2"/>
          </reference>
          <reference field="5" count="1" selected="0">
            <x v="49"/>
          </reference>
          <reference field="8" count="1" selected="0">
            <x v="85"/>
          </reference>
          <reference field="10" count="1">
            <x v="133"/>
          </reference>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37B45B-8F99-411B-93FC-2C0D9AE5496F}" name="TablaDinámica4"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I11:N16" firstHeaderRow="1" firstDataRow="2" firstDataCol="1"/>
  <pivotFields count="8">
    <pivotField showAll="0"/>
    <pivotField axis="axisRow" showAll="0">
      <items count="4">
        <item x="1"/>
        <item x="2"/>
        <item x="0"/>
        <item t="default"/>
      </items>
    </pivotField>
    <pivotField dataField="1" showAll="0"/>
    <pivotField showAll="0"/>
    <pivotField showAll="0"/>
    <pivotField showAll="0"/>
    <pivotField axis="axisCol" showAll="0">
      <items count="5">
        <item x="2"/>
        <item x="3"/>
        <item x="0"/>
        <item x="1"/>
        <item t="default"/>
      </items>
    </pivotField>
    <pivotField showAll="0"/>
  </pivotFields>
  <rowFields count="1">
    <field x="1"/>
  </rowFields>
  <rowItems count="4">
    <i>
      <x/>
    </i>
    <i>
      <x v="1"/>
    </i>
    <i>
      <x v="2"/>
    </i>
    <i t="grand">
      <x/>
    </i>
  </rowItems>
  <colFields count="1">
    <field x="6"/>
  </colFields>
  <colItems count="5">
    <i>
      <x/>
    </i>
    <i>
      <x v="1"/>
    </i>
    <i>
      <x v="2"/>
    </i>
    <i>
      <x v="3"/>
    </i>
    <i t="grand">
      <x/>
    </i>
  </colItems>
  <dataFields count="1">
    <dataField name="Suma de HORAS  PROYECTADO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ÓDIGO" xr10:uid="{2014BAD8-7346-454E-AB8A-2FD8209F1B87}" sourceName="CÓDIGO">
  <extLst>
    <x:ext xmlns:x15="http://schemas.microsoft.com/office/spreadsheetml/2010/11/main" uri="{2F2917AC-EB37-4324-AD4E-5DD8C200BD13}">
      <x15:tableSlicerCache tableId="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3022FF73-019C-42BB-BE53-84D5F6B57EDE}" sourceName="RESPONSABLE">
  <extLst>
    <x:ext xmlns:x15="http://schemas.microsoft.com/office/spreadsheetml/2010/11/main" uri="{2F2917AC-EB37-4324-AD4E-5DD8C200BD13}">
      <x15:tableSlicerCache tableId="1" column="1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OTOR1" xr10:uid="{DC255C1B-7BA6-4DDB-924B-BA066EF05E56}" sourceName="CATEGORÍA">
  <extLst>
    <x:ext xmlns:x15="http://schemas.microsoft.com/office/spreadsheetml/2010/11/main" uri="{2F2917AC-EB37-4324-AD4E-5DD8C200BD13}">
      <x15:tableSlicerCache tableId="2"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ÓDIGO1" xr10:uid="{3477A460-DF4D-4A92-93CF-CA9A4D782840}" sourceName="CÓDIGO">
  <extLst>
    <x:ext xmlns:x15="http://schemas.microsoft.com/office/spreadsheetml/2010/11/main" uri="{2F2917AC-EB37-4324-AD4E-5DD8C200BD13}">
      <x15:tableSlicerCache tableId="2"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FASES" xr10:uid="{CF0331A4-9CB5-4F90-9E54-6C51C3FAE38A}" sourceName="FASES">
  <extLst>
    <x:ext xmlns:x15="http://schemas.microsoft.com/office/spreadsheetml/2010/11/main" uri="{2F2917AC-EB37-4324-AD4E-5DD8C200BD13}">
      <x15:tableSlicerCache tableId="2" column="4"/>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E_SERVICIO" xr10:uid="{F96F47A6-6603-4566-B326-CC47A87CAE35}" sourceName="CATEGORÍA">
  <extLst>
    <x:ext xmlns:x15="http://schemas.microsoft.com/office/spreadsheetml/2010/11/main" uri="{2F2917AC-EB37-4324-AD4E-5DD8C200BD13}">
      <x15:tableSlicerCache tableId="1" column="19"/>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B_CATEGORÍA1" xr10:uid="{11FA9E91-1BC1-47B5-A595-0E4429FD36D8}" sourceName="SUB CATEGORÍA">
  <extLst>
    <x:ext xmlns:x15="http://schemas.microsoft.com/office/spreadsheetml/2010/11/main" uri="{2F2917AC-EB37-4324-AD4E-5DD8C200BD13}">
      <x15:tableSlicerCache tableId="1" column="3"/>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E_CLIENTE" xr10:uid="{60FFA217-0409-44DD-9330-EFA76E1626B3}" sourceName="TIPO DE CLIENTE">
  <extLst>
    <x:ext xmlns:x15="http://schemas.microsoft.com/office/spreadsheetml/2010/11/main" uri="{2F2917AC-EB37-4324-AD4E-5DD8C200BD13}">
      <x15:tableSlicerCache tableId="3" column="6"/>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ECESIDAD_O_DESEO" xr10:uid="{C5240639-8858-4620-950A-8E607A9A597D}" sourceName="NECESIDAD O DESEO">
  <extLst>
    <x:ext xmlns:x15="http://schemas.microsoft.com/office/spreadsheetml/2010/11/main" uri="{2F2917AC-EB37-4324-AD4E-5DD8C200BD13}">
      <x15:tableSlicerCache tableId="3" column="5"/>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LÍNEA" xr10:uid="{9EC6201F-9E3B-45C1-88EA-9204BE2A9789}" sourceName="LÍNEA OPERATIVA">
  <extLst>
    <x:ext xmlns:x15="http://schemas.microsoft.com/office/spreadsheetml/2010/11/main" uri="{2F2917AC-EB37-4324-AD4E-5DD8C200BD13}">
      <x15:tableSlicerCache tableId="4" column="11"/>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TEGORÍA1" xr10:uid="{DA435E93-B0DD-495A-9C4D-CBD87B1FB23A}" sourceName="CATEGORÍA">
  <extLst>
    <x:ext xmlns:x15="http://schemas.microsoft.com/office/spreadsheetml/2010/11/main" uri="{2F2917AC-EB37-4324-AD4E-5DD8C200BD13}">
      <x15:tableSlicerCache tableId="4" column="15"/>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FASE_DE_DESARROLLO" xr10:uid="{A964C6E6-5AD0-41EC-9190-76887BAEF5D1}" sourceName="FASE DE DESARROLLO">
  <extLst>
    <x:ext xmlns:x15="http://schemas.microsoft.com/office/spreadsheetml/2010/11/main" uri="{2F2917AC-EB37-4324-AD4E-5DD8C200BD13}">
      <x15:tableSlicerCache tableId="4"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PO DE CLIENTE" xr10:uid="{3330345D-E269-404C-978A-0024858323FF}" cache="SegmentaciónDeDatos_TIPO_DE_CLIENTE" caption="TIPO DE CLIENTE" columnCount="2" rowHeight="360000"/>
  <slicer name="NECESIDAD O DESEO" xr10:uid="{B5A6D739-657C-4D73-AA23-9CF1CA5A0302}" cache="SegmentaciónDeDatos_NECESIDAD_O_DESEO" caption="NECESIDAD O DESEO" columnCount="2" rowHeight="36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ÓDIGO" xr10:uid="{2B34115F-BDF5-4AB1-992C-569DFB4A0A00}" cache="SegmentaciónDeDatos_CÓDIGO" caption="CÓDIGO VISUAL" rowHeight="720000"/>
  <slicer name="RESPONSABLE" xr10:uid="{54D1AE2A-02A0-4E3E-8B15-9DF4D0523236}" cache="SegmentaciónDeDatos_RESPONSABLE" caption="RESPONSABLE" columnCount="2" rowHeight="540000"/>
  <slicer name="TIPO DE SERVICIO" xr10:uid="{003EC4EB-5182-4055-86AA-9A285711561D}" cache="SegmentaciónDeDatos_TIPO_DE_SERVICIO" caption="CATEGORÍA" columnCount="6" rowHeight="540000"/>
  <slicer name="SUB CATEGORÍA 1" xr10:uid="{5F2D66B6-86A1-498B-B937-403DD6C64A8F}" cache="SegmentaciónDeDatos_SUB_CATEGORÍA1" caption="SUB CATEGORÍA" columnCount="4" rowHeight="54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TOR 1" xr10:uid="{D31262DF-18B4-4DD3-8EDA-D31593C415D6}" cache="SegmentaciónDeDatos_MOTOR1" caption="CATEGORÍAS" columnCount="7" rowHeight="540000"/>
  <slicer name="CÓDIGO 1" xr10:uid="{DC1F3CBA-02C2-4B69-858E-59837A684758}" cache="SegmentaciónDeDatos_CÓDIGO1" caption="CÓDIGO DESIGN" startItem="30" columnCount="2" rowHeight="540000"/>
  <slicer name="FASES" xr10:uid="{801EA88B-43C6-45BA-AFCE-306EA145A79D}" cache="SegmentaciónDeDatos_FASES" caption="FASES DE DESARROLLO" columnCount="3" rowHeight="540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ÍNEA" xr10:uid="{E4D92836-A99D-4165-8C3D-8BD768F43B17}" cache="SegmentaciónDeDatos_LÍNEA" caption="LÍNEA OPERATIVA" columnCount="2" rowHeight="720000"/>
  <slicer name="CATEGORÍA 1" xr10:uid="{B13274B5-739C-4789-AD96-640621EE4CAE}" cache="SegmentaciónDeDatos_CATEGORÍA1" caption="CATEGORÍA" rowHeight="720000"/>
  <slicer name="FASE DE DESARROLLO" xr10:uid="{0B9BD8A4-2E7F-4ED3-B059-DB473E109281}" cache="SegmentaciónDeDatos_FASE_DE_DESARROLLO" caption="FASE DE DESARROLLO" columnCount="4" rowHeight="72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FBC9C2-E6FD-4948-957A-85535BF934CF}" name="Dolores_Deseos" displayName="Dolores_Deseos" ref="A3:I20" totalsRowShown="0" headerRowDxfId="257" dataDxfId="256">
  <autoFilter ref="A3:I20" xr:uid="{99FBC9C2-E6FD-4948-957A-85535BF934CF}"/>
  <tableColumns count="9">
    <tableColumn id="6" xr3:uid="{AC8DA120-80C6-4B22-BBAD-F4FF3593B8B4}" name="TIPO DE CLIENTE" dataDxfId="255"/>
    <tableColumn id="5" xr3:uid="{C2900287-8A64-44B8-8A7F-2CF769F74FC3}" name="NECESIDAD O DESEO" dataDxfId="254"/>
    <tableColumn id="12" xr3:uid="{800450D9-1397-4C09-BA38-3CCD0ED50F3F}" name="DOLOR O DESEO TÉCNICO" dataDxfId="253"/>
    <tableColumn id="1" xr3:uid="{CA12D8EA-BEC9-45FF-B492-6DDF60CBF1B8}" name="FEDPICA_x000a_(Emoción | Dolor | frustra, enoja, desespera, preocupa, incomoda, cansancio o angustia )" dataDxfId="252"/>
    <tableColumn id="11" xr3:uid="{80DE9AF6-88AE-4A0D-BE6E-2104411577F1}" name="CONSECUENCIA" dataDxfId="251"/>
    <tableColumn id="14" xr3:uid="{18A1E9D0-303E-4085-92E1-9E124CF59DE9}" name="INSIGHT DE SOLUCIÓN" dataDxfId="250"/>
    <tableColumn id="4" xr3:uid="{3EEF91CC-0908-4565-AD76-22D9EBDE350B}" name="LÍNEA DE SOLUCIÓN" dataDxfId="249"/>
    <tableColumn id="10" xr3:uid="{FE2DEC9B-5357-462E-9AC4-B738A84128C5}" name="PAQUETES DE SOLUCIÓN" dataDxfId="248"/>
    <tableColumn id="3" xr3:uid="{16EA3F8A-B163-4FE4-A91C-20C98279BBC7}" name="SERVICIOS_x000a_DE SOLUCIÓN" dataDxfId="247"/>
  </tableColumns>
  <tableStyleInfo name="TableStyleLight8"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25A416-F136-4E0D-89FC-58CC851711F6}" name="V.sual_Data" displayName="V.sual_Data" ref="B3:AF146" totalsRowCount="1" headerRowDxfId="246" dataDxfId="245" totalsRowDxfId="243" tableBorderDxfId="244" totalsRowBorderDxfId="242" headerRowCellStyle="Títulos">
  <autoFilter ref="B3:AF145" xr:uid="{A025A416-F136-4E0D-89FC-58CC851711F6}">
    <filterColumn colId="0">
      <filters>
        <filter val="V5.4"/>
      </filters>
    </filterColumn>
  </autoFilter>
  <sortState xmlns:xlrd2="http://schemas.microsoft.com/office/spreadsheetml/2017/richdata2" ref="B4:AF122">
    <sortCondition ref="B4:B122" customList="V1,V2,V3,V4,V5,V6,V7,V8,V9,V10,V11,V12"/>
  </sortState>
  <tableColumns count="31">
    <tableColumn id="1" xr3:uid="{B4DB8222-5632-428B-9C62-D15B6C6A91AC}" name="CÓDIGO" dataDxfId="241" totalsRowDxfId="240" dataCellStyle="Títulos"/>
    <tableColumn id="19" xr3:uid="{D72D6D7C-272D-471F-87E3-31DE8D087674}" name="CATEGORÍA" dataDxfId="239" totalsRowDxfId="238"/>
    <tableColumn id="3" xr3:uid="{B75DF2BE-6C27-4E75-9F93-F80237A10CF5}" name="SUB CATEGORÍA" dataDxfId="237" totalsRowDxfId="236"/>
    <tableColumn id="20" xr3:uid="{B8FEB6CA-300F-425C-82F4-7B4BAAE7D9F2}" name="NOMBRE DE SERVICIO" dataDxfId="235" totalsRowDxfId="234"/>
    <tableColumn id="4" xr3:uid="{2ABA2EA0-86A0-48CD-AEE9-6639370BFCAF}" name="ENTREGABLE" dataDxfId="233" totalsRowDxfId="232"/>
    <tableColumn id="7" xr3:uid="{F8BF99C4-65CE-4767-9CDF-EAC9E71EEBA2}" name="UND ENTREGABLE" dataDxfId="231" totalsRowDxfId="230"/>
    <tableColumn id="5" xr3:uid="{7AF03200-3F81-41FC-90A9-4DBA29EFA0BC}" name="CANTIDAD" dataDxfId="229" totalsRowDxfId="228"/>
    <tableColumn id="8" xr3:uid="{58D5C9F2-DE9D-44B1-93DA-1AEFAE336C69}" name="ACTIVIDADES CLAVES" dataDxfId="227" totalsRowDxfId="226"/>
    <tableColumn id="2" xr3:uid="{2F2539F8-9FC6-4421-B47E-75DF70ED770A}" name="# _x000a_ACCIONES" dataDxfId="225" totalsRowDxfId="224"/>
    <tableColumn id="9" xr3:uid="{8FF4C130-3B5B-4BDF-9CED-E396EE70E40F}" name="ACCIONES CLAVES" dataDxfId="223" totalsRowDxfId="222"/>
    <tableColumn id="10" xr3:uid="{45ACFBFC-3832-46C0-AA4D-7046FD2C9F1F}" name="RESPONSABLE" dataDxfId="221" totalsRowDxfId="220"/>
    <tableColumn id="11" xr3:uid="{8E0B6DE7-7BE2-49E4-B83F-E283D7D61B44}" name="TIEMPO (HORAS)" totalsRowFunction="custom" dataDxfId="219" totalsRowDxfId="218">
      <totalsRowFormula>SUBTOTAL(109,M4:M145)</totalsRowFormula>
    </tableColumn>
    <tableColumn id="12" xr3:uid="{14718667-BCCE-448D-946D-D7B48661F6FA}" name="HONORARIOS POR HORA ($COP)" dataDxfId="217" totalsRowDxfId="216" dataCellStyle="Totales">
      <calculatedColumnFormula>IFERROR(VLOOKUP(V.sual_Data[[#This Row],[RESPONSABLE]],Listas!$D$3:$F$7,3,FALSE),0)</calculatedColumnFormula>
    </tableColumn>
    <tableColumn id="13" xr3:uid="{5DEBB516-AA56-4ED3-9946-2A446A5BD033}" name="SUBTOTAL _x000a_HONORARIOS ($COP)" dataDxfId="215" totalsRowDxfId="214" dataCellStyle="Totales"/>
    <tableColumn id="14" xr3:uid="{D59A5830-93DC-48DF-B786-2B486DF538A0}" name="HARDWARE _x000a_($ DEPRECIACIÓN)" dataDxfId="213" totalsRowDxfId="212">
      <calculatedColumnFormula>IFERROR((VLOOKUP(V.sual_Data[[#This Row],[RESPONSABLE]],Listas!$D$3:$K$7,5,FALSE))*V.sual_Data[[#This Row],[TIEMPO (HORAS)]],0)</calculatedColumnFormula>
    </tableColumn>
    <tableColumn id="15" xr3:uid="{2D1A40DD-82FD-404C-AA29-FB845224D8EE}" name="SOFTWARE (LICENCIAS)" dataDxfId="211" totalsRowDxfId="210">
      <calculatedColumnFormula>IFERROR(+VLOOKUP(L4,V.sual_Lista_Data[[EQUIPO VISUAL]:[SOFTWARE 
VALOR HORA]],8,FALSE)*V.sual_Data[[#This Row],[TIEMPO (HORAS)]],"0")</calculatedColumnFormula>
    </tableColumn>
    <tableColumn id="16" xr3:uid="{B608BC98-7722-47BC-B17E-8428556B66BE}" name="CONSUMIBLES ($ INSUMOS)" dataDxfId="209" totalsRowDxfId="208"/>
    <tableColumn id="17" xr3:uid="{9CB08290-47E3-4B1B-BEC4-43A915CAF609}" name="SUBCONTRATOS" dataDxfId="207" totalsRowDxfId="206"/>
    <tableColumn id="18" xr3:uid="{F80B5C80-1DD6-4138-8F8E-DE03F2809A26}" name="COSTO _x000a_DIRECTO ($COP)" dataDxfId="205" totalsRowDxfId="204" dataCellStyle="Totales">
      <calculatedColumnFormula>SUM(O4:S4)</calculatedColumnFormula>
    </tableColumn>
    <tableColumn id="22" xr3:uid="{82C6A755-BA9B-4179-9F39-3E3937A601EF}" name="PRORRATEO GASTOS ($COP)" dataDxfId="203" totalsRowDxfId="202">
      <calculatedColumnFormula>V.sual_Data[[#This Row],[TIEMPO (HORAS)]]*Gastos_Operativos[[#Totals],[GASTOS HORA]]</calculatedColumnFormula>
    </tableColumn>
    <tableColumn id="29" xr3:uid="{CADB73C1-AE59-40B0-8546-4AF35D2F1F83}" name="COSTOS OPERACIONALES ($COP)" dataDxfId="201" totalsRowDxfId="200" dataCellStyle="Totales">
      <calculatedColumnFormula>V.sual_Data[[#This Row],[COSTO 
DIRECTO ($COP)]]+V.sual_Data[[#This Row],[PRORRATEO GASTOS ($COP)]]</calculatedColumnFormula>
    </tableColumn>
    <tableColumn id="23" xr3:uid="{E84B03A1-DAF6-4B75-A21B-88EB50C63F6F}" name="DESFASE (%)" totalsRowFunction="custom" dataDxfId="199" totalsRowDxfId="198">
      <totalsRowFormula>SUBTOTAL(101,W4:W145)</totalsRowFormula>
    </tableColumn>
    <tableColumn id="31" xr3:uid="{C8158A82-9F59-4DD4-B5EB-93739E7A567E}" name="DESFASE ($COP)" dataDxfId="197" totalsRowDxfId="196">
      <calculatedColumnFormula>V.sual_Data[[#This Row],[COSTOS OPERACIONALES ($COP)]]*V.sual_Data[[#This Row],[DESFASE (%)]]</calculatedColumnFormula>
    </tableColumn>
    <tableColumn id="32" xr3:uid="{4EDB9700-FDCA-4093-ADE5-3C267FBD6C4D}" name="UTILIDAD (%)" totalsRowFunction="custom" dataDxfId="195" totalsRowDxfId="194">
      <totalsRowFormula>SUBTOTAL(101,Y4:Y145)</totalsRowFormula>
    </tableColumn>
    <tableColumn id="24" xr3:uid="{1F11C6E2-808F-42C1-8CFC-530007FAA236}" name="UTILIDAD ($COP)" dataDxfId="193" totalsRowDxfId="192">
      <calculatedColumnFormula>+((V.sual_Data[[#This Row],[COSTOS OPERACIONALES ($COP)]]/(100%-V.sual_Data[[#This Row],[UTILIDAD (%)]])))-V.sual_Data[[#This Row],[COSTOS OPERACIONALES ($COP)]]</calculatedColumnFormula>
    </tableColumn>
    <tableColumn id="35" xr3:uid="{8AD5D1B0-AD51-44E9-BC15-1FEB472FED14}" name="VALOR NETO ($COP)" dataDxfId="191" totalsRowDxfId="190" dataCellStyle="Totales">
      <calculatedColumnFormula>+V.sual_Data[[#This Row],[COSTOS OPERACIONALES ($COP)]]+V.sual_Data[[#This Row],[DESFASE ($COP)]]+V.sual_Data[[#This Row],[UTILIDAD ($COP)]]</calculatedColumnFormula>
    </tableColumn>
    <tableColumn id="33" xr3:uid="{4B517016-2782-4563-90E1-0012F5EAD056}" name="MÁRGEN DE NEGOCIACIÓN (%)" dataDxfId="189" totalsRowDxfId="188"/>
    <tableColumn id="34" xr3:uid="{730E4146-473E-4286-8DFD-87C8559E43B4}" name="NEGOCIACIÓN ($COP)" dataDxfId="187" totalsRowDxfId="186">
      <calculatedColumnFormula>+((V.sual_Data[[#This Row],[VALOR NETO ($COP)]]/(100%-V.sual_Data[[#This Row],[MÁRGEN DE NEGOCIACIÓN (%)]])))-V.sual_Data[[#This Row],[VALOR NETO ($COP)]]</calculatedColumnFormula>
    </tableColumn>
    <tableColumn id="25" xr3:uid="{A14BF4B8-72A1-42E2-9BA2-5544BC626DA4}" name="ICA ($COP)" dataDxfId="185" totalsRowDxfId="184">
      <calculatedColumnFormula>+(V.sual_Data[[#This Row],[VALOR NETO ($COP)]]+V.sual_Data[[#This Row],[NEGOCIACIÓN ($COP)]])*1%</calculatedColumnFormula>
    </tableColumn>
    <tableColumn id="26" xr3:uid="{AD5B2B79-38C6-433B-BB87-3974D402A5B8}" name="4 * 1000 ($COP)" dataDxfId="183" totalsRowDxfId="182">
      <calculatedColumnFormula>+(V.sual_Data[[#This Row],[VALOR NETO ($COP)]]+V.sual_Data[[#This Row],[NEGOCIACIÓN ($COP)]])*1%</calculatedColumnFormula>
    </tableColumn>
    <tableColumn id="27" xr3:uid="{4E04E17A-9385-4836-9814-13EA202A09E6}" name="VALOR TOTAL SERVICIO ($COP)" totalsRowFunction="custom" dataDxfId="181" totalsRowDxfId="180" dataCellStyle="Totales">
      <calculatedColumnFormula>+V.sual_Data[[#This Row],[VALOR NETO ($COP)]]+V.sual_Data[[#This Row],[4 * 1000 ($COP)]]+V.sual_Data[[#This Row],[ICA ($COP)]]+V.sual_Data[[#This Row],[NEGOCIACIÓN ($COP)]]</calculatedColumnFormula>
      <totalsRowFormula>SUBTOTAL(109,AF4:AF145)</totalsRowFormula>
    </tableColumn>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10F1DDD-89A8-4D4B-A327-A1B6ABA35172}" name="Tabla7" displayName="Tabla7" ref="A3:H9" totalsRowShown="0">
  <autoFilter ref="A3:H9" xr:uid="{210F1DDD-89A8-4D4B-A327-A1B6ABA35172}">
    <filterColumn colId="1">
      <filters>
        <filter val="Maicol"/>
      </filters>
    </filterColumn>
  </autoFilter>
  <tableColumns count="8">
    <tableColumn id="1" xr3:uid="{B87FFE9F-0D35-4209-B7C1-F45856F7F425}" name="ROL"/>
    <tableColumn id="2" xr3:uid="{B986DEFB-94FC-4112-B1DB-B89A0C6F7677}" name="NOMBRE"/>
    <tableColumn id="3" xr3:uid="{AB11B6B5-191B-42C5-AE81-D1E06CCD3DCE}" name="HORAS  PROYECTADOS"/>
    <tableColumn id="4" xr3:uid="{0376DC6B-F432-4B08-A8C2-7EAC4848EF2B}" name="DÍAS  PROYECTADOS"/>
    <tableColumn id="5" xr3:uid="{8E2816C3-0432-45A2-9539-B864E834916E}" name="FECHA DE INICIO" dataDxfId="179"/>
    <tableColumn id="6" xr3:uid="{BC3D57ED-AC46-46C3-A7AF-E235C408429D}" name="FECHA FINAL PROYECTADA" dataDxfId="178"/>
    <tableColumn id="7" xr3:uid="{247C7E9C-326A-4BDD-A823-C95C39F06C33}" name="SEMANA INICIO PROYECTADA"/>
    <tableColumn id="8" xr3:uid="{6929AF99-F8E2-4A0B-BB26-58C78D4540D4}" name="SEMANA FINAL PROYECTAD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3410D4-8488-4861-8C1D-2F757B291CF4}" name="D.sign_Data" displayName="D.sign_Data" ref="B4:AG1377" totalsRowCount="1" headerRowDxfId="150" dataDxfId="149" totalsRowDxfId="147" tableBorderDxfId="148" headerRowCellStyle="Títulos">
  <autoFilter ref="B4:AG1376" xr:uid="{A025A416-F136-4E0D-89FC-58CC851711F6}">
    <filterColumn colId="1">
      <filters>
        <filter val="D6.1"/>
      </filters>
    </filterColumn>
  </autoFilter>
  <sortState xmlns:xlrd2="http://schemas.microsoft.com/office/spreadsheetml/2017/richdata2" ref="C5:AG1343">
    <sortCondition ref="C5:C1343"/>
  </sortState>
  <tableColumns count="32">
    <tableColumn id="4" xr3:uid="{AE1BBFE2-24E9-42F8-A109-5EC3B0F3EFF2}" name="FASES" totalsRowFunction="count" dataDxfId="146" totalsRowDxfId="145"/>
    <tableColumn id="1" xr3:uid="{0258D06E-5244-4F76-84A5-6685228C922C}" name="CÓDIGO" totalsRowLabel="TOTAL" dataDxfId="144" totalsRowDxfId="143" dataCellStyle="Títulos"/>
    <tableColumn id="2" xr3:uid="{91F0E7E3-D182-4A14-AC0B-23E09B60CC53}" name="CATEGORÍA" totalsRowFunction="count" dataDxfId="142" totalsRowDxfId="141">
      <calculatedColumnFormula>VLOOKUP(D.sign_Data[[#This Row],[CÓDIGO]],Descripciones[[CÓDIGO]:[NOMBRE DE SERVICIO]],3,FALSE)</calculatedColumnFormula>
    </tableColumn>
    <tableColumn id="3" xr3:uid="{E0F4423E-1820-4B5F-9ACD-07F3676DF1F3}" name="SUB CATEGORÍA" totalsRowFunction="count" dataDxfId="140" totalsRowDxfId="139"/>
    <tableColumn id="21" xr3:uid="{BEFF6CB7-AF82-4763-984F-CF24E423EDA3}" name="NOMBRE DE SERVICIO" totalsRowFunction="count" dataDxfId="138" totalsRowDxfId="137"/>
    <tableColumn id="28" xr3:uid="{6E81E191-5083-4383-96B9-E89C9E75035C}" name="ENTREGABLE" totalsRowFunction="count" dataDxfId="136" totalsRowDxfId="135"/>
    <tableColumn id="7" xr3:uid="{FA7079F0-4696-4578-8A89-D314BCF40722}" name="UND ENTREGABLE" totalsRowFunction="count" dataDxfId="134" totalsRowDxfId="133"/>
    <tableColumn id="5" xr3:uid="{5F8E1DEC-D3F1-4705-A1C6-71E7C0DD68DC}" name="CANTIDAD" totalsRowFunction="count" dataDxfId="132" totalsRowDxfId="131"/>
    <tableColumn id="8" xr3:uid="{011D8ABB-9C99-47CE-B43A-188DF0E61A95}" name="ACTIVIDADES CLAVES" totalsRowFunction="count" dataDxfId="130" totalsRowDxfId="129"/>
    <tableColumn id="19" xr3:uid="{A5329B6A-B503-4DB4-8BEB-75D0744E03D0}" name="# _x000a_ACCIONES" totalsRowFunction="count" dataDxfId="128" totalsRowDxfId="127"/>
    <tableColumn id="9" xr3:uid="{C35F45C2-03DA-447B-AB3A-AAC4D625D084}" name="ACCIONES CLAVES" totalsRowFunction="count" dataDxfId="126" totalsRowDxfId="125"/>
    <tableColumn id="10" xr3:uid="{AB7AFA26-E439-4569-8B79-284EC29C0C43}" name="RESPONSABLE" totalsRowFunction="count" dataDxfId="124" totalsRowDxfId="123"/>
    <tableColumn id="11" xr3:uid="{766A67EE-F4AC-40E7-AB13-3F2FFE03139B}" name="TIEMPO (HORAS)" totalsRowFunction="custom" dataDxfId="122" totalsRowDxfId="121">
      <totalsRowFormula>SUBTOTAL(109,N5:N1376)</totalsRowFormula>
    </tableColumn>
    <tableColumn id="12" xr3:uid="{736869FB-D41D-42CA-AD9F-065D31A0E9A7}" name="HONORARIOS POR HORA ($COP)" totalsRowFunction="sum" dataDxfId="120" totalsRowDxfId="119" dataCellStyle="Normal">
      <calculatedColumnFormula>IFERROR(+VLOOKUP(M5,D.sign_Lista_Data[[RESPONSABLE]:[SOFTWARE 
VALOR HORA]],3,FALSE),"0")</calculatedColumnFormula>
    </tableColumn>
    <tableColumn id="13" xr3:uid="{7D90D11B-CACD-4133-948C-1D31B20717CE}" name="SUBTOTAL _x000a_HONORARIOS ($COP)" totalsRowFunction="sum" totalsRowDxfId="118" dataCellStyle="Totales">
      <calculatedColumnFormula>+O5*N5</calculatedColumnFormula>
    </tableColumn>
    <tableColumn id="14" xr3:uid="{3F0272CE-26C4-42A5-B599-3C1CD30F03B1}" name="HARDWARE _x000a_($ DEPRECIACIÓN)" totalsRowFunction="sum" dataDxfId="117" totalsRowDxfId="116">
      <calculatedColumnFormula>IFERROR(+VLOOKUP(M5,D.sign_Lista_Data[[RESPONSABLE]:[SOFTWARE 
VALOR HORA]],5,FALSE)*D.sign_Data[[#This Row],[TIEMPO (HORAS)]],0)</calculatedColumnFormula>
    </tableColumn>
    <tableColumn id="15" xr3:uid="{BE43F425-2010-49DB-A983-A8E356D35C11}" name="SOFTWARE (LICENCIAS)" totalsRowFunction="sum" dataDxfId="115" totalsRowDxfId="114">
      <calculatedColumnFormula>IFERROR(+VLOOKUP(M5,D.sign_Lista_Data[[RESPONSABLE]:[SOFTWARE 
VALOR HORA]],8,FALSE)*D.sign_Data[[#This Row],[TIEMPO (HORAS)]],0)</calculatedColumnFormula>
    </tableColumn>
    <tableColumn id="16" xr3:uid="{BC7033D0-CB40-4AF1-9120-0B4519456E16}" name="CONSUMIBLES ($ INSUMOS)" totalsRowFunction="sum" dataDxfId="113" totalsRowDxfId="112"/>
    <tableColumn id="17" xr3:uid="{65BC4E7D-D489-487D-9664-7A3725B41DC0}" name="SUBCONTRATOS" totalsRowFunction="sum" dataDxfId="111" totalsRowDxfId="110"/>
    <tableColumn id="18" xr3:uid="{9D407EB3-B12D-4284-A4EB-A1EF2402823F}" name="COSTO _x000a_DIRECTO ($COP)" totalsRowFunction="sum" totalsRowDxfId="109" dataCellStyle="Totales">
      <calculatedColumnFormula>SUM(P5:T5)</calculatedColumnFormula>
    </tableColumn>
    <tableColumn id="22" xr3:uid="{56894C63-0C22-46F1-9990-68EBC1AA5AB0}" name="PRORRATEO GASTOS ($COP)" totalsRowFunction="count" dataDxfId="108" totalsRowDxfId="107">
      <calculatedColumnFormula>D.sign_Data[[#This Row],[TIEMPO (HORAS)]]*Gastos_Operativos[[#Totals],[GASTOS HORA]]</calculatedColumnFormula>
    </tableColumn>
    <tableColumn id="29" xr3:uid="{73BC2DAE-4270-4BF2-BE1F-9782BEE42336}" name="COSTOS OPERACIONALES ($COP)" totalsRowFunction="sum" dataDxfId="106" totalsRowDxfId="105" dataCellStyle="Totales">
      <calculatedColumnFormula>+D.sign_Data[[#This Row],[COSTO 
DIRECTO ($COP)]]+D.sign_Data[[#This Row],[PRORRATEO GASTOS ($COP)]]</calculatedColumnFormula>
    </tableColumn>
    <tableColumn id="23" xr3:uid="{274CB19D-3505-4C98-A210-CA70CEAC28D1}" name="DESFASE (%)" totalsRowFunction="average" dataDxfId="104" totalsRowDxfId="103"/>
    <tableColumn id="31" xr3:uid="{6504A012-F051-4987-9CA9-3139F4F7CA7C}" name="DESFASE ($COP)" totalsRowFunction="sum" dataDxfId="102" totalsRowDxfId="101">
      <calculatedColumnFormula>+D.sign_Data[[#This Row],[COSTOS OPERACIONALES ($COP)]]*D.sign_Data[[#This Row],[DESFASE (%)]]</calculatedColumnFormula>
    </tableColumn>
    <tableColumn id="32" xr3:uid="{FA59A861-F6A5-4F10-9CDB-42741AB4F9F4}" name="UTILIDAD (%)" totalsRowFunction="average" dataDxfId="100" totalsRowDxfId="99"/>
    <tableColumn id="24" xr3:uid="{F920E8EE-ED2C-472B-A2B9-BC6A44F20000}" name="UTILIDAD ($COP)" totalsRowFunction="sum" dataDxfId="98" totalsRowDxfId="97">
      <calculatedColumnFormula>+((D.sign_Data[[#This Row],[COSTOS OPERACIONALES ($COP)]]/(100%-D.sign_Data[[#This Row],[UTILIDAD (%)]])))-D.sign_Data[[#This Row],[COSTOS OPERACIONALES ($COP)]]</calculatedColumnFormula>
    </tableColumn>
    <tableColumn id="35" xr3:uid="{25A19346-8819-4355-A7CB-E9A1CAE75D01}" name="VALOR NETO ($COP)" totalsRowFunction="sum" dataDxfId="96" totalsRowDxfId="95" dataCellStyle="Totales">
      <calculatedColumnFormula>+D.sign_Data[[#This Row],[COSTOS OPERACIONALES ($COP)]]+D.sign_Data[[#This Row],[DESFASE ($COP)]]+D.sign_Data[[#This Row],[UTILIDAD ($COP)]]</calculatedColumnFormula>
    </tableColumn>
    <tableColumn id="33" xr3:uid="{8B571B1C-FB4A-42A6-B773-B368AC032B1A}" name="MARGEN DE NEGOCIACIÓN (%)" totalsRowFunction="average" dataDxfId="94" totalsRowDxfId="93"/>
    <tableColumn id="34" xr3:uid="{91E66338-EFC1-4E09-9653-0DC439FB4477}" name="NEGOCIACIÓN ($COP)" totalsRowFunction="sum" dataDxfId="92" totalsRowDxfId="91">
      <calculatedColumnFormula>+D.sign_Data[[#This Row],[VALOR NETO ($COP)]]/(100%-D.sign_Data[[#This Row],[MARGEN DE NEGOCIACIÓN (%)]])-D.sign_Data[[#This Row],[VALOR NETO ($COP)]]</calculatedColumnFormula>
    </tableColumn>
    <tableColumn id="25" xr3:uid="{E1DFC3A0-BC9C-4FFE-A847-85127DFB407D}" name="ICA ($COP)" totalsRowFunction="sum" dataDxfId="90" totalsRowDxfId="89">
      <calculatedColumnFormula>+(D.sign_Data[[#This Row],[VALOR NETO ($COP)]]+D.sign_Data[[#This Row],[NEGOCIACIÓN ($COP)]])*1%</calculatedColumnFormula>
    </tableColumn>
    <tableColumn id="26" xr3:uid="{567B6F52-379E-47A4-A9E3-7D743702D386}" name="4 * 1000 ($COP)" totalsRowFunction="sum" dataDxfId="88" totalsRowDxfId="87">
      <calculatedColumnFormula>+(D.sign_Data[[#This Row],[VALOR NETO ($COP)]]+D.sign_Data[[#This Row],[NEGOCIACIÓN ($COP)]])*1%</calculatedColumnFormula>
    </tableColumn>
    <tableColumn id="27" xr3:uid="{453A98D4-9D75-4955-8E91-6AC6DFF9A245}" name="VALOR TOTAL SERVICIO ($COP)" totalsRowFunction="sum" totalsRowDxfId="86" dataCellStyle="Totales">
      <calculatedColumnFormula>+D.sign_Data[[#This Row],[VALOR NETO ($COP)]]+D.sign_Data[[#This Row],[NEGOCIACIÓN ($COP)]]+D.sign_Data[[#This Row],[ICA ($COP)]]+D.sign_Data[[#This Row],[4 * 1000 ($COP)]]</calculatedColumnFormula>
    </tableColumn>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5C05C89-EFCC-461E-969D-519DC6BE52CC}" name="D.sign_Lista_Data" displayName="D.sign_Lista_Data" ref="A12:K23" totalsRowCount="1" headerRowDxfId="85" dataDxfId="84" totalsRowDxfId="83">
  <autoFilter ref="A12:K22" xr:uid="{A5C05C89-EFCC-461E-969D-519DC6BE52CC}"/>
  <tableColumns count="11">
    <tableColumn id="1" xr3:uid="{D4A27A21-2269-4F84-8EF0-B4D2011F4AE1}" name="CATEGORÍA" totalsRowFunction="count" dataDxfId="82" totalsRowDxfId="81"/>
    <tableColumn id="2" xr3:uid="{4FCF2F98-F091-4375-AF34-98D6299D5CB2}" name="SUB CATEGORÍA" totalsRowFunction="count" dataDxfId="80" totalsRowDxfId="79"/>
    <tableColumn id="3" xr3:uid="{78C4EF93-8D43-4950-9978-E60719DCDA77}" name="FASES" totalsRowFunction="count" dataDxfId="78" totalsRowDxfId="77"/>
    <tableColumn id="4" xr3:uid="{62E68DEB-9762-47B1-BC79-05CFB159C186}" name="RESPONSABLE" totalsRowFunction="count" dataDxfId="76" totalsRowDxfId="75"/>
    <tableColumn id="5" xr3:uid="{6BCD390B-886D-4C5D-8A32-CBA2ECB39543}" name="HONORARIOS MENSUALES" totalsRowFunction="sum" dataDxfId="74" totalsRowDxfId="73"/>
    <tableColumn id="6" xr3:uid="{93404486-C1D8-4365-808E-9E9E1223D14D}" name="HONORARIOS _x000a_HORA" totalsRowFunction="sum" dataDxfId="72" totalsRowDxfId="71"/>
    <tableColumn id="7" xr3:uid="{875EAC02-2016-4B88-B224-BE490A9A16DC}" name="VALOR HARDWARE" totalsRowFunction="sum" dataDxfId="70" totalsRowDxfId="69"/>
    <tableColumn id="8" xr3:uid="{5D730434-8AC5-4CF6-88A6-BA5B024CE7FF}" name="HARDWARE _x000a_($ DEPRECIACIÓN)" totalsRowFunction="sum" dataDxfId="68" totalsRowDxfId="67"/>
    <tableColumn id="9" xr3:uid="{190FD085-DD31-420C-ACC3-9BC4989534C3}" name="SOFTWARE" totalsRowFunction="count" dataDxfId="66" totalsRowDxfId="65"/>
    <tableColumn id="10" xr3:uid="{C99E0505-0AC8-407A-B8C2-7C92CDA5A38C}" name="SOFTWARE_x000a_VALOR ANUAL" totalsRowFunction="sum" dataDxfId="64" totalsRowDxfId="63"/>
    <tableColumn id="11" xr3:uid="{1A305FA2-B7A9-4EEF-A0C0-F2FE2C947700}" name="SOFTWARE _x000a_VALOR HORA" totalsRowFunction="sum" dataDxfId="62" totalsRowDxfId="61">
      <calculatedColumnFormula>+$J$23/12/21/9.4/3</calculatedColumnFormula>
    </tableColumn>
  </tableColumns>
  <tableStyleInfo name="Estilo de tabla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6E0195A-DFAA-4BAC-9731-4FFB6232E844}" name="V.sual_Lista_Data" displayName="V.sual_Lista_Data" ref="A2:K9" totalsRowCount="1" headerRowDxfId="60" dataDxfId="59" totalsRowDxfId="57" tableBorderDxfId="58">
  <autoFilter ref="A2:K8" xr:uid="{46E0195A-DFAA-4BAC-9731-4FFB6232E844}"/>
  <tableColumns count="11">
    <tableColumn id="1" xr3:uid="{70A23F58-C330-44B9-9E8E-2C4846159034}" name="MOTOR" totalsRowLabel="Total" dataDxfId="56" totalsRowDxfId="55"/>
    <tableColumn id="12" xr3:uid="{54C1C894-289F-493B-A4EB-F5147FD0F536}" name="CATEGORÍA" dataDxfId="54" totalsRowDxfId="53"/>
    <tableColumn id="2" xr3:uid="{66124131-B2F7-4FAD-888B-C66F8D623CEE}" name="SUB CATEGORÍA" totalsRowFunction="count" dataDxfId="52" totalsRowDxfId="51"/>
    <tableColumn id="4" xr3:uid="{2382060D-8A4E-4345-AB37-0AC3FF277E33}" name="EQUIPO VISUAL" totalsRowFunction="count" dataDxfId="50" totalsRowDxfId="49"/>
    <tableColumn id="5" xr3:uid="{03E371B4-736A-4552-B852-76F8834AB05D}" name="HONORARIOS MENSUALES" totalsRowFunction="sum" dataDxfId="48" totalsRowDxfId="47"/>
    <tableColumn id="6" xr3:uid="{0525DF6F-05BE-44D1-BC63-ECACDF86F08B}" name="HONORARIOS _x000a_HORA" totalsRowFunction="sum" dataDxfId="46" totalsRowDxfId="45"/>
    <tableColumn id="7" xr3:uid="{FC955827-4E4D-41A5-B397-80B449677BFF}" name="VALOR HARDWARE" totalsRowFunction="sum" dataDxfId="44" totalsRowDxfId="43"/>
    <tableColumn id="8" xr3:uid="{3C6CD146-0851-46AA-A5D1-B6B1A3B7F837}" name="HARDWARE _x000a_($ DEPRECIACIÓN)" totalsRowFunction="sum" dataDxfId="42" totalsRowDxfId="41"/>
    <tableColumn id="9" xr3:uid="{630B3AA5-3C26-4AE9-B9E3-1A6A4C9FFEAE}" name="SOFTWARE" totalsRowFunction="count" dataDxfId="40" totalsRowDxfId="39"/>
    <tableColumn id="10" xr3:uid="{E0B2F464-5399-4B2A-A6EF-3416C01CE124}" name="SOFTWARE _x000a_VALOR ANUAL" totalsRowFunction="sum" dataDxfId="38" totalsRowDxfId="37"/>
    <tableColumn id="11" xr3:uid="{02C8D620-7FE9-440A-9ABB-20A99717C5E7}" name="SOFTWARE _x000a_VALOR HORA" totalsRowFunction="sum" dataDxfId="36" totalsRowDxfId="35">
      <calculatedColumnFormula>+$J$9/12/21/9.4/3</calculatedColumnFormula>
    </tableColumn>
  </tableColumns>
  <tableStyleInfo name="Estilo de tabla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CAA4FCD-3B49-41DC-9B52-ACC35A7B30E0}" name="Gastos_Operativos" displayName="Gastos_Operativos" ref="C25:E29" totalsRowCount="1" headerRowDxfId="34" dataDxfId="33" totalsRowDxfId="32">
  <autoFilter ref="C25:E28" xr:uid="{ECAA4FCD-3B49-41DC-9B52-ACC35A7B30E0}"/>
  <tableColumns count="3">
    <tableColumn id="1" xr3:uid="{F956FB6A-0A43-4CCE-959B-1BF74A74A982}" name="TIPO DE GASTO" totalsRowLabel="Total" dataDxfId="31" totalsRowDxfId="30"/>
    <tableColumn id="2" xr3:uid="{5DCEFA20-0431-42F9-82F1-359240A160C0}" name="GASTOS MENSUALES" totalsRowFunction="sum" dataDxfId="29" totalsRowDxfId="28"/>
    <tableColumn id="3" xr3:uid="{F4B45F24-7845-4965-8B50-F9DCC1E32C2A}" name="GASTOS HORA" totalsRowFunction="sum" dataDxfId="27" totalsRowDxfId="26">
      <calculatedColumnFormula>+Gastos_Operativos[[#This Row],[GASTOS MENSUALES]]/21/9/6</calculatedColumnFormula>
    </tableColumn>
  </tableColumns>
  <tableStyleInfo name="Estilo de tabla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1AA65F2-B185-4D4A-BEAD-A185E4768D2D}" name="Categorías_de_proyectos" displayName="Categorías_de_proyectos" ref="M2:N12" headerRowDxfId="25" tableBorderDxfId="24">
  <autoFilter ref="M2:N12" xr:uid="{B1AA65F2-B185-4D4A-BEAD-A185E4768D2D}"/>
  <tableColumns count="2">
    <tableColumn id="1" xr3:uid="{E97155EF-0F6C-43AA-BDBF-C8F97F7F646E}" name="CÓDIGO DE CATEGORÍA" totalsRowLabel="Total" dataDxfId="23" totalsRowDxfId="22"/>
    <tableColumn id="2" xr3:uid="{B3C5958A-F7C5-4CC9-A8C3-9A0EA8D777B0}" name="CATEGORÍAS DE PROYECTOS" totalsRowFunction="count" dataDxfId="21" totalsRowDxfId="20"/>
  </tableColumns>
  <tableStyleInfo name="TableStyleLight8"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A2F8A1-4CFE-47C4-A031-ED5500DF642B}" name="Descripciones" displayName="Descripciones" ref="C2:K91" totalsRowCount="1" headerRowDxfId="19" totalsRowDxfId="18">
  <autoFilter ref="C2:K90" xr:uid="{6CA2F8A1-4CFE-47C4-A031-ED5500DF642B}">
    <filterColumn colId="0" hiddenButton="1">
      <filters>
        <filter val="D"/>
      </filters>
    </filterColumn>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C19:K68">
    <sortCondition ref="D2:D68"/>
  </sortState>
  <tableColumns count="9">
    <tableColumn id="11" xr3:uid="{5E5991AA-E243-42A8-A50A-8F0897DBAF6C}" name="LÍNEA OPERATIVA" totalsRowFunction="count" dataDxfId="17" totalsRowDxfId="16"/>
    <tableColumn id="7" xr3:uid="{EF1FBF52-3285-412E-94AC-66D8D9E23606}" name="COD. CAT" totalsRowFunction="count" dataDxfId="15" totalsRowDxfId="14">
      <calculatedColumnFormula>VLOOKUP(Descripciones[[#This Row],[CATEGORÍA]],$L$3:$M$29,2,FALSE)</calculatedColumnFormula>
    </tableColumn>
    <tableColumn id="10" xr3:uid="{C47CBA4E-F536-4FD6-8618-6328F9704C6A}" name="#" totalsRowFunction="count" dataDxfId="13" totalsRowDxfId="12"/>
    <tableColumn id="9" xr3:uid="{23B21001-6707-4481-996E-DD54BDE2DBD3}" name="CÓDIGO" totalsRowFunction="count" dataDxfId="11" totalsRowDxfId="10">
      <calculatedColumnFormula>+_xlfn.CONCAT(Descripciones[[#This Row],[LÍNEA OPERATIVA]],Descripciones[[#This Row],[COD. CAT]],".",Descripciones[[#This Row],['#]])</calculatedColumnFormula>
    </tableColumn>
    <tableColumn id="8" xr3:uid="{719DC899-89E6-4D9E-ABB3-F6E08C2B86A1}" name="CÓDIGOS 2024" totalsRowFunction="count" dataDxfId="9" totalsRowDxfId="8"/>
    <tableColumn id="15" xr3:uid="{4D61C30A-0EA9-451F-9360-AABC09C75004}" name="CATEGORÍA" totalsRowFunction="count" dataDxfId="7" totalsRowDxfId="6"/>
    <tableColumn id="1" xr3:uid="{AC59EEE0-1095-4A60-AA85-89C205E2D2BF}" name="FASE DE DESARROLLO" totalsRowFunction="count" dataDxfId="5" totalsRowDxfId="4"/>
    <tableColumn id="2" xr3:uid="{48971F7D-F9C9-4EFB-9ADE-BE1161B696A4}" name="NOMBRE DE SERVICIO" totalsRowFunction="count" dataDxfId="3" totalsRowDxfId="2"/>
    <tableColumn id="3" xr3:uid="{15BEA202-A125-44CC-9EAE-BC5A6E7CC311}" name="DESCRIPCIÓN" totalsRowFunction="count" dataDxfId="1" totalsRowDxfId="0"/>
  </tableColumns>
  <tableStyleInfo name="Estilo de tabla 1"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rota"/>
        <a:ea typeface="rota"/>
        <a:cs typeface="rota"/>
      </a:majorFont>
      <a:minorFont>
        <a:latin typeface="rota"/>
        <a:ea typeface="rota"/>
        <a:cs typeface="rot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drive.google.com/open?id=1WgfE3zTeGx9hfRcKx4gaRcOuAFB9ZaLD&amp;usp=drive_fs" TargetMode="External"/><Relationship Id="rId5" Type="http://schemas.microsoft.com/office/2007/relationships/slicer" Target="../slicers/slicer3.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C51AB-6274-4A9B-B5C6-0D90E6003923}">
  <sheetPr codeName="Hoja1">
    <tabColor theme="1"/>
  </sheetPr>
  <dimension ref="A1:I20"/>
  <sheetViews>
    <sheetView zoomScale="70" zoomScaleNormal="70" workbookViewId="0">
      <selection activeCell="A5" sqref="A5"/>
    </sheetView>
  </sheetViews>
  <sheetFormatPr baseColWidth="10" defaultColWidth="11.109375" defaultRowHeight="15" x14ac:dyDescent="0.25"/>
  <cols>
    <col min="1" max="1" width="19.6640625" style="107" bestFit="1" customWidth="1"/>
    <col min="2" max="2" width="23.6640625" style="107" bestFit="1" customWidth="1"/>
    <col min="3" max="3" width="28.44140625" style="107" bestFit="1" customWidth="1"/>
    <col min="4" max="4" width="26.33203125" style="107" bestFit="1" customWidth="1"/>
    <col min="5" max="5" width="30.109375" style="107" customWidth="1"/>
    <col min="6" max="6" width="26.44140625" style="107" bestFit="1" customWidth="1"/>
    <col min="7" max="7" width="27.6640625" style="107" bestFit="1" customWidth="1"/>
    <col min="8" max="8" width="14.33203125" style="107" bestFit="1" customWidth="1"/>
    <col min="9" max="9" width="14.44140625" style="107" bestFit="1" customWidth="1"/>
    <col min="10" max="16384" width="11.109375" style="107"/>
  </cols>
  <sheetData>
    <row r="1" spans="1:9" ht="82.9" customHeight="1" x14ac:dyDescent="0.25">
      <c r="A1" s="106"/>
      <c r="B1" s="106"/>
      <c r="C1" s="106"/>
      <c r="D1" s="106"/>
      <c r="E1" s="106"/>
      <c r="F1" s="106"/>
      <c r="G1" s="106"/>
      <c r="H1" s="106"/>
      <c r="I1" s="106"/>
    </row>
    <row r="3" spans="1:9" s="112" customFormat="1" ht="60" customHeight="1" x14ac:dyDescent="0.3">
      <c r="A3" s="124" t="s">
        <v>0</v>
      </c>
      <c r="B3" s="124" t="s">
        <v>1</v>
      </c>
      <c r="C3" s="124" t="s">
        <v>2</v>
      </c>
      <c r="D3" s="124" t="s">
        <v>3</v>
      </c>
      <c r="E3" s="124" t="s">
        <v>4</v>
      </c>
      <c r="F3" s="125" t="s">
        <v>5</v>
      </c>
      <c r="G3" s="125" t="s">
        <v>6</v>
      </c>
      <c r="H3" s="125" t="s">
        <v>7</v>
      </c>
      <c r="I3" s="125" t="s">
        <v>8</v>
      </c>
    </row>
    <row r="4" spans="1:9" ht="75" x14ac:dyDescent="0.25">
      <c r="A4" s="109" t="s">
        <v>9</v>
      </c>
      <c r="B4" s="109" t="s">
        <v>10</v>
      </c>
      <c r="C4" s="111"/>
      <c r="D4" s="110" t="s">
        <v>11</v>
      </c>
      <c r="E4" s="110"/>
      <c r="F4" s="110"/>
      <c r="G4" s="111" t="s">
        <v>12</v>
      </c>
      <c r="H4" s="115" t="s">
        <v>13</v>
      </c>
      <c r="I4" s="108" t="s">
        <v>14</v>
      </c>
    </row>
    <row r="5" spans="1:9" ht="45" x14ac:dyDescent="0.25">
      <c r="A5" s="109" t="s">
        <v>9</v>
      </c>
      <c r="B5" s="109" t="s">
        <v>10</v>
      </c>
      <c r="C5" s="111"/>
      <c r="D5" s="110" t="s">
        <v>15</v>
      </c>
      <c r="E5" s="110"/>
      <c r="F5" s="110"/>
      <c r="G5" s="111" t="s">
        <v>12</v>
      </c>
      <c r="H5" s="115"/>
      <c r="I5" s="108" t="s">
        <v>16</v>
      </c>
    </row>
    <row r="6" spans="1:9" ht="60" x14ac:dyDescent="0.25">
      <c r="A6" s="109" t="s">
        <v>9</v>
      </c>
      <c r="B6" s="109" t="s">
        <v>10</v>
      </c>
      <c r="C6" s="111"/>
      <c r="D6" s="105" t="s">
        <v>17</v>
      </c>
      <c r="E6" s="105"/>
      <c r="F6" s="105"/>
      <c r="G6" s="111" t="s">
        <v>12</v>
      </c>
      <c r="H6" s="115"/>
      <c r="I6" s="108" t="s">
        <v>18</v>
      </c>
    </row>
    <row r="7" spans="1:9" ht="88.5" customHeight="1" x14ac:dyDescent="0.25">
      <c r="A7" s="109" t="s">
        <v>9</v>
      </c>
      <c r="B7" s="109" t="s">
        <v>10</v>
      </c>
      <c r="C7" s="111" t="s">
        <v>19</v>
      </c>
      <c r="D7" s="110" t="s">
        <v>20</v>
      </c>
      <c r="E7" s="110" t="s">
        <v>21</v>
      </c>
      <c r="F7" s="110" t="s">
        <v>22</v>
      </c>
      <c r="G7" s="111" t="s">
        <v>12</v>
      </c>
      <c r="H7" s="111"/>
      <c r="I7" s="108"/>
    </row>
    <row r="8" spans="1:9" ht="144" customHeight="1" x14ac:dyDescent="0.25">
      <c r="A8" s="109" t="s">
        <v>9</v>
      </c>
      <c r="B8" s="109" t="s">
        <v>10</v>
      </c>
      <c r="C8" s="111" t="s">
        <v>23</v>
      </c>
      <c r="D8" s="110" t="s">
        <v>24</v>
      </c>
      <c r="E8" s="110" t="s">
        <v>25</v>
      </c>
      <c r="F8" s="110" t="s">
        <v>26</v>
      </c>
      <c r="G8" s="111" t="s">
        <v>12</v>
      </c>
      <c r="H8" s="111"/>
      <c r="I8" s="108"/>
    </row>
    <row r="9" spans="1:9" ht="120" customHeight="1" x14ac:dyDescent="0.25">
      <c r="A9" s="109" t="s">
        <v>9</v>
      </c>
      <c r="B9" s="109" t="s">
        <v>10</v>
      </c>
      <c r="C9" s="111" t="s">
        <v>27</v>
      </c>
      <c r="D9" s="110" t="s">
        <v>28</v>
      </c>
      <c r="E9" s="110" t="s">
        <v>29</v>
      </c>
      <c r="F9" s="110" t="s">
        <v>30</v>
      </c>
      <c r="G9" s="111" t="s">
        <v>12</v>
      </c>
      <c r="H9" s="111"/>
      <c r="I9" s="108"/>
    </row>
    <row r="10" spans="1:9" ht="90" x14ac:dyDescent="0.25">
      <c r="A10" s="109" t="s">
        <v>9</v>
      </c>
      <c r="B10" s="109" t="s">
        <v>10</v>
      </c>
      <c r="C10" s="111" t="s">
        <v>31</v>
      </c>
      <c r="D10" s="110" t="s">
        <v>32</v>
      </c>
      <c r="E10" s="110" t="s">
        <v>33</v>
      </c>
      <c r="F10" s="110" t="s">
        <v>34</v>
      </c>
      <c r="G10" s="111" t="s">
        <v>35</v>
      </c>
      <c r="H10" s="111"/>
      <c r="I10" s="108"/>
    </row>
    <row r="11" spans="1:9" ht="90" x14ac:dyDescent="0.25">
      <c r="A11" s="109" t="s">
        <v>9</v>
      </c>
      <c r="B11" s="109" t="s">
        <v>10</v>
      </c>
      <c r="C11" s="111" t="s">
        <v>36</v>
      </c>
      <c r="D11" s="110" t="s">
        <v>37</v>
      </c>
      <c r="E11" s="110" t="s">
        <v>38</v>
      </c>
      <c r="F11" s="110" t="s">
        <v>39</v>
      </c>
      <c r="G11" s="111" t="s">
        <v>35</v>
      </c>
      <c r="H11" s="111"/>
      <c r="I11" s="108"/>
    </row>
    <row r="12" spans="1:9" ht="120" x14ac:dyDescent="0.25">
      <c r="A12" s="109" t="s">
        <v>9</v>
      </c>
      <c r="B12" s="109" t="s">
        <v>10</v>
      </c>
      <c r="C12" s="111" t="s">
        <v>40</v>
      </c>
      <c r="D12" s="110" t="s">
        <v>41</v>
      </c>
      <c r="E12" s="110" t="s">
        <v>42</v>
      </c>
      <c r="F12" s="110" t="s">
        <v>43</v>
      </c>
      <c r="G12" s="111" t="s">
        <v>12</v>
      </c>
      <c r="H12" s="111"/>
      <c r="I12" s="108"/>
    </row>
    <row r="13" spans="1:9" ht="90" x14ac:dyDescent="0.25">
      <c r="A13" s="109" t="s">
        <v>9</v>
      </c>
      <c r="B13" s="109" t="s">
        <v>10</v>
      </c>
      <c r="C13" s="111" t="s">
        <v>44</v>
      </c>
      <c r="D13" s="111" t="s">
        <v>45</v>
      </c>
      <c r="E13" s="110" t="s">
        <v>46</v>
      </c>
      <c r="F13" s="110" t="s">
        <v>47</v>
      </c>
      <c r="G13" s="111" t="s">
        <v>12</v>
      </c>
      <c r="H13" s="111"/>
      <c r="I13" s="108"/>
    </row>
    <row r="14" spans="1:9" ht="90" x14ac:dyDescent="0.25">
      <c r="A14" s="109" t="s">
        <v>9</v>
      </c>
      <c r="B14" s="109" t="s">
        <v>10</v>
      </c>
      <c r="C14" s="111" t="s">
        <v>48</v>
      </c>
      <c r="D14" s="110" t="s">
        <v>49</v>
      </c>
      <c r="E14" s="110" t="s">
        <v>50</v>
      </c>
      <c r="F14" s="110" t="s">
        <v>39</v>
      </c>
      <c r="G14" s="111" t="s">
        <v>35</v>
      </c>
      <c r="H14" s="111"/>
      <c r="I14" s="108"/>
    </row>
    <row r="15" spans="1:9" ht="105" x14ac:dyDescent="0.25">
      <c r="A15" s="109" t="s">
        <v>9</v>
      </c>
      <c r="B15" s="109" t="s">
        <v>10</v>
      </c>
      <c r="C15" s="111" t="s">
        <v>51</v>
      </c>
      <c r="D15" s="110" t="s">
        <v>52</v>
      </c>
      <c r="E15" s="110" t="s">
        <v>53</v>
      </c>
      <c r="F15" s="110" t="s">
        <v>54</v>
      </c>
      <c r="G15" s="111" t="s">
        <v>35</v>
      </c>
      <c r="H15" s="111"/>
      <c r="I15" s="108"/>
    </row>
    <row r="16" spans="1:9" ht="75" x14ac:dyDescent="0.25">
      <c r="A16" s="109" t="s">
        <v>55</v>
      </c>
      <c r="B16" s="109" t="s">
        <v>10</v>
      </c>
      <c r="C16" s="111" t="s">
        <v>56</v>
      </c>
      <c r="D16" s="105" t="s">
        <v>57</v>
      </c>
      <c r="E16" s="105" t="s">
        <v>58</v>
      </c>
      <c r="F16" s="105" t="s">
        <v>59</v>
      </c>
      <c r="G16" s="111" t="s">
        <v>12</v>
      </c>
      <c r="H16" s="115"/>
      <c r="I16" s="108" t="s">
        <v>60</v>
      </c>
    </row>
    <row r="17" spans="1:9" ht="60" x14ac:dyDescent="0.25">
      <c r="A17" s="109" t="s">
        <v>55</v>
      </c>
      <c r="B17" s="109" t="s">
        <v>10</v>
      </c>
      <c r="C17" s="111" t="s">
        <v>61</v>
      </c>
      <c r="D17" s="110" t="s">
        <v>62</v>
      </c>
      <c r="E17" s="110" t="s">
        <v>63</v>
      </c>
      <c r="F17" s="110" t="s">
        <v>64</v>
      </c>
      <c r="G17" s="111" t="s">
        <v>65</v>
      </c>
      <c r="H17" s="115"/>
      <c r="I17" s="108" t="s">
        <v>66</v>
      </c>
    </row>
    <row r="18" spans="1:9" ht="75" x14ac:dyDescent="0.25">
      <c r="A18" s="113" t="s">
        <v>55</v>
      </c>
      <c r="B18" s="113" t="s">
        <v>10</v>
      </c>
      <c r="C18" s="111" t="s">
        <v>67</v>
      </c>
      <c r="D18" s="110" t="s">
        <v>68</v>
      </c>
      <c r="E18" s="110"/>
      <c r="F18" s="110"/>
      <c r="G18" s="114" t="s">
        <v>12</v>
      </c>
      <c r="H18" s="116"/>
      <c r="I18" s="108" t="s">
        <v>69</v>
      </c>
    </row>
    <row r="19" spans="1:9" ht="90" x14ac:dyDescent="0.25">
      <c r="A19" s="109" t="s">
        <v>55</v>
      </c>
      <c r="B19" s="109" t="s">
        <v>70</v>
      </c>
      <c r="C19" s="111" t="s">
        <v>71</v>
      </c>
      <c r="D19" s="110" t="s">
        <v>72</v>
      </c>
      <c r="E19" s="110"/>
      <c r="F19" s="110"/>
      <c r="G19" s="111" t="s">
        <v>12</v>
      </c>
      <c r="H19" s="117"/>
      <c r="I19" s="108" t="s">
        <v>73</v>
      </c>
    </row>
    <row r="20" spans="1:9" ht="90" x14ac:dyDescent="0.25">
      <c r="A20" s="109" t="s">
        <v>55</v>
      </c>
      <c r="B20" s="109" t="s">
        <v>10</v>
      </c>
      <c r="C20" s="111" t="s">
        <v>74</v>
      </c>
      <c r="D20" s="110" t="s">
        <v>75</v>
      </c>
      <c r="E20" s="110"/>
      <c r="F20" s="110"/>
      <c r="G20" s="111" t="s">
        <v>12</v>
      </c>
      <c r="H20" s="117"/>
      <c r="I20" s="108" t="s">
        <v>76</v>
      </c>
    </row>
  </sheetData>
  <phoneticPr fontId="23" type="noConversion"/>
  <dataValidations count="3">
    <dataValidation type="list" allowBlank="1" showInputMessage="1" showErrorMessage="1" sqref="B4:B20" xr:uid="{CE248424-3AD9-4BF9-9DB0-88696924EBD3}">
      <formula1>"Necesidad,Deseo"</formula1>
    </dataValidation>
    <dataValidation type="list" allowBlank="1" showInputMessage="1" showErrorMessage="1" sqref="G4:G20" xr:uid="{AF587606-FE83-4ADB-BBFF-4BF2C1658807}">
      <formula1>"D.sign,V.sual,Sales"</formula1>
    </dataValidation>
    <dataValidation type="list" allowBlank="1" showInputMessage="1" showErrorMessage="1" sqref="A4:A20" xr:uid="{A4B970C8-AD19-4F89-808F-DF6E1E1E25AD}">
      <formula1>"B2B,B2C"</formula1>
    </dataValidation>
  </dataValidations>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1"/>
    <pageSetUpPr fitToPage="1"/>
  </sheetPr>
  <dimension ref="A1:AJ148"/>
  <sheetViews>
    <sheetView tabSelected="1" topLeftCell="I135" zoomScale="55" zoomScaleNormal="55" workbookViewId="0">
      <selection activeCell="B1" sqref="B1"/>
    </sheetView>
  </sheetViews>
  <sheetFormatPr baseColWidth="10" defaultColWidth="11.33203125" defaultRowHeight="27.75" x14ac:dyDescent="0.25"/>
  <cols>
    <col min="1" max="1" width="44.109375" style="4" customWidth="1"/>
    <col min="2" max="2" width="15.109375" style="35" bestFit="1" customWidth="1"/>
    <col min="3" max="3" width="19" style="5" bestFit="1" customWidth="1"/>
    <col min="4" max="4" width="21.88671875" style="5" bestFit="1" customWidth="1"/>
    <col min="5" max="5" width="28.6640625" style="20" bestFit="1" customWidth="1"/>
    <col min="6" max="6" width="21.88671875" style="5" bestFit="1" customWidth="1"/>
    <col min="7" max="7" width="25.109375" style="4" bestFit="1" customWidth="1"/>
    <col min="8" max="8" width="17.44140625" style="2" bestFit="1" customWidth="1"/>
    <col min="9" max="9" width="20.44140625" style="5" bestFit="1" customWidth="1"/>
    <col min="10" max="10" width="17.109375" style="4" bestFit="1" customWidth="1"/>
    <col min="11" max="11" width="97.109375" style="4" customWidth="1"/>
    <col min="12" max="12" width="21.44140625" style="5" bestFit="1" customWidth="1"/>
    <col min="13" max="13" width="23.88671875" style="5" bestFit="1" customWidth="1"/>
    <col min="14" max="14" width="25.33203125" style="11" bestFit="1" customWidth="1"/>
    <col min="15" max="15" width="33.109375" style="11" customWidth="1"/>
    <col min="16" max="16" width="25" style="11" customWidth="1" collapsed="1"/>
    <col min="17" max="17" width="18.88671875" style="11" bestFit="1" customWidth="1"/>
    <col min="18" max="19" width="24.109375" style="11" bestFit="1" customWidth="1"/>
    <col min="20" max="20" width="23.109375" style="11" bestFit="1" customWidth="1"/>
    <col min="21" max="21" width="28.44140625" style="4" bestFit="1" customWidth="1"/>
    <col min="22" max="22" width="33.44140625" style="4" bestFit="1" customWidth="1"/>
    <col min="23" max="23" width="20" style="4" bestFit="1" customWidth="1"/>
    <col min="24" max="24" width="15.88671875" style="4" bestFit="1" customWidth="1"/>
    <col min="25" max="25" width="20" style="22" bestFit="1" customWidth="1"/>
    <col min="26" max="26" width="25.109375" style="4" customWidth="1"/>
    <col min="27" max="27" width="20.88671875" style="4" bestFit="1" customWidth="1" collapsed="1"/>
    <col min="28" max="28" width="25.44140625" style="22" bestFit="1" customWidth="1"/>
    <col min="29" max="29" width="21.88671875" style="4" bestFit="1" customWidth="1"/>
    <col min="30" max="30" width="18.33203125" style="4" bestFit="1" customWidth="1"/>
    <col min="31" max="31" width="23" style="4" bestFit="1" customWidth="1"/>
    <col min="32" max="32" width="23.88671875" style="4" bestFit="1" customWidth="1"/>
    <col min="33" max="16384" width="11.33203125" style="4"/>
  </cols>
  <sheetData>
    <row r="1" spans="1:32" ht="120" customHeight="1" x14ac:dyDescent="0.25"/>
    <row r="2" spans="1:32" ht="91.5" customHeight="1" x14ac:dyDescent="0.25">
      <c r="A2" s="12"/>
      <c r="B2" s="36"/>
      <c r="C2" s="276"/>
      <c r="D2" s="276"/>
      <c r="E2" s="276"/>
      <c r="F2" s="276"/>
      <c r="G2" s="276"/>
      <c r="H2" s="276"/>
      <c r="I2" s="276"/>
      <c r="J2" s="274"/>
      <c r="K2" s="274"/>
      <c r="L2" s="277"/>
      <c r="M2" s="276"/>
      <c r="N2" s="276"/>
      <c r="O2" s="276"/>
      <c r="P2" s="276"/>
      <c r="Q2" s="276"/>
      <c r="R2" s="276"/>
      <c r="S2" s="276"/>
      <c r="T2" s="276"/>
      <c r="U2" s="275"/>
      <c r="V2" s="275"/>
      <c r="W2" s="278"/>
      <c r="X2" s="278"/>
      <c r="Y2" s="278"/>
      <c r="Z2" s="276"/>
      <c r="AA2" s="273"/>
      <c r="AB2" s="24"/>
      <c r="AC2" s="273"/>
      <c r="AD2" s="278"/>
      <c r="AE2" s="276"/>
      <c r="AF2" s="275"/>
    </row>
    <row r="3" spans="1:32" s="10" customFormat="1" ht="81.75" customHeight="1" x14ac:dyDescent="0.25">
      <c r="A3" s="6"/>
      <c r="B3" s="7" t="s">
        <v>77</v>
      </c>
      <c r="C3" s="19" t="s">
        <v>78</v>
      </c>
      <c r="D3" s="7" t="s">
        <v>79</v>
      </c>
      <c r="E3" s="7" t="s">
        <v>80</v>
      </c>
      <c r="F3" s="7" t="s">
        <v>81</v>
      </c>
      <c r="G3" s="7" t="s">
        <v>82</v>
      </c>
      <c r="H3" s="17" t="s">
        <v>83</v>
      </c>
      <c r="I3" s="8" t="s">
        <v>84</v>
      </c>
      <c r="J3" s="8" t="s">
        <v>85</v>
      </c>
      <c r="K3" s="7" t="s">
        <v>86</v>
      </c>
      <c r="L3" s="7" t="s">
        <v>87</v>
      </c>
      <c r="M3" s="18" t="s">
        <v>88</v>
      </c>
      <c r="N3" s="18" t="s">
        <v>89</v>
      </c>
      <c r="O3" s="9" t="s">
        <v>90</v>
      </c>
      <c r="P3" s="9" t="s">
        <v>91</v>
      </c>
      <c r="Q3" s="9" t="s">
        <v>92</v>
      </c>
      <c r="R3" s="9" t="s">
        <v>93</v>
      </c>
      <c r="S3" s="9" t="s">
        <v>94</v>
      </c>
      <c r="T3" s="9" t="s">
        <v>95</v>
      </c>
      <c r="U3" s="7" t="s">
        <v>96</v>
      </c>
      <c r="V3" s="7" t="s">
        <v>97</v>
      </c>
      <c r="W3" s="7" t="s">
        <v>98</v>
      </c>
      <c r="X3" s="7" t="s">
        <v>99</v>
      </c>
      <c r="Y3" s="23" t="s">
        <v>100</v>
      </c>
      <c r="Z3" s="7" t="s">
        <v>101</v>
      </c>
      <c r="AA3" s="7" t="s">
        <v>102</v>
      </c>
      <c r="AB3" s="23" t="s">
        <v>103</v>
      </c>
      <c r="AC3" s="7" t="s">
        <v>104</v>
      </c>
      <c r="AD3" s="7" t="s">
        <v>105</v>
      </c>
      <c r="AE3" s="7" t="s">
        <v>106</v>
      </c>
      <c r="AF3" s="7" t="s">
        <v>107</v>
      </c>
    </row>
    <row r="4" spans="1:32" ht="88.5" hidden="1" customHeight="1" x14ac:dyDescent="0.25">
      <c r="A4" s="14"/>
      <c r="B4" s="37" t="s">
        <v>108</v>
      </c>
      <c r="C4" s="38" t="s">
        <v>109</v>
      </c>
      <c r="D4" s="38" t="s">
        <v>110</v>
      </c>
      <c r="E4" s="39" t="s">
        <v>111</v>
      </c>
      <c r="F4" s="38" t="s">
        <v>112</v>
      </c>
      <c r="G4" s="39" t="s">
        <v>113</v>
      </c>
      <c r="H4" s="40">
        <v>1</v>
      </c>
      <c r="I4" s="39" t="s">
        <v>114</v>
      </c>
      <c r="J4" s="86">
        <v>1</v>
      </c>
      <c r="K4" s="39" t="s">
        <v>115</v>
      </c>
      <c r="L4" s="40" t="s">
        <v>116</v>
      </c>
      <c r="M4" s="41">
        <v>1</v>
      </c>
      <c r="N4" s="42">
        <f>IFERROR(VLOOKUP(V.sual_Data[[#This Row],[RESPONSABLE]],Listas!$D$3:$F$7,3,FALSE),0)</f>
        <v>17730.496453900709</v>
      </c>
      <c r="O4" s="34">
        <f t="shared" ref="O4:O26" si="0">+N4*M4</f>
        <v>17730.496453900709</v>
      </c>
      <c r="P4" s="42">
        <f>IFERROR((VLOOKUP(V.sual_Data[[#This Row],[RESPONSABLE]],Listas!$D$3:$K$7,5,FALSE))*V.sual_Data[[#This Row],[TIEMPO (HORAS)]],0)</f>
        <v>4221.5467747382636</v>
      </c>
      <c r="Q4" s="42">
        <f>IFERROR(+VLOOKUP(L4,V.sual_Lista_Data[[EQUIPO VISUAL]:[SOFTWARE 
VALOR HORA]],8,FALSE)*V.sual_Data[[#This Row],[TIEMPO (HORAS)]],"0")</f>
        <v>3410.8548871439834</v>
      </c>
      <c r="R4" s="43">
        <v>0</v>
      </c>
      <c r="S4" s="43">
        <v>0</v>
      </c>
      <c r="T4" s="3">
        <f t="shared" ref="T4:T26" si="1">SUM(O4:S4)</f>
        <v>25362.898115782955</v>
      </c>
      <c r="U4" s="15">
        <f>V.sual_Data[[#This Row],[TIEMPO (HORAS)]]*Gastos_Operativos[[#Totals],[GASTOS HORA]]</f>
        <v>27789.477072310401</v>
      </c>
      <c r="V4" s="3">
        <f>V.sual_Data[[#This Row],[COSTO 
DIRECTO ($COP)]]+V.sual_Data[[#This Row],[PRORRATEO GASTOS ($COP)]]</f>
        <v>53152.375188093356</v>
      </c>
      <c r="W4" s="44">
        <v>0.2</v>
      </c>
      <c r="X4" s="15">
        <f>V.sual_Data[[#This Row],[COSTOS OPERACIONALES ($COP)]]*V.sual_Data[[#This Row],[DESFASE (%)]]</f>
        <v>10630.475037618671</v>
      </c>
      <c r="Y4" s="44">
        <v>0.2</v>
      </c>
      <c r="Z4" s="15">
        <f>+((V.sual_Data[[#This Row],[COSTOS OPERACIONALES ($COP)]]/(100%-V.sual_Data[[#This Row],[UTILIDAD (%)]])))-V.sual_Data[[#This Row],[COSTOS OPERACIONALES ($COP)]]</f>
        <v>13288.093797023335</v>
      </c>
      <c r="AA4" s="3">
        <f>+V.sual_Data[[#This Row],[COSTOS OPERACIONALES ($COP)]]+V.sual_Data[[#This Row],[DESFASE ($COP)]]+V.sual_Data[[#This Row],[UTILIDAD ($COP)]]</f>
        <v>77070.944022735363</v>
      </c>
      <c r="AB4" s="44">
        <v>0.05</v>
      </c>
      <c r="AC4" s="15">
        <f>+((V.sual_Data[[#This Row],[VALOR NETO ($COP)]]/(100%-V.sual_Data[[#This Row],[MÁRGEN DE NEGOCIACIÓN (%)]])))-V.sual_Data[[#This Row],[VALOR NETO ($COP)]]</f>
        <v>4056.3654748808185</v>
      </c>
      <c r="AD4" s="15">
        <f>+(V.sual_Data[[#This Row],[VALOR NETO ($COP)]]+V.sual_Data[[#This Row],[NEGOCIACIÓN ($COP)]])*1%</f>
        <v>811.27309497616181</v>
      </c>
      <c r="AE4" s="15">
        <f>+(V.sual_Data[[#This Row],[VALOR NETO ($COP)]]+V.sual_Data[[#This Row],[NEGOCIACIÓN ($COP)]])*1%</f>
        <v>811.27309497616181</v>
      </c>
      <c r="AF4" s="3">
        <f>+V.sual_Data[[#This Row],[VALOR NETO ($COP)]]+V.sual_Data[[#This Row],[4 * 1000 ($COP)]]+V.sual_Data[[#This Row],[ICA ($COP)]]+V.sual_Data[[#This Row],[NEGOCIACIÓN ($COP)]]</f>
        <v>82749.855687568503</v>
      </c>
    </row>
    <row r="5" spans="1:32" ht="60" hidden="1" customHeight="1" x14ac:dyDescent="0.25">
      <c r="A5" s="14"/>
      <c r="B5" s="37" t="s">
        <v>108</v>
      </c>
      <c r="C5" s="38" t="s">
        <v>109</v>
      </c>
      <c r="D5" s="38" t="s">
        <v>110</v>
      </c>
      <c r="E5" s="39" t="s">
        <v>111</v>
      </c>
      <c r="F5" s="38" t="s">
        <v>112</v>
      </c>
      <c r="G5" s="39" t="s">
        <v>113</v>
      </c>
      <c r="H5" s="40">
        <v>1</v>
      </c>
      <c r="I5" s="39" t="s">
        <v>117</v>
      </c>
      <c r="J5" s="86">
        <v>2</v>
      </c>
      <c r="K5" s="39" t="s">
        <v>118</v>
      </c>
      <c r="L5" s="40" t="s">
        <v>119</v>
      </c>
      <c r="M5" s="41">
        <v>1</v>
      </c>
      <c r="N5" s="42">
        <f>IFERROR(VLOOKUP(V.sual_Data[[#This Row],[RESPONSABLE]],Listas!$D$3:$F$7,3,FALSE),0)</f>
        <v>15197.568389057751</v>
      </c>
      <c r="O5" s="34">
        <f t="shared" si="0"/>
        <v>15197.568389057751</v>
      </c>
      <c r="P5" s="42">
        <f>IFERROR((VLOOKUP(V.sual_Data[[#This Row],[RESPONSABLE]],Listas!$D$3:$K$7,5,FALSE))*V.sual_Data[[#This Row],[TIEMPO (HORAS)]],0)</f>
        <v>3588.3147585275251</v>
      </c>
      <c r="Q5" s="42">
        <f>IFERROR(+VLOOKUP(L5,V.sual_Lista_Data[[EQUIPO VISUAL]:[SOFTWARE 
VALOR HORA]],8,FALSE)*V.sual_Data[[#This Row],[TIEMPO (HORAS)]],"0")</f>
        <v>3410.8548871439834</v>
      </c>
      <c r="R5" s="43">
        <v>0</v>
      </c>
      <c r="S5" s="43">
        <v>0</v>
      </c>
      <c r="T5" s="3">
        <f>SUM(O5:S5)</f>
        <v>22196.738034729256</v>
      </c>
      <c r="U5" s="15">
        <f>V.sual_Data[[#This Row],[TIEMPO (HORAS)]]*Gastos_Operativos[[#Totals],[GASTOS HORA]]</f>
        <v>27789.477072310401</v>
      </c>
      <c r="V5" s="3">
        <f>V.sual_Data[[#This Row],[COSTO 
DIRECTO ($COP)]]+V.sual_Data[[#This Row],[PRORRATEO GASTOS ($COP)]]</f>
        <v>49986.215107039658</v>
      </c>
      <c r="W5" s="44">
        <v>0.2</v>
      </c>
      <c r="X5" s="15">
        <f>V.sual_Data[[#This Row],[COSTOS OPERACIONALES ($COP)]]*V.sual_Data[[#This Row],[DESFASE (%)]]</f>
        <v>9997.2430214079322</v>
      </c>
      <c r="Y5" s="44">
        <v>0.2</v>
      </c>
      <c r="Z5" s="15">
        <f>+((V.sual_Data[[#This Row],[COSTOS OPERACIONALES ($COP)]]/(100%-V.sual_Data[[#This Row],[UTILIDAD (%)]])))-V.sual_Data[[#This Row],[COSTOS OPERACIONALES ($COP)]]</f>
        <v>12496.553776759909</v>
      </c>
      <c r="AA5" s="3">
        <f>+V.sual_Data[[#This Row],[COSTOS OPERACIONALES ($COP)]]+V.sual_Data[[#This Row],[DESFASE ($COP)]]+V.sual_Data[[#This Row],[UTILIDAD ($COP)]]</f>
        <v>72480.011905207502</v>
      </c>
      <c r="AB5" s="44">
        <v>0.05</v>
      </c>
      <c r="AC5" s="15">
        <f>+((V.sual_Data[[#This Row],[VALOR NETO ($COP)]]/(100%-V.sual_Data[[#This Row],[MÁRGEN DE NEGOCIACIÓN (%)]])))-V.sual_Data[[#This Row],[VALOR NETO ($COP)]]</f>
        <v>3814.7374686951371</v>
      </c>
      <c r="AD5" s="15">
        <f>+(V.sual_Data[[#This Row],[VALOR NETO ($COP)]]+V.sual_Data[[#This Row],[NEGOCIACIÓN ($COP)]])*1%</f>
        <v>762.94749373902641</v>
      </c>
      <c r="AE5" s="15">
        <f>+(V.sual_Data[[#This Row],[VALOR NETO ($COP)]]+V.sual_Data[[#This Row],[NEGOCIACIÓN ($COP)]])*1%</f>
        <v>762.94749373902641</v>
      </c>
      <c r="AF5" s="3">
        <f>+V.sual_Data[[#This Row],[VALOR NETO ($COP)]]+V.sual_Data[[#This Row],[4 * 1000 ($COP)]]+V.sual_Data[[#This Row],[ICA ($COP)]]+V.sual_Data[[#This Row],[NEGOCIACIÓN ($COP)]]</f>
        <v>77820.644361380706</v>
      </c>
    </row>
    <row r="6" spans="1:32" ht="60" hidden="1" customHeight="1" x14ac:dyDescent="0.25">
      <c r="A6" s="14"/>
      <c r="B6" s="37" t="s">
        <v>108</v>
      </c>
      <c r="C6" s="38" t="s">
        <v>109</v>
      </c>
      <c r="D6" s="38" t="s">
        <v>110</v>
      </c>
      <c r="E6" s="39" t="s">
        <v>111</v>
      </c>
      <c r="F6" s="38" t="s">
        <v>112</v>
      </c>
      <c r="G6" s="39" t="s">
        <v>113</v>
      </c>
      <c r="H6" s="40">
        <v>1</v>
      </c>
      <c r="I6" s="39" t="s">
        <v>120</v>
      </c>
      <c r="J6" s="86">
        <v>3</v>
      </c>
      <c r="K6" s="155" t="s">
        <v>121</v>
      </c>
      <c r="L6" s="40" t="s">
        <v>119</v>
      </c>
      <c r="M6" s="41">
        <v>24</v>
      </c>
      <c r="N6" s="42">
        <f>IFERROR(VLOOKUP(V.sual_Data[[#This Row],[RESPONSABLE]],Listas!$D$3:$F$7,3,FALSE),0)</f>
        <v>15197.568389057751</v>
      </c>
      <c r="O6" s="34">
        <f t="shared" si="0"/>
        <v>364741.64133738604</v>
      </c>
      <c r="P6" s="42">
        <f>IFERROR((VLOOKUP(V.sual_Data[[#This Row],[RESPONSABLE]],Listas!$D$3:$K$7,5,FALSE))*V.sual_Data[[#This Row],[TIEMPO (HORAS)]],0)</f>
        <v>86119.554204660599</v>
      </c>
      <c r="Q6" s="42">
        <f>IFERROR(+VLOOKUP(L6,V.sual_Lista_Data[[EQUIPO VISUAL]:[SOFTWARE 
VALOR HORA]],8,FALSE)*V.sual_Data[[#This Row],[TIEMPO (HORAS)]],"0")</f>
        <v>81860.517291455602</v>
      </c>
      <c r="R6" s="43">
        <v>0</v>
      </c>
      <c r="S6" s="43">
        <v>0</v>
      </c>
      <c r="T6" s="3">
        <f t="shared" si="1"/>
        <v>532721.71283350221</v>
      </c>
      <c r="U6" s="15">
        <f>V.sual_Data[[#This Row],[TIEMPO (HORAS)]]*Gastos_Operativos[[#Totals],[GASTOS HORA]]</f>
        <v>666947.44973544963</v>
      </c>
      <c r="V6" s="3">
        <f>V.sual_Data[[#This Row],[COSTO 
DIRECTO ($COP)]]+V.sual_Data[[#This Row],[PRORRATEO GASTOS ($COP)]]</f>
        <v>1199669.162568952</v>
      </c>
      <c r="W6" s="44">
        <v>0.2</v>
      </c>
      <c r="X6" s="15">
        <f>V.sual_Data[[#This Row],[COSTOS OPERACIONALES ($COP)]]*V.sual_Data[[#This Row],[DESFASE (%)]]</f>
        <v>239933.8325137904</v>
      </c>
      <c r="Y6" s="44">
        <v>0.2</v>
      </c>
      <c r="Z6" s="15">
        <f>+((V.sual_Data[[#This Row],[COSTOS OPERACIONALES ($COP)]]/(100%-V.sual_Data[[#This Row],[UTILIDAD (%)]])))-V.sual_Data[[#This Row],[COSTOS OPERACIONALES ($COP)]]</f>
        <v>299917.29064223799</v>
      </c>
      <c r="AA6" s="3">
        <f>+V.sual_Data[[#This Row],[COSTOS OPERACIONALES ($COP)]]+V.sual_Data[[#This Row],[DESFASE ($COP)]]+V.sual_Data[[#This Row],[UTILIDAD ($COP)]]</f>
        <v>1739520.2857249803</v>
      </c>
      <c r="AB6" s="44">
        <v>0.05</v>
      </c>
      <c r="AC6" s="15">
        <f>+((V.sual_Data[[#This Row],[VALOR NETO ($COP)]]/(100%-V.sual_Data[[#This Row],[MÁRGEN DE NEGOCIACIÓN (%)]])))-V.sual_Data[[#This Row],[VALOR NETO ($COP)]]</f>
        <v>91553.699248683173</v>
      </c>
      <c r="AD6" s="15">
        <f>+(V.sual_Data[[#This Row],[VALOR NETO ($COP)]]+V.sual_Data[[#This Row],[NEGOCIACIÓN ($COP)]])*1%</f>
        <v>18310.739849736634</v>
      </c>
      <c r="AE6" s="15">
        <f>+(V.sual_Data[[#This Row],[VALOR NETO ($COP)]]+V.sual_Data[[#This Row],[NEGOCIACIÓN ($COP)]])*1%</f>
        <v>18310.739849736634</v>
      </c>
      <c r="AF6" s="3">
        <f>+V.sual_Data[[#This Row],[VALOR NETO ($COP)]]+V.sual_Data[[#This Row],[4 * 1000 ($COP)]]+V.sual_Data[[#This Row],[ICA ($COP)]]+V.sual_Data[[#This Row],[NEGOCIACIÓN ($COP)]]</f>
        <v>1867695.4646731368</v>
      </c>
    </row>
    <row r="7" spans="1:32" ht="60" hidden="1" customHeight="1" x14ac:dyDescent="0.25">
      <c r="A7" s="14"/>
      <c r="B7" s="37" t="s">
        <v>108</v>
      </c>
      <c r="C7" s="38" t="s">
        <v>109</v>
      </c>
      <c r="D7" s="38" t="s">
        <v>110</v>
      </c>
      <c r="E7" s="39" t="s">
        <v>111</v>
      </c>
      <c r="F7" s="38" t="s">
        <v>112</v>
      </c>
      <c r="G7" s="39" t="s">
        <v>113</v>
      </c>
      <c r="H7" s="40">
        <v>1</v>
      </c>
      <c r="I7" s="39" t="s">
        <v>120</v>
      </c>
      <c r="J7" s="86">
        <v>4</v>
      </c>
      <c r="K7" s="155" t="s">
        <v>122</v>
      </c>
      <c r="L7" s="40" t="s">
        <v>119</v>
      </c>
      <c r="M7" s="41">
        <v>3</v>
      </c>
      <c r="N7" s="42">
        <f>IFERROR(VLOOKUP(V.sual_Data[[#This Row],[RESPONSABLE]],Listas!$D$3:$F$7,3,FALSE),0)</f>
        <v>15197.568389057751</v>
      </c>
      <c r="O7" s="34">
        <f t="shared" si="0"/>
        <v>45592.705167173255</v>
      </c>
      <c r="P7" s="42">
        <f>IFERROR((VLOOKUP(V.sual_Data[[#This Row],[RESPONSABLE]],Listas!$D$3:$K$7,5,FALSE))*V.sual_Data[[#This Row],[TIEMPO (HORAS)]],0)</f>
        <v>10764.944275582575</v>
      </c>
      <c r="Q7" s="42">
        <f>IFERROR(+VLOOKUP(L7,V.sual_Lista_Data[[EQUIPO VISUAL]:[SOFTWARE 
VALOR HORA]],8,FALSE)*V.sual_Data[[#This Row],[TIEMPO (HORAS)]],"0")</f>
        <v>10232.56466143195</v>
      </c>
      <c r="R7" s="43">
        <v>0</v>
      </c>
      <c r="S7" s="43">
        <v>0</v>
      </c>
      <c r="T7" s="3">
        <f t="shared" si="1"/>
        <v>66590.214104187777</v>
      </c>
      <c r="U7" s="15">
        <f>V.sual_Data[[#This Row],[TIEMPO (HORAS)]]*Gastos_Operativos[[#Totals],[GASTOS HORA]]</f>
        <v>83368.431216931203</v>
      </c>
      <c r="V7" s="3">
        <f>V.sual_Data[[#This Row],[COSTO 
DIRECTO ($COP)]]+V.sual_Data[[#This Row],[PRORRATEO GASTOS ($COP)]]</f>
        <v>149958.64532111899</v>
      </c>
      <c r="W7" s="44">
        <v>0.2</v>
      </c>
      <c r="X7" s="15">
        <f>V.sual_Data[[#This Row],[COSTOS OPERACIONALES ($COP)]]*V.sual_Data[[#This Row],[DESFASE (%)]]</f>
        <v>29991.7290642238</v>
      </c>
      <c r="Y7" s="44">
        <v>0.2</v>
      </c>
      <c r="Z7" s="15">
        <f>+((V.sual_Data[[#This Row],[COSTOS OPERACIONALES ($COP)]]/(100%-V.sual_Data[[#This Row],[UTILIDAD (%)]])))-V.sual_Data[[#This Row],[COSTOS OPERACIONALES ($COP)]]</f>
        <v>37489.661330279749</v>
      </c>
      <c r="AA7" s="3">
        <f>+V.sual_Data[[#This Row],[COSTOS OPERACIONALES ($COP)]]+V.sual_Data[[#This Row],[DESFASE ($COP)]]+V.sual_Data[[#This Row],[UTILIDAD ($COP)]]</f>
        <v>217440.03571562254</v>
      </c>
      <c r="AB7" s="44">
        <v>0.05</v>
      </c>
      <c r="AC7" s="15">
        <f>+((V.sual_Data[[#This Row],[VALOR NETO ($COP)]]/(100%-V.sual_Data[[#This Row],[MÁRGEN DE NEGOCIACIÓN (%)]])))-V.sual_Data[[#This Row],[VALOR NETO ($COP)]]</f>
        <v>11444.212406085397</v>
      </c>
      <c r="AD7" s="15">
        <f>+(V.sual_Data[[#This Row],[VALOR NETO ($COP)]]+V.sual_Data[[#This Row],[NEGOCIACIÓN ($COP)]])*1%</f>
        <v>2288.8424812170792</v>
      </c>
      <c r="AE7" s="15">
        <f>+(V.sual_Data[[#This Row],[VALOR NETO ($COP)]]+V.sual_Data[[#This Row],[NEGOCIACIÓN ($COP)]])*1%</f>
        <v>2288.8424812170792</v>
      </c>
      <c r="AF7" s="3">
        <f>+V.sual_Data[[#This Row],[VALOR NETO ($COP)]]+V.sual_Data[[#This Row],[4 * 1000 ($COP)]]+V.sual_Data[[#This Row],[ICA ($COP)]]+V.sual_Data[[#This Row],[NEGOCIACIÓN ($COP)]]</f>
        <v>233461.9330841421</v>
      </c>
    </row>
    <row r="8" spans="1:32" ht="60" hidden="1" customHeight="1" x14ac:dyDescent="0.25">
      <c r="A8" s="14"/>
      <c r="B8" s="37" t="s">
        <v>108</v>
      </c>
      <c r="C8" s="38" t="s">
        <v>109</v>
      </c>
      <c r="D8" s="38" t="s">
        <v>110</v>
      </c>
      <c r="E8" s="39" t="s">
        <v>111</v>
      </c>
      <c r="F8" s="38" t="s">
        <v>112</v>
      </c>
      <c r="G8" s="39" t="s">
        <v>113</v>
      </c>
      <c r="H8" s="40">
        <v>1</v>
      </c>
      <c r="I8" s="39" t="s">
        <v>120</v>
      </c>
      <c r="J8" s="86">
        <v>5</v>
      </c>
      <c r="K8" s="39" t="s">
        <v>123</v>
      </c>
      <c r="L8" s="40" t="s">
        <v>119</v>
      </c>
      <c r="M8" s="41">
        <v>1</v>
      </c>
      <c r="N8" s="42">
        <f>IFERROR(VLOOKUP(V.sual_Data[[#This Row],[RESPONSABLE]],Listas!$D$3:$F$7,3,FALSE),0)</f>
        <v>15197.568389057751</v>
      </c>
      <c r="O8" s="34">
        <f t="shared" si="0"/>
        <v>15197.568389057751</v>
      </c>
      <c r="P8" s="42">
        <f>IFERROR((VLOOKUP(V.sual_Data[[#This Row],[RESPONSABLE]],Listas!$D$3:$K$7,5,FALSE))*V.sual_Data[[#This Row],[TIEMPO (HORAS)]],0)</f>
        <v>3588.3147585275251</v>
      </c>
      <c r="Q8" s="42">
        <f>IFERROR(+VLOOKUP(L8,V.sual_Lista_Data[[EQUIPO VISUAL]:[SOFTWARE 
VALOR HORA]],8,FALSE)*V.sual_Data[[#This Row],[TIEMPO (HORAS)]],"0")</f>
        <v>3410.8548871439834</v>
      </c>
      <c r="R8" s="43">
        <v>0</v>
      </c>
      <c r="S8" s="43">
        <v>0</v>
      </c>
      <c r="T8" s="3">
        <f t="shared" si="1"/>
        <v>22196.738034729256</v>
      </c>
      <c r="U8" s="15">
        <f>V.sual_Data[[#This Row],[TIEMPO (HORAS)]]*Gastos_Operativos[[#Totals],[GASTOS HORA]]</f>
        <v>27789.477072310401</v>
      </c>
      <c r="V8" s="3">
        <f>V.sual_Data[[#This Row],[COSTO 
DIRECTO ($COP)]]+V.sual_Data[[#This Row],[PRORRATEO GASTOS ($COP)]]</f>
        <v>49986.215107039658</v>
      </c>
      <c r="W8" s="44">
        <v>0.2</v>
      </c>
      <c r="X8" s="15">
        <f>V.sual_Data[[#This Row],[COSTOS OPERACIONALES ($COP)]]*V.sual_Data[[#This Row],[DESFASE (%)]]</f>
        <v>9997.2430214079322</v>
      </c>
      <c r="Y8" s="44">
        <v>0.2</v>
      </c>
      <c r="Z8" s="15">
        <f>+((V.sual_Data[[#This Row],[COSTOS OPERACIONALES ($COP)]]/(100%-V.sual_Data[[#This Row],[UTILIDAD (%)]])))-V.sual_Data[[#This Row],[COSTOS OPERACIONALES ($COP)]]</f>
        <v>12496.553776759909</v>
      </c>
      <c r="AA8" s="3">
        <f>+V.sual_Data[[#This Row],[COSTOS OPERACIONALES ($COP)]]+V.sual_Data[[#This Row],[DESFASE ($COP)]]+V.sual_Data[[#This Row],[UTILIDAD ($COP)]]</f>
        <v>72480.011905207502</v>
      </c>
      <c r="AB8" s="44">
        <v>0.05</v>
      </c>
      <c r="AC8" s="15">
        <f>+((V.sual_Data[[#This Row],[VALOR NETO ($COP)]]/(100%-V.sual_Data[[#This Row],[MÁRGEN DE NEGOCIACIÓN (%)]])))-V.sual_Data[[#This Row],[VALOR NETO ($COP)]]</f>
        <v>3814.7374686951371</v>
      </c>
      <c r="AD8" s="15">
        <f>+(V.sual_Data[[#This Row],[VALOR NETO ($COP)]]+V.sual_Data[[#This Row],[NEGOCIACIÓN ($COP)]])*1%</f>
        <v>762.94749373902641</v>
      </c>
      <c r="AE8" s="15">
        <f>+(V.sual_Data[[#This Row],[VALOR NETO ($COP)]]+V.sual_Data[[#This Row],[NEGOCIACIÓN ($COP)]])*1%</f>
        <v>762.94749373902641</v>
      </c>
      <c r="AF8" s="3">
        <f>+V.sual_Data[[#This Row],[VALOR NETO ($COP)]]+V.sual_Data[[#This Row],[4 * 1000 ($COP)]]+V.sual_Data[[#This Row],[ICA ($COP)]]+V.sual_Data[[#This Row],[NEGOCIACIÓN ($COP)]]</f>
        <v>77820.644361380706</v>
      </c>
    </row>
    <row r="9" spans="1:32" ht="60" hidden="1" customHeight="1" x14ac:dyDescent="0.25">
      <c r="A9" s="14"/>
      <c r="B9" s="37" t="s">
        <v>124</v>
      </c>
      <c r="C9" s="38" t="s">
        <v>109</v>
      </c>
      <c r="D9" s="38" t="s">
        <v>125</v>
      </c>
      <c r="E9" s="39" t="s">
        <v>126</v>
      </c>
      <c r="F9" s="38" t="s">
        <v>112</v>
      </c>
      <c r="G9" s="39" t="s">
        <v>113</v>
      </c>
      <c r="H9" s="40">
        <v>1</v>
      </c>
      <c r="I9" s="39" t="s">
        <v>117</v>
      </c>
      <c r="J9" s="86">
        <v>1</v>
      </c>
      <c r="K9" s="39" t="s">
        <v>127</v>
      </c>
      <c r="L9" s="40" t="s">
        <v>119</v>
      </c>
      <c r="M9" s="41">
        <v>0.5</v>
      </c>
      <c r="N9" s="42">
        <f>IFERROR(VLOOKUP(V.sual_Data[[#This Row],[RESPONSABLE]],Listas!$D$3:$F$7,3,FALSE),0)</f>
        <v>15197.568389057751</v>
      </c>
      <c r="O9" s="34">
        <f>+N9*M9</f>
        <v>7598.7841945288756</v>
      </c>
      <c r="P9" s="42">
        <f>IFERROR((VLOOKUP(V.sual_Data[[#This Row],[RESPONSABLE]],Listas!$D$3:$K$7,5,FALSE))*V.sual_Data[[#This Row],[TIEMPO (HORAS)]],0)</f>
        <v>1794.1573792637626</v>
      </c>
      <c r="Q9" s="42">
        <f>IFERROR(+VLOOKUP(L9,V.sual_Lista_Data[[EQUIPO VISUAL]:[SOFTWARE 
VALOR HORA]],8,FALSE)*V.sual_Data[[#This Row],[TIEMPO (HORAS)]],"0")</f>
        <v>1705.4274435719917</v>
      </c>
      <c r="R9" s="43">
        <v>0</v>
      </c>
      <c r="S9" s="43">
        <v>0</v>
      </c>
      <c r="T9" s="3">
        <f>SUM(O9:S9)</f>
        <v>11098.369017364628</v>
      </c>
      <c r="U9" s="15">
        <f>V.sual_Data[[#This Row],[TIEMPO (HORAS)]]*Gastos_Operativos[[#Totals],[GASTOS HORA]]</f>
        <v>13894.738536155201</v>
      </c>
      <c r="V9" s="3">
        <f>V.sual_Data[[#This Row],[COSTO 
DIRECTO ($COP)]]+V.sual_Data[[#This Row],[PRORRATEO GASTOS ($COP)]]</f>
        <v>24993.107553519829</v>
      </c>
      <c r="W9" s="44">
        <v>0.15</v>
      </c>
      <c r="X9" s="15">
        <f>V.sual_Data[[#This Row],[COSTOS OPERACIONALES ($COP)]]*V.sual_Data[[#This Row],[DESFASE (%)]]</f>
        <v>3748.9661330279741</v>
      </c>
      <c r="Y9" s="44">
        <v>0.3</v>
      </c>
      <c r="Z9" s="15">
        <f>+((V.sual_Data[[#This Row],[COSTOS OPERACIONALES ($COP)]]/(100%-V.sual_Data[[#This Row],[UTILIDAD (%)]])))-V.sual_Data[[#This Row],[COSTOS OPERACIONALES ($COP)]]</f>
        <v>10711.331808651357</v>
      </c>
      <c r="AA9" s="3">
        <f>+V.sual_Data[[#This Row],[COSTOS OPERACIONALES ($COP)]]+V.sual_Data[[#This Row],[DESFASE ($COP)]]+V.sual_Data[[#This Row],[UTILIDAD ($COP)]]</f>
        <v>39453.405495199157</v>
      </c>
      <c r="AB9" s="44">
        <v>0.05</v>
      </c>
      <c r="AC9" s="15">
        <f>+((V.sual_Data[[#This Row],[VALOR NETO ($COP)]]/(100%-V.sual_Data[[#This Row],[MÁRGEN DE NEGOCIACIÓN (%)]])))-V.sual_Data[[#This Row],[VALOR NETO ($COP)]]</f>
        <v>2076.4950260631158</v>
      </c>
      <c r="AD9" s="15">
        <f>+(V.sual_Data[[#This Row],[VALOR NETO ($COP)]]+V.sual_Data[[#This Row],[NEGOCIACIÓN ($COP)]])*1%</f>
        <v>415.29900521262272</v>
      </c>
      <c r="AE9" s="15">
        <f>+(V.sual_Data[[#This Row],[VALOR NETO ($COP)]]+V.sual_Data[[#This Row],[NEGOCIACIÓN ($COP)]])*1%</f>
        <v>415.29900521262272</v>
      </c>
      <c r="AF9" s="3">
        <f>+V.sual_Data[[#This Row],[VALOR NETO ($COP)]]+V.sual_Data[[#This Row],[4 * 1000 ($COP)]]+V.sual_Data[[#This Row],[ICA ($COP)]]+V.sual_Data[[#This Row],[NEGOCIACIÓN ($COP)]]</f>
        <v>42360.498531687525</v>
      </c>
    </row>
    <row r="10" spans="1:32" ht="60" hidden="1" customHeight="1" x14ac:dyDescent="0.25">
      <c r="A10" s="14"/>
      <c r="B10" s="37" t="s">
        <v>124</v>
      </c>
      <c r="C10" s="38" t="s">
        <v>109</v>
      </c>
      <c r="D10" s="38" t="s">
        <v>125</v>
      </c>
      <c r="E10" s="39" t="s">
        <v>126</v>
      </c>
      <c r="F10" s="38" t="s">
        <v>112</v>
      </c>
      <c r="G10" s="39" t="s">
        <v>113</v>
      </c>
      <c r="H10" s="40">
        <v>1</v>
      </c>
      <c r="I10" s="39" t="s">
        <v>128</v>
      </c>
      <c r="J10" s="86">
        <v>2</v>
      </c>
      <c r="K10" s="155" t="s">
        <v>129</v>
      </c>
      <c r="L10" s="40" t="s">
        <v>119</v>
      </c>
      <c r="M10" s="41">
        <v>5</v>
      </c>
      <c r="N10" s="42">
        <f>IFERROR(VLOOKUP(V.sual_Data[[#This Row],[RESPONSABLE]],Listas!$D$3:$F$7,3,FALSE),0)</f>
        <v>15197.568389057751</v>
      </c>
      <c r="O10" s="34">
        <f t="shared" si="0"/>
        <v>75987.841945288761</v>
      </c>
      <c r="P10" s="42">
        <f>IFERROR((VLOOKUP(V.sual_Data[[#This Row],[RESPONSABLE]],Listas!$D$3:$K$7,5,FALSE))*V.sual_Data[[#This Row],[TIEMPO (HORAS)]],0)</f>
        <v>17941.573792637624</v>
      </c>
      <c r="Q10" s="42">
        <f>IFERROR(+VLOOKUP(L10,V.sual_Lista_Data[[EQUIPO VISUAL]:[SOFTWARE 
VALOR HORA]],8,FALSE)*V.sual_Data[[#This Row],[TIEMPO (HORAS)]],"0")</f>
        <v>17054.274435719919</v>
      </c>
      <c r="R10" s="43">
        <v>0</v>
      </c>
      <c r="S10" s="43">
        <v>0</v>
      </c>
      <c r="T10" s="3">
        <f t="shared" si="1"/>
        <v>110983.69017364629</v>
      </c>
      <c r="U10" s="15">
        <f>V.sual_Data[[#This Row],[TIEMPO (HORAS)]]*Gastos_Operativos[[#Totals],[GASTOS HORA]]</f>
        <v>138947.38536155201</v>
      </c>
      <c r="V10" s="3">
        <f>V.sual_Data[[#This Row],[COSTO 
DIRECTO ($COP)]]+V.sual_Data[[#This Row],[PRORRATEO GASTOS ($COP)]]</f>
        <v>249931.0755351983</v>
      </c>
      <c r="W10" s="44">
        <v>0.15</v>
      </c>
      <c r="X10" s="15">
        <f>V.sual_Data[[#This Row],[COSTOS OPERACIONALES ($COP)]]*V.sual_Data[[#This Row],[DESFASE (%)]]</f>
        <v>37489.661330279741</v>
      </c>
      <c r="Y10" s="44">
        <v>0.3</v>
      </c>
      <c r="Z10" s="15">
        <f>+((V.sual_Data[[#This Row],[COSTOS OPERACIONALES ($COP)]]/(100%-V.sual_Data[[#This Row],[UTILIDAD (%)]])))-V.sual_Data[[#This Row],[COSTOS OPERACIONALES ($COP)]]</f>
        <v>107113.31808651358</v>
      </c>
      <c r="AA10" s="3">
        <f>+V.sual_Data[[#This Row],[COSTOS OPERACIONALES ($COP)]]+V.sual_Data[[#This Row],[DESFASE ($COP)]]+V.sual_Data[[#This Row],[UTILIDAD ($COP)]]</f>
        <v>394534.05495199165</v>
      </c>
      <c r="AB10" s="44">
        <v>0.05</v>
      </c>
      <c r="AC10" s="15">
        <f>+((V.sual_Data[[#This Row],[VALOR NETO ($COP)]]/(100%-V.sual_Data[[#This Row],[MÁRGEN DE NEGOCIACIÓN (%)]])))-V.sual_Data[[#This Row],[VALOR NETO ($COP)]]</f>
        <v>20764.950260631158</v>
      </c>
      <c r="AD10" s="15">
        <f>+(V.sual_Data[[#This Row],[VALOR NETO ($COP)]]+V.sual_Data[[#This Row],[NEGOCIACIÓN ($COP)]])*1%</f>
        <v>4152.990052126228</v>
      </c>
      <c r="AE10" s="15">
        <f>+(V.sual_Data[[#This Row],[VALOR NETO ($COP)]]+V.sual_Data[[#This Row],[NEGOCIACIÓN ($COP)]])*1%</f>
        <v>4152.990052126228</v>
      </c>
      <c r="AF10" s="3">
        <f>+V.sual_Data[[#This Row],[VALOR NETO ($COP)]]+V.sual_Data[[#This Row],[4 * 1000 ($COP)]]+V.sual_Data[[#This Row],[ICA ($COP)]]+V.sual_Data[[#This Row],[NEGOCIACIÓN ($COP)]]</f>
        <v>423604.98531687527</v>
      </c>
    </row>
    <row r="11" spans="1:32" ht="60" hidden="1" customHeight="1" x14ac:dyDescent="0.25">
      <c r="A11" s="14"/>
      <c r="B11" s="37" t="s">
        <v>124</v>
      </c>
      <c r="C11" s="38" t="s">
        <v>109</v>
      </c>
      <c r="D11" s="38" t="s">
        <v>125</v>
      </c>
      <c r="E11" s="39" t="s">
        <v>126</v>
      </c>
      <c r="F11" s="38" t="s">
        <v>112</v>
      </c>
      <c r="G11" s="39" t="s">
        <v>113</v>
      </c>
      <c r="H11" s="40">
        <v>1</v>
      </c>
      <c r="I11" s="39" t="s">
        <v>117</v>
      </c>
      <c r="J11" s="86">
        <v>3</v>
      </c>
      <c r="K11" s="155" t="s">
        <v>130</v>
      </c>
      <c r="L11" s="40" t="s">
        <v>119</v>
      </c>
      <c r="M11" s="41">
        <v>1</v>
      </c>
      <c r="N11" s="42">
        <f>IFERROR(VLOOKUP(V.sual_Data[[#This Row],[RESPONSABLE]],Listas!$D$3:$F$7,3,FALSE),0)</f>
        <v>15197.568389057751</v>
      </c>
      <c r="O11" s="34">
        <f t="shared" si="0"/>
        <v>15197.568389057751</v>
      </c>
      <c r="P11" s="42">
        <f>IFERROR((VLOOKUP(V.sual_Data[[#This Row],[RESPONSABLE]],Listas!$D$3:$K$7,5,FALSE))*V.sual_Data[[#This Row],[TIEMPO (HORAS)]],0)</f>
        <v>3588.3147585275251</v>
      </c>
      <c r="Q11" s="42">
        <f>IFERROR(+VLOOKUP(L11,V.sual_Lista_Data[[EQUIPO VISUAL]:[SOFTWARE 
VALOR HORA]],8,FALSE)*V.sual_Data[[#This Row],[TIEMPO (HORAS)]],"0")</f>
        <v>3410.8548871439834</v>
      </c>
      <c r="R11" s="43">
        <v>0</v>
      </c>
      <c r="S11" s="43">
        <v>0</v>
      </c>
      <c r="T11" s="3">
        <f t="shared" si="1"/>
        <v>22196.738034729256</v>
      </c>
      <c r="U11" s="15">
        <f>V.sual_Data[[#This Row],[TIEMPO (HORAS)]]*Gastos_Operativos[[#Totals],[GASTOS HORA]]</f>
        <v>27789.477072310401</v>
      </c>
      <c r="V11" s="3">
        <f>V.sual_Data[[#This Row],[COSTO 
DIRECTO ($COP)]]+V.sual_Data[[#This Row],[PRORRATEO GASTOS ($COP)]]</f>
        <v>49986.215107039658</v>
      </c>
      <c r="W11" s="44">
        <v>0.15</v>
      </c>
      <c r="X11" s="15">
        <f>V.sual_Data[[#This Row],[COSTOS OPERACIONALES ($COP)]]*V.sual_Data[[#This Row],[DESFASE (%)]]</f>
        <v>7497.9322660559483</v>
      </c>
      <c r="Y11" s="44">
        <v>0.3</v>
      </c>
      <c r="Z11" s="15">
        <f>+((V.sual_Data[[#This Row],[COSTOS OPERACIONALES ($COP)]]/(100%-V.sual_Data[[#This Row],[UTILIDAD (%)]])))-V.sual_Data[[#This Row],[COSTOS OPERACIONALES ($COP)]]</f>
        <v>21422.663617302715</v>
      </c>
      <c r="AA11" s="3">
        <f>+V.sual_Data[[#This Row],[COSTOS OPERACIONALES ($COP)]]+V.sual_Data[[#This Row],[DESFASE ($COP)]]+V.sual_Data[[#This Row],[UTILIDAD ($COP)]]</f>
        <v>78906.810990398313</v>
      </c>
      <c r="AB11" s="44">
        <v>0.05</v>
      </c>
      <c r="AC11" s="15">
        <f>+((V.sual_Data[[#This Row],[VALOR NETO ($COP)]]/(100%-V.sual_Data[[#This Row],[MÁRGEN DE NEGOCIACIÓN (%)]])))-V.sual_Data[[#This Row],[VALOR NETO ($COP)]]</f>
        <v>4152.9900521262316</v>
      </c>
      <c r="AD11" s="15">
        <f>+(V.sual_Data[[#This Row],[VALOR NETO ($COP)]]+V.sual_Data[[#This Row],[NEGOCIACIÓN ($COP)]])*1%</f>
        <v>830.59801042524543</v>
      </c>
      <c r="AE11" s="15">
        <f>+(V.sual_Data[[#This Row],[VALOR NETO ($COP)]]+V.sual_Data[[#This Row],[NEGOCIACIÓN ($COP)]])*1%</f>
        <v>830.59801042524543</v>
      </c>
      <c r="AF11" s="3">
        <f>+V.sual_Data[[#This Row],[VALOR NETO ($COP)]]+V.sual_Data[[#This Row],[4 * 1000 ($COP)]]+V.sual_Data[[#This Row],[ICA ($COP)]]+V.sual_Data[[#This Row],[NEGOCIACIÓN ($COP)]]</f>
        <v>84720.997063375049</v>
      </c>
    </row>
    <row r="12" spans="1:32" ht="60" hidden="1" customHeight="1" x14ac:dyDescent="0.25">
      <c r="A12" s="14"/>
      <c r="B12" s="37" t="s">
        <v>124</v>
      </c>
      <c r="C12" s="38" t="s">
        <v>109</v>
      </c>
      <c r="D12" s="38" t="s">
        <v>125</v>
      </c>
      <c r="E12" s="39" t="s">
        <v>126</v>
      </c>
      <c r="F12" s="38" t="s">
        <v>112</v>
      </c>
      <c r="G12" s="39" t="s">
        <v>113</v>
      </c>
      <c r="H12" s="40">
        <v>1</v>
      </c>
      <c r="I12" s="39" t="s">
        <v>131</v>
      </c>
      <c r="J12" s="86">
        <v>4</v>
      </c>
      <c r="K12" s="39" t="s">
        <v>132</v>
      </c>
      <c r="L12" s="40" t="s">
        <v>116</v>
      </c>
      <c r="M12" s="41">
        <v>2</v>
      </c>
      <c r="N12" s="42">
        <f>IFERROR(VLOOKUP(V.sual_Data[[#This Row],[RESPONSABLE]],Listas!$D$3:$F$7,3,FALSE),0)</f>
        <v>17730.496453900709</v>
      </c>
      <c r="O12" s="34">
        <f>+N12*M12</f>
        <v>35460.992907801417</v>
      </c>
      <c r="P12" s="42">
        <f>IFERROR((VLOOKUP(V.sual_Data[[#This Row],[RESPONSABLE]],Listas!$D$3:$K$7,5,FALSE))*V.sual_Data[[#This Row],[TIEMPO (HORAS)]],0)</f>
        <v>8443.0935494765272</v>
      </c>
      <c r="Q12" s="42">
        <f>IFERROR(+VLOOKUP(L12,V.sual_Lista_Data[[EQUIPO VISUAL]:[SOFTWARE 
VALOR HORA]],8,FALSE)*V.sual_Data[[#This Row],[TIEMPO (HORAS)]],"0")</f>
        <v>6821.7097742879669</v>
      </c>
      <c r="R12" s="43">
        <v>0</v>
      </c>
      <c r="S12" s="43">
        <v>0</v>
      </c>
      <c r="T12" s="3">
        <f>SUM(O12:S12)</f>
        <v>50725.79623156591</v>
      </c>
      <c r="U12" s="15">
        <f>V.sual_Data[[#This Row],[TIEMPO (HORAS)]]*Gastos_Operativos[[#Totals],[GASTOS HORA]]</f>
        <v>55578.954144620802</v>
      </c>
      <c r="V12" s="3">
        <f>V.sual_Data[[#This Row],[COSTO 
DIRECTO ($COP)]]+V.sual_Data[[#This Row],[PRORRATEO GASTOS ($COP)]]</f>
        <v>106304.75037618671</v>
      </c>
      <c r="W12" s="44">
        <v>0.15</v>
      </c>
      <c r="X12" s="15">
        <f>V.sual_Data[[#This Row],[COSTOS OPERACIONALES ($COP)]]*V.sual_Data[[#This Row],[DESFASE (%)]]</f>
        <v>15945.712556428007</v>
      </c>
      <c r="Y12" s="44">
        <v>0.3</v>
      </c>
      <c r="Z12" s="15">
        <f>+((V.sual_Data[[#This Row],[COSTOS OPERACIONALES ($COP)]]/(100%-V.sual_Data[[#This Row],[UTILIDAD (%)]])))-V.sual_Data[[#This Row],[COSTOS OPERACIONALES ($COP)]]</f>
        <v>45559.17873265146</v>
      </c>
      <c r="AA12" s="3">
        <f>+V.sual_Data[[#This Row],[COSTOS OPERACIONALES ($COP)]]+V.sual_Data[[#This Row],[DESFASE ($COP)]]+V.sual_Data[[#This Row],[UTILIDAD ($COP)]]</f>
        <v>167809.64166526619</v>
      </c>
      <c r="AB12" s="44">
        <v>0.05</v>
      </c>
      <c r="AC12" s="15">
        <f>+((V.sual_Data[[#This Row],[VALOR NETO ($COP)]]/(100%-V.sual_Data[[#This Row],[MÁRGEN DE NEGOCIACIÓN (%)]])))-V.sual_Data[[#This Row],[VALOR NETO ($COP)]]</f>
        <v>8832.086403435067</v>
      </c>
      <c r="AD12" s="15">
        <f>+(V.sual_Data[[#This Row],[VALOR NETO ($COP)]]+V.sual_Data[[#This Row],[NEGOCIACIÓN ($COP)]])*1%</f>
        <v>1766.4172806870126</v>
      </c>
      <c r="AE12" s="15">
        <f>+(V.sual_Data[[#This Row],[VALOR NETO ($COP)]]+V.sual_Data[[#This Row],[NEGOCIACIÓN ($COP)]])*1%</f>
        <v>1766.4172806870126</v>
      </c>
      <c r="AF12" s="3">
        <f>+V.sual_Data[[#This Row],[VALOR NETO ($COP)]]+V.sual_Data[[#This Row],[4 * 1000 ($COP)]]+V.sual_Data[[#This Row],[ICA ($COP)]]+V.sual_Data[[#This Row],[NEGOCIACIÓN ($COP)]]</f>
        <v>180174.56263007529</v>
      </c>
    </row>
    <row r="13" spans="1:32" ht="60" hidden="1" customHeight="1" x14ac:dyDescent="0.25">
      <c r="A13" s="14"/>
      <c r="B13" s="37" t="s">
        <v>124</v>
      </c>
      <c r="C13" s="38" t="s">
        <v>109</v>
      </c>
      <c r="D13" s="38" t="s">
        <v>125</v>
      </c>
      <c r="E13" s="39" t="s">
        <v>126</v>
      </c>
      <c r="F13" s="38" t="s">
        <v>112</v>
      </c>
      <c r="G13" s="39" t="s">
        <v>113</v>
      </c>
      <c r="H13" s="40">
        <v>1</v>
      </c>
      <c r="I13" s="156" t="s">
        <v>133</v>
      </c>
      <c r="J13" s="86">
        <v>5</v>
      </c>
      <c r="K13" s="156" t="s">
        <v>134</v>
      </c>
      <c r="L13" s="40" t="s">
        <v>119</v>
      </c>
      <c r="M13" s="41">
        <v>9</v>
      </c>
      <c r="N13" s="42">
        <f>IFERROR(VLOOKUP(V.sual_Data[[#This Row],[RESPONSABLE]],Listas!$D$3:$F$7,3,FALSE),0)</f>
        <v>15197.568389057751</v>
      </c>
      <c r="O13" s="34">
        <f>+N13*M13</f>
        <v>136778.11550151976</v>
      </c>
      <c r="P13" s="42">
        <f>IFERROR((VLOOKUP(V.sual_Data[[#This Row],[RESPONSABLE]],Listas!$D$3:$K$7,5,FALSE))*V.sual_Data[[#This Row],[TIEMPO (HORAS)]],0)</f>
        <v>32294.832826747726</v>
      </c>
      <c r="Q13" s="42">
        <f>IFERROR(+VLOOKUP(L13,V.sual_Lista_Data[[EQUIPO VISUAL]:[SOFTWARE 
VALOR HORA]],8,FALSE)*V.sual_Data[[#This Row],[TIEMPO (HORAS)]],"0")</f>
        <v>30697.693984295853</v>
      </c>
      <c r="R13" s="43">
        <v>0</v>
      </c>
      <c r="S13" s="43">
        <v>0</v>
      </c>
      <c r="T13" s="3">
        <f>SUM(O13:S13)</f>
        <v>199770.64231256334</v>
      </c>
      <c r="U13" s="15">
        <f>V.sual_Data[[#This Row],[TIEMPO (HORAS)]]*Gastos_Operativos[[#Totals],[GASTOS HORA]]</f>
        <v>250105.29365079361</v>
      </c>
      <c r="V13" s="3">
        <f>V.sual_Data[[#This Row],[COSTO 
DIRECTO ($COP)]]+V.sual_Data[[#This Row],[PRORRATEO GASTOS ($COP)]]</f>
        <v>449875.93596335698</v>
      </c>
      <c r="W13" s="44">
        <v>0.15</v>
      </c>
      <c r="X13" s="15">
        <f>V.sual_Data[[#This Row],[COSTOS OPERACIONALES ($COP)]]*V.sual_Data[[#This Row],[DESFASE (%)]]</f>
        <v>67481.390394503542</v>
      </c>
      <c r="Y13" s="44">
        <v>0.3</v>
      </c>
      <c r="Z13" s="15">
        <f>+((V.sual_Data[[#This Row],[COSTOS OPERACIONALES ($COP)]]/(100%-V.sual_Data[[#This Row],[UTILIDAD (%)]])))-V.sual_Data[[#This Row],[COSTOS OPERACIONALES ($COP)]]</f>
        <v>192803.97255572444</v>
      </c>
      <c r="AA13" s="3">
        <f>+V.sual_Data[[#This Row],[COSTOS OPERACIONALES ($COP)]]+V.sual_Data[[#This Row],[DESFASE ($COP)]]+V.sual_Data[[#This Row],[UTILIDAD ($COP)]]</f>
        <v>710161.29891358502</v>
      </c>
      <c r="AB13" s="44">
        <v>0.05</v>
      </c>
      <c r="AC13" s="15">
        <f>+((V.sual_Data[[#This Row],[VALOR NETO ($COP)]]/(100%-V.sual_Data[[#This Row],[MÁRGEN DE NEGOCIACIÓN (%)]])))-V.sual_Data[[#This Row],[VALOR NETO ($COP)]]</f>
        <v>37376.910469136084</v>
      </c>
      <c r="AD13" s="15">
        <f>+(V.sual_Data[[#This Row],[VALOR NETO ($COP)]]+V.sual_Data[[#This Row],[NEGOCIACIÓN ($COP)]])*1%</f>
        <v>7475.3820938272111</v>
      </c>
      <c r="AE13" s="15">
        <f>+(V.sual_Data[[#This Row],[VALOR NETO ($COP)]]+V.sual_Data[[#This Row],[NEGOCIACIÓN ($COP)]])*1%</f>
        <v>7475.3820938272111</v>
      </c>
      <c r="AF13" s="3">
        <f>+V.sual_Data[[#This Row],[VALOR NETO ($COP)]]+V.sual_Data[[#This Row],[4 * 1000 ($COP)]]+V.sual_Data[[#This Row],[ICA ($COP)]]+V.sual_Data[[#This Row],[NEGOCIACIÓN ($COP)]]</f>
        <v>762488.97357037559</v>
      </c>
    </row>
    <row r="14" spans="1:32" ht="60" hidden="1" customHeight="1" x14ac:dyDescent="0.25">
      <c r="A14" s="14"/>
      <c r="B14" s="37" t="s">
        <v>124</v>
      </c>
      <c r="C14" s="38" t="s">
        <v>109</v>
      </c>
      <c r="D14" s="38" t="s">
        <v>125</v>
      </c>
      <c r="E14" s="39" t="s">
        <v>126</v>
      </c>
      <c r="F14" s="38" t="s">
        <v>112</v>
      </c>
      <c r="G14" s="39" t="s">
        <v>113</v>
      </c>
      <c r="H14" s="40">
        <v>1</v>
      </c>
      <c r="I14" s="156" t="s">
        <v>133</v>
      </c>
      <c r="J14" s="86">
        <v>6</v>
      </c>
      <c r="K14" s="45" t="s">
        <v>135</v>
      </c>
      <c r="L14" s="40" t="s">
        <v>119</v>
      </c>
      <c r="M14" s="41">
        <v>4.5</v>
      </c>
      <c r="N14" s="42">
        <f>IFERROR(VLOOKUP(V.sual_Data[[#This Row],[RESPONSABLE]],Listas!$D$3:$F$7,3,FALSE),0)</f>
        <v>15197.568389057751</v>
      </c>
      <c r="O14" s="34">
        <f>+N14*M14</f>
        <v>68389.057750759879</v>
      </c>
      <c r="P14" s="42">
        <f>IFERROR((VLOOKUP(V.sual_Data[[#This Row],[RESPONSABLE]],Listas!$D$3:$K$7,5,FALSE))*V.sual_Data[[#This Row],[TIEMPO (HORAS)]],0)</f>
        <v>16147.416413373863</v>
      </c>
      <c r="Q14" s="42">
        <f>IFERROR(+VLOOKUP(L14,V.sual_Lista_Data[[EQUIPO VISUAL]:[SOFTWARE 
VALOR HORA]],8,FALSE)*V.sual_Data[[#This Row],[TIEMPO (HORAS)]],"0")</f>
        <v>15348.846992147926</v>
      </c>
      <c r="R14" s="43">
        <v>0</v>
      </c>
      <c r="S14" s="43">
        <v>0</v>
      </c>
      <c r="T14" s="3">
        <f>SUM(O14:S14)</f>
        <v>99885.321156281672</v>
      </c>
      <c r="U14" s="15">
        <f>V.sual_Data[[#This Row],[TIEMPO (HORAS)]]*Gastos_Operativos[[#Totals],[GASTOS HORA]]</f>
        <v>125052.64682539681</v>
      </c>
      <c r="V14" s="3">
        <f>V.sual_Data[[#This Row],[COSTO 
DIRECTO ($COP)]]+V.sual_Data[[#This Row],[PRORRATEO GASTOS ($COP)]]</f>
        <v>224937.96798167849</v>
      </c>
      <c r="W14" s="44">
        <v>0.15</v>
      </c>
      <c r="X14" s="15">
        <f>V.sual_Data[[#This Row],[COSTOS OPERACIONALES ($COP)]]*V.sual_Data[[#This Row],[DESFASE (%)]]</f>
        <v>33740.695197251771</v>
      </c>
      <c r="Y14" s="44">
        <v>0.3</v>
      </c>
      <c r="Z14" s="15">
        <f>+((V.sual_Data[[#This Row],[COSTOS OPERACIONALES ($COP)]]/(100%-V.sual_Data[[#This Row],[UTILIDAD (%)]])))-V.sual_Data[[#This Row],[COSTOS OPERACIONALES ($COP)]]</f>
        <v>96401.986277862219</v>
      </c>
      <c r="AA14" s="3">
        <f>+V.sual_Data[[#This Row],[COSTOS OPERACIONALES ($COP)]]+V.sual_Data[[#This Row],[DESFASE ($COP)]]+V.sual_Data[[#This Row],[UTILIDAD ($COP)]]</f>
        <v>355080.64945679251</v>
      </c>
      <c r="AB14" s="44">
        <v>0.05</v>
      </c>
      <c r="AC14" s="15">
        <f>+((V.sual_Data[[#This Row],[VALOR NETO ($COP)]]/(100%-V.sual_Data[[#This Row],[MÁRGEN DE NEGOCIACIÓN (%)]])))-V.sual_Data[[#This Row],[VALOR NETO ($COP)]]</f>
        <v>18688.455234568042</v>
      </c>
      <c r="AD14" s="15">
        <f>+(V.sual_Data[[#This Row],[VALOR NETO ($COP)]]+V.sual_Data[[#This Row],[NEGOCIACIÓN ($COP)]])*1%</f>
        <v>3737.6910469136055</v>
      </c>
      <c r="AE14" s="15">
        <f>+(V.sual_Data[[#This Row],[VALOR NETO ($COP)]]+V.sual_Data[[#This Row],[NEGOCIACIÓN ($COP)]])*1%</f>
        <v>3737.6910469136055</v>
      </c>
      <c r="AF14" s="3">
        <f>+V.sual_Data[[#This Row],[VALOR NETO ($COP)]]+V.sual_Data[[#This Row],[4 * 1000 ($COP)]]+V.sual_Data[[#This Row],[ICA ($COP)]]+V.sual_Data[[#This Row],[NEGOCIACIÓN ($COP)]]</f>
        <v>381244.48678518779</v>
      </c>
    </row>
    <row r="15" spans="1:32" ht="60" hidden="1" customHeight="1" x14ac:dyDescent="0.25">
      <c r="A15" s="14"/>
      <c r="B15" s="37" t="s">
        <v>124</v>
      </c>
      <c r="C15" s="38" t="s">
        <v>109</v>
      </c>
      <c r="D15" s="38" t="s">
        <v>125</v>
      </c>
      <c r="E15" s="39" t="s">
        <v>126</v>
      </c>
      <c r="F15" s="38" t="s">
        <v>112</v>
      </c>
      <c r="G15" s="39" t="s">
        <v>113</v>
      </c>
      <c r="H15" s="40">
        <v>1</v>
      </c>
      <c r="I15" s="39" t="s">
        <v>136</v>
      </c>
      <c r="J15" s="86">
        <v>7</v>
      </c>
      <c r="K15" s="39" t="s">
        <v>137</v>
      </c>
      <c r="L15" s="40" t="s">
        <v>119</v>
      </c>
      <c r="M15" s="41">
        <v>1.5</v>
      </c>
      <c r="N15" s="42">
        <f>IFERROR(VLOOKUP(V.sual_Data[[#This Row],[RESPONSABLE]],Listas!$D$3:$F$7,3,FALSE),0)</f>
        <v>15197.568389057751</v>
      </c>
      <c r="O15" s="34">
        <f t="shared" si="0"/>
        <v>22796.352583586628</v>
      </c>
      <c r="P15" s="42">
        <f>IFERROR((VLOOKUP(V.sual_Data[[#This Row],[RESPONSABLE]],Listas!$D$3:$K$7,5,FALSE))*V.sual_Data[[#This Row],[TIEMPO (HORAS)]],0)</f>
        <v>5382.4721377912874</v>
      </c>
      <c r="Q15" s="42">
        <f>IFERROR(+VLOOKUP(L15,V.sual_Lista_Data[[EQUIPO VISUAL]:[SOFTWARE 
VALOR HORA]],8,FALSE)*V.sual_Data[[#This Row],[TIEMPO (HORAS)]],"0")</f>
        <v>5116.2823307159751</v>
      </c>
      <c r="R15" s="43">
        <v>0</v>
      </c>
      <c r="S15" s="43">
        <v>0</v>
      </c>
      <c r="T15" s="3">
        <f t="shared" si="1"/>
        <v>33295.107052093888</v>
      </c>
      <c r="U15" s="15">
        <f>V.sual_Data[[#This Row],[TIEMPO (HORAS)]]*Gastos_Operativos[[#Totals],[GASTOS HORA]]</f>
        <v>41684.215608465602</v>
      </c>
      <c r="V15" s="3">
        <f>V.sual_Data[[#This Row],[COSTO 
DIRECTO ($COP)]]+V.sual_Data[[#This Row],[PRORRATEO GASTOS ($COP)]]</f>
        <v>74979.322660559497</v>
      </c>
      <c r="W15" s="44">
        <v>0.15</v>
      </c>
      <c r="X15" s="15">
        <f>V.sual_Data[[#This Row],[COSTOS OPERACIONALES ($COP)]]*V.sual_Data[[#This Row],[DESFASE (%)]]</f>
        <v>11246.898399083924</v>
      </c>
      <c r="Y15" s="44">
        <v>0.3</v>
      </c>
      <c r="Z15" s="15">
        <f>+((V.sual_Data[[#This Row],[COSTOS OPERACIONALES ($COP)]]/(100%-V.sual_Data[[#This Row],[UTILIDAD (%)]])))-V.sual_Data[[#This Row],[COSTOS OPERACIONALES ($COP)]]</f>
        <v>32133.995425954083</v>
      </c>
      <c r="AA15" s="3">
        <f>+V.sual_Data[[#This Row],[COSTOS OPERACIONALES ($COP)]]+V.sual_Data[[#This Row],[DESFASE ($COP)]]+V.sual_Data[[#This Row],[UTILIDAD ($COP)]]</f>
        <v>118360.2164855975</v>
      </c>
      <c r="AB15" s="44">
        <v>0.05</v>
      </c>
      <c r="AC15" s="15">
        <f>+((V.sual_Data[[#This Row],[VALOR NETO ($COP)]]/(100%-V.sual_Data[[#This Row],[MÁRGEN DE NEGOCIACIÓN (%)]])))-V.sual_Data[[#This Row],[VALOR NETO ($COP)]]</f>
        <v>6229.4850781893474</v>
      </c>
      <c r="AD15" s="15">
        <f>+(V.sual_Data[[#This Row],[VALOR NETO ($COP)]]+V.sual_Data[[#This Row],[NEGOCIACIÓN ($COP)]])*1%</f>
        <v>1245.8970156378684</v>
      </c>
      <c r="AE15" s="15">
        <f>+(V.sual_Data[[#This Row],[VALOR NETO ($COP)]]+V.sual_Data[[#This Row],[NEGOCIACIÓN ($COP)]])*1%</f>
        <v>1245.8970156378684</v>
      </c>
      <c r="AF15" s="3">
        <f>+V.sual_Data[[#This Row],[VALOR NETO ($COP)]]+V.sual_Data[[#This Row],[4 * 1000 ($COP)]]+V.sual_Data[[#This Row],[ICA ($COP)]]+V.sual_Data[[#This Row],[NEGOCIACIÓN ($COP)]]</f>
        <v>127081.49559506257</v>
      </c>
    </row>
    <row r="16" spans="1:32" ht="60" hidden="1" customHeight="1" x14ac:dyDescent="0.25">
      <c r="A16" s="14"/>
      <c r="B16" s="37" t="s">
        <v>124</v>
      </c>
      <c r="C16" s="38" t="s">
        <v>109</v>
      </c>
      <c r="D16" s="38" t="s">
        <v>125</v>
      </c>
      <c r="E16" s="39" t="s">
        <v>126</v>
      </c>
      <c r="F16" s="38" t="s">
        <v>112</v>
      </c>
      <c r="G16" s="39" t="s">
        <v>113</v>
      </c>
      <c r="H16" s="40">
        <v>1</v>
      </c>
      <c r="I16" s="39" t="s">
        <v>136</v>
      </c>
      <c r="J16" s="86">
        <v>8</v>
      </c>
      <c r="K16" s="39" t="s">
        <v>138</v>
      </c>
      <c r="L16" s="40" t="s">
        <v>119</v>
      </c>
      <c r="M16" s="41">
        <v>1.5</v>
      </c>
      <c r="N16" s="42">
        <f>IFERROR(VLOOKUP(V.sual_Data[[#This Row],[RESPONSABLE]],Listas!$D$3:$F$7,3,FALSE),0)</f>
        <v>15197.568389057751</v>
      </c>
      <c r="O16" s="34">
        <f t="shared" si="0"/>
        <v>22796.352583586628</v>
      </c>
      <c r="P16" s="42">
        <f>IFERROR((VLOOKUP(V.sual_Data[[#This Row],[RESPONSABLE]],Listas!$D$3:$K$7,5,FALSE))*V.sual_Data[[#This Row],[TIEMPO (HORAS)]],0)</f>
        <v>5382.4721377912874</v>
      </c>
      <c r="Q16" s="42">
        <f>IFERROR(+VLOOKUP(L16,V.sual_Lista_Data[[EQUIPO VISUAL]:[SOFTWARE 
VALOR HORA]],8,FALSE)*V.sual_Data[[#This Row],[TIEMPO (HORAS)]],"0")</f>
        <v>5116.2823307159751</v>
      </c>
      <c r="R16" s="43">
        <v>0</v>
      </c>
      <c r="S16" s="43">
        <v>0</v>
      </c>
      <c r="T16" s="3">
        <f t="shared" si="1"/>
        <v>33295.107052093888</v>
      </c>
      <c r="U16" s="15">
        <f>V.sual_Data[[#This Row],[TIEMPO (HORAS)]]*Gastos_Operativos[[#Totals],[GASTOS HORA]]</f>
        <v>41684.215608465602</v>
      </c>
      <c r="V16" s="3">
        <f>V.sual_Data[[#This Row],[COSTO 
DIRECTO ($COP)]]+V.sual_Data[[#This Row],[PRORRATEO GASTOS ($COP)]]</f>
        <v>74979.322660559497</v>
      </c>
      <c r="W16" s="44">
        <v>0.15</v>
      </c>
      <c r="X16" s="15">
        <f>V.sual_Data[[#This Row],[COSTOS OPERACIONALES ($COP)]]*V.sual_Data[[#This Row],[DESFASE (%)]]</f>
        <v>11246.898399083924</v>
      </c>
      <c r="Y16" s="44">
        <v>0.3</v>
      </c>
      <c r="Z16" s="15">
        <f>+((V.sual_Data[[#This Row],[COSTOS OPERACIONALES ($COP)]]/(100%-V.sual_Data[[#This Row],[UTILIDAD (%)]])))-V.sual_Data[[#This Row],[COSTOS OPERACIONALES ($COP)]]</f>
        <v>32133.995425954083</v>
      </c>
      <c r="AA16" s="3">
        <f>+V.sual_Data[[#This Row],[COSTOS OPERACIONALES ($COP)]]+V.sual_Data[[#This Row],[DESFASE ($COP)]]+V.sual_Data[[#This Row],[UTILIDAD ($COP)]]</f>
        <v>118360.2164855975</v>
      </c>
      <c r="AB16" s="44">
        <v>0.05</v>
      </c>
      <c r="AC16" s="15">
        <f>+((V.sual_Data[[#This Row],[VALOR NETO ($COP)]]/(100%-V.sual_Data[[#This Row],[MÁRGEN DE NEGOCIACIÓN (%)]])))-V.sual_Data[[#This Row],[VALOR NETO ($COP)]]</f>
        <v>6229.4850781893474</v>
      </c>
      <c r="AD16" s="15">
        <f>+(V.sual_Data[[#This Row],[VALOR NETO ($COP)]]+V.sual_Data[[#This Row],[NEGOCIACIÓN ($COP)]])*1%</f>
        <v>1245.8970156378684</v>
      </c>
      <c r="AE16" s="15">
        <f>+(V.sual_Data[[#This Row],[VALOR NETO ($COP)]]+V.sual_Data[[#This Row],[NEGOCIACIÓN ($COP)]])*1%</f>
        <v>1245.8970156378684</v>
      </c>
      <c r="AF16" s="3">
        <f>+V.sual_Data[[#This Row],[VALOR NETO ($COP)]]+V.sual_Data[[#This Row],[4 * 1000 ($COP)]]+V.sual_Data[[#This Row],[ICA ($COP)]]+V.sual_Data[[#This Row],[NEGOCIACIÓN ($COP)]]</f>
        <v>127081.49559506257</v>
      </c>
    </row>
    <row r="17" spans="1:32" ht="60" hidden="1" customHeight="1" x14ac:dyDescent="0.25">
      <c r="A17" s="14"/>
      <c r="B17" s="37" t="s">
        <v>124</v>
      </c>
      <c r="C17" s="38" t="s">
        <v>109</v>
      </c>
      <c r="D17" s="157" t="s">
        <v>125</v>
      </c>
      <c r="E17" s="131" t="s">
        <v>126</v>
      </c>
      <c r="F17" s="157" t="s">
        <v>112</v>
      </c>
      <c r="G17" s="131" t="s">
        <v>113</v>
      </c>
      <c r="H17" s="158">
        <v>1</v>
      </c>
      <c r="I17" s="131" t="s">
        <v>139</v>
      </c>
      <c r="J17" s="159">
        <v>9</v>
      </c>
      <c r="K17" s="160" t="s">
        <v>140</v>
      </c>
      <c r="L17" s="158" t="s">
        <v>119</v>
      </c>
      <c r="M17" s="161">
        <v>9.1999999999999993</v>
      </c>
      <c r="N17" s="162">
        <f>IFERROR(VLOOKUP(V.sual_Data[[#This Row],[RESPONSABLE]],Listas!$D$3:$F$7,3,FALSE),0)</f>
        <v>15197.568389057751</v>
      </c>
      <c r="O17" s="163">
        <f>+N17*M17</f>
        <v>139817.6291793313</v>
      </c>
      <c r="P17" s="162">
        <f>IFERROR((VLOOKUP(V.sual_Data[[#This Row],[RESPONSABLE]],Listas!$D$3:$K$7,5,FALSE))*V.sual_Data[[#This Row],[TIEMPO (HORAS)]],0)</f>
        <v>33012.495778453231</v>
      </c>
      <c r="Q17" s="162">
        <f>IFERROR(+VLOOKUP(L17,V.sual_Lista_Data[[EQUIPO VISUAL]:[SOFTWARE 
VALOR HORA]],8,FALSE)*V.sual_Data[[#This Row],[TIEMPO (HORAS)]],"0")</f>
        <v>31379.864961724645</v>
      </c>
      <c r="R17" s="164">
        <v>0</v>
      </c>
      <c r="S17" s="164">
        <v>0</v>
      </c>
      <c r="T17" s="165">
        <f>SUM(O17:S17)</f>
        <v>204209.98991950919</v>
      </c>
      <c r="U17" s="166">
        <f>V.sual_Data[[#This Row],[TIEMPO (HORAS)]]*Gastos_Operativos[[#Totals],[GASTOS HORA]]</f>
        <v>255663.18906525566</v>
      </c>
      <c r="V17" s="165">
        <f>V.sual_Data[[#This Row],[COSTO 
DIRECTO ($COP)]]+V.sual_Data[[#This Row],[PRORRATEO GASTOS ($COP)]]</f>
        <v>459873.17898476485</v>
      </c>
      <c r="W17" s="44">
        <v>0.15</v>
      </c>
      <c r="X17" s="166">
        <f>V.sual_Data[[#This Row],[COSTOS OPERACIONALES ($COP)]]*V.sual_Data[[#This Row],[DESFASE (%)]]</f>
        <v>68980.97684771473</v>
      </c>
      <c r="Y17" s="44">
        <v>0.3</v>
      </c>
      <c r="Z17" s="166">
        <f>+((V.sual_Data[[#This Row],[COSTOS OPERACIONALES ($COP)]]/(100%-V.sual_Data[[#This Row],[UTILIDAD (%)]])))-V.sual_Data[[#This Row],[COSTOS OPERACIONALES ($COP)]]</f>
        <v>197088.50527918502</v>
      </c>
      <c r="AA17" s="165">
        <f>+V.sual_Data[[#This Row],[COSTOS OPERACIONALES ($COP)]]+V.sual_Data[[#This Row],[DESFASE ($COP)]]+V.sual_Data[[#This Row],[UTILIDAD ($COP)]]</f>
        <v>725942.66111166461</v>
      </c>
      <c r="AB17" s="167">
        <v>0.05</v>
      </c>
      <c r="AC17" s="166">
        <f>+((V.sual_Data[[#This Row],[VALOR NETO ($COP)]]/(100%-V.sual_Data[[#This Row],[MÁRGEN DE NEGOCIACIÓN (%)]])))-V.sual_Data[[#This Row],[VALOR NETO ($COP)]]</f>
        <v>38207.508479561307</v>
      </c>
      <c r="AD17" s="166">
        <f>+(V.sual_Data[[#This Row],[VALOR NETO ($COP)]]+V.sual_Data[[#This Row],[NEGOCIACIÓN ($COP)]])*1%</f>
        <v>7641.5016959122595</v>
      </c>
      <c r="AE17" s="166">
        <f>+(V.sual_Data[[#This Row],[VALOR NETO ($COP)]]+V.sual_Data[[#This Row],[NEGOCIACIÓN ($COP)]])*1%</f>
        <v>7641.5016959122595</v>
      </c>
      <c r="AF17" s="168">
        <f>+V.sual_Data[[#This Row],[VALOR NETO ($COP)]]+V.sual_Data[[#This Row],[4 * 1000 ($COP)]]+V.sual_Data[[#This Row],[ICA ($COP)]]+V.sual_Data[[#This Row],[NEGOCIACIÓN ($COP)]]</f>
        <v>779433.17298305035</v>
      </c>
    </row>
    <row r="18" spans="1:32" ht="60" hidden="1" customHeight="1" x14ac:dyDescent="0.25">
      <c r="A18" s="14"/>
      <c r="B18" s="37" t="s">
        <v>124</v>
      </c>
      <c r="C18" s="38" t="s">
        <v>109</v>
      </c>
      <c r="D18" s="38" t="s">
        <v>125</v>
      </c>
      <c r="E18" s="39" t="s">
        <v>126</v>
      </c>
      <c r="F18" s="38" t="s">
        <v>112</v>
      </c>
      <c r="G18" s="39" t="s">
        <v>113</v>
      </c>
      <c r="H18" s="40">
        <v>1</v>
      </c>
      <c r="I18" s="39" t="s">
        <v>141</v>
      </c>
      <c r="J18" s="86">
        <v>10</v>
      </c>
      <c r="K18" s="39" t="s">
        <v>142</v>
      </c>
      <c r="L18" s="40" t="s">
        <v>116</v>
      </c>
      <c r="M18" s="41">
        <v>2</v>
      </c>
      <c r="N18" s="42">
        <f>IFERROR(VLOOKUP(V.sual_Data[[#This Row],[RESPONSABLE]],Listas!$D$3:$F$7,3,FALSE),0)</f>
        <v>17730.496453900709</v>
      </c>
      <c r="O18" s="34">
        <f>+N18*M18</f>
        <v>35460.992907801417</v>
      </c>
      <c r="P18" s="42">
        <f>IFERROR((VLOOKUP(V.sual_Data[[#This Row],[RESPONSABLE]],Listas!$D$3:$K$7,5,FALSE))*V.sual_Data[[#This Row],[TIEMPO (HORAS)]],0)</f>
        <v>8443.0935494765272</v>
      </c>
      <c r="Q18" s="42">
        <f>IFERROR(+VLOOKUP(L18,V.sual_Lista_Data[[EQUIPO VISUAL]:[SOFTWARE 
VALOR HORA]],8,FALSE)*V.sual_Data[[#This Row],[TIEMPO (HORAS)]],"0")</f>
        <v>6821.7097742879669</v>
      </c>
      <c r="R18" s="43">
        <v>0</v>
      </c>
      <c r="S18" s="43">
        <v>0</v>
      </c>
      <c r="T18" s="3">
        <f>SUM(O18:S18)</f>
        <v>50725.79623156591</v>
      </c>
      <c r="U18" s="15">
        <f>V.sual_Data[[#This Row],[TIEMPO (HORAS)]]*Gastos_Operativos[[#Totals],[GASTOS HORA]]</f>
        <v>55578.954144620802</v>
      </c>
      <c r="V18" s="3">
        <f>V.sual_Data[[#This Row],[COSTO 
DIRECTO ($COP)]]+V.sual_Data[[#This Row],[PRORRATEO GASTOS ($COP)]]</f>
        <v>106304.75037618671</v>
      </c>
      <c r="W18" s="44">
        <v>0.15</v>
      </c>
      <c r="X18" s="15">
        <f>V.sual_Data[[#This Row],[COSTOS OPERACIONALES ($COP)]]*V.sual_Data[[#This Row],[DESFASE (%)]]</f>
        <v>15945.712556428007</v>
      </c>
      <c r="Y18" s="44">
        <v>0.3</v>
      </c>
      <c r="Z18" s="15">
        <f>+((V.sual_Data[[#This Row],[COSTOS OPERACIONALES ($COP)]]/(100%-V.sual_Data[[#This Row],[UTILIDAD (%)]])))-V.sual_Data[[#This Row],[COSTOS OPERACIONALES ($COP)]]</f>
        <v>45559.17873265146</v>
      </c>
      <c r="AA18" s="3">
        <f>+V.sual_Data[[#This Row],[COSTOS OPERACIONALES ($COP)]]+V.sual_Data[[#This Row],[DESFASE ($COP)]]+V.sual_Data[[#This Row],[UTILIDAD ($COP)]]</f>
        <v>167809.64166526619</v>
      </c>
      <c r="AB18" s="44">
        <v>0.05</v>
      </c>
      <c r="AC18" s="15">
        <f>+((V.sual_Data[[#This Row],[VALOR NETO ($COP)]]/(100%-V.sual_Data[[#This Row],[MÁRGEN DE NEGOCIACIÓN (%)]])))-V.sual_Data[[#This Row],[VALOR NETO ($COP)]]</f>
        <v>8832.086403435067</v>
      </c>
      <c r="AD18" s="15">
        <f>+(V.sual_Data[[#This Row],[VALOR NETO ($COP)]]+V.sual_Data[[#This Row],[NEGOCIACIÓN ($COP)]])*1%</f>
        <v>1766.4172806870126</v>
      </c>
      <c r="AE18" s="15">
        <f>+(V.sual_Data[[#This Row],[VALOR NETO ($COP)]]+V.sual_Data[[#This Row],[NEGOCIACIÓN ($COP)]])*1%</f>
        <v>1766.4172806870126</v>
      </c>
      <c r="AF18" s="3">
        <f>+V.sual_Data[[#This Row],[VALOR NETO ($COP)]]+V.sual_Data[[#This Row],[4 * 1000 ($COP)]]+V.sual_Data[[#This Row],[ICA ($COP)]]+V.sual_Data[[#This Row],[NEGOCIACIÓN ($COP)]]</f>
        <v>180174.56263007529</v>
      </c>
    </row>
    <row r="19" spans="1:32" ht="60" hidden="1" customHeight="1" x14ac:dyDescent="0.25">
      <c r="A19" s="14"/>
      <c r="B19" s="37" t="s">
        <v>143</v>
      </c>
      <c r="C19" s="38" t="s">
        <v>144</v>
      </c>
      <c r="D19" s="38" t="s">
        <v>125</v>
      </c>
      <c r="E19" s="38" t="s">
        <v>145</v>
      </c>
      <c r="F19" s="38" t="s">
        <v>146</v>
      </c>
      <c r="G19" s="39" t="s">
        <v>147</v>
      </c>
      <c r="H19" s="40">
        <v>1</v>
      </c>
      <c r="I19" s="39" t="s">
        <v>148</v>
      </c>
      <c r="J19" s="86">
        <v>1</v>
      </c>
      <c r="K19" s="39" t="s">
        <v>149</v>
      </c>
      <c r="L19" s="40" t="s">
        <v>150</v>
      </c>
      <c r="M19" s="41">
        <v>1.5</v>
      </c>
      <c r="N19" s="42">
        <f>IFERROR(VLOOKUP(V.sual_Data[[#This Row],[RESPONSABLE]],Listas!$D$3:$F$7,3,FALSE),0)</f>
        <v>10000</v>
      </c>
      <c r="O19" s="34">
        <f t="shared" si="0"/>
        <v>15000</v>
      </c>
      <c r="P19" s="42">
        <f>IFERROR((VLOOKUP(V.sual_Data[[#This Row],[RESPONSABLE]],Listas!$D$3:$K$7,5,FALSE))*V.sual_Data[[#This Row],[TIEMPO (HORAS)]],0)</f>
        <v>5065.856129685917</v>
      </c>
      <c r="Q19" s="42">
        <f>IFERROR(+VLOOKUP(L19,V.sual_Lista_Data[[EQUIPO VISUAL]:[SOFTWARE 
VALOR HORA]],8,FALSE)*V.sual_Data[[#This Row],[TIEMPO (HORAS)]],"0")</f>
        <v>5116.2823307159751</v>
      </c>
      <c r="R19" s="43">
        <v>0</v>
      </c>
      <c r="S19" s="43">
        <v>0</v>
      </c>
      <c r="T19" s="3">
        <f t="shared" si="1"/>
        <v>25182.138460401893</v>
      </c>
      <c r="U19" s="15">
        <f>V.sual_Data[[#This Row],[TIEMPO (HORAS)]]*Gastos_Operativos[[#Totals],[GASTOS HORA]]</f>
        <v>41684.215608465602</v>
      </c>
      <c r="V19" s="3">
        <f>V.sual_Data[[#This Row],[COSTO 
DIRECTO ($COP)]]+V.sual_Data[[#This Row],[PRORRATEO GASTOS ($COP)]]</f>
        <v>66866.354068867498</v>
      </c>
      <c r="W19" s="44">
        <v>0.15</v>
      </c>
      <c r="X19" s="15">
        <f>V.sual_Data[[#This Row],[COSTOS OPERACIONALES ($COP)]]*V.sual_Data[[#This Row],[DESFASE (%)]]</f>
        <v>10029.953110330125</v>
      </c>
      <c r="Y19" s="44">
        <v>0.3</v>
      </c>
      <c r="Z19" s="15">
        <f>+((V.sual_Data[[#This Row],[COSTOS OPERACIONALES ($COP)]]/(100%-V.sual_Data[[#This Row],[UTILIDAD (%)]])))-V.sual_Data[[#This Row],[COSTOS OPERACIONALES ($COP)]]</f>
        <v>28657.00888665751</v>
      </c>
      <c r="AA19" s="3">
        <f>+V.sual_Data[[#This Row],[COSTOS OPERACIONALES ($COP)]]+V.sual_Data[[#This Row],[DESFASE ($COP)]]+V.sual_Data[[#This Row],[UTILIDAD ($COP)]]</f>
        <v>105553.31606585514</v>
      </c>
      <c r="AB19" s="44">
        <v>0.05</v>
      </c>
      <c r="AC19" s="15">
        <f>+((V.sual_Data[[#This Row],[VALOR NETO ($COP)]]/(100%-V.sual_Data[[#This Row],[MÁRGEN DE NEGOCIACIÓN (%)]])))-V.sual_Data[[#This Row],[VALOR NETO ($COP)]]</f>
        <v>5555.4376876765891</v>
      </c>
      <c r="AD19" s="15">
        <f>+(V.sual_Data[[#This Row],[VALOR NETO ($COP)]]+V.sual_Data[[#This Row],[NEGOCIACIÓN ($COP)]])*1%</f>
        <v>1111.0875375353173</v>
      </c>
      <c r="AE19" s="15">
        <f>+(V.sual_Data[[#This Row],[VALOR NETO ($COP)]]+V.sual_Data[[#This Row],[NEGOCIACIÓN ($COP)]])*1%</f>
        <v>1111.0875375353173</v>
      </c>
      <c r="AF19" s="3">
        <f>+V.sual_Data[[#This Row],[VALOR NETO ($COP)]]+V.sual_Data[[#This Row],[4 * 1000 ($COP)]]+V.sual_Data[[#This Row],[ICA ($COP)]]+V.sual_Data[[#This Row],[NEGOCIACIÓN ($COP)]]</f>
        <v>113330.92882860237</v>
      </c>
    </row>
    <row r="20" spans="1:32" ht="60" hidden="1" customHeight="1" x14ac:dyDescent="0.25">
      <c r="A20" s="14"/>
      <c r="B20" s="37" t="s">
        <v>143</v>
      </c>
      <c r="C20" s="38" t="s">
        <v>144</v>
      </c>
      <c r="D20" s="38" t="s">
        <v>125</v>
      </c>
      <c r="E20" s="38" t="s">
        <v>145</v>
      </c>
      <c r="F20" s="38" t="s">
        <v>146</v>
      </c>
      <c r="G20" s="39" t="s">
        <v>147</v>
      </c>
      <c r="H20" s="40">
        <v>1</v>
      </c>
      <c r="I20" s="39" t="s">
        <v>151</v>
      </c>
      <c r="J20" s="86">
        <v>2</v>
      </c>
      <c r="K20" s="39" t="s">
        <v>152</v>
      </c>
      <c r="L20" s="40" t="s">
        <v>116</v>
      </c>
      <c r="M20" s="41">
        <v>2.5</v>
      </c>
      <c r="N20" s="42">
        <f>IFERROR(VLOOKUP(V.sual_Data[[#This Row],[RESPONSABLE]],Listas!$D$3:$F$7,3,FALSE),0)</f>
        <v>17730.496453900709</v>
      </c>
      <c r="O20" s="34">
        <f>+N20*M20</f>
        <v>44326.24113475177</v>
      </c>
      <c r="P20" s="42">
        <f>IFERROR((VLOOKUP(V.sual_Data[[#This Row],[RESPONSABLE]],Listas!$D$3:$K$7,5,FALSE))*V.sual_Data[[#This Row],[TIEMPO (HORAS)]],0)</f>
        <v>10553.866936845659</v>
      </c>
      <c r="Q20" s="42">
        <f>IFERROR(+VLOOKUP(L20,V.sual_Lista_Data[[EQUIPO VISUAL]:[SOFTWARE 
VALOR HORA]],8,FALSE)*V.sual_Data[[#This Row],[TIEMPO (HORAS)]],"0")</f>
        <v>8527.1372178599595</v>
      </c>
      <c r="R20" s="43">
        <v>0</v>
      </c>
      <c r="S20" s="43">
        <v>0</v>
      </c>
      <c r="T20" s="3">
        <f t="shared" si="1"/>
        <v>63407.245289457394</v>
      </c>
      <c r="U20" s="15">
        <f>V.sual_Data[[#This Row],[TIEMPO (HORAS)]]*Gastos_Operativos[[#Totals],[GASTOS HORA]]</f>
        <v>69473.692680776003</v>
      </c>
      <c r="V20" s="3">
        <f>V.sual_Data[[#This Row],[COSTO 
DIRECTO ($COP)]]+V.sual_Data[[#This Row],[PRORRATEO GASTOS ($COP)]]</f>
        <v>132880.93797023338</v>
      </c>
      <c r="W20" s="44">
        <v>0.15</v>
      </c>
      <c r="X20" s="15">
        <f>V.sual_Data[[#This Row],[COSTOS OPERACIONALES ($COP)]]*V.sual_Data[[#This Row],[DESFASE (%)]]</f>
        <v>19932.140695535007</v>
      </c>
      <c r="Y20" s="44">
        <v>0.3</v>
      </c>
      <c r="Z20" s="15">
        <f>+((V.sual_Data[[#This Row],[COSTOS OPERACIONALES ($COP)]]/(100%-V.sual_Data[[#This Row],[UTILIDAD (%)]])))-V.sual_Data[[#This Row],[COSTOS OPERACIONALES ($COP)]]</f>
        <v>56948.973415814311</v>
      </c>
      <c r="AA20" s="3">
        <f>+V.sual_Data[[#This Row],[COSTOS OPERACIONALES ($COP)]]+V.sual_Data[[#This Row],[DESFASE ($COP)]]+V.sual_Data[[#This Row],[UTILIDAD ($COP)]]</f>
        <v>209762.05208158269</v>
      </c>
      <c r="AB20" s="44">
        <v>0.05</v>
      </c>
      <c r="AC20" s="15">
        <f>+((V.sual_Data[[#This Row],[VALOR NETO ($COP)]]/(100%-V.sual_Data[[#This Row],[MÁRGEN DE NEGOCIACIÓN (%)]])))-V.sual_Data[[#This Row],[VALOR NETO ($COP)]]</f>
        <v>11040.108004293841</v>
      </c>
      <c r="AD20" s="15">
        <f>+(V.sual_Data[[#This Row],[VALOR NETO ($COP)]]+V.sual_Data[[#This Row],[NEGOCIACIÓN ($COP)]])*1%</f>
        <v>2208.0216008587654</v>
      </c>
      <c r="AE20" s="15">
        <f>+(V.sual_Data[[#This Row],[VALOR NETO ($COP)]]+V.sual_Data[[#This Row],[NEGOCIACIÓN ($COP)]])*1%</f>
        <v>2208.0216008587654</v>
      </c>
      <c r="AF20" s="3">
        <f>+V.sual_Data[[#This Row],[VALOR NETO ($COP)]]+V.sual_Data[[#This Row],[4 * 1000 ($COP)]]+V.sual_Data[[#This Row],[ICA ($COP)]]+V.sual_Data[[#This Row],[NEGOCIACIÓN ($COP)]]</f>
        <v>225218.20328759408</v>
      </c>
    </row>
    <row r="21" spans="1:32" ht="60" hidden="1" customHeight="1" x14ac:dyDescent="0.25">
      <c r="A21" s="14"/>
      <c r="B21" s="37" t="s">
        <v>143</v>
      </c>
      <c r="C21" s="38" t="s">
        <v>144</v>
      </c>
      <c r="D21" s="38" t="s">
        <v>125</v>
      </c>
      <c r="E21" s="38" t="s">
        <v>145</v>
      </c>
      <c r="F21" s="38" t="s">
        <v>146</v>
      </c>
      <c r="G21" s="39" t="s">
        <v>147</v>
      </c>
      <c r="H21" s="40">
        <v>1</v>
      </c>
      <c r="I21" s="39" t="s">
        <v>151</v>
      </c>
      <c r="J21" s="86">
        <v>3</v>
      </c>
      <c r="K21" s="39" t="s">
        <v>153</v>
      </c>
      <c r="L21" s="40" t="s">
        <v>116</v>
      </c>
      <c r="M21" s="41">
        <v>2</v>
      </c>
      <c r="N21" s="42">
        <f>IFERROR(VLOOKUP(V.sual_Data[[#This Row],[RESPONSABLE]],Listas!$D$3:$F$7,3,FALSE),0)</f>
        <v>17730.496453900709</v>
      </c>
      <c r="O21" s="34">
        <f t="shared" si="0"/>
        <v>35460.992907801417</v>
      </c>
      <c r="P21" s="42">
        <f>IFERROR((VLOOKUP(V.sual_Data[[#This Row],[RESPONSABLE]],Listas!$D$3:$K$7,5,FALSE))*V.sual_Data[[#This Row],[TIEMPO (HORAS)]],0)</f>
        <v>8443.0935494765272</v>
      </c>
      <c r="Q21" s="42">
        <f>IFERROR(+VLOOKUP(L21,V.sual_Lista_Data[[EQUIPO VISUAL]:[SOFTWARE 
VALOR HORA]],8,FALSE)*V.sual_Data[[#This Row],[TIEMPO (HORAS)]],"0")</f>
        <v>6821.7097742879669</v>
      </c>
      <c r="R21" s="43">
        <v>0</v>
      </c>
      <c r="S21" s="43">
        <v>0</v>
      </c>
      <c r="T21" s="3">
        <f t="shared" si="1"/>
        <v>50725.79623156591</v>
      </c>
      <c r="U21" s="15">
        <f>V.sual_Data[[#This Row],[TIEMPO (HORAS)]]*Gastos_Operativos[[#Totals],[GASTOS HORA]]</f>
        <v>55578.954144620802</v>
      </c>
      <c r="V21" s="3">
        <f>V.sual_Data[[#This Row],[COSTO 
DIRECTO ($COP)]]+V.sual_Data[[#This Row],[PRORRATEO GASTOS ($COP)]]</f>
        <v>106304.75037618671</v>
      </c>
      <c r="W21" s="44">
        <v>0.15</v>
      </c>
      <c r="X21" s="15">
        <f>V.sual_Data[[#This Row],[COSTOS OPERACIONALES ($COP)]]*V.sual_Data[[#This Row],[DESFASE (%)]]</f>
        <v>15945.712556428007</v>
      </c>
      <c r="Y21" s="44">
        <v>0.3</v>
      </c>
      <c r="Z21" s="15">
        <f>+((V.sual_Data[[#This Row],[COSTOS OPERACIONALES ($COP)]]/(100%-V.sual_Data[[#This Row],[UTILIDAD (%)]])))-V.sual_Data[[#This Row],[COSTOS OPERACIONALES ($COP)]]</f>
        <v>45559.17873265146</v>
      </c>
      <c r="AA21" s="3">
        <f>+V.sual_Data[[#This Row],[COSTOS OPERACIONALES ($COP)]]+V.sual_Data[[#This Row],[DESFASE ($COP)]]+V.sual_Data[[#This Row],[UTILIDAD ($COP)]]</f>
        <v>167809.64166526619</v>
      </c>
      <c r="AB21" s="44">
        <v>0.05</v>
      </c>
      <c r="AC21" s="15">
        <f>+((V.sual_Data[[#This Row],[VALOR NETO ($COP)]]/(100%-V.sual_Data[[#This Row],[MÁRGEN DE NEGOCIACIÓN (%)]])))-V.sual_Data[[#This Row],[VALOR NETO ($COP)]]</f>
        <v>8832.086403435067</v>
      </c>
      <c r="AD21" s="15">
        <f>+(V.sual_Data[[#This Row],[VALOR NETO ($COP)]]+V.sual_Data[[#This Row],[NEGOCIACIÓN ($COP)]])*1%</f>
        <v>1766.4172806870126</v>
      </c>
      <c r="AE21" s="15">
        <f>+(V.sual_Data[[#This Row],[VALOR NETO ($COP)]]+V.sual_Data[[#This Row],[NEGOCIACIÓN ($COP)]])*1%</f>
        <v>1766.4172806870126</v>
      </c>
      <c r="AF21" s="3">
        <f>+V.sual_Data[[#This Row],[VALOR NETO ($COP)]]+V.sual_Data[[#This Row],[4 * 1000 ($COP)]]+V.sual_Data[[#This Row],[ICA ($COP)]]+V.sual_Data[[#This Row],[NEGOCIACIÓN ($COP)]]</f>
        <v>180174.56263007529</v>
      </c>
    </row>
    <row r="22" spans="1:32" ht="60" hidden="1" customHeight="1" x14ac:dyDescent="0.25">
      <c r="A22" s="14"/>
      <c r="B22" s="37" t="s">
        <v>143</v>
      </c>
      <c r="C22" s="38" t="s">
        <v>144</v>
      </c>
      <c r="D22" s="38" t="s">
        <v>125</v>
      </c>
      <c r="E22" s="38" t="s">
        <v>145</v>
      </c>
      <c r="F22" s="38" t="s">
        <v>146</v>
      </c>
      <c r="G22" s="39" t="s">
        <v>147</v>
      </c>
      <c r="H22" s="40">
        <v>1</v>
      </c>
      <c r="I22" s="39" t="s">
        <v>154</v>
      </c>
      <c r="J22" s="86">
        <v>4</v>
      </c>
      <c r="K22" s="39" t="s">
        <v>155</v>
      </c>
      <c r="L22" s="40" t="s">
        <v>116</v>
      </c>
      <c r="M22" s="41">
        <v>1.2</v>
      </c>
      <c r="N22" s="42">
        <f>IFERROR(VLOOKUP(V.sual_Data[[#This Row],[RESPONSABLE]],Listas!$D$3:$F$7,3,FALSE),0)</f>
        <v>17730.496453900709</v>
      </c>
      <c r="O22" s="34">
        <f t="shared" si="0"/>
        <v>21276.59574468085</v>
      </c>
      <c r="P22" s="42">
        <f>IFERROR((VLOOKUP(V.sual_Data[[#This Row],[RESPONSABLE]],Listas!$D$3:$K$7,5,FALSE))*V.sual_Data[[#This Row],[TIEMPO (HORAS)]],0)</f>
        <v>5065.8561296859161</v>
      </c>
      <c r="Q22" s="42">
        <f>IFERROR(+VLOOKUP(L22,V.sual_Lista_Data[[EQUIPO VISUAL]:[SOFTWARE 
VALOR HORA]],8,FALSE)*V.sual_Data[[#This Row],[TIEMPO (HORAS)]],"0")</f>
        <v>4093.0258645727799</v>
      </c>
      <c r="R22" s="43">
        <v>0</v>
      </c>
      <c r="S22" s="43">
        <v>0</v>
      </c>
      <c r="T22" s="3">
        <f t="shared" si="1"/>
        <v>30435.477738939546</v>
      </c>
      <c r="U22" s="15">
        <f>V.sual_Data[[#This Row],[TIEMPO (HORAS)]]*Gastos_Operativos[[#Totals],[GASTOS HORA]]</f>
        <v>33347.372486772481</v>
      </c>
      <c r="V22" s="3">
        <f>V.sual_Data[[#This Row],[COSTO 
DIRECTO ($COP)]]+V.sual_Data[[#This Row],[PRORRATEO GASTOS ($COP)]]</f>
        <v>63782.850225712027</v>
      </c>
      <c r="W22" s="44">
        <v>0.15</v>
      </c>
      <c r="X22" s="15">
        <f>V.sual_Data[[#This Row],[COSTOS OPERACIONALES ($COP)]]*V.sual_Data[[#This Row],[DESFASE (%)]]</f>
        <v>9567.4275338568041</v>
      </c>
      <c r="Y22" s="44">
        <v>0.3</v>
      </c>
      <c r="Z22" s="15">
        <f>+((V.sual_Data[[#This Row],[COSTOS OPERACIONALES ($COP)]]/(100%-V.sual_Data[[#This Row],[UTILIDAD (%)]])))-V.sual_Data[[#This Row],[COSTOS OPERACIONALES ($COP)]]</f>
        <v>27335.507239590879</v>
      </c>
      <c r="AA22" s="3">
        <f>+V.sual_Data[[#This Row],[COSTOS OPERACIONALES ($COP)]]+V.sual_Data[[#This Row],[DESFASE ($COP)]]+V.sual_Data[[#This Row],[UTILIDAD ($COP)]]</f>
        <v>100685.7849991597</v>
      </c>
      <c r="AB22" s="44">
        <v>0.05</v>
      </c>
      <c r="AC22" s="15">
        <f>+((V.sual_Data[[#This Row],[VALOR NETO ($COP)]]/(100%-V.sual_Data[[#This Row],[MÁRGEN DE NEGOCIACIÓN (%)]])))-V.sual_Data[[#This Row],[VALOR NETO ($COP)]]</f>
        <v>5299.2518420610431</v>
      </c>
      <c r="AD22" s="15">
        <f>+(V.sual_Data[[#This Row],[VALOR NETO ($COP)]]+V.sual_Data[[#This Row],[NEGOCIACIÓN ($COP)]])*1%</f>
        <v>1059.8503684122074</v>
      </c>
      <c r="AE22" s="15">
        <f>+(V.sual_Data[[#This Row],[VALOR NETO ($COP)]]+V.sual_Data[[#This Row],[NEGOCIACIÓN ($COP)]])*1%</f>
        <v>1059.8503684122074</v>
      </c>
      <c r="AF22" s="3">
        <f>+V.sual_Data[[#This Row],[VALOR NETO ($COP)]]+V.sual_Data[[#This Row],[4 * 1000 ($COP)]]+V.sual_Data[[#This Row],[ICA ($COP)]]+V.sual_Data[[#This Row],[NEGOCIACIÓN ($COP)]]</f>
        <v>108104.73757804517</v>
      </c>
    </row>
    <row r="23" spans="1:32" ht="60" hidden="1" customHeight="1" x14ac:dyDescent="0.25">
      <c r="A23" s="14"/>
      <c r="B23" s="37" t="s">
        <v>143</v>
      </c>
      <c r="C23" s="38" t="s">
        <v>144</v>
      </c>
      <c r="D23" s="38" t="s">
        <v>125</v>
      </c>
      <c r="E23" s="38" t="s">
        <v>145</v>
      </c>
      <c r="F23" s="38" t="s">
        <v>146</v>
      </c>
      <c r="G23" s="39" t="s">
        <v>147</v>
      </c>
      <c r="H23" s="40">
        <v>1</v>
      </c>
      <c r="I23" s="39" t="s">
        <v>154</v>
      </c>
      <c r="J23" s="86">
        <v>5</v>
      </c>
      <c r="K23" s="39" t="s">
        <v>156</v>
      </c>
      <c r="L23" s="40" t="s">
        <v>116</v>
      </c>
      <c r="M23" s="41">
        <v>1</v>
      </c>
      <c r="N23" s="42">
        <f>IFERROR(VLOOKUP(V.sual_Data[[#This Row],[RESPONSABLE]],Listas!$D$3:$F$7,3,FALSE),0)</f>
        <v>17730.496453900709</v>
      </c>
      <c r="O23" s="34">
        <f t="shared" si="0"/>
        <v>17730.496453900709</v>
      </c>
      <c r="P23" s="42">
        <f>IFERROR((VLOOKUP(V.sual_Data[[#This Row],[RESPONSABLE]],Listas!$D$3:$K$7,5,FALSE))*V.sual_Data[[#This Row],[TIEMPO (HORAS)]],0)</f>
        <v>4221.5467747382636</v>
      </c>
      <c r="Q23" s="42">
        <f>IFERROR(+VLOOKUP(L23,V.sual_Lista_Data[[EQUIPO VISUAL]:[SOFTWARE 
VALOR HORA]],8,FALSE)*V.sual_Data[[#This Row],[TIEMPO (HORAS)]],"0")</f>
        <v>3410.8548871439834</v>
      </c>
      <c r="R23" s="43">
        <v>0</v>
      </c>
      <c r="S23" s="43">
        <v>0</v>
      </c>
      <c r="T23" s="3">
        <f t="shared" si="1"/>
        <v>25362.898115782955</v>
      </c>
      <c r="U23" s="15">
        <f>V.sual_Data[[#This Row],[TIEMPO (HORAS)]]*Gastos_Operativos[[#Totals],[GASTOS HORA]]</f>
        <v>27789.477072310401</v>
      </c>
      <c r="V23" s="3">
        <f>V.sual_Data[[#This Row],[COSTO 
DIRECTO ($COP)]]+V.sual_Data[[#This Row],[PRORRATEO GASTOS ($COP)]]</f>
        <v>53152.375188093356</v>
      </c>
      <c r="W23" s="44">
        <v>0.15</v>
      </c>
      <c r="X23" s="15">
        <f>V.sual_Data[[#This Row],[COSTOS OPERACIONALES ($COP)]]*V.sual_Data[[#This Row],[DESFASE (%)]]</f>
        <v>7972.8562782140034</v>
      </c>
      <c r="Y23" s="44">
        <v>0.3</v>
      </c>
      <c r="Z23" s="15">
        <f>+((V.sual_Data[[#This Row],[COSTOS OPERACIONALES ($COP)]]/(100%-V.sual_Data[[#This Row],[UTILIDAD (%)]])))-V.sual_Data[[#This Row],[COSTOS OPERACIONALES ($COP)]]</f>
        <v>22779.58936632573</v>
      </c>
      <c r="AA23" s="3">
        <f>+V.sual_Data[[#This Row],[COSTOS OPERACIONALES ($COP)]]+V.sual_Data[[#This Row],[DESFASE ($COP)]]+V.sual_Data[[#This Row],[UTILIDAD ($COP)]]</f>
        <v>83904.820832633093</v>
      </c>
      <c r="AB23" s="44">
        <v>0.05</v>
      </c>
      <c r="AC23" s="15">
        <f>+((V.sual_Data[[#This Row],[VALOR NETO ($COP)]]/(100%-V.sual_Data[[#This Row],[MÁRGEN DE NEGOCIACIÓN (%)]])))-V.sual_Data[[#This Row],[VALOR NETO ($COP)]]</f>
        <v>4416.0432017175335</v>
      </c>
      <c r="AD23" s="15">
        <f>+(V.sual_Data[[#This Row],[VALOR NETO ($COP)]]+V.sual_Data[[#This Row],[NEGOCIACIÓN ($COP)]])*1%</f>
        <v>883.20864034350632</v>
      </c>
      <c r="AE23" s="15">
        <f>+(V.sual_Data[[#This Row],[VALOR NETO ($COP)]]+V.sual_Data[[#This Row],[NEGOCIACIÓN ($COP)]])*1%</f>
        <v>883.20864034350632</v>
      </c>
      <c r="AF23" s="3">
        <f>+V.sual_Data[[#This Row],[VALOR NETO ($COP)]]+V.sual_Data[[#This Row],[4 * 1000 ($COP)]]+V.sual_Data[[#This Row],[ICA ($COP)]]+V.sual_Data[[#This Row],[NEGOCIACIÓN ($COP)]]</f>
        <v>90087.281315037646</v>
      </c>
    </row>
    <row r="24" spans="1:32" ht="60" hidden="1" customHeight="1" x14ac:dyDescent="0.25">
      <c r="A24" s="14"/>
      <c r="B24" s="37" t="s">
        <v>143</v>
      </c>
      <c r="C24" s="38" t="s">
        <v>144</v>
      </c>
      <c r="D24" s="38" t="s">
        <v>125</v>
      </c>
      <c r="E24" s="38" t="s">
        <v>145</v>
      </c>
      <c r="F24" s="38" t="s">
        <v>146</v>
      </c>
      <c r="G24" s="39" t="s">
        <v>147</v>
      </c>
      <c r="H24" s="40">
        <v>1</v>
      </c>
      <c r="I24" s="39" t="s">
        <v>148</v>
      </c>
      <c r="J24" s="86">
        <v>6</v>
      </c>
      <c r="K24" s="39" t="s">
        <v>157</v>
      </c>
      <c r="L24" s="40" t="s">
        <v>116</v>
      </c>
      <c r="M24" s="41">
        <v>1.2</v>
      </c>
      <c r="N24" s="42">
        <f>IFERROR(VLOOKUP(V.sual_Data[[#This Row],[RESPONSABLE]],Listas!$D$3:$F$7,3,FALSE),0)</f>
        <v>17730.496453900709</v>
      </c>
      <c r="O24" s="34">
        <f t="shared" si="0"/>
        <v>21276.59574468085</v>
      </c>
      <c r="P24" s="42">
        <f>IFERROR((VLOOKUP(V.sual_Data[[#This Row],[RESPONSABLE]],Listas!$D$3:$K$7,5,FALSE))*V.sual_Data[[#This Row],[TIEMPO (HORAS)]],0)</f>
        <v>5065.8561296859161</v>
      </c>
      <c r="Q24" s="42">
        <f>IFERROR(+VLOOKUP(L24,V.sual_Lista_Data[[EQUIPO VISUAL]:[SOFTWARE 
VALOR HORA]],8,FALSE)*V.sual_Data[[#This Row],[TIEMPO (HORAS)]],"0")</f>
        <v>4093.0258645727799</v>
      </c>
      <c r="R24" s="43">
        <v>0</v>
      </c>
      <c r="S24" s="43">
        <v>0</v>
      </c>
      <c r="T24" s="3">
        <f t="shared" si="1"/>
        <v>30435.477738939546</v>
      </c>
      <c r="U24" s="15">
        <f>V.sual_Data[[#This Row],[TIEMPO (HORAS)]]*Gastos_Operativos[[#Totals],[GASTOS HORA]]</f>
        <v>33347.372486772481</v>
      </c>
      <c r="V24" s="3">
        <f>V.sual_Data[[#This Row],[COSTO 
DIRECTO ($COP)]]+V.sual_Data[[#This Row],[PRORRATEO GASTOS ($COP)]]</f>
        <v>63782.850225712027</v>
      </c>
      <c r="W24" s="44">
        <v>0.15</v>
      </c>
      <c r="X24" s="15">
        <f>V.sual_Data[[#This Row],[COSTOS OPERACIONALES ($COP)]]*V.sual_Data[[#This Row],[DESFASE (%)]]</f>
        <v>9567.4275338568041</v>
      </c>
      <c r="Y24" s="44">
        <v>0.3</v>
      </c>
      <c r="Z24" s="15">
        <f>+((V.sual_Data[[#This Row],[COSTOS OPERACIONALES ($COP)]]/(100%-V.sual_Data[[#This Row],[UTILIDAD (%)]])))-V.sual_Data[[#This Row],[COSTOS OPERACIONALES ($COP)]]</f>
        <v>27335.507239590879</v>
      </c>
      <c r="AA24" s="3">
        <f>+V.sual_Data[[#This Row],[COSTOS OPERACIONALES ($COP)]]+V.sual_Data[[#This Row],[DESFASE ($COP)]]+V.sual_Data[[#This Row],[UTILIDAD ($COP)]]</f>
        <v>100685.7849991597</v>
      </c>
      <c r="AB24" s="44">
        <v>0.05</v>
      </c>
      <c r="AC24" s="15">
        <f>+((V.sual_Data[[#This Row],[VALOR NETO ($COP)]]/(100%-V.sual_Data[[#This Row],[MÁRGEN DE NEGOCIACIÓN (%)]])))-V.sual_Data[[#This Row],[VALOR NETO ($COP)]]</f>
        <v>5299.2518420610431</v>
      </c>
      <c r="AD24" s="15">
        <f>+(V.sual_Data[[#This Row],[VALOR NETO ($COP)]]+V.sual_Data[[#This Row],[NEGOCIACIÓN ($COP)]])*1%</f>
        <v>1059.8503684122074</v>
      </c>
      <c r="AE24" s="15">
        <f>+(V.sual_Data[[#This Row],[VALOR NETO ($COP)]]+V.sual_Data[[#This Row],[NEGOCIACIÓN ($COP)]])*1%</f>
        <v>1059.8503684122074</v>
      </c>
      <c r="AF24" s="3">
        <f>+V.sual_Data[[#This Row],[VALOR NETO ($COP)]]+V.sual_Data[[#This Row],[4 * 1000 ($COP)]]+V.sual_Data[[#This Row],[ICA ($COP)]]+V.sual_Data[[#This Row],[NEGOCIACIÓN ($COP)]]</f>
        <v>108104.73757804517</v>
      </c>
    </row>
    <row r="25" spans="1:32" ht="60" hidden="1" customHeight="1" x14ac:dyDescent="0.25">
      <c r="A25" s="14"/>
      <c r="B25" s="37" t="s">
        <v>143</v>
      </c>
      <c r="C25" s="38" t="s">
        <v>144</v>
      </c>
      <c r="D25" s="38" t="s">
        <v>125</v>
      </c>
      <c r="E25" s="38" t="s">
        <v>145</v>
      </c>
      <c r="F25" s="38" t="s">
        <v>146</v>
      </c>
      <c r="G25" s="39" t="s">
        <v>147</v>
      </c>
      <c r="H25" s="40">
        <v>1</v>
      </c>
      <c r="I25" s="39" t="s">
        <v>148</v>
      </c>
      <c r="J25" s="86">
        <v>7</v>
      </c>
      <c r="K25" s="39" t="s">
        <v>158</v>
      </c>
      <c r="L25" s="40" t="s">
        <v>116</v>
      </c>
      <c r="M25" s="41">
        <v>2</v>
      </c>
      <c r="N25" s="42">
        <f>IFERROR(VLOOKUP(V.sual_Data[[#This Row],[RESPONSABLE]],Listas!$D$3:$F$7,3,FALSE),0)</f>
        <v>17730.496453900709</v>
      </c>
      <c r="O25" s="34">
        <f t="shared" si="0"/>
        <v>35460.992907801417</v>
      </c>
      <c r="P25" s="42">
        <f>IFERROR((VLOOKUP(V.sual_Data[[#This Row],[RESPONSABLE]],Listas!$D$3:$K$7,5,FALSE))*V.sual_Data[[#This Row],[TIEMPO (HORAS)]],0)</f>
        <v>8443.0935494765272</v>
      </c>
      <c r="Q25" s="42">
        <f>IFERROR(+VLOOKUP(L25,V.sual_Lista_Data[[EQUIPO VISUAL]:[SOFTWARE 
VALOR HORA]],8,FALSE)*V.sual_Data[[#This Row],[TIEMPO (HORAS)]],"0")</f>
        <v>6821.7097742879669</v>
      </c>
      <c r="R25" s="43">
        <v>0</v>
      </c>
      <c r="S25" s="43">
        <v>0</v>
      </c>
      <c r="T25" s="3">
        <f t="shared" si="1"/>
        <v>50725.79623156591</v>
      </c>
      <c r="U25" s="15">
        <f>V.sual_Data[[#This Row],[TIEMPO (HORAS)]]*Gastos_Operativos[[#Totals],[GASTOS HORA]]</f>
        <v>55578.954144620802</v>
      </c>
      <c r="V25" s="3">
        <f>V.sual_Data[[#This Row],[COSTO 
DIRECTO ($COP)]]+V.sual_Data[[#This Row],[PRORRATEO GASTOS ($COP)]]</f>
        <v>106304.75037618671</v>
      </c>
      <c r="W25" s="44">
        <v>0.15</v>
      </c>
      <c r="X25" s="15">
        <f>V.sual_Data[[#This Row],[COSTOS OPERACIONALES ($COP)]]*V.sual_Data[[#This Row],[DESFASE (%)]]</f>
        <v>15945.712556428007</v>
      </c>
      <c r="Y25" s="44">
        <v>0.3</v>
      </c>
      <c r="Z25" s="15">
        <f>+((V.sual_Data[[#This Row],[COSTOS OPERACIONALES ($COP)]]/(100%-V.sual_Data[[#This Row],[UTILIDAD (%)]])))-V.sual_Data[[#This Row],[COSTOS OPERACIONALES ($COP)]]</f>
        <v>45559.17873265146</v>
      </c>
      <c r="AA25" s="3">
        <f>+V.sual_Data[[#This Row],[COSTOS OPERACIONALES ($COP)]]+V.sual_Data[[#This Row],[DESFASE ($COP)]]+V.sual_Data[[#This Row],[UTILIDAD ($COP)]]</f>
        <v>167809.64166526619</v>
      </c>
      <c r="AB25" s="44">
        <v>0.05</v>
      </c>
      <c r="AC25" s="15">
        <f>+((V.sual_Data[[#This Row],[VALOR NETO ($COP)]]/(100%-V.sual_Data[[#This Row],[MÁRGEN DE NEGOCIACIÓN (%)]])))-V.sual_Data[[#This Row],[VALOR NETO ($COP)]]</f>
        <v>8832.086403435067</v>
      </c>
      <c r="AD25" s="15">
        <f>+(V.sual_Data[[#This Row],[VALOR NETO ($COP)]]+V.sual_Data[[#This Row],[NEGOCIACIÓN ($COP)]])*1%</f>
        <v>1766.4172806870126</v>
      </c>
      <c r="AE25" s="15">
        <f>+(V.sual_Data[[#This Row],[VALOR NETO ($COP)]]+V.sual_Data[[#This Row],[NEGOCIACIÓN ($COP)]])*1%</f>
        <v>1766.4172806870126</v>
      </c>
      <c r="AF25" s="3">
        <f>+V.sual_Data[[#This Row],[VALOR NETO ($COP)]]+V.sual_Data[[#This Row],[4 * 1000 ($COP)]]+V.sual_Data[[#This Row],[ICA ($COP)]]+V.sual_Data[[#This Row],[NEGOCIACIÓN ($COP)]]</f>
        <v>180174.56263007529</v>
      </c>
    </row>
    <row r="26" spans="1:32" ht="60" hidden="1" customHeight="1" x14ac:dyDescent="0.25">
      <c r="A26" s="14"/>
      <c r="B26" s="37" t="s">
        <v>143</v>
      </c>
      <c r="C26" s="38" t="s">
        <v>144</v>
      </c>
      <c r="D26" s="38" t="s">
        <v>125</v>
      </c>
      <c r="E26" s="38" t="s">
        <v>145</v>
      </c>
      <c r="F26" s="38" t="s">
        <v>146</v>
      </c>
      <c r="G26" s="39" t="s">
        <v>147</v>
      </c>
      <c r="H26" s="40">
        <v>1</v>
      </c>
      <c r="I26" s="39" t="s">
        <v>148</v>
      </c>
      <c r="J26" s="86">
        <v>8</v>
      </c>
      <c r="K26" s="39" t="s">
        <v>159</v>
      </c>
      <c r="L26" s="40" t="s">
        <v>116</v>
      </c>
      <c r="M26" s="41">
        <v>1</v>
      </c>
      <c r="N26" s="42">
        <f>IFERROR(VLOOKUP(V.sual_Data[[#This Row],[RESPONSABLE]],Listas!$D$3:$F$7,3,FALSE),0)</f>
        <v>17730.496453900709</v>
      </c>
      <c r="O26" s="34">
        <f t="shared" si="0"/>
        <v>17730.496453900709</v>
      </c>
      <c r="P26" s="42">
        <f>IFERROR((VLOOKUP(V.sual_Data[[#This Row],[RESPONSABLE]],Listas!$D$3:$K$7,5,FALSE))*V.sual_Data[[#This Row],[TIEMPO (HORAS)]],0)</f>
        <v>4221.5467747382636</v>
      </c>
      <c r="Q26" s="42">
        <f>IFERROR(+VLOOKUP(L26,V.sual_Lista_Data[[EQUIPO VISUAL]:[SOFTWARE 
VALOR HORA]],8,FALSE)*V.sual_Data[[#This Row],[TIEMPO (HORAS)]],"0")</f>
        <v>3410.8548871439834</v>
      </c>
      <c r="R26" s="43">
        <v>0</v>
      </c>
      <c r="S26" s="43">
        <v>0</v>
      </c>
      <c r="T26" s="3">
        <f t="shared" si="1"/>
        <v>25362.898115782955</v>
      </c>
      <c r="U26" s="15">
        <f>V.sual_Data[[#This Row],[TIEMPO (HORAS)]]*Gastos_Operativos[[#Totals],[GASTOS HORA]]</f>
        <v>27789.477072310401</v>
      </c>
      <c r="V26" s="3">
        <f>V.sual_Data[[#This Row],[COSTO 
DIRECTO ($COP)]]+V.sual_Data[[#This Row],[PRORRATEO GASTOS ($COP)]]</f>
        <v>53152.375188093356</v>
      </c>
      <c r="W26" s="44">
        <v>0.15</v>
      </c>
      <c r="X26" s="15">
        <f>V.sual_Data[[#This Row],[COSTOS OPERACIONALES ($COP)]]*V.sual_Data[[#This Row],[DESFASE (%)]]</f>
        <v>7972.8562782140034</v>
      </c>
      <c r="Y26" s="44">
        <v>0.3</v>
      </c>
      <c r="Z26" s="15">
        <f>+((V.sual_Data[[#This Row],[COSTOS OPERACIONALES ($COP)]]/(100%-V.sual_Data[[#This Row],[UTILIDAD (%)]])))-V.sual_Data[[#This Row],[COSTOS OPERACIONALES ($COP)]]</f>
        <v>22779.58936632573</v>
      </c>
      <c r="AA26" s="3">
        <f>+V.sual_Data[[#This Row],[COSTOS OPERACIONALES ($COP)]]+V.sual_Data[[#This Row],[DESFASE ($COP)]]+V.sual_Data[[#This Row],[UTILIDAD ($COP)]]</f>
        <v>83904.820832633093</v>
      </c>
      <c r="AB26" s="44">
        <v>0.05</v>
      </c>
      <c r="AC26" s="15">
        <f>+((V.sual_Data[[#This Row],[VALOR NETO ($COP)]]/(100%-V.sual_Data[[#This Row],[MÁRGEN DE NEGOCIACIÓN (%)]])))-V.sual_Data[[#This Row],[VALOR NETO ($COP)]]</f>
        <v>4416.0432017175335</v>
      </c>
      <c r="AD26" s="15">
        <f>+(V.sual_Data[[#This Row],[VALOR NETO ($COP)]]+V.sual_Data[[#This Row],[NEGOCIACIÓN ($COP)]])*1%</f>
        <v>883.20864034350632</v>
      </c>
      <c r="AE26" s="15">
        <f>+(V.sual_Data[[#This Row],[VALOR NETO ($COP)]]+V.sual_Data[[#This Row],[NEGOCIACIÓN ($COP)]])*1%</f>
        <v>883.20864034350632</v>
      </c>
      <c r="AF26" s="3">
        <f>+V.sual_Data[[#This Row],[VALOR NETO ($COP)]]+V.sual_Data[[#This Row],[4 * 1000 ($COP)]]+V.sual_Data[[#This Row],[ICA ($COP)]]+V.sual_Data[[#This Row],[NEGOCIACIÓN ($COP)]]</f>
        <v>90087.281315037646</v>
      </c>
    </row>
    <row r="27" spans="1:32" ht="60" hidden="1" customHeight="1" x14ac:dyDescent="0.25">
      <c r="A27" s="14"/>
      <c r="B27" s="37" t="s">
        <v>160</v>
      </c>
      <c r="C27" s="38" t="s">
        <v>109</v>
      </c>
      <c r="D27" s="38" t="s">
        <v>110</v>
      </c>
      <c r="E27" s="39" t="s">
        <v>161</v>
      </c>
      <c r="F27" s="38" t="s">
        <v>112</v>
      </c>
      <c r="G27" s="39" t="s">
        <v>113</v>
      </c>
      <c r="H27" s="40">
        <v>1</v>
      </c>
      <c r="I27" s="39" t="s">
        <v>117</v>
      </c>
      <c r="J27" s="86">
        <v>1</v>
      </c>
      <c r="K27" s="39" t="s">
        <v>162</v>
      </c>
      <c r="L27" s="40" t="s">
        <v>119</v>
      </c>
      <c r="M27" s="41">
        <v>0.5</v>
      </c>
      <c r="N27" s="42">
        <f>IFERROR(VLOOKUP(V.sual_Data[[#This Row],[RESPONSABLE]],Listas!$D$3:$F$7,3,FALSE),0)</f>
        <v>15197.568389057751</v>
      </c>
      <c r="O27" s="34">
        <f t="shared" ref="O27:O30" si="2">+N27*M27</f>
        <v>7598.7841945288756</v>
      </c>
      <c r="P27" s="42">
        <f>IFERROR((VLOOKUP(V.sual_Data[[#This Row],[RESPONSABLE]],Listas!$D$3:$K$7,5,FALSE))*V.sual_Data[[#This Row],[TIEMPO (HORAS)]],0)</f>
        <v>1794.1573792637626</v>
      </c>
      <c r="Q27" s="42">
        <f>IFERROR(+VLOOKUP(L27,V.sual_Lista_Data[[EQUIPO VISUAL]:[SOFTWARE 
VALOR HORA]],8,FALSE)*V.sual_Data[[#This Row],[TIEMPO (HORAS)]],"0")</f>
        <v>1705.4274435719917</v>
      </c>
      <c r="R27" s="43">
        <v>0</v>
      </c>
      <c r="S27" s="43">
        <v>0</v>
      </c>
      <c r="T27" s="3">
        <f t="shared" ref="T27:T30" si="3">SUM(O27:S27)</f>
        <v>11098.369017364628</v>
      </c>
      <c r="U27" s="15">
        <f>V.sual_Data[[#This Row],[TIEMPO (HORAS)]]*Gastos_Operativos[[#Totals],[GASTOS HORA]]</f>
        <v>13894.738536155201</v>
      </c>
      <c r="V27" s="3">
        <f>V.sual_Data[[#This Row],[COSTO 
DIRECTO ($COP)]]+V.sual_Data[[#This Row],[PRORRATEO GASTOS ($COP)]]</f>
        <v>24993.107553519829</v>
      </c>
      <c r="W27" s="44">
        <v>0.1</v>
      </c>
      <c r="X27" s="15">
        <f>V.sual_Data[[#This Row],[COSTOS OPERACIONALES ($COP)]]*V.sual_Data[[#This Row],[DESFASE (%)]]</f>
        <v>2499.3107553519831</v>
      </c>
      <c r="Y27" s="44">
        <v>0.3</v>
      </c>
      <c r="Z27" s="15">
        <f>+((V.sual_Data[[#This Row],[COSTOS OPERACIONALES ($COP)]]/(100%-V.sual_Data[[#This Row],[UTILIDAD (%)]])))-V.sual_Data[[#This Row],[COSTOS OPERACIONALES ($COP)]]</f>
        <v>10711.331808651357</v>
      </c>
      <c r="AA27" s="3">
        <f>+V.sual_Data[[#This Row],[COSTOS OPERACIONALES ($COP)]]+V.sual_Data[[#This Row],[DESFASE ($COP)]]+V.sual_Data[[#This Row],[UTILIDAD ($COP)]]</f>
        <v>38203.750117523174</v>
      </c>
      <c r="AB27" s="44">
        <v>0.05</v>
      </c>
      <c r="AC27" s="15">
        <f>+((V.sual_Data[[#This Row],[VALOR NETO ($COP)]]/(100%-V.sual_Data[[#This Row],[MÁRGEN DE NEGOCIACIÓN (%)]])))-V.sual_Data[[#This Row],[VALOR NETO ($COP)]]</f>
        <v>2010.7236903959565</v>
      </c>
      <c r="AD27" s="15">
        <f>+(V.sual_Data[[#This Row],[VALOR NETO ($COP)]]+V.sual_Data[[#This Row],[NEGOCIACIÓN ($COP)]])*1%</f>
        <v>402.14473807919131</v>
      </c>
      <c r="AE27" s="15">
        <f>+(V.sual_Data[[#This Row],[VALOR NETO ($COP)]]+V.sual_Data[[#This Row],[NEGOCIACIÓN ($COP)]])*1%</f>
        <v>402.14473807919131</v>
      </c>
      <c r="AF27" s="3">
        <f>+V.sual_Data[[#This Row],[VALOR NETO ($COP)]]+V.sual_Data[[#This Row],[4 * 1000 ($COP)]]+V.sual_Data[[#This Row],[ICA ($COP)]]+V.sual_Data[[#This Row],[NEGOCIACIÓN ($COP)]]</f>
        <v>41018.763284077519</v>
      </c>
    </row>
    <row r="28" spans="1:32" ht="60" hidden="1" customHeight="1" x14ac:dyDescent="0.25">
      <c r="A28" s="14"/>
      <c r="B28" s="37" t="s">
        <v>160</v>
      </c>
      <c r="C28" s="38" t="s">
        <v>109</v>
      </c>
      <c r="D28" s="38" t="s">
        <v>110</v>
      </c>
      <c r="E28" s="39" t="s">
        <v>161</v>
      </c>
      <c r="F28" s="38" t="s">
        <v>112</v>
      </c>
      <c r="G28" s="39" t="s">
        <v>113</v>
      </c>
      <c r="H28" s="40">
        <v>1</v>
      </c>
      <c r="I28" s="39" t="s">
        <v>128</v>
      </c>
      <c r="J28" s="86">
        <v>2</v>
      </c>
      <c r="K28" s="39" t="s">
        <v>163</v>
      </c>
      <c r="L28" s="40" t="s">
        <v>119</v>
      </c>
      <c r="M28" s="41">
        <v>3.5</v>
      </c>
      <c r="N28" s="42">
        <f>IFERROR(VLOOKUP(V.sual_Data[[#This Row],[RESPONSABLE]],Listas!$D$3:$F$7,3,FALSE),0)</f>
        <v>15197.568389057751</v>
      </c>
      <c r="O28" s="34">
        <f t="shared" si="2"/>
        <v>53191.48936170213</v>
      </c>
      <c r="P28" s="42">
        <f>IFERROR((VLOOKUP(V.sual_Data[[#This Row],[RESPONSABLE]],Listas!$D$3:$K$7,5,FALSE))*V.sual_Data[[#This Row],[TIEMPO (HORAS)]],0)</f>
        <v>12559.101654846338</v>
      </c>
      <c r="Q28" s="11">
        <f>IFERROR(+VLOOKUP(L28,V.sual_Lista_Data[[EQUIPO VISUAL]:[SOFTWARE 
VALOR HORA]],8,FALSE)*V.sual_Data[[#This Row],[TIEMPO (HORAS)]],"0")</f>
        <v>11937.992105003941</v>
      </c>
      <c r="R28" s="43"/>
      <c r="S28" s="43"/>
      <c r="T28" s="3">
        <f>SUM(O28:S28)</f>
        <v>77688.583121552409</v>
      </c>
      <c r="U28" s="15">
        <f>V.sual_Data[[#This Row],[TIEMPO (HORAS)]]*Gastos_Operativos[[#Totals],[GASTOS HORA]]</f>
        <v>97263.169753086404</v>
      </c>
      <c r="V28" s="3">
        <f>V.sual_Data[[#This Row],[COSTO 
DIRECTO ($COP)]]+V.sual_Data[[#This Row],[PRORRATEO GASTOS ($COP)]]</f>
        <v>174951.75287463883</v>
      </c>
      <c r="W28" s="44">
        <v>0.1</v>
      </c>
      <c r="X28" s="15">
        <f>V.sual_Data[[#This Row],[COSTOS OPERACIONALES ($COP)]]*V.sual_Data[[#This Row],[DESFASE (%)]]</f>
        <v>17495.175287463884</v>
      </c>
      <c r="Y28" s="44">
        <v>0.3</v>
      </c>
      <c r="Z28" s="15">
        <f>+((V.sual_Data[[#This Row],[COSTOS OPERACIONALES ($COP)]]/(100%-V.sual_Data[[#This Row],[UTILIDAD (%)]])))-V.sual_Data[[#This Row],[COSTOS OPERACIONALES ($COP)]]</f>
        <v>74979.322660559526</v>
      </c>
      <c r="AA28" s="3">
        <f>+V.sual_Data[[#This Row],[COSTOS OPERACIONALES ($COP)]]+V.sual_Data[[#This Row],[DESFASE ($COP)]]+V.sual_Data[[#This Row],[UTILIDAD ($COP)]]</f>
        <v>267426.25082266226</v>
      </c>
      <c r="AB28" s="44">
        <v>0.05</v>
      </c>
      <c r="AC28" s="15">
        <f>+((V.sual_Data[[#This Row],[VALOR NETO ($COP)]]/(100%-V.sual_Data[[#This Row],[MÁRGEN DE NEGOCIACIÓN (%)]])))-V.sual_Data[[#This Row],[VALOR NETO ($COP)]]</f>
        <v>14075.06583277171</v>
      </c>
      <c r="AD28" s="15">
        <f>+(V.sual_Data[[#This Row],[VALOR NETO ($COP)]]+V.sual_Data[[#This Row],[NEGOCIACIÓN ($COP)]])*1%</f>
        <v>2815.0131665543399</v>
      </c>
      <c r="AE28" s="15">
        <f>+(V.sual_Data[[#This Row],[VALOR NETO ($COP)]]+V.sual_Data[[#This Row],[NEGOCIACIÓN ($COP)]])*1%</f>
        <v>2815.0131665543399</v>
      </c>
      <c r="AF28" s="3">
        <f>+V.sual_Data[[#This Row],[VALOR NETO ($COP)]]+V.sual_Data[[#This Row],[4 * 1000 ($COP)]]+V.sual_Data[[#This Row],[ICA ($COP)]]+V.sual_Data[[#This Row],[NEGOCIACIÓN ($COP)]]</f>
        <v>287131.34298854263</v>
      </c>
    </row>
    <row r="29" spans="1:32" ht="60" hidden="1" customHeight="1" x14ac:dyDescent="0.25">
      <c r="A29" s="14"/>
      <c r="B29" s="37" t="s">
        <v>160</v>
      </c>
      <c r="C29" s="38" t="s">
        <v>109</v>
      </c>
      <c r="D29" s="38" t="s">
        <v>110</v>
      </c>
      <c r="E29" s="39" t="s">
        <v>161</v>
      </c>
      <c r="F29" s="38" t="s">
        <v>112</v>
      </c>
      <c r="G29" s="39" t="s">
        <v>113</v>
      </c>
      <c r="H29" s="40">
        <v>1</v>
      </c>
      <c r="I29" s="39" t="s">
        <v>117</v>
      </c>
      <c r="J29" s="86">
        <v>3</v>
      </c>
      <c r="K29" s="237" t="s">
        <v>164</v>
      </c>
      <c r="L29" s="40" t="s">
        <v>119</v>
      </c>
      <c r="M29" s="41">
        <v>1</v>
      </c>
      <c r="N29" s="42">
        <f>IFERROR(VLOOKUP(V.sual_Data[[#This Row],[RESPONSABLE]],Listas!$D$3:$F$7,3,FALSE),0)</f>
        <v>15197.568389057751</v>
      </c>
      <c r="O29" s="34">
        <f t="shared" si="2"/>
        <v>15197.568389057751</v>
      </c>
      <c r="P29" s="42">
        <f>IFERROR((VLOOKUP(V.sual_Data[[#This Row],[RESPONSABLE]],Listas!$D$3:$K$7,5,FALSE))*V.sual_Data[[#This Row],[TIEMPO (HORAS)]],0)</f>
        <v>3588.3147585275251</v>
      </c>
      <c r="Q29" s="42">
        <f>IFERROR(+VLOOKUP(L29,V.sual_Lista_Data[[EQUIPO VISUAL]:[SOFTWARE 
VALOR HORA]],8,FALSE)*V.sual_Data[[#This Row],[TIEMPO (HORAS)]],"0")</f>
        <v>3410.8548871439834</v>
      </c>
      <c r="R29" s="43">
        <v>0</v>
      </c>
      <c r="S29" s="43">
        <v>0</v>
      </c>
      <c r="T29" s="3">
        <f t="shared" si="3"/>
        <v>22196.738034729256</v>
      </c>
      <c r="U29" s="15">
        <f>V.sual_Data[[#This Row],[TIEMPO (HORAS)]]*Gastos_Operativos[[#Totals],[GASTOS HORA]]</f>
        <v>27789.477072310401</v>
      </c>
      <c r="V29" s="3">
        <f>V.sual_Data[[#This Row],[COSTO 
DIRECTO ($COP)]]+V.sual_Data[[#This Row],[PRORRATEO GASTOS ($COP)]]</f>
        <v>49986.215107039658</v>
      </c>
      <c r="W29" s="44">
        <v>0.1</v>
      </c>
      <c r="X29" s="15">
        <f>V.sual_Data[[#This Row],[COSTOS OPERACIONALES ($COP)]]*V.sual_Data[[#This Row],[DESFASE (%)]]</f>
        <v>4998.6215107039661</v>
      </c>
      <c r="Y29" s="44">
        <v>0.3</v>
      </c>
      <c r="Z29" s="15">
        <f>+((V.sual_Data[[#This Row],[COSTOS OPERACIONALES ($COP)]]/(100%-V.sual_Data[[#This Row],[UTILIDAD (%)]])))-V.sual_Data[[#This Row],[COSTOS OPERACIONALES ($COP)]]</f>
        <v>21422.663617302715</v>
      </c>
      <c r="AA29" s="3">
        <f>+V.sual_Data[[#This Row],[COSTOS OPERACIONALES ($COP)]]+V.sual_Data[[#This Row],[DESFASE ($COP)]]+V.sual_Data[[#This Row],[UTILIDAD ($COP)]]</f>
        <v>76407.500235046347</v>
      </c>
      <c r="AB29" s="44">
        <v>0.05</v>
      </c>
      <c r="AC29" s="15">
        <f>+((V.sual_Data[[#This Row],[VALOR NETO ($COP)]]/(100%-V.sual_Data[[#This Row],[MÁRGEN DE NEGOCIACIÓN (%)]])))-V.sual_Data[[#This Row],[VALOR NETO ($COP)]]</f>
        <v>4021.447380791913</v>
      </c>
      <c r="AD29" s="15">
        <f>+(V.sual_Data[[#This Row],[VALOR NETO ($COP)]]+V.sual_Data[[#This Row],[NEGOCIACIÓN ($COP)]])*1%</f>
        <v>804.28947615838263</v>
      </c>
      <c r="AE29" s="15">
        <f>+(V.sual_Data[[#This Row],[VALOR NETO ($COP)]]+V.sual_Data[[#This Row],[NEGOCIACIÓN ($COP)]])*1%</f>
        <v>804.28947615838263</v>
      </c>
      <c r="AF29" s="3">
        <f>+V.sual_Data[[#This Row],[VALOR NETO ($COP)]]+V.sual_Data[[#This Row],[4 * 1000 ($COP)]]+V.sual_Data[[#This Row],[ICA ($COP)]]+V.sual_Data[[#This Row],[NEGOCIACIÓN ($COP)]]</f>
        <v>82037.526568155037</v>
      </c>
    </row>
    <row r="30" spans="1:32" ht="60" hidden="1" customHeight="1" x14ac:dyDescent="0.25">
      <c r="A30" s="14"/>
      <c r="B30" s="37" t="s">
        <v>160</v>
      </c>
      <c r="C30" s="38" t="s">
        <v>109</v>
      </c>
      <c r="D30" s="38" t="s">
        <v>110</v>
      </c>
      <c r="E30" s="39" t="s">
        <v>161</v>
      </c>
      <c r="F30" s="38" t="s">
        <v>112</v>
      </c>
      <c r="G30" s="39" t="s">
        <v>113</v>
      </c>
      <c r="H30" s="40">
        <v>1</v>
      </c>
      <c r="I30" s="39" t="s">
        <v>117</v>
      </c>
      <c r="J30" s="86">
        <v>4</v>
      </c>
      <c r="K30" s="39" t="s">
        <v>165</v>
      </c>
      <c r="L30" s="40" t="s">
        <v>119</v>
      </c>
      <c r="M30" s="41">
        <v>0.5</v>
      </c>
      <c r="N30" s="42">
        <f>IFERROR(VLOOKUP(V.sual_Data[[#This Row],[RESPONSABLE]],Listas!$D$3:$F$7,3,FALSE),0)</f>
        <v>15197.568389057751</v>
      </c>
      <c r="O30" s="34">
        <f t="shared" si="2"/>
        <v>7598.7841945288756</v>
      </c>
      <c r="P30" s="42">
        <f>IFERROR((VLOOKUP(V.sual_Data[[#This Row],[RESPONSABLE]],Listas!$D$3:$K$7,5,FALSE))*V.sual_Data[[#This Row],[TIEMPO (HORAS)]],0)</f>
        <v>1794.1573792637626</v>
      </c>
      <c r="Q30" s="42">
        <f>IFERROR(+VLOOKUP(L30,V.sual_Lista_Data[[EQUIPO VISUAL]:[SOFTWARE 
VALOR HORA]],8,FALSE)*V.sual_Data[[#This Row],[TIEMPO (HORAS)]],"0")</f>
        <v>1705.4274435719917</v>
      </c>
      <c r="R30" s="43">
        <v>0</v>
      </c>
      <c r="S30" s="43">
        <v>0</v>
      </c>
      <c r="T30" s="3">
        <f t="shared" si="3"/>
        <v>11098.369017364628</v>
      </c>
      <c r="U30" s="15">
        <f>V.sual_Data[[#This Row],[TIEMPO (HORAS)]]*Gastos_Operativos[[#Totals],[GASTOS HORA]]</f>
        <v>13894.738536155201</v>
      </c>
      <c r="V30" s="3">
        <f>V.sual_Data[[#This Row],[COSTO 
DIRECTO ($COP)]]+V.sual_Data[[#This Row],[PRORRATEO GASTOS ($COP)]]</f>
        <v>24993.107553519829</v>
      </c>
      <c r="W30" s="44">
        <v>0.1</v>
      </c>
      <c r="X30" s="15">
        <f>V.sual_Data[[#This Row],[COSTOS OPERACIONALES ($COP)]]*V.sual_Data[[#This Row],[DESFASE (%)]]</f>
        <v>2499.3107553519831</v>
      </c>
      <c r="Y30" s="44">
        <v>0.3</v>
      </c>
      <c r="Z30" s="15">
        <f>+((V.sual_Data[[#This Row],[COSTOS OPERACIONALES ($COP)]]/(100%-V.sual_Data[[#This Row],[UTILIDAD (%)]])))-V.sual_Data[[#This Row],[COSTOS OPERACIONALES ($COP)]]</f>
        <v>10711.331808651357</v>
      </c>
      <c r="AA30" s="3">
        <f>+V.sual_Data[[#This Row],[COSTOS OPERACIONALES ($COP)]]+V.sual_Data[[#This Row],[DESFASE ($COP)]]+V.sual_Data[[#This Row],[UTILIDAD ($COP)]]</f>
        <v>38203.750117523174</v>
      </c>
      <c r="AB30" s="44">
        <v>0.05</v>
      </c>
      <c r="AC30" s="15">
        <f>+((V.sual_Data[[#This Row],[VALOR NETO ($COP)]]/(100%-V.sual_Data[[#This Row],[MÁRGEN DE NEGOCIACIÓN (%)]])))-V.sual_Data[[#This Row],[VALOR NETO ($COP)]]</f>
        <v>2010.7236903959565</v>
      </c>
      <c r="AD30" s="15">
        <f>+(V.sual_Data[[#This Row],[VALOR NETO ($COP)]]+V.sual_Data[[#This Row],[NEGOCIACIÓN ($COP)]])*1%</f>
        <v>402.14473807919131</v>
      </c>
      <c r="AE30" s="15">
        <f>+(V.sual_Data[[#This Row],[VALOR NETO ($COP)]]+V.sual_Data[[#This Row],[NEGOCIACIÓN ($COP)]])*1%</f>
        <v>402.14473807919131</v>
      </c>
      <c r="AF30" s="3">
        <f>+V.sual_Data[[#This Row],[VALOR NETO ($COP)]]+V.sual_Data[[#This Row],[4 * 1000 ($COP)]]+V.sual_Data[[#This Row],[ICA ($COP)]]+V.sual_Data[[#This Row],[NEGOCIACIÓN ($COP)]]</f>
        <v>41018.763284077519</v>
      </c>
    </row>
    <row r="31" spans="1:32" ht="60" hidden="1" customHeight="1" x14ac:dyDescent="0.25">
      <c r="A31" s="14"/>
      <c r="B31" s="37" t="s">
        <v>160</v>
      </c>
      <c r="C31" s="38" t="s">
        <v>109</v>
      </c>
      <c r="D31" s="38" t="s">
        <v>110</v>
      </c>
      <c r="E31" s="39" t="s">
        <v>161</v>
      </c>
      <c r="F31" s="38" t="s">
        <v>112</v>
      </c>
      <c r="G31" s="39" t="s">
        <v>113</v>
      </c>
      <c r="H31" s="40">
        <v>1</v>
      </c>
      <c r="I31" s="39" t="s">
        <v>166</v>
      </c>
      <c r="J31" s="86">
        <v>5</v>
      </c>
      <c r="K31" s="39" t="s">
        <v>137</v>
      </c>
      <c r="L31" s="40" t="s">
        <v>119</v>
      </c>
      <c r="M31" s="41">
        <v>2</v>
      </c>
      <c r="N31" s="42">
        <f>IFERROR(VLOOKUP(V.sual_Data[[#This Row],[RESPONSABLE]],Listas!$D$3:$F$7,3,FALSE),0)</f>
        <v>15197.568389057751</v>
      </c>
      <c r="O31" s="34">
        <f>+N31*M31</f>
        <v>30395.136778115502</v>
      </c>
      <c r="P31" s="42">
        <f>IFERROR((VLOOKUP(V.sual_Data[[#This Row],[RESPONSABLE]],Listas!$D$3:$K$7,5,FALSE))*V.sual_Data[[#This Row],[TIEMPO (HORAS)]],0)</f>
        <v>7176.6295170550502</v>
      </c>
      <c r="Q31" s="42">
        <f>IFERROR(+VLOOKUP(L31,V.sual_Lista_Data[[EQUIPO VISUAL]:[SOFTWARE 
VALOR HORA]],8,FALSE)*V.sual_Data[[#This Row],[TIEMPO (HORAS)]],"0")</f>
        <v>6821.7097742879669</v>
      </c>
      <c r="R31" s="43">
        <v>0</v>
      </c>
      <c r="S31" s="43">
        <v>0</v>
      </c>
      <c r="T31" s="3">
        <f t="shared" ref="T31:T36" si="4">SUM(O31:S31)</f>
        <v>44393.476069458513</v>
      </c>
      <c r="U31" s="15">
        <f>V.sual_Data[[#This Row],[TIEMPO (HORAS)]]*Gastos_Operativos[[#Totals],[GASTOS HORA]]</f>
        <v>55578.954144620802</v>
      </c>
      <c r="V31" s="3">
        <f>V.sual_Data[[#This Row],[COSTO 
DIRECTO ($COP)]]+V.sual_Data[[#This Row],[PRORRATEO GASTOS ($COP)]]</f>
        <v>99972.430214079315</v>
      </c>
      <c r="W31" s="44">
        <v>0.1</v>
      </c>
      <c r="X31" s="15">
        <f>V.sual_Data[[#This Row],[COSTOS OPERACIONALES ($COP)]]*V.sual_Data[[#This Row],[DESFASE (%)]]</f>
        <v>9997.2430214079322</v>
      </c>
      <c r="Y31" s="44">
        <v>0.3</v>
      </c>
      <c r="Z31" s="15">
        <f>+((V.sual_Data[[#This Row],[COSTOS OPERACIONALES ($COP)]]/(100%-V.sual_Data[[#This Row],[UTILIDAD (%)]])))-V.sual_Data[[#This Row],[COSTOS OPERACIONALES ($COP)]]</f>
        <v>42845.327234605429</v>
      </c>
      <c r="AA31" s="3">
        <f>+V.sual_Data[[#This Row],[COSTOS OPERACIONALES ($COP)]]+V.sual_Data[[#This Row],[DESFASE ($COP)]]+V.sual_Data[[#This Row],[UTILIDAD ($COP)]]</f>
        <v>152815.00047009269</v>
      </c>
      <c r="AB31" s="44">
        <v>0.05</v>
      </c>
      <c r="AC31" s="15">
        <f>+((V.sual_Data[[#This Row],[VALOR NETO ($COP)]]/(100%-V.sual_Data[[#This Row],[MÁRGEN DE NEGOCIACIÓN (%)]])))-V.sual_Data[[#This Row],[VALOR NETO ($COP)]]</f>
        <v>8042.894761583826</v>
      </c>
      <c r="AD31" s="15">
        <f>+(V.sual_Data[[#This Row],[VALOR NETO ($COP)]]+V.sual_Data[[#This Row],[NEGOCIACIÓN ($COP)]])*1%</f>
        <v>1608.5789523167653</v>
      </c>
      <c r="AE31" s="15">
        <f>+(V.sual_Data[[#This Row],[VALOR NETO ($COP)]]+V.sual_Data[[#This Row],[NEGOCIACIÓN ($COP)]])*1%</f>
        <v>1608.5789523167653</v>
      </c>
      <c r="AF31" s="3">
        <f>+V.sual_Data[[#This Row],[VALOR NETO ($COP)]]+V.sual_Data[[#This Row],[4 * 1000 ($COP)]]+V.sual_Data[[#This Row],[ICA ($COP)]]+V.sual_Data[[#This Row],[NEGOCIACIÓN ($COP)]]</f>
        <v>164075.05313631007</v>
      </c>
    </row>
    <row r="32" spans="1:32" ht="60" hidden="1" customHeight="1" x14ac:dyDescent="0.25">
      <c r="A32" s="14"/>
      <c r="B32" s="37" t="s">
        <v>160</v>
      </c>
      <c r="C32" s="38" t="s">
        <v>109</v>
      </c>
      <c r="D32" s="38" t="s">
        <v>110</v>
      </c>
      <c r="E32" s="39" t="s">
        <v>161</v>
      </c>
      <c r="F32" s="38" t="s">
        <v>112</v>
      </c>
      <c r="G32" s="39" t="s">
        <v>113</v>
      </c>
      <c r="H32" s="40">
        <v>1</v>
      </c>
      <c r="I32" s="39" t="s">
        <v>166</v>
      </c>
      <c r="J32" s="86">
        <v>6</v>
      </c>
      <c r="K32" s="39" t="s">
        <v>138</v>
      </c>
      <c r="L32" s="40" t="s">
        <v>119</v>
      </c>
      <c r="M32" s="41">
        <v>2</v>
      </c>
      <c r="N32" s="42">
        <f>IFERROR(VLOOKUP(V.sual_Data[[#This Row],[RESPONSABLE]],Listas!$D$3:$F$7,3,FALSE),0)</f>
        <v>15197.568389057751</v>
      </c>
      <c r="O32" s="34">
        <f>+N32*M32</f>
        <v>30395.136778115502</v>
      </c>
      <c r="P32" s="42">
        <f>IFERROR((VLOOKUP(V.sual_Data[[#This Row],[RESPONSABLE]],Listas!$D$3:$K$7,5,FALSE))*V.sual_Data[[#This Row],[TIEMPO (HORAS)]],0)</f>
        <v>7176.6295170550502</v>
      </c>
      <c r="Q32" s="42">
        <f>IFERROR(+VLOOKUP(L32,V.sual_Lista_Data[[EQUIPO VISUAL]:[SOFTWARE 
VALOR HORA]],8,FALSE)*V.sual_Data[[#This Row],[TIEMPO (HORAS)]],"0")</f>
        <v>6821.7097742879669</v>
      </c>
      <c r="R32" s="43">
        <v>0</v>
      </c>
      <c r="S32" s="43">
        <v>0</v>
      </c>
      <c r="T32" s="3">
        <f t="shared" si="4"/>
        <v>44393.476069458513</v>
      </c>
      <c r="U32" s="15">
        <f>V.sual_Data[[#This Row],[TIEMPO (HORAS)]]*Gastos_Operativos[[#Totals],[GASTOS HORA]]</f>
        <v>55578.954144620802</v>
      </c>
      <c r="V32" s="3">
        <f>V.sual_Data[[#This Row],[COSTO 
DIRECTO ($COP)]]+V.sual_Data[[#This Row],[PRORRATEO GASTOS ($COP)]]</f>
        <v>99972.430214079315</v>
      </c>
      <c r="W32" s="44">
        <v>0.1</v>
      </c>
      <c r="X32" s="15">
        <f>V.sual_Data[[#This Row],[COSTOS OPERACIONALES ($COP)]]*V.sual_Data[[#This Row],[DESFASE (%)]]</f>
        <v>9997.2430214079322</v>
      </c>
      <c r="Y32" s="44">
        <v>0.3</v>
      </c>
      <c r="Z32" s="15">
        <f>+((V.sual_Data[[#This Row],[COSTOS OPERACIONALES ($COP)]]/(100%-V.sual_Data[[#This Row],[UTILIDAD (%)]])))-V.sual_Data[[#This Row],[COSTOS OPERACIONALES ($COP)]]</f>
        <v>42845.327234605429</v>
      </c>
      <c r="AA32" s="3">
        <f>+V.sual_Data[[#This Row],[COSTOS OPERACIONALES ($COP)]]+V.sual_Data[[#This Row],[DESFASE ($COP)]]+V.sual_Data[[#This Row],[UTILIDAD ($COP)]]</f>
        <v>152815.00047009269</v>
      </c>
      <c r="AB32" s="44">
        <v>0.05</v>
      </c>
      <c r="AC32" s="15">
        <f>+((V.sual_Data[[#This Row],[VALOR NETO ($COP)]]/(100%-V.sual_Data[[#This Row],[MÁRGEN DE NEGOCIACIÓN (%)]])))-V.sual_Data[[#This Row],[VALOR NETO ($COP)]]</f>
        <v>8042.894761583826</v>
      </c>
      <c r="AD32" s="15">
        <f>+(V.sual_Data[[#This Row],[VALOR NETO ($COP)]]+V.sual_Data[[#This Row],[NEGOCIACIÓN ($COP)]])*1%</f>
        <v>1608.5789523167653</v>
      </c>
      <c r="AE32" s="15">
        <f>+(V.sual_Data[[#This Row],[VALOR NETO ($COP)]]+V.sual_Data[[#This Row],[NEGOCIACIÓN ($COP)]])*1%</f>
        <v>1608.5789523167653</v>
      </c>
      <c r="AF32" s="3">
        <f>+V.sual_Data[[#This Row],[VALOR NETO ($COP)]]+V.sual_Data[[#This Row],[4 * 1000 ($COP)]]+V.sual_Data[[#This Row],[ICA ($COP)]]+V.sual_Data[[#This Row],[NEGOCIACIÓN ($COP)]]</f>
        <v>164075.05313631007</v>
      </c>
    </row>
    <row r="33" spans="1:32" ht="60" hidden="1" customHeight="1" x14ac:dyDescent="0.25">
      <c r="A33" s="14"/>
      <c r="B33" s="37" t="s">
        <v>160</v>
      </c>
      <c r="C33" s="38" t="s">
        <v>109</v>
      </c>
      <c r="D33" s="38" t="s">
        <v>110</v>
      </c>
      <c r="E33" s="38" t="s">
        <v>161</v>
      </c>
      <c r="F33" s="38" t="s">
        <v>112</v>
      </c>
      <c r="G33" s="38" t="s">
        <v>113</v>
      </c>
      <c r="H33" s="46">
        <v>1</v>
      </c>
      <c r="I33" s="39" t="s">
        <v>167</v>
      </c>
      <c r="J33" s="86">
        <v>7</v>
      </c>
      <c r="K33" s="39" t="s">
        <v>168</v>
      </c>
      <c r="L33" s="40" t="s">
        <v>116</v>
      </c>
      <c r="M33" s="41">
        <v>2</v>
      </c>
      <c r="N33" s="42">
        <f>IFERROR(VLOOKUP(V.sual_Data[[#This Row],[RESPONSABLE]],Listas!$D$3:$F$7,3,FALSE),0)</f>
        <v>17730.496453900709</v>
      </c>
      <c r="O33" s="34">
        <f t="shared" ref="O33" si="5">+N33*M33</f>
        <v>35460.992907801417</v>
      </c>
      <c r="P33" s="42">
        <f>IFERROR((VLOOKUP(V.sual_Data[[#This Row],[RESPONSABLE]],Listas!$D$3:$K$7,5,FALSE))*V.sual_Data[[#This Row],[TIEMPO (HORAS)]],0)</f>
        <v>8443.0935494765272</v>
      </c>
      <c r="Q33" s="11">
        <f>IFERROR(+VLOOKUP(L33,V.sual_Lista_Data[[EQUIPO VISUAL]:[SOFTWARE 
VALOR HORA]],8,FALSE)*V.sual_Data[[#This Row],[TIEMPO (HORAS)]],"0")</f>
        <v>6821.7097742879669</v>
      </c>
      <c r="R33" s="43">
        <v>0</v>
      </c>
      <c r="S33" s="43">
        <v>0</v>
      </c>
      <c r="T33" s="3">
        <f t="shared" si="4"/>
        <v>50725.79623156591</v>
      </c>
      <c r="U33" s="15">
        <f>V.sual_Data[[#This Row],[TIEMPO (HORAS)]]*Gastos_Operativos[[#Totals],[GASTOS HORA]]</f>
        <v>55578.954144620802</v>
      </c>
      <c r="V33" s="3">
        <f>V.sual_Data[[#This Row],[COSTO 
DIRECTO ($COP)]]+V.sual_Data[[#This Row],[PRORRATEO GASTOS ($COP)]]</f>
        <v>106304.75037618671</v>
      </c>
      <c r="W33" s="44">
        <v>0.1</v>
      </c>
      <c r="X33" s="15">
        <f>V.sual_Data[[#This Row],[COSTOS OPERACIONALES ($COP)]]*V.sual_Data[[#This Row],[DESFASE (%)]]</f>
        <v>10630.475037618671</v>
      </c>
      <c r="Y33" s="44">
        <v>0.3</v>
      </c>
      <c r="Z33" s="15">
        <f>+((V.sual_Data[[#This Row],[COSTOS OPERACIONALES ($COP)]]/(100%-V.sual_Data[[#This Row],[UTILIDAD (%)]])))-V.sual_Data[[#This Row],[COSTOS OPERACIONALES ($COP)]]</f>
        <v>45559.17873265146</v>
      </c>
      <c r="AA33" s="3">
        <f>+V.sual_Data[[#This Row],[COSTOS OPERACIONALES ($COP)]]+V.sual_Data[[#This Row],[DESFASE ($COP)]]+V.sual_Data[[#This Row],[UTILIDAD ($COP)]]</f>
        <v>162494.40414645686</v>
      </c>
      <c r="AB33" s="44">
        <v>0.05</v>
      </c>
      <c r="AC33" s="15">
        <f>+((V.sual_Data[[#This Row],[VALOR NETO ($COP)]]/(100%-V.sual_Data[[#This Row],[MÁRGEN DE NEGOCIACIÓN (%)]])))-V.sual_Data[[#This Row],[VALOR NETO ($COP)]]</f>
        <v>8552.3370603398362</v>
      </c>
      <c r="AD33" s="15">
        <f>+(V.sual_Data[[#This Row],[VALOR NETO ($COP)]]+V.sual_Data[[#This Row],[NEGOCIACIÓN ($COP)]])*1%</f>
        <v>1710.467412067967</v>
      </c>
      <c r="AE33" s="15">
        <f>+(V.sual_Data[[#This Row],[VALOR NETO ($COP)]]+V.sual_Data[[#This Row],[NEGOCIACIÓN ($COP)]])*1%</f>
        <v>1710.467412067967</v>
      </c>
      <c r="AF33" s="3">
        <f>+V.sual_Data[[#This Row],[VALOR NETO ($COP)]]+V.sual_Data[[#This Row],[4 * 1000 ($COP)]]+V.sual_Data[[#This Row],[ICA ($COP)]]+V.sual_Data[[#This Row],[NEGOCIACIÓN ($COP)]]</f>
        <v>174467.67603093261</v>
      </c>
    </row>
    <row r="34" spans="1:32" ht="60" hidden="1" customHeight="1" x14ac:dyDescent="0.25">
      <c r="A34" s="14"/>
      <c r="B34" s="37" t="s">
        <v>160</v>
      </c>
      <c r="C34" s="38" t="s">
        <v>109</v>
      </c>
      <c r="D34" s="38" t="s">
        <v>110</v>
      </c>
      <c r="E34" s="39" t="s">
        <v>161</v>
      </c>
      <c r="F34" s="38" t="s">
        <v>112</v>
      </c>
      <c r="G34" s="39" t="s">
        <v>113</v>
      </c>
      <c r="H34" s="40">
        <v>1</v>
      </c>
      <c r="I34" s="39" t="s">
        <v>169</v>
      </c>
      <c r="J34" s="86">
        <v>8</v>
      </c>
      <c r="K34" s="39" t="s">
        <v>170</v>
      </c>
      <c r="L34" s="40" t="s">
        <v>119</v>
      </c>
      <c r="M34" s="41">
        <v>3</v>
      </c>
      <c r="N34" s="42">
        <f>IFERROR(VLOOKUP(V.sual_Data[[#This Row],[RESPONSABLE]],Listas!$D$3:$F$7,3,FALSE),0)</f>
        <v>15197.568389057751</v>
      </c>
      <c r="O34" s="34">
        <f t="shared" ref="O34:O42" si="6">+N34*M34</f>
        <v>45592.705167173255</v>
      </c>
      <c r="P34" s="42">
        <f>IFERROR((VLOOKUP(V.sual_Data[[#This Row],[RESPONSABLE]],Listas!$D$3:$K$7,5,FALSE))*V.sual_Data[[#This Row],[TIEMPO (HORAS)]],0)</f>
        <v>10764.944275582575</v>
      </c>
      <c r="Q34" s="42">
        <f>IFERROR(+VLOOKUP(L34,V.sual_Lista_Data[[EQUIPO VISUAL]:[SOFTWARE 
VALOR HORA]],8,FALSE)*V.sual_Data[[#This Row],[TIEMPO (HORAS)]],"0")</f>
        <v>10232.56466143195</v>
      </c>
      <c r="R34" s="43">
        <v>0</v>
      </c>
      <c r="S34" s="43">
        <v>0</v>
      </c>
      <c r="T34" s="3">
        <f t="shared" si="4"/>
        <v>66590.214104187777</v>
      </c>
      <c r="U34" s="15">
        <f>V.sual_Data[[#This Row],[TIEMPO (HORAS)]]*Gastos_Operativos[[#Totals],[GASTOS HORA]]</f>
        <v>83368.431216931203</v>
      </c>
      <c r="V34" s="3">
        <f>V.sual_Data[[#This Row],[COSTO 
DIRECTO ($COP)]]+V.sual_Data[[#This Row],[PRORRATEO GASTOS ($COP)]]</f>
        <v>149958.64532111899</v>
      </c>
      <c r="W34" s="44">
        <v>0.1</v>
      </c>
      <c r="X34" s="15">
        <f>V.sual_Data[[#This Row],[COSTOS OPERACIONALES ($COP)]]*V.sual_Data[[#This Row],[DESFASE (%)]]</f>
        <v>14995.8645321119</v>
      </c>
      <c r="Y34" s="44">
        <v>0.3</v>
      </c>
      <c r="Z34" s="15">
        <f>+((V.sual_Data[[#This Row],[COSTOS OPERACIONALES ($COP)]]/(100%-V.sual_Data[[#This Row],[UTILIDAD (%)]])))-V.sual_Data[[#This Row],[COSTOS OPERACIONALES ($COP)]]</f>
        <v>64267.990851908165</v>
      </c>
      <c r="AA34" s="3">
        <f>+V.sual_Data[[#This Row],[COSTOS OPERACIONALES ($COP)]]+V.sual_Data[[#This Row],[DESFASE ($COP)]]+V.sual_Data[[#This Row],[UTILIDAD ($COP)]]</f>
        <v>229222.50070513907</v>
      </c>
      <c r="AB34" s="44">
        <v>0.05</v>
      </c>
      <c r="AC34" s="15">
        <f>+((V.sual_Data[[#This Row],[VALOR NETO ($COP)]]/(100%-V.sual_Data[[#This Row],[MÁRGEN DE NEGOCIACIÓN (%)]])))-V.sual_Data[[#This Row],[VALOR NETO ($COP)]]</f>
        <v>12064.342142375739</v>
      </c>
      <c r="AD34" s="15">
        <f>+(V.sual_Data[[#This Row],[VALOR NETO ($COP)]]+V.sual_Data[[#This Row],[NEGOCIACIÓN ($COP)]])*1%</f>
        <v>2412.868428475148</v>
      </c>
      <c r="AE34" s="15">
        <f>+(V.sual_Data[[#This Row],[VALOR NETO ($COP)]]+V.sual_Data[[#This Row],[NEGOCIACIÓN ($COP)]])*1%</f>
        <v>2412.868428475148</v>
      </c>
      <c r="AF34" s="3">
        <f>+V.sual_Data[[#This Row],[VALOR NETO ($COP)]]+V.sual_Data[[#This Row],[4 * 1000 ($COP)]]+V.sual_Data[[#This Row],[ICA ($COP)]]+V.sual_Data[[#This Row],[NEGOCIACIÓN ($COP)]]</f>
        <v>246112.57970446508</v>
      </c>
    </row>
    <row r="35" spans="1:32" ht="60" hidden="1" customHeight="1" x14ac:dyDescent="0.25">
      <c r="A35" s="14"/>
      <c r="B35" s="37" t="s">
        <v>160</v>
      </c>
      <c r="C35" s="38" t="s">
        <v>109</v>
      </c>
      <c r="D35" s="38" t="s">
        <v>110</v>
      </c>
      <c r="E35" s="39" t="s">
        <v>161</v>
      </c>
      <c r="F35" s="38" t="s">
        <v>112</v>
      </c>
      <c r="G35" s="39" t="s">
        <v>113</v>
      </c>
      <c r="H35" s="40">
        <v>1</v>
      </c>
      <c r="I35" s="39" t="s">
        <v>169</v>
      </c>
      <c r="J35" s="86">
        <v>9</v>
      </c>
      <c r="K35" s="39" t="s">
        <v>171</v>
      </c>
      <c r="L35" s="40" t="s">
        <v>119</v>
      </c>
      <c r="M35" s="41">
        <v>4</v>
      </c>
      <c r="N35" s="42">
        <f>IFERROR(VLOOKUP(V.sual_Data[[#This Row],[RESPONSABLE]],Listas!$D$3:$F$7,3,FALSE),0)</f>
        <v>15197.568389057751</v>
      </c>
      <c r="O35" s="34">
        <f t="shared" si="6"/>
        <v>60790.273556231004</v>
      </c>
      <c r="P35" s="42">
        <f>IFERROR((VLOOKUP(V.sual_Data[[#This Row],[RESPONSABLE]],Listas!$D$3:$K$7,5,FALSE))*V.sual_Data[[#This Row],[TIEMPO (HORAS)]],0)</f>
        <v>14353.2590341101</v>
      </c>
      <c r="Q35" s="42">
        <f>IFERROR(+VLOOKUP(L35,V.sual_Lista_Data[[EQUIPO VISUAL]:[SOFTWARE 
VALOR HORA]],8,FALSE)*V.sual_Data[[#This Row],[TIEMPO (HORAS)]],"0")</f>
        <v>13643.419548575934</v>
      </c>
      <c r="R35" s="43">
        <v>0</v>
      </c>
      <c r="S35" s="43">
        <v>0</v>
      </c>
      <c r="T35" s="3">
        <f t="shared" si="4"/>
        <v>88786.952138917026</v>
      </c>
      <c r="U35" s="15">
        <f>V.sual_Data[[#This Row],[TIEMPO (HORAS)]]*Gastos_Operativos[[#Totals],[GASTOS HORA]]</f>
        <v>111157.9082892416</v>
      </c>
      <c r="V35" s="3">
        <f>V.sual_Data[[#This Row],[COSTO 
DIRECTO ($COP)]]+V.sual_Data[[#This Row],[PRORRATEO GASTOS ($COP)]]</f>
        <v>199944.86042815863</v>
      </c>
      <c r="W35" s="44">
        <v>0.1</v>
      </c>
      <c r="X35" s="15">
        <f>V.sual_Data[[#This Row],[COSTOS OPERACIONALES ($COP)]]*V.sual_Data[[#This Row],[DESFASE (%)]]</f>
        <v>19994.486042815864</v>
      </c>
      <c r="Y35" s="44">
        <v>0.3</v>
      </c>
      <c r="Z35" s="15">
        <f>+((V.sual_Data[[#This Row],[COSTOS OPERACIONALES ($COP)]]/(100%-V.sual_Data[[#This Row],[UTILIDAD (%)]])))-V.sual_Data[[#This Row],[COSTOS OPERACIONALES ($COP)]]</f>
        <v>85690.654469210858</v>
      </c>
      <c r="AA35" s="3">
        <f>+V.sual_Data[[#This Row],[COSTOS OPERACIONALES ($COP)]]+V.sual_Data[[#This Row],[DESFASE ($COP)]]+V.sual_Data[[#This Row],[UTILIDAD ($COP)]]</f>
        <v>305630.00094018539</v>
      </c>
      <c r="AB35" s="44">
        <v>0.05</v>
      </c>
      <c r="AC35" s="15">
        <f>+((V.sual_Data[[#This Row],[VALOR NETO ($COP)]]/(100%-V.sual_Data[[#This Row],[MÁRGEN DE NEGOCIACIÓN (%)]])))-V.sual_Data[[#This Row],[VALOR NETO ($COP)]]</f>
        <v>16085.789523167652</v>
      </c>
      <c r="AD35" s="15">
        <f>+(V.sual_Data[[#This Row],[VALOR NETO ($COP)]]+V.sual_Data[[#This Row],[NEGOCIACIÓN ($COP)]])*1%</f>
        <v>3217.1579046335305</v>
      </c>
      <c r="AE35" s="15">
        <f>+(V.sual_Data[[#This Row],[VALOR NETO ($COP)]]+V.sual_Data[[#This Row],[NEGOCIACIÓN ($COP)]])*1%</f>
        <v>3217.1579046335305</v>
      </c>
      <c r="AF35" s="3">
        <f>+V.sual_Data[[#This Row],[VALOR NETO ($COP)]]+V.sual_Data[[#This Row],[4 * 1000 ($COP)]]+V.sual_Data[[#This Row],[ICA ($COP)]]+V.sual_Data[[#This Row],[NEGOCIACIÓN ($COP)]]</f>
        <v>328150.10627262015</v>
      </c>
    </row>
    <row r="36" spans="1:32" ht="60" hidden="1" customHeight="1" x14ac:dyDescent="0.25">
      <c r="A36" s="14"/>
      <c r="B36" s="37" t="s">
        <v>160</v>
      </c>
      <c r="C36" s="38" t="s">
        <v>109</v>
      </c>
      <c r="D36" s="38" t="s">
        <v>110</v>
      </c>
      <c r="E36" s="38" t="s">
        <v>161</v>
      </c>
      <c r="F36" s="38" t="s">
        <v>112</v>
      </c>
      <c r="G36" s="38" t="s">
        <v>113</v>
      </c>
      <c r="H36" s="46">
        <v>1</v>
      </c>
      <c r="I36" s="39" t="s">
        <v>172</v>
      </c>
      <c r="J36" s="86">
        <v>10</v>
      </c>
      <c r="K36" s="39" t="s">
        <v>142</v>
      </c>
      <c r="L36" s="40" t="s">
        <v>116</v>
      </c>
      <c r="M36" s="41">
        <v>2</v>
      </c>
      <c r="N36" s="42">
        <f>IFERROR(VLOOKUP(V.sual_Data[[#This Row],[RESPONSABLE]],Listas!$D$3:$F$7,3,FALSE),0)</f>
        <v>17730.496453900709</v>
      </c>
      <c r="O36" s="34">
        <f t="shared" si="6"/>
        <v>35460.992907801417</v>
      </c>
      <c r="P36" s="42">
        <f>IFERROR((VLOOKUP(V.sual_Data[[#This Row],[RESPONSABLE]],Listas!$D$3:$K$7,5,FALSE))*V.sual_Data[[#This Row],[TIEMPO (HORAS)]],0)</f>
        <v>8443.0935494765272</v>
      </c>
      <c r="Q36" s="11">
        <f>IFERROR(+VLOOKUP(L36,V.sual_Lista_Data[[EQUIPO VISUAL]:[SOFTWARE 
VALOR HORA]],8,FALSE)*V.sual_Data[[#This Row],[TIEMPO (HORAS)]],"0")</f>
        <v>6821.7097742879669</v>
      </c>
      <c r="R36" s="43">
        <v>0</v>
      </c>
      <c r="S36" s="43">
        <v>0</v>
      </c>
      <c r="T36" s="3">
        <f t="shared" si="4"/>
        <v>50725.79623156591</v>
      </c>
      <c r="U36" s="15">
        <f>V.sual_Data[[#This Row],[TIEMPO (HORAS)]]*Gastos_Operativos[[#Totals],[GASTOS HORA]]</f>
        <v>55578.954144620802</v>
      </c>
      <c r="V36" s="3">
        <f>V.sual_Data[[#This Row],[COSTO 
DIRECTO ($COP)]]+V.sual_Data[[#This Row],[PRORRATEO GASTOS ($COP)]]</f>
        <v>106304.75037618671</v>
      </c>
      <c r="W36" s="44">
        <v>0.1</v>
      </c>
      <c r="X36" s="15">
        <f>V.sual_Data[[#This Row],[COSTOS OPERACIONALES ($COP)]]*V.sual_Data[[#This Row],[DESFASE (%)]]</f>
        <v>10630.475037618671</v>
      </c>
      <c r="Y36" s="44">
        <v>0.3</v>
      </c>
      <c r="Z36" s="15">
        <f>+((V.sual_Data[[#This Row],[COSTOS OPERACIONALES ($COP)]]/(100%-V.sual_Data[[#This Row],[UTILIDAD (%)]])))-V.sual_Data[[#This Row],[COSTOS OPERACIONALES ($COP)]]</f>
        <v>45559.17873265146</v>
      </c>
      <c r="AA36" s="3">
        <f>+V.sual_Data[[#This Row],[COSTOS OPERACIONALES ($COP)]]+V.sual_Data[[#This Row],[DESFASE ($COP)]]+V.sual_Data[[#This Row],[UTILIDAD ($COP)]]</f>
        <v>162494.40414645686</v>
      </c>
      <c r="AB36" s="44">
        <v>0.05</v>
      </c>
      <c r="AC36" s="15">
        <f>+((V.sual_Data[[#This Row],[VALOR NETO ($COP)]]/(100%-V.sual_Data[[#This Row],[MÁRGEN DE NEGOCIACIÓN (%)]])))-V.sual_Data[[#This Row],[VALOR NETO ($COP)]]</f>
        <v>8552.3370603398362</v>
      </c>
      <c r="AD36" s="15">
        <f>+(V.sual_Data[[#This Row],[VALOR NETO ($COP)]]+V.sual_Data[[#This Row],[NEGOCIACIÓN ($COP)]])*1%</f>
        <v>1710.467412067967</v>
      </c>
      <c r="AE36" s="15">
        <f>+(V.sual_Data[[#This Row],[VALOR NETO ($COP)]]+V.sual_Data[[#This Row],[NEGOCIACIÓN ($COP)]])*1%</f>
        <v>1710.467412067967</v>
      </c>
      <c r="AF36" s="3">
        <f>+V.sual_Data[[#This Row],[VALOR NETO ($COP)]]+V.sual_Data[[#This Row],[4 * 1000 ($COP)]]+V.sual_Data[[#This Row],[ICA ($COP)]]+V.sual_Data[[#This Row],[NEGOCIACIÓN ($COP)]]</f>
        <v>174467.67603093261</v>
      </c>
    </row>
    <row r="37" spans="1:32" ht="60" hidden="1" customHeight="1" x14ac:dyDescent="0.25">
      <c r="A37" s="14"/>
      <c r="B37" s="37" t="s">
        <v>173</v>
      </c>
      <c r="C37" s="38" t="s">
        <v>144</v>
      </c>
      <c r="D37" s="38" t="s">
        <v>110</v>
      </c>
      <c r="E37" s="39" t="s">
        <v>174</v>
      </c>
      <c r="F37" s="38" t="s">
        <v>146</v>
      </c>
      <c r="G37" s="39" t="s">
        <v>147</v>
      </c>
      <c r="H37" s="40">
        <v>1</v>
      </c>
      <c r="I37" s="39" t="s">
        <v>175</v>
      </c>
      <c r="J37" s="86">
        <v>1</v>
      </c>
      <c r="K37" s="39" t="s">
        <v>176</v>
      </c>
      <c r="L37" s="40" t="s">
        <v>150</v>
      </c>
      <c r="M37" s="139">
        <v>2</v>
      </c>
      <c r="N37" s="42">
        <f>IFERROR(VLOOKUP(V.sual_Data[[#This Row],[RESPONSABLE]],Listas!$D$3:$F$7,3,FALSE),0)</f>
        <v>10000</v>
      </c>
      <c r="O37" s="34">
        <f t="shared" si="6"/>
        <v>20000</v>
      </c>
      <c r="P37" s="42">
        <f>IFERROR((VLOOKUP(V.sual_Data[[#This Row],[RESPONSABLE]],Listas!$D$3:$K$7,5,FALSE))*V.sual_Data[[#This Row],[TIEMPO (HORAS)]],0)</f>
        <v>6754.4748395812221</v>
      </c>
      <c r="Q37" s="42">
        <f>IFERROR(+VLOOKUP(L37,V.sual_Lista_Data[[EQUIPO VISUAL]:[SOFTWARE 
VALOR HORA]],8,FALSE)*V.sual_Data[[#This Row],[TIEMPO (HORAS)]],"0")</f>
        <v>6821.7097742879669</v>
      </c>
      <c r="R37" s="43">
        <v>0</v>
      </c>
      <c r="S37" s="43">
        <v>0</v>
      </c>
      <c r="T37" s="3">
        <f t="shared" ref="T37:T42" si="7">SUM(O37:S37)</f>
        <v>33576.184613869191</v>
      </c>
      <c r="U37" s="15">
        <f>V.sual_Data[[#This Row],[TIEMPO (HORAS)]]*Gastos_Operativos[[#Totals],[GASTOS HORA]]</f>
        <v>55578.954144620802</v>
      </c>
      <c r="V37" s="3">
        <f>V.sual_Data[[#This Row],[COSTO 
DIRECTO ($COP)]]+V.sual_Data[[#This Row],[PRORRATEO GASTOS ($COP)]]</f>
        <v>89155.138758489993</v>
      </c>
      <c r="W37" s="44">
        <v>0.1</v>
      </c>
      <c r="X37" s="15">
        <f>V.sual_Data[[#This Row],[COSTOS OPERACIONALES ($COP)]]*V.sual_Data[[#This Row],[DESFASE (%)]]</f>
        <v>8915.5138758489993</v>
      </c>
      <c r="Y37" s="44">
        <v>0.3</v>
      </c>
      <c r="Z37" s="15">
        <f>+((V.sual_Data[[#This Row],[COSTOS OPERACIONALES ($COP)]]/(100%-V.sual_Data[[#This Row],[UTILIDAD (%)]])))-V.sual_Data[[#This Row],[COSTOS OPERACIONALES ($COP)]]</f>
        <v>38209.345182210003</v>
      </c>
      <c r="AA37" s="3">
        <f>+V.sual_Data[[#This Row],[COSTOS OPERACIONALES ($COP)]]+V.sual_Data[[#This Row],[DESFASE ($COP)]]+V.sual_Data[[#This Row],[UTILIDAD ($COP)]]</f>
        <v>136279.997816549</v>
      </c>
      <c r="AB37" s="44">
        <v>0.05</v>
      </c>
      <c r="AC37" s="15">
        <f>+((V.sual_Data[[#This Row],[VALOR NETO ($COP)]]/(100%-V.sual_Data[[#This Row],[MÁRGEN DE NEGOCIACIÓN (%)]])))-V.sual_Data[[#This Row],[VALOR NETO ($COP)]]</f>
        <v>7172.6314640289056</v>
      </c>
      <c r="AD37" s="15">
        <f>+(V.sual_Data[[#This Row],[VALOR NETO ($COP)]]+V.sual_Data[[#This Row],[NEGOCIACIÓN ($COP)]])*1%</f>
        <v>1434.5262928057791</v>
      </c>
      <c r="AE37" s="15">
        <f>+(V.sual_Data[[#This Row],[VALOR NETO ($COP)]]+V.sual_Data[[#This Row],[NEGOCIACIÓN ($COP)]])*1%</f>
        <v>1434.5262928057791</v>
      </c>
      <c r="AF37" s="3">
        <f>+V.sual_Data[[#This Row],[VALOR NETO ($COP)]]+V.sual_Data[[#This Row],[4 * 1000 ($COP)]]+V.sual_Data[[#This Row],[ICA ($COP)]]+V.sual_Data[[#This Row],[NEGOCIACIÓN ($COP)]]</f>
        <v>146321.68186618949</v>
      </c>
    </row>
    <row r="38" spans="1:32" ht="60" hidden="1" customHeight="1" x14ac:dyDescent="0.25">
      <c r="A38" s="14"/>
      <c r="B38" s="37" t="s">
        <v>173</v>
      </c>
      <c r="C38" s="38" t="s">
        <v>144</v>
      </c>
      <c r="D38" s="38" t="s">
        <v>110</v>
      </c>
      <c r="E38" s="39" t="s">
        <v>174</v>
      </c>
      <c r="F38" s="38" t="s">
        <v>146</v>
      </c>
      <c r="G38" s="39" t="s">
        <v>147</v>
      </c>
      <c r="H38" s="40">
        <v>1</v>
      </c>
      <c r="I38" s="39" t="s">
        <v>177</v>
      </c>
      <c r="J38" s="86">
        <v>2</v>
      </c>
      <c r="K38" s="39" t="s">
        <v>178</v>
      </c>
      <c r="L38" s="40" t="s">
        <v>116</v>
      </c>
      <c r="M38" s="139">
        <v>1</v>
      </c>
      <c r="N38" s="42">
        <f>IFERROR(VLOOKUP(V.sual_Data[[#This Row],[RESPONSABLE]],Listas!$D$3:$F$7,3,FALSE),0)</f>
        <v>17730.496453900709</v>
      </c>
      <c r="O38" s="34">
        <f t="shared" si="6"/>
        <v>17730.496453900709</v>
      </c>
      <c r="P38" s="42">
        <f>IFERROR((VLOOKUP(V.sual_Data[[#This Row],[RESPONSABLE]],Listas!$D$3:$K$7,5,FALSE))*V.sual_Data[[#This Row],[TIEMPO (HORAS)]],0)</f>
        <v>4221.5467747382636</v>
      </c>
      <c r="Q38" s="42">
        <f>IFERROR(+VLOOKUP(L38,V.sual_Lista_Data[[EQUIPO VISUAL]:[SOFTWARE 
VALOR HORA]],8,FALSE)*V.sual_Data[[#This Row],[TIEMPO (HORAS)]],"0")</f>
        <v>3410.8548871439834</v>
      </c>
      <c r="R38" s="43">
        <v>0</v>
      </c>
      <c r="S38" s="43">
        <v>0</v>
      </c>
      <c r="T38" s="3">
        <f t="shared" si="7"/>
        <v>25362.898115782955</v>
      </c>
      <c r="U38" s="15">
        <f>V.sual_Data[[#This Row],[TIEMPO (HORAS)]]*Gastos_Operativos[[#Totals],[GASTOS HORA]]</f>
        <v>27789.477072310401</v>
      </c>
      <c r="V38" s="3">
        <f>V.sual_Data[[#This Row],[COSTO 
DIRECTO ($COP)]]+V.sual_Data[[#This Row],[PRORRATEO GASTOS ($COP)]]</f>
        <v>53152.375188093356</v>
      </c>
      <c r="W38" s="44">
        <v>0.1</v>
      </c>
      <c r="X38" s="15">
        <f>V.sual_Data[[#This Row],[COSTOS OPERACIONALES ($COP)]]*V.sual_Data[[#This Row],[DESFASE (%)]]</f>
        <v>5315.2375188093356</v>
      </c>
      <c r="Y38" s="44">
        <v>0.3</v>
      </c>
      <c r="Z38" s="15">
        <f>+((V.sual_Data[[#This Row],[COSTOS OPERACIONALES ($COP)]]/(100%-V.sual_Data[[#This Row],[UTILIDAD (%)]])))-V.sual_Data[[#This Row],[COSTOS OPERACIONALES ($COP)]]</f>
        <v>22779.58936632573</v>
      </c>
      <c r="AA38" s="3">
        <f>+V.sual_Data[[#This Row],[COSTOS OPERACIONALES ($COP)]]+V.sual_Data[[#This Row],[DESFASE ($COP)]]+V.sual_Data[[#This Row],[UTILIDAD ($COP)]]</f>
        <v>81247.202073228429</v>
      </c>
      <c r="AB38" s="44">
        <v>0.05</v>
      </c>
      <c r="AC38" s="15">
        <f>+((V.sual_Data[[#This Row],[VALOR NETO ($COP)]]/(100%-V.sual_Data[[#This Row],[MÁRGEN DE NEGOCIACIÓN (%)]])))-V.sual_Data[[#This Row],[VALOR NETO ($COP)]]</f>
        <v>4276.1685301699181</v>
      </c>
      <c r="AD38" s="15">
        <f>+(V.sual_Data[[#This Row],[VALOR NETO ($COP)]]+V.sual_Data[[#This Row],[NEGOCIACIÓN ($COP)]])*1%</f>
        <v>855.23370603398348</v>
      </c>
      <c r="AE38" s="15">
        <f>+(V.sual_Data[[#This Row],[VALOR NETO ($COP)]]+V.sual_Data[[#This Row],[NEGOCIACIÓN ($COP)]])*1%</f>
        <v>855.23370603398348</v>
      </c>
      <c r="AF38" s="3">
        <f>+V.sual_Data[[#This Row],[VALOR NETO ($COP)]]+V.sual_Data[[#This Row],[4 * 1000 ($COP)]]+V.sual_Data[[#This Row],[ICA ($COP)]]+V.sual_Data[[#This Row],[NEGOCIACIÓN ($COP)]]</f>
        <v>87233.838015466303</v>
      </c>
    </row>
    <row r="39" spans="1:32" ht="60" hidden="1" customHeight="1" x14ac:dyDescent="0.25">
      <c r="A39" s="14"/>
      <c r="B39" s="37" t="s">
        <v>173</v>
      </c>
      <c r="C39" s="38" t="s">
        <v>144</v>
      </c>
      <c r="D39" s="38" t="s">
        <v>110</v>
      </c>
      <c r="E39" s="39" t="s">
        <v>174</v>
      </c>
      <c r="F39" s="38" t="s">
        <v>146</v>
      </c>
      <c r="G39" s="39" t="s">
        <v>147</v>
      </c>
      <c r="H39" s="40">
        <v>1</v>
      </c>
      <c r="I39" s="39" t="s">
        <v>177</v>
      </c>
      <c r="J39" s="86">
        <v>3</v>
      </c>
      <c r="K39" s="39" t="s">
        <v>156</v>
      </c>
      <c r="L39" s="40" t="s">
        <v>116</v>
      </c>
      <c r="M39" s="139">
        <v>2.5</v>
      </c>
      <c r="N39" s="42">
        <f>IFERROR(VLOOKUP(V.sual_Data[[#This Row],[RESPONSABLE]],Listas!$D$3:$F$7,3,FALSE),0)</f>
        <v>17730.496453900709</v>
      </c>
      <c r="O39" s="34">
        <f t="shared" si="6"/>
        <v>44326.24113475177</v>
      </c>
      <c r="P39" s="42">
        <f>IFERROR((VLOOKUP(V.sual_Data[[#This Row],[RESPONSABLE]],Listas!$D$3:$K$7,5,FALSE))*V.sual_Data[[#This Row],[TIEMPO (HORAS)]],0)</f>
        <v>10553.866936845659</v>
      </c>
      <c r="Q39" s="42">
        <f>IFERROR(+VLOOKUP(L39,V.sual_Lista_Data[[EQUIPO VISUAL]:[SOFTWARE 
VALOR HORA]],8,FALSE)*V.sual_Data[[#This Row],[TIEMPO (HORAS)]],"0")</f>
        <v>8527.1372178599595</v>
      </c>
      <c r="R39" s="43">
        <v>0</v>
      </c>
      <c r="S39" s="43">
        <v>0</v>
      </c>
      <c r="T39" s="3">
        <f t="shared" si="7"/>
        <v>63407.245289457394</v>
      </c>
      <c r="U39" s="15">
        <f>V.sual_Data[[#This Row],[TIEMPO (HORAS)]]*Gastos_Operativos[[#Totals],[GASTOS HORA]]</f>
        <v>69473.692680776003</v>
      </c>
      <c r="V39" s="3">
        <f>V.sual_Data[[#This Row],[COSTO 
DIRECTO ($COP)]]+V.sual_Data[[#This Row],[PRORRATEO GASTOS ($COP)]]</f>
        <v>132880.93797023338</v>
      </c>
      <c r="W39" s="44">
        <v>0.1</v>
      </c>
      <c r="X39" s="15">
        <f>V.sual_Data[[#This Row],[COSTOS OPERACIONALES ($COP)]]*V.sual_Data[[#This Row],[DESFASE (%)]]</f>
        <v>13288.093797023339</v>
      </c>
      <c r="Y39" s="44">
        <v>0.3</v>
      </c>
      <c r="Z39" s="15">
        <f>+((V.sual_Data[[#This Row],[COSTOS OPERACIONALES ($COP)]]/(100%-V.sual_Data[[#This Row],[UTILIDAD (%)]])))-V.sual_Data[[#This Row],[COSTOS OPERACIONALES ($COP)]]</f>
        <v>56948.973415814311</v>
      </c>
      <c r="AA39" s="3">
        <f>+V.sual_Data[[#This Row],[COSTOS OPERACIONALES ($COP)]]+V.sual_Data[[#This Row],[DESFASE ($COP)]]+V.sual_Data[[#This Row],[UTILIDAD ($COP)]]</f>
        <v>203118.00518307104</v>
      </c>
      <c r="AB39" s="44">
        <v>0.05</v>
      </c>
      <c r="AC39" s="15">
        <f>+((V.sual_Data[[#This Row],[VALOR NETO ($COP)]]/(100%-V.sual_Data[[#This Row],[MÁRGEN DE NEGOCIACIÓN (%)]])))-V.sual_Data[[#This Row],[VALOR NETO ($COP)]]</f>
        <v>10690.421325424802</v>
      </c>
      <c r="AD39" s="15">
        <f>+(V.sual_Data[[#This Row],[VALOR NETO ($COP)]]+V.sual_Data[[#This Row],[NEGOCIACIÓN ($COP)]])*1%</f>
        <v>2138.0842650849586</v>
      </c>
      <c r="AE39" s="15">
        <f>+(V.sual_Data[[#This Row],[VALOR NETO ($COP)]]+V.sual_Data[[#This Row],[NEGOCIACIÓN ($COP)]])*1%</f>
        <v>2138.0842650849586</v>
      </c>
      <c r="AF39" s="3">
        <f>+V.sual_Data[[#This Row],[VALOR NETO ($COP)]]+V.sual_Data[[#This Row],[4 * 1000 ($COP)]]+V.sual_Data[[#This Row],[ICA ($COP)]]+V.sual_Data[[#This Row],[NEGOCIACIÓN ($COP)]]</f>
        <v>218084.59503866578</v>
      </c>
    </row>
    <row r="40" spans="1:32" ht="60" hidden="1" customHeight="1" x14ac:dyDescent="0.25">
      <c r="A40" s="14"/>
      <c r="B40" s="37" t="s">
        <v>173</v>
      </c>
      <c r="C40" s="38" t="s">
        <v>144</v>
      </c>
      <c r="D40" s="38" t="s">
        <v>110</v>
      </c>
      <c r="E40" s="39" t="s">
        <v>174</v>
      </c>
      <c r="F40" s="38" t="s">
        <v>146</v>
      </c>
      <c r="G40" s="39" t="s">
        <v>147</v>
      </c>
      <c r="H40" s="40">
        <v>1</v>
      </c>
      <c r="I40" s="39" t="s">
        <v>175</v>
      </c>
      <c r="J40" s="86">
        <v>4</v>
      </c>
      <c r="K40" s="39" t="s">
        <v>179</v>
      </c>
      <c r="L40" s="40" t="s">
        <v>116</v>
      </c>
      <c r="M40" s="139">
        <v>1</v>
      </c>
      <c r="N40" s="42">
        <f>IFERROR(VLOOKUP(V.sual_Data[[#This Row],[RESPONSABLE]],Listas!$D$3:$F$7,3,FALSE),0)</f>
        <v>17730.496453900709</v>
      </c>
      <c r="O40" s="34">
        <f t="shared" si="6"/>
        <v>17730.496453900709</v>
      </c>
      <c r="P40" s="42">
        <f>IFERROR((VLOOKUP(V.sual_Data[[#This Row],[RESPONSABLE]],Listas!$D$3:$K$7,5,FALSE))*V.sual_Data[[#This Row],[TIEMPO (HORAS)]],0)</f>
        <v>4221.5467747382636</v>
      </c>
      <c r="Q40" s="42">
        <f>IFERROR(+VLOOKUP(L40,V.sual_Lista_Data[[EQUIPO VISUAL]:[SOFTWARE 
VALOR HORA]],8,FALSE)*V.sual_Data[[#This Row],[TIEMPO (HORAS)]],"0")</f>
        <v>3410.8548871439834</v>
      </c>
      <c r="R40" s="43">
        <v>0</v>
      </c>
      <c r="S40" s="43">
        <v>0</v>
      </c>
      <c r="T40" s="3">
        <f t="shared" si="7"/>
        <v>25362.898115782955</v>
      </c>
      <c r="U40" s="15">
        <f>V.sual_Data[[#This Row],[TIEMPO (HORAS)]]*Gastos_Operativos[[#Totals],[GASTOS HORA]]</f>
        <v>27789.477072310401</v>
      </c>
      <c r="V40" s="3">
        <f>V.sual_Data[[#This Row],[COSTO 
DIRECTO ($COP)]]+V.sual_Data[[#This Row],[PRORRATEO GASTOS ($COP)]]</f>
        <v>53152.375188093356</v>
      </c>
      <c r="W40" s="44">
        <v>0.1</v>
      </c>
      <c r="X40" s="15">
        <f>V.sual_Data[[#This Row],[COSTOS OPERACIONALES ($COP)]]*V.sual_Data[[#This Row],[DESFASE (%)]]</f>
        <v>5315.2375188093356</v>
      </c>
      <c r="Y40" s="44">
        <v>0.3</v>
      </c>
      <c r="Z40" s="15">
        <f>+((V.sual_Data[[#This Row],[COSTOS OPERACIONALES ($COP)]]/(100%-V.sual_Data[[#This Row],[UTILIDAD (%)]])))-V.sual_Data[[#This Row],[COSTOS OPERACIONALES ($COP)]]</f>
        <v>22779.58936632573</v>
      </c>
      <c r="AA40" s="3">
        <f>+V.sual_Data[[#This Row],[COSTOS OPERACIONALES ($COP)]]+V.sual_Data[[#This Row],[DESFASE ($COP)]]+V.sual_Data[[#This Row],[UTILIDAD ($COP)]]</f>
        <v>81247.202073228429</v>
      </c>
      <c r="AB40" s="44">
        <v>0.05</v>
      </c>
      <c r="AC40" s="15">
        <f>+((V.sual_Data[[#This Row],[VALOR NETO ($COP)]]/(100%-V.sual_Data[[#This Row],[MÁRGEN DE NEGOCIACIÓN (%)]])))-V.sual_Data[[#This Row],[VALOR NETO ($COP)]]</f>
        <v>4276.1685301699181</v>
      </c>
      <c r="AD40" s="15">
        <f>+(V.sual_Data[[#This Row],[VALOR NETO ($COP)]]+V.sual_Data[[#This Row],[NEGOCIACIÓN ($COP)]])*1%</f>
        <v>855.23370603398348</v>
      </c>
      <c r="AE40" s="15">
        <f>+(V.sual_Data[[#This Row],[VALOR NETO ($COP)]]+V.sual_Data[[#This Row],[NEGOCIACIÓN ($COP)]])*1%</f>
        <v>855.23370603398348</v>
      </c>
      <c r="AF40" s="3">
        <f>+V.sual_Data[[#This Row],[VALOR NETO ($COP)]]+V.sual_Data[[#This Row],[4 * 1000 ($COP)]]+V.sual_Data[[#This Row],[ICA ($COP)]]+V.sual_Data[[#This Row],[NEGOCIACIÓN ($COP)]]</f>
        <v>87233.838015466303</v>
      </c>
    </row>
    <row r="41" spans="1:32" ht="60" hidden="1" customHeight="1" x14ac:dyDescent="0.25">
      <c r="A41" s="14"/>
      <c r="B41" s="37" t="s">
        <v>173</v>
      </c>
      <c r="C41" s="38" t="s">
        <v>144</v>
      </c>
      <c r="D41" s="38" t="s">
        <v>110</v>
      </c>
      <c r="E41" s="39" t="s">
        <v>174</v>
      </c>
      <c r="F41" s="38" t="s">
        <v>146</v>
      </c>
      <c r="G41" s="39" t="s">
        <v>147</v>
      </c>
      <c r="H41" s="40">
        <v>1</v>
      </c>
      <c r="I41" s="39" t="s">
        <v>175</v>
      </c>
      <c r="J41" s="86">
        <v>5</v>
      </c>
      <c r="K41" s="39" t="s">
        <v>158</v>
      </c>
      <c r="L41" s="40" t="s">
        <v>116</v>
      </c>
      <c r="M41" s="139">
        <v>2</v>
      </c>
      <c r="N41" s="42">
        <f>IFERROR(VLOOKUP(V.sual_Data[[#This Row],[RESPONSABLE]],Listas!$D$3:$F$7,3,FALSE),0)</f>
        <v>17730.496453900709</v>
      </c>
      <c r="O41" s="34">
        <f t="shared" si="6"/>
        <v>35460.992907801417</v>
      </c>
      <c r="P41" s="42">
        <f>IFERROR((VLOOKUP(V.sual_Data[[#This Row],[RESPONSABLE]],Listas!$D$3:$K$7,5,FALSE))*V.sual_Data[[#This Row],[TIEMPO (HORAS)]],0)</f>
        <v>8443.0935494765272</v>
      </c>
      <c r="Q41" s="42">
        <f>IFERROR(+VLOOKUP(L41,V.sual_Lista_Data[[EQUIPO VISUAL]:[SOFTWARE 
VALOR HORA]],8,FALSE)*V.sual_Data[[#This Row],[TIEMPO (HORAS)]],"0")</f>
        <v>6821.7097742879669</v>
      </c>
      <c r="R41" s="43">
        <v>0</v>
      </c>
      <c r="S41" s="43">
        <v>0</v>
      </c>
      <c r="T41" s="3">
        <f t="shared" si="7"/>
        <v>50725.79623156591</v>
      </c>
      <c r="U41" s="15">
        <f>V.sual_Data[[#This Row],[TIEMPO (HORAS)]]*Gastos_Operativos[[#Totals],[GASTOS HORA]]</f>
        <v>55578.954144620802</v>
      </c>
      <c r="V41" s="3">
        <f>V.sual_Data[[#This Row],[COSTO 
DIRECTO ($COP)]]+V.sual_Data[[#This Row],[PRORRATEO GASTOS ($COP)]]</f>
        <v>106304.75037618671</v>
      </c>
      <c r="W41" s="44">
        <v>0.1</v>
      </c>
      <c r="X41" s="15">
        <f>V.sual_Data[[#This Row],[COSTOS OPERACIONALES ($COP)]]*V.sual_Data[[#This Row],[DESFASE (%)]]</f>
        <v>10630.475037618671</v>
      </c>
      <c r="Y41" s="44">
        <v>0.3</v>
      </c>
      <c r="Z41" s="15">
        <f>+((V.sual_Data[[#This Row],[COSTOS OPERACIONALES ($COP)]]/(100%-V.sual_Data[[#This Row],[UTILIDAD (%)]])))-V.sual_Data[[#This Row],[COSTOS OPERACIONALES ($COP)]]</f>
        <v>45559.17873265146</v>
      </c>
      <c r="AA41" s="3">
        <f>+V.sual_Data[[#This Row],[COSTOS OPERACIONALES ($COP)]]+V.sual_Data[[#This Row],[DESFASE ($COP)]]+V.sual_Data[[#This Row],[UTILIDAD ($COP)]]</f>
        <v>162494.40414645686</v>
      </c>
      <c r="AB41" s="44">
        <v>0.05</v>
      </c>
      <c r="AC41" s="15">
        <f>+((V.sual_Data[[#This Row],[VALOR NETO ($COP)]]/(100%-V.sual_Data[[#This Row],[MÁRGEN DE NEGOCIACIÓN (%)]])))-V.sual_Data[[#This Row],[VALOR NETO ($COP)]]</f>
        <v>8552.3370603398362</v>
      </c>
      <c r="AD41" s="15">
        <f>+(V.sual_Data[[#This Row],[VALOR NETO ($COP)]]+V.sual_Data[[#This Row],[NEGOCIACIÓN ($COP)]])*1%</f>
        <v>1710.467412067967</v>
      </c>
      <c r="AE41" s="15">
        <f>+(V.sual_Data[[#This Row],[VALOR NETO ($COP)]]+V.sual_Data[[#This Row],[NEGOCIACIÓN ($COP)]])*1%</f>
        <v>1710.467412067967</v>
      </c>
      <c r="AF41" s="3">
        <f>+V.sual_Data[[#This Row],[VALOR NETO ($COP)]]+V.sual_Data[[#This Row],[4 * 1000 ($COP)]]+V.sual_Data[[#This Row],[ICA ($COP)]]+V.sual_Data[[#This Row],[NEGOCIACIÓN ($COP)]]</f>
        <v>174467.67603093261</v>
      </c>
    </row>
    <row r="42" spans="1:32" ht="60" hidden="1" customHeight="1" x14ac:dyDescent="0.25">
      <c r="A42" s="14"/>
      <c r="B42" s="37" t="s">
        <v>173</v>
      </c>
      <c r="C42" s="38" t="s">
        <v>144</v>
      </c>
      <c r="D42" s="38" t="s">
        <v>110</v>
      </c>
      <c r="E42" s="39" t="s">
        <v>174</v>
      </c>
      <c r="F42" s="38" t="s">
        <v>146</v>
      </c>
      <c r="G42" s="39" t="s">
        <v>147</v>
      </c>
      <c r="H42" s="40">
        <v>1</v>
      </c>
      <c r="I42" s="39" t="s">
        <v>175</v>
      </c>
      <c r="J42" s="86">
        <v>6</v>
      </c>
      <c r="K42" s="39" t="s">
        <v>159</v>
      </c>
      <c r="L42" s="40" t="s">
        <v>116</v>
      </c>
      <c r="M42" s="139">
        <v>2</v>
      </c>
      <c r="N42" s="42">
        <f>IFERROR(VLOOKUP(V.sual_Data[[#This Row],[RESPONSABLE]],Listas!$D$3:$F$7,3,FALSE),0)</f>
        <v>17730.496453900709</v>
      </c>
      <c r="O42" s="34">
        <f t="shared" si="6"/>
        <v>35460.992907801417</v>
      </c>
      <c r="P42" s="42">
        <f>IFERROR((VLOOKUP(V.sual_Data[[#This Row],[RESPONSABLE]],Listas!$D$3:$K$7,5,FALSE))*V.sual_Data[[#This Row],[TIEMPO (HORAS)]],0)</f>
        <v>8443.0935494765272</v>
      </c>
      <c r="Q42" s="42">
        <f>IFERROR(+VLOOKUP(L42,V.sual_Lista_Data[[EQUIPO VISUAL]:[SOFTWARE 
VALOR HORA]],8,FALSE)*V.sual_Data[[#This Row],[TIEMPO (HORAS)]],"0")</f>
        <v>6821.7097742879669</v>
      </c>
      <c r="R42" s="43">
        <v>0</v>
      </c>
      <c r="S42" s="43">
        <v>0</v>
      </c>
      <c r="T42" s="3">
        <f t="shared" si="7"/>
        <v>50725.79623156591</v>
      </c>
      <c r="U42" s="15">
        <f>V.sual_Data[[#This Row],[TIEMPO (HORAS)]]*Gastos_Operativos[[#Totals],[GASTOS HORA]]</f>
        <v>55578.954144620802</v>
      </c>
      <c r="V42" s="3">
        <f>V.sual_Data[[#This Row],[COSTO 
DIRECTO ($COP)]]+V.sual_Data[[#This Row],[PRORRATEO GASTOS ($COP)]]</f>
        <v>106304.75037618671</v>
      </c>
      <c r="W42" s="44">
        <v>0.1</v>
      </c>
      <c r="X42" s="15">
        <f>V.sual_Data[[#This Row],[COSTOS OPERACIONALES ($COP)]]*V.sual_Data[[#This Row],[DESFASE (%)]]</f>
        <v>10630.475037618671</v>
      </c>
      <c r="Y42" s="44">
        <v>0.3</v>
      </c>
      <c r="Z42" s="15">
        <f>+((V.sual_Data[[#This Row],[COSTOS OPERACIONALES ($COP)]]/(100%-V.sual_Data[[#This Row],[UTILIDAD (%)]])))-V.sual_Data[[#This Row],[COSTOS OPERACIONALES ($COP)]]</f>
        <v>45559.17873265146</v>
      </c>
      <c r="AA42" s="3">
        <f>+V.sual_Data[[#This Row],[COSTOS OPERACIONALES ($COP)]]+V.sual_Data[[#This Row],[DESFASE ($COP)]]+V.sual_Data[[#This Row],[UTILIDAD ($COP)]]</f>
        <v>162494.40414645686</v>
      </c>
      <c r="AB42" s="44">
        <v>0.05</v>
      </c>
      <c r="AC42" s="15">
        <f>+((V.sual_Data[[#This Row],[VALOR NETO ($COP)]]/(100%-V.sual_Data[[#This Row],[MÁRGEN DE NEGOCIACIÓN (%)]])))-V.sual_Data[[#This Row],[VALOR NETO ($COP)]]</f>
        <v>8552.3370603398362</v>
      </c>
      <c r="AD42" s="15">
        <f>+(V.sual_Data[[#This Row],[VALOR NETO ($COP)]]+V.sual_Data[[#This Row],[NEGOCIACIÓN ($COP)]])*1%</f>
        <v>1710.467412067967</v>
      </c>
      <c r="AE42" s="15">
        <f>+(V.sual_Data[[#This Row],[VALOR NETO ($COP)]]+V.sual_Data[[#This Row],[NEGOCIACIÓN ($COP)]])*1%</f>
        <v>1710.467412067967</v>
      </c>
      <c r="AF42" s="3">
        <f>+V.sual_Data[[#This Row],[VALOR NETO ($COP)]]+V.sual_Data[[#This Row],[4 * 1000 ($COP)]]+V.sual_Data[[#This Row],[ICA ($COP)]]+V.sual_Data[[#This Row],[NEGOCIACIÓN ($COP)]]</f>
        <v>174467.67603093261</v>
      </c>
    </row>
    <row r="43" spans="1:32" ht="60" hidden="1" customHeight="1" x14ac:dyDescent="0.25">
      <c r="A43" s="14"/>
      <c r="B43" s="37" t="s">
        <v>180</v>
      </c>
      <c r="C43" s="38" t="s">
        <v>109</v>
      </c>
      <c r="D43" s="38" t="s">
        <v>181</v>
      </c>
      <c r="E43" s="38" t="s">
        <v>182</v>
      </c>
      <c r="F43" s="38" t="s">
        <v>112</v>
      </c>
      <c r="G43" s="39" t="s">
        <v>113</v>
      </c>
      <c r="H43" s="40">
        <v>1</v>
      </c>
      <c r="I43" s="39" t="s">
        <v>117</v>
      </c>
      <c r="J43" s="86">
        <v>1</v>
      </c>
      <c r="K43" s="39" t="s">
        <v>162</v>
      </c>
      <c r="L43" s="40" t="s">
        <v>183</v>
      </c>
      <c r="M43" s="41">
        <v>0.5</v>
      </c>
      <c r="N43" s="42">
        <f>IFERROR(VLOOKUP(V.sual_Data[[#This Row],[RESPONSABLE]],Listas!$D$3:$F$7,3,FALSE),0)</f>
        <v>22796.352583586624</v>
      </c>
      <c r="O43" s="34">
        <f t="shared" ref="O43:O45" si="8">+N43*M43</f>
        <v>11398.176291793312</v>
      </c>
      <c r="P43" s="42">
        <f>IFERROR((VLOOKUP(V.sual_Data[[#This Row],[RESPONSABLE]],Listas!$D$3:$K$7,5,FALSE))*V.sual_Data[[#This Row],[TIEMPO (HORAS)]],0)</f>
        <v>2110.7733873691318</v>
      </c>
      <c r="Q43" s="42">
        <f>IFERROR(+VLOOKUP(L43,V.sual_Lista_Data[[EQUIPO VISUAL]:[SOFTWARE 
VALOR HORA]],8,FALSE)*V.sual_Data[[#This Row],[TIEMPO (HORAS)]],"0")</f>
        <v>1705.4274435719917</v>
      </c>
      <c r="R43" s="43">
        <v>0</v>
      </c>
      <c r="S43" s="43">
        <v>0</v>
      </c>
      <c r="T43" s="3">
        <f t="shared" ref="T43:T45" si="9">SUM(O43:S43)</f>
        <v>15214.377122734437</v>
      </c>
      <c r="U43" s="15">
        <f>V.sual_Data[[#This Row],[TIEMPO (HORAS)]]*Gastos_Operativos[[#Totals],[GASTOS HORA]]</f>
        <v>13894.738536155201</v>
      </c>
      <c r="V43" s="3">
        <f>V.sual_Data[[#This Row],[COSTO 
DIRECTO ($COP)]]+V.sual_Data[[#This Row],[PRORRATEO GASTOS ($COP)]]</f>
        <v>29109.115658889637</v>
      </c>
      <c r="W43" s="44">
        <v>0.15</v>
      </c>
      <c r="X43" s="15">
        <f>V.sual_Data[[#This Row],[COSTOS OPERACIONALES ($COP)]]*V.sual_Data[[#This Row],[DESFASE (%)]]</f>
        <v>4366.3673488334452</v>
      </c>
      <c r="Y43" s="44">
        <v>0.3</v>
      </c>
      <c r="Z43" s="15">
        <f>+((V.sual_Data[[#This Row],[COSTOS OPERACIONALES ($COP)]]/(100%-V.sual_Data[[#This Row],[UTILIDAD (%)]])))-V.sual_Data[[#This Row],[COSTOS OPERACIONALES ($COP)]]</f>
        <v>12475.335282381278</v>
      </c>
      <c r="AA43" s="3">
        <f>+V.sual_Data[[#This Row],[COSTOS OPERACIONALES ($COP)]]+V.sual_Data[[#This Row],[DESFASE ($COP)]]+V.sual_Data[[#This Row],[UTILIDAD ($COP)]]</f>
        <v>45950.818290104362</v>
      </c>
      <c r="AB43" s="44">
        <v>0.05</v>
      </c>
      <c r="AC43" s="15">
        <f>+((V.sual_Data[[#This Row],[VALOR NETO ($COP)]]/(100%-V.sual_Data[[#This Row],[MÁRGEN DE NEGOCIACIÓN (%)]])))-V.sual_Data[[#This Row],[VALOR NETO ($COP)]]</f>
        <v>2418.4641205318112</v>
      </c>
      <c r="AD43" s="15">
        <f>+(V.sual_Data[[#This Row],[VALOR NETO ($COP)]]+V.sual_Data[[#This Row],[NEGOCIACIÓN ($COP)]])*1%</f>
        <v>483.69282410636174</v>
      </c>
      <c r="AE43" s="15">
        <f>+(V.sual_Data[[#This Row],[VALOR NETO ($COP)]]+V.sual_Data[[#This Row],[NEGOCIACIÓN ($COP)]])*1%</f>
        <v>483.69282410636174</v>
      </c>
      <c r="AF43" s="3">
        <f>+V.sual_Data[[#This Row],[VALOR NETO ($COP)]]+V.sual_Data[[#This Row],[4 * 1000 ($COP)]]+V.sual_Data[[#This Row],[ICA ($COP)]]+V.sual_Data[[#This Row],[NEGOCIACIÓN ($COP)]]</f>
        <v>49336.668058848903</v>
      </c>
    </row>
    <row r="44" spans="1:32" ht="60" hidden="1" customHeight="1" x14ac:dyDescent="0.25">
      <c r="A44" s="14"/>
      <c r="B44" s="37" t="s">
        <v>180</v>
      </c>
      <c r="C44" s="38" t="s">
        <v>109</v>
      </c>
      <c r="D44" s="38" t="s">
        <v>181</v>
      </c>
      <c r="E44" s="38" t="s">
        <v>182</v>
      </c>
      <c r="F44" s="38" t="s">
        <v>112</v>
      </c>
      <c r="G44" s="39" t="s">
        <v>113</v>
      </c>
      <c r="H44" s="40">
        <v>1</v>
      </c>
      <c r="I44" s="39" t="s">
        <v>128</v>
      </c>
      <c r="J44" s="86">
        <v>2</v>
      </c>
      <c r="K44" s="39" t="s">
        <v>184</v>
      </c>
      <c r="L44" s="40" t="s">
        <v>183</v>
      </c>
      <c r="M44" s="41">
        <v>3</v>
      </c>
      <c r="N44" s="42">
        <f>IFERROR(VLOOKUP(V.sual_Data[[#This Row],[RESPONSABLE]],Listas!$D$3:$F$7,3,FALSE),0)</f>
        <v>22796.352583586624</v>
      </c>
      <c r="O44" s="34">
        <f t="shared" ref="O44" si="10">+N44*M44</f>
        <v>68389.057750759879</v>
      </c>
      <c r="P44" s="42">
        <f>IFERROR((VLOOKUP(V.sual_Data[[#This Row],[RESPONSABLE]],Listas!$D$3:$K$7,5,FALSE))*V.sual_Data[[#This Row],[TIEMPO (HORAS)]],0)</f>
        <v>12664.64032421479</v>
      </c>
      <c r="Q44" s="42">
        <f>IFERROR(+VLOOKUP(L44,V.sual_Lista_Data[[EQUIPO VISUAL]:[SOFTWARE 
VALOR HORA]],8,FALSE)*V.sual_Data[[#This Row],[TIEMPO (HORAS)]],"0")</f>
        <v>10232.56466143195</v>
      </c>
      <c r="R44" s="43">
        <v>0</v>
      </c>
      <c r="S44" s="43">
        <v>0</v>
      </c>
      <c r="T44" s="3">
        <f t="shared" ref="T44" si="11">SUM(O44:S44)</f>
        <v>91286.262736406628</v>
      </c>
      <c r="U44" s="15">
        <f>V.sual_Data[[#This Row],[TIEMPO (HORAS)]]*Gastos_Operativos[[#Totals],[GASTOS HORA]]</f>
        <v>83368.431216931203</v>
      </c>
      <c r="V44" s="3">
        <f>V.sual_Data[[#This Row],[COSTO 
DIRECTO ($COP)]]+V.sual_Data[[#This Row],[PRORRATEO GASTOS ($COP)]]</f>
        <v>174654.69395333785</v>
      </c>
      <c r="W44" s="44">
        <v>0.15</v>
      </c>
      <c r="X44" s="15">
        <f>V.sual_Data[[#This Row],[COSTOS OPERACIONALES ($COP)]]*V.sual_Data[[#This Row],[DESFASE (%)]]</f>
        <v>26198.204093000677</v>
      </c>
      <c r="Y44" s="44">
        <v>0.3</v>
      </c>
      <c r="Z44" s="15">
        <f>+((V.sual_Data[[#This Row],[COSTOS OPERACIONALES ($COP)]]/(100%-V.sual_Data[[#This Row],[UTILIDAD (%)]])))-V.sual_Data[[#This Row],[COSTOS OPERACIONALES ($COP)]]</f>
        <v>74852.011694287678</v>
      </c>
      <c r="AA44" s="3">
        <f>+V.sual_Data[[#This Row],[COSTOS OPERACIONALES ($COP)]]+V.sual_Data[[#This Row],[DESFASE ($COP)]]+V.sual_Data[[#This Row],[UTILIDAD ($COP)]]</f>
        <v>275704.90974062623</v>
      </c>
      <c r="AB44" s="44">
        <v>0.05</v>
      </c>
      <c r="AC44" s="15">
        <f>+((V.sual_Data[[#This Row],[VALOR NETO ($COP)]]/(100%-V.sual_Data[[#This Row],[MÁRGEN DE NEGOCIACIÓN (%)]])))-V.sual_Data[[#This Row],[VALOR NETO ($COP)]]</f>
        <v>14510.784723190882</v>
      </c>
      <c r="AD44" s="15">
        <f>+(V.sual_Data[[#This Row],[VALOR NETO ($COP)]]+V.sual_Data[[#This Row],[NEGOCIACIÓN ($COP)]])*1%</f>
        <v>2902.1569446381714</v>
      </c>
      <c r="AE44" s="15">
        <f>+(V.sual_Data[[#This Row],[VALOR NETO ($COP)]]+V.sual_Data[[#This Row],[NEGOCIACIÓN ($COP)]])*1%</f>
        <v>2902.1569446381714</v>
      </c>
      <c r="AF44" s="3">
        <f>+V.sual_Data[[#This Row],[VALOR NETO ($COP)]]+V.sual_Data[[#This Row],[4 * 1000 ($COP)]]+V.sual_Data[[#This Row],[ICA ($COP)]]+V.sual_Data[[#This Row],[NEGOCIACIÓN ($COP)]]</f>
        <v>296020.00835309346</v>
      </c>
    </row>
    <row r="45" spans="1:32" ht="60" hidden="1" customHeight="1" x14ac:dyDescent="0.25">
      <c r="A45" s="14"/>
      <c r="B45" s="37" t="s">
        <v>180</v>
      </c>
      <c r="C45" s="38" t="s">
        <v>109</v>
      </c>
      <c r="D45" s="38" t="s">
        <v>181</v>
      </c>
      <c r="E45" s="38" t="s">
        <v>182</v>
      </c>
      <c r="F45" s="38" t="s">
        <v>112</v>
      </c>
      <c r="G45" s="39" t="s">
        <v>113</v>
      </c>
      <c r="H45" s="40">
        <v>1</v>
      </c>
      <c r="I45" s="39" t="s">
        <v>117</v>
      </c>
      <c r="J45" s="86">
        <v>2</v>
      </c>
      <c r="K45" s="237" t="s">
        <v>164</v>
      </c>
      <c r="L45" s="40" t="s">
        <v>183</v>
      </c>
      <c r="M45" s="41">
        <v>1</v>
      </c>
      <c r="N45" s="42">
        <f>IFERROR(VLOOKUP(V.sual_Data[[#This Row],[RESPONSABLE]],Listas!$D$3:$F$7,3,FALSE),0)</f>
        <v>22796.352583586624</v>
      </c>
      <c r="O45" s="34">
        <f t="shared" si="8"/>
        <v>22796.352583586624</v>
      </c>
      <c r="P45" s="42">
        <f>IFERROR((VLOOKUP(V.sual_Data[[#This Row],[RESPONSABLE]],Listas!$D$3:$K$7,5,FALSE))*V.sual_Data[[#This Row],[TIEMPO (HORAS)]],0)</f>
        <v>4221.5467747382636</v>
      </c>
      <c r="Q45" s="42">
        <f>IFERROR(+VLOOKUP(L45,V.sual_Lista_Data[[EQUIPO VISUAL]:[SOFTWARE 
VALOR HORA]],8,FALSE)*V.sual_Data[[#This Row],[TIEMPO (HORAS)]],"0")</f>
        <v>3410.8548871439834</v>
      </c>
      <c r="R45" s="43">
        <v>0</v>
      </c>
      <c r="S45" s="43">
        <v>0</v>
      </c>
      <c r="T45" s="3">
        <f t="shared" si="9"/>
        <v>30428.754245468874</v>
      </c>
      <c r="U45" s="15">
        <f>V.sual_Data[[#This Row],[TIEMPO (HORAS)]]*Gastos_Operativos[[#Totals],[GASTOS HORA]]</f>
        <v>27789.477072310401</v>
      </c>
      <c r="V45" s="3">
        <f>V.sual_Data[[#This Row],[COSTO 
DIRECTO ($COP)]]+V.sual_Data[[#This Row],[PRORRATEO GASTOS ($COP)]]</f>
        <v>58218.231317779275</v>
      </c>
      <c r="W45" s="44">
        <v>0.15</v>
      </c>
      <c r="X45" s="15">
        <f>V.sual_Data[[#This Row],[COSTOS OPERACIONALES ($COP)]]*V.sual_Data[[#This Row],[DESFASE (%)]]</f>
        <v>8732.7346976668905</v>
      </c>
      <c r="Y45" s="44">
        <v>0.3</v>
      </c>
      <c r="Z45" s="15">
        <f>+((V.sual_Data[[#This Row],[COSTOS OPERACIONALES ($COP)]]/(100%-V.sual_Data[[#This Row],[UTILIDAD (%)]])))-V.sual_Data[[#This Row],[COSTOS OPERACIONALES ($COP)]]</f>
        <v>24950.670564762557</v>
      </c>
      <c r="AA45" s="3">
        <f>+V.sual_Data[[#This Row],[COSTOS OPERACIONALES ($COP)]]+V.sual_Data[[#This Row],[DESFASE ($COP)]]+V.sual_Data[[#This Row],[UTILIDAD ($COP)]]</f>
        <v>91901.636580208724</v>
      </c>
      <c r="AB45" s="44">
        <v>0.05</v>
      </c>
      <c r="AC45" s="15">
        <f>+((V.sual_Data[[#This Row],[VALOR NETO ($COP)]]/(100%-V.sual_Data[[#This Row],[MÁRGEN DE NEGOCIACIÓN (%)]])))-V.sual_Data[[#This Row],[VALOR NETO ($COP)]]</f>
        <v>4836.9282410636224</v>
      </c>
      <c r="AD45" s="15">
        <f>+(V.sual_Data[[#This Row],[VALOR NETO ($COP)]]+V.sual_Data[[#This Row],[NEGOCIACIÓN ($COP)]])*1%</f>
        <v>967.38564821272348</v>
      </c>
      <c r="AE45" s="15">
        <f>+(V.sual_Data[[#This Row],[VALOR NETO ($COP)]]+V.sual_Data[[#This Row],[NEGOCIACIÓN ($COP)]])*1%</f>
        <v>967.38564821272348</v>
      </c>
      <c r="AF45" s="3">
        <f>+V.sual_Data[[#This Row],[VALOR NETO ($COP)]]+V.sual_Data[[#This Row],[4 * 1000 ($COP)]]+V.sual_Data[[#This Row],[ICA ($COP)]]+V.sual_Data[[#This Row],[NEGOCIACIÓN ($COP)]]</f>
        <v>98673.336117697807</v>
      </c>
    </row>
    <row r="46" spans="1:32" ht="60" hidden="1" customHeight="1" x14ac:dyDescent="0.25">
      <c r="A46" s="14"/>
      <c r="B46" s="37" t="s">
        <v>180</v>
      </c>
      <c r="C46" s="38" t="s">
        <v>109</v>
      </c>
      <c r="D46" s="38" t="s">
        <v>181</v>
      </c>
      <c r="E46" s="38" t="s">
        <v>182</v>
      </c>
      <c r="F46" s="38" t="s">
        <v>112</v>
      </c>
      <c r="G46" s="39" t="s">
        <v>113</v>
      </c>
      <c r="H46" s="40">
        <v>1</v>
      </c>
      <c r="I46" s="39" t="s">
        <v>185</v>
      </c>
      <c r="J46" s="86">
        <v>6</v>
      </c>
      <c r="K46" s="39" t="s">
        <v>137</v>
      </c>
      <c r="L46" s="40" t="s">
        <v>183</v>
      </c>
      <c r="M46" s="41">
        <v>2</v>
      </c>
      <c r="N46" s="42">
        <f>IFERROR(VLOOKUP(V.sual_Data[[#This Row],[RESPONSABLE]],Listas!$D$3:$F$7,3,FALSE),0)</f>
        <v>22796.352583586624</v>
      </c>
      <c r="O46" s="34">
        <f t="shared" ref="O46:O93" si="12">+N46*M46</f>
        <v>45592.705167173248</v>
      </c>
      <c r="P46" s="42">
        <f>IFERROR((VLOOKUP(V.sual_Data[[#This Row],[RESPONSABLE]],Listas!$D$3:$K$7,5,FALSE))*V.sual_Data[[#This Row],[TIEMPO (HORAS)]],0)</f>
        <v>8443.0935494765272</v>
      </c>
      <c r="Q46" s="42">
        <f>IFERROR(+VLOOKUP(L46,V.sual_Lista_Data[[EQUIPO VISUAL]:[SOFTWARE 
VALOR HORA]],8,FALSE)*V.sual_Data[[#This Row],[TIEMPO (HORAS)]],"0")</f>
        <v>6821.7097742879669</v>
      </c>
      <c r="R46" s="43">
        <v>0</v>
      </c>
      <c r="S46" s="43">
        <v>0</v>
      </c>
      <c r="T46" s="3">
        <f t="shared" ref="T46:T93" si="13">SUM(O46:S46)</f>
        <v>60857.508490937747</v>
      </c>
      <c r="U46" s="15">
        <f>V.sual_Data[[#This Row],[TIEMPO (HORAS)]]*Gastos_Operativos[[#Totals],[GASTOS HORA]]</f>
        <v>55578.954144620802</v>
      </c>
      <c r="V46" s="3">
        <f>V.sual_Data[[#This Row],[COSTO 
DIRECTO ($COP)]]+V.sual_Data[[#This Row],[PRORRATEO GASTOS ($COP)]]</f>
        <v>116436.46263555855</v>
      </c>
      <c r="W46" s="44">
        <v>0.15</v>
      </c>
      <c r="X46" s="15">
        <f>V.sual_Data[[#This Row],[COSTOS OPERACIONALES ($COP)]]*V.sual_Data[[#This Row],[DESFASE (%)]]</f>
        <v>17465.469395333781</v>
      </c>
      <c r="Y46" s="44">
        <v>0.3</v>
      </c>
      <c r="Z46" s="15">
        <f>+((V.sual_Data[[#This Row],[COSTOS OPERACIONALES ($COP)]]/(100%-V.sual_Data[[#This Row],[UTILIDAD (%)]])))-V.sual_Data[[#This Row],[COSTOS OPERACIONALES ($COP)]]</f>
        <v>49901.341129525114</v>
      </c>
      <c r="AA46" s="3">
        <f>+V.sual_Data[[#This Row],[COSTOS OPERACIONALES ($COP)]]+V.sual_Data[[#This Row],[DESFASE ($COP)]]+V.sual_Data[[#This Row],[UTILIDAD ($COP)]]</f>
        <v>183803.27316041745</v>
      </c>
      <c r="AB46" s="44">
        <v>0.05</v>
      </c>
      <c r="AC46" s="15">
        <f>+((V.sual_Data[[#This Row],[VALOR NETO ($COP)]]/(100%-V.sual_Data[[#This Row],[MÁRGEN DE NEGOCIACIÓN (%)]])))-V.sual_Data[[#This Row],[VALOR NETO ($COP)]]</f>
        <v>9673.8564821272448</v>
      </c>
      <c r="AD46" s="15">
        <f>+(V.sual_Data[[#This Row],[VALOR NETO ($COP)]]+V.sual_Data[[#This Row],[NEGOCIACIÓN ($COP)]])*1%</f>
        <v>1934.771296425447</v>
      </c>
      <c r="AE46" s="15">
        <f>+(V.sual_Data[[#This Row],[VALOR NETO ($COP)]]+V.sual_Data[[#This Row],[NEGOCIACIÓN ($COP)]])*1%</f>
        <v>1934.771296425447</v>
      </c>
      <c r="AF46" s="3">
        <f>+V.sual_Data[[#This Row],[VALOR NETO ($COP)]]+V.sual_Data[[#This Row],[4 * 1000 ($COP)]]+V.sual_Data[[#This Row],[ICA ($COP)]]+V.sual_Data[[#This Row],[NEGOCIACIÓN ($COP)]]</f>
        <v>197346.67223539561</v>
      </c>
    </row>
    <row r="47" spans="1:32" ht="60" hidden="1" customHeight="1" x14ac:dyDescent="0.25">
      <c r="A47" s="14"/>
      <c r="B47" s="37" t="s">
        <v>180</v>
      </c>
      <c r="C47" s="38" t="s">
        <v>109</v>
      </c>
      <c r="D47" s="38" t="s">
        <v>181</v>
      </c>
      <c r="E47" s="38" t="s">
        <v>182</v>
      </c>
      <c r="F47" s="38" t="s">
        <v>112</v>
      </c>
      <c r="G47" s="39" t="s">
        <v>113</v>
      </c>
      <c r="H47" s="40">
        <v>1</v>
      </c>
      <c r="I47" s="39" t="s">
        <v>185</v>
      </c>
      <c r="J47" s="86">
        <v>7</v>
      </c>
      <c r="K47" s="39" t="s">
        <v>138</v>
      </c>
      <c r="L47" s="40" t="s">
        <v>183</v>
      </c>
      <c r="M47" s="41">
        <v>3</v>
      </c>
      <c r="N47" s="42">
        <f>IFERROR(VLOOKUP(V.sual_Data[[#This Row],[RESPONSABLE]],Listas!$D$3:$F$7,3,FALSE),0)</f>
        <v>22796.352583586624</v>
      </c>
      <c r="O47" s="34">
        <f t="shared" si="12"/>
        <v>68389.057750759879</v>
      </c>
      <c r="P47" s="42">
        <f>IFERROR((VLOOKUP(V.sual_Data[[#This Row],[RESPONSABLE]],Listas!$D$3:$K$7,5,FALSE))*V.sual_Data[[#This Row],[TIEMPO (HORAS)]],0)</f>
        <v>12664.64032421479</v>
      </c>
      <c r="Q47" s="42">
        <f>IFERROR(+VLOOKUP(L47,V.sual_Lista_Data[[EQUIPO VISUAL]:[SOFTWARE 
VALOR HORA]],8,FALSE)*V.sual_Data[[#This Row],[TIEMPO (HORAS)]],"0")</f>
        <v>10232.56466143195</v>
      </c>
      <c r="R47" s="43">
        <v>0</v>
      </c>
      <c r="S47" s="43">
        <v>0</v>
      </c>
      <c r="T47" s="3">
        <f t="shared" si="13"/>
        <v>91286.262736406628</v>
      </c>
      <c r="U47" s="15">
        <f>V.sual_Data[[#This Row],[TIEMPO (HORAS)]]*Gastos_Operativos[[#Totals],[GASTOS HORA]]</f>
        <v>83368.431216931203</v>
      </c>
      <c r="V47" s="3">
        <f>V.sual_Data[[#This Row],[COSTO 
DIRECTO ($COP)]]+V.sual_Data[[#This Row],[PRORRATEO GASTOS ($COP)]]</f>
        <v>174654.69395333785</v>
      </c>
      <c r="W47" s="44">
        <v>0.15</v>
      </c>
      <c r="X47" s="15">
        <f>V.sual_Data[[#This Row],[COSTOS OPERACIONALES ($COP)]]*V.sual_Data[[#This Row],[DESFASE (%)]]</f>
        <v>26198.204093000677</v>
      </c>
      <c r="Y47" s="44">
        <v>0.3</v>
      </c>
      <c r="Z47" s="15">
        <f>+((V.sual_Data[[#This Row],[COSTOS OPERACIONALES ($COP)]]/(100%-V.sual_Data[[#This Row],[UTILIDAD (%)]])))-V.sual_Data[[#This Row],[COSTOS OPERACIONALES ($COP)]]</f>
        <v>74852.011694287678</v>
      </c>
      <c r="AA47" s="3">
        <f>+V.sual_Data[[#This Row],[COSTOS OPERACIONALES ($COP)]]+V.sual_Data[[#This Row],[DESFASE ($COP)]]+V.sual_Data[[#This Row],[UTILIDAD ($COP)]]</f>
        <v>275704.90974062623</v>
      </c>
      <c r="AB47" s="44">
        <v>0.05</v>
      </c>
      <c r="AC47" s="15">
        <f>+((V.sual_Data[[#This Row],[VALOR NETO ($COP)]]/(100%-V.sual_Data[[#This Row],[MÁRGEN DE NEGOCIACIÓN (%)]])))-V.sual_Data[[#This Row],[VALOR NETO ($COP)]]</f>
        <v>14510.784723190882</v>
      </c>
      <c r="AD47" s="15">
        <f>+(V.sual_Data[[#This Row],[VALOR NETO ($COP)]]+V.sual_Data[[#This Row],[NEGOCIACIÓN ($COP)]])*1%</f>
        <v>2902.1569446381714</v>
      </c>
      <c r="AE47" s="15">
        <f>+(V.sual_Data[[#This Row],[VALOR NETO ($COP)]]+V.sual_Data[[#This Row],[NEGOCIACIÓN ($COP)]])*1%</f>
        <v>2902.1569446381714</v>
      </c>
      <c r="AF47" s="3">
        <f>+V.sual_Data[[#This Row],[VALOR NETO ($COP)]]+V.sual_Data[[#This Row],[4 * 1000 ($COP)]]+V.sual_Data[[#This Row],[ICA ($COP)]]+V.sual_Data[[#This Row],[NEGOCIACIÓN ($COP)]]</f>
        <v>296020.00835309346</v>
      </c>
    </row>
    <row r="48" spans="1:32" ht="60" hidden="1" customHeight="1" x14ac:dyDescent="0.25">
      <c r="A48" s="14"/>
      <c r="B48" s="37" t="s">
        <v>180</v>
      </c>
      <c r="C48" s="38" t="s">
        <v>109</v>
      </c>
      <c r="D48" s="38" t="s">
        <v>181</v>
      </c>
      <c r="E48" s="38" t="s">
        <v>182</v>
      </c>
      <c r="F48" s="38" t="s">
        <v>112</v>
      </c>
      <c r="G48" s="39" t="s">
        <v>113</v>
      </c>
      <c r="H48" s="40">
        <v>1</v>
      </c>
      <c r="I48" s="39" t="s">
        <v>186</v>
      </c>
      <c r="J48" s="86">
        <v>8</v>
      </c>
      <c r="K48" s="169" t="s">
        <v>187</v>
      </c>
      <c r="L48" s="40" t="s">
        <v>183</v>
      </c>
      <c r="M48" s="41">
        <v>3</v>
      </c>
      <c r="N48" s="42">
        <f>IFERROR(VLOOKUP(V.sual_Data[[#This Row],[RESPONSABLE]],Listas!$D$3:$F$7,3,FALSE),0)</f>
        <v>22796.352583586624</v>
      </c>
      <c r="O48" s="34">
        <f t="shared" si="12"/>
        <v>68389.057750759879</v>
      </c>
      <c r="P48" s="42">
        <f>IFERROR((VLOOKUP(V.sual_Data[[#This Row],[RESPONSABLE]],Listas!$D$3:$K$7,5,FALSE))*V.sual_Data[[#This Row],[TIEMPO (HORAS)]],0)</f>
        <v>12664.64032421479</v>
      </c>
      <c r="Q48" s="42">
        <f>IFERROR(+VLOOKUP(L48,V.sual_Lista_Data[[EQUIPO VISUAL]:[SOFTWARE 
VALOR HORA]],8,FALSE)*V.sual_Data[[#This Row],[TIEMPO (HORAS)]],"0")</f>
        <v>10232.56466143195</v>
      </c>
      <c r="R48" s="43">
        <v>0</v>
      </c>
      <c r="S48" s="43">
        <v>0</v>
      </c>
      <c r="T48" s="3">
        <f t="shared" si="13"/>
        <v>91286.262736406628</v>
      </c>
      <c r="U48" s="15">
        <f>V.sual_Data[[#This Row],[TIEMPO (HORAS)]]*Gastos_Operativos[[#Totals],[GASTOS HORA]]</f>
        <v>83368.431216931203</v>
      </c>
      <c r="V48" s="3">
        <f>V.sual_Data[[#This Row],[COSTO 
DIRECTO ($COP)]]+V.sual_Data[[#This Row],[PRORRATEO GASTOS ($COP)]]</f>
        <v>174654.69395333785</v>
      </c>
      <c r="W48" s="44">
        <v>0.15</v>
      </c>
      <c r="X48" s="15">
        <f>V.sual_Data[[#This Row],[COSTOS OPERACIONALES ($COP)]]*V.sual_Data[[#This Row],[DESFASE (%)]]</f>
        <v>26198.204093000677</v>
      </c>
      <c r="Y48" s="44">
        <v>0.3</v>
      </c>
      <c r="Z48" s="15">
        <f>+((V.sual_Data[[#This Row],[COSTOS OPERACIONALES ($COP)]]/(100%-V.sual_Data[[#This Row],[UTILIDAD (%)]])))-V.sual_Data[[#This Row],[COSTOS OPERACIONALES ($COP)]]</f>
        <v>74852.011694287678</v>
      </c>
      <c r="AA48" s="3">
        <f>+V.sual_Data[[#This Row],[COSTOS OPERACIONALES ($COP)]]+V.sual_Data[[#This Row],[DESFASE ($COP)]]+V.sual_Data[[#This Row],[UTILIDAD ($COP)]]</f>
        <v>275704.90974062623</v>
      </c>
      <c r="AB48" s="44">
        <v>0.05</v>
      </c>
      <c r="AC48" s="15">
        <f>+((V.sual_Data[[#This Row],[VALOR NETO ($COP)]]/(100%-V.sual_Data[[#This Row],[MÁRGEN DE NEGOCIACIÓN (%)]])))-V.sual_Data[[#This Row],[VALOR NETO ($COP)]]</f>
        <v>14510.784723190882</v>
      </c>
      <c r="AD48" s="15">
        <f>+(V.sual_Data[[#This Row],[VALOR NETO ($COP)]]+V.sual_Data[[#This Row],[NEGOCIACIÓN ($COP)]])*1%</f>
        <v>2902.1569446381714</v>
      </c>
      <c r="AE48" s="15">
        <f>+(V.sual_Data[[#This Row],[VALOR NETO ($COP)]]+V.sual_Data[[#This Row],[NEGOCIACIÓN ($COP)]])*1%</f>
        <v>2902.1569446381714</v>
      </c>
      <c r="AF48" s="3">
        <f>+V.sual_Data[[#This Row],[VALOR NETO ($COP)]]+V.sual_Data[[#This Row],[4 * 1000 ($COP)]]+V.sual_Data[[#This Row],[ICA ($COP)]]+V.sual_Data[[#This Row],[NEGOCIACIÓN ($COP)]]</f>
        <v>296020.00835309346</v>
      </c>
    </row>
    <row r="49" spans="1:32" ht="60" hidden="1" customHeight="1" x14ac:dyDescent="0.25">
      <c r="A49" s="14"/>
      <c r="B49" s="37" t="s">
        <v>180</v>
      </c>
      <c r="C49" s="38" t="s">
        <v>109</v>
      </c>
      <c r="D49" s="38" t="s">
        <v>181</v>
      </c>
      <c r="E49" s="38" t="s">
        <v>182</v>
      </c>
      <c r="F49" s="38" t="s">
        <v>112</v>
      </c>
      <c r="G49" s="39" t="s">
        <v>113</v>
      </c>
      <c r="H49" s="40">
        <v>1</v>
      </c>
      <c r="I49" s="39" t="s">
        <v>186</v>
      </c>
      <c r="J49" s="86">
        <v>9</v>
      </c>
      <c r="K49" s="45" t="s">
        <v>188</v>
      </c>
      <c r="L49" s="40" t="s">
        <v>183</v>
      </c>
      <c r="M49" s="41">
        <v>3</v>
      </c>
      <c r="N49" s="42">
        <f>IFERROR(VLOOKUP(V.sual_Data[[#This Row],[RESPONSABLE]],Listas!$D$3:$F$7,3,FALSE),0)</f>
        <v>22796.352583586624</v>
      </c>
      <c r="O49" s="34">
        <f>+N49*M49</f>
        <v>68389.057750759879</v>
      </c>
      <c r="P49" s="42">
        <f>IFERROR((VLOOKUP(V.sual_Data[[#This Row],[RESPONSABLE]],Listas!$D$3:$K$7,5,FALSE))*V.sual_Data[[#This Row],[TIEMPO (HORAS)]],0)</f>
        <v>12664.64032421479</v>
      </c>
      <c r="Q49" s="42">
        <f>IFERROR(+VLOOKUP(L49,V.sual_Lista_Data[[EQUIPO VISUAL]:[SOFTWARE 
VALOR HORA]],8,FALSE)*V.sual_Data[[#This Row],[TIEMPO (HORAS)]],"0")</f>
        <v>10232.56466143195</v>
      </c>
      <c r="R49" s="43">
        <v>0</v>
      </c>
      <c r="S49" s="43">
        <v>0</v>
      </c>
      <c r="T49" s="3">
        <f t="shared" ref="T49:T58" si="14">SUM(O49:S49)</f>
        <v>91286.262736406628</v>
      </c>
      <c r="U49" s="15">
        <f>V.sual_Data[[#This Row],[TIEMPO (HORAS)]]*Gastos_Operativos[[#Totals],[GASTOS HORA]]</f>
        <v>83368.431216931203</v>
      </c>
      <c r="V49" s="3">
        <f>V.sual_Data[[#This Row],[COSTO 
DIRECTO ($COP)]]+V.sual_Data[[#This Row],[PRORRATEO GASTOS ($COP)]]</f>
        <v>174654.69395333785</v>
      </c>
      <c r="W49" s="44">
        <v>0.15</v>
      </c>
      <c r="X49" s="15">
        <f>V.sual_Data[[#This Row],[COSTOS OPERACIONALES ($COP)]]*V.sual_Data[[#This Row],[DESFASE (%)]]</f>
        <v>26198.204093000677</v>
      </c>
      <c r="Y49" s="44">
        <v>0.3</v>
      </c>
      <c r="Z49" s="15">
        <f>+((V.sual_Data[[#This Row],[COSTOS OPERACIONALES ($COP)]]/(100%-V.sual_Data[[#This Row],[UTILIDAD (%)]])))-V.sual_Data[[#This Row],[COSTOS OPERACIONALES ($COP)]]</f>
        <v>74852.011694287678</v>
      </c>
      <c r="AA49" s="3">
        <f>+V.sual_Data[[#This Row],[COSTOS OPERACIONALES ($COP)]]+V.sual_Data[[#This Row],[DESFASE ($COP)]]+V.sual_Data[[#This Row],[UTILIDAD ($COP)]]</f>
        <v>275704.90974062623</v>
      </c>
      <c r="AB49" s="44">
        <v>0.05</v>
      </c>
      <c r="AC49" s="15">
        <f>+((V.sual_Data[[#This Row],[VALOR NETO ($COP)]]/(100%-V.sual_Data[[#This Row],[MÁRGEN DE NEGOCIACIÓN (%)]])))-V.sual_Data[[#This Row],[VALOR NETO ($COP)]]</f>
        <v>14510.784723190882</v>
      </c>
      <c r="AD49" s="15">
        <f>+(V.sual_Data[[#This Row],[VALOR NETO ($COP)]]+V.sual_Data[[#This Row],[NEGOCIACIÓN ($COP)]])*1%</f>
        <v>2902.1569446381714</v>
      </c>
      <c r="AE49" s="15">
        <f>+(V.sual_Data[[#This Row],[VALOR NETO ($COP)]]+V.sual_Data[[#This Row],[NEGOCIACIÓN ($COP)]])*1%</f>
        <v>2902.1569446381714</v>
      </c>
      <c r="AF49" s="3">
        <f>+V.sual_Data[[#This Row],[VALOR NETO ($COP)]]+V.sual_Data[[#This Row],[4 * 1000 ($COP)]]+V.sual_Data[[#This Row],[ICA ($COP)]]+V.sual_Data[[#This Row],[NEGOCIACIÓN ($COP)]]</f>
        <v>296020.00835309346</v>
      </c>
    </row>
    <row r="50" spans="1:32" ht="60" hidden="1" customHeight="1" x14ac:dyDescent="0.25">
      <c r="A50" s="14"/>
      <c r="B50" s="37" t="s">
        <v>180</v>
      </c>
      <c r="C50" s="38" t="s">
        <v>109</v>
      </c>
      <c r="D50" s="38" t="s">
        <v>181</v>
      </c>
      <c r="E50" s="38" t="s">
        <v>182</v>
      </c>
      <c r="F50" s="38" t="s">
        <v>112</v>
      </c>
      <c r="G50" s="39" t="s">
        <v>113</v>
      </c>
      <c r="H50" s="40">
        <v>1</v>
      </c>
      <c r="I50" s="39" t="s">
        <v>172</v>
      </c>
      <c r="J50" s="86">
        <v>3</v>
      </c>
      <c r="K50" s="39" t="s">
        <v>142</v>
      </c>
      <c r="L50" s="40" t="s">
        <v>183</v>
      </c>
      <c r="M50" s="41">
        <v>2.5</v>
      </c>
      <c r="N50" s="42">
        <f>IFERROR(VLOOKUP(V.sual_Data[[#This Row],[RESPONSABLE]],Listas!$D$3:$F$7,3,FALSE),0)</f>
        <v>22796.352583586624</v>
      </c>
      <c r="O50" s="34">
        <f>+N50*M50</f>
        <v>56990.881458966556</v>
      </c>
      <c r="P50" s="42">
        <f>IFERROR((VLOOKUP(V.sual_Data[[#This Row],[RESPONSABLE]],Listas!$D$3:$K$7,5,FALSE))*V.sual_Data[[#This Row],[TIEMPO (HORAS)]],0)</f>
        <v>10553.866936845659</v>
      </c>
      <c r="Q50" s="42">
        <f>IFERROR(+VLOOKUP(L50,V.sual_Lista_Data[[EQUIPO VISUAL]:[SOFTWARE 
VALOR HORA]],8,FALSE)*V.sual_Data[[#This Row],[TIEMPO (HORAS)]],"0")</f>
        <v>8527.1372178599595</v>
      </c>
      <c r="R50" s="43">
        <v>0</v>
      </c>
      <c r="S50" s="43">
        <v>0</v>
      </c>
      <c r="T50" s="3">
        <f t="shared" si="14"/>
        <v>76071.885613672173</v>
      </c>
      <c r="U50" s="15">
        <f>V.sual_Data[[#This Row],[TIEMPO (HORAS)]]*Gastos_Operativos[[#Totals],[GASTOS HORA]]</f>
        <v>69473.692680776003</v>
      </c>
      <c r="V50" s="3">
        <f>V.sual_Data[[#This Row],[COSTO 
DIRECTO ($COP)]]+V.sual_Data[[#This Row],[PRORRATEO GASTOS ($COP)]]</f>
        <v>145545.57829444818</v>
      </c>
      <c r="W50" s="44">
        <v>0.15</v>
      </c>
      <c r="X50" s="15">
        <f>V.sual_Data[[#This Row],[COSTOS OPERACIONALES ($COP)]]*V.sual_Data[[#This Row],[DESFASE (%)]]</f>
        <v>21831.836744167227</v>
      </c>
      <c r="Y50" s="44">
        <v>0.3</v>
      </c>
      <c r="Z50" s="15">
        <f>+((V.sual_Data[[#This Row],[COSTOS OPERACIONALES ($COP)]]/(100%-V.sual_Data[[#This Row],[UTILIDAD (%)]])))-V.sual_Data[[#This Row],[COSTOS OPERACIONALES ($COP)]]</f>
        <v>62376.676411906374</v>
      </c>
      <c r="AA50" s="3">
        <f>+V.sual_Data[[#This Row],[COSTOS OPERACIONALES ($COP)]]+V.sual_Data[[#This Row],[DESFASE ($COP)]]+V.sual_Data[[#This Row],[UTILIDAD ($COP)]]</f>
        <v>229754.09145052178</v>
      </c>
      <c r="AB50" s="44">
        <v>0.05</v>
      </c>
      <c r="AC50" s="15">
        <f>+((V.sual_Data[[#This Row],[VALOR NETO ($COP)]]/(100%-V.sual_Data[[#This Row],[MÁRGEN DE NEGOCIACIÓN (%)]])))-V.sual_Data[[#This Row],[VALOR NETO ($COP)]]</f>
        <v>12092.320602659049</v>
      </c>
      <c r="AD50" s="15">
        <f>+(V.sual_Data[[#This Row],[VALOR NETO ($COP)]]+V.sual_Data[[#This Row],[NEGOCIACIÓN ($COP)]])*1%</f>
        <v>2418.4641205318085</v>
      </c>
      <c r="AE50" s="15">
        <f>+(V.sual_Data[[#This Row],[VALOR NETO ($COP)]]+V.sual_Data[[#This Row],[NEGOCIACIÓN ($COP)]])*1%</f>
        <v>2418.4641205318085</v>
      </c>
      <c r="AF50" s="3">
        <f>+V.sual_Data[[#This Row],[VALOR NETO ($COP)]]+V.sual_Data[[#This Row],[4 * 1000 ($COP)]]+V.sual_Data[[#This Row],[ICA ($COP)]]+V.sual_Data[[#This Row],[NEGOCIACIÓN ($COP)]]</f>
        <v>246683.34029424444</v>
      </c>
    </row>
    <row r="51" spans="1:32" ht="60" hidden="1" customHeight="1" x14ac:dyDescent="0.25">
      <c r="A51" s="14"/>
      <c r="B51" s="37" t="s">
        <v>189</v>
      </c>
      <c r="C51" s="38" t="s">
        <v>109</v>
      </c>
      <c r="D51" s="38" t="s">
        <v>190</v>
      </c>
      <c r="E51" s="38" t="s">
        <v>191</v>
      </c>
      <c r="F51" s="38" t="s">
        <v>112</v>
      </c>
      <c r="G51" s="38" t="s">
        <v>192</v>
      </c>
      <c r="H51" s="46">
        <v>1</v>
      </c>
      <c r="I51" s="39" t="s">
        <v>193</v>
      </c>
      <c r="J51" s="86">
        <v>1</v>
      </c>
      <c r="K51" s="39" t="s">
        <v>194</v>
      </c>
      <c r="L51" s="40" t="s">
        <v>116</v>
      </c>
      <c r="M51" s="41">
        <v>0.5</v>
      </c>
      <c r="N51" s="207">
        <f>IFERROR(VLOOKUP(V.sual_Data[[#This Row],[RESPONSABLE]],Listas!$D$3:$F$7,3,FALSE),0)</f>
        <v>17730.496453900709</v>
      </c>
      <c r="O51" s="34">
        <f t="shared" ref="O51:O58" si="15">+N51*M51</f>
        <v>8865.2482269503544</v>
      </c>
      <c r="P51" s="42">
        <f>IFERROR((VLOOKUP(V.sual_Data[[#This Row],[RESPONSABLE]],Listas!$D$3:$K$7,5,FALSE))*V.sual_Data[[#This Row],[TIEMPO (HORAS)]],0)</f>
        <v>2110.7733873691318</v>
      </c>
      <c r="Q51" s="11">
        <f>IFERROR(+VLOOKUP(L51,V.sual_Lista_Data[[EQUIPO VISUAL]:[SOFTWARE 
VALOR HORA]],8,FALSE)*V.sual_Data[[#This Row],[TIEMPO (HORAS)]],"0")</f>
        <v>1705.4274435719917</v>
      </c>
      <c r="R51" s="43">
        <v>0</v>
      </c>
      <c r="S51" s="43">
        <v>0</v>
      </c>
      <c r="T51" s="3">
        <f t="shared" si="14"/>
        <v>12681.449057891477</v>
      </c>
      <c r="U51" s="15">
        <f>V.sual_Data[[#This Row],[TIEMPO (HORAS)]]*Gastos_Operativos[[#Totals],[GASTOS HORA]]</f>
        <v>13894.738536155201</v>
      </c>
      <c r="V51" s="3">
        <f>V.sual_Data[[#This Row],[COSTO 
DIRECTO ($COP)]]+V.sual_Data[[#This Row],[PRORRATEO GASTOS ($COP)]]</f>
        <v>26576.187594046678</v>
      </c>
      <c r="W51" s="44">
        <v>0.1</v>
      </c>
      <c r="X51" s="15">
        <f>V.sual_Data[[#This Row],[COSTOS OPERACIONALES ($COP)]]*V.sual_Data[[#This Row],[DESFASE (%)]]</f>
        <v>2657.6187594046678</v>
      </c>
      <c r="Y51" s="44">
        <v>0.6</v>
      </c>
      <c r="Z51" s="15">
        <f>+((V.sual_Data[[#This Row],[COSTOS OPERACIONALES ($COP)]]/(100%-V.sual_Data[[#This Row],[UTILIDAD (%)]])))-V.sual_Data[[#This Row],[COSTOS OPERACIONALES ($COP)]]</f>
        <v>39864.281391070013</v>
      </c>
      <c r="AA51" s="3">
        <f>+V.sual_Data[[#This Row],[COSTOS OPERACIONALES ($COP)]]+V.sual_Data[[#This Row],[DESFASE ($COP)]]+V.sual_Data[[#This Row],[UTILIDAD ($COP)]]</f>
        <v>69098.087744521355</v>
      </c>
      <c r="AB51" s="44">
        <v>0.05</v>
      </c>
      <c r="AC51" s="15">
        <f>+((V.sual_Data[[#This Row],[VALOR NETO ($COP)]]/(100%-V.sual_Data[[#This Row],[MÁRGEN DE NEGOCIACIÓN (%)]])))-V.sual_Data[[#This Row],[VALOR NETO ($COP)]]</f>
        <v>3636.7414602379722</v>
      </c>
      <c r="AD51" s="15">
        <f>+(V.sual_Data[[#This Row],[VALOR NETO ($COP)]]+V.sual_Data[[#This Row],[NEGOCIACIÓN ($COP)]])*1%</f>
        <v>727.3482920475933</v>
      </c>
      <c r="AE51" s="15">
        <f>+(V.sual_Data[[#This Row],[VALOR NETO ($COP)]]+V.sual_Data[[#This Row],[NEGOCIACIÓN ($COP)]])*1%</f>
        <v>727.3482920475933</v>
      </c>
      <c r="AF51" s="3">
        <f>+V.sual_Data[[#This Row],[VALOR NETO ($COP)]]+V.sual_Data[[#This Row],[4 * 1000 ($COP)]]+V.sual_Data[[#This Row],[ICA ($COP)]]+V.sual_Data[[#This Row],[NEGOCIACIÓN ($COP)]]</f>
        <v>74189.525788854517</v>
      </c>
    </row>
    <row r="52" spans="1:32" ht="60" hidden="1" customHeight="1" x14ac:dyDescent="0.25">
      <c r="A52" s="14"/>
      <c r="B52" s="37" t="s">
        <v>189</v>
      </c>
      <c r="C52" s="38" t="s">
        <v>109</v>
      </c>
      <c r="D52" s="38" t="s">
        <v>190</v>
      </c>
      <c r="E52" s="38" t="s">
        <v>191</v>
      </c>
      <c r="F52" s="38" t="s">
        <v>112</v>
      </c>
      <c r="G52" s="38" t="s">
        <v>192</v>
      </c>
      <c r="H52" s="46">
        <v>1</v>
      </c>
      <c r="I52" s="39" t="s">
        <v>195</v>
      </c>
      <c r="J52" s="86">
        <v>2</v>
      </c>
      <c r="K52" s="255" t="s">
        <v>196</v>
      </c>
      <c r="L52" s="40" t="s">
        <v>116</v>
      </c>
      <c r="M52" s="41">
        <v>1.5</v>
      </c>
      <c r="N52" s="207">
        <f>IFERROR(VLOOKUP(V.sual_Data[[#This Row],[RESPONSABLE]],Listas!$D$3:$F$7,3,FALSE),0)</f>
        <v>17730.496453900709</v>
      </c>
      <c r="O52" s="34">
        <f t="shared" si="15"/>
        <v>26595.744680851065</v>
      </c>
      <c r="P52" s="42">
        <f>IFERROR((VLOOKUP(V.sual_Data[[#This Row],[RESPONSABLE]],Listas!$D$3:$K$7,5,FALSE))*V.sual_Data[[#This Row],[TIEMPO (HORAS)]],0)</f>
        <v>6332.3201621073949</v>
      </c>
      <c r="Q52" s="11">
        <v>100000</v>
      </c>
      <c r="R52" s="43">
        <v>0</v>
      </c>
      <c r="S52" s="43">
        <v>0</v>
      </c>
      <c r="T52" s="3">
        <f t="shared" si="14"/>
        <v>132928.06484295847</v>
      </c>
      <c r="U52" s="15">
        <f>V.sual_Data[[#This Row],[TIEMPO (HORAS)]]*Gastos_Operativos[[#Totals],[GASTOS HORA]]</f>
        <v>41684.215608465602</v>
      </c>
      <c r="V52" s="3">
        <f>V.sual_Data[[#This Row],[COSTO 
DIRECTO ($COP)]]+V.sual_Data[[#This Row],[PRORRATEO GASTOS ($COP)]]</f>
        <v>174612.28045142407</v>
      </c>
      <c r="W52" s="44">
        <v>0.1</v>
      </c>
      <c r="X52" s="15">
        <f>V.sual_Data[[#This Row],[COSTOS OPERACIONALES ($COP)]]*V.sual_Data[[#This Row],[DESFASE (%)]]</f>
        <v>17461.228045142409</v>
      </c>
      <c r="Y52" s="44">
        <v>0.6</v>
      </c>
      <c r="Z52" s="15">
        <f>+((V.sual_Data[[#This Row],[COSTOS OPERACIONALES ($COP)]]/(100%-V.sual_Data[[#This Row],[UTILIDAD (%)]])))-V.sual_Data[[#This Row],[COSTOS OPERACIONALES ($COP)]]</f>
        <v>261918.42067713611</v>
      </c>
      <c r="AA52" s="3">
        <f>+V.sual_Data[[#This Row],[COSTOS OPERACIONALES ($COP)]]+V.sual_Data[[#This Row],[DESFASE ($COP)]]+V.sual_Data[[#This Row],[UTILIDAD ($COP)]]</f>
        <v>453991.92917370261</v>
      </c>
      <c r="AB52" s="44">
        <v>0.05</v>
      </c>
      <c r="AC52" s="15">
        <f>+((V.sual_Data[[#This Row],[VALOR NETO ($COP)]]/(100%-V.sual_Data[[#This Row],[MÁRGEN DE NEGOCIACIÓN (%)]])))-V.sual_Data[[#This Row],[VALOR NETO ($COP)]]</f>
        <v>23894.312061773846</v>
      </c>
      <c r="AD52" s="15">
        <f>+(V.sual_Data[[#This Row],[VALOR NETO ($COP)]]+V.sual_Data[[#This Row],[NEGOCIACIÓN ($COP)]])*1%</f>
        <v>4778.8624123547643</v>
      </c>
      <c r="AE52" s="15">
        <f>+(V.sual_Data[[#This Row],[VALOR NETO ($COP)]]+V.sual_Data[[#This Row],[NEGOCIACIÓN ($COP)]])*1%</f>
        <v>4778.8624123547643</v>
      </c>
      <c r="AF52" s="3">
        <f>+V.sual_Data[[#This Row],[VALOR NETO ($COP)]]+V.sual_Data[[#This Row],[4 * 1000 ($COP)]]+V.sual_Data[[#This Row],[ICA ($COP)]]+V.sual_Data[[#This Row],[NEGOCIACIÓN ($COP)]]</f>
        <v>487443.96606018604</v>
      </c>
    </row>
    <row r="53" spans="1:32" ht="60" hidden="1" customHeight="1" x14ac:dyDescent="0.25">
      <c r="A53" s="14"/>
      <c r="B53" s="37" t="s">
        <v>189</v>
      </c>
      <c r="C53" s="38" t="s">
        <v>109</v>
      </c>
      <c r="D53" s="38" t="s">
        <v>190</v>
      </c>
      <c r="E53" s="38" t="s">
        <v>191</v>
      </c>
      <c r="F53" s="38" t="s">
        <v>112</v>
      </c>
      <c r="G53" s="38" t="s">
        <v>192</v>
      </c>
      <c r="H53" s="46">
        <v>1</v>
      </c>
      <c r="I53" s="39" t="s">
        <v>195</v>
      </c>
      <c r="J53" s="86">
        <v>3</v>
      </c>
      <c r="K53" s="39" t="s">
        <v>197</v>
      </c>
      <c r="L53" s="40" t="s">
        <v>116</v>
      </c>
      <c r="M53" s="41">
        <v>1.5</v>
      </c>
      <c r="N53" s="207">
        <f>IFERROR(VLOOKUP(V.sual_Data[[#This Row],[RESPONSABLE]],Listas!$D$3:$F$7,3,FALSE),0)</f>
        <v>17730.496453900709</v>
      </c>
      <c r="O53" s="34">
        <f t="shared" si="15"/>
        <v>26595.744680851065</v>
      </c>
      <c r="P53" s="42">
        <f>IFERROR((VLOOKUP(V.sual_Data[[#This Row],[RESPONSABLE]],Listas!$D$3:$K$7,5,FALSE))*V.sual_Data[[#This Row],[TIEMPO (HORAS)]],0)</f>
        <v>6332.3201621073949</v>
      </c>
      <c r="Q53" s="11">
        <f>IFERROR(+VLOOKUP(L53,V.sual_Lista_Data[[EQUIPO VISUAL]:[SOFTWARE 
VALOR HORA]],8,FALSE)*V.sual_Data[[#This Row],[TIEMPO (HORAS)]],"0")</f>
        <v>5116.2823307159751</v>
      </c>
      <c r="R53" s="43">
        <v>0</v>
      </c>
      <c r="S53" s="43">
        <v>0</v>
      </c>
      <c r="T53" s="3">
        <f t="shared" si="14"/>
        <v>38044.34717367444</v>
      </c>
      <c r="U53" s="15">
        <f>V.sual_Data[[#This Row],[TIEMPO (HORAS)]]*Gastos_Operativos[[#Totals],[GASTOS HORA]]</f>
        <v>41684.215608465602</v>
      </c>
      <c r="V53" s="3">
        <f>V.sual_Data[[#This Row],[COSTO 
DIRECTO ($COP)]]+V.sual_Data[[#This Row],[PRORRATEO GASTOS ($COP)]]</f>
        <v>79728.562782140041</v>
      </c>
      <c r="W53" s="44">
        <v>0.1</v>
      </c>
      <c r="X53" s="15">
        <f>V.sual_Data[[#This Row],[COSTOS OPERACIONALES ($COP)]]*V.sual_Data[[#This Row],[DESFASE (%)]]</f>
        <v>7972.8562782140043</v>
      </c>
      <c r="Y53" s="44">
        <v>0.6</v>
      </c>
      <c r="Z53" s="15">
        <f>+((V.sual_Data[[#This Row],[COSTOS OPERACIONALES ($COP)]]/(100%-V.sual_Data[[#This Row],[UTILIDAD (%)]])))-V.sual_Data[[#This Row],[COSTOS OPERACIONALES ($COP)]]</f>
        <v>119592.84417321006</v>
      </c>
      <c r="AA53" s="3">
        <f>+V.sual_Data[[#This Row],[COSTOS OPERACIONALES ($COP)]]+V.sual_Data[[#This Row],[DESFASE ($COP)]]+V.sual_Data[[#This Row],[UTILIDAD ($COP)]]</f>
        <v>207294.2632335641</v>
      </c>
      <c r="AB53" s="44">
        <v>0.05</v>
      </c>
      <c r="AC53" s="15">
        <f>+((V.sual_Data[[#This Row],[VALOR NETO ($COP)]]/(100%-V.sual_Data[[#This Row],[MÁRGEN DE NEGOCIACIÓN (%)]])))-V.sual_Data[[#This Row],[VALOR NETO ($COP)]]</f>
        <v>10910.224380713917</v>
      </c>
      <c r="AD53" s="15">
        <f>+(V.sual_Data[[#This Row],[VALOR NETO ($COP)]]+V.sual_Data[[#This Row],[NEGOCIACIÓN ($COP)]])*1%</f>
        <v>2182.0448761427801</v>
      </c>
      <c r="AE53" s="15">
        <f>+(V.sual_Data[[#This Row],[VALOR NETO ($COP)]]+V.sual_Data[[#This Row],[NEGOCIACIÓN ($COP)]])*1%</f>
        <v>2182.0448761427801</v>
      </c>
      <c r="AF53" s="3">
        <f>+V.sual_Data[[#This Row],[VALOR NETO ($COP)]]+V.sual_Data[[#This Row],[4 * 1000 ($COP)]]+V.sual_Data[[#This Row],[ICA ($COP)]]+V.sual_Data[[#This Row],[NEGOCIACIÓN ($COP)]]</f>
        <v>222568.57736656358</v>
      </c>
    </row>
    <row r="54" spans="1:32" ht="60" hidden="1" customHeight="1" x14ac:dyDescent="0.25">
      <c r="A54" s="14"/>
      <c r="B54" s="37" t="s">
        <v>189</v>
      </c>
      <c r="C54" s="38" t="s">
        <v>109</v>
      </c>
      <c r="D54" s="38" t="s">
        <v>190</v>
      </c>
      <c r="E54" s="38" t="s">
        <v>191</v>
      </c>
      <c r="F54" s="38" t="s">
        <v>112</v>
      </c>
      <c r="G54" s="38" t="s">
        <v>192</v>
      </c>
      <c r="H54" s="46">
        <v>1</v>
      </c>
      <c r="I54" s="39" t="s">
        <v>198</v>
      </c>
      <c r="J54" s="86">
        <v>4</v>
      </c>
      <c r="K54" s="39" t="s">
        <v>199</v>
      </c>
      <c r="L54" s="40" t="s">
        <v>116</v>
      </c>
      <c r="M54" s="41">
        <v>2</v>
      </c>
      <c r="N54" s="207">
        <f>IFERROR(VLOOKUP(V.sual_Data[[#This Row],[RESPONSABLE]],Listas!$D$3:$F$7,3,FALSE),0)</f>
        <v>17730.496453900709</v>
      </c>
      <c r="O54" s="34">
        <f t="shared" si="15"/>
        <v>35460.992907801417</v>
      </c>
      <c r="P54" s="42">
        <f>IFERROR((VLOOKUP(V.sual_Data[[#This Row],[RESPONSABLE]],Listas!$D$3:$K$7,5,FALSE))*V.sual_Data[[#This Row],[TIEMPO (HORAS)]],0)</f>
        <v>8443.0935494765272</v>
      </c>
      <c r="Q54" s="11">
        <f>IFERROR(+VLOOKUP(L54,V.sual_Lista_Data[[EQUIPO VISUAL]:[SOFTWARE 
VALOR HORA]],8,FALSE)*V.sual_Data[[#This Row],[TIEMPO (HORAS)]],"0")</f>
        <v>6821.7097742879669</v>
      </c>
      <c r="R54" s="43">
        <v>0</v>
      </c>
      <c r="S54" s="43">
        <v>0</v>
      </c>
      <c r="T54" s="3">
        <f t="shared" si="14"/>
        <v>50725.79623156591</v>
      </c>
      <c r="U54" s="15">
        <f>V.sual_Data[[#This Row],[TIEMPO (HORAS)]]*Gastos_Operativos[[#Totals],[GASTOS HORA]]</f>
        <v>55578.954144620802</v>
      </c>
      <c r="V54" s="3">
        <f>V.sual_Data[[#This Row],[COSTO 
DIRECTO ($COP)]]+V.sual_Data[[#This Row],[PRORRATEO GASTOS ($COP)]]</f>
        <v>106304.75037618671</v>
      </c>
      <c r="W54" s="44">
        <v>0.1</v>
      </c>
      <c r="X54" s="15">
        <f>V.sual_Data[[#This Row],[COSTOS OPERACIONALES ($COP)]]*V.sual_Data[[#This Row],[DESFASE (%)]]</f>
        <v>10630.475037618671</v>
      </c>
      <c r="Y54" s="44">
        <v>0.6</v>
      </c>
      <c r="Z54" s="15">
        <f>+((V.sual_Data[[#This Row],[COSTOS OPERACIONALES ($COP)]]/(100%-V.sual_Data[[#This Row],[UTILIDAD (%)]])))-V.sual_Data[[#This Row],[COSTOS OPERACIONALES ($COP)]]</f>
        <v>159457.12556428005</v>
      </c>
      <c r="AA54" s="3">
        <f>+V.sual_Data[[#This Row],[COSTOS OPERACIONALES ($COP)]]+V.sual_Data[[#This Row],[DESFASE ($COP)]]+V.sual_Data[[#This Row],[UTILIDAD ($COP)]]</f>
        <v>276392.35097808542</v>
      </c>
      <c r="AB54" s="44">
        <v>0.05</v>
      </c>
      <c r="AC54" s="15">
        <f>+((V.sual_Data[[#This Row],[VALOR NETO ($COP)]]/(100%-V.sual_Data[[#This Row],[MÁRGEN DE NEGOCIACIÓN (%)]])))-V.sual_Data[[#This Row],[VALOR NETO ($COP)]]</f>
        <v>14546.965840951889</v>
      </c>
      <c r="AD54" s="15">
        <f>+(V.sual_Data[[#This Row],[VALOR NETO ($COP)]]+V.sual_Data[[#This Row],[NEGOCIACIÓN ($COP)]])*1%</f>
        <v>2909.3931681903732</v>
      </c>
      <c r="AE54" s="15">
        <f>+(V.sual_Data[[#This Row],[VALOR NETO ($COP)]]+V.sual_Data[[#This Row],[NEGOCIACIÓN ($COP)]])*1%</f>
        <v>2909.3931681903732</v>
      </c>
      <c r="AF54" s="3">
        <f>+V.sual_Data[[#This Row],[VALOR NETO ($COP)]]+V.sual_Data[[#This Row],[4 * 1000 ($COP)]]+V.sual_Data[[#This Row],[ICA ($COP)]]+V.sual_Data[[#This Row],[NEGOCIACIÓN ($COP)]]</f>
        <v>296758.10315541807</v>
      </c>
    </row>
    <row r="55" spans="1:32" ht="60" hidden="1" customHeight="1" x14ac:dyDescent="0.25">
      <c r="A55" s="14"/>
      <c r="B55" s="37" t="s">
        <v>189</v>
      </c>
      <c r="C55" s="38" t="s">
        <v>109</v>
      </c>
      <c r="D55" s="38" t="s">
        <v>190</v>
      </c>
      <c r="E55" s="38" t="s">
        <v>191</v>
      </c>
      <c r="F55" s="38" t="s">
        <v>112</v>
      </c>
      <c r="G55" s="38" t="s">
        <v>192</v>
      </c>
      <c r="H55" s="46">
        <v>1</v>
      </c>
      <c r="I55" s="39" t="s">
        <v>198</v>
      </c>
      <c r="J55" s="86">
        <v>5</v>
      </c>
      <c r="K55" s="39" t="s">
        <v>200</v>
      </c>
      <c r="L55" s="40" t="s">
        <v>116</v>
      </c>
      <c r="M55" s="41">
        <v>2</v>
      </c>
      <c r="N55" s="207">
        <f>IFERROR(VLOOKUP(V.sual_Data[[#This Row],[RESPONSABLE]],Listas!$D$3:$F$7,3,FALSE),0)</f>
        <v>17730.496453900709</v>
      </c>
      <c r="O55" s="34">
        <f t="shared" si="15"/>
        <v>35460.992907801417</v>
      </c>
      <c r="P55" s="42">
        <f>IFERROR((VLOOKUP(V.sual_Data[[#This Row],[RESPONSABLE]],Listas!$D$3:$K$7,5,FALSE))*V.sual_Data[[#This Row],[TIEMPO (HORAS)]],0)</f>
        <v>8443.0935494765272</v>
      </c>
      <c r="Q55" s="11">
        <f>IFERROR(+VLOOKUP(L55,V.sual_Lista_Data[[EQUIPO VISUAL]:[SOFTWARE 
VALOR HORA]],8,FALSE)*V.sual_Data[[#This Row],[TIEMPO (HORAS)]],"0")</f>
        <v>6821.7097742879669</v>
      </c>
      <c r="R55" s="43">
        <v>0</v>
      </c>
      <c r="S55" s="43">
        <v>0</v>
      </c>
      <c r="T55" s="3">
        <f t="shared" si="14"/>
        <v>50725.79623156591</v>
      </c>
      <c r="U55" s="15">
        <f>V.sual_Data[[#This Row],[TIEMPO (HORAS)]]*Gastos_Operativos[[#Totals],[GASTOS HORA]]</f>
        <v>55578.954144620802</v>
      </c>
      <c r="V55" s="3">
        <f>V.sual_Data[[#This Row],[COSTO 
DIRECTO ($COP)]]+V.sual_Data[[#This Row],[PRORRATEO GASTOS ($COP)]]</f>
        <v>106304.75037618671</v>
      </c>
      <c r="W55" s="44">
        <v>0.1</v>
      </c>
      <c r="X55" s="15">
        <f>V.sual_Data[[#This Row],[COSTOS OPERACIONALES ($COP)]]*V.sual_Data[[#This Row],[DESFASE (%)]]</f>
        <v>10630.475037618671</v>
      </c>
      <c r="Y55" s="44">
        <v>0.6</v>
      </c>
      <c r="Z55" s="15">
        <f>+((V.sual_Data[[#This Row],[COSTOS OPERACIONALES ($COP)]]/(100%-V.sual_Data[[#This Row],[UTILIDAD (%)]])))-V.sual_Data[[#This Row],[COSTOS OPERACIONALES ($COP)]]</f>
        <v>159457.12556428005</v>
      </c>
      <c r="AA55" s="3">
        <f>+V.sual_Data[[#This Row],[COSTOS OPERACIONALES ($COP)]]+V.sual_Data[[#This Row],[DESFASE ($COP)]]+V.sual_Data[[#This Row],[UTILIDAD ($COP)]]</f>
        <v>276392.35097808542</v>
      </c>
      <c r="AB55" s="44">
        <v>0.05</v>
      </c>
      <c r="AC55" s="15">
        <f>+((V.sual_Data[[#This Row],[VALOR NETO ($COP)]]/(100%-V.sual_Data[[#This Row],[MÁRGEN DE NEGOCIACIÓN (%)]])))-V.sual_Data[[#This Row],[VALOR NETO ($COP)]]</f>
        <v>14546.965840951889</v>
      </c>
      <c r="AD55" s="15">
        <f>+(V.sual_Data[[#This Row],[VALOR NETO ($COP)]]+V.sual_Data[[#This Row],[NEGOCIACIÓN ($COP)]])*1%</f>
        <v>2909.3931681903732</v>
      </c>
      <c r="AE55" s="15">
        <f>+(V.sual_Data[[#This Row],[VALOR NETO ($COP)]]+V.sual_Data[[#This Row],[NEGOCIACIÓN ($COP)]])*1%</f>
        <v>2909.3931681903732</v>
      </c>
      <c r="AF55" s="3">
        <f>+V.sual_Data[[#This Row],[VALOR NETO ($COP)]]+V.sual_Data[[#This Row],[4 * 1000 ($COP)]]+V.sual_Data[[#This Row],[ICA ($COP)]]+V.sual_Data[[#This Row],[NEGOCIACIÓN ($COP)]]</f>
        <v>296758.10315541807</v>
      </c>
    </row>
    <row r="56" spans="1:32" ht="60" hidden="1" customHeight="1" x14ac:dyDescent="0.25">
      <c r="A56" s="14"/>
      <c r="B56" s="37" t="s">
        <v>189</v>
      </c>
      <c r="C56" s="38" t="s">
        <v>109</v>
      </c>
      <c r="D56" s="38" t="s">
        <v>190</v>
      </c>
      <c r="E56" s="38" t="s">
        <v>191</v>
      </c>
      <c r="F56" s="38" t="s">
        <v>112</v>
      </c>
      <c r="G56" s="38" t="s">
        <v>192</v>
      </c>
      <c r="H56" s="46">
        <v>1</v>
      </c>
      <c r="I56" s="39" t="s">
        <v>198</v>
      </c>
      <c r="J56" s="86">
        <v>6</v>
      </c>
      <c r="K56" s="255" t="s">
        <v>201</v>
      </c>
      <c r="L56" s="40" t="s">
        <v>116</v>
      </c>
      <c r="M56" s="41">
        <v>1</v>
      </c>
      <c r="N56" s="207">
        <f>IFERROR(VLOOKUP(V.sual_Data[[#This Row],[RESPONSABLE]],Listas!$D$3:$F$7,3,FALSE),0)</f>
        <v>17730.496453900709</v>
      </c>
      <c r="O56" s="34">
        <f t="shared" si="15"/>
        <v>17730.496453900709</v>
      </c>
      <c r="P56" s="42">
        <f>IFERROR((VLOOKUP(V.sual_Data[[#This Row],[RESPONSABLE]],Listas!$D$3:$K$7,5,FALSE))*V.sual_Data[[#This Row],[TIEMPO (HORAS)]],0)</f>
        <v>4221.5467747382636</v>
      </c>
      <c r="Q56" s="11">
        <f>IFERROR(+VLOOKUP(L56,V.sual_Lista_Data[[EQUIPO VISUAL]:[SOFTWARE 
VALOR HORA]],8,FALSE)*V.sual_Data[[#This Row],[TIEMPO (HORAS)]],"0")</f>
        <v>3410.8548871439834</v>
      </c>
      <c r="R56" s="43">
        <v>0</v>
      </c>
      <c r="S56" s="43">
        <v>0</v>
      </c>
      <c r="T56" s="3">
        <f t="shared" si="14"/>
        <v>25362.898115782955</v>
      </c>
      <c r="U56" s="15">
        <f>V.sual_Data[[#This Row],[TIEMPO (HORAS)]]*Gastos_Operativos[[#Totals],[GASTOS HORA]]</f>
        <v>27789.477072310401</v>
      </c>
      <c r="V56" s="3">
        <f>V.sual_Data[[#This Row],[COSTO 
DIRECTO ($COP)]]+V.sual_Data[[#This Row],[PRORRATEO GASTOS ($COP)]]</f>
        <v>53152.375188093356</v>
      </c>
      <c r="W56" s="44">
        <v>0.1</v>
      </c>
      <c r="X56" s="15">
        <f>V.sual_Data[[#This Row],[COSTOS OPERACIONALES ($COP)]]*V.sual_Data[[#This Row],[DESFASE (%)]]</f>
        <v>5315.2375188093356</v>
      </c>
      <c r="Y56" s="44">
        <v>0.6</v>
      </c>
      <c r="Z56" s="15">
        <f>+((V.sual_Data[[#This Row],[COSTOS OPERACIONALES ($COP)]]/(100%-V.sual_Data[[#This Row],[UTILIDAD (%)]])))-V.sual_Data[[#This Row],[COSTOS OPERACIONALES ($COP)]]</f>
        <v>79728.562782140027</v>
      </c>
      <c r="AA56" s="3">
        <f>+V.sual_Data[[#This Row],[COSTOS OPERACIONALES ($COP)]]+V.sual_Data[[#This Row],[DESFASE ($COP)]]+V.sual_Data[[#This Row],[UTILIDAD ($COP)]]</f>
        <v>138196.17548904271</v>
      </c>
      <c r="AB56" s="44">
        <v>0.05</v>
      </c>
      <c r="AC56" s="15">
        <f>+((V.sual_Data[[#This Row],[VALOR NETO ($COP)]]/(100%-V.sual_Data[[#This Row],[MÁRGEN DE NEGOCIACIÓN (%)]])))-V.sual_Data[[#This Row],[VALOR NETO ($COP)]]</f>
        <v>7273.4829204759444</v>
      </c>
      <c r="AD56" s="15">
        <f>+(V.sual_Data[[#This Row],[VALOR NETO ($COP)]]+V.sual_Data[[#This Row],[NEGOCIACIÓN ($COP)]])*1%</f>
        <v>1454.6965840951866</v>
      </c>
      <c r="AE56" s="15">
        <f>+(V.sual_Data[[#This Row],[VALOR NETO ($COP)]]+V.sual_Data[[#This Row],[NEGOCIACIÓN ($COP)]])*1%</f>
        <v>1454.6965840951866</v>
      </c>
      <c r="AF56" s="3">
        <f>+V.sual_Data[[#This Row],[VALOR NETO ($COP)]]+V.sual_Data[[#This Row],[4 * 1000 ($COP)]]+V.sual_Data[[#This Row],[ICA ($COP)]]+V.sual_Data[[#This Row],[NEGOCIACIÓN ($COP)]]</f>
        <v>148379.05157770903</v>
      </c>
    </row>
    <row r="57" spans="1:32" ht="60" hidden="1" customHeight="1" x14ac:dyDescent="0.25">
      <c r="A57" s="14"/>
      <c r="B57" s="37" t="s">
        <v>189</v>
      </c>
      <c r="C57" s="38" t="s">
        <v>109</v>
      </c>
      <c r="D57" s="38" t="s">
        <v>190</v>
      </c>
      <c r="E57" s="38" t="s">
        <v>191</v>
      </c>
      <c r="F57" s="38" t="s">
        <v>112</v>
      </c>
      <c r="G57" s="38" t="s">
        <v>192</v>
      </c>
      <c r="H57" s="46">
        <v>1</v>
      </c>
      <c r="I57" s="39" t="s">
        <v>202</v>
      </c>
      <c r="J57" s="86">
        <v>7</v>
      </c>
      <c r="K57" s="39" t="s">
        <v>203</v>
      </c>
      <c r="L57" s="40" t="s">
        <v>116</v>
      </c>
      <c r="M57" s="41">
        <v>1</v>
      </c>
      <c r="N57" s="207">
        <f>IFERROR(VLOOKUP(V.sual_Data[[#This Row],[RESPONSABLE]],Listas!$D$3:$F$7,3,FALSE),0)</f>
        <v>17730.496453900709</v>
      </c>
      <c r="O57" s="34">
        <f t="shared" si="15"/>
        <v>17730.496453900709</v>
      </c>
      <c r="P57" s="42">
        <f>IFERROR((VLOOKUP(V.sual_Data[[#This Row],[RESPONSABLE]],Listas!$D$3:$K$7,5,FALSE))*V.sual_Data[[#This Row],[TIEMPO (HORAS)]],0)</f>
        <v>4221.5467747382636</v>
      </c>
      <c r="Q57" s="11">
        <f>IFERROR(+VLOOKUP(L57,V.sual_Lista_Data[[EQUIPO VISUAL]:[SOFTWARE 
VALOR HORA]],8,FALSE)*V.sual_Data[[#This Row],[TIEMPO (HORAS)]],"0")</f>
        <v>3410.8548871439834</v>
      </c>
      <c r="R57" s="43">
        <v>0</v>
      </c>
      <c r="S57" s="43">
        <v>0</v>
      </c>
      <c r="T57" s="3">
        <f t="shared" si="14"/>
        <v>25362.898115782955</v>
      </c>
      <c r="U57" s="15">
        <f>V.sual_Data[[#This Row],[TIEMPO (HORAS)]]*Gastos_Operativos[[#Totals],[GASTOS HORA]]</f>
        <v>27789.477072310401</v>
      </c>
      <c r="V57" s="3">
        <f>V.sual_Data[[#This Row],[COSTO 
DIRECTO ($COP)]]+V.sual_Data[[#This Row],[PRORRATEO GASTOS ($COP)]]</f>
        <v>53152.375188093356</v>
      </c>
      <c r="W57" s="44">
        <v>0.1</v>
      </c>
      <c r="X57" s="15">
        <f>V.sual_Data[[#This Row],[COSTOS OPERACIONALES ($COP)]]*V.sual_Data[[#This Row],[DESFASE (%)]]</f>
        <v>5315.2375188093356</v>
      </c>
      <c r="Y57" s="44">
        <v>0.6</v>
      </c>
      <c r="Z57" s="15">
        <f>+((V.sual_Data[[#This Row],[COSTOS OPERACIONALES ($COP)]]/(100%-V.sual_Data[[#This Row],[UTILIDAD (%)]])))-V.sual_Data[[#This Row],[COSTOS OPERACIONALES ($COP)]]</f>
        <v>79728.562782140027</v>
      </c>
      <c r="AA57" s="3">
        <f>+V.sual_Data[[#This Row],[COSTOS OPERACIONALES ($COP)]]+V.sual_Data[[#This Row],[DESFASE ($COP)]]+V.sual_Data[[#This Row],[UTILIDAD ($COP)]]</f>
        <v>138196.17548904271</v>
      </c>
      <c r="AB57" s="44">
        <v>0.05</v>
      </c>
      <c r="AC57" s="15">
        <f>+((V.sual_Data[[#This Row],[VALOR NETO ($COP)]]/(100%-V.sual_Data[[#This Row],[MÁRGEN DE NEGOCIACIÓN (%)]])))-V.sual_Data[[#This Row],[VALOR NETO ($COP)]]</f>
        <v>7273.4829204759444</v>
      </c>
      <c r="AD57" s="15">
        <f>+(V.sual_Data[[#This Row],[VALOR NETO ($COP)]]+V.sual_Data[[#This Row],[NEGOCIACIÓN ($COP)]])*1%</f>
        <v>1454.6965840951866</v>
      </c>
      <c r="AE57" s="15">
        <f>+(V.sual_Data[[#This Row],[VALOR NETO ($COP)]]+V.sual_Data[[#This Row],[NEGOCIACIÓN ($COP)]])*1%</f>
        <v>1454.6965840951866</v>
      </c>
      <c r="AF57" s="3">
        <f>+V.sual_Data[[#This Row],[VALOR NETO ($COP)]]+V.sual_Data[[#This Row],[4 * 1000 ($COP)]]+V.sual_Data[[#This Row],[ICA ($COP)]]+V.sual_Data[[#This Row],[NEGOCIACIÓN ($COP)]]</f>
        <v>148379.05157770903</v>
      </c>
    </row>
    <row r="58" spans="1:32" ht="60" hidden="1" customHeight="1" x14ac:dyDescent="0.25">
      <c r="A58" s="14"/>
      <c r="B58" s="37" t="s">
        <v>189</v>
      </c>
      <c r="C58" s="38" t="s">
        <v>109</v>
      </c>
      <c r="D58" s="38" t="s">
        <v>190</v>
      </c>
      <c r="E58" s="38" t="s">
        <v>191</v>
      </c>
      <c r="F58" s="38" t="s">
        <v>112</v>
      </c>
      <c r="G58" s="38" t="s">
        <v>192</v>
      </c>
      <c r="H58" s="46">
        <v>1</v>
      </c>
      <c r="I58" s="39" t="s">
        <v>202</v>
      </c>
      <c r="J58" s="86">
        <v>8</v>
      </c>
      <c r="K58" s="39" t="s">
        <v>204</v>
      </c>
      <c r="L58" s="40" t="s">
        <v>116</v>
      </c>
      <c r="M58" s="41">
        <v>0.5</v>
      </c>
      <c r="N58" s="207">
        <f>IFERROR(VLOOKUP(V.sual_Data[[#This Row],[RESPONSABLE]],Listas!$D$3:$F$7,3,FALSE),0)</f>
        <v>17730.496453900709</v>
      </c>
      <c r="O58" s="34">
        <f t="shared" si="15"/>
        <v>8865.2482269503544</v>
      </c>
      <c r="P58" s="42">
        <f>IFERROR((VLOOKUP(V.sual_Data[[#This Row],[RESPONSABLE]],Listas!$D$3:$K$7,5,FALSE))*V.sual_Data[[#This Row],[TIEMPO (HORAS)]],0)</f>
        <v>2110.7733873691318</v>
      </c>
      <c r="Q58" s="11">
        <f>IFERROR(+VLOOKUP(L58,V.sual_Lista_Data[[EQUIPO VISUAL]:[SOFTWARE 
VALOR HORA]],8,FALSE)*V.sual_Data[[#This Row],[TIEMPO (HORAS)]],"0")</f>
        <v>1705.4274435719917</v>
      </c>
      <c r="R58" s="43">
        <v>0</v>
      </c>
      <c r="S58" s="43">
        <v>0</v>
      </c>
      <c r="T58" s="3">
        <f t="shared" si="14"/>
        <v>12681.449057891477</v>
      </c>
      <c r="U58" s="15">
        <f>V.sual_Data[[#This Row],[TIEMPO (HORAS)]]*Gastos_Operativos[[#Totals],[GASTOS HORA]]</f>
        <v>13894.738536155201</v>
      </c>
      <c r="V58" s="3">
        <f>V.sual_Data[[#This Row],[COSTO 
DIRECTO ($COP)]]+V.sual_Data[[#This Row],[PRORRATEO GASTOS ($COP)]]</f>
        <v>26576.187594046678</v>
      </c>
      <c r="W58" s="44">
        <v>0.1</v>
      </c>
      <c r="X58" s="15">
        <f>V.sual_Data[[#This Row],[COSTOS OPERACIONALES ($COP)]]*V.sual_Data[[#This Row],[DESFASE (%)]]</f>
        <v>2657.6187594046678</v>
      </c>
      <c r="Y58" s="44">
        <v>0.6</v>
      </c>
      <c r="Z58" s="15">
        <f>+((V.sual_Data[[#This Row],[COSTOS OPERACIONALES ($COP)]]/(100%-V.sual_Data[[#This Row],[UTILIDAD (%)]])))-V.sual_Data[[#This Row],[COSTOS OPERACIONALES ($COP)]]</f>
        <v>39864.281391070013</v>
      </c>
      <c r="AA58" s="3">
        <f>+V.sual_Data[[#This Row],[COSTOS OPERACIONALES ($COP)]]+V.sual_Data[[#This Row],[DESFASE ($COP)]]+V.sual_Data[[#This Row],[UTILIDAD ($COP)]]</f>
        <v>69098.087744521355</v>
      </c>
      <c r="AB58" s="44">
        <v>0.05</v>
      </c>
      <c r="AC58" s="15">
        <f>+((V.sual_Data[[#This Row],[VALOR NETO ($COP)]]/(100%-V.sual_Data[[#This Row],[MÁRGEN DE NEGOCIACIÓN (%)]])))-V.sual_Data[[#This Row],[VALOR NETO ($COP)]]</f>
        <v>3636.7414602379722</v>
      </c>
      <c r="AD58" s="15">
        <f>+(V.sual_Data[[#This Row],[VALOR NETO ($COP)]]+V.sual_Data[[#This Row],[NEGOCIACIÓN ($COP)]])*1%</f>
        <v>727.3482920475933</v>
      </c>
      <c r="AE58" s="15">
        <f>+(V.sual_Data[[#This Row],[VALOR NETO ($COP)]]+V.sual_Data[[#This Row],[NEGOCIACIÓN ($COP)]])*1%</f>
        <v>727.3482920475933</v>
      </c>
      <c r="AF58" s="3">
        <f>+V.sual_Data[[#This Row],[VALOR NETO ($COP)]]+V.sual_Data[[#This Row],[4 * 1000 ($COP)]]+V.sual_Data[[#This Row],[ICA ($COP)]]+V.sual_Data[[#This Row],[NEGOCIACIÓN ($COP)]]</f>
        <v>74189.525788854517</v>
      </c>
    </row>
    <row r="59" spans="1:32" ht="60" hidden="1" customHeight="1" x14ac:dyDescent="0.25">
      <c r="A59" s="14"/>
      <c r="B59" s="37"/>
      <c r="C59" s="38" t="s">
        <v>144</v>
      </c>
      <c r="D59" s="38" t="s">
        <v>190</v>
      </c>
      <c r="E59" s="38" t="s">
        <v>205</v>
      </c>
      <c r="F59" s="38" t="s">
        <v>206</v>
      </c>
      <c r="G59" s="38" t="s">
        <v>207</v>
      </c>
      <c r="H59" s="46">
        <v>1</v>
      </c>
      <c r="I59" s="39"/>
      <c r="J59" s="86" t="s">
        <v>208</v>
      </c>
      <c r="K59" s="39" t="s">
        <v>209</v>
      </c>
      <c r="L59" s="40" t="s">
        <v>183</v>
      </c>
      <c r="M59" s="41">
        <v>28.2</v>
      </c>
      <c r="N59" s="207">
        <f>IFERROR(VLOOKUP(V.sual_Data[[#This Row],[RESPONSABLE]],Listas!$D$3:$F$7,3,FALSE),0)</f>
        <v>22796.352583586624</v>
      </c>
      <c r="O59" s="208"/>
      <c r="P59" s="42">
        <f>IFERROR((VLOOKUP(V.sual_Data[[#This Row],[RESPONSABLE]],Listas!$D$3:$K$7,5,FALSE))*V.sual_Data[[#This Row],[TIEMPO (HORAS)]],0)</f>
        <v>119047.61904761902</v>
      </c>
      <c r="Q59" s="11">
        <f>IFERROR(+VLOOKUP(L59,V.sual_Lista_Data[[EQUIPO VISUAL]:[SOFTWARE 
VALOR HORA]],8,FALSE)*V.sual_Data[[#This Row],[TIEMPO (HORAS)]],"0")</f>
        <v>96186.107817460332</v>
      </c>
      <c r="R59" s="43">
        <v>150000</v>
      </c>
      <c r="S59" s="43">
        <v>0</v>
      </c>
      <c r="T59" s="3">
        <f>SUM(O59:S59)</f>
        <v>365233.72686507937</v>
      </c>
      <c r="U59" s="15">
        <f>V.sual_Data[[#This Row],[TIEMPO (HORAS)]]*Gastos_Operativos[[#Totals],[GASTOS HORA]]</f>
        <v>783663.25343915331</v>
      </c>
      <c r="V59" s="3">
        <f>V.sual_Data[[#This Row],[COSTO 
DIRECTO ($COP)]]+V.sual_Data[[#This Row],[PRORRATEO GASTOS ($COP)]]</f>
        <v>1148896.9803042328</v>
      </c>
      <c r="W59" s="44">
        <v>0.1</v>
      </c>
      <c r="X59" s="15">
        <f>V.sual_Data[[#This Row],[COSTOS OPERACIONALES ($COP)]]*V.sual_Data[[#This Row],[DESFASE (%)]]</f>
        <v>114889.69803042329</v>
      </c>
      <c r="Y59" s="44">
        <v>0.3</v>
      </c>
      <c r="Z59" s="15">
        <f>+((V.sual_Data[[#This Row],[COSTOS OPERACIONALES ($COP)]]/(100%-V.sual_Data[[#This Row],[UTILIDAD (%)]])))-V.sual_Data[[#This Row],[COSTOS OPERACIONALES ($COP)]]</f>
        <v>492384.42013038555</v>
      </c>
      <c r="AA59" s="3">
        <f>+V.sual_Data[[#This Row],[COSTOS OPERACIONALES ($COP)]]+V.sual_Data[[#This Row],[DESFASE ($COP)]]+V.sual_Data[[#This Row],[UTILIDAD ($COP)]]</f>
        <v>1756171.0984650417</v>
      </c>
      <c r="AB59" s="44"/>
      <c r="AC59" s="15">
        <f>+((V.sual_Data[[#This Row],[VALOR NETO ($COP)]]/(100%-V.sual_Data[[#This Row],[MÁRGEN DE NEGOCIACIÓN (%)]])))-V.sual_Data[[#This Row],[VALOR NETO ($COP)]]</f>
        <v>0</v>
      </c>
      <c r="AD59" s="15">
        <f>+(V.sual_Data[[#This Row],[VALOR NETO ($COP)]]+V.sual_Data[[#This Row],[NEGOCIACIÓN ($COP)]])*1%</f>
        <v>17561.710984650417</v>
      </c>
      <c r="AE59" s="15">
        <f>+(V.sual_Data[[#This Row],[VALOR NETO ($COP)]]+V.sual_Data[[#This Row],[NEGOCIACIÓN ($COP)]])*1%</f>
        <v>17561.710984650417</v>
      </c>
      <c r="AF59" s="3">
        <f>+V.sual_Data[[#This Row],[VALOR NETO ($COP)]]+V.sual_Data[[#This Row],[4 * 1000 ($COP)]]+V.sual_Data[[#This Row],[ICA ($COP)]]+V.sual_Data[[#This Row],[NEGOCIACIÓN ($COP)]]</f>
        <v>1791294.5204343428</v>
      </c>
    </row>
    <row r="60" spans="1:32" ht="60" hidden="1" customHeight="1" x14ac:dyDescent="0.25">
      <c r="A60" s="14"/>
      <c r="B60" s="37" t="s">
        <v>210</v>
      </c>
      <c r="C60" s="38" t="s">
        <v>144</v>
      </c>
      <c r="D60" s="38" t="s">
        <v>181</v>
      </c>
      <c r="E60" s="38" t="s">
        <v>211</v>
      </c>
      <c r="F60" s="38" t="s">
        <v>146</v>
      </c>
      <c r="G60" s="39" t="s">
        <v>147</v>
      </c>
      <c r="H60" s="40">
        <v>1</v>
      </c>
      <c r="I60" s="39" t="s">
        <v>175</v>
      </c>
      <c r="J60" s="86">
        <v>1</v>
      </c>
      <c r="K60" s="39" t="s">
        <v>176</v>
      </c>
      <c r="L60" s="40" t="s">
        <v>150</v>
      </c>
      <c r="M60" s="41">
        <v>2</v>
      </c>
      <c r="N60" s="42">
        <f>IFERROR(VLOOKUP(V.sual_Data[[#This Row],[RESPONSABLE]],Listas!$D$3:$F$7,3,FALSE),0)</f>
        <v>10000</v>
      </c>
      <c r="O60" s="34">
        <f t="shared" si="12"/>
        <v>20000</v>
      </c>
      <c r="P60" s="42">
        <f>IFERROR((VLOOKUP(V.sual_Data[[#This Row],[RESPONSABLE]],Listas!$D$3:$K$7,5,FALSE))*V.sual_Data[[#This Row],[TIEMPO (HORAS)]],0)</f>
        <v>6754.4748395812221</v>
      </c>
      <c r="Q60" s="42">
        <f>IFERROR(+VLOOKUP(L60,V.sual_Lista_Data[[EQUIPO VISUAL]:[SOFTWARE 
VALOR HORA]],8,FALSE)*V.sual_Data[[#This Row],[TIEMPO (HORAS)]],"0")</f>
        <v>6821.7097742879669</v>
      </c>
      <c r="R60" s="43">
        <v>0</v>
      </c>
      <c r="S60" s="43">
        <v>0</v>
      </c>
      <c r="T60" s="3">
        <f t="shared" si="13"/>
        <v>33576.184613869191</v>
      </c>
      <c r="U60" s="15">
        <f>V.sual_Data[[#This Row],[TIEMPO (HORAS)]]*Gastos_Operativos[[#Totals],[GASTOS HORA]]</f>
        <v>55578.954144620802</v>
      </c>
      <c r="V60" s="3">
        <f>V.sual_Data[[#This Row],[COSTO 
DIRECTO ($COP)]]+V.sual_Data[[#This Row],[PRORRATEO GASTOS ($COP)]]</f>
        <v>89155.138758489993</v>
      </c>
      <c r="W60" s="44">
        <v>0.15</v>
      </c>
      <c r="X60" s="15">
        <f>V.sual_Data[[#This Row],[COSTOS OPERACIONALES ($COP)]]*V.sual_Data[[#This Row],[DESFASE (%)]]</f>
        <v>13373.270813773499</v>
      </c>
      <c r="Y60" s="44">
        <v>0.3</v>
      </c>
      <c r="Z60" s="15">
        <f>+((V.sual_Data[[#This Row],[COSTOS OPERACIONALES ($COP)]]/(100%-V.sual_Data[[#This Row],[UTILIDAD (%)]])))-V.sual_Data[[#This Row],[COSTOS OPERACIONALES ($COP)]]</f>
        <v>38209.345182210003</v>
      </c>
      <c r="AA60" s="3">
        <f>+V.sual_Data[[#This Row],[COSTOS OPERACIONALES ($COP)]]+V.sual_Data[[#This Row],[DESFASE ($COP)]]+V.sual_Data[[#This Row],[UTILIDAD ($COP)]]</f>
        <v>140737.75475447351</v>
      </c>
      <c r="AB60" s="44">
        <v>0.05</v>
      </c>
      <c r="AC60" s="15">
        <f>+((V.sual_Data[[#This Row],[VALOR NETO ($COP)]]/(100%-V.sual_Data[[#This Row],[MÁRGEN DE NEGOCIACIÓN (%)]])))-V.sual_Data[[#This Row],[VALOR NETO ($COP)]]</f>
        <v>7407.2502502354619</v>
      </c>
      <c r="AD60" s="15">
        <f>+(V.sual_Data[[#This Row],[VALOR NETO ($COP)]]+V.sual_Data[[#This Row],[NEGOCIACIÓN ($COP)]])*1%</f>
        <v>1481.4500500470897</v>
      </c>
      <c r="AE60" s="15">
        <f>+(V.sual_Data[[#This Row],[VALOR NETO ($COP)]]+V.sual_Data[[#This Row],[NEGOCIACIÓN ($COP)]])*1%</f>
        <v>1481.4500500470897</v>
      </c>
      <c r="AF60" s="3">
        <f>+V.sual_Data[[#This Row],[VALOR NETO ($COP)]]+V.sual_Data[[#This Row],[4 * 1000 ($COP)]]+V.sual_Data[[#This Row],[ICA ($COP)]]+V.sual_Data[[#This Row],[NEGOCIACIÓN ($COP)]]</f>
        <v>151107.90510480318</v>
      </c>
    </row>
    <row r="61" spans="1:32" ht="60" hidden="1" customHeight="1" x14ac:dyDescent="0.25">
      <c r="A61" s="14"/>
      <c r="B61" s="37" t="s">
        <v>210</v>
      </c>
      <c r="C61" s="38" t="s">
        <v>144</v>
      </c>
      <c r="D61" s="38" t="s">
        <v>181</v>
      </c>
      <c r="E61" s="38" t="s">
        <v>211</v>
      </c>
      <c r="F61" s="38" t="s">
        <v>146</v>
      </c>
      <c r="G61" s="39" t="s">
        <v>147</v>
      </c>
      <c r="H61" s="40">
        <v>1</v>
      </c>
      <c r="I61" s="39" t="s">
        <v>151</v>
      </c>
      <c r="J61" s="86">
        <v>2</v>
      </c>
      <c r="K61" s="39" t="s">
        <v>212</v>
      </c>
      <c r="L61" s="40" t="s">
        <v>116</v>
      </c>
      <c r="M61" s="41">
        <v>2</v>
      </c>
      <c r="N61" s="42">
        <f>IFERROR(VLOOKUP(V.sual_Data[[#This Row],[RESPONSABLE]],Listas!$D$3:$F$7,3,FALSE),0)</f>
        <v>17730.496453900709</v>
      </c>
      <c r="O61" s="34">
        <f t="shared" si="12"/>
        <v>35460.992907801417</v>
      </c>
      <c r="P61" s="42">
        <f>IFERROR((VLOOKUP(V.sual_Data[[#This Row],[RESPONSABLE]],Listas!$D$3:$K$7,5,FALSE))*V.sual_Data[[#This Row],[TIEMPO (HORAS)]],0)</f>
        <v>8443.0935494765272</v>
      </c>
      <c r="Q61" s="42">
        <f>IFERROR(+VLOOKUP(L61,V.sual_Lista_Data[[EQUIPO VISUAL]:[SOFTWARE 
VALOR HORA]],8,FALSE)*V.sual_Data[[#This Row],[TIEMPO (HORAS)]],"0")</f>
        <v>6821.7097742879669</v>
      </c>
      <c r="R61" s="43">
        <v>0</v>
      </c>
      <c r="S61" s="43">
        <v>0</v>
      </c>
      <c r="T61" s="3">
        <f t="shared" si="13"/>
        <v>50725.79623156591</v>
      </c>
      <c r="U61" s="15">
        <f>V.sual_Data[[#This Row],[TIEMPO (HORAS)]]*Gastos_Operativos[[#Totals],[GASTOS HORA]]</f>
        <v>55578.954144620802</v>
      </c>
      <c r="V61" s="3">
        <f>V.sual_Data[[#This Row],[COSTO 
DIRECTO ($COP)]]+V.sual_Data[[#This Row],[PRORRATEO GASTOS ($COP)]]</f>
        <v>106304.75037618671</v>
      </c>
      <c r="W61" s="44">
        <v>0.15</v>
      </c>
      <c r="X61" s="15">
        <f>V.sual_Data[[#This Row],[COSTOS OPERACIONALES ($COP)]]*V.sual_Data[[#This Row],[DESFASE (%)]]</f>
        <v>15945.712556428007</v>
      </c>
      <c r="Y61" s="44">
        <v>0.3</v>
      </c>
      <c r="Z61" s="15">
        <f>+((V.sual_Data[[#This Row],[COSTOS OPERACIONALES ($COP)]]/(100%-V.sual_Data[[#This Row],[UTILIDAD (%)]])))-V.sual_Data[[#This Row],[COSTOS OPERACIONALES ($COP)]]</f>
        <v>45559.17873265146</v>
      </c>
      <c r="AA61" s="3">
        <f>+V.sual_Data[[#This Row],[COSTOS OPERACIONALES ($COP)]]+V.sual_Data[[#This Row],[DESFASE ($COP)]]+V.sual_Data[[#This Row],[UTILIDAD ($COP)]]</f>
        <v>167809.64166526619</v>
      </c>
      <c r="AB61" s="44">
        <v>0.05</v>
      </c>
      <c r="AC61" s="15">
        <f>+((V.sual_Data[[#This Row],[VALOR NETO ($COP)]]/(100%-V.sual_Data[[#This Row],[MÁRGEN DE NEGOCIACIÓN (%)]])))-V.sual_Data[[#This Row],[VALOR NETO ($COP)]]</f>
        <v>8832.086403435067</v>
      </c>
      <c r="AD61" s="15">
        <f>+(V.sual_Data[[#This Row],[VALOR NETO ($COP)]]+V.sual_Data[[#This Row],[NEGOCIACIÓN ($COP)]])*1%</f>
        <v>1766.4172806870126</v>
      </c>
      <c r="AE61" s="15">
        <f>+(V.sual_Data[[#This Row],[VALOR NETO ($COP)]]+V.sual_Data[[#This Row],[NEGOCIACIÓN ($COP)]])*1%</f>
        <v>1766.4172806870126</v>
      </c>
      <c r="AF61" s="3">
        <f>+V.sual_Data[[#This Row],[VALOR NETO ($COP)]]+V.sual_Data[[#This Row],[4 * 1000 ($COP)]]+V.sual_Data[[#This Row],[ICA ($COP)]]+V.sual_Data[[#This Row],[NEGOCIACIÓN ($COP)]]</f>
        <v>180174.56263007529</v>
      </c>
    </row>
    <row r="62" spans="1:32" ht="60" hidden="1" customHeight="1" x14ac:dyDescent="0.25">
      <c r="A62" s="14"/>
      <c r="B62" s="37" t="s">
        <v>210</v>
      </c>
      <c r="C62" s="38" t="s">
        <v>144</v>
      </c>
      <c r="D62" s="38" t="s">
        <v>181</v>
      </c>
      <c r="E62" s="38" t="s">
        <v>211</v>
      </c>
      <c r="F62" s="38" t="s">
        <v>146</v>
      </c>
      <c r="G62" s="39" t="s">
        <v>147</v>
      </c>
      <c r="H62" s="40">
        <v>1</v>
      </c>
      <c r="I62" s="39" t="s">
        <v>151</v>
      </c>
      <c r="J62" s="86">
        <v>3</v>
      </c>
      <c r="K62" s="39" t="s">
        <v>213</v>
      </c>
      <c r="L62" s="40" t="s">
        <v>116</v>
      </c>
      <c r="M62" s="41">
        <v>3</v>
      </c>
      <c r="N62" s="42">
        <f>IFERROR(VLOOKUP(V.sual_Data[[#This Row],[RESPONSABLE]],Listas!$D$3:$F$7,3,FALSE),0)</f>
        <v>17730.496453900709</v>
      </c>
      <c r="O62" s="34">
        <f t="shared" si="12"/>
        <v>53191.48936170213</v>
      </c>
      <c r="P62" s="42">
        <f>IFERROR((VLOOKUP(V.sual_Data[[#This Row],[RESPONSABLE]],Listas!$D$3:$K$7,5,FALSE))*V.sual_Data[[#This Row],[TIEMPO (HORAS)]],0)</f>
        <v>12664.64032421479</v>
      </c>
      <c r="Q62" s="42">
        <f>IFERROR(+VLOOKUP(L62,V.sual_Lista_Data[[EQUIPO VISUAL]:[SOFTWARE 
VALOR HORA]],8,FALSE)*V.sual_Data[[#This Row],[TIEMPO (HORAS)]],"0")</f>
        <v>10232.56466143195</v>
      </c>
      <c r="R62" s="43">
        <v>0</v>
      </c>
      <c r="S62" s="43">
        <v>0</v>
      </c>
      <c r="T62" s="3">
        <f t="shared" si="13"/>
        <v>76088.694347348879</v>
      </c>
      <c r="U62" s="15">
        <f>V.sual_Data[[#This Row],[TIEMPO (HORAS)]]*Gastos_Operativos[[#Totals],[GASTOS HORA]]</f>
        <v>83368.431216931203</v>
      </c>
      <c r="V62" s="3">
        <f>V.sual_Data[[#This Row],[COSTO 
DIRECTO ($COP)]]+V.sual_Data[[#This Row],[PRORRATEO GASTOS ($COP)]]</f>
        <v>159457.12556428008</v>
      </c>
      <c r="W62" s="44">
        <v>0.15</v>
      </c>
      <c r="X62" s="15">
        <f>V.sual_Data[[#This Row],[COSTOS OPERACIONALES ($COP)]]*V.sual_Data[[#This Row],[DESFASE (%)]]</f>
        <v>23918.56883464201</v>
      </c>
      <c r="Y62" s="44">
        <v>0.3</v>
      </c>
      <c r="Z62" s="15">
        <f>+((V.sual_Data[[#This Row],[COSTOS OPERACIONALES ($COP)]]/(100%-V.sual_Data[[#This Row],[UTILIDAD (%)]])))-V.sual_Data[[#This Row],[COSTOS OPERACIONALES ($COP)]]</f>
        <v>68338.768098977191</v>
      </c>
      <c r="AA62" s="3">
        <f>+V.sual_Data[[#This Row],[COSTOS OPERACIONALES ($COP)]]+V.sual_Data[[#This Row],[DESFASE ($COP)]]+V.sual_Data[[#This Row],[UTILIDAD ($COP)]]</f>
        <v>251714.46249789928</v>
      </c>
      <c r="AB62" s="44">
        <v>0.05</v>
      </c>
      <c r="AC62" s="15">
        <f>+((V.sual_Data[[#This Row],[VALOR NETO ($COP)]]/(100%-V.sual_Data[[#This Row],[MÁRGEN DE NEGOCIACIÓN (%)]])))-V.sual_Data[[#This Row],[VALOR NETO ($COP)]]</f>
        <v>13248.129605152615</v>
      </c>
      <c r="AD62" s="15">
        <f>+(V.sual_Data[[#This Row],[VALOR NETO ($COP)]]+V.sual_Data[[#This Row],[NEGOCIACIÓN ($COP)]])*1%</f>
        <v>2649.6259210305188</v>
      </c>
      <c r="AE62" s="15">
        <f>+(V.sual_Data[[#This Row],[VALOR NETO ($COP)]]+V.sual_Data[[#This Row],[NEGOCIACIÓN ($COP)]])*1%</f>
        <v>2649.6259210305188</v>
      </c>
      <c r="AF62" s="3">
        <f>+V.sual_Data[[#This Row],[VALOR NETO ($COP)]]+V.sual_Data[[#This Row],[4 * 1000 ($COP)]]+V.sual_Data[[#This Row],[ICA ($COP)]]+V.sual_Data[[#This Row],[NEGOCIACIÓN ($COP)]]</f>
        <v>270261.84394511295</v>
      </c>
    </row>
    <row r="63" spans="1:32" ht="60" hidden="1" customHeight="1" x14ac:dyDescent="0.25">
      <c r="A63" s="14"/>
      <c r="B63" s="37" t="s">
        <v>210</v>
      </c>
      <c r="C63" s="38" t="s">
        <v>144</v>
      </c>
      <c r="D63" s="38" t="s">
        <v>181</v>
      </c>
      <c r="E63" s="38" t="s">
        <v>211</v>
      </c>
      <c r="F63" s="38" t="s">
        <v>146</v>
      </c>
      <c r="G63" s="39" t="s">
        <v>147</v>
      </c>
      <c r="H63" s="40">
        <v>1</v>
      </c>
      <c r="I63" s="39" t="s">
        <v>151</v>
      </c>
      <c r="J63" s="86">
        <v>4</v>
      </c>
      <c r="K63" s="39" t="s">
        <v>214</v>
      </c>
      <c r="L63" s="40" t="s">
        <v>116</v>
      </c>
      <c r="M63" s="41">
        <v>1</v>
      </c>
      <c r="N63" s="42">
        <f>IFERROR(VLOOKUP(V.sual_Data[[#This Row],[RESPONSABLE]],Listas!$D$3:$F$7,3,FALSE),0)</f>
        <v>17730.496453900709</v>
      </c>
      <c r="O63" s="34">
        <f t="shared" si="12"/>
        <v>17730.496453900709</v>
      </c>
      <c r="P63" s="42">
        <f>IFERROR((VLOOKUP(V.sual_Data[[#This Row],[RESPONSABLE]],Listas!$D$3:$K$7,5,FALSE))*V.sual_Data[[#This Row],[TIEMPO (HORAS)]],0)</f>
        <v>4221.5467747382636</v>
      </c>
      <c r="Q63" s="42">
        <f>IFERROR(+VLOOKUP(L63,V.sual_Lista_Data[[EQUIPO VISUAL]:[SOFTWARE 
VALOR HORA]],8,FALSE)*V.sual_Data[[#This Row],[TIEMPO (HORAS)]],"0")</f>
        <v>3410.8548871439834</v>
      </c>
      <c r="R63" s="43">
        <v>0</v>
      </c>
      <c r="S63" s="43">
        <v>0</v>
      </c>
      <c r="T63" s="3">
        <f t="shared" si="13"/>
        <v>25362.898115782955</v>
      </c>
      <c r="U63" s="15">
        <f>V.sual_Data[[#This Row],[TIEMPO (HORAS)]]*Gastos_Operativos[[#Totals],[GASTOS HORA]]</f>
        <v>27789.477072310401</v>
      </c>
      <c r="V63" s="3">
        <f>V.sual_Data[[#This Row],[COSTO 
DIRECTO ($COP)]]+V.sual_Data[[#This Row],[PRORRATEO GASTOS ($COP)]]</f>
        <v>53152.375188093356</v>
      </c>
      <c r="W63" s="44">
        <v>0.15</v>
      </c>
      <c r="X63" s="15">
        <f>V.sual_Data[[#This Row],[COSTOS OPERACIONALES ($COP)]]*V.sual_Data[[#This Row],[DESFASE (%)]]</f>
        <v>7972.8562782140034</v>
      </c>
      <c r="Y63" s="44">
        <v>0.3</v>
      </c>
      <c r="Z63" s="15">
        <f>+((V.sual_Data[[#This Row],[COSTOS OPERACIONALES ($COP)]]/(100%-V.sual_Data[[#This Row],[UTILIDAD (%)]])))-V.sual_Data[[#This Row],[COSTOS OPERACIONALES ($COP)]]</f>
        <v>22779.58936632573</v>
      </c>
      <c r="AA63" s="3">
        <f>+V.sual_Data[[#This Row],[COSTOS OPERACIONALES ($COP)]]+V.sual_Data[[#This Row],[DESFASE ($COP)]]+V.sual_Data[[#This Row],[UTILIDAD ($COP)]]</f>
        <v>83904.820832633093</v>
      </c>
      <c r="AB63" s="44">
        <v>0.05</v>
      </c>
      <c r="AC63" s="15">
        <f>+((V.sual_Data[[#This Row],[VALOR NETO ($COP)]]/(100%-V.sual_Data[[#This Row],[MÁRGEN DE NEGOCIACIÓN (%)]])))-V.sual_Data[[#This Row],[VALOR NETO ($COP)]]</f>
        <v>4416.0432017175335</v>
      </c>
      <c r="AD63" s="15">
        <f>+(V.sual_Data[[#This Row],[VALOR NETO ($COP)]]+V.sual_Data[[#This Row],[NEGOCIACIÓN ($COP)]])*1%</f>
        <v>883.20864034350632</v>
      </c>
      <c r="AE63" s="15">
        <f>+(V.sual_Data[[#This Row],[VALOR NETO ($COP)]]+V.sual_Data[[#This Row],[NEGOCIACIÓN ($COP)]])*1%</f>
        <v>883.20864034350632</v>
      </c>
      <c r="AF63" s="3">
        <f>+V.sual_Data[[#This Row],[VALOR NETO ($COP)]]+V.sual_Data[[#This Row],[4 * 1000 ($COP)]]+V.sual_Data[[#This Row],[ICA ($COP)]]+V.sual_Data[[#This Row],[NEGOCIACIÓN ($COP)]]</f>
        <v>90087.281315037646</v>
      </c>
    </row>
    <row r="64" spans="1:32" ht="60" hidden="1" customHeight="1" x14ac:dyDescent="0.25">
      <c r="A64" s="14"/>
      <c r="B64" s="37" t="s">
        <v>210</v>
      </c>
      <c r="C64" s="38" t="s">
        <v>144</v>
      </c>
      <c r="D64" s="38" t="s">
        <v>181</v>
      </c>
      <c r="E64" s="38" t="s">
        <v>211</v>
      </c>
      <c r="F64" s="38" t="s">
        <v>146</v>
      </c>
      <c r="G64" s="39" t="s">
        <v>147</v>
      </c>
      <c r="H64" s="40">
        <v>1</v>
      </c>
      <c r="I64" s="39" t="s">
        <v>177</v>
      </c>
      <c r="J64" s="86">
        <v>5</v>
      </c>
      <c r="K64" s="39" t="s">
        <v>178</v>
      </c>
      <c r="L64" s="40" t="s">
        <v>116</v>
      </c>
      <c r="M64" s="41">
        <v>1.5</v>
      </c>
      <c r="N64" s="42">
        <f>IFERROR(VLOOKUP(V.sual_Data[[#This Row],[RESPONSABLE]],Listas!$D$3:$F$7,3,FALSE),0)</f>
        <v>17730.496453900709</v>
      </c>
      <c r="O64" s="34">
        <f t="shared" si="12"/>
        <v>26595.744680851065</v>
      </c>
      <c r="P64" s="42">
        <f>IFERROR((VLOOKUP(V.sual_Data[[#This Row],[RESPONSABLE]],Listas!$D$3:$K$7,5,FALSE))*V.sual_Data[[#This Row],[TIEMPO (HORAS)]],0)</f>
        <v>6332.3201621073949</v>
      </c>
      <c r="Q64" s="42">
        <f>IFERROR(+VLOOKUP(L64,V.sual_Lista_Data[[EQUIPO VISUAL]:[SOFTWARE 
VALOR HORA]],8,FALSE)*V.sual_Data[[#This Row],[TIEMPO (HORAS)]],"0")</f>
        <v>5116.2823307159751</v>
      </c>
      <c r="R64" s="43">
        <v>0</v>
      </c>
      <c r="S64" s="43">
        <v>0</v>
      </c>
      <c r="T64" s="3">
        <f t="shared" si="13"/>
        <v>38044.34717367444</v>
      </c>
      <c r="U64" s="15">
        <f>V.sual_Data[[#This Row],[TIEMPO (HORAS)]]*Gastos_Operativos[[#Totals],[GASTOS HORA]]</f>
        <v>41684.215608465602</v>
      </c>
      <c r="V64" s="3">
        <f>V.sual_Data[[#This Row],[COSTO 
DIRECTO ($COP)]]+V.sual_Data[[#This Row],[PRORRATEO GASTOS ($COP)]]</f>
        <v>79728.562782140041</v>
      </c>
      <c r="W64" s="44">
        <v>0.15</v>
      </c>
      <c r="X64" s="15">
        <f>V.sual_Data[[#This Row],[COSTOS OPERACIONALES ($COP)]]*V.sual_Data[[#This Row],[DESFASE (%)]]</f>
        <v>11959.284417321005</v>
      </c>
      <c r="Y64" s="44">
        <v>0.3</v>
      </c>
      <c r="Z64" s="15">
        <f>+((V.sual_Data[[#This Row],[COSTOS OPERACIONALES ($COP)]]/(100%-V.sual_Data[[#This Row],[UTILIDAD (%)]])))-V.sual_Data[[#This Row],[COSTOS OPERACIONALES ($COP)]]</f>
        <v>34169.384049488595</v>
      </c>
      <c r="AA64" s="3">
        <f>+V.sual_Data[[#This Row],[COSTOS OPERACIONALES ($COP)]]+V.sual_Data[[#This Row],[DESFASE ($COP)]]+V.sual_Data[[#This Row],[UTILIDAD ($COP)]]</f>
        <v>125857.23124894964</v>
      </c>
      <c r="AB64" s="44">
        <v>0.05</v>
      </c>
      <c r="AC64" s="15">
        <f>+((V.sual_Data[[#This Row],[VALOR NETO ($COP)]]/(100%-V.sual_Data[[#This Row],[MÁRGEN DE NEGOCIACIÓN (%)]])))-V.sual_Data[[#This Row],[VALOR NETO ($COP)]]</f>
        <v>6624.0648025763076</v>
      </c>
      <c r="AD64" s="15">
        <f>+(V.sual_Data[[#This Row],[VALOR NETO ($COP)]]+V.sual_Data[[#This Row],[NEGOCIACIÓN ($COP)]])*1%</f>
        <v>1324.8129605152594</v>
      </c>
      <c r="AE64" s="15">
        <f>+(V.sual_Data[[#This Row],[VALOR NETO ($COP)]]+V.sual_Data[[#This Row],[NEGOCIACIÓN ($COP)]])*1%</f>
        <v>1324.8129605152594</v>
      </c>
      <c r="AF64" s="3">
        <f>+V.sual_Data[[#This Row],[VALOR NETO ($COP)]]+V.sual_Data[[#This Row],[4 * 1000 ($COP)]]+V.sual_Data[[#This Row],[ICA ($COP)]]+V.sual_Data[[#This Row],[NEGOCIACIÓN ($COP)]]</f>
        <v>135130.92197255648</v>
      </c>
    </row>
    <row r="65" spans="1:32" ht="60" hidden="1" customHeight="1" x14ac:dyDescent="0.25">
      <c r="A65" s="14"/>
      <c r="B65" s="37" t="s">
        <v>210</v>
      </c>
      <c r="C65" s="38" t="s">
        <v>144</v>
      </c>
      <c r="D65" s="38" t="s">
        <v>181</v>
      </c>
      <c r="E65" s="38" t="s">
        <v>211</v>
      </c>
      <c r="F65" s="38" t="s">
        <v>146</v>
      </c>
      <c r="G65" s="39" t="s">
        <v>147</v>
      </c>
      <c r="H65" s="40">
        <v>1</v>
      </c>
      <c r="I65" s="39" t="s">
        <v>177</v>
      </c>
      <c r="J65" s="86">
        <v>6</v>
      </c>
      <c r="K65" s="39" t="s">
        <v>156</v>
      </c>
      <c r="L65" s="40" t="s">
        <v>116</v>
      </c>
      <c r="M65" s="41">
        <v>1</v>
      </c>
      <c r="N65" s="42">
        <f>IFERROR(VLOOKUP(V.sual_Data[[#This Row],[RESPONSABLE]],Listas!$D$3:$F$7,3,FALSE),0)</f>
        <v>17730.496453900709</v>
      </c>
      <c r="O65" s="34">
        <f t="shared" si="12"/>
        <v>17730.496453900709</v>
      </c>
      <c r="P65" s="42">
        <f>IFERROR((VLOOKUP(V.sual_Data[[#This Row],[RESPONSABLE]],Listas!$D$3:$K$7,5,FALSE))*V.sual_Data[[#This Row],[TIEMPO (HORAS)]],0)</f>
        <v>4221.5467747382636</v>
      </c>
      <c r="Q65" s="42">
        <f>IFERROR(+VLOOKUP(L65,V.sual_Lista_Data[[EQUIPO VISUAL]:[SOFTWARE 
VALOR HORA]],8,FALSE)*V.sual_Data[[#This Row],[TIEMPO (HORAS)]],"0")</f>
        <v>3410.8548871439834</v>
      </c>
      <c r="R65" s="43">
        <v>0</v>
      </c>
      <c r="S65" s="43">
        <v>0</v>
      </c>
      <c r="T65" s="3">
        <f t="shared" si="13"/>
        <v>25362.898115782955</v>
      </c>
      <c r="U65" s="15">
        <f>V.sual_Data[[#This Row],[TIEMPO (HORAS)]]*Gastos_Operativos[[#Totals],[GASTOS HORA]]</f>
        <v>27789.477072310401</v>
      </c>
      <c r="V65" s="3">
        <f>V.sual_Data[[#This Row],[COSTO 
DIRECTO ($COP)]]+V.sual_Data[[#This Row],[PRORRATEO GASTOS ($COP)]]</f>
        <v>53152.375188093356</v>
      </c>
      <c r="W65" s="44">
        <v>0.15</v>
      </c>
      <c r="X65" s="15">
        <f>V.sual_Data[[#This Row],[COSTOS OPERACIONALES ($COP)]]*V.sual_Data[[#This Row],[DESFASE (%)]]</f>
        <v>7972.8562782140034</v>
      </c>
      <c r="Y65" s="44">
        <v>0.3</v>
      </c>
      <c r="Z65" s="15">
        <f>+((V.sual_Data[[#This Row],[COSTOS OPERACIONALES ($COP)]]/(100%-V.sual_Data[[#This Row],[UTILIDAD (%)]])))-V.sual_Data[[#This Row],[COSTOS OPERACIONALES ($COP)]]</f>
        <v>22779.58936632573</v>
      </c>
      <c r="AA65" s="3">
        <f>+V.sual_Data[[#This Row],[COSTOS OPERACIONALES ($COP)]]+V.sual_Data[[#This Row],[DESFASE ($COP)]]+V.sual_Data[[#This Row],[UTILIDAD ($COP)]]</f>
        <v>83904.820832633093</v>
      </c>
      <c r="AB65" s="44">
        <v>0.05</v>
      </c>
      <c r="AC65" s="15">
        <f>+((V.sual_Data[[#This Row],[VALOR NETO ($COP)]]/(100%-V.sual_Data[[#This Row],[MÁRGEN DE NEGOCIACIÓN (%)]])))-V.sual_Data[[#This Row],[VALOR NETO ($COP)]]</f>
        <v>4416.0432017175335</v>
      </c>
      <c r="AD65" s="15">
        <f>+(V.sual_Data[[#This Row],[VALOR NETO ($COP)]]+V.sual_Data[[#This Row],[NEGOCIACIÓN ($COP)]])*1%</f>
        <v>883.20864034350632</v>
      </c>
      <c r="AE65" s="15">
        <f>+(V.sual_Data[[#This Row],[VALOR NETO ($COP)]]+V.sual_Data[[#This Row],[NEGOCIACIÓN ($COP)]])*1%</f>
        <v>883.20864034350632</v>
      </c>
      <c r="AF65" s="3">
        <f>+V.sual_Data[[#This Row],[VALOR NETO ($COP)]]+V.sual_Data[[#This Row],[4 * 1000 ($COP)]]+V.sual_Data[[#This Row],[ICA ($COP)]]+V.sual_Data[[#This Row],[NEGOCIACIÓN ($COP)]]</f>
        <v>90087.281315037646</v>
      </c>
    </row>
    <row r="66" spans="1:32" ht="60" hidden="1" customHeight="1" x14ac:dyDescent="0.25">
      <c r="A66" s="14"/>
      <c r="B66" s="37" t="s">
        <v>210</v>
      </c>
      <c r="C66" s="38" t="s">
        <v>144</v>
      </c>
      <c r="D66" s="38" t="s">
        <v>181</v>
      </c>
      <c r="E66" s="38" t="s">
        <v>211</v>
      </c>
      <c r="F66" s="38" t="s">
        <v>146</v>
      </c>
      <c r="G66" s="39" t="s">
        <v>147</v>
      </c>
      <c r="H66" s="40">
        <v>1</v>
      </c>
      <c r="I66" s="39" t="s">
        <v>175</v>
      </c>
      <c r="J66" s="86">
        <v>7</v>
      </c>
      <c r="K66" s="39" t="s">
        <v>179</v>
      </c>
      <c r="L66" s="40" t="s">
        <v>116</v>
      </c>
      <c r="M66" s="41">
        <v>1</v>
      </c>
      <c r="N66" s="42">
        <f>IFERROR(VLOOKUP(V.sual_Data[[#This Row],[RESPONSABLE]],Listas!$D$3:$F$7,3,FALSE),0)</f>
        <v>17730.496453900709</v>
      </c>
      <c r="O66" s="34">
        <f t="shared" si="12"/>
        <v>17730.496453900709</v>
      </c>
      <c r="P66" s="42">
        <f>IFERROR((VLOOKUP(V.sual_Data[[#This Row],[RESPONSABLE]],Listas!$D$3:$K$7,5,FALSE))*V.sual_Data[[#This Row],[TIEMPO (HORAS)]],0)</f>
        <v>4221.5467747382636</v>
      </c>
      <c r="Q66" s="42">
        <f>IFERROR(+VLOOKUP(L66,V.sual_Lista_Data[[EQUIPO VISUAL]:[SOFTWARE 
VALOR HORA]],8,FALSE)*V.sual_Data[[#This Row],[TIEMPO (HORAS)]],"0")</f>
        <v>3410.8548871439834</v>
      </c>
      <c r="R66" s="43">
        <v>0</v>
      </c>
      <c r="S66" s="43">
        <v>0</v>
      </c>
      <c r="T66" s="3">
        <f t="shared" si="13"/>
        <v>25362.898115782955</v>
      </c>
      <c r="U66" s="15">
        <f>V.sual_Data[[#This Row],[TIEMPO (HORAS)]]*Gastos_Operativos[[#Totals],[GASTOS HORA]]</f>
        <v>27789.477072310401</v>
      </c>
      <c r="V66" s="3">
        <f>V.sual_Data[[#This Row],[COSTO 
DIRECTO ($COP)]]+V.sual_Data[[#This Row],[PRORRATEO GASTOS ($COP)]]</f>
        <v>53152.375188093356</v>
      </c>
      <c r="W66" s="44">
        <v>0.15</v>
      </c>
      <c r="X66" s="15">
        <f>V.sual_Data[[#This Row],[COSTOS OPERACIONALES ($COP)]]*V.sual_Data[[#This Row],[DESFASE (%)]]</f>
        <v>7972.8562782140034</v>
      </c>
      <c r="Y66" s="44">
        <v>0.3</v>
      </c>
      <c r="Z66" s="15">
        <f>+((V.sual_Data[[#This Row],[COSTOS OPERACIONALES ($COP)]]/(100%-V.sual_Data[[#This Row],[UTILIDAD (%)]])))-V.sual_Data[[#This Row],[COSTOS OPERACIONALES ($COP)]]</f>
        <v>22779.58936632573</v>
      </c>
      <c r="AA66" s="3">
        <f>+V.sual_Data[[#This Row],[COSTOS OPERACIONALES ($COP)]]+V.sual_Data[[#This Row],[DESFASE ($COP)]]+V.sual_Data[[#This Row],[UTILIDAD ($COP)]]</f>
        <v>83904.820832633093</v>
      </c>
      <c r="AB66" s="44">
        <v>0.05</v>
      </c>
      <c r="AC66" s="15">
        <f>+((V.sual_Data[[#This Row],[VALOR NETO ($COP)]]/(100%-V.sual_Data[[#This Row],[MÁRGEN DE NEGOCIACIÓN (%)]])))-V.sual_Data[[#This Row],[VALOR NETO ($COP)]]</f>
        <v>4416.0432017175335</v>
      </c>
      <c r="AD66" s="15">
        <f>+(V.sual_Data[[#This Row],[VALOR NETO ($COP)]]+V.sual_Data[[#This Row],[NEGOCIACIÓN ($COP)]])*1%</f>
        <v>883.20864034350632</v>
      </c>
      <c r="AE66" s="15">
        <f>+(V.sual_Data[[#This Row],[VALOR NETO ($COP)]]+V.sual_Data[[#This Row],[NEGOCIACIÓN ($COP)]])*1%</f>
        <v>883.20864034350632</v>
      </c>
      <c r="AF66" s="3">
        <f>+V.sual_Data[[#This Row],[VALOR NETO ($COP)]]+V.sual_Data[[#This Row],[4 * 1000 ($COP)]]+V.sual_Data[[#This Row],[ICA ($COP)]]+V.sual_Data[[#This Row],[NEGOCIACIÓN ($COP)]]</f>
        <v>90087.281315037646</v>
      </c>
    </row>
    <row r="67" spans="1:32" ht="60" hidden="1" customHeight="1" x14ac:dyDescent="0.25">
      <c r="A67" s="14"/>
      <c r="B67" s="37" t="s">
        <v>210</v>
      </c>
      <c r="C67" s="38" t="s">
        <v>144</v>
      </c>
      <c r="D67" s="38" t="s">
        <v>181</v>
      </c>
      <c r="E67" s="38" t="s">
        <v>211</v>
      </c>
      <c r="F67" s="38" t="s">
        <v>146</v>
      </c>
      <c r="G67" s="39" t="s">
        <v>147</v>
      </c>
      <c r="H67" s="40">
        <v>1</v>
      </c>
      <c r="I67" s="39" t="s">
        <v>175</v>
      </c>
      <c r="J67" s="86">
        <v>8</v>
      </c>
      <c r="K67" s="39" t="s">
        <v>158</v>
      </c>
      <c r="L67" s="40" t="s">
        <v>116</v>
      </c>
      <c r="M67" s="41">
        <v>2</v>
      </c>
      <c r="N67" s="42">
        <f>IFERROR(VLOOKUP(V.sual_Data[[#This Row],[RESPONSABLE]],Listas!$D$3:$F$7,3,FALSE),0)</f>
        <v>17730.496453900709</v>
      </c>
      <c r="O67" s="34">
        <f t="shared" si="12"/>
        <v>35460.992907801417</v>
      </c>
      <c r="P67" s="42">
        <f>IFERROR((VLOOKUP(V.sual_Data[[#This Row],[RESPONSABLE]],Listas!$D$3:$K$7,5,FALSE))*V.sual_Data[[#This Row],[TIEMPO (HORAS)]],0)</f>
        <v>8443.0935494765272</v>
      </c>
      <c r="Q67" s="42">
        <f>IFERROR(+VLOOKUP(L67,V.sual_Lista_Data[[EQUIPO VISUAL]:[SOFTWARE 
VALOR HORA]],8,FALSE)*V.sual_Data[[#This Row],[TIEMPO (HORAS)]],"0")</f>
        <v>6821.7097742879669</v>
      </c>
      <c r="R67" s="43">
        <v>0</v>
      </c>
      <c r="S67" s="43">
        <v>0</v>
      </c>
      <c r="T67" s="3">
        <f t="shared" si="13"/>
        <v>50725.79623156591</v>
      </c>
      <c r="U67" s="15">
        <f>V.sual_Data[[#This Row],[TIEMPO (HORAS)]]*Gastos_Operativos[[#Totals],[GASTOS HORA]]</f>
        <v>55578.954144620802</v>
      </c>
      <c r="V67" s="3">
        <f>V.sual_Data[[#This Row],[COSTO 
DIRECTO ($COP)]]+V.sual_Data[[#This Row],[PRORRATEO GASTOS ($COP)]]</f>
        <v>106304.75037618671</v>
      </c>
      <c r="W67" s="44">
        <v>0.15</v>
      </c>
      <c r="X67" s="15">
        <f>V.sual_Data[[#This Row],[COSTOS OPERACIONALES ($COP)]]*V.sual_Data[[#This Row],[DESFASE (%)]]</f>
        <v>15945.712556428007</v>
      </c>
      <c r="Y67" s="44">
        <v>0.3</v>
      </c>
      <c r="Z67" s="15">
        <f>+((V.sual_Data[[#This Row],[COSTOS OPERACIONALES ($COP)]]/(100%-V.sual_Data[[#This Row],[UTILIDAD (%)]])))-V.sual_Data[[#This Row],[COSTOS OPERACIONALES ($COP)]]</f>
        <v>45559.17873265146</v>
      </c>
      <c r="AA67" s="3">
        <f>+V.sual_Data[[#This Row],[COSTOS OPERACIONALES ($COP)]]+V.sual_Data[[#This Row],[DESFASE ($COP)]]+V.sual_Data[[#This Row],[UTILIDAD ($COP)]]</f>
        <v>167809.64166526619</v>
      </c>
      <c r="AB67" s="44">
        <v>0.05</v>
      </c>
      <c r="AC67" s="15">
        <f>+((V.sual_Data[[#This Row],[VALOR NETO ($COP)]]/(100%-V.sual_Data[[#This Row],[MÁRGEN DE NEGOCIACIÓN (%)]])))-V.sual_Data[[#This Row],[VALOR NETO ($COP)]]</f>
        <v>8832.086403435067</v>
      </c>
      <c r="AD67" s="15">
        <f>+(V.sual_Data[[#This Row],[VALOR NETO ($COP)]]+V.sual_Data[[#This Row],[NEGOCIACIÓN ($COP)]])*1%</f>
        <v>1766.4172806870126</v>
      </c>
      <c r="AE67" s="15">
        <f>+(V.sual_Data[[#This Row],[VALOR NETO ($COP)]]+V.sual_Data[[#This Row],[NEGOCIACIÓN ($COP)]])*1%</f>
        <v>1766.4172806870126</v>
      </c>
      <c r="AF67" s="3">
        <f>+V.sual_Data[[#This Row],[VALOR NETO ($COP)]]+V.sual_Data[[#This Row],[4 * 1000 ($COP)]]+V.sual_Data[[#This Row],[ICA ($COP)]]+V.sual_Data[[#This Row],[NEGOCIACIÓN ($COP)]]</f>
        <v>180174.56263007529</v>
      </c>
    </row>
    <row r="68" spans="1:32" ht="60" hidden="1" customHeight="1" x14ac:dyDescent="0.25">
      <c r="A68" s="14"/>
      <c r="B68" s="37" t="s">
        <v>210</v>
      </c>
      <c r="C68" s="38" t="s">
        <v>144</v>
      </c>
      <c r="D68" s="38" t="s">
        <v>181</v>
      </c>
      <c r="E68" s="38" t="s">
        <v>211</v>
      </c>
      <c r="F68" s="38" t="s">
        <v>146</v>
      </c>
      <c r="G68" s="39" t="s">
        <v>147</v>
      </c>
      <c r="H68" s="40">
        <v>1</v>
      </c>
      <c r="I68" s="39" t="s">
        <v>175</v>
      </c>
      <c r="J68" s="86">
        <v>9</v>
      </c>
      <c r="K68" s="39" t="s">
        <v>159</v>
      </c>
      <c r="L68" s="40" t="s">
        <v>116</v>
      </c>
      <c r="M68" s="41">
        <v>1</v>
      </c>
      <c r="N68" s="42">
        <f>IFERROR(VLOOKUP(V.sual_Data[[#This Row],[RESPONSABLE]],Listas!$D$3:$F$7,3,FALSE),0)</f>
        <v>17730.496453900709</v>
      </c>
      <c r="O68" s="34">
        <f t="shared" si="12"/>
        <v>17730.496453900709</v>
      </c>
      <c r="P68" s="42">
        <f>IFERROR((VLOOKUP(V.sual_Data[[#This Row],[RESPONSABLE]],Listas!$D$3:$K$7,5,FALSE))*V.sual_Data[[#This Row],[TIEMPO (HORAS)]],0)</f>
        <v>4221.5467747382636</v>
      </c>
      <c r="Q68" s="42">
        <f>IFERROR(+VLOOKUP(L68,V.sual_Lista_Data[[EQUIPO VISUAL]:[SOFTWARE 
VALOR HORA]],8,FALSE)*V.sual_Data[[#This Row],[TIEMPO (HORAS)]],"0")</f>
        <v>3410.8548871439834</v>
      </c>
      <c r="R68" s="43">
        <v>0</v>
      </c>
      <c r="S68" s="43">
        <v>0</v>
      </c>
      <c r="T68" s="3">
        <f t="shared" si="13"/>
        <v>25362.898115782955</v>
      </c>
      <c r="U68" s="15">
        <f>V.sual_Data[[#This Row],[TIEMPO (HORAS)]]*Gastos_Operativos[[#Totals],[GASTOS HORA]]</f>
        <v>27789.477072310401</v>
      </c>
      <c r="V68" s="3">
        <f>V.sual_Data[[#This Row],[COSTO 
DIRECTO ($COP)]]+V.sual_Data[[#This Row],[PRORRATEO GASTOS ($COP)]]</f>
        <v>53152.375188093356</v>
      </c>
      <c r="W68" s="44">
        <v>0.15</v>
      </c>
      <c r="X68" s="15">
        <f>V.sual_Data[[#This Row],[COSTOS OPERACIONALES ($COP)]]*V.sual_Data[[#This Row],[DESFASE (%)]]</f>
        <v>7972.8562782140034</v>
      </c>
      <c r="Y68" s="44">
        <v>0.3</v>
      </c>
      <c r="Z68" s="15">
        <f>+((V.sual_Data[[#This Row],[COSTOS OPERACIONALES ($COP)]]/(100%-V.sual_Data[[#This Row],[UTILIDAD (%)]])))-V.sual_Data[[#This Row],[COSTOS OPERACIONALES ($COP)]]</f>
        <v>22779.58936632573</v>
      </c>
      <c r="AA68" s="3">
        <f>+V.sual_Data[[#This Row],[COSTOS OPERACIONALES ($COP)]]+V.sual_Data[[#This Row],[DESFASE ($COP)]]+V.sual_Data[[#This Row],[UTILIDAD ($COP)]]</f>
        <v>83904.820832633093</v>
      </c>
      <c r="AB68" s="44">
        <v>0.05</v>
      </c>
      <c r="AC68" s="15">
        <f>+((V.sual_Data[[#This Row],[VALOR NETO ($COP)]]/(100%-V.sual_Data[[#This Row],[MÁRGEN DE NEGOCIACIÓN (%)]])))-V.sual_Data[[#This Row],[VALOR NETO ($COP)]]</f>
        <v>4416.0432017175335</v>
      </c>
      <c r="AD68" s="15">
        <f>+(V.sual_Data[[#This Row],[VALOR NETO ($COP)]]+V.sual_Data[[#This Row],[NEGOCIACIÓN ($COP)]])*1%</f>
        <v>883.20864034350632</v>
      </c>
      <c r="AE68" s="15">
        <f>+(V.sual_Data[[#This Row],[VALOR NETO ($COP)]]+V.sual_Data[[#This Row],[NEGOCIACIÓN ($COP)]])*1%</f>
        <v>883.20864034350632</v>
      </c>
      <c r="AF68" s="3">
        <f>+V.sual_Data[[#This Row],[VALOR NETO ($COP)]]+V.sual_Data[[#This Row],[4 * 1000 ($COP)]]+V.sual_Data[[#This Row],[ICA ($COP)]]+V.sual_Data[[#This Row],[NEGOCIACIÓN ($COP)]]</f>
        <v>90087.281315037646</v>
      </c>
    </row>
    <row r="69" spans="1:32" ht="60" hidden="1" customHeight="1" x14ac:dyDescent="0.25">
      <c r="A69" s="14"/>
      <c r="B69" s="37" t="s">
        <v>215</v>
      </c>
      <c r="C69" s="38" t="s">
        <v>216</v>
      </c>
      <c r="D69" s="38" t="s">
        <v>190</v>
      </c>
      <c r="E69" s="39" t="s">
        <v>217</v>
      </c>
      <c r="F69" s="38" t="s">
        <v>218</v>
      </c>
      <c r="G69" s="38" t="s">
        <v>219</v>
      </c>
      <c r="H69" s="40">
        <v>1</v>
      </c>
      <c r="I69" s="39" t="s">
        <v>148</v>
      </c>
      <c r="J69" s="86">
        <v>1</v>
      </c>
      <c r="K69" s="39" t="s">
        <v>220</v>
      </c>
      <c r="L69" s="40" t="s">
        <v>150</v>
      </c>
      <c r="M69" s="41">
        <v>5</v>
      </c>
      <c r="N69" s="42">
        <f>IFERROR(VLOOKUP(V.sual_Data[[#This Row],[RESPONSABLE]],Listas!$D$3:$F$7,3,FALSE),0)</f>
        <v>10000</v>
      </c>
      <c r="O69" s="34">
        <f t="shared" si="12"/>
        <v>50000</v>
      </c>
      <c r="P69" s="42">
        <f>IFERROR((VLOOKUP(V.sual_Data[[#This Row],[RESPONSABLE]],Listas!$D$3:$K$7,5,FALSE))*V.sual_Data[[#This Row],[TIEMPO (HORAS)]],0)</f>
        <v>16886.187098953054</v>
      </c>
      <c r="Q69" s="42">
        <f>IFERROR(+VLOOKUP(L69,V.sual_Lista_Data[[EQUIPO VISUAL]:[SOFTWARE 
VALOR HORA]],8,FALSE)*V.sual_Data[[#This Row],[TIEMPO (HORAS)]],"0")</f>
        <v>17054.274435719919</v>
      </c>
      <c r="R69" s="43">
        <v>0</v>
      </c>
      <c r="S69" s="43">
        <v>0</v>
      </c>
      <c r="T69" s="3">
        <f t="shared" si="13"/>
        <v>83940.46153467297</v>
      </c>
      <c r="U69" s="15">
        <f>V.sual_Data[[#This Row],[TIEMPO (HORAS)]]*Gastos_Operativos[[#Totals],[GASTOS HORA]]</f>
        <v>138947.38536155201</v>
      </c>
      <c r="V69" s="3">
        <f>V.sual_Data[[#This Row],[COSTO 
DIRECTO ($COP)]]+V.sual_Data[[#This Row],[PRORRATEO GASTOS ($COP)]]</f>
        <v>222887.84689622498</v>
      </c>
      <c r="W69" s="44">
        <v>0.15</v>
      </c>
      <c r="X69" s="15">
        <f>V.sual_Data[[#This Row],[COSTOS OPERACIONALES ($COP)]]*V.sual_Data[[#This Row],[DESFASE (%)]]</f>
        <v>33433.177034433742</v>
      </c>
      <c r="Y69" s="44">
        <v>0.3</v>
      </c>
      <c r="Z69" s="15">
        <f>+((V.sual_Data[[#This Row],[COSTOS OPERACIONALES ($COP)]]/(100%-V.sual_Data[[#This Row],[UTILIDAD (%)]])))-V.sual_Data[[#This Row],[COSTOS OPERACIONALES ($COP)]]</f>
        <v>95523.362955525023</v>
      </c>
      <c r="AA69" s="3">
        <f>+V.sual_Data[[#This Row],[COSTOS OPERACIONALES ($COP)]]+V.sual_Data[[#This Row],[DESFASE ($COP)]]+V.sual_Data[[#This Row],[UTILIDAD ($COP)]]</f>
        <v>351844.38688618375</v>
      </c>
      <c r="AB69" s="44">
        <v>0.05</v>
      </c>
      <c r="AC69" s="15">
        <f>+((V.sual_Data[[#This Row],[VALOR NETO ($COP)]]/(100%-V.sual_Data[[#This Row],[MÁRGEN DE NEGOCIACIÓN (%)]])))-V.sual_Data[[#This Row],[VALOR NETO ($COP)]]</f>
        <v>18518.12562558864</v>
      </c>
      <c r="AD69" s="15">
        <f>+(V.sual_Data[[#This Row],[VALOR NETO ($COP)]]+V.sual_Data[[#This Row],[NEGOCIACIÓN ($COP)]])*1%</f>
        <v>3703.6251251177241</v>
      </c>
      <c r="AE69" s="15">
        <f>+(V.sual_Data[[#This Row],[VALOR NETO ($COP)]]+V.sual_Data[[#This Row],[NEGOCIACIÓN ($COP)]])*1%</f>
        <v>3703.6251251177241</v>
      </c>
      <c r="AF69" s="3">
        <f>+V.sual_Data[[#This Row],[VALOR NETO ($COP)]]+V.sual_Data[[#This Row],[4 * 1000 ($COP)]]+V.sual_Data[[#This Row],[ICA ($COP)]]+V.sual_Data[[#This Row],[NEGOCIACIÓN ($COP)]]</f>
        <v>377769.76276200783</v>
      </c>
    </row>
    <row r="70" spans="1:32" ht="60" hidden="1" customHeight="1" x14ac:dyDescent="0.25">
      <c r="A70" s="14"/>
      <c r="B70" s="37" t="s">
        <v>215</v>
      </c>
      <c r="C70" s="38" t="s">
        <v>216</v>
      </c>
      <c r="D70" s="38" t="s">
        <v>190</v>
      </c>
      <c r="E70" s="39" t="s">
        <v>217</v>
      </c>
      <c r="F70" s="38" t="s">
        <v>218</v>
      </c>
      <c r="G70" s="38" t="s">
        <v>219</v>
      </c>
      <c r="H70" s="40">
        <v>1</v>
      </c>
      <c r="I70" s="39" t="s">
        <v>221</v>
      </c>
      <c r="J70" s="86">
        <v>2</v>
      </c>
      <c r="K70" s="39" t="s">
        <v>222</v>
      </c>
      <c r="L70" s="40" t="s">
        <v>116</v>
      </c>
      <c r="M70" s="41">
        <v>1</v>
      </c>
      <c r="N70" s="42">
        <f>IFERROR(VLOOKUP(V.sual_Data[[#This Row],[RESPONSABLE]],Listas!$D$3:$F$7,3,FALSE),0)</f>
        <v>17730.496453900709</v>
      </c>
      <c r="O70" s="34">
        <f t="shared" si="12"/>
        <v>17730.496453900709</v>
      </c>
      <c r="P70" s="42">
        <f>IFERROR((VLOOKUP(V.sual_Data[[#This Row],[RESPONSABLE]],Listas!$D$3:$K$7,5,FALSE))*V.sual_Data[[#This Row],[TIEMPO (HORAS)]],0)</f>
        <v>4221.5467747382636</v>
      </c>
      <c r="Q70" s="42">
        <f>IFERROR(+VLOOKUP(L70,V.sual_Lista_Data[[EQUIPO VISUAL]:[SOFTWARE 
VALOR HORA]],8,FALSE)*V.sual_Data[[#This Row],[TIEMPO (HORAS)]],"0")</f>
        <v>3410.8548871439834</v>
      </c>
      <c r="R70" s="43">
        <v>0</v>
      </c>
      <c r="S70" s="43">
        <v>0</v>
      </c>
      <c r="T70" s="3">
        <f t="shared" si="13"/>
        <v>25362.898115782955</v>
      </c>
      <c r="U70" s="15">
        <f>V.sual_Data[[#This Row],[TIEMPO (HORAS)]]*Gastos_Operativos[[#Totals],[GASTOS HORA]]</f>
        <v>27789.477072310401</v>
      </c>
      <c r="V70" s="3">
        <f>V.sual_Data[[#This Row],[COSTO 
DIRECTO ($COP)]]+V.sual_Data[[#This Row],[PRORRATEO GASTOS ($COP)]]</f>
        <v>53152.375188093356</v>
      </c>
      <c r="W70" s="44">
        <v>0.15</v>
      </c>
      <c r="X70" s="15">
        <f>V.sual_Data[[#This Row],[COSTOS OPERACIONALES ($COP)]]*V.sual_Data[[#This Row],[DESFASE (%)]]</f>
        <v>7972.8562782140034</v>
      </c>
      <c r="Y70" s="44">
        <v>0.3</v>
      </c>
      <c r="Z70" s="15">
        <f>+((V.sual_Data[[#This Row],[COSTOS OPERACIONALES ($COP)]]/(100%-V.sual_Data[[#This Row],[UTILIDAD (%)]])))-V.sual_Data[[#This Row],[COSTOS OPERACIONALES ($COP)]]</f>
        <v>22779.58936632573</v>
      </c>
      <c r="AA70" s="3">
        <f>+V.sual_Data[[#This Row],[COSTOS OPERACIONALES ($COP)]]+V.sual_Data[[#This Row],[DESFASE ($COP)]]+V.sual_Data[[#This Row],[UTILIDAD ($COP)]]</f>
        <v>83904.820832633093</v>
      </c>
      <c r="AB70" s="44">
        <v>0.05</v>
      </c>
      <c r="AC70" s="15">
        <f>+((V.sual_Data[[#This Row],[VALOR NETO ($COP)]]/(100%-V.sual_Data[[#This Row],[MÁRGEN DE NEGOCIACIÓN (%)]])))-V.sual_Data[[#This Row],[VALOR NETO ($COP)]]</f>
        <v>4416.0432017175335</v>
      </c>
      <c r="AD70" s="15">
        <f>+(V.sual_Data[[#This Row],[VALOR NETO ($COP)]]+V.sual_Data[[#This Row],[NEGOCIACIÓN ($COP)]])*1%</f>
        <v>883.20864034350632</v>
      </c>
      <c r="AE70" s="15">
        <f>+(V.sual_Data[[#This Row],[VALOR NETO ($COP)]]+V.sual_Data[[#This Row],[NEGOCIACIÓN ($COP)]])*1%</f>
        <v>883.20864034350632</v>
      </c>
      <c r="AF70" s="3">
        <f>+V.sual_Data[[#This Row],[VALOR NETO ($COP)]]+V.sual_Data[[#This Row],[4 * 1000 ($COP)]]+V.sual_Data[[#This Row],[ICA ($COP)]]+V.sual_Data[[#This Row],[NEGOCIACIÓN ($COP)]]</f>
        <v>90087.281315037646</v>
      </c>
    </row>
    <row r="71" spans="1:32" ht="60" hidden="1" customHeight="1" x14ac:dyDescent="0.25">
      <c r="A71" s="14"/>
      <c r="B71" s="37" t="s">
        <v>215</v>
      </c>
      <c r="C71" s="38" t="s">
        <v>216</v>
      </c>
      <c r="D71" s="38" t="s">
        <v>190</v>
      </c>
      <c r="E71" s="39" t="s">
        <v>217</v>
      </c>
      <c r="F71" s="38" t="s">
        <v>218</v>
      </c>
      <c r="G71" s="38" t="s">
        <v>219</v>
      </c>
      <c r="H71" s="40">
        <v>1</v>
      </c>
      <c r="I71" s="39" t="s">
        <v>223</v>
      </c>
      <c r="J71" s="86">
        <v>3</v>
      </c>
      <c r="K71" s="39" t="s">
        <v>224</v>
      </c>
      <c r="L71" s="40" t="s">
        <v>116</v>
      </c>
      <c r="M71" s="41">
        <v>4</v>
      </c>
      <c r="N71" s="42">
        <f>IFERROR(VLOOKUP(V.sual_Data[[#This Row],[RESPONSABLE]],Listas!$D$3:$F$7,3,FALSE),0)</f>
        <v>17730.496453900709</v>
      </c>
      <c r="O71" s="34">
        <f t="shared" si="12"/>
        <v>70921.985815602835</v>
      </c>
      <c r="P71" s="42">
        <f>IFERROR((VLOOKUP(V.sual_Data[[#This Row],[RESPONSABLE]],Listas!$D$3:$K$7,5,FALSE))*V.sual_Data[[#This Row],[TIEMPO (HORAS)]],0)</f>
        <v>16886.187098953054</v>
      </c>
      <c r="Q71" s="42">
        <f>IFERROR(+VLOOKUP(L71,V.sual_Lista_Data[[EQUIPO VISUAL]:[SOFTWARE 
VALOR HORA]],8,FALSE)*V.sual_Data[[#This Row],[TIEMPO (HORAS)]],"0")</f>
        <v>13643.419548575934</v>
      </c>
      <c r="R71" s="43">
        <v>0</v>
      </c>
      <c r="S71" s="43">
        <v>0</v>
      </c>
      <c r="T71" s="3">
        <f t="shared" si="13"/>
        <v>101451.59246313182</v>
      </c>
      <c r="U71" s="15">
        <f>V.sual_Data[[#This Row],[TIEMPO (HORAS)]]*Gastos_Operativos[[#Totals],[GASTOS HORA]]</f>
        <v>111157.9082892416</v>
      </c>
      <c r="V71" s="3">
        <f>V.sual_Data[[#This Row],[COSTO 
DIRECTO ($COP)]]+V.sual_Data[[#This Row],[PRORRATEO GASTOS ($COP)]]</f>
        <v>212609.50075237342</v>
      </c>
      <c r="W71" s="44">
        <v>0.15</v>
      </c>
      <c r="X71" s="15">
        <f>V.sual_Data[[#This Row],[COSTOS OPERACIONALES ($COP)]]*V.sual_Data[[#This Row],[DESFASE (%)]]</f>
        <v>31891.425112856014</v>
      </c>
      <c r="Y71" s="44">
        <v>0.3</v>
      </c>
      <c r="Z71" s="15">
        <f>+((V.sual_Data[[#This Row],[COSTOS OPERACIONALES ($COP)]]/(100%-V.sual_Data[[#This Row],[UTILIDAD (%)]])))-V.sual_Data[[#This Row],[COSTOS OPERACIONALES ($COP)]]</f>
        <v>91118.357465302921</v>
      </c>
      <c r="AA71" s="3">
        <f>+V.sual_Data[[#This Row],[COSTOS OPERACIONALES ($COP)]]+V.sual_Data[[#This Row],[DESFASE ($COP)]]+V.sual_Data[[#This Row],[UTILIDAD ($COP)]]</f>
        <v>335619.28333053237</v>
      </c>
      <c r="AB71" s="44">
        <v>0.05</v>
      </c>
      <c r="AC71" s="15">
        <f>+((V.sual_Data[[#This Row],[VALOR NETO ($COP)]]/(100%-V.sual_Data[[#This Row],[MÁRGEN DE NEGOCIACIÓN (%)]])))-V.sual_Data[[#This Row],[VALOR NETO ($COP)]]</f>
        <v>17664.172806870134</v>
      </c>
      <c r="AD71" s="15">
        <f>+(V.sual_Data[[#This Row],[VALOR NETO ($COP)]]+V.sual_Data[[#This Row],[NEGOCIACIÓN ($COP)]])*1%</f>
        <v>3532.8345613740253</v>
      </c>
      <c r="AE71" s="15">
        <f>+(V.sual_Data[[#This Row],[VALOR NETO ($COP)]]+V.sual_Data[[#This Row],[NEGOCIACIÓN ($COP)]])*1%</f>
        <v>3532.8345613740253</v>
      </c>
      <c r="AF71" s="3">
        <f>+V.sual_Data[[#This Row],[VALOR NETO ($COP)]]+V.sual_Data[[#This Row],[4 * 1000 ($COP)]]+V.sual_Data[[#This Row],[ICA ($COP)]]+V.sual_Data[[#This Row],[NEGOCIACIÓN ($COP)]]</f>
        <v>360349.12526015058</v>
      </c>
    </row>
    <row r="72" spans="1:32" ht="60" hidden="1" customHeight="1" x14ac:dyDescent="0.25">
      <c r="A72" s="14"/>
      <c r="B72" s="37" t="s">
        <v>215</v>
      </c>
      <c r="C72" s="38" t="s">
        <v>216</v>
      </c>
      <c r="D72" s="38" t="s">
        <v>190</v>
      </c>
      <c r="E72" s="39" t="s">
        <v>217</v>
      </c>
      <c r="F72" s="38" t="s">
        <v>218</v>
      </c>
      <c r="G72" s="38" t="s">
        <v>219</v>
      </c>
      <c r="H72" s="40">
        <v>1</v>
      </c>
      <c r="I72" s="39" t="s">
        <v>148</v>
      </c>
      <c r="J72" s="86">
        <v>4</v>
      </c>
      <c r="K72" s="39" t="s">
        <v>225</v>
      </c>
      <c r="L72" s="40" t="s">
        <v>116</v>
      </c>
      <c r="M72" s="41">
        <v>1</v>
      </c>
      <c r="N72" s="42">
        <f>IFERROR(VLOOKUP(V.sual_Data[[#This Row],[RESPONSABLE]],Listas!$D$3:$F$7,3,FALSE),0)</f>
        <v>17730.496453900709</v>
      </c>
      <c r="O72" s="34">
        <f t="shared" si="12"/>
        <v>17730.496453900709</v>
      </c>
      <c r="P72" s="42">
        <f>IFERROR((VLOOKUP(V.sual_Data[[#This Row],[RESPONSABLE]],Listas!$D$3:$K$7,5,FALSE))*V.sual_Data[[#This Row],[TIEMPO (HORAS)]],0)</f>
        <v>4221.5467747382636</v>
      </c>
      <c r="Q72" s="42">
        <f>IFERROR(+VLOOKUP(L72,V.sual_Lista_Data[[EQUIPO VISUAL]:[SOFTWARE 
VALOR HORA]],8,FALSE)*V.sual_Data[[#This Row],[TIEMPO (HORAS)]],"0")</f>
        <v>3410.8548871439834</v>
      </c>
      <c r="R72" s="43">
        <v>0</v>
      </c>
      <c r="S72" s="43">
        <v>0</v>
      </c>
      <c r="T72" s="3">
        <f t="shared" si="13"/>
        <v>25362.898115782955</v>
      </c>
      <c r="U72" s="15">
        <f>V.sual_Data[[#This Row],[TIEMPO (HORAS)]]*Gastos_Operativos[[#Totals],[GASTOS HORA]]</f>
        <v>27789.477072310401</v>
      </c>
      <c r="V72" s="3">
        <f>V.sual_Data[[#This Row],[COSTO 
DIRECTO ($COP)]]+V.sual_Data[[#This Row],[PRORRATEO GASTOS ($COP)]]</f>
        <v>53152.375188093356</v>
      </c>
      <c r="W72" s="44">
        <v>0.15</v>
      </c>
      <c r="X72" s="15">
        <f>V.sual_Data[[#This Row],[COSTOS OPERACIONALES ($COP)]]*V.sual_Data[[#This Row],[DESFASE (%)]]</f>
        <v>7972.8562782140034</v>
      </c>
      <c r="Y72" s="44">
        <v>0.3</v>
      </c>
      <c r="Z72" s="15">
        <f>+((V.sual_Data[[#This Row],[COSTOS OPERACIONALES ($COP)]]/(100%-V.sual_Data[[#This Row],[UTILIDAD (%)]])))-V.sual_Data[[#This Row],[COSTOS OPERACIONALES ($COP)]]</f>
        <v>22779.58936632573</v>
      </c>
      <c r="AA72" s="3">
        <f>+V.sual_Data[[#This Row],[COSTOS OPERACIONALES ($COP)]]+V.sual_Data[[#This Row],[DESFASE ($COP)]]+V.sual_Data[[#This Row],[UTILIDAD ($COP)]]</f>
        <v>83904.820832633093</v>
      </c>
      <c r="AB72" s="44">
        <v>0.05</v>
      </c>
      <c r="AC72" s="15">
        <f>+((V.sual_Data[[#This Row],[VALOR NETO ($COP)]]/(100%-V.sual_Data[[#This Row],[MÁRGEN DE NEGOCIACIÓN (%)]])))-V.sual_Data[[#This Row],[VALOR NETO ($COP)]]</f>
        <v>4416.0432017175335</v>
      </c>
      <c r="AD72" s="15">
        <f>+(V.sual_Data[[#This Row],[VALOR NETO ($COP)]]+V.sual_Data[[#This Row],[NEGOCIACIÓN ($COP)]])*1%</f>
        <v>883.20864034350632</v>
      </c>
      <c r="AE72" s="15">
        <f>+(V.sual_Data[[#This Row],[VALOR NETO ($COP)]]+V.sual_Data[[#This Row],[NEGOCIACIÓN ($COP)]])*1%</f>
        <v>883.20864034350632</v>
      </c>
      <c r="AF72" s="3">
        <f>+V.sual_Data[[#This Row],[VALOR NETO ($COP)]]+V.sual_Data[[#This Row],[4 * 1000 ($COP)]]+V.sual_Data[[#This Row],[ICA ($COP)]]+V.sual_Data[[#This Row],[NEGOCIACIÓN ($COP)]]</f>
        <v>90087.281315037646</v>
      </c>
    </row>
    <row r="73" spans="1:32" ht="60" hidden="1" customHeight="1" x14ac:dyDescent="0.25">
      <c r="A73" s="14"/>
      <c r="B73" s="37" t="s">
        <v>215</v>
      </c>
      <c r="C73" s="38" t="s">
        <v>216</v>
      </c>
      <c r="D73" s="38" t="s">
        <v>190</v>
      </c>
      <c r="E73" s="39" t="s">
        <v>217</v>
      </c>
      <c r="F73" s="38" t="s">
        <v>218</v>
      </c>
      <c r="G73" s="38" t="s">
        <v>219</v>
      </c>
      <c r="H73" s="40">
        <v>1</v>
      </c>
      <c r="I73" s="39" t="s">
        <v>226</v>
      </c>
      <c r="J73" s="86">
        <v>5</v>
      </c>
      <c r="K73" s="39" t="s">
        <v>227</v>
      </c>
      <c r="L73" s="40" t="s">
        <v>116</v>
      </c>
      <c r="M73" s="41">
        <v>0.5</v>
      </c>
      <c r="N73" s="42">
        <f>IFERROR(VLOOKUP(V.sual_Data[[#This Row],[RESPONSABLE]],Listas!$D$3:$F$7,3,FALSE),0)</f>
        <v>17730.496453900709</v>
      </c>
      <c r="O73" s="34">
        <f t="shared" si="12"/>
        <v>8865.2482269503544</v>
      </c>
      <c r="P73" s="42">
        <f>IFERROR((VLOOKUP(V.sual_Data[[#This Row],[RESPONSABLE]],Listas!$D$3:$K$7,5,FALSE))*V.sual_Data[[#This Row],[TIEMPO (HORAS)]],0)</f>
        <v>2110.7733873691318</v>
      </c>
      <c r="Q73" s="42">
        <f>IFERROR(+VLOOKUP(L73,V.sual_Lista_Data[[EQUIPO VISUAL]:[SOFTWARE 
VALOR HORA]],8,FALSE)*V.sual_Data[[#This Row],[TIEMPO (HORAS)]],"0")</f>
        <v>1705.4274435719917</v>
      </c>
      <c r="R73" s="43">
        <v>0</v>
      </c>
      <c r="S73" s="43">
        <v>0</v>
      </c>
      <c r="T73" s="3">
        <f t="shared" si="13"/>
        <v>12681.449057891477</v>
      </c>
      <c r="U73" s="15">
        <f>V.sual_Data[[#This Row],[TIEMPO (HORAS)]]*Gastos_Operativos[[#Totals],[GASTOS HORA]]</f>
        <v>13894.738536155201</v>
      </c>
      <c r="V73" s="3">
        <f>V.sual_Data[[#This Row],[COSTO 
DIRECTO ($COP)]]+V.sual_Data[[#This Row],[PRORRATEO GASTOS ($COP)]]</f>
        <v>26576.187594046678</v>
      </c>
      <c r="W73" s="44">
        <v>0.15</v>
      </c>
      <c r="X73" s="15">
        <f>V.sual_Data[[#This Row],[COSTOS OPERACIONALES ($COP)]]*V.sual_Data[[#This Row],[DESFASE (%)]]</f>
        <v>3986.4281391070017</v>
      </c>
      <c r="Y73" s="44">
        <v>0.3</v>
      </c>
      <c r="Z73" s="15">
        <f>+((V.sual_Data[[#This Row],[COSTOS OPERACIONALES ($COP)]]/(100%-V.sual_Data[[#This Row],[UTILIDAD (%)]])))-V.sual_Data[[#This Row],[COSTOS OPERACIONALES ($COP)]]</f>
        <v>11389.794683162865</v>
      </c>
      <c r="AA73" s="3">
        <f>+V.sual_Data[[#This Row],[COSTOS OPERACIONALES ($COP)]]+V.sual_Data[[#This Row],[DESFASE ($COP)]]+V.sual_Data[[#This Row],[UTILIDAD ($COP)]]</f>
        <v>41952.410416316547</v>
      </c>
      <c r="AB73" s="44">
        <v>0.05</v>
      </c>
      <c r="AC73" s="15">
        <f>+((V.sual_Data[[#This Row],[VALOR NETO ($COP)]]/(100%-V.sual_Data[[#This Row],[MÁRGEN DE NEGOCIACIÓN (%)]])))-V.sual_Data[[#This Row],[VALOR NETO ($COP)]]</f>
        <v>2208.0216008587668</v>
      </c>
      <c r="AD73" s="15">
        <f>+(V.sual_Data[[#This Row],[VALOR NETO ($COP)]]+V.sual_Data[[#This Row],[NEGOCIACIÓN ($COP)]])*1%</f>
        <v>441.60432017175316</v>
      </c>
      <c r="AE73" s="15">
        <f>+(V.sual_Data[[#This Row],[VALOR NETO ($COP)]]+V.sual_Data[[#This Row],[NEGOCIACIÓN ($COP)]])*1%</f>
        <v>441.60432017175316</v>
      </c>
      <c r="AF73" s="3">
        <f>+V.sual_Data[[#This Row],[VALOR NETO ($COP)]]+V.sual_Data[[#This Row],[4 * 1000 ($COP)]]+V.sual_Data[[#This Row],[ICA ($COP)]]+V.sual_Data[[#This Row],[NEGOCIACIÓN ($COP)]]</f>
        <v>45043.640657518823</v>
      </c>
    </row>
    <row r="74" spans="1:32" ht="60" hidden="1" customHeight="1" x14ac:dyDescent="0.25">
      <c r="A74" s="14"/>
      <c r="B74" s="37" t="s">
        <v>215</v>
      </c>
      <c r="C74" s="38" t="s">
        <v>216</v>
      </c>
      <c r="D74" s="38" t="s">
        <v>190</v>
      </c>
      <c r="E74" s="39" t="s">
        <v>217</v>
      </c>
      <c r="F74" s="38" t="s">
        <v>218</v>
      </c>
      <c r="G74" s="38" t="s">
        <v>219</v>
      </c>
      <c r="H74" s="40">
        <v>1</v>
      </c>
      <c r="I74" s="39" t="s">
        <v>226</v>
      </c>
      <c r="J74" s="86">
        <v>6</v>
      </c>
      <c r="K74" s="45" t="s">
        <v>228</v>
      </c>
      <c r="L74" s="40" t="s">
        <v>116</v>
      </c>
      <c r="M74" s="41">
        <v>5</v>
      </c>
      <c r="N74" s="42">
        <f>IFERROR(VLOOKUP(V.sual_Data[[#This Row],[RESPONSABLE]],Listas!$D$3:$F$7,3,FALSE),0)</f>
        <v>17730.496453900709</v>
      </c>
      <c r="O74" s="34">
        <f t="shared" si="12"/>
        <v>88652.48226950354</v>
      </c>
      <c r="P74" s="42">
        <f>IFERROR((VLOOKUP(V.sual_Data[[#This Row],[RESPONSABLE]],Listas!$D$3:$K$7,5,FALSE))*V.sual_Data[[#This Row],[TIEMPO (HORAS)]],0)</f>
        <v>21107.733873691319</v>
      </c>
      <c r="Q74" s="42">
        <f>IFERROR(+VLOOKUP(L74,V.sual_Lista_Data[[EQUIPO VISUAL]:[SOFTWARE 
VALOR HORA]],8,FALSE)*V.sual_Data[[#This Row],[TIEMPO (HORAS)]],"0")</f>
        <v>17054.274435719919</v>
      </c>
      <c r="R74" s="43">
        <v>0</v>
      </c>
      <c r="S74" s="43">
        <v>0</v>
      </c>
      <c r="T74" s="3">
        <f t="shared" si="13"/>
        <v>126814.49057891479</v>
      </c>
      <c r="U74" s="15">
        <f>V.sual_Data[[#This Row],[TIEMPO (HORAS)]]*Gastos_Operativos[[#Totals],[GASTOS HORA]]</f>
        <v>138947.38536155201</v>
      </c>
      <c r="V74" s="3">
        <f>V.sual_Data[[#This Row],[COSTO 
DIRECTO ($COP)]]+V.sual_Data[[#This Row],[PRORRATEO GASTOS ($COP)]]</f>
        <v>265761.87594046677</v>
      </c>
      <c r="W74" s="44">
        <v>0.15</v>
      </c>
      <c r="X74" s="15">
        <f>V.sual_Data[[#This Row],[COSTOS OPERACIONALES ($COP)]]*V.sual_Data[[#This Row],[DESFASE (%)]]</f>
        <v>39864.281391070013</v>
      </c>
      <c r="Y74" s="44">
        <v>0.3</v>
      </c>
      <c r="Z74" s="15">
        <f>+((V.sual_Data[[#This Row],[COSTOS OPERACIONALES ($COP)]]/(100%-V.sual_Data[[#This Row],[UTILIDAD (%)]])))-V.sual_Data[[#This Row],[COSTOS OPERACIONALES ($COP)]]</f>
        <v>113897.94683162862</v>
      </c>
      <c r="AA74" s="3">
        <f>+V.sual_Data[[#This Row],[COSTOS OPERACIONALES ($COP)]]+V.sual_Data[[#This Row],[DESFASE ($COP)]]+V.sual_Data[[#This Row],[UTILIDAD ($COP)]]</f>
        <v>419524.10416316538</v>
      </c>
      <c r="AB74" s="44">
        <v>0.05</v>
      </c>
      <c r="AC74" s="15">
        <f>+((V.sual_Data[[#This Row],[VALOR NETO ($COP)]]/(100%-V.sual_Data[[#This Row],[MÁRGEN DE NEGOCIACIÓN (%)]])))-V.sual_Data[[#This Row],[VALOR NETO ($COP)]]</f>
        <v>22080.216008587682</v>
      </c>
      <c r="AD74" s="15">
        <f>+(V.sual_Data[[#This Row],[VALOR NETO ($COP)]]+V.sual_Data[[#This Row],[NEGOCIACIÓN ($COP)]])*1%</f>
        <v>4416.0432017175308</v>
      </c>
      <c r="AE74" s="15">
        <f>+(V.sual_Data[[#This Row],[VALOR NETO ($COP)]]+V.sual_Data[[#This Row],[NEGOCIACIÓN ($COP)]])*1%</f>
        <v>4416.0432017175308</v>
      </c>
      <c r="AF74" s="3">
        <f>+V.sual_Data[[#This Row],[VALOR NETO ($COP)]]+V.sual_Data[[#This Row],[4 * 1000 ($COP)]]+V.sual_Data[[#This Row],[ICA ($COP)]]+V.sual_Data[[#This Row],[NEGOCIACIÓN ($COP)]]</f>
        <v>450436.40657518816</v>
      </c>
    </row>
    <row r="75" spans="1:32" ht="60" hidden="1" customHeight="1" x14ac:dyDescent="0.25">
      <c r="A75" s="14"/>
      <c r="B75" s="37" t="s">
        <v>215</v>
      </c>
      <c r="C75" s="38" t="s">
        <v>216</v>
      </c>
      <c r="D75" s="38" t="s">
        <v>190</v>
      </c>
      <c r="E75" s="39" t="s">
        <v>217</v>
      </c>
      <c r="F75" s="38" t="s">
        <v>218</v>
      </c>
      <c r="G75" s="38" t="s">
        <v>219</v>
      </c>
      <c r="H75" s="40">
        <v>1</v>
      </c>
      <c r="I75" s="39" t="s">
        <v>226</v>
      </c>
      <c r="J75" s="86">
        <v>7</v>
      </c>
      <c r="K75" s="45" t="s">
        <v>229</v>
      </c>
      <c r="L75" s="40" t="s">
        <v>116</v>
      </c>
      <c r="M75" s="41">
        <v>5</v>
      </c>
      <c r="N75" s="42">
        <f>IFERROR(VLOOKUP(V.sual_Data[[#This Row],[RESPONSABLE]],Listas!$D$3:$F$7,3,FALSE),0)</f>
        <v>17730.496453900709</v>
      </c>
      <c r="O75" s="34">
        <f t="shared" si="12"/>
        <v>88652.48226950354</v>
      </c>
      <c r="P75" s="42">
        <f>IFERROR((VLOOKUP(V.sual_Data[[#This Row],[RESPONSABLE]],Listas!$D$3:$K$7,5,FALSE))*V.sual_Data[[#This Row],[TIEMPO (HORAS)]],0)</f>
        <v>21107.733873691319</v>
      </c>
      <c r="Q75" s="42">
        <f>IFERROR(+VLOOKUP(L75,V.sual_Lista_Data[[EQUIPO VISUAL]:[SOFTWARE 
VALOR HORA]],8,FALSE)*V.sual_Data[[#This Row],[TIEMPO (HORAS)]],"0")</f>
        <v>17054.274435719919</v>
      </c>
      <c r="R75" s="43">
        <v>0</v>
      </c>
      <c r="S75" s="43">
        <v>0</v>
      </c>
      <c r="T75" s="3">
        <f t="shared" si="13"/>
        <v>126814.49057891479</v>
      </c>
      <c r="U75" s="15">
        <f>V.sual_Data[[#This Row],[TIEMPO (HORAS)]]*Gastos_Operativos[[#Totals],[GASTOS HORA]]</f>
        <v>138947.38536155201</v>
      </c>
      <c r="V75" s="3">
        <f>V.sual_Data[[#This Row],[COSTO 
DIRECTO ($COP)]]+V.sual_Data[[#This Row],[PRORRATEO GASTOS ($COP)]]</f>
        <v>265761.87594046677</v>
      </c>
      <c r="W75" s="44">
        <v>0.15</v>
      </c>
      <c r="X75" s="15">
        <f>V.sual_Data[[#This Row],[COSTOS OPERACIONALES ($COP)]]*V.sual_Data[[#This Row],[DESFASE (%)]]</f>
        <v>39864.281391070013</v>
      </c>
      <c r="Y75" s="44">
        <v>0.3</v>
      </c>
      <c r="Z75" s="15">
        <f>+((V.sual_Data[[#This Row],[COSTOS OPERACIONALES ($COP)]]/(100%-V.sual_Data[[#This Row],[UTILIDAD (%)]])))-V.sual_Data[[#This Row],[COSTOS OPERACIONALES ($COP)]]</f>
        <v>113897.94683162862</v>
      </c>
      <c r="AA75" s="3">
        <f>+V.sual_Data[[#This Row],[COSTOS OPERACIONALES ($COP)]]+V.sual_Data[[#This Row],[DESFASE ($COP)]]+V.sual_Data[[#This Row],[UTILIDAD ($COP)]]</f>
        <v>419524.10416316538</v>
      </c>
      <c r="AB75" s="44">
        <v>0.05</v>
      </c>
      <c r="AC75" s="15">
        <f>+((V.sual_Data[[#This Row],[VALOR NETO ($COP)]]/(100%-V.sual_Data[[#This Row],[MÁRGEN DE NEGOCIACIÓN (%)]])))-V.sual_Data[[#This Row],[VALOR NETO ($COP)]]</f>
        <v>22080.216008587682</v>
      </c>
      <c r="AD75" s="15">
        <f>+(V.sual_Data[[#This Row],[VALOR NETO ($COP)]]+V.sual_Data[[#This Row],[NEGOCIACIÓN ($COP)]])*1%</f>
        <v>4416.0432017175308</v>
      </c>
      <c r="AE75" s="15">
        <f>+(V.sual_Data[[#This Row],[VALOR NETO ($COP)]]+V.sual_Data[[#This Row],[NEGOCIACIÓN ($COP)]])*1%</f>
        <v>4416.0432017175308</v>
      </c>
      <c r="AF75" s="3">
        <f>+V.sual_Data[[#This Row],[VALOR NETO ($COP)]]+V.sual_Data[[#This Row],[4 * 1000 ($COP)]]+V.sual_Data[[#This Row],[ICA ($COP)]]+V.sual_Data[[#This Row],[NEGOCIACIÓN ($COP)]]</f>
        <v>450436.40657518816</v>
      </c>
    </row>
    <row r="76" spans="1:32" ht="60" hidden="1" customHeight="1" x14ac:dyDescent="0.25">
      <c r="A76" s="14"/>
      <c r="B76" s="37" t="s">
        <v>215</v>
      </c>
      <c r="C76" s="38" t="s">
        <v>216</v>
      </c>
      <c r="D76" s="38" t="s">
        <v>190</v>
      </c>
      <c r="E76" s="39" t="s">
        <v>217</v>
      </c>
      <c r="F76" s="38" t="s">
        <v>218</v>
      </c>
      <c r="G76" s="38" t="s">
        <v>219</v>
      </c>
      <c r="H76" s="40">
        <v>1</v>
      </c>
      <c r="I76" s="39" t="s">
        <v>226</v>
      </c>
      <c r="J76" s="86">
        <v>8</v>
      </c>
      <c r="K76" s="45" t="s">
        <v>230</v>
      </c>
      <c r="L76" s="40" t="s">
        <v>116</v>
      </c>
      <c r="M76" s="41">
        <v>1</v>
      </c>
      <c r="N76" s="42">
        <f>IFERROR(VLOOKUP(V.sual_Data[[#This Row],[RESPONSABLE]],Listas!$D$3:$F$7,3,FALSE),0)</f>
        <v>17730.496453900709</v>
      </c>
      <c r="O76" s="34">
        <f t="shared" si="12"/>
        <v>17730.496453900709</v>
      </c>
      <c r="P76" s="42">
        <f>IFERROR((VLOOKUP(V.sual_Data[[#This Row],[RESPONSABLE]],Listas!$D$3:$K$7,5,FALSE))*V.sual_Data[[#This Row],[TIEMPO (HORAS)]],0)</f>
        <v>4221.5467747382636</v>
      </c>
      <c r="Q76" s="42">
        <f>IFERROR(+VLOOKUP(L76,V.sual_Lista_Data[[EQUIPO VISUAL]:[SOFTWARE 
VALOR HORA]],8,FALSE)*V.sual_Data[[#This Row],[TIEMPO (HORAS)]],"0")</f>
        <v>3410.8548871439834</v>
      </c>
      <c r="R76" s="43">
        <v>0</v>
      </c>
      <c r="S76" s="43">
        <v>0</v>
      </c>
      <c r="T76" s="3">
        <f t="shared" si="13"/>
        <v>25362.898115782955</v>
      </c>
      <c r="U76" s="15">
        <f>V.sual_Data[[#This Row],[TIEMPO (HORAS)]]*Gastos_Operativos[[#Totals],[GASTOS HORA]]</f>
        <v>27789.477072310401</v>
      </c>
      <c r="V76" s="3">
        <f>V.sual_Data[[#This Row],[COSTO 
DIRECTO ($COP)]]+V.sual_Data[[#This Row],[PRORRATEO GASTOS ($COP)]]</f>
        <v>53152.375188093356</v>
      </c>
      <c r="W76" s="44">
        <v>0.15</v>
      </c>
      <c r="X76" s="15">
        <f>V.sual_Data[[#This Row],[COSTOS OPERACIONALES ($COP)]]*V.sual_Data[[#This Row],[DESFASE (%)]]</f>
        <v>7972.8562782140034</v>
      </c>
      <c r="Y76" s="44">
        <v>0.3</v>
      </c>
      <c r="Z76" s="15">
        <f>+((V.sual_Data[[#This Row],[COSTOS OPERACIONALES ($COP)]]/(100%-V.sual_Data[[#This Row],[UTILIDAD (%)]])))-V.sual_Data[[#This Row],[COSTOS OPERACIONALES ($COP)]]</f>
        <v>22779.58936632573</v>
      </c>
      <c r="AA76" s="3">
        <f>+V.sual_Data[[#This Row],[COSTOS OPERACIONALES ($COP)]]+V.sual_Data[[#This Row],[DESFASE ($COP)]]+V.sual_Data[[#This Row],[UTILIDAD ($COP)]]</f>
        <v>83904.820832633093</v>
      </c>
      <c r="AB76" s="44">
        <v>0.05</v>
      </c>
      <c r="AC76" s="15">
        <f>+((V.sual_Data[[#This Row],[VALOR NETO ($COP)]]/(100%-V.sual_Data[[#This Row],[MÁRGEN DE NEGOCIACIÓN (%)]])))-V.sual_Data[[#This Row],[VALOR NETO ($COP)]]</f>
        <v>4416.0432017175335</v>
      </c>
      <c r="AD76" s="15">
        <f>+(V.sual_Data[[#This Row],[VALOR NETO ($COP)]]+V.sual_Data[[#This Row],[NEGOCIACIÓN ($COP)]])*1%</f>
        <v>883.20864034350632</v>
      </c>
      <c r="AE76" s="15">
        <f>+(V.sual_Data[[#This Row],[VALOR NETO ($COP)]]+V.sual_Data[[#This Row],[NEGOCIACIÓN ($COP)]])*1%</f>
        <v>883.20864034350632</v>
      </c>
      <c r="AF76" s="3">
        <f>+V.sual_Data[[#This Row],[VALOR NETO ($COP)]]+V.sual_Data[[#This Row],[4 * 1000 ($COP)]]+V.sual_Data[[#This Row],[ICA ($COP)]]+V.sual_Data[[#This Row],[NEGOCIACIÓN ($COP)]]</f>
        <v>90087.281315037646</v>
      </c>
    </row>
    <row r="77" spans="1:32" ht="60" hidden="1" customHeight="1" x14ac:dyDescent="0.25">
      <c r="A77" s="14"/>
      <c r="B77" s="37" t="s">
        <v>215</v>
      </c>
      <c r="C77" s="38" t="s">
        <v>216</v>
      </c>
      <c r="D77" s="38" t="s">
        <v>190</v>
      </c>
      <c r="E77" s="39" t="s">
        <v>217</v>
      </c>
      <c r="F77" s="38" t="s">
        <v>218</v>
      </c>
      <c r="G77" s="38" t="s">
        <v>219</v>
      </c>
      <c r="H77" s="40">
        <v>1</v>
      </c>
      <c r="I77" s="39" t="s">
        <v>231</v>
      </c>
      <c r="J77" s="86">
        <v>9</v>
      </c>
      <c r="K77" s="39" t="s">
        <v>232</v>
      </c>
      <c r="L77" s="40" t="s">
        <v>116</v>
      </c>
      <c r="M77" s="41">
        <v>3</v>
      </c>
      <c r="N77" s="42">
        <f>IFERROR(VLOOKUP(V.sual_Data[[#This Row],[RESPONSABLE]],Listas!$D$3:$F$7,3,FALSE),0)</f>
        <v>17730.496453900709</v>
      </c>
      <c r="O77" s="34">
        <f t="shared" si="12"/>
        <v>53191.48936170213</v>
      </c>
      <c r="P77" s="42">
        <f>IFERROR((VLOOKUP(V.sual_Data[[#This Row],[RESPONSABLE]],Listas!$D$3:$K$7,5,FALSE))*V.sual_Data[[#This Row],[TIEMPO (HORAS)]],0)</f>
        <v>12664.64032421479</v>
      </c>
      <c r="Q77" s="42">
        <f>IFERROR(+VLOOKUP(L77,V.sual_Lista_Data[[EQUIPO VISUAL]:[SOFTWARE 
VALOR HORA]],8,FALSE)*V.sual_Data[[#This Row],[TIEMPO (HORAS)]],"0")</f>
        <v>10232.56466143195</v>
      </c>
      <c r="R77" s="43">
        <v>0</v>
      </c>
      <c r="S77" s="43">
        <v>0</v>
      </c>
      <c r="T77" s="3">
        <f t="shared" si="13"/>
        <v>76088.694347348879</v>
      </c>
      <c r="U77" s="15">
        <f>V.sual_Data[[#This Row],[TIEMPO (HORAS)]]*Gastos_Operativos[[#Totals],[GASTOS HORA]]</f>
        <v>83368.431216931203</v>
      </c>
      <c r="V77" s="3">
        <f>V.sual_Data[[#This Row],[COSTO 
DIRECTO ($COP)]]+V.sual_Data[[#This Row],[PRORRATEO GASTOS ($COP)]]</f>
        <v>159457.12556428008</v>
      </c>
      <c r="W77" s="44">
        <v>0.15</v>
      </c>
      <c r="X77" s="15">
        <f>V.sual_Data[[#This Row],[COSTOS OPERACIONALES ($COP)]]*V.sual_Data[[#This Row],[DESFASE (%)]]</f>
        <v>23918.56883464201</v>
      </c>
      <c r="Y77" s="44">
        <v>0.3</v>
      </c>
      <c r="Z77" s="15">
        <f>+((V.sual_Data[[#This Row],[COSTOS OPERACIONALES ($COP)]]/(100%-V.sual_Data[[#This Row],[UTILIDAD (%)]])))-V.sual_Data[[#This Row],[COSTOS OPERACIONALES ($COP)]]</f>
        <v>68338.768098977191</v>
      </c>
      <c r="AA77" s="3">
        <f>+V.sual_Data[[#This Row],[COSTOS OPERACIONALES ($COP)]]+V.sual_Data[[#This Row],[DESFASE ($COP)]]+V.sual_Data[[#This Row],[UTILIDAD ($COP)]]</f>
        <v>251714.46249789928</v>
      </c>
      <c r="AB77" s="44">
        <v>0.05</v>
      </c>
      <c r="AC77" s="15">
        <f>+((V.sual_Data[[#This Row],[VALOR NETO ($COP)]]/(100%-V.sual_Data[[#This Row],[MÁRGEN DE NEGOCIACIÓN (%)]])))-V.sual_Data[[#This Row],[VALOR NETO ($COP)]]</f>
        <v>13248.129605152615</v>
      </c>
      <c r="AD77" s="15">
        <f>+(V.sual_Data[[#This Row],[VALOR NETO ($COP)]]+V.sual_Data[[#This Row],[NEGOCIACIÓN ($COP)]])*1%</f>
        <v>2649.6259210305188</v>
      </c>
      <c r="AE77" s="15">
        <f>+(V.sual_Data[[#This Row],[VALOR NETO ($COP)]]+V.sual_Data[[#This Row],[NEGOCIACIÓN ($COP)]])*1%</f>
        <v>2649.6259210305188</v>
      </c>
      <c r="AF77" s="3">
        <f>+V.sual_Data[[#This Row],[VALOR NETO ($COP)]]+V.sual_Data[[#This Row],[4 * 1000 ($COP)]]+V.sual_Data[[#This Row],[ICA ($COP)]]+V.sual_Data[[#This Row],[NEGOCIACIÓN ($COP)]]</f>
        <v>270261.84394511295</v>
      </c>
    </row>
    <row r="78" spans="1:32" ht="60" hidden="1" customHeight="1" x14ac:dyDescent="0.25">
      <c r="A78" s="14"/>
      <c r="B78" s="37" t="s">
        <v>215</v>
      </c>
      <c r="C78" s="38" t="s">
        <v>216</v>
      </c>
      <c r="D78" s="38" t="s">
        <v>190</v>
      </c>
      <c r="E78" s="39" t="s">
        <v>217</v>
      </c>
      <c r="F78" s="38" t="s">
        <v>218</v>
      </c>
      <c r="G78" s="38" t="s">
        <v>219</v>
      </c>
      <c r="H78" s="40">
        <v>1</v>
      </c>
      <c r="I78" s="39" t="s">
        <v>221</v>
      </c>
      <c r="J78" s="86">
        <v>10</v>
      </c>
      <c r="K78" s="39" t="s">
        <v>233</v>
      </c>
      <c r="L78" s="40" t="s">
        <v>116</v>
      </c>
      <c r="M78" s="41">
        <v>3</v>
      </c>
      <c r="N78" s="42">
        <f>IFERROR(VLOOKUP(V.sual_Data[[#This Row],[RESPONSABLE]],Listas!$D$3:$F$7,3,FALSE),0)</f>
        <v>17730.496453900709</v>
      </c>
      <c r="O78" s="34">
        <f t="shared" si="12"/>
        <v>53191.48936170213</v>
      </c>
      <c r="P78" s="42">
        <f>IFERROR((VLOOKUP(V.sual_Data[[#This Row],[RESPONSABLE]],Listas!$D$3:$K$7,5,FALSE))*V.sual_Data[[#This Row],[TIEMPO (HORAS)]],0)</f>
        <v>12664.64032421479</v>
      </c>
      <c r="Q78" s="42">
        <f>IFERROR(+VLOOKUP(L78,V.sual_Lista_Data[[EQUIPO VISUAL]:[SOFTWARE 
VALOR HORA]],8,FALSE)*V.sual_Data[[#This Row],[TIEMPO (HORAS)]],"0")</f>
        <v>10232.56466143195</v>
      </c>
      <c r="R78" s="43">
        <v>0</v>
      </c>
      <c r="S78" s="43">
        <v>0</v>
      </c>
      <c r="T78" s="3">
        <f t="shared" si="13"/>
        <v>76088.694347348879</v>
      </c>
      <c r="U78" s="15">
        <f>V.sual_Data[[#This Row],[TIEMPO (HORAS)]]*Gastos_Operativos[[#Totals],[GASTOS HORA]]</f>
        <v>83368.431216931203</v>
      </c>
      <c r="V78" s="3">
        <f>V.sual_Data[[#This Row],[COSTO 
DIRECTO ($COP)]]+V.sual_Data[[#This Row],[PRORRATEO GASTOS ($COP)]]</f>
        <v>159457.12556428008</v>
      </c>
      <c r="W78" s="44">
        <v>0.15</v>
      </c>
      <c r="X78" s="15">
        <f>V.sual_Data[[#This Row],[COSTOS OPERACIONALES ($COP)]]*V.sual_Data[[#This Row],[DESFASE (%)]]</f>
        <v>23918.56883464201</v>
      </c>
      <c r="Y78" s="44">
        <v>0.3</v>
      </c>
      <c r="Z78" s="15">
        <f>+((V.sual_Data[[#This Row],[COSTOS OPERACIONALES ($COP)]]/(100%-V.sual_Data[[#This Row],[UTILIDAD (%)]])))-V.sual_Data[[#This Row],[COSTOS OPERACIONALES ($COP)]]</f>
        <v>68338.768098977191</v>
      </c>
      <c r="AA78" s="3">
        <f>+V.sual_Data[[#This Row],[COSTOS OPERACIONALES ($COP)]]+V.sual_Data[[#This Row],[DESFASE ($COP)]]+V.sual_Data[[#This Row],[UTILIDAD ($COP)]]</f>
        <v>251714.46249789928</v>
      </c>
      <c r="AB78" s="44">
        <v>0.05</v>
      </c>
      <c r="AC78" s="15">
        <f>+((V.sual_Data[[#This Row],[VALOR NETO ($COP)]]/(100%-V.sual_Data[[#This Row],[MÁRGEN DE NEGOCIACIÓN (%)]])))-V.sual_Data[[#This Row],[VALOR NETO ($COP)]]</f>
        <v>13248.129605152615</v>
      </c>
      <c r="AD78" s="15">
        <f>+(V.sual_Data[[#This Row],[VALOR NETO ($COP)]]+V.sual_Data[[#This Row],[NEGOCIACIÓN ($COP)]])*1%</f>
        <v>2649.6259210305188</v>
      </c>
      <c r="AE78" s="15">
        <f>+(V.sual_Data[[#This Row],[VALOR NETO ($COP)]]+V.sual_Data[[#This Row],[NEGOCIACIÓN ($COP)]])*1%</f>
        <v>2649.6259210305188</v>
      </c>
      <c r="AF78" s="3">
        <f>+V.sual_Data[[#This Row],[VALOR NETO ($COP)]]+V.sual_Data[[#This Row],[4 * 1000 ($COP)]]+V.sual_Data[[#This Row],[ICA ($COP)]]+V.sual_Data[[#This Row],[NEGOCIACIÓN ($COP)]]</f>
        <v>270261.84394511295</v>
      </c>
    </row>
    <row r="79" spans="1:32" ht="60" hidden="1" customHeight="1" x14ac:dyDescent="0.25">
      <c r="A79" s="14"/>
      <c r="B79" s="37" t="s">
        <v>215</v>
      </c>
      <c r="C79" s="38" t="s">
        <v>216</v>
      </c>
      <c r="D79" s="38" t="s">
        <v>190</v>
      </c>
      <c r="E79" s="39" t="s">
        <v>217</v>
      </c>
      <c r="F79" s="38" t="s">
        <v>218</v>
      </c>
      <c r="G79" s="38" t="s">
        <v>219</v>
      </c>
      <c r="H79" s="40">
        <v>1</v>
      </c>
      <c r="I79" s="39" t="s">
        <v>148</v>
      </c>
      <c r="J79" s="86">
        <v>11</v>
      </c>
      <c r="K79" s="39" t="s">
        <v>159</v>
      </c>
      <c r="L79" s="40" t="s">
        <v>116</v>
      </c>
      <c r="M79" s="41">
        <v>1</v>
      </c>
      <c r="N79" s="42">
        <f>IFERROR(VLOOKUP(V.sual_Data[[#This Row],[RESPONSABLE]],Listas!$D$3:$F$7,3,FALSE),0)</f>
        <v>17730.496453900709</v>
      </c>
      <c r="O79" s="34">
        <f t="shared" si="12"/>
        <v>17730.496453900709</v>
      </c>
      <c r="P79" s="42">
        <f>IFERROR((VLOOKUP(V.sual_Data[[#This Row],[RESPONSABLE]],Listas!$D$3:$K$7,5,FALSE))*V.sual_Data[[#This Row],[TIEMPO (HORAS)]],0)</f>
        <v>4221.5467747382636</v>
      </c>
      <c r="Q79" s="42">
        <f>IFERROR(+VLOOKUP(L79,V.sual_Lista_Data[[EQUIPO VISUAL]:[SOFTWARE 
VALOR HORA]],8,FALSE)*V.sual_Data[[#This Row],[TIEMPO (HORAS)]],"0")</f>
        <v>3410.8548871439834</v>
      </c>
      <c r="R79" s="43">
        <v>0</v>
      </c>
      <c r="S79" s="43">
        <v>0</v>
      </c>
      <c r="T79" s="3">
        <f t="shared" si="13"/>
        <v>25362.898115782955</v>
      </c>
      <c r="U79" s="15">
        <f>V.sual_Data[[#This Row],[TIEMPO (HORAS)]]*Gastos_Operativos[[#Totals],[GASTOS HORA]]</f>
        <v>27789.477072310401</v>
      </c>
      <c r="V79" s="3">
        <f>V.sual_Data[[#This Row],[COSTO 
DIRECTO ($COP)]]+V.sual_Data[[#This Row],[PRORRATEO GASTOS ($COP)]]</f>
        <v>53152.375188093356</v>
      </c>
      <c r="W79" s="44">
        <v>0.15</v>
      </c>
      <c r="X79" s="15">
        <f>V.sual_Data[[#This Row],[COSTOS OPERACIONALES ($COP)]]*V.sual_Data[[#This Row],[DESFASE (%)]]</f>
        <v>7972.8562782140034</v>
      </c>
      <c r="Y79" s="44">
        <v>0.3</v>
      </c>
      <c r="Z79" s="15">
        <f>+((V.sual_Data[[#This Row],[COSTOS OPERACIONALES ($COP)]]/(100%-V.sual_Data[[#This Row],[UTILIDAD (%)]])))-V.sual_Data[[#This Row],[COSTOS OPERACIONALES ($COP)]]</f>
        <v>22779.58936632573</v>
      </c>
      <c r="AA79" s="3">
        <f>+V.sual_Data[[#This Row],[COSTOS OPERACIONALES ($COP)]]+V.sual_Data[[#This Row],[DESFASE ($COP)]]+V.sual_Data[[#This Row],[UTILIDAD ($COP)]]</f>
        <v>83904.820832633093</v>
      </c>
      <c r="AB79" s="44">
        <v>0.05</v>
      </c>
      <c r="AC79" s="15">
        <f>+((V.sual_Data[[#This Row],[VALOR NETO ($COP)]]/(100%-V.sual_Data[[#This Row],[MÁRGEN DE NEGOCIACIÓN (%)]])))-V.sual_Data[[#This Row],[VALOR NETO ($COP)]]</f>
        <v>4416.0432017175335</v>
      </c>
      <c r="AD79" s="15">
        <f>+(V.sual_Data[[#This Row],[VALOR NETO ($COP)]]+V.sual_Data[[#This Row],[NEGOCIACIÓN ($COP)]])*1%</f>
        <v>883.20864034350632</v>
      </c>
      <c r="AE79" s="15">
        <f>+(V.sual_Data[[#This Row],[VALOR NETO ($COP)]]+V.sual_Data[[#This Row],[NEGOCIACIÓN ($COP)]])*1%</f>
        <v>883.20864034350632</v>
      </c>
      <c r="AF79" s="3">
        <f>+V.sual_Data[[#This Row],[VALOR NETO ($COP)]]+V.sual_Data[[#This Row],[4 * 1000 ($COP)]]+V.sual_Data[[#This Row],[ICA ($COP)]]+V.sual_Data[[#This Row],[NEGOCIACIÓN ($COP)]]</f>
        <v>90087.281315037646</v>
      </c>
    </row>
    <row r="80" spans="1:32" ht="60" hidden="1" customHeight="1" x14ac:dyDescent="0.25">
      <c r="A80" s="14"/>
      <c r="B80" s="37" t="s">
        <v>234</v>
      </c>
      <c r="C80" s="38" t="s">
        <v>216</v>
      </c>
      <c r="D80" s="38" t="s">
        <v>190</v>
      </c>
      <c r="E80" s="39" t="s">
        <v>235</v>
      </c>
      <c r="F80" s="38" t="s">
        <v>218</v>
      </c>
      <c r="G80" s="38" t="s">
        <v>219</v>
      </c>
      <c r="H80" s="40">
        <v>1</v>
      </c>
      <c r="I80" s="39" t="s">
        <v>236</v>
      </c>
      <c r="J80" s="86">
        <v>1</v>
      </c>
      <c r="K80" s="45" t="s">
        <v>237</v>
      </c>
      <c r="L80" s="40" t="s">
        <v>119</v>
      </c>
      <c r="M80" s="41">
        <v>0.5</v>
      </c>
      <c r="N80" s="42">
        <f>IFERROR(VLOOKUP(V.sual_Data[[#This Row],[RESPONSABLE]],Listas!$D$3:$F$7,3,FALSE),0)</f>
        <v>15197.568389057751</v>
      </c>
      <c r="O80" s="34">
        <f t="shared" si="12"/>
        <v>7598.7841945288756</v>
      </c>
      <c r="P80" s="42">
        <f>IFERROR((VLOOKUP(V.sual_Data[[#This Row],[RESPONSABLE]],Listas!$D$3:$K$7,5,FALSE))*V.sual_Data[[#This Row],[TIEMPO (HORAS)]],0)</f>
        <v>1794.1573792637626</v>
      </c>
      <c r="Q80" s="42">
        <f>IFERROR(+VLOOKUP(L80,V.sual_Lista_Data[[EQUIPO VISUAL]:[SOFTWARE 
VALOR HORA]],8,FALSE)*V.sual_Data[[#This Row],[TIEMPO (HORAS)]],"0")</f>
        <v>1705.4274435719917</v>
      </c>
      <c r="R80" s="43">
        <v>0</v>
      </c>
      <c r="S80" s="43">
        <v>0</v>
      </c>
      <c r="T80" s="3">
        <f t="shared" si="13"/>
        <v>11098.369017364628</v>
      </c>
      <c r="U80" s="15">
        <f>V.sual_Data[[#This Row],[TIEMPO (HORAS)]]*Gastos_Operativos[[#Totals],[GASTOS HORA]]</f>
        <v>13894.738536155201</v>
      </c>
      <c r="V80" s="3">
        <f>V.sual_Data[[#This Row],[COSTO 
DIRECTO ($COP)]]+V.sual_Data[[#This Row],[PRORRATEO GASTOS ($COP)]]</f>
        <v>24993.107553519829</v>
      </c>
      <c r="W80" s="44">
        <v>0.1</v>
      </c>
      <c r="X80" s="15">
        <f>V.sual_Data[[#This Row],[COSTOS OPERACIONALES ($COP)]]*V.sual_Data[[#This Row],[DESFASE (%)]]</f>
        <v>2499.3107553519831</v>
      </c>
      <c r="Y80" s="44">
        <v>0.6</v>
      </c>
      <c r="Z80" s="15">
        <f>+((V.sual_Data[[#This Row],[COSTOS OPERACIONALES ($COP)]]/(100%-V.sual_Data[[#This Row],[UTILIDAD (%)]])))-V.sual_Data[[#This Row],[COSTOS OPERACIONALES ($COP)]]</f>
        <v>37489.661330279734</v>
      </c>
      <c r="AA80" s="3">
        <f>+V.sual_Data[[#This Row],[COSTOS OPERACIONALES ($COP)]]+V.sual_Data[[#This Row],[DESFASE ($COP)]]+V.sual_Data[[#This Row],[UTILIDAD ($COP)]]</f>
        <v>64982.079639151547</v>
      </c>
      <c r="AB80" s="44">
        <v>0.05</v>
      </c>
      <c r="AC80" s="15">
        <f>+((V.sual_Data[[#This Row],[VALOR NETO ($COP)]]/(100%-V.sual_Data[[#This Row],[MÁRGEN DE NEGOCIACIÓN (%)]])))-V.sual_Data[[#This Row],[VALOR NETO ($COP)]]</f>
        <v>3420.1094546921959</v>
      </c>
      <c r="AD80" s="15">
        <f>+(V.sual_Data[[#This Row],[VALOR NETO ($COP)]]+V.sual_Data[[#This Row],[NEGOCIACIÓN ($COP)]])*1%</f>
        <v>684.02189093843742</v>
      </c>
      <c r="AE80" s="15">
        <f>+(V.sual_Data[[#This Row],[VALOR NETO ($COP)]]+V.sual_Data[[#This Row],[NEGOCIACIÓN ($COP)]])*1%</f>
        <v>684.02189093843742</v>
      </c>
      <c r="AF80" s="3">
        <f>+V.sual_Data[[#This Row],[VALOR NETO ($COP)]]+V.sual_Data[[#This Row],[4 * 1000 ($COP)]]+V.sual_Data[[#This Row],[ICA ($COP)]]+V.sual_Data[[#This Row],[NEGOCIACIÓN ($COP)]]</f>
        <v>69770.232875720627</v>
      </c>
    </row>
    <row r="81" spans="1:32" ht="60" hidden="1" customHeight="1" x14ac:dyDescent="0.25">
      <c r="A81" s="14"/>
      <c r="B81" s="37" t="s">
        <v>234</v>
      </c>
      <c r="C81" s="38" t="s">
        <v>216</v>
      </c>
      <c r="D81" s="38" t="s">
        <v>190</v>
      </c>
      <c r="E81" s="39" t="s">
        <v>235</v>
      </c>
      <c r="F81" s="38" t="s">
        <v>218</v>
      </c>
      <c r="G81" s="38" t="s">
        <v>219</v>
      </c>
      <c r="H81" s="40">
        <v>1</v>
      </c>
      <c r="I81" s="39" t="s">
        <v>238</v>
      </c>
      <c r="J81" s="86">
        <v>2</v>
      </c>
      <c r="K81" s="256" t="s">
        <v>239</v>
      </c>
      <c r="L81" s="40" t="s">
        <v>119</v>
      </c>
      <c r="M81" s="41">
        <v>0.5</v>
      </c>
      <c r="N81" s="42">
        <f>IFERROR(VLOOKUP(V.sual_Data[[#This Row],[RESPONSABLE]],Listas!$D$3:$F$7,3,FALSE),0)</f>
        <v>15197.568389057751</v>
      </c>
      <c r="O81" s="34">
        <f t="shared" si="12"/>
        <v>7598.7841945288756</v>
      </c>
      <c r="P81" s="42">
        <f>IFERROR((VLOOKUP(V.sual_Data[[#This Row],[RESPONSABLE]],Listas!$D$3:$K$7,5,FALSE))*V.sual_Data[[#This Row],[TIEMPO (HORAS)]],0)</f>
        <v>1794.1573792637626</v>
      </c>
      <c r="Q81" s="42">
        <f>IFERROR(+VLOOKUP(L81,V.sual_Lista_Data[[EQUIPO VISUAL]:[SOFTWARE 
VALOR HORA]],8,FALSE)*V.sual_Data[[#This Row],[TIEMPO (HORAS)]],"0")</f>
        <v>1705.4274435719917</v>
      </c>
      <c r="R81" s="43">
        <v>0</v>
      </c>
      <c r="S81" s="43">
        <v>0</v>
      </c>
      <c r="T81" s="3">
        <f t="shared" si="13"/>
        <v>11098.369017364628</v>
      </c>
      <c r="U81" s="15">
        <f>V.sual_Data[[#This Row],[TIEMPO (HORAS)]]*Gastos_Operativos[[#Totals],[GASTOS HORA]]</f>
        <v>13894.738536155201</v>
      </c>
      <c r="V81" s="3">
        <f>V.sual_Data[[#This Row],[COSTO 
DIRECTO ($COP)]]+V.sual_Data[[#This Row],[PRORRATEO GASTOS ($COP)]]</f>
        <v>24993.107553519829</v>
      </c>
      <c r="W81" s="44">
        <v>0.1</v>
      </c>
      <c r="X81" s="15">
        <f>V.sual_Data[[#This Row],[COSTOS OPERACIONALES ($COP)]]*V.sual_Data[[#This Row],[DESFASE (%)]]</f>
        <v>2499.3107553519831</v>
      </c>
      <c r="Y81" s="44">
        <v>0.6</v>
      </c>
      <c r="Z81" s="15">
        <f>+((V.sual_Data[[#This Row],[COSTOS OPERACIONALES ($COP)]]/(100%-V.sual_Data[[#This Row],[UTILIDAD (%)]])))-V.sual_Data[[#This Row],[COSTOS OPERACIONALES ($COP)]]</f>
        <v>37489.661330279734</v>
      </c>
      <c r="AA81" s="3">
        <f>+V.sual_Data[[#This Row],[COSTOS OPERACIONALES ($COP)]]+V.sual_Data[[#This Row],[DESFASE ($COP)]]+V.sual_Data[[#This Row],[UTILIDAD ($COP)]]</f>
        <v>64982.079639151547</v>
      </c>
      <c r="AB81" s="44">
        <v>0.05</v>
      </c>
      <c r="AC81" s="15">
        <f>+((V.sual_Data[[#This Row],[VALOR NETO ($COP)]]/(100%-V.sual_Data[[#This Row],[MÁRGEN DE NEGOCIACIÓN (%)]])))-V.sual_Data[[#This Row],[VALOR NETO ($COP)]]</f>
        <v>3420.1094546921959</v>
      </c>
      <c r="AD81" s="15">
        <f>+(V.sual_Data[[#This Row],[VALOR NETO ($COP)]]+V.sual_Data[[#This Row],[NEGOCIACIÓN ($COP)]])*1%</f>
        <v>684.02189093843742</v>
      </c>
      <c r="AE81" s="15">
        <f>+(V.sual_Data[[#This Row],[VALOR NETO ($COP)]]+V.sual_Data[[#This Row],[NEGOCIACIÓN ($COP)]])*1%</f>
        <v>684.02189093843742</v>
      </c>
      <c r="AF81" s="3">
        <f>+V.sual_Data[[#This Row],[VALOR NETO ($COP)]]+V.sual_Data[[#This Row],[4 * 1000 ($COP)]]+V.sual_Data[[#This Row],[ICA ($COP)]]+V.sual_Data[[#This Row],[NEGOCIACIÓN ($COP)]]</f>
        <v>69770.232875720627</v>
      </c>
    </row>
    <row r="82" spans="1:32" ht="60" hidden="1" customHeight="1" x14ac:dyDescent="0.25">
      <c r="A82" s="14"/>
      <c r="B82" s="37" t="s">
        <v>234</v>
      </c>
      <c r="C82" s="38" t="s">
        <v>216</v>
      </c>
      <c r="D82" s="38" t="s">
        <v>190</v>
      </c>
      <c r="E82" s="39" t="s">
        <v>235</v>
      </c>
      <c r="F82" s="38" t="s">
        <v>218</v>
      </c>
      <c r="G82" s="38" t="s">
        <v>219</v>
      </c>
      <c r="H82" s="40">
        <v>1</v>
      </c>
      <c r="I82" s="39" t="s">
        <v>240</v>
      </c>
      <c r="J82" s="86">
        <v>3</v>
      </c>
      <c r="K82" s="45" t="s">
        <v>241</v>
      </c>
      <c r="L82" s="40" t="s">
        <v>119</v>
      </c>
      <c r="M82" s="41">
        <v>0.7</v>
      </c>
      <c r="N82" s="42">
        <f>IFERROR(VLOOKUP(V.sual_Data[[#This Row],[RESPONSABLE]],Listas!$D$3:$F$7,3,FALSE),0)</f>
        <v>15197.568389057751</v>
      </c>
      <c r="O82" s="34">
        <f t="shared" si="12"/>
        <v>10638.297872340425</v>
      </c>
      <c r="P82" s="42">
        <f>IFERROR((VLOOKUP(V.sual_Data[[#This Row],[RESPONSABLE]],Listas!$D$3:$K$7,5,FALSE))*V.sual_Data[[#This Row],[TIEMPO (HORAS)]],0)</f>
        <v>2511.8203309692676</v>
      </c>
      <c r="Q82" s="42">
        <f>IFERROR(+VLOOKUP(L82,V.sual_Lista_Data[[EQUIPO VISUAL]:[SOFTWARE 
VALOR HORA]],8,FALSE)*V.sual_Data[[#This Row],[TIEMPO (HORAS)]],"0")</f>
        <v>2387.5984210007882</v>
      </c>
      <c r="R82" s="43">
        <v>80000</v>
      </c>
      <c r="S82" s="43">
        <v>0</v>
      </c>
      <c r="T82" s="3">
        <f t="shared" si="13"/>
        <v>95537.716624310473</v>
      </c>
      <c r="U82" s="15">
        <f>V.sual_Data[[#This Row],[TIEMPO (HORAS)]]*Gastos_Operativos[[#Totals],[GASTOS HORA]]</f>
        <v>19452.633950617281</v>
      </c>
      <c r="V82" s="3">
        <f>V.sual_Data[[#This Row],[COSTO 
DIRECTO ($COP)]]+V.sual_Data[[#This Row],[PRORRATEO GASTOS ($COP)]]</f>
        <v>114990.35057492775</v>
      </c>
      <c r="W82" s="44">
        <v>0.1</v>
      </c>
      <c r="X82" s="15">
        <f>V.sual_Data[[#This Row],[COSTOS OPERACIONALES ($COP)]]*V.sual_Data[[#This Row],[DESFASE (%)]]</f>
        <v>11499.035057492776</v>
      </c>
      <c r="Y82" s="44">
        <v>0.6</v>
      </c>
      <c r="Z82" s="15">
        <f>+((V.sual_Data[[#This Row],[COSTOS OPERACIONALES ($COP)]]/(100%-V.sual_Data[[#This Row],[UTILIDAD (%)]])))-V.sual_Data[[#This Row],[COSTOS OPERACIONALES ($COP)]]</f>
        <v>172485.52586239163</v>
      </c>
      <c r="AA82" s="3">
        <f>+V.sual_Data[[#This Row],[COSTOS OPERACIONALES ($COP)]]+V.sual_Data[[#This Row],[DESFASE ($COP)]]+V.sual_Data[[#This Row],[UTILIDAD ($COP)]]</f>
        <v>298974.91149481217</v>
      </c>
      <c r="AB82" s="44">
        <v>0.05</v>
      </c>
      <c r="AC82" s="15">
        <f>+((V.sual_Data[[#This Row],[VALOR NETO ($COP)]]/(100%-V.sual_Data[[#This Row],[MÁRGEN DE NEGOCIACIÓN (%)]])))-V.sual_Data[[#This Row],[VALOR NETO ($COP)]]</f>
        <v>15735.521657621721</v>
      </c>
      <c r="AD82" s="15">
        <f>+(V.sual_Data[[#This Row],[VALOR NETO ($COP)]]+V.sual_Data[[#This Row],[NEGOCIACIÓN ($COP)]])*1%</f>
        <v>3147.1043315243392</v>
      </c>
      <c r="AE82" s="15">
        <f>+(V.sual_Data[[#This Row],[VALOR NETO ($COP)]]+V.sual_Data[[#This Row],[NEGOCIACIÓN ($COP)]])*1%</f>
        <v>3147.1043315243392</v>
      </c>
      <c r="AF82" s="3">
        <f>+V.sual_Data[[#This Row],[VALOR NETO ($COP)]]+V.sual_Data[[#This Row],[4 * 1000 ($COP)]]+V.sual_Data[[#This Row],[ICA ($COP)]]+V.sual_Data[[#This Row],[NEGOCIACIÓN ($COP)]]</f>
        <v>321004.64181548258</v>
      </c>
    </row>
    <row r="83" spans="1:32" ht="60" hidden="1" customHeight="1" x14ac:dyDescent="0.25">
      <c r="A83" s="14"/>
      <c r="B83" s="37" t="s">
        <v>234</v>
      </c>
      <c r="C83" s="38" t="s">
        <v>216</v>
      </c>
      <c r="D83" s="38" t="s">
        <v>190</v>
      </c>
      <c r="E83" s="39" t="s">
        <v>235</v>
      </c>
      <c r="F83" s="38" t="s">
        <v>218</v>
      </c>
      <c r="G83" s="38" t="s">
        <v>219</v>
      </c>
      <c r="H83" s="40">
        <v>1</v>
      </c>
      <c r="I83" s="39" t="s">
        <v>240</v>
      </c>
      <c r="J83" s="86">
        <v>4</v>
      </c>
      <c r="K83" s="45" t="s">
        <v>242</v>
      </c>
      <c r="L83" s="40" t="s">
        <v>119</v>
      </c>
      <c r="M83" s="41">
        <v>0.5</v>
      </c>
      <c r="N83" s="42">
        <f>IFERROR(VLOOKUP(V.sual_Data[[#This Row],[RESPONSABLE]],Listas!$D$3:$F$7,3,FALSE),0)</f>
        <v>15197.568389057751</v>
      </c>
      <c r="O83" s="34">
        <f t="shared" si="12"/>
        <v>7598.7841945288756</v>
      </c>
      <c r="P83" s="42">
        <f>IFERROR((VLOOKUP(V.sual_Data[[#This Row],[RESPONSABLE]],Listas!$D$3:$K$7,5,FALSE))*V.sual_Data[[#This Row],[TIEMPO (HORAS)]],0)</f>
        <v>1794.1573792637626</v>
      </c>
      <c r="Q83" s="42">
        <f>IFERROR(+VLOOKUP(L83,V.sual_Lista_Data[[EQUIPO VISUAL]:[SOFTWARE 
VALOR HORA]],8,FALSE)*V.sual_Data[[#This Row],[TIEMPO (HORAS)]],"0")</f>
        <v>1705.4274435719917</v>
      </c>
      <c r="R83" s="43">
        <v>0</v>
      </c>
      <c r="S83" s="43">
        <v>0</v>
      </c>
      <c r="T83" s="3">
        <f t="shared" si="13"/>
        <v>11098.369017364628</v>
      </c>
      <c r="U83" s="15">
        <f>V.sual_Data[[#This Row],[TIEMPO (HORAS)]]*Gastos_Operativos[[#Totals],[GASTOS HORA]]</f>
        <v>13894.738536155201</v>
      </c>
      <c r="V83" s="3">
        <f>V.sual_Data[[#This Row],[COSTO 
DIRECTO ($COP)]]+V.sual_Data[[#This Row],[PRORRATEO GASTOS ($COP)]]</f>
        <v>24993.107553519829</v>
      </c>
      <c r="W83" s="44">
        <v>0.1</v>
      </c>
      <c r="X83" s="15">
        <f>V.sual_Data[[#This Row],[COSTOS OPERACIONALES ($COP)]]*V.sual_Data[[#This Row],[DESFASE (%)]]</f>
        <v>2499.3107553519831</v>
      </c>
      <c r="Y83" s="44">
        <v>0.6</v>
      </c>
      <c r="Z83" s="15">
        <f>+((V.sual_Data[[#This Row],[COSTOS OPERACIONALES ($COP)]]/(100%-V.sual_Data[[#This Row],[UTILIDAD (%)]])))-V.sual_Data[[#This Row],[COSTOS OPERACIONALES ($COP)]]</f>
        <v>37489.661330279734</v>
      </c>
      <c r="AA83" s="3">
        <f>+V.sual_Data[[#This Row],[COSTOS OPERACIONALES ($COP)]]+V.sual_Data[[#This Row],[DESFASE ($COP)]]+V.sual_Data[[#This Row],[UTILIDAD ($COP)]]</f>
        <v>64982.079639151547</v>
      </c>
      <c r="AB83" s="44">
        <v>0.05</v>
      </c>
      <c r="AC83" s="15">
        <f>+((V.sual_Data[[#This Row],[VALOR NETO ($COP)]]/(100%-V.sual_Data[[#This Row],[MÁRGEN DE NEGOCIACIÓN (%)]])))-V.sual_Data[[#This Row],[VALOR NETO ($COP)]]</f>
        <v>3420.1094546921959</v>
      </c>
      <c r="AD83" s="15">
        <f>+(V.sual_Data[[#This Row],[VALOR NETO ($COP)]]+V.sual_Data[[#This Row],[NEGOCIACIÓN ($COP)]])*1%</f>
        <v>684.02189093843742</v>
      </c>
      <c r="AE83" s="15">
        <f>+(V.sual_Data[[#This Row],[VALOR NETO ($COP)]]+V.sual_Data[[#This Row],[NEGOCIACIÓN ($COP)]])*1%</f>
        <v>684.02189093843742</v>
      </c>
      <c r="AF83" s="3">
        <f>+V.sual_Data[[#This Row],[VALOR NETO ($COP)]]+V.sual_Data[[#This Row],[4 * 1000 ($COP)]]+V.sual_Data[[#This Row],[ICA ($COP)]]+V.sual_Data[[#This Row],[NEGOCIACIÓN ($COP)]]</f>
        <v>69770.232875720627</v>
      </c>
    </row>
    <row r="84" spans="1:32" ht="60" hidden="1" customHeight="1" x14ac:dyDescent="0.25">
      <c r="A84" s="14"/>
      <c r="B84" s="37" t="s">
        <v>243</v>
      </c>
      <c r="C84" s="38" t="s">
        <v>216</v>
      </c>
      <c r="D84" s="38" t="s">
        <v>190</v>
      </c>
      <c r="E84" s="39" t="s">
        <v>244</v>
      </c>
      <c r="F84" s="38" t="s">
        <v>218</v>
      </c>
      <c r="G84" s="38" t="s">
        <v>219</v>
      </c>
      <c r="H84" s="40">
        <v>1</v>
      </c>
      <c r="I84" s="39" t="s">
        <v>236</v>
      </c>
      <c r="J84" s="86">
        <v>1</v>
      </c>
      <c r="K84" s="45" t="s">
        <v>237</v>
      </c>
      <c r="L84" s="40" t="s">
        <v>119</v>
      </c>
      <c r="M84" s="41">
        <v>1</v>
      </c>
      <c r="N84" s="42">
        <f>IFERROR(VLOOKUP(V.sual_Data[[#This Row],[RESPONSABLE]],Listas!$D$3:$F$7,3,FALSE),0)</f>
        <v>15197.568389057751</v>
      </c>
      <c r="O84" s="34">
        <f t="shared" ref="O84:O87" si="16">+N84*M84</f>
        <v>15197.568389057751</v>
      </c>
      <c r="P84" s="42">
        <f>IFERROR((VLOOKUP(V.sual_Data[[#This Row],[RESPONSABLE]],Listas!$D$3:$K$7,5,FALSE))*V.sual_Data[[#This Row],[TIEMPO (HORAS)]],0)</f>
        <v>3588.3147585275251</v>
      </c>
      <c r="Q84" s="42">
        <f>IFERROR(+VLOOKUP(L84,V.sual_Lista_Data[[EQUIPO VISUAL]:[SOFTWARE 
VALOR HORA]],8,FALSE)*V.sual_Data[[#This Row],[TIEMPO (HORAS)]],"0")</f>
        <v>3410.8548871439834</v>
      </c>
      <c r="R84" s="43">
        <v>0</v>
      </c>
      <c r="S84" s="43">
        <v>0</v>
      </c>
      <c r="T84" s="3">
        <f t="shared" ref="T84:T87" si="17">SUM(O84:S84)</f>
        <v>22196.738034729256</v>
      </c>
      <c r="U84" s="15">
        <f>V.sual_Data[[#This Row],[TIEMPO (HORAS)]]*Gastos_Operativos[[#Totals],[GASTOS HORA]]</f>
        <v>27789.477072310401</v>
      </c>
      <c r="V84" s="3">
        <f>V.sual_Data[[#This Row],[COSTO 
DIRECTO ($COP)]]+V.sual_Data[[#This Row],[PRORRATEO GASTOS ($COP)]]</f>
        <v>49986.215107039658</v>
      </c>
      <c r="W84" s="44">
        <v>0.1</v>
      </c>
      <c r="X84" s="15">
        <f>V.sual_Data[[#This Row],[COSTOS OPERACIONALES ($COP)]]*V.sual_Data[[#This Row],[DESFASE (%)]]</f>
        <v>4998.6215107039661</v>
      </c>
      <c r="Y84" s="44">
        <v>0.4</v>
      </c>
      <c r="Z84" s="15">
        <f>+((V.sual_Data[[#This Row],[COSTOS OPERACIONALES ($COP)]]/(100%-V.sual_Data[[#This Row],[UTILIDAD (%)]])))-V.sual_Data[[#This Row],[COSTOS OPERACIONALES ($COP)]]</f>
        <v>33324.143404693103</v>
      </c>
      <c r="AA84" s="3">
        <f>+V.sual_Data[[#This Row],[COSTOS OPERACIONALES ($COP)]]+V.sual_Data[[#This Row],[DESFASE ($COP)]]+V.sual_Data[[#This Row],[UTILIDAD ($COP)]]</f>
        <v>88308.980022436735</v>
      </c>
      <c r="AB84" s="44">
        <v>0.05</v>
      </c>
      <c r="AC84" s="15">
        <f>+((V.sual_Data[[#This Row],[VALOR NETO ($COP)]]/(100%-V.sual_Data[[#This Row],[MÁRGEN DE NEGOCIACIÓN (%)]])))-V.sual_Data[[#This Row],[VALOR NETO ($COP)]]</f>
        <v>4647.841053812459</v>
      </c>
      <c r="AD84" s="15">
        <f>+(V.sual_Data[[#This Row],[VALOR NETO ($COP)]]+V.sual_Data[[#This Row],[NEGOCIACIÓN ($COP)]])*1%</f>
        <v>929.56821076249196</v>
      </c>
      <c r="AE84" s="15">
        <f>+(V.sual_Data[[#This Row],[VALOR NETO ($COP)]]+V.sual_Data[[#This Row],[NEGOCIACIÓN ($COP)]])*1%</f>
        <v>929.56821076249196</v>
      </c>
      <c r="AF84" s="3">
        <f>+V.sual_Data[[#This Row],[VALOR NETO ($COP)]]+V.sual_Data[[#This Row],[4 * 1000 ($COP)]]+V.sual_Data[[#This Row],[ICA ($COP)]]+V.sual_Data[[#This Row],[NEGOCIACIÓN ($COP)]]</f>
        <v>94815.957497774172</v>
      </c>
    </row>
    <row r="85" spans="1:32" ht="60" hidden="1" customHeight="1" x14ac:dyDescent="0.25">
      <c r="A85" s="14"/>
      <c r="B85" s="37" t="s">
        <v>243</v>
      </c>
      <c r="C85" s="38" t="s">
        <v>216</v>
      </c>
      <c r="D85" s="38" t="s">
        <v>190</v>
      </c>
      <c r="E85" s="39" t="s">
        <v>244</v>
      </c>
      <c r="F85" s="38" t="s">
        <v>218</v>
      </c>
      <c r="G85" s="38" t="s">
        <v>219</v>
      </c>
      <c r="H85" s="40">
        <v>1</v>
      </c>
      <c r="I85" s="39" t="s">
        <v>238</v>
      </c>
      <c r="J85" s="86">
        <v>2</v>
      </c>
      <c r="K85" s="256" t="s">
        <v>239</v>
      </c>
      <c r="L85" s="40" t="s">
        <v>119</v>
      </c>
      <c r="M85" s="41">
        <v>3</v>
      </c>
      <c r="N85" s="42">
        <f>IFERROR(VLOOKUP(V.sual_Data[[#This Row],[RESPONSABLE]],Listas!$D$3:$F$7,3,FALSE),0)</f>
        <v>15197.568389057751</v>
      </c>
      <c r="O85" s="34">
        <f t="shared" si="16"/>
        <v>45592.705167173255</v>
      </c>
      <c r="P85" s="42">
        <f>IFERROR((VLOOKUP(V.sual_Data[[#This Row],[RESPONSABLE]],Listas!$D$3:$K$7,5,FALSE))*V.sual_Data[[#This Row],[TIEMPO (HORAS)]],0)</f>
        <v>10764.944275582575</v>
      </c>
      <c r="Q85" s="42">
        <f>IFERROR(+VLOOKUP(L85,V.sual_Lista_Data[[EQUIPO VISUAL]:[SOFTWARE 
VALOR HORA]],8,FALSE)*V.sual_Data[[#This Row],[TIEMPO (HORAS)]],"0")</f>
        <v>10232.56466143195</v>
      </c>
      <c r="R85" s="43">
        <v>0</v>
      </c>
      <c r="S85" s="43">
        <v>0</v>
      </c>
      <c r="T85" s="3">
        <f t="shared" si="17"/>
        <v>66590.214104187777</v>
      </c>
      <c r="U85" s="15">
        <f>V.sual_Data[[#This Row],[TIEMPO (HORAS)]]*Gastos_Operativos[[#Totals],[GASTOS HORA]]</f>
        <v>83368.431216931203</v>
      </c>
      <c r="V85" s="3">
        <f>V.sual_Data[[#This Row],[COSTO 
DIRECTO ($COP)]]+V.sual_Data[[#This Row],[PRORRATEO GASTOS ($COP)]]</f>
        <v>149958.64532111899</v>
      </c>
      <c r="W85" s="44">
        <v>0.1</v>
      </c>
      <c r="X85" s="15">
        <f>V.sual_Data[[#This Row],[COSTOS OPERACIONALES ($COP)]]*V.sual_Data[[#This Row],[DESFASE (%)]]</f>
        <v>14995.8645321119</v>
      </c>
      <c r="Y85" s="44">
        <v>0.4</v>
      </c>
      <c r="Z85" s="15">
        <f>+((V.sual_Data[[#This Row],[COSTOS OPERACIONALES ($COP)]]/(100%-V.sual_Data[[#This Row],[UTILIDAD (%)]])))-V.sual_Data[[#This Row],[COSTOS OPERACIONALES ($COP)]]</f>
        <v>99972.43021407933</v>
      </c>
      <c r="AA85" s="3">
        <f>+V.sual_Data[[#This Row],[COSTOS OPERACIONALES ($COP)]]+V.sual_Data[[#This Row],[DESFASE ($COP)]]+V.sual_Data[[#This Row],[UTILIDAD ($COP)]]</f>
        <v>264926.94006731024</v>
      </c>
      <c r="AB85" s="44">
        <v>0.05</v>
      </c>
      <c r="AC85" s="15">
        <f>+((V.sual_Data[[#This Row],[VALOR NETO ($COP)]]/(100%-V.sual_Data[[#This Row],[MÁRGEN DE NEGOCIACIÓN (%)]])))-V.sual_Data[[#This Row],[VALOR NETO ($COP)]]</f>
        <v>13943.523161437421</v>
      </c>
      <c r="AD85" s="15">
        <f>+(V.sual_Data[[#This Row],[VALOR NETO ($COP)]]+V.sual_Data[[#This Row],[NEGOCIACIÓN ($COP)]])*1%</f>
        <v>2788.7046322874767</v>
      </c>
      <c r="AE85" s="15">
        <f>+(V.sual_Data[[#This Row],[VALOR NETO ($COP)]]+V.sual_Data[[#This Row],[NEGOCIACIÓN ($COP)]])*1%</f>
        <v>2788.7046322874767</v>
      </c>
      <c r="AF85" s="3">
        <f>+V.sual_Data[[#This Row],[VALOR NETO ($COP)]]+V.sual_Data[[#This Row],[4 * 1000 ($COP)]]+V.sual_Data[[#This Row],[ICA ($COP)]]+V.sual_Data[[#This Row],[NEGOCIACIÓN ($COP)]]</f>
        <v>284447.87249332265</v>
      </c>
    </row>
    <row r="86" spans="1:32" ht="60" hidden="1" customHeight="1" x14ac:dyDescent="0.25">
      <c r="A86" s="14"/>
      <c r="B86" s="37" t="s">
        <v>243</v>
      </c>
      <c r="C86" s="38" t="s">
        <v>216</v>
      </c>
      <c r="D86" s="38" t="s">
        <v>190</v>
      </c>
      <c r="E86" s="39" t="s">
        <v>244</v>
      </c>
      <c r="F86" s="38" t="s">
        <v>245</v>
      </c>
      <c r="G86" s="38" t="s">
        <v>219</v>
      </c>
      <c r="H86" s="40">
        <v>1</v>
      </c>
      <c r="I86" s="39" t="s">
        <v>240</v>
      </c>
      <c r="J86" s="86">
        <v>3</v>
      </c>
      <c r="K86" s="45" t="s">
        <v>246</v>
      </c>
      <c r="L86" s="40" t="s">
        <v>119</v>
      </c>
      <c r="M86" s="41">
        <v>4</v>
      </c>
      <c r="N86" s="42">
        <f>IFERROR(VLOOKUP(V.sual_Data[[#This Row],[RESPONSABLE]],Listas!$D$3:$F$7,3,FALSE),0)</f>
        <v>15197.568389057751</v>
      </c>
      <c r="O86" s="34">
        <f t="shared" si="16"/>
        <v>60790.273556231004</v>
      </c>
      <c r="P86" s="42">
        <f>IFERROR((VLOOKUP(V.sual_Data[[#This Row],[RESPONSABLE]],Listas!$D$3:$K$7,5,FALSE))*V.sual_Data[[#This Row],[TIEMPO (HORAS)]],0)</f>
        <v>14353.2590341101</v>
      </c>
      <c r="Q86" s="42">
        <f>IFERROR(+VLOOKUP(L86,V.sual_Lista_Data[[EQUIPO VISUAL]:[SOFTWARE 
VALOR HORA]],8,FALSE)*V.sual_Data[[#This Row],[TIEMPO (HORAS)]],"0")</f>
        <v>13643.419548575934</v>
      </c>
      <c r="R86" s="43">
        <v>80000</v>
      </c>
      <c r="S86" s="43">
        <v>0</v>
      </c>
      <c r="T86" s="3">
        <f t="shared" si="17"/>
        <v>168786.95213891703</v>
      </c>
      <c r="U86" s="15">
        <f>V.sual_Data[[#This Row],[TIEMPO (HORAS)]]*Gastos_Operativos[[#Totals],[GASTOS HORA]]</f>
        <v>111157.9082892416</v>
      </c>
      <c r="V86" s="3">
        <f>V.sual_Data[[#This Row],[COSTO 
DIRECTO ($COP)]]+V.sual_Data[[#This Row],[PRORRATEO GASTOS ($COP)]]</f>
        <v>279944.86042815866</v>
      </c>
      <c r="W86" s="44">
        <v>0.1</v>
      </c>
      <c r="X86" s="15">
        <f>V.sual_Data[[#This Row],[COSTOS OPERACIONALES ($COP)]]*V.sual_Data[[#This Row],[DESFASE (%)]]</f>
        <v>27994.486042815868</v>
      </c>
      <c r="Y86" s="44">
        <v>0.4</v>
      </c>
      <c r="Z86" s="15">
        <f>+((V.sual_Data[[#This Row],[COSTOS OPERACIONALES ($COP)]]/(100%-V.sual_Data[[#This Row],[UTILIDAD (%)]])))-V.sual_Data[[#This Row],[COSTOS OPERACIONALES ($COP)]]</f>
        <v>186629.90695210581</v>
      </c>
      <c r="AA86" s="3">
        <f>+V.sual_Data[[#This Row],[COSTOS OPERACIONALES ($COP)]]+V.sual_Data[[#This Row],[DESFASE ($COP)]]+V.sual_Data[[#This Row],[UTILIDAD ($COP)]]</f>
        <v>494569.25342308031</v>
      </c>
      <c r="AB86" s="44">
        <v>0.05</v>
      </c>
      <c r="AC86" s="15">
        <f>+((V.sual_Data[[#This Row],[VALOR NETO ($COP)]]/(100%-V.sual_Data[[#This Row],[MÁRGEN DE NEGOCIACIÓN (%)]])))-V.sual_Data[[#This Row],[VALOR NETO ($COP)]]</f>
        <v>26029.960706477927</v>
      </c>
      <c r="AD86" s="15">
        <f>+(V.sual_Data[[#This Row],[VALOR NETO ($COP)]]+V.sual_Data[[#This Row],[NEGOCIACIÓN ($COP)]])*1%</f>
        <v>5205.9921412955828</v>
      </c>
      <c r="AE86" s="15">
        <f>+(V.sual_Data[[#This Row],[VALOR NETO ($COP)]]+V.sual_Data[[#This Row],[NEGOCIACIÓN ($COP)]])*1%</f>
        <v>5205.9921412955828</v>
      </c>
      <c r="AF86" s="3">
        <f>+V.sual_Data[[#This Row],[VALOR NETO ($COP)]]+V.sual_Data[[#This Row],[4 * 1000 ($COP)]]+V.sual_Data[[#This Row],[ICA ($COP)]]+V.sual_Data[[#This Row],[NEGOCIACIÓN ($COP)]]</f>
        <v>531011.19841214945</v>
      </c>
    </row>
    <row r="87" spans="1:32" ht="60" hidden="1" customHeight="1" x14ac:dyDescent="0.25">
      <c r="A87" s="14"/>
      <c r="B87" s="37" t="s">
        <v>243</v>
      </c>
      <c r="C87" s="38" t="s">
        <v>216</v>
      </c>
      <c r="D87" s="38" t="s">
        <v>190</v>
      </c>
      <c r="E87" s="39" t="s">
        <v>244</v>
      </c>
      <c r="F87" s="38" t="s">
        <v>218</v>
      </c>
      <c r="G87" s="38" t="s">
        <v>219</v>
      </c>
      <c r="H87" s="40">
        <v>1</v>
      </c>
      <c r="I87" s="39" t="s">
        <v>240</v>
      </c>
      <c r="J87" s="86">
        <v>4</v>
      </c>
      <c r="K87" s="45" t="s">
        <v>242</v>
      </c>
      <c r="L87" s="40" t="s">
        <v>119</v>
      </c>
      <c r="M87" s="41">
        <v>1</v>
      </c>
      <c r="N87" s="42">
        <f>IFERROR(VLOOKUP(V.sual_Data[[#This Row],[RESPONSABLE]],Listas!$D$3:$F$7,3,FALSE),0)</f>
        <v>15197.568389057751</v>
      </c>
      <c r="O87" s="34">
        <f t="shared" si="16"/>
        <v>15197.568389057751</v>
      </c>
      <c r="P87" s="42">
        <f>IFERROR((VLOOKUP(V.sual_Data[[#This Row],[RESPONSABLE]],Listas!$D$3:$K$7,5,FALSE))*V.sual_Data[[#This Row],[TIEMPO (HORAS)]],0)</f>
        <v>3588.3147585275251</v>
      </c>
      <c r="Q87" s="42">
        <f>IFERROR(+VLOOKUP(L87,V.sual_Lista_Data[[EQUIPO VISUAL]:[SOFTWARE 
VALOR HORA]],8,FALSE)*V.sual_Data[[#This Row],[TIEMPO (HORAS)]],"0")</f>
        <v>3410.8548871439834</v>
      </c>
      <c r="R87" s="43">
        <v>0</v>
      </c>
      <c r="S87" s="43">
        <v>0</v>
      </c>
      <c r="T87" s="3">
        <f t="shared" si="17"/>
        <v>22196.738034729256</v>
      </c>
      <c r="U87" s="15">
        <f>V.sual_Data[[#This Row],[TIEMPO (HORAS)]]*Gastos_Operativos[[#Totals],[GASTOS HORA]]</f>
        <v>27789.477072310401</v>
      </c>
      <c r="V87" s="3">
        <f>V.sual_Data[[#This Row],[COSTO 
DIRECTO ($COP)]]+V.sual_Data[[#This Row],[PRORRATEO GASTOS ($COP)]]</f>
        <v>49986.215107039658</v>
      </c>
      <c r="W87" s="44">
        <v>0.1</v>
      </c>
      <c r="X87" s="15">
        <f>V.sual_Data[[#This Row],[COSTOS OPERACIONALES ($COP)]]*V.sual_Data[[#This Row],[DESFASE (%)]]</f>
        <v>4998.6215107039661</v>
      </c>
      <c r="Y87" s="44">
        <v>0.4</v>
      </c>
      <c r="Z87" s="15">
        <f>+((V.sual_Data[[#This Row],[COSTOS OPERACIONALES ($COP)]]/(100%-V.sual_Data[[#This Row],[UTILIDAD (%)]])))-V.sual_Data[[#This Row],[COSTOS OPERACIONALES ($COP)]]</f>
        <v>33324.143404693103</v>
      </c>
      <c r="AA87" s="3">
        <f>+V.sual_Data[[#This Row],[COSTOS OPERACIONALES ($COP)]]+V.sual_Data[[#This Row],[DESFASE ($COP)]]+V.sual_Data[[#This Row],[UTILIDAD ($COP)]]</f>
        <v>88308.980022436735</v>
      </c>
      <c r="AB87" s="44">
        <v>0.05</v>
      </c>
      <c r="AC87" s="15">
        <f>+((V.sual_Data[[#This Row],[VALOR NETO ($COP)]]/(100%-V.sual_Data[[#This Row],[MÁRGEN DE NEGOCIACIÓN (%)]])))-V.sual_Data[[#This Row],[VALOR NETO ($COP)]]</f>
        <v>4647.841053812459</v>
      </c>
      <c r="AD87" s="15">
        <f>+(V.sual_Data[[#This Row],[VALOR NETO ($COP)]]+V.sual_Data[[#This Row],[NEGOCIACIÓN ($COP)]])*1%</f>
        <v>929.56821076249196</v>
      </c>
      <c r="AE87" s="15">
        <f>+(V.sual_Data[[#This Row],[VALOR NETO ($COP)]]+V.sual_Data[[#This Row],[NEGOCIACIÓN ($COP)]])*1%</f>
        <v>929.56821076249196</v>
      </c>
      <c r="AF87" s="3">
        <f>+V.sual_Data[[#This Row],[VALOR NETO ($COP)]]+V.sual_Data[[#This Row],[4 * 1000 ($COP)]]+V.sual_Data[[#This Row],[ICA ($COP)]]+V.sual_Data[[#This Row],[NEGOCIACIÓN ($COP)]]</f>
        <v>94815.957497774172</v>
      </c>
    </row>
    <row r="88" spans="1:32" ht="60" hidden="1" customHeight="1" x14ac:dyDescent="0.25">
      <c r="A88" s="14"/>
      <c r="B88" s="37" t="s">
        <v>247</v>
      </c>
      <c r="C88" s="38" t="s">
        <v>216</v>
      </c>
      <c r="D88" s="38" t="s">
        <v>190</v>
      </c>
      <c r="E88" s="38" t="s">
        <v>248</v>
      </c>
      <c r="F88" s="38" t="s">
        <v>218</v>
      </c>
      <c r="G88" s="38" t="s">
        <v>249</v>
      </c>
      <c r="H88" s="40">
        <v>1</v>
      </c>
      <c r="I88" s="39" t="s">
        <v>240</v>
      </c>
      <c r="J88" s="86">
        <v>1</v>
      </c>
      <c r="K88" s="45" t="s">
        <v>250</v>
      </c>
      <c r="L88" s="40" t="s">
        <v>119</v>
      </c>
      <c r="M88" s="41">
        <v>1</v>
      </c>
      <c r="N88" s="259">
        <f>IFERROR(VLOOKUP(V.sual_Data[[#This Row],[RESPONSABLE]],Listas!$D$3:$F$7,3,FALSE),0)</f>
        <v>15197.568389057751</v>
      </c>
      <c r="O88" s="34">
        <f t="shared" ref="O88" si="18">+N88*M88</f>
        <v>15197.568389057751</v>
      </c>
      <c r="P88" s="42">
        <f>IFERROR((VLOOKUP(V.sual_Data[[#This Row],[RESPONSABLE]],Listas!$D$3:$K$7,5,FALSE))*V.sual_Data[[#This Row],[TIEMPO (HORAS)]],0)</f>
        <v>3588.3147585275251</v>
      </c>
      <c r="Q88" s="42">
        <f>IFERROR(+VLOOKUP(L88,V.sual_Lista_Data[[EQUIPO VISUAL]:[SOFTWARE 
VALOR HORA]],8,FALSE)*V.sual_Data[[#This Row],[TIEMPO (HORAS)]],"0")</f>
        <v>3410.8548871439834</v>
      </c>
      <c r="R88" s="43">
        <v>100000</v>
      </c>
      <c r="S88" s="43">
        <v>0</v>
      </c>
      <c r="T88" s="3">
        <f t="shared" ref="T88" si="19">SUM(O88:S88)</f>
        <v>122196.73803472926</v>
      </c>
      <c r="U88" s="15">
        <f>V.sual_Data[[#This Row],[TIEMPO (HORAS)]]*Gastos_Operativos[[#Totals],[GASTOS HORA]]</f>
        <v>27789.477072310401</v>
      </c>
      <c r="V88" s="3">
        <f>V.sual_Data[[#This Row],[COSTO 
DIRECTO ($COP)]]+V.sual_Data[[#This Row],[PRORRATEO GASTOS ($COP)]]</f>
        <v>149986.21510703966</v>
      </c>
      <c r="W88" s="44">
        <v>0.1</v>
      </c>
      <c r="X88" s="15">
        <f>V.sual_Data[[#This Row],[COSTOS OPERACIONALES ($COP)]]*V.sual_Data[[#This Row],[DESFASE (%)]]</f>
        <v>14998.621510703968</v>
      </c>
      <c r="Y88" s="44">
        <v>0.3</v>
      </c>
      <c r="Z88" s="15">
        <f>+((V.sual_Data[[#This Row],[COSTOS OPERACIONALES ($COP)]]/(100%-V.sual_Data[[#This Row],[UTILIDAD (%)]])))-V.sual_Data[[#This Row],[COSTOS OPERACIONALES ($COP)]]</f>
        <v>64279.806474445591</v>
      </c>
      <c r="AA88" s="3">
        <f>+V.sual_Data[[#This Row],[COSTOS OPERACIONALES ($COP)]]+V.sual_Data[[#This Row],[DESFASE ($COP)]]+V.sual_Data[[#This Row],[UTILIDAD ($COP)]]</f>
        <v>229264.64309218922</v>
      </c>
      <c r="AB88" s="44">
        <v>0.05</v>
      </c>
      <c r="AC88" s="15">
        <f>+((V.sual_Data[[#This Row],[VALOR NETO ($COP)]]/(100%-V.sual_Data[[#This Row],[MÁRGEN DE NEGOCIACIÓN (%)]])))-V.sual_Data[[#This Row],[VALOR NETO ($COP)]]</f>
        <v>12066.560162746813</v>
      </c>
      <c r="AD88" s="15">
        <f>+(V.sual_Data[[#This Row],[VALOR NETO ($COP)]]+V.sual_Data[[#This Row],[NEGOCIACIÓN ($COP)]])*1%</f>
        <v>2413.3120325493605</v>
      </c>
      <c r="AE88" s="15">
        <f>+(V.sual_Data[[#This Row],[VALOR NETO ($COP)]]+V.sual_Data[[#This Row],[NEGOCIACIÓN ($COP)]])*1%</f>
        <v>2413.3120325493605</v>
      </c>
      <c r="AF88" s="3">
        <f>+V.sual_Data[[#This Row],[VALOR NETO ($COP)]]+V.sual_Data[[#This Row],[4 * 1000 ($COP)]]+V.sual_Data[[#This Row],[ICA ($COP)]]+V.sual_Data[[#This Row],[NEGOCIACIÓN ($COP)]]</f>
        <v>246157.82732003473</v>
      </c>
    </row>
    <row r="89" spans="1:32" ht="60" hidden="1" customHeight="1" x14ac:dyDescent="0.25">
      <c r="A89" s="14"/>
      <c r="B89" s="37" t="s">
        <v>251</v>
      </c>
      <c r="C89" s="38" t="s">
        <v>252</v>
      </c>
      <c r="D89" s="38" t="s">
        <v>190</v>
      </c>
      <c r="E89" s="39" t="s">
        <v>253</v>
      </c>
      <c r="F89" s="38" t="s">
        <v>254</v>
      </c>
      <c r="G89" s="38" t="s">
        <v>255</v>
      </c>
      <c r="H89" s="40">
        <v>1</v>
      </c>
      <c r="I89" s="39" t="s">
        <v>256</v>
      </c>
      <c r="J89" s="86">
        <v>1</v>
      </c>
      <c r="K89" s="39" t="s">
        <v>257</v>
      </c>
      <c r="L89" s="40" t="s">
        <v>258</v>
      </c>
      <c r="M89" s="41">
        <v>0</v>
      </c>
      <c r="N89" s="42">
        <f>IFERROR(VLOOKUP(V.sual_Data[[#This Row],[RESPONSABLE]],Listas!$D$3:$F$7,3,FALSE),0)</f>
        <v>0</v>
      </c>
      <c r="O89" s="34">
        <f t="shared" si="12"/>
        <v>0</v>
      </c>
      <c r="P89" s="42">
        <f>IFERROR((VLOOKUP(V.sual_Data[[#This Row],[RESPONSABLE]],Listas!$D$3:$K$7,5,FALSE))*V.sual_Data[[#This Row],[TIEMPO (HORAS)]],0)</f>
        <v>0</v>
      </c>
      <c r="Q89" s="42">
        <f>IFERROR(+VLOOKUP(L89,V.sual_Lista_Data[[EQUIPO VISUAL]:[SOFTWARE 
VALOR HORA]],8,FALSE)*V.sual_Data[[#This Row],[TIEMPO (HORAS)]],"0")</f>
        <v>0</v>
      </c>
      <c r="R89" s="43">
        <v>0</v>
      </c>
      <c r="S89" s="43">
        <v>50000</v>
      </c>
      <c r="T89" s="3">
        <f t="shared" si="13"/>
        <v>50000</v>
      </c>
      <c r="U89" s="15">
        <f>V.sual_Data[[#This Row],[TIEMPO (HORAS)]]*Gastos_Operativos[[#Totals],[GASTOS HORA]]</f>
        <v>0</v>
      </c>
      <c r="V89" s="3">
        <f>V.sual_Data[[#This Row],[COSTO 
DIRECTO ($COP)]]+V.sual_Data[[#This Row],[PRORRATEO GASTOS ($COP)]]</f>
        <v>50000</v>
      </c>
      <c r="W89" s="44">
        <v>0.2</v>
      </c>
      <c r="X89" s="15">
        <f>V.sual_Data[[#This Row],[COSTOS OPERACIONALES ($COP)]]*V.sual_Data[[#This Row],[DESFASE (%)]]</f>
        <v>10000</v>
      </c>
      <c r="Y89" s="44">
        <v>0.3</v>
      </c>
      <c r="Z89" s="15">
        <f>+((V.sual_Data[[#This Row],[COSTOS OPERACIONALES ($COP)]]/(100%-V.sual_Data[[#This Row],[UTILIDAD (%)]])))-V.sual_Data[[#This Row],[COSTOS OPERACIONALES ($COP)]]</f>
        <v>21428.571428571435</v>
      </c>
      <c r="AA89" s="3">
        <f>+V.sual_Data[[#This Row],[COSTOS OPERACIONALES ($COP)]]+V.sual_Data[[#This Row],[DESFASE ($COP)]]+V.sual_Data[[#This Row],[UTILIDAD ($COP)]]</f>
        <v>81428.571428571435</v>
      </c>
      <c r="AB89" s="44">
        <v>0.05</v>
      </c>
      <c r="AC89" s="15">
        <f>+((V.sual_Data[[#This Row],[VALOR NETO ($COP)]]/(100%-V.sual_Data[[#This Row],[MÁRGEN DE NEGOCIACIÓN (%)]])))-V.sual_Data[[#This Row],[VALOR NETO ($COP)]]</f>
        <v>4285.7142857142899</v>
      </c>
      <c r="AD89" s="15">
        <f>+(V.sual_Data[[#This Row],[VALOR NETO ($COP)]]+V.sual_Data[[#This Row],[NEGOCIACIÓN ($COP)]])*1%</f>
        <v>857.14285714285722</v>
      </c>
      <c r="AE89" s="15">
        <f>+(V.sual_Data[[#This Row],[VALOR NETO ($COP)]]+V.sual_Data[[#This Row],[NEGOCIACIÓN ($COP)]])*1%</f>
        <v>857.14285714285722</v>
      </c>
      <c r="AF89" s="3">
        <f>+V.sual_Data[[#This Row],[VALOR NETO ($COP)]]+V.sual_Data[[#This Row],[4 * 1000 ($COP)]]+V.sual_Data[[#This Row],[ICA ($COP)]]+V.sual_Data[[#This Row],[NEGOCIACIÓN ($COP)]]</f>
        <v>87428.571428571435</v>
      </c>
    </row>
    <row r="90" spans="1:32" ht="60" hidden="1" customHeight="1" x14ac:dyDescent="0.25">
      <c r="A90" s="14"/>
      <c r="B90" s="37" t="s">
        <v>251</v>
      </c>
      <c r="C90" s="38" t="s">
        <v>252</v>
      </c>
      <c r="D90" s="38" t="s">
        <v>190</v>
      </c>
      <c r="E90" s="39" t="s">
        <v>253</v>
      </c>
      <c r="F90" s="38" t="s">
        <v>254</v>
      </c>
      <c r="G90" s="38" t="s">
        <v>255</v>
      </c>
      <c r="H90" s="40">
        <v>1</v>
      </c>
      <c r="I90" s="39" t="s">
        <v>259</v>
      </c>
      <c r="J90" s="86">
        <v>2</v>
      </c>
      <c r="K90" s="45" t="s">
        <v>260</v>
      </c>
      <c r="L90" s="40" t="s">
        <v>150</v>
      </c>
      <c r="M90" s="41">
        <v>2</v>
      </c>
      <c r="N90" s="42">
        <f>IFERROR(VLOOKUP(V.sual_Data[[#This Row],[RESPONSABLE]],Listas!$D$3:$F$7,3,FALSE),0)</f>
        <v>10000</v>
      </c>
      <c r="O90" s="34">
        <f t="shared" si="12"/>
        <v>20000</v>
      </c>
      <c r="P90" s="42">
        <f>IFERROR((VLOOKUP(V.sual_Data[[#This Row],[RESPONSABLE]],Listas!$D$3:$K$7,5,FALSE))*V.sual_Data[[#This Row],[TIEMPO (HORAS)]],0)</f>
        <v>6754.4748395812221</v>
      </c>
      <c r="Q90" s="42">
        <f>IFERROR(+VLOOKUP(L90,V.sual_Lista_Data[[EQUIPO VISUAL]:[SOFTWARE 
VALOR HORA]],8,FALSE)*V.sual_Data[[#This Row],[TIEMPO (HORAS)]],"0")</f>
        <v>6821.7097742879669</v>
      </c>
      <c r="R90" s="43">
        <v>0</v>
      </c>
      <c r="S90" s="43">
        <v>0</v>
      </c>
      <c r="T90" s="3">
        <f t="shared" si="13"/>
        <v>33576.184613869191</v>
      </c>
      <c r="U90" s="15">
        <f>V.sual_Data[[#This Row],[TIEMPO (HORAS)]]*Gastos_Operativos[[#Totals],[GASTOS HORA]]</f>
        <v>55578.954144620802</v>
      </c>
      <c r="V90" s="3">
        <f>V.sual_Data[[#This Row],[COSTO 
DIRECTO ($COP)]]+V.sual_Data[[#This Row],[PRORRATEO GASTOS ($COP)]]</f>
        <v>89155.138758489993</v>
      </c>
      <c r="W90" s="44">
        <v>0.2</v>
      </c>
      <c r="X90" s="15">
        <f>V.sual_Data[[#This Row],[COSTOS OPERACIONALES ($COP)]]*V.sual_Data[[#This Row],[DESFASE (%)]]</f>
        <v>17831.027751697999</v>
      </c>
      <c r="Y90" s="44">
        <v>0.3</v>
      </c>
      <c r="Z90" s="15">
        <f>+((V.sual_Data[[#This Row],[COSTOS OPERACIONALES ($COP)]]/(100%-V.sual_Data[[#This Row],[UTILIDAD (%)]])))-V.sual_Data[[#This Row],[COSTOS OPERACIONALES ($COP)]]</f>
        <v>38209.345182210003</v>
      </c>
      <c r="AA90" s="3">
        <f>+V.sual_Data[[#This Row],[COSTOS OPERACIONALES ($COP)]]+V.sual_Data[[#This Row],[DESFASE ($COP)]]+V.sual_Data[[#This Row],[UTILIDAD ($COP)]]</f>
        <v>145195.51169239799</v>
      </c>
      <c r="AB90" s="44">
        <v>0.05</v>
      </c>
      <c r="AC90" s="15">
        <f>+((V.sual_Data[[#This Row],[VALOR NETO ($COP)]]/(100%-V.sual_Data[[#This Row],[MÁRGEN DE NEGOCIACIÓN (%)]])))-V.sual_Data[[#This Row],[VALOR NETO ($COP)]]</f>
        <v>7641.8690364420181</v>
      </c>
      <c r="AD90" s="15">
        <f>+(V.sual_Data[[#This Row],[VALOR NETO ($COP)]]+V.sual_Data[[#This Row],[NEGOCIACIÓN ($COP)]])*1%</f>
        <v>1528.3738072884003</v>
      </c>
      <c r="AE90" s="15">
        <f>+(V.sual_Data[[#This Row],[VALOR NETO ($COP)]]+V.sual_Data[[#This Row],[NEGOCIACIÓN ($COP)]])*1%</f>
        <v>1528.3738072884003</v>
      </c>
      <c r="AF90" s="3">
        <f>+V.sual_Data[[#This Row],[VALOR NETO ($COP)]]+V.sual_Data[[#This Row],[4 * 1000 ($COP)]]+V.sual_Data[[#This Row],[ICA ($COP)]]+V.sual_Data[[#This Row],[NEGOCIACIÓN ($COP)]]</f>
        <v>155894.12834341679</v>
      </c>
    </row>
    <row r="91" spans="1:32" ht="60" hidden="1" customHeight="1" x14ac:dyDescent="0.25">
      <c r="A91" s="14"/>
      <c r="B91" s="37" t="s">
        <v>251</v>
      </c>
      <c r="C91" s="38" t="s">
        <v>252</v>
      </c>
      <c r="D91" s="38" t="s">
        <v>190</v>
      </c>
      <c r="E91" s="39" t="s">
        <v>253</v>
      </c>
      <c r="F91" s="38" t="s">
        <v>254</v>
      </c>
      <c r="G91" s="38" t="s">
        <v>255</v>
      </c>
      <c r="H91" s="40">
        <v>1</v>
      </c>
      <c r="I91" s="39" t="s">
        <v>151</v>
      </c>
      <c r="J91" s="86">
        <v>3</v>
      </c>
      <c r="K91" s="39" t="s">
        <v>261</v>
      </c>
      <c r="L91" s="40" t="s">
        <v>183</v>
      </c>
      <c r="M91" s="41">
        <v>1</v>
      </c>
      <c r="N91" s="42">
        <f>IFERROR(VLOOKUP(V.sual_Data[[#This Row],[RESPONSABLE]],Listas!$D$3:$F$7,3,FALSE),0)</f>
        <v>22796.352583586624</v>
      </c>
      <c r="O91" s="34">
        <f t="shared" si="12"/>
        <v>22796.352583586624</v>
      </c>
      <c r="P91" s="42">
        <f>IFERROR((VLOOKUP(V.sual_Data[[#This Row],[RESPONSABLE]],Listas!$D$3:$K$7,5,FALSE))*V.sual_Data[[#This Row],[TIEMPO (HORAS)]],0)</f>
        <v>4221.5467747382636</v>
      </c>
      <c r="Q91" s="42">
        <f>IFERROR(+VLOOKUP(L91,V.sual_Lista_Data[[EQUIPO VISUAL]:[SOFTWARE 
VALOR HORA]],8,FALSE)*V.sual_Data[[#This Row],[TIEMPO (HORAS)]],"0")</f>
        <v>3410.8548871439834</v>
      </c>
      <c r="R91" s="43">
        <v>0</v>
      </c>
      <c r="S91" s="43">
        <v>0</v>
      </c>
      <c r="T91" s="3">
        <f t="shared" si="13"/>
        <v>30428.754245468874</v>
      </c>
      <c r="U91" s="15">
        <f>V.sual_Data[[#This Row],[TIEMPO (HORAS)]]*Gastos_Operativos[[#Totals],[GASTOS HORA]]</f>
        <v>27789.477072310401</v>
      </c>
      <c r="V91" s="3">
        <f>V.sual_Data[[#This Row],[COSTO 
DIRECTO ($COP)]]+V.sual_Data[[#This Row],[PRORRATEO GASTOS ($COP)]]</f>
        <v>58218.231317779275</v>
      </c>
      <c r="W91" s="44">
        <v>0.2</v>
      </c>
      <c r="X91" s="15">
        <f>V.sual_Data[[#This Row],[COSTOS OPERACIONALES ($COP)]]*V.sual_Data[[#This Row],[DESFASE (%)]]</f>
        <v>11643.646263555856</v>
      </c>
      <c r="Y91" s="44">
        <v>0.3</v>
      </c>
      <c r="Z91" s="15">
        <f>+((V.sual_Data[[#This Row],[COSTOS OPERACIONALES ($COP)]]/(100%-V.sual_Data[[#This Row],[UTILIDAD (%)]])))-V.sual_Data[[#This Row],[COSTOS OPERACIONALES ($COP)]]</f>
        <v>24950.670564762557</v>
      </c>
      <c r="AA91" s="3">
        <f>+V.sual_Data[[#This Row],[COSTOS OPERACIONALES ($COP)]]+V.sual_Data[[#This Row],[DESFASE ($COP)]]+V.sual_Data[[#This Row],[UTILIDAD ($COP)]]</f>
        <v>94812.548146097688</v>
      </c>
      <c r="AB91" s="44">
        <v>0.05</v>
      </c>
      <c r="AC91" s="15">
        <f>+((V.sual_Data[[#This Row],[VALOR NETO ($COP)]]/(100%-V.sual_Data[[#This Row],[MÁRGEN DE NEGOCIACIÓN (%)]])))-V.sual_Data[[#This Row],[VALOR NETO ($COP)]]</f>
        <v>4990.1341129525099</v>
      </c>
      <c r="AD91" s="15">
        <f>+(V.sual_Data[[#This Row],[VALOR NETO ($COP)]]+V.sual_Data[[#This Row],[NEGOCIACIÓN ($COP)]])*1%</f>
        <v>998.02682259050198</v>
      </c>
      <c r="AE91" s="15">
        <f>+(V.sual_Data[[#This Row],[VALOR NETO ($COP)]]+V.sual_Data[[#This Row],[NEGOCIACIÓN ($COP)]])*1%</f>
        <v>998.02682259050198</v>
      </c>
      <c r="AF91" s="3">
        <f>+V.sual_Data[[#This Row],[VALOR NETO ($COP)]]+V.sual_Data[[#This Row],[4 * 1000 ($COP)]]+V.sual_Data[[#This Row],[ICA ($COP)]]+V.sual_Data[[#This Row],[NEGOCIACIÓN ($COP)]]</f>
        <v>101798.7359042312</v>
      </c>
    </row>
    <row r="92" spans="1:32" ht="60" hidden="1" customHeight="1" x14ac:dyDescent="0.25">
      <c r="A92" s="14"/>
      <c r="B92" s="37" t="s">
        <v>251</v>
      </c>
      <c r="C92" s="38" t="s">
        <v>252</v>
      </c>
      <c r="D92" s="38" t="s">
        <v>190</v>
      </c>
      <c r="E92" s="39" t="s">
        <v>253</v>
      </c>
      <c r="F92" s="38" t="s">
        <v>254</v>
      </c>
      <c r="G92" s="38" t="s">
        <v>255</v>
      </c>
      <c r="H92" s="40">
        <v>1</v>
      </c>
      <c r="I92" s="39" t="s">
        <v>151</v>
      </c>
      <c r="J92" s="86">
        <v>4</v>
      </c>
      <c r="K92" s="39" t="s">
        <v>262</v>
      </c>
      <c r="L92" s="40" t="s">
        <v>183</v>
      </c>
      <c r="M92" s="41">
        <v>1</v>
      </c>
      <c r="N92" s="42">
        <f>IFERROR(VLOOKUP(V.sual_Data[[#This Row],[RESPONSABLE]],Listas!$D$3:$F$7,3,FALSE),0)</f>
        <v>22796.352583586624</v>
      </c>
      <c r="O92" s="34">
        <f t="shared" si="12"/>
        <v>22796.352583586624</v>
      </c>
      <c r="P92" s="42">
        <f>IFERROR((VLOOKUP(V.sual_Data[[#This Row],[RESPONSABLE]],Listas!$D$3:$K$7,5,FALSE))*V.sual_Data[[#This Row],[TIEMPO (HORAS)]],0)</f>
        <v>4221.5467747382636</v>
      </c>
      <c r="Q92" s="42">
        <f>IFERROR(+VLOOKUP(L92,V.sual_Lista_Data[[EQUIPO VISUAL]:[SOFTWARE 
VALOR HORA]],8,FALSE)*V.sual_Data[[#This Row],[TIEMPO (HORAS)]],"0")</f>
        <v>3410.8548871439834</v>
      </c>
      <c r="R92" s="43">
        <v>0</v>
      </c>
      <c r="S92" s="43">
        <v>0</v>
      </c>
      <c r="T92" s="3">
        <f t="shared" si="13"/>
        <v>30428.754245468874</v>
      </c>
      <c r="U92" s="15">
        <f>V.sual_Data[[#This Row],[TIEMPO (HORAS)]]*Gastos_Operativos[[#Totals],[GASTOS HORA]]</f>
        <v>27789.477072310401</v>
      </c>
      <c r="V92" s="3">
        <f>V.sual_Data[[#This Row],[COSTO 
DIRECTO ($COP)]]+V.sual_Data[[#This Row],[PRORRATEO GASTOS ($COP)]]</f>
        <v>58218.231317779275</v>
      </c>
      <c r="W92" s="44">
        <v>0.2</v>
      </c>
      <c r="X92" s="15">
        <f>V.sual_Data[[#This Row],[COSTOS OPERACIONALES ($COP)]]*V.sual_Data[[#This Row],[DESFASE (%)]]</f>
        <v>11643.646263555856</v>
      </c>
      <c r="Y92" s="44">
        <v>0.3</v>
      </c>
      <c r="Z92" s="15">
        <f>+((V.sual_Data[[#This Row],[COSTOS OPERACIONALES ($COP)]]/(100%-V.sual_Data[[#This Row],[UTILIDAD (%)]])))-V.sual_Data[[#This Row],[COSTOS OPERACIONALES ($COP)]]</f>
        <v>24950.670564762557</v>
      </c>
      <c r="AA92" s="3">
        <f>+V.sual_Data[[#This Row],[COSTOS OPERACIONALES ($COP)]]+V.sual_Data[[#This Row],[DESFASE ($COP)]]+V.sual_Data[[#This Row],[UTILIDAD ($COP)]]</f>
        <v>94812.548146097688</v>
      </c>
      <c r="AB92" s="44">
        <v>0.05</v>
      </c>
      <c r="AC92" s="15">
        <f>+((V.sual_Data[[#This Row],[VALOR NETO ($COP)]]/(100%-V.sual_Data[[#This Row],[MÁRGEN DE NEGOCIACIÓN (%)]])))-V.sual_Data[[#This Row],[VALOR NETO ($COP)]]</f>
        <v>4990.1341129525099</v>
      </c>
      <c r="AD92" s="15">
        <f>+(V.sual_Data[[#This Row],[VALOR NETO ($COP)]]+V.sual_Data[[#This Row],[NEGOCIACIÓN ($COP)]])*1%</f>
        <v>998.02682259050198</v>
      </c>
      <c r="AE92" s="15">
        <f>+(V.sual_Data[[#This Row],[VALOR NETO ($COP)]]+V.sual_Data[[#This Row],[NEGOCIACIÓN ($COP)]])*1%</f>
        <v>998.02682259050198</v>
      </c>
      <c r="AF92" s="3">
        <f>+V.sual_Data[[#This Row],[VALOR NETO ($COP)]]+V.sual_Data[[#This Row],[4 * 1000 ($COP)]]+V.sual_Data[[#This Row],[ICA ($COP)]]+V.sual_Data[[#This Row],[NEGOCIACIÓN ($COP)]]</f>
        <v>101798.7359042312</v>
      </c>
    </row>
    <row r="93" spans="1:32" ht="60" hidden="1" customHeight="1" x14ac:dyDescent="0.25">
      <c r="A93" s="14"/>
      <c r="B93" s="37" t="s">
        <v>251</v>
      </c>
      <c r="C93" s="38" t="s">
        <v>252</v>
      </c>
      <c r="D93" s="38" t="s">
        <v>190</v>
      </c>
      <c r="E93" s="39" t="s">
        <v>253</v>
      </c>
      <c r="F93" s="38" t="s">
        <v>254</v>
      </c>
      <c r="G93" s="38" t="s">
        <v>255</v>
      </c>
      <c r="H93" s="40">
        <v>1</v>
      </c>
      <c r="I93" s="39" t="s">
        <v>263</v>
      </c>
      <c r="J93" s="86">
        <v>5</v>
      </c>
      <c r="K93" s="39" t="s">
        <v>264</v>
      </c>
      <c r="L93" s="40" t="s">
        <v>183</v>
      </c>
      <c r="M93" s="41">
        <v>0.5</v>
      </c>
      <c r="N93" s="42">
        <f>IFERROR(VLOOKUP(V.sual_Data[[#This Row],[RESPONSABLE]],Listas!$D$3:$F$7,3,FALSE),0)</f>
        <v>22796.352583586624</v>
      </c>
      <c r="O93" s="34">
        <f t="shared" si="12"/>
        <v>11398.176291793312</v>
      </c>
      <c r="P93" s="42">
        <f>IFERROR((VLOOKUP(V.sual_Data[[#This Row],[RESPONSABLE]],Listas!$D$3:$K$7,5,FALSE))*V.sual_Data[[#This Row],[TIEMPO (HORAS)]],0)</f>
        <v>2110.7733873691318</v>
      </c>
      <c r="Q93" s="42">
        <f>IFERROR(+VLOOKUP(L93,V.sual_Lista_Data[[EQUIPO VISUAL]:[SOFTWARE 
VALOR HORA]],8,FALSE)*V.sual_Data[[#This Row],[TIEMPO (HORAS)]],"0")</f>
        <v>1705.4274435719917</v>
      </c>
      <c r="R93" s="43">
        <v>0</v>
      </c>
      <c r="S93" s="43">
        <v>0</v>
      </c>
      <c r="T93" s="3">
        <f t="shared" si="13"/>
        <v>15214.377122734437</v>
      </c>
      <c r="U93" s="15">
        <f>V.sual_Data[[#This Row],[TIEMPO (HORAS)]]*Gastos_Operativos[[#Totals],[GASTOS HORA]]</f>
        <v>13894.738536155201</v>
      </c>
      <c r="V93" s="3">
        <f>V.sual_Data[[#This Row],[COSTO 
DIRECTO ($COP)]]+V.sual_Data[[#This Row],[PRORRATEO GASTOS ($COP)]]</f>
        <v>29109.115658889637</v>
      </c>
      <c r="W93" s="44">
        <v>0.2</v>
      </c>
      <c r="X93" s="15">
        <f>V.sual_Data[[#This Row],[COSTOS OPERACIONALES ($COP)]]*V.sual_Data[[#This Row],[DESFASE (%)]]</f>
        <v>5821.8231317779282</v>
      </c>
      <c r="Y93" s="44">
        <v>0.3</v>
      </c>
      <c r="Z93" s="15">
        <f>+((V.sual_Data[[#This Row],[COSTOS OPERACIONALES ($COP)]]/(100%-V.sual_Data[[#This Row],[UTILIDAD (%)]])))-V.sual_Data[[#This Row],[COSTOS OPERACIONALES ($COP)]]</f>
        <v>12475.335282381278</v>
      </c>
      <c r="AA93" s="3">
        <f>+V.sual_Data[[#This Row],[COSTOS OPERACIONALES ($COP)]]+V.sual_Data[[#This Row],[DESFASE ($COP)]]+V.sual_Data[[#This Row],[UTILIDAD ($COP)]]</f>
        <v>47406.274073048844</v>
      </c>
      <c r="AB93" s="44">
        <v>0.05</v>
      </c>
      <c r="AC93" s="15">
        <f>+((V.sual_Data[[#This Row],[VALOR NETO ($COP)]]/(100%-V.sual_Data[[#This Row],[MÁRGEN DE NEGOCIACIÓN (%)]])))-V.sual_Data[[#This Row],[VALOR NETO ($COP)]]</f>
        <v>2495.0670564762549</v>
      </c>
      <c r="AD93" s="15">
        <f>+(V.sual_Data[[#This Row],[VALOR NETO ($COP)]]+V.sual_Data[[#This Row],[NEGOCIACIÓN ($COP)]])*1%</f>
        <v>499.01341129525099</v>
      </c>
      <c r="AE93" s="15">
        <f>+(V.sual_Data[[#This Row],[VALOR NETO ($COP)]]+V.sual_Data[[#This Row],[NEGOCIACIÓN ($COP)]])*1%</f>
        <v>499.01341129525099</v>
      </c>
      <c r="AF93" s="3">
        <f>+V.sual_Data[[#This Row],[VALOR NETO ($COP)]]+V.sual_Data[[#This Row],[4 * 1000 ($COP)]]+V.sual_Data[[#This Row],[ICA ($COP)]]+V.sual_Data[[#This Row],[NEGOCIACIÓN ($COP)]]</f>
        <v>50899.367952115601</v>
      </c>
    </row>
    <row r="94" spans="1:32" ht="60" hidden="1" customHeight="1" x14ac:dyDescent="0.25">
      <c r="A94" s="14"/>
      <c r="B94" s="37" t="s">
        <v>251</v>
      </c>
      <c r="C94" s="38" t="s">
        <v>252</v>
      </c>
      <c r="D94" s="38" t="s">
        <v>190</v>
      </c>
      <c r="E94" s="39" t="s">
        <v>253</v>
      </c>
      <c r="F94" s="38" t="s">
        <v>254</v>
      </c>
      <c r="G94" s="38" t="s">
        <v>255</v>
      </c>
      <c r="H94" s="40">
        <v>1</v>
      </c>
      <c r="I94" s="39" t="s">
        <v>259</v>
      </c>
      <c r="J94" s="86">
        <v>6</v>
      </c>
      <c r="K94" s="45" t="s">
        <v>157</v>
      </c>
      <c r="L94" s="40" t="s">
        <v>183</v>
      </c>
      <c r="M94" s="41">
        <v>0.5</v>
      </c>
      <c r="N94" s="42">
        <f>IFERROR(VLOOKUP(V.sual_Data[[#This Row],[RESPONSABLE]],Listas!$D$3:$F$7,3,FALSE),0)</f>
        <v>22796.352583586624</v>
      </c>
      <c r="O94" s="34">
        <f t="shared" ref="O94:O109" si="20">+N94*M94</f>
        <v>11398.176291793312</v>
      </c>
      <c r="P94" s="42">
        <f>IFERROR((VLOOKUP(V.sual_Data[[#This Row],[RESPONSABLE]],Listas!$D$3:$K$7,5,FALSE))*V.sual_Data[[#This Row],[TIEMPO (HORAS)]],0)</f>
        <v>2110.7733873691318</v>
      </c>
      <c r="Q94" s="42">
        <f>IFERROR(+VLOOKUP(L94,V.sual_Lista_Data[[EQUIPO VISUAL]:[SOFTWARE 
VALOR HORA]],8,FALSE)*V.sual_Data[[#This Row],[TIEMPO (HORAS)]],"0")</f>
        <v>1705.4274435719917</v>
      </c>
      <c r="R94" s="43">
        <v>0</v>
      </c>
      <c r="S94" s="43">
        <v>0</v>
      </c>
      <c r="T94" s="3">
        <f t="shared" ref="T94:T109" si="21">SUM(O94:S94)</f>
        <v>15214.377122734437</v>
      </c>
      <c r="U94" s="15">
        <f>V.sual_Data[[#This Row],[TIEMPO (HORAS)]]*Gastos_Operativos[[#Totals],[GASTOS HORA]]</f>
        <v>13894.738536155201</v>
      </c>
      <c r="V94" s="3">
        <f>V.sual_Data[[#This Row],[COSTO 
DIRECTO ($COP)]]+V.sual_Data[[#This Row],[PRORRATEO GASTOS ($COP)]]</f>
        <v>29109.115658889637</v>
      </c>
      <c r="W94" s="44">
        <v>0.2</v>
      </c>
      <c r="X94" s="15">
        <f>V.sual_Data[[#This Row],[COSTOS OPERACIONALES ($COP)]]*V.sual_Data[[#This Row],[DESFASE (%)]]</f>
        <v>5821.8231317779282</v>
      </c>
      <c r="Y94" s="44">
        <v>0.3</v>
      </c>
      <c r="Z94" s="15">
        <f>+((V.sual_Data[[#This Row],[COSTOS OPERACIONALES ($COP)]]/(100%-V.sual_Data[[#This Row],[UTILIDAD (%)]])))-V.sual_Data[[#This Row],[COSTOS OPERACIONALES ($COP)]]</f>
        <v>12475.335282381278</v>
      </c>
      <c r="AA94" s="3">
        <f>+V.sual_Data[[#This Row],[COSTOS OPERACIONALES ($COP)]]+V.sual_Data[[#This Row],[DESFASE ($COP)]]+V.sual_Data[[#This Row],[UTILIDAD ($COP)]]</f>
        <v>47406.274073048844</v>
      </c>
      <c r="AB94" s="44">
        <v>0.05</v>
      </c>
      <c r="AC94" s="15">
        <f>+((V.sual_Data[[#This Row],[VALOR NETO ($COP)]]/(100%-V.sual_Data[[#This Row],[MÁRGEN DE NEGOCIACIÓN (%)]])))-V.sual_Data[[#This Row],[VALOR NETO ($COP)]]</f>
        <v>2495.0670564762549</v>
      </c>
      <c r="AD94" s="15">
        <f>+(V.sual_Data[[#This Row],[VALOR NETO ($COP)]]+V.sual_Data[[#This Row],[NEGOCIACIÓN ($COP)]])*1%</f>
        <v>499.01341129525099</v>
      </c>
      <c r="AE94" s="15">
        <f>+(V.sual_Data[[#This Row],[VALOR NETO ($COP)]]+V.sual_Data[[#This Row],[NEGOCIACIÓN ($COP)]])*1%</f>
        <v>499.01341129525099</v>
      </c>
      <c r="AF94" s="3">
        <f>+V.sual_Data[[#This Row],[VALOR NETO ($COP)]]+V.sual_Data[[#This Row],[4 * 1000 ($COP)]]+V.sual_Data[[#This Row],[ICA ($COP)]]+V.sual_Data[[#This Row],[NEGOCIACIÓN ($COP)]]</f>
        <v>50899.367952115601</v>
      </c>
    </row>
    <row r="95" spans="1:32" ht="60" hidden="1" customHeight="1" x14ac:dyDescent="0.25">
      <c r="A95" s="14"/>
      <c r="B95" s="37" t="s">
        <v>251</v>
      </c>
      <c r="C95" s="38" t="s">
        <v>252</v>
      </c>
      <c r="D95" s="38" t="s">
        <v>190</v>
      </c>
      <c r="E95" s="39" t="s">
        <v>253</v>
      </c>
      <c r="F95" s="38" t="s">
        <v>254</v>
      </c>
      <c r="G95" s="38" t="s">
        <v>255</v>
      </c>
      <c r="H95" s="40">
        <v>1</v>
      </c>
      <c r="I95" s="39" t="s">
        <v>265</v>
      </c>
      <c r="J95" s="86">
        <v>7</v>
      </c>
      <c r="K95" s="45" t="s">
        <v>266</v>
      </c>
      <c r="L95" s="40" t="s">
        <v>183</v>
      </c>
      <c r="M95" s="41">
        <v>0.5</v>
      </c>
      <c r="N95" s="42">
        <f>IFERROR(VLOOKUP(V.sual_Data[[#This Row],[RESPONSABLE]],Listas!$D$3:$F$7,3,FALSE),0)</f>
        <v>22796.352583586624</v>
      </c>
      <c r="O95" s="34">
        <f t="shared" si="20"/>
        <v>11398.176291793312</v>
      </c>
      <c r="P95" s="42">
        <f>IFERROR((VLOOKUP(V.sual_Data[[#This Row],[RESPONSABLE]],Listas!$D$3:$K$7,5,FALSE))*V.sual_Data[[#This Row],[TIEMPO (HORAS)]],0)</f>
        <v>2110.7733873691318</v>
      </c>
      <c r="Q95" s="42">
        <f>IFERROR(+VLOOKUP(L95,V.sual_Lista_Data[[EQUIPO VISUAL]:[SOFTWARE 
VALOR HORA]],8,FALSE)*V.sual_Data[[#This Row],[TIEMPO (HORAS)]],"0")</f>
        <v>1705.4274435719917</v>
      </c>
      <c r="R95" s="43">
        <v>0</v>
      </c>
      <c r="S95" s="43">
        <v>0</v>
      </c>
      <c r="T95" s="3">
        <f t="shared" si="21"/>
        <v>15214.377122734437</v>
      </c>
      <c r="U95" s="15">
        <f>V.sual_Data[[#This Row],[TIEMPO (HORAS)]]*Gastos_Operativos[[#Totals],[GASTOS HORA]]</f>
        <v>13894.738536155201</v>
      </c>
      <c r="V95" s="3">
        <f>V.sual_Data[[#This Row],[COSTO 
DIRECTO ($COP)]]+V.sual_Data[[#This Row],[PRORRATEO GASTOS ($COP)]]</f>
        <v>29109.115658889637</v>
      </c>
      <c r="W95" s="44">
        <v>0.2</v>
      </c>
      <c r="X95" s="15">
        <f>V.sual_Data[[#This Row],[COSTOS OPERACIONALES ($COP)]]*V.sual_Data[[#This Row],[DESFASE (%)]]</f>
        <v>5821.8231317779282</v>
      </c>
      <c r="Y95" s="44">
        <v>0.3</v>
      </c>
      <c r="Z95" s="15">
        <f>+((V.sual_Data[[#This Row],[COSTOS OPERACIONALES ($COP)]]/(100%-V.sual_Data[[#This Row],[UTILIDAD (%)]])))-V.sual_Data[[#This Row],[COSTOS OPERACIONALES ($COP)]]</f>
        <v>12475.335282381278</v>
      </c>
      <c r="AA95" s="3">
        <f>+V.sual_Data[[#This Row],[COSTOS OPERACIONALES ($COP)]]+V.sual_Data[[#This Row],[DESFASE ($COP)]]+V.sual_Data[[#This Row],[UTILIDAD ($COP)]]</f>
        <v>47406.274073048844</v>
      </c>
      <c r="AB95" s="44">
        <v>0.05</v>
      </c>
      <c r="AC95" s="15">
        <f>+((V.sual_Data[[#This Row],[VALOR NETO ($COP)]]/(100%-V.sual_Data[[#This Row],[MÁRGEN DE NEGOCIACIÓN (%)]])))-V.sual_Data[[#This Row],[VALOR NETO ($COP)]]</f>
        <v>2495.0670564762549</v>
      </c>
      <c r="AD95" s="15">
        <f>+(V.sual_Data[[#This Row],[VALOR NETO ($COP)]]+V.sual_Data[[#This Row],[NEGOCIACIÓN ($COP)]])*1%</f>
        <v>499.01341129525099</v>
      </c>
      <c r="AE95" s="15">
        <f>+(V.sual_Data[[#This Row],[VALOR NETO ($COP)]]+V.sual_Data[[#This Row],[NEGOCIACIÓN ($COP)]])*1%</f>
        <v>499.01341129525099</v>
      </c>
      <c r="AF95" s="3">
        <f>+V.sual_Data[[#This Row],[VALOR NETO ($COP)]]+V.sual_Data[[#This Row],[4 * 1000 ($COP)]]+V.sual_Data[[#This Row],[ICA ($COP)]]+V.sual_Data[[#This Row],[NEGOCIACIÓN ($COP)]]</f>
        <v>50899.367952115601</v>
      </c>
    </row>
    <row r="96" spans="1:32" ht="60" hidden="1" customHeight="1" x14ac:dyDescent="0.25">
      <c r="A96" s="14"/>
      <c r="B96" s="37" t="s">
        <v>251</v>
      </c>
      <c r="C96" s="38" t="s">
        <v>252</v>
      </c>
      <c r="D96" s="38" t="s">
        <v>190</v>
      </c>
      <c r="E96" s="39" t="s">
        <v>253</v>
      </c>
      <c r="F96" s="38" t="s">
        <v>254</v>
      </c>
      <c r="G96" s="38" t="s">
        <v>255</v>
      </c>
      <c r="H96" s="40">
        <v>1</v>
      </c>
      <c r="I96" s="39" t="s">
        <v>267</v>
      </c>
      <c r="J96" s="86">
        <v>8</v>
      </c>
      <c r="K96" s="39" t="s">
        <v>268</v>
      </c>
      <c r="L96" s="40" t="s">
        <v>183</v>
      </c>
      <c r="M96" s="41">
        <v>0.5</v>
      </c>
      <c r="N96" s="42">
        <f>IFERROR(VLOOKUP(V.sual_Data[[#This Row],[RESPONSABLE]],Listas!$D$3:$F$7,3,FALSE),0)</f>
        <v>22796.352583586624</v>
      </c>
      <c r="O96" s="34">
        <f t="shared" si="20"/>
        <v>11398.176291793312</v>
      </c>
      <c r="P96" s="42">
        <f>IFERROR((VLOOKUP(V.sual_Data[[#This Row],[RESPONSABLE]],Listas!$D$3:$K$7,5,FALSE))*V.sual_Data[[#This Row],[TIEMPO (HORAS)]],0)</f>
        <v>2110.7733873691318</v>
      </c>
      <c r="Q96" s="42">
        <f>IFERROR(+VLOOKUP(L96,V.sual_Lista_Data[[EQUIPO VISUAL]:[SOFTWARE 
VALOR HORA]],8,FALSE)*V.sual_Data[[#This Row],[TIEMPO (HORAS)]],"0")</f>
        <v>1705.4274435719917</v>
      </c>
      <c r="R96" s="43">
        <v>0</v>
      </c>
      <c r="S96" s="43">
        <v>0</v>
      </c>
      <c r="T96" s="3">
        <f t="shared" si="21"/>
        <v>15214.377122734437</v>
      </c>
      <c r="U96" s="15">
        <f>V.sual_Data[[#This Row],[TIEMPO (HORAS)]]*Gastos_Operativos[[#Totals],[GASTOS HORA]]</f>
        <v>13894.738536155201</v>
      </c>
      <c r="V96" s="3">
        <f>V.sual_Data[[#This Row],[COSTO 
DIRECTO ($COP)]]+V.sual_Data[[#This Row],[PRORRATEO GASTOS ($COP)]]</f>
        <v>29109.115658889637</v>
      </c>
      <c r="W96" s="44">
        <v>0.2</v>
      </c>
      <c r="X96" s="15">
        <f>V.sual_Data[[#This Row],[COSTOS OPERACIONALES ($COP)]]*V.sual_Data[[#This Row],[DESFASE (%)]]</f>
        <v>5821.8231317779282</v>
      </c>
      <c r="Y96" s="44">
        <v>0.3</v>
      </c>
      <c r="Z96" s="15">
        <f>+((V.sual_Data[[#This Row],[COSTOS OPERACIONALES ($COP)]]/(100%-V.sual_Data[[#This Row],[UTILIDAD (%)]])))-V.sual_Data[[#This Row],[COSTOS OPERACIONALES ($COP)]]</f>
        <v>12475.335282381278</v>
      </c>
      <c r="AA96" s="3">
        <f>+V.sual_Data[[#This Row],[COSTOS OPERACIONALES ($COP)]]+V.sual_Data[[#This Row],[DESFASE ($COP)]]+V.sual_Data[[#This Row],[UTILIDAD ($COP)]]</f>
        <v>47406.274073048844</v>
      </c>
      <c r="AB96" s="44">
        <v>0.05</v>
      </c>
      <c r="AC96" s="15">
        <f>+((V.sual_Data[[#This Row],[VALOR NETO ($COP)]]/(100%-V.sual_Data[[#This Row],[MÁRGEN DE NEGOCIACIÓN (%)]])))-V.sual_Data[[#This Row],[VALOR NETO ($COP)]]</f>
        <v>2495.0670564762549</v>
      </c>
      <c r="AD96" s="15">
        <f>+(V.sual_Data[[#This Row],[VALOR NETO ($COP)]]+V.sual_Data[[#This Row],[NEGOCIACIÓN ($COP)]])*1%</f>
        <v>499.01341129525099</v>
      </c>
      <c r="AE96" s="15">
        <f>+(V.sual_Data[[#This Row],[VALOR NETO ($COP)]]+V.sual_Data[[#This Row],[NEGOCIACIÓN ($COP)]])*1%</f>
        <v>499.01341129525099</v>
      </c>
      <c r="AF96" s="3">
        <f>+V.sual_Data[[#This Row],[VALOR NETO ($COP)]]+V.sual_Data[[#This Row],[4 * 1000 ($COP)]]+V.sual_Data[[#This Row],[ICA ($COP)]]+V.sual_Data[[#This Row],[NEGOCIACIÓN ($COP)]]</f>
        <v>50899.367952115601</v>
      </c>
    </row>
    <row r="97" spans="1:32" ht="60" hidden="1" customHeight="1" x14ac:dyDescent="0.25">
      <c r="A97" s="14"/>
      <c r="B97" s="37" t="s">
        <v>251</v>
      </c>
      <c r="C97" s="38" t="s">
        <v>252</v>
      </c>
      <c r="D97" s="38" t="s">
        <v>190</v>
      </c>
      <c r="E97" s="39" t="s">
        <v>253</v>
      </c>
      <c r="F97" s="38" t="s">
        <v>254</v>
      </c>
      <c r="G97" s="38" t="s">
        <v>255</v>
      </c>
      <c r="H97" s="40">
        <v>1</v>
      </c>
      <c r="I97" s="39" t="s">
        <v>259</v>
      </c>
      <c r="J97" s="86">
        <v>9</v>
      </c>
      <c r="K97" s="45" t="s">
        <v>159</v>
      </c>
      <c r="L97" s="40" t="s">
        <v>183</v>
      </c>
      <c r="M97" s="41">
        <v>1</v>
      </c>
      <c r="N97" s="42">
        <f>IFERROR(VLOOKUP(V.sual_Data[[#This Row],[RESPONSABLE]],Listas!$D$3:$F$7,3,FALSE),0)</f>
        <v>22796.352583586624</v>
      </c>
      <c r="O97" s="34">
        <f t="shared" si="20"/>
        <v>22796.352583586624</v>
      </c>
      <c r="P97" s="42">
        <f>IFERROR((VLOOKUP(V.sual_Data[[#This Row],[RESPONSABLE]],Listas!$D$3:$K$7,5,FALSE))*V.sual_Data[[#This Row],[TIEMPO (HORAS)]],0)</f>
        <v>4221.5467747382636</v>
      </c>
      <c r="Q97" s="42">
        <f>IFERROR(+VLOOKUP(L97,V.sual_Lista_Data[[EQUIPO VISUAL]:[SOFTWARE 
VALOR HORA]],8,FALSE)*V.sual_Data[[#This Row],[TIEMPO (HORAS)]],"0")</f>
        <v>3410.8548871439834</v>
      </c>
      <c r="R97" s="43">
        <v>0</v>
      </c>
      <c r="S97" s="43">
        <v>0</v>
      </c>
      <c r="T97" s="3">
        <f t="shared" si="21"/>
        <v>30428.754245468874</v>
      </c>
      <c r="U97" s="15">
        <f>V.sual_Data[[#This Row],[TIEMPO (HORAS)]]*Gastos_Operativos[[#Totals],[GASTOS HORA]]</f>
        <v>27789.477072310401</v>
      </c>
      <c r="V97" s="3">
        <f>V.sual_Data[[#This Row],[COSTO 
DIRECTO ($COP)]]+V.sual_Data[[#This Row],[PRORRATEO GASTOS ($COP)]]</f>
        <v>58218.231317779275</v>
      </c>
      <c r="W97" s="44">
        <v>0.2</v>
      </c>
      <c r="X97" s="15">
        <f>V.sual_Data[[#This Row],[COSTOS OPERACIONALES ($COP)]]*V.sual_Data[[#This Row],[DESFASE (%)]]</f>
        <v>11643.646263555856</v>
      </c>
      <c r="Y97" s="44">
        <v>0.3</v>
      </c>
      <c r="Z97" s="15">
        <f>+((V.sual_Data[[#This Row],[COSTOS OPERACIONALES ($COP)]]/(100%-V.sual_Data[[#This Row],[UTILIDAD (%)]])))-V.sual_Data[[#This Row],[COSTOS OPERACIONALES ($COP)]]</f>
        <v>24950.670564762557</v>
      </c>
      <c r="AA97" s="3">
        <f>+V.sual_Data[[#This Row],[COSTOS OPERACIONALES ($COP)]]+V.sual_Data[[#This Row],[DESFASE ($COP)]]+V.sual_Data[[#This Row],[UTILIDAD ($COP)]]</f>
        <v>94812.548146097688</v>
      </c>
      <c r="AB97" s="44">
        <v>0.05</v>
      </c>
      <c r="AC97" s="15">
        <f>+((V.sual_Data[[#This Row],[VALOR NETO ($COP)]]/(100%-V.sual_Data[[#This Row],[MÁRGEN DE NEGOCIACIÓN (%)]])))-V.sual_Data[[#This Row],[VALOR NETO ($COP)]]</f>
        <v>4990.1341129525099</v>
      </c>
      <c r="AD97" s="15">
        <f>+(V.sual_Data[[#This Row],[VALOR NETO ($COP)]]+V.sual_Data[[#This Row],[NEGOCIACIÓN ($COP)]])*1%</f>
        <v>998.02682259050198</v>
      </c>
      <c r="AE97" s="15">
        <f>+(V.sual_Data[[#This Row],[VALOR NETO ($COP)]]+V.sual_Data[[#This Row],[NEGOCIACIÓN ($COP)]])*1%</f>
        <v>998.02682259050198</v>
      </c>
      <c r="AF97" s="3">
        <f>+V.sual_Data[[#This Row],[VALOR NETO ($COP)]]+V.sual_Data[[#This Row],[4 * 1000 ($COP)]]+V.sual_Data[[#This Row],[ICA ($COP)]]+V.sual_Data[[#This Row],[NEGOCIACIÓN ($COP)]]</f>
        <v>101798.7359042312</v>
      </c>
    </row>
    <row r="98" spans="1:32" ht="60" hidden="1" customHeight="1" x14ac:dyDescent="0.25">
      <c r="A98" s="14"/>
      <c r="B98" s="37" t="s">
        <v>269</v>
      </c>
      <c r="C98" s="38" t="s">
        <v>270</v>
      </c>
      <c r="D98" s="38" t="s">
        <v>110</v>
      </c>
      <c r="E98" s="38" t="s">
        <v>271</v>
      </c>
      <c r="F98" s="40" t="s">
        <v>272</v>
      </c>
      <c r="G98" s="40" t="s">
        <v>273</v>
      </c>
      <c r="H98" s="46">
        <v>1</v>
      </c>
      <c r="I98" s="39" t="s">
        <v>274</v>
      </c>
      <c r="J98" s="86">
        <v>1</v>
      </c>
      <c r="K98" s="45" t="s">
        <v>275</v>
      </c>
      <c r="L98" s="40" t="s">
        <v>116</v>
      </c>
      <c r="M98" s="40">
        <v>0.5</v>
      </c>
      <c r="N98" s="42">
        <f>IFERROR(VLOOKUP(V.sual_Data[[#This Row],[RESPONSABLE]],Listas!$D$3:$F$7,3,FALSE),0)</f>
        <v>17730.496453900709</v>
      </c>
      <c r="O98" s="34">
        <f t="shared" si="20"/>
        <v>8865.2482269503544</v>
      </c>
      <c r="P98" s="42">
        <f>IFERROR((VLOOKUP(V.sual_Data[[#This Row],[RESPONSABLE]],Listas!$D$3:$K$7,5,FALSE))*V.sual_Data[[#This Row],[TIEMPO (HORAS)]],0)</f>
        <v>2110.7733873691318</v>
      </c>
      <c r="Q98" s="42">
        <f>IFERROR(+VLOOKUP(L98,V.sual_Lista_Data[[EQUIPO VISUAL]:[SOFTWARE 
VALOR HORA]],8,FALSE)*V.sual_Data[[#This Row],[TIEMPO (HORAS)]],"0")</f>
        <v>1705.4274435719917</v>
      </c>
      <c r="R98" s="43">
        <v>0</v>
      </c>
      <c r="S98" s="43">
        <v>0</v>
      </c>
      <c r="T98" s="3">
        <f t="shared" si="21"/>
        <v>12681.449057891477</v>
      </c>
      <c r="U98" s="15">
        <f>V.sual_Data[[#This Row],[TIEMPO (HORAS)]]*Gastos_Operativos[[#Totals],[GASTOS HORA]]</f>
        <v>13894.738536155201</v>
      </c>
      <c r="V98" s="3">
        <f>V.sual_Data[[#This Row],[COSTO 
DIRECTO ($COP)]]+V.sual_Data[[#This Row],[PRORRATEO GASTOS ($COP)]]</f>
        <v>26576.187594046678</v>
      </c>
      <c r="W98" s="44">
        <v>0.1</v>
      </c>
      <c r="X98" s="15">
        <f>V.sual_Data[[#This Row],[COSTOS OPERACIONALES ($COP)]]*V.sual_Data[[#This Row],[DESFASE (%)]]</f>
        <v>2657.6187594046678</v>
      </c>
      <c r="Y98" s="44">
        <v>0.3</v>
      </c>
      <c r="Z98" s="15">
        <f>+((V.sual_Data[[#This Row],[COSTOS OPERACIONALES ($COP)]]/(100%-V.sual_Data[[#This Row],[UTILIDAD (%)]])))-V.sual_Data[[#This Row],[COSTOS OPERACIONALES ($COP)]]</f>
        <v>11389.794683162865</v>
      </c>
      <c r="AA98" s="3">
        <f>+V.sual_Data[[#This Row],[COSTOS OPERACIONALES ($COP)]]+V.sual_Data[[#This Row],[DESFASE ($COP)]]+V.sual_Data[[#This Row],[UTILIDAD ($COP)]]</f>
        <v>40623.601036614215</v>
      </c>
      <c r="AB98" s="44">
        <v>0.05</v>
      </c>
      <c r="AC98" s="15">
        <f>+((V.sual_Data[[#This Row],[VALOR NETO ($COP)]]/(100%-V.sual_Data[[#This Row],[MÁRGEN DE NEGOCIACIÓN (%)]])))-V.sual_Data[[#This Row],[VALOR NETO ($COP)]]</f>
        <v>2138.084265084959</v>
      </c>
      <c r="AD98" s="15">
        <f>+(V.sual_Data[[#This Row],[VALOR NETO ($COP)]]+V.sual_Data[[#This Row],[NEGOCIACIÓN ($COP)]])*1%</f>
        <v>427.61685301699174</v>
      </c>
      <c r="AE98" s="15">
        <f>+(V.sual_Data[[#This Row],[VALOR NETO ($COP)]]+V.sual_Data[[#This Row],[NEGOCIACIÓN ($COP)]])*1%</f>
        <v>427.61685301699174</v>
      </c>
      <c r="AF98" s="3">
        <f>+V.sual_Data[[#This Row],[VALOR NETO ($COP)]]+V.sual_Data[[#This Row],[4 * 1000 ($COP)]]+V.sual_Data[[#This Row],[ICA ($COP)]]+V.sual_Data[[#This Row],[NEGOCIACIÓN ($COP)]]</f>
        <v>43616.919007733151</v>
      </c>
    </row>
    <row r="99" spans="1:32" ht="60" hidden="1" customHeight="1" x14ac:dyDescent="0.25">
      <c r="A99" s="14"/>
      <c r="B99" s="37" t="s">
        <v>269</v>
      </c>
      <c r="C99" s="38" t="s">
        <v>270</v>
      </c>
      <c r="D99" s="38" t="s">
        <v>110</v>
      </c>
      <c r="E99" s="38" t="s">
        <v>271</v>
      </c>
      <c r="F99" s="40" t="s">
        <v>272</v>
      </c>
      <c r="G99" s="40" t="s">
        <v>273</v>
      </c>
      <c r="H99" s="46">
        <v>1</v>
      </c>
      <c r="I99" s="39" t="s">
        <v>276</v>
      </c>
      <c r="J99" s="86">
        <v>2</v>
      </c>
      <c r="K99" s="45" t="s">
        <v>277</v>
      </c>
      <c r="L99" s="40" t="s">
        <v>116</v>
      </c>
      <c r="M99" s="40">
        <v>1</v>
      </c>
      <c r="N99" s="42">
        <f>IFERROR(VLOOKUP(V.sual_Data[[#This Row],[RESPONSABLE]],Listas!$D$3:$F$7,3,FALSE),0)</f>
        <v>17730.496453900709</v>
      </c>
      <c r="O99" s="34">
        <f t="shared" si="20"/>
        <v>17730.496453900709</v>
      </c>
      <c r="P99" s="42">
        <f>IFERROR((VLOOKUP(V.sual_Data[[#This Row],[RESPONSABLE]],Listas!$D$3:$K$7,5,FALSE))*V.sual_Data[[#This Row],[TIEMPO (HORAS)]],0)</f>
        <v>4221.5467747382636</v>
      </c>
      <c r="Q99" s="42">
        <f>IFERROR(+VLOOKUP(L99,V.sual_Lista_Data[[EQUIPO VISUAL]:[SOFTWARE 
VALOR HORA]],8,FALSE)*V.sual_Data[[#This Row],[TIEMPO (HORAS)]],"0")</f>
        <v>3410.8548871439834</v>
      </c>
      <c r="R99" s="43">
        <v>0</v>
      </c>
      <c r="S99" s="43">
        <v>0</v>
      </c>
      <c r="T99" s="3">
        <f t="shared" si="21"/>
        <v>25362.898115782955</v>
      </c>
      <c r="U99" s="15">
        <f>V.sual_Data[[#This Row],[TIEMPO (HORAS)]]*Gastos_Operativos[[#Totals],[GASTOS HORA]]</f>
        <v>27789.477072310401</v>
      </c>
      <c r="V99" s="3">
        <f>V.sual_Data[[#This Row],[COSTO 
DIRECTO ($COP)]]+V.sual_Data[[#This Row],[PRORRATEO GASTOS ($COP)]]</f>
        <v>53152.375188093356</v>
      </c>
      <c r="W99" s="44">
        <v>0.1</v>
      </c>
      <c r="X99" s="15">
        <f>V.sual_Data[[#This Row],[COSTOS OPERACIONALES ($COP)]]*V.sual_Data[[#This Row],[DESFASE (%)]]</f>
        <v>5315.2375188093356</v>
      </c>
      <c r="Y99" s="44">
        <v>0.3</v>
      </c>
      <c r="Z99" s="15">
        <f>+((V.sual_Data[[#This Row],[COSTOS OPERACIONALES ($COP)]]/(100%-V.sual_Data[[#This Row],[UTILIDAD (%)]])))-V.sual_Data[[#This Row],[COSTOS OPERACIONALES ($COP)]]</f>
        <v>22779.58936632573</v>
      </c>
      <c r="AA99" s="3">
        <f>+V.sual_Data[[#This Row],[COSTOS OPERACIONALES ($COP)]]+V.sual_Data[[#This Row],[DESFASE ($COP)]]+V.sual_Data[[#This Row],[UTILIDAD ($COP)]]</f>
        <v>81247.202073228429</v>
      </c>
      <c r="AB99" s="44">
        <v>0.05</v>
      </c>
      <c r="AC99" s="15">
        <f>+((V.sual_Data[[#This Row],[VALOR NETO ($COP)]]/(100%-V.sual_Data[[#This Row],[MÁRGEN DE NEGOCIACIÓN (%)]])))-V.sual_Data[[#This Row],[VALOR NETO ($COP)]]</f>
        <v>4276.1685301699181</v>
      </c>
      <c r="AD99" s="15">
        <f>+(V.sual_Data[[#This Row],[VALOR NETO ($COP)]]+V.sual_Data[[#This Row],[NEGOCIACIÓN ($COP)]])*1%</f>
        <v>855.23370603398348</v>
      </c>
      <c r="AE99" s="15">
        <f>+(V.sual_Data[[#This Row],[VALOR NETO ($COP)]]+V.sual_Data[[#This Row],[NEGOCIACIÓN ($COP)]])*1%</f>
        <v>855.23370603398348</v>
      </c>
      <c r="AF99" s="3">
        <f>+V.sual_Data[[#This Row],[VALOR NETO ($COP)]]+V.sual_Data[[#This Row],[4 * 1000 ($COP)]]+V.sual_Data[[#This Row],[ICA ($COP)]]+V.sual_Data[[#This Row],[NEGOCIACIÓN ($COP)]]</f>
        <v>87233.838015466303</v>
      </c>
    </row>
    <row r="100" spans="1:32" ht="60" hidden="1" customHeight="1" x14ac:dyDescent="0.25">
      <c r="A100" s="14"/>
      <c r="B100" s="37" t="s">
        <v>269</v>
      </c>
      <c r="C100" s="38" t="s">
        <v>270</v>
      </c>
      <c r="D100" s="38" t="s">
        <v>110</v>
      </c>
      <c r="E100" s="38" t="s">
        <v>271</v>
      </c>
      <c r="F100" s="40" t="s">
        <v>272</v>
      </c>
      <c r="G100" s="40" t="s">
        <v>273</v>
      </c>
      <c r="H100" s="46">
        <v>1</v>
      </c>
      <c r="I100" s="39" t="s">
        <v>278</v>
      </c>
      <c r="J100" s="86">
        <v>3</v>
      </c>
      <c r="K100" s="45" t="s">
        <v>279</v>
      </c>
      <c r="L100" s="40" t="s">
        <v>116</v>
      </c>
      <c r="M100" s="40">
        <v>1</v>
      </c>
      <c r="N100" s="42">
        <f>IFERROR(VLOOKUP(V.sual_Data[[#This Row],[RESPONSABLE]],Listas!$D$3:$F$7,3,FALSE),0)</f>
        <v>17730.496453900709</v>
      </c>
      <c r="O100" s="34">
        <f t="shared" si="20"/>
        <v>17730.496453900709</v>
      </c>
      <c r="P100" s="42">
        <f>IFERROR((VLOOKUP(V.sual_Data[[#This Row],[RESPONSABLE]],Listas!$D$3:$K$7,5,FALSE))*V.sual_Data[[#This Row],[TIEMPO (HORAS)]],0)</f>
        <v>4221.5467747382636</v>
      </c>
      <c r="Q100" s="42">
        <f>IFERROR(+VLOOKUP(L100,V.sual_Lista_Data[[EQUIPO VISUAL]:[SOFTWARE 
VALOR HORA]],8,FALSE)*V.sual_Data[[#This Row],[TIEMPO (HORAS)]],"0")</f>
        <v>3410.8548871439834</v>
      </c>
      <c r="R100" s="43">
        <v>0</v>
      </c>
      <c r="S100" s="43">
        <v>0</v>
      </c>
      <c r="T100" s="3">
        <f t="shared" si="21"/>
        <v>25362.898115782955</v>
      </c>
      <c r="U100" s="15">
        <f>V.sual_Data[[#This Row],[TIEMPO (HORAS)]]*Gastos_Operativos[[#Totals],[GASTOS HORA]]</f>
        <v>27789.477072310401</v>
      </c>
      <c r="V100" s="3">
        <f>V.sual_Data[[#This Row],[COSTO 
DIRECTO ($COP)]]+V.sual_Data[[#This Row],[PRORRATEO GASTOS ($COP)]]</f>
        <v>53152.375188093356</v>
      </c>
      <c r="W100" s="44">
        <v>0.1</v>
      </c>
      <c r="X100" s="15">
        <f>V.sual_Data[[#This Row],[COSTOS OPERACIONALES ($COP)]]*V.sual_Data[[#This Row],[DESFASE (%)]]</f>
        <v>5315.2375188093356</v>
      </c>
      <c r="Y100" s="44">
        <v>0.3</v>
      </c>
      <c r="Z100" s="15">
        <f>+((V.sual_Data[[#This Row],[COSTOS OPERACIONALES ($COP)]]/(100%-V.sual_Data[[#This Row],[UTILIDAD (%)]])))-V.sual_Data[[#This Row],[COSTOS OPERACIONALES ($COP)]]</f>
        <v>22779.58936632573</v>
      </c>
      <c r="AA100" s="3">
        <f>+V.sual_Data[[#This Row],[COSTOS OPERACIONALES ($COP)]]+V.sual_Data[[#This Row],[DESFASE ($COP)]]+V.sual_Data[[#This Row],[UTILIDAD ($COP)]]</f>
        <v>81247.202073228429</v>
      </c>
      <c r="AB100" s="44">
        <v>0.05</v>
      </c>
      <c r="AC100" s="15">
        <f>+((V.sual_Data[[#This Row],[VALOR NETO ($COP)]]/(100%-V.sual_Data[[#This Row],[MÁRGEN DE NEGOCIACIÓN (%)]])))-V.sual_Data[[#This Row],[VALOR NETO ($COP)]]</f>
        <v>4276.1685301699181</v>
      </c>
      <c r="AD100" s="15">
        <f>+(V.sual_Data[[#This Row],[VALOR NETO ($COP)]]+V.sual_Data[[#This Row],[NEGOCIACIÓN ($COP)]])*1%</f>
        <v>855.23370603398348</v>
      </c>
      <c r="AE100" s="15">
        <f>+(V.sual_Data[[#This Row],[VALOR NETO ($COP)]]+V.sual_Data[[#This Row],[NEGOCIACIÓN ($COP)]])*1%</f>
        <v>855.23370603398348</v>
      </c>
      <c r="AF100" s="3">
        <f>+V.sual_Data[[#This Row],[VALOR NETO ($COP)]]+V.sual_Data[[#This Row],[4 * 1000 ($COP)]]+V.sual_Data[[#This Row],[ICA ($COP)]]+V.sual_Data[[#This Row],[NEGOCIACIÓN ($COP)]]</f>
        <v>87233.838015466303</v>
      </c>
    </row>
    <row r="101" spans="1:32" ht="60" hidden="1" customHeight="1" x14ac:dyDescent="0.25">
      <c r="A101" s="14"/>
      <c r="B101" s="37" t="s">
        <v>269</v>
      </c>
      <c r="C101" s="38" t="s">
        <v>270</v>
      </c>
      <c r="D101" s="38" t="s">
        <v>110</v>
      </c>
      <c r="E101" s="38" t="s">
        <v>271</v>
      </c>
      <c r="F101" s="40" t="s">
        <v>272</v>
      </c>
      <c r="G101" s="40" t="s">
        <v>273</v>
      </c>
      <c r="H101" s="46">
        <v>1</v>
      </c>
      <c r="I101" s="39" t="s">
        <v>278</v>
      </c>
      <c r="J101" s="86">
        <v>4</v>
      </c>
      <c r="K101" s="45" t="s">
        <v>280</v>
      </c>
      <c r="L101" s="40" t="s">
        <v>116</v>
      </c>
      <c r="M101" s="40">
        <v>1</v>
      </c>
      <c r="N101" s="42">
        <f>IFERROR(VLOOKUP(V.sual_Data[[#This Row],[RESPONSABLE]],Listas!$D$3:$F$7,3,FALSE),0)</f>
        <v>17730.496453900709</v>
      </c>
      <c r="O101" s="34">
        <f t="shared" si="20"/>
        <v>17730.496453900709</v>
      </c>
      <c r="P101" s="42">
        <f>IFERROR((VLOOKUP(V.sual_Data[[#This Row],[RESPONSABLE]],Listas!$D$3:$K$7,5,FALSE))*V.sual_Data[[#This Row],[TIEMPO (HORAS)]],0)</f>
        <v>4221.5467747382636</v>
      </c>
      <c r="Q101" s="42">
        <f>IFERROR(+VLOOKUP(L101,V.sual_Lista_Data[[EQUIPO VISUAL]:[SOFTWARE 
VALOR HORA]],8,FALSE)*V.sual_Data[[#This Row],[TIEMPO (HORAS)]],"0")</f>
        <v>3410.8548871439834</v>
      </c>
      <c r="R101" s="43">
        <v>0</v>
      </c>
      <c r="S101" s="43">
        <v>0</v>
      </c>
      <c r="T101" s="3">
        <f t="shared" si="21"/>
        <v>25362.898115782955</v>
      </c>
      <c r="U101" s="15">
        <f>V.sual_Data[[#This Row],[TIEMPO (HORAS)]]*Gastos_Operativos[[#Totals],[GASTOS HORA]]</f>
        <v>27789.477072310401</v>
      </c>
      <c r="V101" s="3">
        <f>V.sual_Data[[#This Row],[COSTO 
DIRECTO ($COP)]]+V.sual_Data[[#This Row],[PRORRATEO GASTOS ($COP)]]</f>
        <v>53152.375188093356</v>
      </c>
      <c r="W101" s="44">
        <v>0.1</v>
      </c>
      <c r="X101" s="15">
        <f>V.sual_Data[[#This Row],[COSTOS OPERACIONALES ($COP)]]*V.sual_Data[[#This Row],[DESFASE (%)]]</f>
        <v>5315.2375188093356</v>
      </c>
      <c r="Y101" s="44">
        <v>0.3</v>
      </c>
      <c r="Z101" s="15">
        <f>+((V.sual_Data[[#This Row],[COSTOS OPERACIONALES ($COP)]]/(100%-V.sual_Data[[#This Row],[UTILIDAD (%)]])))-V.sual_Data[[#This Row],[COSTOS OPERACIONALES ($COP)]]</f>
        <v>22779.58936632573</v>
      </c>
      <c r="AA101" s="3">
        <f>+V.sual_Data[[#This Row],[COSTOS OPERACIONALES ($COP)]]+V.sual_Data[[#This Row],[DESFASE ($COP)]]+V.sual_Data[[#This Row],[UTILIDAD ($COP)]]</f>
        <v>81247.202073228429</v>
      </c>
      <c r="AB101" s="44">
        <v>0.05</v>
      </c>
      <c r="AC101" s="15">
        <f>+((V.sual_Data[[#This Row],[VALOR NETO ($COP)]]/(100%-V.sual_Data[[#This Row],[MÁRGEN DE NEGOCIACIÓN (%)]])))-V.sual_Data[[#This Row],[VALOR NETO ($COP)]]</f>
        <v>4276.1685301699181</v>
      </c>
      <c r="AD101" s="15">
        <f>+(V.sual_Data[[#This Row],[VALOR NETO ($COP)]]+V.sual_Data[[#This Row],[NEGOCIACIÓN ($COP)]])*1%</f>
        <v>855.23370603398348</v>
      </c>
      <c r="AE101" s="15">
        <f>+(V.sual_Data[[#This Row],[VALOR NETO ($COP)]]+V.sual_Data[[#This Row],[NEGOCIACIÓN ($COP)]])*1%</f>
        <v>855.23370603398348</v>
      </c>
      <c r="AF101" s="3">
        <f>+V.sual_Data[[#This Row],[VALOR NETO ($COP)]]+V.sual_Data[[#This Row],[4 * 1000 ($COP)]]+V.sual_Data[[#This Row],[ICA ($COP)]]+V.sual_Data[[#This Row],[NEGOCIACIÓN ($COP)]]</f>
        <v>87233.838015466303</v>
      </c>
    </row>
    <row r="102" spans="1:32" ht="60" hidden="1" customHeight="1" x14ac:dyDescent="0.25">
      <c r="A102" s="14"/>
      <c r="B102" s="37" t="s">
        <v>269</v>
      </c>
      <c r="C102" s="38" t="s">
        <v>270</v>
      </c>
      <c r="D102" s="38" t="s">
        <v>110</v>
      </c>
      <c r="E102" s="38" t="s">
        <v>271</v>
      </c>
      <c r="F102" s="40" t="s">
        <v>272</v>
      </c>
      <c r="G102" s="40" t="s">
        <v>273</v>
      </c>
      <c r="H102" s="46">
        <v>1</v>
      </c>
      <c r="I102" s="39" t="s">
        <v>281</v>
      </c>
      <c r="J102" s="86">
        <v>5</v>
      </c>
      <c r="K102" s="45" t="s">
        <v>282</v>
      </c>
      <c r="L102" s="40" t="s">
        <v>116</v>
      </c>
      <c r="M102" s="40">
        <v>1</v>
      </c>
      <c r="N102" s="42">
        <f>IFERROR(VLOOKUP(V.sual_Data[[#This Row],[RESPONSABLE]],Listas!$D$3:$F$7,3,FALSE),0)</f>
        <v>17730.496453900709</v>
      </c>
      <c r="O102" s="34">
        <f t="shared" si="20"/>
        <v>17730.496453900709</v>
      </c>
      <c r="P102" s="42">
        <f>IFERROR((VLOOKUP(V.sual_Data[[#This Row],[RESPONSABLE]],Listas!$D$3:$K$7,5,FALSE))*V.sual_Data[[#This Row],[TIEMPO (HORAS)]],0)</f>
        <v>4221.5467747382636</v>
      </c>
      <c r="Q102" s="42">
        <f>IFERROR(+VLOOKUP(L102,V.sual_Lista_Data[[EQUIPO VISUAL]:[SOFTWARE 
VALOR HORA]],8,FALSE)*V.sual_Data[[#This Row],[TIEMPO (HORAS)]],"0")</f>
        <v>3410.8548871439834</v>
      </c>
      <c r="R102" s="43">
        <v>0</v>
      </c>
      <c r="S102" s="43">
        <v>0</v>
      </c>
      <c r="T102" s="3">
        <f t="shared" si="21"/>
        <v>25362.898115782955</v>
      </c>
      <c r="U102" s="15">
        <f>V.sual_Data[[#This Row],[TIEMPO (HORAS)]]*Gastos_Operativos[[#Totals],[GASTOS HORA]]</f>
        <v>27789.477072310401</v>
      </c>
      <c r="V102" s="3">
        <f>V.sual_Data[[#This Row],[COSTO 
DIRECTO ($COP)]]+V.sual_Data[[#This Row],[PRORRATEO GASTOS ($COP)]]</f>
        <v>53152.375188093356</v>
      </c>
      <c r="W102" s="44">
        <v>0.1</v>
      </c>
      <c r="X102" s="15">
        <f>V.sual_Data[[#This Row],[COSTOS OPERACIONALES ($COP)]]*V.sual_Data[[#This Row],[DESFASE (%)]]</f>
        <v>5315.2375188093356</v>
      </c>
      <c r="Y102" s="44">
        <v>0.3</v>
      </c>
      <c r="Z102" s="15">
        <f>+((V.sual_Data[[#This Row],[COSTOS OPERACIONALES ($COP)]]/(100%-V.sual_Data[[#This Row],[UTILIDAD (%)]])))-V.sual_Data[[#This Row],[COSTOS OPERACIONALES ($COP)]]</f>
        <v>22779.58936632573</v>
      </c>
      <c r="AA102" s="3">
        <f>+V.sual_Data[[#This Row],[COSTOS OPERACIONALES ($COP)]]+V.sual_Data[[#This Row],[DESFASE ($COP)]]+V.sual_Data[[#This Row],[UTILIDAD ($COP)]]</f>
        <v>81247.202073228429</v>
      </c>
      <c r="AB102" s="44">
        <v>0.05</v>
      </c>
      <c r="AC102" s="15">
        <f>+((V.sual_Data[[#This Row],[VALOR NETO ($COP)]]/(100%-V.sual_Data[[#This Row],[MÁRGEN DE NEGOCIACIÓN (%)]])))-V.sual_Data[[#This Row],[VALOR NETO ($COP)]]</f>
        <v>4276.1685301699181</v>
      </c>
      <c r="AD102" s="15">
        <f>+(V.sual_Data[[#This Row],[VALOR NETO ($COP)]]+V.sual_Data[[#This Row],[NEGOCIACIÓN ($COP)]])*1%</f>
        <v>855.23370603398348</v>
      </c>
      <c r="AE102" s="15">
        <f>+(V.sual_Data[[#This Row],[VALOR NETO ($COP)]]+V.sual_Data[[#This Row],[NEGOCIACIÓN ($COP)]])*1%</f>
        <v>855.23370603398348</v>
      </c>
      <c r="AF102" s="3">
        <f>+V.sual_Data[[#This Row],[VALOR NETO ($COP)]]+V.sual_Data[[#This Row],[4 * 1000 ($COP)]]+V.sual_Data[[#This Row],[ICA ($COP)]]+V.sual_Data[[#This Row],[NEGOCIACIÓN ($COP)]]</f>
        <v>87233.838015466303</v>
      </c>
    </row>
    <row r="103" spans="1:32" ht="60" hidden="1" customHeight="1" x14ac:dyDescent="0.25">
      <c r="A103" s="14"/>
      <c r="B103" s="37" t="s">
        <v>269</v>
      </c>
      <c r="C103" s="38" t="s">
        <v>270</v>
      </c>
      <c r="D103" s="38" t="s">
        <v>110</v>
      </c>
      <c r="E103" s="38" t="s">
        <v>271</v>
      </c>
      <c r="F103" s="40" t="s">
        <v>272</v>
      </c>
      <c r="G103" s="40" t="s">
        <v>273</v>
      </c>
      <c r="H103" s="46">
        <v>1</v>
      </c>
      <c r="I103" s="39" t="s">
        <v>281</v>
      </c>
      <c r="J103" s="86">
        <v>6</v>
      </c>
      <c r="K103" s="45" t="s">
        <v>283</v>
      </c>
      <c r="L103" s="40" t="s">
        <v>116</v>
      </c>
      <c r="M103" s="40">
        <v>1</v>
      </c>
      <c r="N103" s="42">
        <f>IFERROR(VLOOKUP(V.sual_Data[[#This Row],[RESPONSABLE]],Listas!$D$3:$F$7,3,FALSE),0)</f>
        <v>17730.496453900709</v>
      </c>
      <c r="O103" s="34">
        <f t="shared" si="20"/>
        <v>17730.496453900709</v>
      </c>
      <c r="P103" s="42">
        <f>IFERROR((VLOOKUP(V.sual_Data[[#This Row],[RESPONSABLE]],Listas!$D$3:$K$7,5,FALSE))*V.sual_Data[[#This Row],[TIEMPO (HORAS)]],0)</f>
        <v>4221.5467747382636</v>
      </c>
      <c r="Q103" s="42">
        <f>IFERROR(+VLOOKUP(L103,V.sual_Lista_Data[[EQUIPO VISUAL]:[SOFTWARE 
VALOR HORA]],8,FALSE)*V.sual_Data[[#This Row],[TIEMPO (HORAS)]],"0")</f>
        <v>3410.8548871439834</v>
      </c>
      <c r="R103" s="43">
        <v>0</v>
      </c>
      <c r="S103" s="43">
        <v>0</v>
      </c>
      <c r="T103" s="3">
        <f t="shared" si="21"/>
        <v>25362.898115782955</v>
      </c>
      <c r="U103" s="15">
        <f>V.sual_Data[[#This Row],[TIEMPO (HORAS)]]*Gastos_Operativos[[#Totals],[GASTOS HORA]]</f>
        <v>27789.477072310401</v>
      </c>
      <c r="V103" s="3">
        <f>V.sual_Data[[#This Row],[COSTO 
DIRECTO ($COP)]]+V.sual_Data[[#This Row],[PRORRATEO GASTOS ($COP)]]</f>
        <v>53152.375188093356</v>
      </c>
      <c r="W103" s="44">
        <v>0.1</v>
      </c>
      <c r="X103" s="15">
        <f>V.sual_Data[[#This Row],[COSTOS OPERACIONALES ($COP)]]*V.sual_Data[[#This Row],[DESFASE (%)]]</f>
        <v>5315.2375188093356</v>
      </c>
      <c r="Y103" s="44">
        <v>0.3</v>
      </c>
      <c r="Z103" s="15">
        <f>+((V.sual_Data[[#This Row],[COSTOS OPERACIONALES ($COP)]]/(100%-V.sual_Data[[#This Row],[UTILIDAD (%)]])))-V.sual_Data[[#This Row],[COSTOS OPERACIONALES ($COP)]]</f>
        <v>22779.58936632573</v>
      </c>
      <c r="AA103" s="3">
        <f>+V.sual_Data[[#This Row],[COSTOS OPERACIONALES ($COP)]]+V.sual_Data[[#This Row],[DESFASE ($COP)]]+V.sual_Data[[#This Row],[UTILIDAD ($COP)]]</f>
        <v>81247.202073228429</v>
      </c>
      <c r="AB103" s="44">
        <v>0.05</v>
      </c>
      <c r="AC103" s="15">
        <f>+((V.sual_Data[[#This Row],[VALOR NETO ($COP)]]/(100%-V.sual_Data[[#This Row],[MÁRGEN DE NEGOCIACIÓN (%)]])))-V.sual_Data[[#This Row],[VALOR NETO ($COP)]]</f>
        <v>4276.1685301699181</v>
      </c>
      <c r="AD103" s="15">
        <f>+(V.sual_Data[[#This Row],[VALOR NETO ($COP)]]+V.sual_Data[[#This Row],[NEGOCIACIÓN ($COP)]])*1%</f>
        <v>855.23370603398348</v>
      </c>
      <c r="AE103" s="15">
        <f>+(V.sual_Data[[#This Row],[VALOR NETO ($COP)]]+V.sual_Data[[#This Row],[NEGOCIACIÓN ($COP)]])*1%</f>
        <v>855.23370603398348</v>
      </c>
      <c r="AF103" s="3">
        <f>+V.sual_Data[[#This Row],[VALOR NETO ($COP)]]+V.sual_Data[[#This Row],[4 * 1000 ($COP)]]+V.sual_Data[[#This Row],[ICA ($COP)]]+V.sual_Data[[#This Row],[NEGOCIACIÓN ($COP)]]</f>
        <v>87233.838015466303</v>
      </c>
    </row>
    <row r="104" spans="1:32" ht="60" hidden="1" customHeight="1" x14ac:dyDescent="0.25">
      <c r="A104" s="14"/>
      <c r="B104" s="37" t="s">
        <v>269</v>
      </c>
      <c r="C104" s="38" t="s">
        <v>270</v>
      </c>
      <c r="D104" s="38" t="s">
        <v>110</v>
      </c>
      <c r="E104" s="38" t="s">
        <v>271</v>
      </c>
      <c r="F104" s="40" t="s">
        <v>272</v>
      </c>
      <c r="G104" s="40" t="s">
        <v>273</v>
      </c>
      <c r="H104" s="46">
        <v>1</v>
      </c>
      <c r="I104" s="39" t="s">
        <v>284</v>
      </c>
      <c r="J104" s="86">
        <v>7</v>
      </c>
      <c r="K104" s="45" t="s">
        <v>285</v>
      </c>
      <c r="L104" s="40" t="s">
        <v>116</v>
      </c>
      <c r="M104" s="40">
        <v>1</v>
      </c>
      <c r="N104" s="42">
        <f>IFERROR(VLOOKUP(V.sual_Data[[#This Row],[RESPONSABLE]],Listas!$D$3:$F$7,3,FALSE),0)</f>
        <v>17730.496453900709</v>
      </c>
      <c r="O104" s="34">
        <f t="shared" si="20"/>
        <v>17730.496453900709</v>
      </c>
      <c r="P104" s="42">
        <f>IFERROR((VLOOKUP(V.sual_Data[[#This Row],[RESPONSABLE]],Listas!$D$3:$K$7,5,FALSE))*V.sual_Data[[#This Row],[TIEMPO (HORAS)]],0)</f>
        <v>4221.5467747382636</v>
      </c>
      <c r="Q104" s="42">
        <f>IFERROR(+VLOOKUP(L104,V.sual_Lista_Data[[EQUIPO VISUAL]:[SOFTWARE 
VALOR HORA]],8,FALSE)*V.sual_Data[[#This Row],[TIEMPO (HORAS)]],"0")</f>
        <v>3410.8548871439834</v>
      </c>
      <c r="R104" s="43">
        <v>0</v>
      </c>
      <c r="S104" s="43">
        <v>0</v>
      </c>
      <c r="T104" s="3">
        <f t="shared" si="21"/>
        <v>25362.898115782955</v>
      </c>
      <c r="U104" s="15">
        <f>V.sual_Data[[#This Row],[TIEMPO (HORAS)]]*Gastos_Operativos[[#Totals],[GASTOS HORA]]</f>
        <v>27789.477072310401</v>
      </c>
      <c r="V104" s="3">
        <f>V.sual_Data[[#This Row],[COSTO 
DIRECTO ($COP)]]+V.sual_Data[[#This Row],[PRORRATEO GASTOS ($COP)]]</f>
        <v>53152.375188093356</v>
      </c>
      <c r="W104" s="44">
        <v>0.1</v>
      </c>
      <c r="X104" s="15">
        <f>V.sual_Data[[#This Row],[COSTOS OPERACIONALES ($COP)]]*V.sual_Data[[#This Row],[DESFASE (%)]]</f>
        <v>5315.2375188093356</v>
      </c>
      <c r="Y104" s="44">
        <v>0.3</v>
      </c>
      <c r="Z104" s="15">
        <f>+((V.sual_Data[[#This Row],[COSTOS OPERACIONALES ($COP)]]/(100%-V.sual_Data[[#This Row],[UTILIDAD (%)]])))-V.sual_Data[[#This Row],[COSTOS OPERACIONALES ($COP)]]</f>
        <v>22779.58936632573</v>
      </c>
      <c r="AA104" s="3">
        <f>+V.sual_Data[[#This Row],[COSTOS OPERACIONALES ($COP)]]+V.sual_Data[[#This Row],[DESFASE ($COP)]]+V.sual_Data[[#This Row],[UTILIDAD ($COP)]]</f>
        <v>81247.202073228429</v>
      </c>
      <c r="AB104" s="44">
        <v>0.05</v>
      </c>
      <c r="AC104" s="15">
        <f>+((V.sual_Data[[#This Row],[VALOR NETO ($COP)]]/(100%-V.sual_Data[[#This Row],[MÁRGEN DE NEGOCIACIÓN (%)]])))-V.sual_Data[[#This Row],[VALOR NETO ($COP)]]</f>
        <v>4276.1685301699181</v>
      </c>
      <c r="AD104" s="15">
        <f>+(V.sual_Data[[#This Row],[VALOR NETO ($COP)]]+V.sual_Data[[#This Row],[NEGOCIACIÓN ($COP)]])*1%</f>
        <v>855.23370603398348</v>
      </c>
      <c r="AE104" s="15">
        <f>+(V.sual_Data[[#This Row],[VALOR NETO ($COP)]]+V.sual_Data[[#This Row],[NEGOCIACIÓN ($COP)]])*1%</f>
        <v>855.23370603398348</v>
      </c>
      <c r="AF104" s="3">
        <f>+V.sual_Data[[#This Row],[VALOR NETO ($COP)]]+V.sual_Data[[#This Row],[4 * 1000 ($COP)]]+V.sual_Data[[#This Row],[ICA ($COP)]]+V.sual_Data[[#This Row],[NEGOCIACIÓN ($COP)]]</f>
        <v>87233.838015466303</v>
      </c>
    </row>
    <row r="105" spans="1:32" ht="60" hidden="1" customHeight="1" x14ac:dyDescent="0.25">
      <c r="A105" s="14"/>
      <c r="B105" s="37" t="s">
        <v>269</v>
      </c>
      <c r="C105" s="38" t="s">
        <v>270</v>
      </c>
      <c r="D105" s="38" t="s">
        <v>110</v>
      </c>
      <c r="E105" s="38" t="s">
        <v>271</v>
      </c>
      <c r="F105" s="40" t="s">
        <v>272</v>
      </c>
      <c r="G105" s="40" t="s">
        <v>273</v>
      </c>
      <c r="H105" s="46">
        <v>1</v>
      </c>
      <c r="I105" s="39" t="s">
        <v>286</v>
      </c>
      <c r="J105" s="86">
        <v>8</v>
      </c>
      <c r="K105" s="45" t="s">
        <v>287</v>
      </c>
      <c r="L105" s="40" t="s">
        <v>116</v>
      </c>
      <c r="M105" s="40">
        <v>1</v>
      </c>
      <c r="N105" s="42">
        <f>IFERROR(VLOOKUP(V.sual_Data[[#This Row],[RESPONSABLE]],Listas!$D$3:$F$7,3,FALSE),0)</f>
        <v>17730.496453900709</v>
      </c>
      <c r="O105" s="34">
        <f t="shared" si="20"/>
        <v>17730.496453900709</v>
      </c>
      <c r="P105" s="42">
        <f>IFERROR((VLOOKUP(V.sual_Data[[#This Row],[RESPONSABLE]],Listas!$D$3:$K$7,5,FALSE))*V.sual_Data[[#This Row],[TIEMPO (HORAS)]],0)</f>
        <v>4221.5467747382636</v>
      </c>
      <c r="Q105" s="42">
        <f>IFERROR(+VLOOKUP(L105,V.sual_Lista_Data[[EQUIPO VISUAL]:[SOFTWARE 
VALOR HORA]],8,FALSE)*V.sual_Data[[#This Row],[TIEMPO (HORAS)]],"0")</f>
        <v>3410.8548871439834</v>
      </c>
      <c r="R105" s="43">
        <v>0</v>
      </c>
      <c r="S105" s="43">
        <v>0</v>
      </c>
      <c r="T105" s="3">
        <f t="shared" si="21"/>
        <v>25362.898115782955</v>
      </c>
      <c r="U105" s="15">
        <f>V.sual_Data[[#This Row],[TIEMPO (HORAS)]]*Gastos_Operativos[[#Totals],[GASTOS HORA]]</f>
        <v>27789.477072310401</v>
      </c>
      <c r="V105" s="3">
        <f>V.sual_Data[[#This Row],[COSTO 
DIRECTO ($COP)]]+V.sual_Data[[#This Row],[PRORRATEO GASTOS ($COP)]]</f>
        <v>53152.375188093356</v>
      </c>
      <c r="W105" s="44">
        <v>0.1</v>
      </c>
      <c r="X105" s="15">
        <f>V.sual_Data[[#This Row],[COSTOS OPERACIONALES ($COP)]]*V.sual_Data[[#This Row],[DESFASE (%)]]</f>
        <v>5315.2375188093356</v>
      </c>
      <c r="Y105" s="44">
        <v>0.3</v>
      </c>
      <c r="Z105" s="15">
        <f>+((V.sual_Data[[#This Row],[COSTOS OPERACIONALES ($COP)]]/(100%-V.sual_Data[[#This Row],[UTILIDAD (%)]])))-V.sual_Data[[#This Row],[COSTOS OPERACIONALES ($COP)]]</f>
        <v>22779.58936632573</v>
      </c>
      <c r="AA105" s="3">
        <f>+V.sual_Data[[#This Row],[COSTOS OPERACIONALES ($COP)]]+V.sual_Data[[#This Row],[DESFASE ($COP)]]+V.sual_Data[[#This Row],[UTILIDAD ($COP)]]</f>
        <v>81247.202073228429</v>
      </c>
      <c r="AB105" s="44">
        <v>0.05</v>
      </c>
      <c r="AC105" s="15">
        <f>+((V.sual_Data[[#This Row],[VALOR NETO ($COP)]]/(100%-V.sual_Data[[#This Row],[MÁRGEN DE NEGOCIACIÓN (%)]])))-V.sual_Data[[#This Row],[VALOR NETO ($COP)]]</f>
        <v>4276.1685301699181</v>
      </c>
      <c r="AD105" s="15">
        <f>+(V.sual_Data[[#This Row],[VALOR NETO ($COP)]]+V.sual_Data[[#This Row],[NEGOCIACIÓN ($COP)]])*1%</f>
        <v>855.23370603398348</v>
      </c>
      <c r="AE105" s="15">
        <f>+(V.sual_Data[[#This Row],[VALOR NETO ($COP)]]+V.sual_Data[[#This Row],[NEGOCIACIÓN ($COP)]])*1%</f>
        <v>855.23370603398348</v>
      </c>
      <c r="AF105" s="3">
        <f>+V.sual_Data[[#This Row],[VALOR NETO ($COP)]]+V.sual_Data[[#This Row],[4 * 1000 ($COP)]]+V.sual_Data[[#This Row],[ICA ($COP)]]+V.sual_Data[[#This Row],[NEGOCIACIÓN ($COP)]]</f>
        <v>87233.838015466303</v>
      </c>
    </row>
    <row r="106" spans="1:32" ht="60" hidden="1" customHeight="1" x14ac:dyDescent="0.25">
      <c r="A106" s="14"/>
      <c r="B106" s="37" t="s">
        <v>269</v>
      </c>
      <c r="C106" s="38" t="s">
        <v>270</v>
      </c>
      <c r="D106" s="38" t="s">
        <v>110</v>
      </c>
      <c r="E106" s="38" t="s">
        <v>271</v>
      </c>
      <c r="F106" s="40" t="s">
        <v>272</v>
      </c>
      <c r="G106" s="40" t="s">
        <v>273</v>
      </c>
      <c r="H106" s="46">
        <v>1</v>
      </c>
      <c r="I106" s="39" t="s">
        <v>288</v>
      </c>
      <c r="J106" s="86">
        <v>9</v>
      </c>
      <c r="K106" s="45" t="s">
        <v>289</v>
      </c>
      <c r="L106" s="40" t="s">
        <v>116</v>
      </c>
      <c r="M106" s="40">
        <v>1</v>
      </c>
      <c r="N106" s="42">
        <f>IFERROR(VLOOKUP(V.sual_Data[[#This Row],[RESPONSABLE]],Listas!$D$3:$F$7,3,FALSE),0)</f>
        <v>17730.496453900709</v>
      </c>
      <c r="O106" s="34">
        <f t="shared" si="20"/>
        <v>17730.496453900709</v>
      </c>
      <c r="P106" s="42">
        <f>IFERROR((VLOOKUP(V.sual_Data[[#This Row],[RESPONSABLE]],Listas!$D$3:$K$7,5,FALSE))*V.sual_Data[[#This Row],[TIEMPO (HORAS)]],0)</f>
        <v>4221.5467747382636</v>
      </c>
      <c r="Q106" s="42">
        <f>IFERROR(+VLOOKUP(L106,V.sual_Lista_Data[[EQUIPO VISUAL]:[SOFTWARE 
VALOR HORA]],8,FALSE)*V.sual_Data[[#This Row],[TIEMPO (HORAS)]],"0")</f>
        <v>3410.8548871439834</v>
      </c>
      <c r="R106" s="43">
        <v>0</v>
      </c>
      <c r="S106" s="43">
        <v>0</v>
      </c>
      <c r="T106" s="3">
        <f t="shared" si="21"/>
        <v>25362.898115782955</v>
      </c>
      <c r="U106" s="15">
        <f>V.sual_Data[[#This Row],[TIEMPO (HORAS)]]*Gastos_Operativos[[#Totals],[GASTOS HORA]]</f>
        <v>27789.477072310401</v>
      </c>
      <c r="V106" s="3">
        <f>V.sual_Data[[#This Row],[COSTO 
DIRECTO ($COP)]]+V.sual_Data[[#This Row],[PRORRATEO GASTOS ($COP)]]</f>
        <v>53152.375188093356</v>
      </c>
      <c r="W106" s="44">
        <v>0.1</v>
      </c>
      <c r="X106" s="15">
        <f>V.sual_Data[[#This Row],[COSTOS OPERACIONALES ($COP)]]*V.sual_Data[[#This Row],[DESFASE (%)]]</f>
        <v>5315.2375188093356</v>
      </c>
      <c r="Y106" s="44">
        <v>0.3</v>
      </c>
      <c r="Z106" s="15">
        <f>+((V.sual_Data[[#This Row],[COSTOS OPERACIONALES ($COP)]]/(100%-V.sual_Data[[#This Row],[UTILIDAD (%)]])))-V.sual_Data[[#This Row],[COSTOS OPERACIONALES ($COP)]]</f>
        <v>22779.58936632573</v>
      </c>
      <c r="AA106" s="3">
        <f>+V.sual_Data[[#This Row],[COSTOS OPERACIONALES ($COP)]]+V.sual_Data[[#This Row],[DESFASE ($COP)]]+V.sual_Data[[#This Row],[UTILIDAD ($COP)]]</f>
        <v>81247.202073228429</v>
      </c>
      <c r="AB106" s="44">
        <v>0.05</v>
      </c>
      <c r="AC106" s="15">
        <f>+((V.sual_Data[[#This Row],[VALOR NETO ($COP)]]/(100%-V.sual_Data[[#This Row],[MÁRGEN DE NEGOCIACIÓN (%)]])))-V.sual_Data[[#This Row],[VALOR NETO ($COP)]]</f>
        <v>4276.1685301699181</v>
      </c>
      <c r="AD106" s="15">
        <f>+(V.sual_Data[[#This Row],[VALOR NETO ($COP)]]+V.sual_Data[[#This Row],[NEGOCIACIÓN ($COP)]])*1%</f>
        <v>855.23370603398348</v>
      </c>
      <c r="AE106" s="15">
        <f>+(V.sual_Data[[#This Row],[VALOR NETO ($COP)]]+V.sual_Data[[#This Row],[NEGOCIACIÓN ($COP)]])*1%</f>
        <v>855.23370603398348</v>
      </c>
      <c r="AF106" s="3">
        <f>+V.sual_Data[[#This Row],[VALOR NETO ($COP)]]+V.sual_Data[[#This Row],[4 * 1000 ($COP)]]+V.sual_Data[[#This Row],[ICA ($COP)]]+V.sual_Data[[#This Row],[NEGOCIACIÓN ($COP)]]</f>
        <v>87233.838015466303</v>
      </c>
    </row>
    <row r="107" spans="1:32" ht="60" hidden="1" customHeight="1" x14ac:dyDescent="0.25">
      <c r="A107" s="14"/>
      <c r="B107" s="37" t="s">
        <v>269</v>
      </c>
      <c r="C107" s="38" t="s">
        <v>270</v>
      </c>
      <c r="D107" s="38" t="s">
        <v>110</v>
      </c>
      <c r="E107" s="38" t="s">
        <v>271</v>
      </c>
      <c r="F107" s="40" t="s">
        <v>272</v>
      </c>
      <c r="G107" s="40" t="s">
        <v>273</v>
      </c>
      <c r="H107" s="46">
        <v>1</v>
      </c>
      <c r="I107" s="39" t="s">
        <v>290</v>
      </c>
      <c r="J107" s="86">
        <v>10</v>
      </c>
      <c r="K107" s="45" t="s">
        <v>291</v>
      </c>
      <c r="L107" s="40" t="s">
        <v>116</v>
      </c>
      <c r="M107" s="40">
        <v>1</v>
      </c>
      <c r="N107" s="42">
        <f>IFERROR(VLOOKUP(V.sual_Data[[#This Row],[RESPONSABLE]],Listas!$D$3:$F$7,3,FALSE),0)</f>
        <v>17730.496453900709</v>
      </c>
      <c r="O107" s="34">
        <f t="shared" si="20"/>
        <v>17730.496453900709</v>
      </c>
      <c r="P107" s="42">
        <f>IFERROR((VLOOKUP(V.sual_Data[[#This Row],[RESPONSABLE]],Listas!$D$3:$K$7,5,FALSE))*V.sual_Data[[#This Row],[TIEMPO (HORAS)]],0)</f>
        <v>4221.5467747382636</v>
      </c>
      <c r="Q107" s="42">
        <f>IFERROR(+VLOOKUP(L107,V.sual_Lista_Data[[EQUIPO VISUAL]:[SOFTWARE 
VALOR HORA]],8,FALSE)*V.sual_Data[[#This Row],[TIEMPO (HORAS)]],"0")</f>
        <v>3410.8548871439834</v>
      </c>
      <c r="R107" s="43">
        <v>0</v>
      </c>
      <c r="S107" s="43">
        <v>0</v>
      </c>
      <c r="T107" s="3">
        <f t="shared" si="21"/>
        <v>25362.898115782955</v>
      </c>
      <c r="U107" s="15">
        <f>V.sual_Data[[#This Row],[TIEMPO (HORAS)]]*Gastos_Operativos[[#Totals],[GASTOS HORA]]</f>
        <v>27789.477072310401</v>
      </c>
      <c r="V107" s="3">
        <f>V.sual_Data[[#This Row],[COSTO 
DIRECTO ($COP)]]+V.sual_Data[[#This Row],[PRORRATEO GASTOS ($COP)]]</f>
        <v>53152.375188093356</v>
      </c>
      <c r="W107" s="44">
        <v>0.1</v>
      </c>
      <c r="X107" s="15">
        <f>V.sual_Data[[#This Row],[COSTOS OPERACIONALES ($COP)]]*V.sual_Data[[#This Row],[DESFASE (%)]]</f>
        <v>5315.2375188093356</v>
      </c>
      <c r="Y107" s="44">
        <v>0.3</v>
      </c>
      <c r="Z107" s="15">
        <f>+((V.sual_Data[[#This Row],[COSTOS OPERACIONALES ($COP)]]/(100%-V.sual_Data[[#This Row],[UTILIDAD (%)]])))-V.sual_Data[[#This Row],[COSTOS OPERACIONALES ($COP)]]</f>
        <v>22779.58936632573</v>
      </c>
      <c r="AA107" s="3">
        <f>+V.sual_Data[[#This Row],[COSTOS OPERACIONALES ($COP)]]+V.sual_Data[[#This Row],[DESFASE ($COP)]]+V.sual_Data[[#This Row],[UTILIDAD ($COP)]]</f>
        <v>81247.202073228429</v>
      </c>
      <c r="AB107" s="44">
        <v>0.05</v>
      </c>
      <c r="AC107" s="15">
        <f>+((V.sual_Data[[#This Row],[VALOR NETO ($COP)]]/(100%-V.sual_Data[[#This Row],[MÁRGEN DE NEGOCIACIÓN (%)]])))-V.sual_Data[[#This Row],[VALOR NETO ($COP)]]</f>
        <v>4276.1685301699181</v>
      </c>
      <c r="AD107" s="15">
        <f>+(V.sual_Data[[#This Row],[VALOR NETO ($COP)]]+V.sual_Data[[#This Row],[NEGOCIACIÓN ($COP)]])*1%</f>
        <v>855.23370603398348</v>
      </c>
      <c r="AE107" s="15">
        <f>+(V.sual_Data[[#This Row],[VALOR NETO ($COP)]]+V.sual_Data[[#This Row],[NEGOCIACIÓN ($COP)]])*1%</f>
        <v>855.23370603398348</v>
      </c>
      <c r="AF107" s="3">
        <f>+V.sual_Data[[#This Row],[VALOR NETO ($COP)]]+V.sual_Data[[#This Row],[4 * 1000 ($COP)]]+V.sual_Data[[#This Row],[ICA ($COP)]]+V.sual_Data[[#This Row],[NEGOCIACIÓN ($COP)]]</f>
        <v>87233.838015466303</v>
      </c>
    </row>
    <row r="108" spans="1:32" ht="60" hidden="1" customHeight="1" x14ac:dyDescent="0.25">
      <c r="A108" s="14"/>
      <c r="B108" s="37" t="s">
        <v>292</v>
      </c>
      <c r="C108" s="38" t="s">
        <v>270</v>
      </c>
      <c r="D108" s="38" t="s">
        <v>125</v>
      </c>
      <c r="E108" s="38" t="s">
        <v>293</v>
      </c>
      <c r="F108" s="40" t="s">
        <v>294</v>
      </c>
      <c r="G108" s="40" t="s">
        <v>273</v>
      </c>
      <c r="H108" s="46">
        <v>1</v>
      </c>
      <c r="I108" s="39" t="s">
        <v>274</v>
      </c>
      <c r="J108" s="86">
        <v>1</v>
      </c>
      <c r="K108" s="45" t="s">
        <v>275</v>
      </c>
      <c r="L108" s="40" t="s">
        <v>183</v>
      </c>
      <c r="M108" s="40">
        <v>2</v>
      </c>
      <c r="N108" s="42">
        <f>IFERROR(VLOOKUP(V.sual_Data[[#This Row],[RESPONSABLE]],Listas!$D$3:$F$7,3,FALSE),0)</f>
        <v>22796.352583586624</v>
      </c>
      <c r="O108" s="34">
        <f t="shared" si="20"/>
        <v>45592.705167173248</v>
      </c>
      <c r="P108" s="42">
        <f>IFERROR((VLOOKUP(V.sual_Data[[#This Row],[RESPONSABLE]],Listas!$D$3:$K$7,5,FALSE))*V.sual_Data[[#This Row],[TIEMPO (HORAS)]],0)</f>
        <v>8443.0935494765272</v>
      </c>
      <c r="Q108" s="42">
        <f>IFERROR(+VLOOKUP(L108,V.sual_Lista_Data[[EQUIPO VISUAL]:[SOFTWARE 
VALOR HORA]],8,FALSE)*V.sual_Data[[#This Row],[TIEMPO (HORAS)]],"0")</f>
        <v>6821.7097742879669</v>
      </c>
      <c r="R108" s="43">
        <v>0</v>
      </c>
      <c r="S108" s="43">
        <v>0</v>
      </c>
      <c r="T108" s="3">
        <f t="shared" si="21"/>
        <v>60857.508490937747</v>
      </c>
      <c r="U108" s="15">
        <f>V.sual_Data[[#This Row],[TIEMPO (HORAS)]]*Gastos_Operativos[[#Totals],[GASTOS HORA]]</f>
        <v>55578.954144620802</v>
      </c>
      <c r="V108" s="3">
        <f>V.sual_Data[[#This Row],[COSTO 
DIRECTO ($COP)]]+V.sual_Data[[#This Row],[PRORRATEO GASTOS ($COP)]]</f>
        <v>116436.46263555855</v>
      </c>
      <c r="W108" s="44">
        <v>0.15</v>
      </c>
      <c r="X108" s="15">
        <f>V.sual_Data[[#This Row],[COSTOS OPERACIONALES ($COP)]]*V.sual_Data[[#This Row],[DESFASE (%)]]</f>
        <v>17465.469395333781</v>
      </c>
      <c r="Y108" s="44">
        <v>0.3</v>
      </c>
      <c r="Z108" s="15">
        <f>+((V.sual_Data[[#This Row],[COSTOS OPERACIONALES ($COP)]]/(100%-V.sual_Data[[#This Row],[UTILIDAD (%)]])))-V.sual_Data[[#This Row],[COSTOS OPERACIONALES ($COP)]]</f>
        <v>49901.341129525114</v>
      </c>
      <c r="AA108" s="3">
        <f>+V.sual_Data[[#This Row],[COSTOS OPERACIONALES ($COP)]]+V.sual_Data[[#This Row],[DESFASE ($COP)]]+V.sual_Data[[#This Row],[UTILIDAD ($COP)]]</f>
        <v>183803.27316041745</v>
      </c>
      <c r="AB108" s="44">
        <v>0.05</v>
      </c>
      <c r="AC108" s="15">
        <f>+((V.sual_Data[[#This Row],[VALOR NETO ($COP)]]/(100%-V.sual_Data[[#This Row],[MÁRGEN DE NEGOCIACIÓN (%)]])))-V.sual_Data[[#This Row],[VALOR NETO ($COP)]]</f>
        <v>9673.8564821272448</v>
      </c>
      <c r="AD108" s="15">
        <f>+(V.sual_Data[[#This Row],[VALOR NETO ($COP)]]+V.sual_Data[[#This Row],[NEGOCIACIÓN ($COP)]])*1%</f>
        <v>1934.771296425447</v>
      </c>
      <c r="AE108" s="15">
        <f>+(V.sual_Data[[#This Row],[VALOR NETO ($COP)]]+V.sual_Data[[#This Row],[NEGOCIACIÓN ($COP)]])*1%</f>
        <v>1934.771296425447</v>
      </c>
      <c r="AF108" s="3">
        <f>+V.sual_Data[[#This Row],[VALOR NETO ($COP)]]+V.sual_Data[[#This Row],[4 * 1000 ($COP)]]+V.sual_Data[[#This Row],[ICA ($COP)]]+V.sual_Data[[#This Row],[NEGOCIACIÓN ($COP)]]</f>
        <v>197346.67223539561</v>
      </c>
    </row>
    <row r="109" spans="1:32" ht="60" hidden="1" customHeight="1" x14ac:dyDescent="0.25">
      <c r="A109" s="14"/>
      <c r="B109" s="37" t="s">
        <v>292</v>
      </c>
      <c r="C109" s="38" t="s">
        <v>270</v>
      </c>
      <c r="D109" s="38" t="s">
        <v>125</v>
      </c>
      <c r="E109" s="38" t="s">
        <v>293</v>
      </c>
      <c r="F109" s="40" t="s">
        <v>294</v>
      </c>
      <c r="G109" s="40" t="s">
        <v>273</v>
      </c>
      <c r="H109" s="46">
        <v>1</v>
      </c>
      <c r="I109" s="39" t="s">
        <v>276</v>
      </c>
      <c r="J109" s="86">
        <v>2</v>
      </c>
      <c r="K109" s="45" t="s">
        <v>277</v>
      </c>
      <c r="L109" s="40" t="s">
        <v>183</v>
      </c>
      <c r="M109" s="40">
        <v>0.5</v>
      </c>
      <c r="N109" s="42">
        <f>IFERROR(VLOOKUP(V.sual_Data[[#This Row],[RESPONSABLE]],Listas!$D$3:$F$7,3,FALSE),0)</f>
        <v>22796.352583586624</v>
      </c>
      <c r="O109" s="34">
        <f t="shared" si="20"/>
        <v>11398.176291793312</v>
      </c>
      <c r="P109" s="42">
        <f>IFERROR((VLOOKUP(V.sual_Data[[#This Row],[RESPONSABLE]],Listas!$D$3:$K$7,5,FALSE))*V.sual_Data[[#This Row],[TIEMPO (HORAS)]],0)</f>
        <v>2110.7733873691318</v>
      </c>
      <c r="Q109" s="42">
        <f>IFERROR(+VLOOKUP(L109,V.sual_Lista_Data[[EQUIPO VISUAL]:[SOFTWARE 
VALOR HORA]],8,FALSE)*V.sual_Data[[#This Row],[TIEMPO (HORAS)]],"0")</f>
        <v>1705.4274435719917</v>
      </c>
      <c r="R109" s="43">
        <v>0</v>
      </c>
      <c r="S109" s="43">
        <v>0</v>
      </c>
      <c r="T109" s="3">
        <f t="shared" si="21"/>
        <v>15214.377122734437</v>
      </c>
      <c r="U109" s="15">
        <f>V.sual_Data[[#This Row],[TIEMPO (HORAS)]]*Gastos_Operativos[[#Totals],[GASTOS HORA]]</f>
        <v>13894.738536155201</v>
      </c>
      <c r="V109" s="3">
        <f>V.sual_Data[[#This Row],[COSTO 
DIRECTO ($COP)]]+V.sual_Data[[#This Row],[PRORRATEO GASTOS ($COP)]]</f>
        <v>29109.115658889637</v>
      </c>
      <c r="W109" s="44">
        <v>0.15</v>
      </c>
      <c r="X109" s="15">
        <f>V.sual_Data[[#This Row],[COSTOS OPERACIONALES ($COP)]]*V.sual_Data[[#This Row],[DESFASE (%)]]</f>
        <v>4366.3673488334452</v>
      </c>
      <c r="Y109" s="44">
        <v>0.3</v>
      </c>
      <c r="Z109" s="15">
        <f>+((V.sual_Data[[#This Row],[COSTOS OPERACIONALES ($COP)]]/(100%-V.sual_Data[[#This Row],[UTILIDAD (%)]])))-V.sual_Data[[#This Row],[COSTOS OPERACIONALES ($COP)]]</f>
        <v>12475.335282381278</v>
      </c>
      <c r="AA109" s="3">
        <f>+V.sual_Data[[#This Row],[COSTOS OPERACIONALES ($COP)]]+V.sual_Data[[#This Row],[DESFASE ($COP)]]+V.sual_Data[[#This Row],[UTILIDAD ($COP)]]</f>
        <v>45950.818290104362</v>
      </c>
      <c r="AB109" s="44">
        <v>0.05</v>
      </c>
      <c r="AC109" s="15">
        <f>+((V.sual_Data[[#This Row],[VALOR NETO ($COP)]]/(100%-V.sual_Data[[#This Row],[MÁRGEN DE NEGOCIACIÓN (%)]])))-V.sual_Data[[#This Row],[VALOR NETO ($COP)]]</f>
        <v>2418.4641205318112</v>
      </c>
      <c r="AD109" s="15">
        <f>+(V.sual_Data[[#This Row],[VALOR NETO ($COP)]]+V.sual_Data[[#This Row],[NEGOCIACIÓN ($COP)]])*1%</f>
        <v>483.69282410636174</v>
      </c>
      <c r="AE109" s="15">
        <f>+(V.sual_Data[[#This Row],[VALOR NETO ($COP)]]+V.sual_Data[[#This Row],[NEGOCIACIÓN ($COP)]])*1%</f>
        <v>483.69282410636174</v>
      </c>
      <c r="AF109" s="3">
        <f>+V.sual_Data[[#This Row],[VALOR NETO ($COP)]]+V.sual_Data[[#This Row],[4 * 1000 ($COP)]]+V.sual_Data[[#This Row],[ICA ($COP)]]+V.sual_Data[[#This Row],[NEGOCIACIÓN ($COP)]]</f>
        <v>49336.668058848903</v>
      </c>
    </row>
    <row r="110" spans="1:32" ht="60" hidden="1" customHeight="1" x14ac:dyDescent="0.25">
      <c r="A110" s="14"/>
      <c r="B110" s="37" t="s">
        <v>292</v>
      </c>
      <c r="C110" s="38" t="s">
        <v>270</v>
      </c>
      <c r="D110" s="38" t="s">
        <v>125</v>
      </c>
      <c r="E110" s="38" t="s">
        <v>293</v>
      </c>
      <c r="F110" s="40" t="s">
        <v>294</v>
      </c>
      <c r="G110" s="40" t="s">
        <v>273</v>
      </c>
      <c r="H110" s="46">
        <v>1</v>
      </c>
      <c r="I110" s="39" t="s">
        <v>295</v>
      </c>
      <c r="J110" s="86">
        <v>3</v>
      </c>
      <c r="K110" s="45" t="s">
        <v>296</v>
      </c>
      <c r="L110" s="40" t="s">
        <v>183</v>
      </c>
      <c r="M110" s="40">
        <v>1.5</v>
      </c>
      <c r="N110" s="42">
        <f>IFERROR(VLOOKUP(V.sual_Data[[#This Row],[RESPONSABLE]],Listas!$D$3:$F$7,3,FALSE),0)</f>
        <v>22796.352583586624</v>
      </c>
      <c r="O110" s="34">
        <f t="shared" ref="O110:O122" si="22">+N110*M110</f>
        <v>34194.52887537994</v>
      </c>
      <c r="P110" s="42">
        <f>IFERROR((VLOOKUP(V.sual_Data[[#This Row],[RESPONSABLE]],Listas!$D$3:$K$7,5,FALSE))*V.sual_Data[[#This Row],[TIEMPO (HORAS)]],0)</f>
        <v>6332.3201621073949</v>
      </c>
      <c r="Q110" s="42">
        <f>IFERROR(+VLOOKUP(L110,V.sual_Lista_Data[[EQUIPO VISUAL]:[SOFTWARE 
VALOR HORA]],8,FALSE)*V.sual_Data[[#This Row],[TIEMPO (HORAS)]],"0")</f>
        <v>5116.2823307159751</v>
      </c>
      <c r="R110" s="43">
        <v>0</v>
      </c>
      <c r="S110" s="43">
        <v>0</v>
      </c>
      <c r="T110" s="3">
        <f t="shared" ref="T110:T122" si="23">SUM(O110:S110)</f>
        <v>45643.131368203314</v>
      </c>
      <c r="U110" s="15">
        <f>V.sual_Data[[#This Row],[TIEMPO (HORAS)]]*Gastos_Operativos[[#Totals],[GASTOS HORA]]</f>
        <v>41684.215608465602</v>
      </c>
      <c r="V110" s="3">
        <f>V.sual_Data[[#This Row],[COSTO 
DIRECTO ($COP)]]+V.sual_Data[[#This Row],[PRORRATEO GASTOS ($COP)]]</f>
        <v>87327.346976668923</v>
      </c>
      <c r="W110" s="44">
        <v>0.15</v>
      </c>
      <c r="X110" s="15">
        <f>V.sual_Data[[#This Row],[COSTOS OPERACIONALES ($COP)]]*V.sual_Data[[#This Row],[DESFASE (%)]]</f>
        <v>13099.102046500338</v>
      </c>
      <c r="Y110" s="44">
        <v>0.3</v>
      </c>
      <c r="Z110" s="15">
        <f>+((V.sual_Data[[#This Row],[COSTOS OPERACIONALES ($COP)]]/(100%-V.sual_Data[[#This Row],[UTILIDAD (%)]])))-V.sual_Data[[#This Row],[COSTOS OPERACIONALES ($COP)]]</f>
        <v>37426.005847143839</v>
      </c>
      <c r="AA110" s="3">
        <f>+V.sual_Data[[#This Row],[COSTOS OPERACIONALES ($COP)]]+V.sual_Data[[#This Row],[DESFASE ($COP)]]+V.sual_Data[[#This Row],[UTILIDAD ($COP)]]</f>
        <v>137852.45487031311</v>
      </c>
      <c r="AB110" s="44">
        <v>0.05</v>
      </c>
      <c r="AC110" s="15">
        <f>+((V.sual_Data[[#This Row],[VALOR NETO ($COP)]]/(100%-V.sual_Data[[#This Row],[MÁRGEN DE NEGOCIACIÓN (%)]])))-V.sual_Data[[#This Row],[VALOR NETO ($COP)]]</f>
        <v>7255.3923615954409</v>
      </c>
      <c r="AD110" s="15">
        <f>+(V.sual_Data[[#This Row],[VALOR NETO ($COP)]]+V.sual_Data[[#This Row],[NEGOCIACIÓN ($COP)]])*1%</f>
        <v>1451.0784723190857</v>
      </c>
      <c r="AE110" s="15">
        <f>+(V.sual_Data[[#This Row],[VALOR NETO ($COP)]]+V.sual_Data[[#This Row],[NEGOCIACIÓN ($COP)]])*1%</f>
        <v>1451.0784723190857</v>
      </c>
      <c r="AF110" s="3">
        <f>+V.sual_Data[[#This Row],[VALOR NETO ($COP)]]+V.sual_Data[[#This Row],[4 * 1000 ($COP)]]+V.sual_Data[[#This Row],[ICA ($COP)]]+V.sual_Data[[#This Row],[NEGOCIACIÓN ($COP)]]</f>
        <v>148010.00417654673</v>
      </c>
    </row>
    <row r="111" spans="1:32" ht="60" hidden="1" customHeight="1" x14ac:dyDescent="0.25">
      <c r="A111" s="14"/>
      <c r="B111" s="37" t="s">
        <v>292</v>
      </c>
      <c r="C111" s="38" t="s">
        <v>270</v>
      </c>
      <c r="D111" s="38" t="s">
        <v>125</v>
      </c>
      <c r="E111" s="38" t="s">
        <v>293</v>
      </c>
      <c r="F111" s="40" t="s">
        <v>294</v>
      </c>
      <c r="G111" s="40" t="s">
        <v>273</v>
      </c>
      <c r="H111" s="46">
        <v>1</v>
      </c>
      <c r="I111" s="39" t="s">
        <v>297</v>
      </c>
      <c r="J111" s="86">
        <v>4</v>
      </c>
      <c r="K111" s="45" t="s">
        <v>298</v>
      </c>
      <c r="L111" s="40" t="s">
        <v>183</v>
      </c>
      <c r="M111" s="40">
        <v>3</v>
      </c>
      <c r="N111" s="42">
        <f>IFERROR(VLOOKUP(V.sual_Data[[#This Row],[RESPONSABLE]],Listas!$D$3:$F$7,3,FALSE),0)</f>
        <v>22796.352583586624</v>
      </c>
      <c r="O111" s="34">
        <f t="shared" si="22"/>
        <v>68389.057750759879</v>
      </c>
      <c r="P111" s="42">
        <f>IFERROR((VLOOKUP(V.sual_Data[[#This Row],[RESPONSABLE]],Listas!$D$3:$K$7,5,FALSE))*V.sual_Data[[#This Row],[TIEMPO (HORAS)]],0)</f>
        <v>12664.64032421479</v>
      </c>
      <c r="Q111" s="42">
        <f>IFERROR(+VLOOKUP(L111,V.sual_Lista_Data[[EQUIPO VISUAL]:[SOFTWARE 
VALOR HORA]],8,FALSE)*V.sual_Data[[#This Row],[TIEMPO (HORAS)]],"0")</f>
        <v>10232.56466143195</v>
      </c>
      <c r="R111" s="43">
        <v>0</v>
      </c>
      <c r="S111" s="43">
        <v>0</v>
      </c>
      <c r="T111" s="3">
        <f t="shared" si="23"/>
        <v>91286.262736406628</v>
      </c>
      <c r="U111" s="15">
        <f>V.sual_Data[[#This Row],[TIEMPO (HORAS)]]*Gastos_Operativos[[#Totals],[GASTOS HORA]]</f>
        <v>83368.431216931203</v>
      </c>
      <c r="V111" s="3">
        <f>V.sual_Data[[#This Row],[COSTO 
DIRECTO ($COP)]]+V.sual_Data[[#This Row],[PRORRATEO GASTOS ($COP)]]</f>
        <v>174654.69395333785</v>
      </c>
      <c r="W111" s="44">
        <v>0.15</v>
      </c>
      <c r="X111" s="15">
        <f>V.sual_Data[[#This Row],[COSTOS OPERACIONALES ($COP)]]*V.sual_Data[[#This Row],[DESFASE (%)]]</f>
        <v>26198.204093000677</v>
      </c>
      <c r="Y111" s="44">
        <v>0.3</v>
      </c>
      <c r="Z111" s="15">
        <f>+((V.sual_Data[[#This Row],[COSTOS OPERACIONALES ($COP)]]/(100%-V.sual_Data[[#This Row],[UTILIDAD (%)]])))-V.sual_Data[[#This Row],[COSTOS OPERACIONALES ($COP)]]</f>
        <v>74852.011694287678</v>
      </c>
      <c r="AA111" s="3">
        <f>+V.sual_Data[[#This Row],[COSTOS OPERACIONALES ($COP)]]+V.sual_Data[[#This Row],[DESFASE ($COP)]]+V.sual_Data[[#This Row],[UTILIDAD ($COP)]]</f>
        <v>275704.90974062623</v>
      </c>
      <c r="AB111" s="44">
        <v>0.05</v>
      </c>
      <c r="AC111" s="15">
        <f>+((V.sual_Data[[#This Row],[VALOR NETO ($COP)]]/(100%-V.sual_Data[[#This Row],[MÁRGEN DE NEGOCIACIÓN (%)]])))-V.sual_Data[[#This Row],[VALOR NETO ($COP)]]</f>
        <v>14510.784723190882</v>
      </c>
      <c r="AD111" s="15">
        <f>+(V.sual_Data[[#This Row],[VALOR NETO ($COP)]]+V.sual_Data[[#This Row],[NEGOCIACIÓN ($COP)]])*1%</f>
        <v>2902.1569446381714</v>
      </c>
      <c r="AE111" s="15">
        <f>+(V.sual_Data[[#This Row],[VALOR NETO ($COP)]]+V.sual_Data[[#This Row],[NEGOCIACIÓN ($COP)]])*1%</f>
        <v>2902.1569446381714</v>
      </c>
      <c r="AF111" s="3">
        <f>+V.sual_Data[[#This Row],[VALOR NETO ($COP)]]+V.sual_Data[[#This Row],[4 * 1000 ($COP)]]+V.sual_Data[[#This Row],[ICA ($COP)]]+V.sual_Data[[#This Row],[NEGOCIACIÓN ($COP)]]</f>
        <v>296020.00835309346</v>
      </c>
    </row>
    <row r="112" spans="1:32" ht="60" hidden="1" customHeight="1" x14ac:dyDescent="0.25">
      <c r="A112" s="14"/>
      <c r="B112" s="37" t="s">
        <v>292</v>
      </c>
      <c r="C112" s="38" t="s">
        <v>270</v>
      </c>
      <c r="D112" s="38" t="s">
        <v>125</v>
      </c>
      <c r="E112" s="38" t="s">
        <v>293</v>
      </c>
      <c r="F112" s="40" t="s">
        <v>294</v>
      </c>
      <c r="G112" s="40" t="s">
        <v>273</v>
      </c>
      <c r="H112" s="46">
        <v>1</v>
      </c>
      <c r="I112" s="39" t="s">
        <v>284</v>
      </c>
      <c r="J112" s="86">
        <v>5</v>
      </c>
      <c r="K112" s="45" t="s">
        <v>299</v>
      </c>
      <c r="L112" s="40" t="s">
        <v>183</v>
      </c>
      <c r="M112" s="40">
        <v>1</v>
      </c>
      <c r="N112" s="42">
        <f>IFERROR(VLOOKUP(V.sual_Data[[#This Row],[RESPONSABLE]],Listas!$D$3:$F$7,3,FALSE),0)</f>
        <v>22796.352583586624</v>
      </c>
      <c r="O112" s="34">
        <f t="shared" si="22"/>
        <v>22796.352583586624</v>
      </c>
      <c r="P112" s="42">
        <f>IFERROR((VLOOKUP(V.sual_Data[[#This Row],[RESPONSABLE]],Listas!$D$3:$K$7,5,FALSE))*V.sual_Data[[#This Row],[TIEMPO (HORAS)]],0)</f>
        <v>4221.5467747382636</v>
      </c>
      <c r="Q112" s="42">
        <f>IFERROR(+VLOOKUP(L112,V.sual_Lista_Data[[EQUIPO VISUAL]:[SOFTWARE 
VALOR HORA]],8,FALSE)*V.sual_Data[[#This Row],[TIEMPO (HORAS)]],"0")</f>
        <v>3410.8548871439834</v>
      </c>
      <c r="R112" s="43">
        <v>0</v>
      </c>
      <c r="S112" s="43">
        <v>0</v>
      </c>
      <c r="T112" s="3">
        <f t="shared" si="23"/>
        <v>30428.754245468874</v>
      </c>
      <c r="U112" s="15">
        <f>V.sual_Data[[#This Row],[TIEMPO (HORAS)]]*Gastos_Operativos[[#Totals],[GASTOS HORA]]</f>
        <v>27789.477072310401</v>
      </c>
      <c r="V112" s="3">
        <f>V.sual_Data[[#This Row],[COSTO 
DIRECTO ($COP)]]+V.sual_Data[[#This Row],[PRORRATEO GASTOS ($COP)]]</f>
        <v>58218.231317779275</v>
      </c>
      <c r="W112" s="44">
        <v>0.15</v>
      </c>
      <c r="X112" s="15">
        <f>V.sual_Data[[#This Row],[COSTOS OPERACIONALES ($COP)]]*V.sual_Data[[#This Row],[DESFASE (%)]]</f>
        <v>8732.7346976668905</v>
      </c>
      <c r="Y112" s="44">
        <v>0.3</v>
      </c>
      <c r="Z112" s="15">
        <f>+((V.sual_Data[[#This Row],[COSTOS OPERACIONALES ($COP)]]/(100%-V.sual_Data[[#This Row],[UTILIDAD (%)]])))-V.sual_Data[[#This Row],[COSTOS OPERACIONALES ($COP)]]</f>
        <v>24950.670564762557</v>
      </c>
      <c r="AA112" s="3">
        <f>+V.sual_Data[[#This Row],[COSTOS OPERACIONALES ($COP)]]+V.sual_Data[[#This Row],[DESFASE ($COP)]]+V.sual_Data[[#This Row],[UTILIDAD ($COP)]]</f>
        <v>91901.636580208724</v>
      </c>
      <c r="AB112" s="44">
        <v>0.05</v>
      </c>
      <c r="AC112" s="15">
        <f>+((V.sual_Data[[#This Row],[VALOR NETO ($COP)]]/(100%-V.sual_Data[[#This Row],[MÁRGEN DE NEGOCIACIÓN (%)]])))-V.sual_Data[[#This Row],[VALOR NETO ($COP)]]</f>
        <v>4836.9282410636224</v>
      </c>
      <c r="AD112" s="15">
        <f>+(V.sual_Data[[#This Row],[VALOR NETO ($COP)]]+V.sual_Data[[#This Row],[NEGOCIACIÓN ($COP)]])*1%</f>
        <v>967.38564821272348</v>
      </c>
      <c r="AE112" s="15">
        <f>+(V.sual_Data[[#This Row],[VALOR NETO ($COP)]]+V.sual_Data[[#This Row],[NEGOCIACIÓN ($COP)]])*1%</f>
        <v>967.38564821272348</v>
      </c>
      <c r="AF112" s="3">
        <f>+V.sual_Data[[#This Row],[VALOR NETO ($COP)]]+V.sual_Data[[#This Row],[4 * 1000 ($COP)]]+V.sual_Data[[#This Row],[ICA ($COP)]]+V.sual_Data[[#This Row],[NEGOCIACIÓN ($COP)]]</f>
        <v>98673.336117697807</v>
      </c>
    </row>
    <row r="113" spans="1:35" ht="60" hidden="1" customHeight="1" x14ac:dyDescent="0.25">
      <c r="A113" s="14"/>
      <c r="B113" s="37" t="s">
        <v>292</v>
      </c>
      <c r="C113" s="38" t="s">
        <v>270</v>
      </c>
      <c r="D113" s="38" t="s">
        <v>125</v>
      </c>
      <c r="E113" s="38" t="s">
        <v>293</v>
      </c>
      <c r="F113" s="40" t="s">
        <v>294</v>
      </c>
      <c r="G113" s="40" t="s">
        <v>273</v>
      </c>
      <c r="H113" s="46">
        <v>1</v>
      </c>
      <c r="I113" s="39" t="s">
        <v>286</v>
      </c>
      <c r="J113" s="86">
        <v>6</v>
      </c>
      <c r="K113" s="45" t="s">
        <v>300</v>
      </c>
      <c r="L113" s="40" t="s">
        <v>183</v>
      </c>
      <c r="M113" s="40">
        <v>1</v>
      </c>
      <c r="N113" s="42">
        <f>IFERROR(VLOOKUP(V.sual_Data[[#This Row],[RESPONSABLE]],Listas!$D$3:$F$7,3,FALSE),0)</f>
        <v>22796.352583586624</v>
      </c>
      <c r="O113" s="34">
        <f t="shared" si="22"/>
        <v>22796.352583586624</v>
      </c>
      <c r="P113" s="42">
        <f>IFERROR((VLOOKUP(V.sual_Data[[#This Row],[RESPONSABLE]],Listas!$D$3:$K$7,5,FALSE))*V.sual_Data[[#This Row],[TIEMPO (HORAS)]],0)</f>
        <v>4221.5467747382636</v>
      </c>
      <c r="Q113" s="42">
        <f>IFERROR(+VLOOKUP(L113,V.sual_Lista_Data[[EQUIPO VISUAL]:[SOFTWARE 
VALOR HORA]],8,FALSE)*V.sual_Data[[#This Row],[TIEMPO (HORAS)]],"0")</f>
        <v>3410.8548871439834</v>
      </c>
      <c r="R113" s="43">
        <v>0</v>
      </c>
      <c r="S113" s="43">
        <v>0</v>
      </c>
      <c r="T113" s="3">
        <f t="shared" si="23"/>
        <v>30428.754245468874</v>
      </c>
      <c r="U113" s="15">
        <f>V.sual_Data[[#This Row],[TIEMPO (HORAS)]]*Gastos_Operativos[[#Totals],[GASTOS HORA]]</f>
        <v>27789.477072310401</v>
      </c>
      <c r="V113" s="3">
        <f>V.sual_Data[[#This Row],[COSTO 
DIRECTO ($COP)]]+V.sual_Data[[#This Row],[PRORRATEO GASTOS ($COP)]]</f>
        <v>58218.231317779275</v>
      </c>
      <c r="W113" s="44">
        <v>0.15</v>
      </c>
      <c r="X113" s="15">
        <f>V.sual_Data[[#This Row],[COSTOS OPERACIONALES ($COP)]]*V.sual_Data[[#This Row],[DESFASE (%)]]</f>
        <v>8732.7346976668905</v>
      </c>
      <c r="Y113" s="44">
        <v>0.3</v>
      </c>
      <c r="Z113" s="15">
        <f>+((V.sual_Data[[#This Row],[COSTOS OPERACIONALES ($COP)]]/(100%-V.sual_Data[[#This Row],[UTILIDAD (%)]])))-V.sual_Data[[#This Row],[COSTOS OPERACIONALES ($COP)]]</f>
        <v>24950.670564762557</v>
      </c>
      <c r="AA113" s="3">
        <f>+V.sual_Data[[#This Row],[COSTOS OPERACIONALES ($COP)]]+V.sual_Data[[#This Row],[DESFASE ($COP)]]+V.sual_Data[[#This Row],[UTILIDAD ($COP)]]</f>
        <v>91901.636580208724</v>
      </c>
      <c r="AB113" s="44">
        <v>0.05</v>
      </c>
      <c r="AC113" s="15">
        <f>+((V.sual_Data[[#This Row],[VALOR NETO ($COP)]]/(100%-V.sual_Data[[#This Row],[MÁRGEN DE NEGOCIACIÓN (%)]])))-V.sual_Data[[#This Row],[VALOR NETO ($COP)]]</f>
        <v>4836.9282410636224</v>
      </c>
      <c r="AD113" s="15">
        <f>+(V.sual_Data[[#This Row],[VALOR NETO ($COP)]]+V.sual_Data[[#This Row],[NEGOCIACIÓN ($COP)]])*1%</f>
        <v>967.38564821272348</v>
      </c>
      <c r="AE113" s="15">
        <f>+(V.sual_Data[[#This Row],[VALOR NETO ($COP)]]+V.sual_Data[[#This Row],[NEGOCIACIÓN ($COP)]])*1%</f>
        <v>967.38564821272348</v>
      </c>
      <c r="AF113" s="3">
        <f>+V.sual_Data[[#This Row],[VALOR NETO ($COP)]]+V.sual_Data[[#This Row],[4 * 1000 ($COP)]]+V.sual_Data[[#This Row],[ICA ($COP)]]+V.sual_Data[[#This Row],[NEGOCIACIÓN ($COP)]]</f>
        <v>98673.336117697807</v>
      </c>
      <c r="AI113" s="253"/>
    </row>
    <row r="114" spans="1:35" ht="60" hidden="1" customHeight="1" x14ac:dyDescent="0.25">
      <c r="A114" s="14"/>
      <c r="B114" s="37" t="s">
        <v>292</v>
      </c>
      <c r="C114" s="38" t="s">
        <v>270</v>
      </c>
      <c r="D114" s="38" t="s">
        <v>125</v>
      </c>
      <c r="E114" s="38" t="s">
        <v>293</v>
      </c>
      <c r="F114" s="40" t="s">
        <v>294</v>
      </c>
      <c r="G114" s="40" t="s">
        <v>273</v>
      </c>
      <c r="H114" s="46">
        <v>1</v>
      </c>
      <c r="I114" s="39" t="s">
        <v>288</v>
      </c>
      <c r="J114" s="86">
        <v>7</v>
      </c>
      <c r="K114" s="45" t="s">
        <v>289</v>
      </c>
      <c r="L114" s="40" t="s">
        <v>183</v>
      </c>
      <c r="M114" s="40">
        <v>1</v>
      </c>
      <c r="N114" s="42">
        <f>IFERROR(VLOOKUP(V.sual_Data[[#This Row],[RESPONSABLE]],Listas!$D$3:$F$7,3,FALSE),0)</f>
        <v>22796.352583586624</v>
      </c>
      <c r="O114" s="34">
        <f t="shared" si="22"/>
        <v>22796.352583586624</v>
      </c>
      <c r="P114" s="42">
        <f>IFERROR((VLOOKUP(V.sual_Data[[#This Row],[RESPONSABLE]],Listas!$D$3:$K$7,5,FALSE))*V.sual_Data[[#This Row],[TIEMPO (HORAS)]],0)</f>
        <v>4221.5467747382636</v>
      </c>
      <c r="Q114" s="42">
        <f>IFERROR(+VLOOKUP(L114,V.sual_Lista_Data[[EQUIPO VISUAL]:[SOFTWARE 
VALOR HORA]],8,FALSE)*V.sual_Data[[#This Row],[TIEMPO (HORAS)]],"0")</f>
        <v>3410.8548871439834</v>
      </c>
      <c r="R114" s="43">
        <v>0</v>
      </c>
      <c r="S114" s="43">
        <v>0</v>
      </c>
      <c r="T114" s="3">
        <f t="shared" si="23"/>
        <v>30428.754245468874</v>
      </c>
      <c r="U114" s="15">
        <f>V.sual_Data[[#This Row],[TIEMPO (HORAS)]]*Gastos_Operativos[[#Totals],[GASTOS HORA]]</f>
        <v>27789.477072310401</v>
      </c>
      <c r="V114" s="3">
        <f>V.sual_Data[[#This Row],[COSTO 
DIRECTO ($COP)]]+V.sual_Data[[#This Row],[PRORRATEO GASTOS ($COP)]]</f>
        <v>58218.231317779275</v>
      </c>
      <c r="W114" s="44">
        <v>0.15</v>
      </c>
      <c r="X114" s="15">
        <f>V.sual_Data[[#This Row],[COSTOS OPERACIONALES ($COP)]]*V.sual_Data[[#This Row],[DESFASE (%)]]</f>
        <v>8732.7346976668905</v>
      </c>
      <c r="Y114" s="44">
        <v>0.3</v>
      </c>
      <c r="Z114" s="15">
        <f>+((V.sual_Data[[#This Row],[COSTOS OPERACIONALES ($COP)]]/(100%-V.sual_Data[[#This Row],[UTILIDAD (%)]])))-V.sual_Data[[#This Row],[COSTOS OPERACIONALES ($COP)]]</f>
        <v>24950.670564762557</v>
      </c>
      <c r="AA114" s="3">
        <f>+V.sual_Data[[#This Row],[COSTOS OPERACIONALES ($COP)]]+V.sual_Data[[#This Row],[DESFASE ($COP)]]+V.sual_Data[[#This Row],[UTILIDAD ($COP)]]</f>
        <v>91901.636580208724</v>
      </c>
      <c r="AB114" s="44">
        <v>0.05</v>
      </c>
      <c r="AC114" s="15">
        <f>+((V.sual_Data[[#This Row],[VALOR NETO ($COP)]]/(100%-V.sual_Data[[#This Row],[MÁRGEN DE NEGOCIACIÓN (%)]])))-V.sual_Data[[#This Row],[VALOR NETO ($COP)]]</f>
        <v>4836.9282410636224</v>
      </c>
      <c r="AD114" s="15">
        <f>+(V.sual_Data[[#This Row],[VALOR NETO ($COP)]]+V.sual_Data[[#This Row],[NEGOCIACIÓN ($COP)]])*1%</f>
        <v>967.38564821272348</v>
      </c>
      <c r="AE114" s="15">
        <f>+(V.sual_Data[[#This Row],[VALOR NETO ($COP)]]+V.sual_Data[[#This Row],[NEGOCIACIÓN ($COP)]])*1%</f>
        <v>967.38564821272348</v>
      </c>
      <c r="AF114" s="3">
        <f>+V.sual_Data[[#This Row],[VALOR NETO ($COP)]]+V.sual_Data[[#This Row],[4 * 1000 ($COP)]]+V.sual_Data[[#This Row],[ICA ($COP)]]+V.sual_Data[[#This Row],[NEGOCIACIÓN ($COP)]]</f>
        <v>98673.336117697807</v>
      </c>
    </row>
    <row r="115" spans="1:35" ht="60" hidden="1" customHeight="1" x14ac:dyDescent="0.25">
      <c r="A115" s="14"/>
      <c r="B115" s="37" t="s">
        <v>292</v>
      </c>
      <c r="C115" s="38" t="s">
        <v>270</v>
      </c>
      <c r="D115" s="38" t="s">
        <v>125</v>
      </c>
      <c r="E115" s="38" t="s">
        <v>293</v>
      </c>
      <c r="F115" s="40" t="s">
        <v>294</v>
      </c>
      <c r="G115" s="40" t="s">
        <v>273</v>
      </c>
      <c r="H115" s="46">
        <v>1</v>
      </c>
      <c r="I115" s="39" t="s">
        <v>290</v>
      </c>
      <c r="J115" s="86">
        <v>8</v>
      </c>
      <c r="K115" s="45" t="s">
        <v>291</v>
      </c>
      <c r="L115" s="40" t="s">
        <v>183</v>
      </c>
      <c r="M115" s="40">
        <v>1</v>
      </c>
      <c r="N115" s="42">
        <f>IFERROR(VLOOKUP(V.sual_Data[[#This Row],[RESPONSABLE]],Listas!$D$3:$F$7,3,FALSE),0)</f>
        <v>22796.352583586624</v>
      </c>
      <c r="O115" s="34">
        <f t="shared" si="22"/>
        <v>22796.352583586624</v>
      </c>
      <c r="P115" s="42">
        <f>IFERROR((VLOOKUP(V.sual_Data[[#This Row],[RESPONSABLE]],Listas!$D$3:$K$7,5,FALSE))*V.sual_Data[[#This Row],[TIEMPO (HORAS)]],0)</f>
        <v>4221.5467747382636</v>
      </c>
      <c r="Q115" s="42">
        <f>IFERROR(+VLOOKUP(L115,V.sual_Lista_Data[[EQUIPO VISUAL]:[SOFTWARE 
VALOR HORA]],8,FALSE)*V.sual_Data[[#This Row],[TIEMPO (HORAS)]],"0")</f>
        <v>3410.8548871439834</v>
      </c>
      <c r="R115" s="43">
        <v>0</v>
      </c>
      <c r="S115" s="43">
        <v>0</v>
      </c>
      <c r="T115" s="3">
        <f t="shared" si="23"/>
        <v>30428.754245468874</v>
      </c>
      <c r="U115" s="15">
        <f>V.sual_Data[[#This Row],[TIEMPO (HORAS)]]*Gastos_Operativos[[#Totals],[GASTOS HORA]]</f>
        <v>27789.477072310401</v>
      </c>
      <c r="V115" s="3">
        <f>V.sual_Data[[#This Row],[COSTO 
DIRECTO ($COP)]]+V.sual_Data[[#This Row],[PRORRATEO GASTOS ($COP)]]</f>
        <v>58218.231317779275</v>
      </c>
      <c r="W115" s="44">
        <v>0.15</v>
      </c>
      <c r="X115" s="15">
        <f>V.sual_Data[[#This Row],[COSTOS OPERACIONALES ($COP)]]*V.sual_Data[[#This Row],[DESFASE (%)]]</f>
        <v>8732.7346976668905</v>
      </c>
      <c r="Y115" s="44">
        <v>0.3</v>
      </c>
      <c r="Z115" s="15">
        <f>+((V.sual_Data[[#This Row],[COSTOS OPERACIONALES ($COP)]]/(100%-V.sual_Data[[#This Row],[UTILIDAD (%)]])))-V.sual_Data[[#This Row],[COSTOS OPERACIONALES ($COP)]]</f>
        <v>24950.670564762557</v>
      </c>
      <c r="AA115" s="3">
        <f>+V.sual_Data[[#This Row],[COSTOS OPERACIONALES ($COP)]]+V.sual_Data[[#This Row],[DESFASE ($COP)]]+V.sual_Data[[#This Row],[UTILIDAD ($COP)]]</f>
        <v>91901.636580208724</v>
      </c>
      <c r="AB115" s="44">
        <v>0.05</v>
      </c>
      <c r="AC115" s="15">
        <f>+((V.sual_Data[[#This Row],[VALOR NETO ($COP)]]/(100%-V.sual_Data[[#This Row],[MÁRGEN DE NEGOCIACIÓN (%)]])))-V.sual_Data[[#This Row],[VALOR NETO ($COP)]]</f>
        <v>4836.9282410636224</v>
      </c>
      <c r="AD115" s="15">
        <f>+(V.sual_Data[[#This Row],[VALOR NETO ($COP)]]+V.sual_Data[[#This Row],[NEGOCIACIÓN ($COP)]])*1%</f>
        <v>967.38564821272348</v>
      </c>
      <c r="AE115" s="15">
        <f>+(V.sual_Data[[#This Row],[VALOR NETO ($COP)]]+V.sual_Data[[#This Row],[NEGOCIACIÓN ($COP)]])*1%</f>
        <v>967.38564821272348</v>
      </c>
      <c r="AF115" s="3">
        <f>+V.sual_Data[[#This Row],[VALOR NETO ($COP)]]+V.sual_Data[[#This Row],[4 * 1000 ($COP)]]+V.sual_Data[[#This Row],[ICA ($COP)]]+V.sual_Data[[#This Row],[NEGOCIACIÓN ($COP)]]</f>
        <v>98673.336117697807</v>
      </c>
    </row>
    <row r="116" spans="1:35" ht="60" hidden="1" customHeight="1" x14ac:dyDescent="0.25">
      <c r="A116" s="14"/>
      <c r="B116" s="37" t="s">
        <v>301</v>
      </c>
      <c r="C116" s="38" t="s">
        <v>302</v>
      </c>
      <c r="D116" s="38" t="s">
        <v>190</v>
      </c>
      <c r="E116" s="38" t="s">
        <v>303</v>
      </c>
      <c r="F116" s="40" t="s">
        <v>304</v>
      </c>
      <c r="G116" s="40" t="s">
        <v>305</v>
      </c>
      <c r="H116" s="46">
        <v>1</v>
      </c>
      <c r="I116" s="39" t="s">
        <v>306</v>
      </c>
      <c r="J116" s="86">
        <v>1</v>
      </c>
      <c r="K116" s="45" t="s">
        <v>307</v>
      </c>
      <c r="L116" s="40" t="s">
        <v>258</v>
      </c>
      <c r="M116" s="41">
        <v>48</v>
      </c>
      <c r="N116" s="42">
        <f>IFERROR(VLOOKUP(V.sual_Data[[#This Row],[RESPONSABLE]],Listas!$D$3:$F$7,3,FALSE),0)</f>
        <v>0</v>
      </c>
      <c r="O116" s="34">
        <f t="shared" si="22"/>
        <v>0</v>
      </c>
      <c r="P116" s="42">
        <f>IFERROR((VLOOKUP(V.sual_Data[[#This Row],[RESPONSABLE]],Listas!$D$3:$K$7,5,FALSE))*V.sual_Data[[#This Row],[TIEMPO (HORAS)]],0)</f>
        <v>0</v>
      </c>
      <c r="Q116" s="42">
        <f>IFERROR(+VLOOKUP(L116,V.sual_Lista_Data[[EQUIPO VISUAL]:[SOFTWARE 
VALOR HORA]],8,FALSE)*V.sual_Data[[#This Row],[TIEMPO (HORAS)]],"0")</f>
        <v>163721.0345829112</v>
      </c>
      <c r="R116" s="43">
        <v>0</v>
      </c>
      <c r="S116" s="43">
        <v>300000</v>
      </c>
      <c r="T116" s="3">
        <f t="shared" si="23"/>
        <v>463721.03458291118</v>
      </c>
      <c r="U116" s="15">
        <f>V.sual_Data[[#This Row],[TIEMPO (HORAS)]]*Gastos_Operativos[[#Totals],[GASTOS HORA]]</f>
        <v>1333894.8994708993</v>
      </c>
      <c r="V116" s="3">
        <f>V.sual_Data[[#This Row],[COSTO 
DIRECTO ($COP)]]+V.sual_Data[[#This Row],[PRORRATEO GASTOS ($COP)]]</f>
        <v>1797615.9340538103</v>
      </c>
      <c r="W116" s="44">
        <v>0</v>
      </c>
      <c r="X116" s="15">
        <f>V.sual_Data[[#This Row],[COSTOS OPERACIONALES ($COP)]]*V.sual_Data[[#This Row],[DESFASE (%)]]</f>
        <v>0</v>
      </c>
      <c r="Y116" s="44">
        <v>0.25</v>
      </c>
      <c r="Z116" s="15">
        <f>+((V.sual_Data[[#This Row],[COSTOS OPERACIONALES ($COP)]]/(100%-V.sual_Data[[#This Row],[UTILIDAD (%)]])))-V.sual_Data[[#This Row],[COSTOS OPERACIONALES ($COP)]]</f>
        <v>599205.31135126995</v>
      </c>
      <c r="AA116" s="3">
        <f>+V.sual_Data[[#This Row],[COSTOS OPERACIONALES ($COP)]]+V.sual_Data[[#This Row],[DESFASE ($COP)]]+V.sual_Data[[#This Row],[UTILIDAD ($COP)]]</f>
        <v>2396821.2454050803</v>
      </c>
      <c r="AB116" s="44">
        <v>0.05</v>
      </c>
      <c r="AC116" s="15">
        <f>+((V.sual_Data[[#This Row],[VALOR NETO ($COP)]]/(100%-V.sual_Data[[#This Row],[MÁRGEN DE NEGOCIACIÓN (%)]])))-V.sual_Data[[#This Row],[VALOR NETO ($COP)]]</f>
        <v>126148.4866002677</v>
      </c>
      <c r="AD116" s="15">
        <f>+(V.sual_Data[[#This Row],[VALOR NETO ($COP)]]+V.sual_Data[[#This Row],[NEGOCIACIÓN ($COP)]])*1%</f>
        <v>25229.697320053481</v>
      </c>
      <c r="AE116" s="15">
        <f>+(V.sual_Data[[#This Row],[VALOR NETO ($COP)]]+V.sual_Data[[#This Row],[NEGOCIACIÓN ($COP)]])*1%</f>
        <v>25229.697320053481</v>
      </c>
      <c r="AF116" s="3">
        <f>+V.sual_Data[[#This Row],[VALOR NETO ($COP)]]+V.sual_Data[[#This Row],[4 * 1000 ($COP)]]+V.sual_Data[[#This Row],[ICA ($COP)]]+V.sual_Data[[#This Row],[NEGOCIACIÓN ($COP)]]</f>
        <v>2573429.1266454547</v>
      </c>
    </row>
    <row r="117" spans="1:35" ht="60" hidden="1" customHeight="1" x14ac:dyDescent="0.25">
      <c r="A117" s="14"/>
      <c r="B117" s="37" t="s">
        <v>301</v>
      </c>
      <c r="C117" s="38" t="s">
        <v>302</v>
      </c>
      <c r="D117" s="38" t="s">
        <v>190</v>
      </c>
      <c r="E117" s="38" t="s">
        <v>303</v>
      </c>
      <c r="F117" s="40" t="s">
        <v>304</v>
      </c>
      <c r="G117" s="40" t="s">
        <v>305</v>
      </c>
      <c r="H117" s="46">
        <v>1</v>
      </c>
      <c r="I117" s="39" t="s">
        <v>308</v>
      </c>
      <c r="J117" s="86">
        <v>2</v>
      </c>
      <c r="K117" s="45" t="s">
        <v>309</v>
      </c>
      <c r="L117" s="40" t="s">
        <v>258</v>
      </c>
      <c r="M117" s="41">
        <v>7</v>
      </c>
      <c r="N117" s="42">
        <f>IFERROR(VLOOKUP(V.sual_Data[[#This Row],[RESPONSABLE]],Listas!$D$3:$F$7,3,FALSE),0)</f>
        <v>0</v>
      </c>
      <c r="O117" s="34">
        <f t="shared" si="22"/>
        <v>0</v>
      </c>
      <c r="P117" s="42">
        <f>IFERROR((VLOOKUP(V.sual_Data[[#This Row],[RESPONSABLE]],Listas!$D$3:$K$7,5,FALSE))*V.sual_Data[[#This Row],[TIEMPO (HORAS)]],0)</f>
        <v>0</v>
      </c>
      <c r="Q117" s="42">
        <f>IFERROR(+VLOOKUP(L117,V.sual_Lista_Data[[EQUIPO VISUAL]:[SOFTWARE 
VALOR HORA]],8,FALSE)*V.sual_Data[[#This Row],[TIEMPO (HORAS)]],"0")</f>
        <v>23875.984210007882</v>
      </c>
      <c r="R117" s="43">
        <v>0</v>
      </c>
      <c r="S117" s="43">
        <v>100000</v>
      </c>
      <c r="T117" s="3">
        <f t="shared" si="23"/>
        <v>123875.98421000788</v>
      </c>
      <c r="U117" s="15">
        <f>V.sual_Data[[#This Row],[TIEMPO (HORAS)]]*Gastos_Operativos[[#Totals],[GASTOS HORA]]</f>
        <v>194526.33950617281</v>
      </c>
      <c r="V117" s="3">
        <f>V.sual_Data[[#This Row],[COSTO 
DIRECTO ($COP)]]+V.sual_Data[[#This Row],[PRORRATEO GASTOS ($COP)]]</f>
        <v>318402.32371618069</v>
      </c>
      <c r="W117" s="44">
        <v>0</v>
      </c>
      <c r="X117" s="15">
        <f>V.sual_Data[[#This Row],[COSTOS OPERACIONALES ($COP)]]*V.sual_Data[[#This Row],[DESFASE (%)]]</f>
        <v>0</v>
      </c>
      <c r="Y117" s="44">
        <v>0.25</v>
      </c>
      <c r="Z117" s="15">
        <f>+((V.sual_Data[[#This Row],[COSTOS OPERACIONALES ($COP)]]/(100%-V.sual_Data[[#This Row],[UTILIDAD (%)]])))-V.sual_Data[[#This Row],[COSTOS OPERACIONALES ($COP)]]</f>
        <v>106134.10790539358</v>
      </c>
      <c r="AA117" s="3">
        <f>+V.sual_Data[[#This Row],[COSTOS OPERACIONALES ($COP)]]+V.sual_Data[[#This Row],[DESFASE ($COP)]]+V.sual_Data[[#This Row],[UTILIDAD ($COP)]]</f>
        <v>424536.43162157427</v>
      </c>
      <c r="AB117" s="44">
        <v>0.05</v>
      </c>
      <c r="AC117" s="15">
        <f>+((V.sual_Data[[#This Row],[VALOR NETO ($COP)]]/(100%-V.sual_Data[[#This Row],[MÁRGEN DE NEGOCIACIÓN (%)]])))-V.sual_Data[[#This Row],[VALOR NETO ($COP)]]</f>
        <v>22344.022716924956</v>
      </c>
      <c r="AD117" s="15">
        <f>+(V.sual_Data[[#This Row],[VALOR NETO ($COP)]]+V.sual_Data[[#This Row],[NEGOCIACIÓN ($COP)]])*1%</f>
        <v>4468.804543384992</v>
      </c>
      <c r="AE117" s="15">
        <f>+(V.sual_Data[[#This Row],[VALOR NETO ($COP)]]+V.sual_Data[[#This Row],[NEGOCIACIÓN ($COP)]])*1%</f>
        <v>4468.804543384992</v>
      </c>
      <c r="AF117" s="3">
        <f>+V.sual_Data[[#This Row],[VALOR NETO ($COP)]]+V.sual_Data[[#This Row],[4 * 1000 ($COP)]]+V.sual_Data[[#This Row],[ICA ($COP)]]+V.sual_Data[[#This Row],[NEGOCIACIÓN ($COP)]]</f>
        <v>455818.06342526921</v>
      </c>
    </row>
    <row r="118" spans="1:35" ht="60" hidden="1" customHeight="1" x14ac:dyDescent="0.25">
      <c r="A118" s="14"/>
      <c r="B118" s="37" t="s">
        <v>301</v>
      </c>
      <c r="C118" s="38" t="s">
        <v>302</v>
      </c>
      <c r="D118" s="38" t="s">
        <v>190</v>
      </c>
      <c r="E118" s="38" t="s">
        <v>303</v>
      </c>
      <c r="F118" s="40" t="s">
        <v>304</v>
      </c>
      <c r="G118" s="40" t="s">
        <v>305</v>
      </c>
      <c r="H118" s="46">
        <v>1</v>
      </c>
      <c r="I118" s="39" t="s">
        <v>310</v>
      </c>
      <c r="J118" s="86">
        <v>3</v>
      </c>
      <c r="K118" s="45" t="s">
        <v>311</v>
      </c>
      <c r="L118" s="40" t="s">
        <v>258</v>
      </c>
      <c r="M118" s="41">
        <v>48</v>
      </c>
      <c r="N118" s="42">
        <f>IFERROR(VLOOKUP(V.sual_Data[[#This Row],[RESPONSABLE]],Listas!$D$3:$F$7,3,FALSE),0)</f>
        <v>0</v>
      </c>
      <c r="O118" s="34">
        <f t="shared" si="22"/>
        <v>0</v>
      </c>
      <c r="P118" s="42">
        <f>IFERROR((VLOOKUP(V.sual_Data[[#This Row],[RESPONSABLE]],Listas!$D$3:$K$7,5,FALSE))*V.sual_Data[[#This Row],[TIEMPO (HORAS)]],0)</f>
        <v>0</v>
      </c>
      <c r="Q118" s="42">
        <f>IFERROR(+VLOOKUP(L118,V.sual_Lista_Data[[EQUIPO VISUAL]:[SOFTWARE 
VALOR HORA]],8,FALSE)*V.sual_Data[[#This Row],[TIEMPO (HORAS)]],"0")</f>
        <v>163721.0345829112</v>
      </c>
      <c r="R118" s="43">
        <v>0</v>
      </c>
      <c r="S118" s="43">
        <v>300000</v>
      </c>
      <c r="T118" s="3">
        <f t="shared" si="23"/>
        <v>463721.03458291118</v>
      </c>
      <c r="U118" s="15">
        <f>V.sual_Data[[#This Row],[TIEMPO (HORAS)]]*Gastos_Operativos[[#Totals],[GASTOS HORA]]</f>
        <v>1333894.8994708993</v>
      </c>
      <c r="V118" s="3">
        <f>V.sual_Data[[#This Row],[COSTO 
DIRECTO ($COP)]]+V.sual_Data[[#This Row],[PRORRATEO GASTOS ($COP)]]</f>
        <v>1797615.9340538103</v>
      </c>
      <c r="W118" s="44">
        <v>0</v>
      </c>
      <c r="X118" s="15">
        <f>V.sual_Data[[#This Row],[COSTOS OPERACIONALES ($COP)]]*V.sual_Data[[#This Row],[DESFASE (%)]]</f>
        <v>0</v>
      </c>
      <c r="Y118" s="44">
        <v>0.25</v>
      </c>
      <c r="Z118" s="15">
        <f>+((V.sual_Data[[#This Row],[COSTOS OPERACIONALES ($COP)]]/(100%-V.sual_Data[[#This Row],[UTILIDAD (%)]])))-V.sual_Data[[#This Row],[COSTOS OPERACIONALES ($COP)]]</f>
        <v>599205.31135126995</v>
      </c>
      <c r="AA118" s="3">
        <f>+V.sual_Data[[#This Row],[COSTOS OPERACIONALES ($COP)]]+V.sual_Data[[#This Row],[DESFASE ($COP)]]+V.sual_Data[[#This Row],[UTILIDAD ($COP)]]</f>
        <v>2396821.2454050803</v>
      </c>
      <c r="AB118" s="44">
        <v>0.05</v>
      </c>
      <c r="AC118" s="15">
        <f>+((V.sual_Data[[#This Row],[VALOR NETO ($COP)]]/(100%-V.sual_Data[[#This Row],[MÁRGEN DE NEGOCIACIÓN (%)]])))-V.sual_Data[[#This Row],[VALOR NETO ($COP)]]</f>
        <v>126148.4866002677</v>
      </c>
      <c r="AD118" s="15">
        <f>+(V.sual_Data[[#This Row],[VALOR NETO ($COP)]]+V.sual_Data[[#This Row],[NEGOCIACIÓN ($COP)]])*1%</f>
        <v>25229.697320053481</v>
      </c>
      <c r="AE118" s="15">
        <f>+(V.sual_Data[[#This Row],[VALOR NETO ($COP)]]+V.sual_Data[[#This Row],[NEGOCIACIÓN ($COP)]])*1%</f>
        <v>25229.697320053481</v>
      </c>
      <c r="AF118" s="3">
        <f>+V.sual_Data[[#This Row],[VALOR NETO ($COP)]]+V.sual_Data[[#This Row],[4 * 1000 ($COP)]]+V.sual_Data[[#This Row],[ICA ($COP)]]+V.sual_Data[[#This Row],[NEGOCIACIÓN ($COP)]]</f>
        <v>2573429.1266454547</v>
      </c>
    </row>
    <row r="119" spans="1:35" ht="60" hidden="1" customHeight="1" x14ac:dyDescent="0.25">
      <c r="A119" s="14"/>
      <c r="B119" s="37" t="s">
        <v>301</v>
      </c>
      <c r="C119" s="38" t="s">
        <v>302</v>
      </c>
      <c r="D119" s="38" t="s">
        <v>190</v>
      </c>
      <c r="E119" s="38" t="s">
        <v>303</v>
      </c>
      <c r="F119" s="40" t="s">
        <v>304</v>
      </c>
      <c r="G119" s="40" t="s">
        <v>305</v>
      </c>
      <c r="H119" s="46">
        <v>1</v>
      </c>
      <c r="I119" s="39" t="s">
        <v>312</v>
      </c>
      <c r="J119" s="86">
        <v>4</v>
      </c>
      <c r="K119" s="45" t="s">
        <v>313</v>
      </c>
      <c r="L119" s="40" t="s">
        <v>258</v>
      </c>
      <c r="M119" s="41">
        <v>7</v>
      </c>
      <c r="N119" s="42">
        <f>IFERROR(VLOOKUP(V.sual_Data[[#This Row],[RESPONSABLE]],Listas!$D$3:$F$7,3,FALSE),0)</f>
        <v>0</v>
      </c>
      <c r="O119" s="34">
        <f t="shared" si="22"/>
        <v>0</v>
      </c>
      <c r="P119" s="42">
        <f>IFERROR((VLOOKUP(V.sual_Data[[#This Row],[RESPONSABLE]],Listas!$D$3:$K$7,5,FALSE))*V.sual_Data[[#This Row],[TIEMPO (HORAS)]],0)</f>
        <v>0</v>
      </c>
      <c r="Q119" s="42">
        <f>IFERROR(+VLOOKUP(L119,V.sual_Lista_Data[[EQUIPO VISUAL]:[SOFTWARE 
VALOR HORA]],8,FALSE)*V.sual_Data[[#This Row],[TIEMPO (HORAS)]],"0")</f>
        <v>23875.984210007882</v>
      </c>
      <c r="R119" s="43">
        <v>0</v>
      </c>
      <c r="S119" s="43">
        <v>100000</v>
      </c>
      <c r="T119" s="3">
        <f t="shared" si="23"/>
        <v>123875.98421000788</v>
      </c>
      <c r="U119" s="15">
        <f>V.sual_Data[[#This Row],[TIEMPO (HORAS)]]*Gastos_Operativos[[#Totals],[GASTOS HORA]]</f>
        <v>194526.33950617281</v>
      </c>
      <c r="V119" s="3">
        <f>V.sual_Data[[#This Row],[COSTO 
DIRECTO ($COP)]]+V.sual_Data[[#This Row],[PRORRATEO GASTOS ($COP)]]</f>
        <v>318402.32371618069</v>
      </c>
      <c r="W119" s="44">
        <v>0</v>
      </c>
      <c r="X119" s="15">
        <f>V.sual_Data[[#This Row],[COSTOS OPERACIONALES ($COP)]]*V.sual_Data[[#This Row],[DESFASE (%)]]</f>
        <v>0</v>
      </c>
      <c r="Y119" s="44">
        <v>0.25</v>
      </c>
      <c r="Z119" s="15">
        <f>+((V.sual_Data[[#This Row],[COSTOS OPERACIONALES ($COP)]]/(100%-V.sual_Data[[#This Row],[UTILIDAD (%)]])))-V.sual_Data[[#This Row],[COSTOS OPERACIONALES ($COP)]]</f>
        <v>106134.10790539358</v>
      </c>
      <c r="AA119" s="3">
        <f>+V.sual_Data[[#This Row],[COSTOS OPERACIONALES ($COP)]]+V.sual_Data[[#This Row],[DESFASE ($COP)]]+V.sual_Data[[#This Row],[UTILIDAD ($COP)]]</f>
        <v>424536.43162157427</v>
      </c>
      <c r="AB119" s="44">
        <v>0.05</v>
      </c>
      <c r="AC119" s="15">
        <f>+((V.sual_Data[[#This Row],[VALOR NETO ($COP)]]/(100%-V.sual_Data[[#This Row],[MÁRGEN DE NEGOCIACIÓN (%)]])))-V.sual_Data[[#This Row],[VALOR NETO ($COP)]]</f>
        <v>22344.022716924956</v>
      </c>
      <c r="AD119" s="15">
        <f>+(V.sual_Data[[#This Row],[VALOR NETO ($COP)]]+V.sual_Data[[#This Row],[NEGOCIACIÓN ($COP)]])*1%</f>
        <v>4468.804543384992</v>
      </c>
      <c r="AE119" s="15">
        <f>+(V.sual_Data[[#This Row],[VALOR NETO ($COP)]]+V.sual_Data[[#This Row],[NEGOCIACIÓN ($COP)]])*1%</f>
        <v>4468.804543384992</v>
      </c>
      <c r="AF119" s="3">
        <f>+V.sual_Data[[#This Row],[VALOR NETO ($COP)]]+V.sual_Data[[#This Row],[4 * 1000 ($COP)]]+V.sual_Data[[#This Row],[ICA ($COP)]]+V.sual_Data[[#This Row],[NEGOCIACIÓN ($COP)]]</f>
        <v>455818.06342526921</v>
      </c>
    </row>
    <row r="120" spans="1:35" ht="60" hidden="1" customHeight="1" x14ac:dyDescent="0.25">
      <c r="A120" s="14"/>
      <c r="B120" s="37" t="s">
        <v>301</v>
      </c>
      <c r="C120" s="38" t="s">
        <v>302</v>
      </c>
      <c r="D120" s="38" t="s">
        <v>190</v>
      </c>
      <c r="E120" s="38" t="s">
        <v>303</v>
      </c>
      <c r="F120" s="40" t="s">
        <v>304</v>
      </c>
      <c r="G120" s="40" t="s">
        <v>305</v>
      </c>
      <c r="H120" s="46">
        <v>2</v>
      </c>
      <c r="I120" s="39" t="s">
        <v>314</v>
      </c>
      <c r="J120" s="86">
        <v>5</v>
      </c>
      <c r="K120" s="39" t="s">
        <v>315</v>
      </c>
      <c r="L120" s="40" t="s">
        <v>258</v>
      </c>
      <c r="M120" s="41">
        <v>1</v>
      </c>
      <c r="N120" s="42">
        <f>IFERROR(VLOOKUP(V.sual_Data[[#This Row],[RESPONSABLE]],Listas!$D$3:$F$7,3,FALSE),0)</f>
        <v>0</v>
      </c>
      <c r="O120" s="34">
        <f t="shared" si="22"/>
        <v>0</v>
      </c>
      <c r="P120" s="42">
        <f>IFERROR((VLOOKUP(V.sual_Data[[#This Row],[RESPONSABLE]],Listas!$D$3:$K$7,5,FALSE))*V.sual_Data[[#This Row],[TIEMPO (HORAS)]],0)</f>
        <v>0</v>
      </c>
      <c r="Q120" s="42">
        <f>IFERROR(+VLOOKUP(L120,V.sual_Lista_Data[[EQUIPO VISUAL]:[SOFTWARE 
VALOR HORA]],8,FALSE)*V.sual_Data[[#This Row],[TIEMPO (HORAS)]],"0")</f>
        <v>3410.8548871439834</v>
      </c>
      <c r="R120" s="43">
        <v>0</v>
      </c>
      <c r="S120" s="43">
        <v>200000</v>
      </c>
      <c r="T120" s="3">
        <f t="shared" si="23"/>
        <v>203410.85488714397</v>
      </c>
      <c r="U120" s="15">
        <f>V.sual_Data[[#This Row],[TIEMPO (HORAS)]]*Gastos_Operativos[[#Totals],[GASTOS HORA]]</f>
        <v>27789.477072310401</v>
      </c>
      <c r="V120" s="3">
        <f>V.sual_Data[[#This Row],[COSTO 
DIRECTO ($COP)]]+V.sual_Data[[#This Row],[PRORRATEO GASTOS ($COP)]]</f>
        <v>231200.33195945437</v>
      </c>
      <c r="W120" s="44">
        <v>0</v>
      </c>
      <c r="X120" s="15">
        <f>V.sual_Data[[#This Row],[COSTOS OPERACIONALES ($COP)]]*V.sual_Data[[#This Row],[DESFASE (%)]]</f>
        <v>0</v>
      </c>
      <c r="Y120" s="44">
        <v>0.25</v>
      </c>
      <c r="Z120" s="15">
        <f>+((V.sual_Data[[#This Row],[COSTOS OPERACIONALES ($COP)]]/(100%-V.sual_Data[[#This Row],[UTILIDAD (%)]])))-V.sual_Data[[#This Row],[COSTOS OPERACIONALES ($COP)]]</f>
        <v>77066.777319818124</v>
      </c>
      <c r="AA120" s="3">
        <f>+V.sual_Data[[#This Row],[COSTOS OPERACIONALES ($COP)]]+V.sual_Data[[#This Row],[DESFASE ($COP)]]+V.sual_Data[[#This Row],[UTILIDAD ($COP)]]</f>
        <v>308267.1092792725</v>
      </c>
      <c r="AB120" s="44">
        <v>0.05</v>
      </c>
      <c r="AC120" s="15">
        <f>+((V.sual_Data[[#This Row],[VALOR NETO ($COP)]]/(100%-V.sual_Data[[#This Row],[MÁRGEN DE NEGOCIACIÓN (%)]])))-V.sual_Data[[#This Row],[VALOR NETO ($COP)]]</f>
        <v>16224.584698909079</v>
      </c>
      <c r="AD120" s="15">
        <f>+(V.sual_Data[[#This Row],[VALOR NETO ($COP)]]+V.sual_Data[[#This Row],[NEGOCIACIÓN ($COP)]])*1%</f>
        <v>3244.9169397818159</v>
      </c>
      <c r="AE120" s="15">
        <f>+(V.sual_Data[[#This Row],[VALOR NETO ($COP)]]+V.sual_Data[[#This Row],[NEGOCIACIÓN ($COP)]])*1%</f>
        <v>3244.9169397818159</v>
      </c>
      <c r="AF120" s="3">
        <f>+V.sual_Data[[#This Row],[VALOR NETO ($COP)]]+V.sual_Data[[#This Row],[4 * 1000 ($COP)]]+V.sual_Data[[#This Row],[ICA ($COP)]]+V.sual_Data[[#This Row],[NEGOCIACIÓN ($COP)]]</f>
        <v>330981.52785774518</v>
      </c>
    </row>
    <row r="121" spans="1:35" ht="60" hidden="1" customHeight="1" x14ac:dyDescent="0.25">
      <c r="A121" s="14"/>
      <c r="B121" s="37" t="s">
        <v>301</v>
      </c>
      <c r="C121" s="38" t="s">
        <v>302</v>
      </c>
      <c r="D121" s="38" t="s">
        <v>190</v>
      </c>
      <c r="E121" s="38" t="s">
        <v>303</v>
      </c>
      <c r="F121" s="40" t="s">
        <v>304</v>
      </c>
      <c r="G121" s="40" t="s">
        <v>305</v>
      </c>
      <c r="H121" s="46">
        <v>1</v>
      </c>
      <c r="I121" s="39" t="s">
        <v>316</v>
      </c>
      <c r="J121" s="86">
        <v>6</v>
      </c>
      <c r="K121" s="45" t="s">
        <v>317</v>
      </c>
      <c r="L121" s="40" t="s">
        <v>183</v>
      </c>
      <c r="M121" s="41">
        <v>1</v>
      </c>
      <c r="N121" s="42">
        <f>IFERROR(VLOOKUP(V.sual_Data[[#This Row],[RESPONSABLE]],Listas!$D$3:$F$7,3,FALSE),0)</f>
        <v>22796.352583586624</v>
      </c>
      <c r="O121" s="34">
        <f t="shared" si="22"/>
        <v>22796.352583586624</v>
      </c>
      <c r="P121" s="42">
        <f>IFERROR((VLOOKUP(V.sual_Data[[#This Row],[RESPONSABLE]],Listas!$D$3:$K$7,5,FALSE))*V.sual_Data[[#This Row],[TIEMPO (HORAS)]],0)</f>
        <v>4221.5467747382636</v>
      </c>
      <c r="Q121" s="42">
        <f>IFERROR(+VLOOKUP(L121,V.sual_Lista_Data[[EQUIPO VISUAL]:[SOFTWARE 
VALOR HORA]],8,FALSE)*V.sual_Data[[#This Row],[TIEMPO (HORAS)]],"0")</f>
        <v>3410.8548871439834</v>
      </c>
      <c r="R121" s="43">
        <v>0</v>
      </c>
      <c r="S121" s="43">
        <v>0</v>
      </c>
      <c r="T121" s="3">
        <f t="shared" si="23"/>
        <v>30428.754245468874</v>
      </c>
      <c r="U121" s="15">
        <f>V.sual_Data[[#This Row],[TIEMPO (HORAS)]]*Gastos_Operativos[[#Totals],[GASTOS HORA]]</f>
        <v>27789.477072310401</v>
      </c>
      <c r="V121" s="3">
        <f>V.sual_Data[[#This Row],[COSTO 
DIRECTO ($COP)]]+V.sual_Data[[#This Row],[PRORRATEO GASTOS ($COP)]]</f>
        <v>58218.231317779275</v>
      </c>
      <c r="W121" s="44">
        <v>0.1</v>
      </c>
      <c r="X121" s="15">
        <f>V.sual_Data[[#This Row],[COSTOS OPERACIONALES ($COP)]]*V.sual_Data[[#This Row],[DESFASE (%)]]</f>
        <v>5821.8231317779282</v>
      </c>
      <c r="Y121" s="44">
        <v>0.25</v>
      </c>
      <c r="Z121" s="15">
        <f>+((V.sual_Data[[#This Row],[COSTOS OPERACIONALES ($COP)]]/(100%-V.sual_Data[[#This Row],[UTILIDAD (%)]])))-V.sual_Data[[#This Row],[COSTOS OPERACIONALES ($COP)]]</f>
        <v>19406.07710592643</v>
      </c>
      <c r="AA121" s="3">
        <f>+V.sual_Data[[#This Row],[COSTOS OPERACIONALES ($COP)]]+V.sual_Data[[#This Row],[DESFASE ($COP)]]+V.sual_Data[[#This Row],[UTILIDAD ($COP)]]</f>
        <v>83446.131555483633</v>
      </c>
      <c r="AB121" s="44">
        <v>0.05</v>
      </c>
      <c r="AC121" s="15">
        <f>+((V.sual_Data[[#This Row],[VALOR NETO ($COP)]]/(100%-V.sual_Data[[#This Row],[MÁRGEN DE NEGOCIACIÓN (%)]])))-V.sual_Data[[#This Row],[VALOR NETO ($COP)]]</f>
        <v>4391.901660814925</v>
      </c>
      <c r="AD121" s="15">
        <f>+(V.sual_Data[[#This Row],[VALOR NETO ($COP)]]+V.sual_Data[[#This Row],[NEGOCIACIÓN ($COP)]])*1%</f>
        <v>878.38033216298561</v>
      </c>
      <c r="AE121" s="15">
        <f>+(V.sual_Data[[#This Row],[VALOR NETO ($COP)]]+V.sual_Data[[#This Row],[NEGOCIACIÓN ($COP)]])*1%</f>
        <v>878.38033216298561</v>
      </c>
      <c r="AF121" s="3">
        <f>+V.sual_Data[[#This Row],[VALOR NETO ($COP)]]+V.sual_Data[[#This Row],[4 * 1000 ($COP)]]+V.sual_Data[[#This Row],[ICA ($COP)]]+V.sual_Data[[#This Row],[NEGOCIACIÓN ($COP)]]</f>
        <v>89594.793880624522</v>
      </c>
      <c r="AI121" s="253"/>
    </row>
    <row r="122" spans="1:35" ht="60" hidden="1" customHeight="1" x14ac:dyDescent="0.25">
      <c r="A122" s="14"/>
      <c r="B122" s="37" t="s">
        <v>301</v>
      </c>
      <c r="C122" s="38" t="s">
        <v>302</v>
      </c>
      <c r="D122" s="38" t="s">
        <v>190</v>
      </c>
      <c r="E122" s="38" t="s">
        <v>303</v>
      </c>
      <c r="F122" s="40" t="s">
        <v>304</v>
      </c>
      <c r="G122" s="40" t="s">
        <v>305</v>
      </c>
      <c r="H122" s="46">
        <v>1</v>
      </c>
      <c r="I122" s="39" t="s">
        <v>318</v>
      </c>
      <c r="J122" s="86">
        <v>7</v>
      </c>
      <c r="K122" s="45" t="s">
        <v>319</v>
      </c>
      <c r="L122" s="40" t="s">
        <v>183</v>
      </c>
      <c r="M122" s="41">
        <v>1</v>
      </c>
      <c r="N122" s="42">
        <f>IFERROR(VLOOKUP(V.sual_Data[[#This Row],[RESPONSABLE]],Listas!$D$3:$F$7,3,FALSE),0)</f>
        <v>22796.352583586624</v>
      </c>
      <c r="O122" s="34">
        <f t="shared" si="22"/>
        <v>22796.352583586624</v>
      </c>
      <c r="P122" s="42">
        <f>IFERROR((VLOOKUP(V.sual_Data[[#This Row],[RESPONSABLE]],Listas!$D$3:$K$7,5,FALSE))*V.sual_Data[[#This Row],[TIEMPO (HORAS)]],0)</f>
        <v>4221.5467747382636</v>
      </c>
      <c r="Q122" s="42">
        <f>IFERROR(+VLOOKUP(L122,V.sual_Lista_Data[[EQUIPO VISUAL]:[SOFTWARE 
VALOR HORA]],8,FALSE)*V.sual_Data[[#This Row],[TIEMPO (HORAS)]],"0")</f>
        <v>3410.8548871439834</v>
      </c>
      <c r="R122" s="43">
        <v>0</v>
      </c>
      <c r="S122" s="43">
        <v>0</v>
      </c>
      <c r="T122" s="3">
        <f t="shared" si="23"/>
        <v>30428.754245468874</v>
      </c>
      <c r="U122" s="15">
        <f>V.sual_Data[[#This Row],[TIEMPO (HORAS)]]*Gastos_Operativos[[#Totals],[GASTOS HORA]]</f>
        <v>27789.477072310401</v>
      </c>
      <c r="V122" s="3">
        <f>V.sual_Data[[#This Row],[COSTO 
DIRECTO ($COP)]]+V.sual_Data[[#This Row],[PRORRATEO GASTOS ($COP)]]</f>
        <v>58218.231317779275</v>
      </c>
      <c r="W122" s="44">
        <v>0.1</v>
      </c>
      <c r="X122" s="15">
        <f>V.sual_Data[[#This Row],[COSTOS OPERACIONALES ($COP)]]*V.sual_Data[[#This Row],[DESFASE (%)]]</f>
        <v>5821.8231317779282</v>
      </c>
      <c r="Y122" s="44">
        <v>0.25</v>
      </c>
      <c r="Z122" s="15">
        <f>+((V.sual_Data[[#This Row],[COSTOS OPERACIONALES ($COP)]]/(100%-V.sual_Data[[#This Row],[UTILIDAD (%)]])))-V.sual_Data[[#This Row],[COSTOS OPERACIONALES ($COP)]]</f>
        <v>19406.07710592643</v>
      </c>
      <c r="AA122" s="3">
        <f>+V.sual_Data[[#This Row],[COSTOS OPERACIONALES ($COP)]]+V.sual_Data[[#This Row],[DESFASE ($COP)]]+V.sual_Data[[#This Row],[UTILIDAD ($COP)]]</f>
        <v>83446.131555483633</v>
      </c>
      <c r="AB122" s="44">
        <v>0.05</v>
      </c>
      <c r="AC122" s="15">
        <f>+((V.sual_Data[[#This Row],[VALOR NETO ($COP)]]/(100%-V.sual_Data[[#This Row],[MÁRGEN DE NEGOCIACIÓN (%)]])))-V.sual_Data[[#This Row],[VALOR NETO ($COP)]]</f>
        <v>4391.901660814925</v>
      </c>
      <c r="AD122" s="15">
        <f>+(V.sual_Data[[#This Row],[VALOR NETO ($COP)]]+V.sual_Data[[#This Row],[NEGOCIACIÓN ($COP)]])*1%</f>
        <v>878.38033216298561</v>
      </c>
      <c r="AE122" s="15">
        <f>+(V.sual_Data[[#This Row],[VALOR NETO ($COP)]]+V.sual_Data[[#This Row],[NEGOCIACIÓN ($COP)]])*1%</f>
        <v>878.38033216298561</v>
      </c>
      <c r="AF122" s="3">
        <f>+V.sual_Data[[#This Row],[VALOR NETO ($COP)]]+V.sual_Data[[#This Row],[4 * 1000 ($COP)]]+V.sual_Data[[#This Row],[ICA ($COP)]]+V.sual_Data[[#This Row],[NEGOCIACIÓN ($COP)]]</f>
        <v>89594.793880624522</v>
      </c>
    </row>
    <row r="123" spans="1:35" ht="60" hidden="1" customHeight="1" x14ac:dyDescent="0.25">
      <c r="A123" s="14"/>
      <c r="B123" s="37" t="s">
        <v>320</v>
      </c>
      <c r="C123" s="38" t="s">
        <v>252</v>
      </c>
      <c r="D123" s="38" t="s">
        <v>190</v>
      </c>
      <c r="E123" s="131" t="s">
        <v>321</v>
      </c>
      <c r="F123" s="157" t="s">
        <v>322</v>
      </c>
      <c r="G123" s="40" t="s">
        <v>323</v>
      </c>
      <c r="H123" s="46">
        <v>1</v>
      </c>
      <c r="I123" s="131" t="s">
        <v>324</v>
      </c>
      <c r="J123" s="86">
        <v>1</v>
      </c>
      <c r="K123" s="131" t="s">
        <v>325</v>
      </c>
      <c r="L123" s="40" t="s">
        <v>183</v>
      </c>
      <c r="M123" s="41">
        <v>2</v>
      </c>
      <c r="N123" s="42">
        <f>IFERROR(VLOOKUP(V.sual_Data[[#This Row],[RESPONSABLE]],Listas!$D$3:$F$7,3,FALSE),0)</f>
        <v>22796.352583586624</v>
      </c>
      <c r="O123" s="34">
        <f>+N123*M123</f>
        <v>45592.705167173248</v>
      </c>
      <c r="P123" s="42">
        <f>IFERROR((VLOOKUP(V.sual_Data[[#This Row],[RESPONSABLE]],Listas!$D$3:$K$7,5,FALSE))*V.sual_Data[[#This Row],[TIEMPO (HORAS)]],0)</f>
        <v>8443.0935494765272</v>
      </c>
      <c r="Q123" s="42">
        <f>IFERROR(+VLOOKUP(L123,V.sual_Lista_Data[[EQUIPO VISUAL]:[SOFTWARE 
VALOR HORA]],8,FALSE)*V.sual_Data[[#This Row],[TIEMPO (HORAS)]],"0")</f>
        <v>6821.7097742879669</v>
      </c>
      <c r="R123" s="43">
        <v>0</v>
      </c>
      <c r="S123" s="43">
        <v>0</v>
      </c>
      <c r="T123" s="3">
        <f>SUM(O123:S123)</f>
        <v>60857.508490937747</v>
      </c>
      <c r="U123" s="15">
        <f>V.sual_Data[[#This Row],[TIEMPO (HORAS)]]*Gastos_Operativos[[#Totals],[GASTOS HORA]]</f>
        <v>55578.954144620802</v>
      </c>
      <c r="V123" s="3">
        <f>V.sual_Data[[#This Row],[COSTO 
DIRECTO ($COP)]]+V.sual_Data[[#This Row],[PRORRATEO GASTOS ($COP)]]</f>
        <v>116436.46263555855</v>
      </c>
      <c r="W123" s="44">
        <v>0</v>
      </c>
      <c r="X123" s="15">
        <f>V.sual_Data[[#This Row],[COSTOS OPERACIONALES ($COP)]]*V.sual_Data[[#This Row],[DESFASE (%)]]</f>
        <v>0</v>
      </c>
      <c r="Y123" s="44">
        <v>0.3</v>
      </c>
      <c r="Z123" s="15">
        <f>+((V.sual_Data[[#This Row],[COSTOS OPERACIONALES ($COP)]]/(100%-V.sual_Data[[#This Row],[UTILIDAD (%)]])))-V.sual_Data[[#This Row],[COSTOS OPERACIONALES ($COP)]]</f>
        <v>49901.341129525114</v>
      </c>
      <c r="AA123" s="3">
        <f>+V.sual_Data[[#This Row],[COSTOS OPERACIONALES ($COP)]]+V.sual_Data[[#This Row],[DESFASE ($COP)]]+V.sual_Data[[#This Row],[UTILIDAD ($COP)]]</f>
        <v>166337.80376508366</v>
      </c>
      <c r="AB123" s="44">
        <v>0.05</v>
      </c>
      <c r="AC123" s="15">
        <f>+((V.sual_Data[[#This Row],[VALOR NETO ($COP)]]/(100%-V.sual_Data[[#This Row],[MÁRGEN DE NEGOCIACIÓN (%)]])))-V.sual_Data[[#This Row],[VALOR NETO ($COP)]]</f>
        <v>8754.6212507938908</v>
      </c>
      <c r="AD123" s="15">
        <f>+(V.sual_Data[[#This Row],[VALOR NETO ($COP)]]+V.sual_Data[[#This Row],[NEGOCIACIÓN ($COP)]])*1%</f>
        <v>1750.9242501587755</v>
      </c>
      <c r="AE123" s="15">
        <f>+(V.sual_Data[[#This Row],[VALOR NETO ($COP)]]+V.sual_Data[[#This Row],[NEGOCIACIÓN ($COP)]])*1%</f>
        <v>1750.9242501587755</v>
      </c>
      <c r="AF123" s="3">
        <f>+V.sual_Data[[#This Row],[VALOR NETO ($COP)]]+V.sual_Data[[#This Row],[4 * 1000 ($COP)]]+V.sual_Data[[#This Row],[ICA ($COP)]]+V.sual_Data[[#This Row],[NEGOCIACIÓN ($COP)]]</f>
        <v>178594.2735161951</v>
      </c>
    </row>
    <row r="124" spans="1:35" ht="60" hidden="1" customHeight="1" x14ac:dyDescent="0.25">
      <c r="A124" s="14"/>
      <c r="B124" s="37" t="s">
        <v>320</v>
      </c>
      <c r="C124" s="38" t="s">
        <v>252</v>
      </c>
      <c r="D124" s="38" t="s">
        <v>190</v>
      </c>
      <c r="E124" s="131" t="s">
        <v>321</v>
      </c>
      <c r="F124" s="157" t="s">
        <v>322</v>
      </c>
      <c r="G124" s="40" t="s">
        <v>323</v>
      </c>
      <c r="H124" s="46">
        <v>1</v>
      </c>
      <c r="I124" s="131" t="s">
        <v>324</v>
      </c>
      <c r="J124" s="86">
        <v>2</v>
      </c>
      <c r="K124" s="45" t="s">
        <v>326</v>
      </c>
      <c r="L124" s="40" t="s">
        <v>183</v>
      </c>
      <c r="M124" s="41">
        <v>0.5</v>
      </c>
      <c r="N124" s="42">
        <f>IFERROR(VLOOKUP(V.sual_Data[[#This Row],[RESPONSABLE]],Listas!$D$3:$F$7,3,FALSE),0)</f>
        <v>22796.352583586624</v>
      </c>
      <c r="O124" s="34">
        <f>+N124*M124</f>
        <v>11398.176291793312</v>
      </c>
      <c r="P124" s="42">
        <f>IFERROR((VLOOKUP(V.sual_Data[[#This Row],[RESPONSABLE]],Listas!$D$3:$K$7,5,FALSE))*V.sual_Data[[#This Row],[TIEMPO (HORAS)]],0)</f>
        <v>2110.7733873691318</v>
      </c>
      <c r="Q124" s="42">
        <f>IFERROR(+VLOOKUP(L124,V.sual_Lista_Data[[EQUIPO VISUAL]:[SOFTWARE 
VALOR HORA]],8,FALSE)*V.sual_Data[[#This Row],[TIEMPO (HORAS)]],"0")</f>
        <v>1705.4274435719917</v>
      </c>
      <c r="R124" s="43">
        <v>0</v>
      </c>
      <c r="S124" s="43">
        <v>0</v>
      </c>
      <c r="T124" s="3">
        <f>SUM(O124:S124)</f>
        <v>15214.377122734437</v>
      </c>
      <c r="U124" s="15">
        <f>V.sual_Data[[#This Row],[TIEMPO (HORAS)]]*Gastos_Operativos[[#Totals],[GASTOS HORA]]</f>
        <v>13894.738536155201</v>
      </c>
      <c r="V124" s="3">
        <f>V.sual_Data[[#This Row],[COSTO 
DIRECTO ($COP)]]+V.sual_Data[[#This Row],[PRORRATEO GASTOS ($COP)]]</f>
        <v>29109.115658889637</v>
      </c>
      <c r="W124" s="44">
        <v>0</v>
      </c>
      <c r="X124" s="15">
        <f>V.sual_Data[[#This Row],[COSTOS OPERACIONALES ($COP)]]*V.sual_Data[[#This Row],[DESFASE (%)]]</f>
        <v>0</v>
      </c>
      <c r="Y124" s="44">
        <v>0.3</v>
      </c>
      <c r="Z124" s="15">
        <f>+((V.sual_Data[[#This Row],[COSTOS OPERACIONALES ($COP)]]/(100%-V.sual_Data[[#This Row],[UTILIDAD (%)]])))-V.sual_Data[[#This Row],[COSTOS OPERACIONALES ($COP)]]</f>
        <v>12475.335282381278</v>
      </c>
      <c r="AA124" s="3">
        <f>+V.sual_Data[[#This Row],[COSTOS OPERACIONALES ($COP)]]+V.sual_Data[[#This Row],[DESFASE ($COP)]]+V.sual_Data[[#This Row],[UTILIDAD ($COP)]]</f>
        <v>41584.450941270916</v>
      </c>
      <c r="AB124" s="44">
        <v>0.05</v>
      </c>
      <c r="AC124" s="15">
        <f>+((V.sual_Data[[#This Row],[VALOR NETO ($COP)]]/(100%-V.sual_Data[[#This Row],[MÁRGEN DE NEGOCIACIÓN (%)]])))-V.sual_Data[[#This Row],[VALOR NETO ($COP)]]</f>
        <v>2188.6553126984727</v>
      </c>
      <c r="AD124" s="15">
        <f>+(V.sual_Data[[#This Row],[VALOR NETO ($COP)]]+V.sual_Data[[#This Row],[NEGOCIACIÓN ($COP)]])*1%</f>
        <v>437.73106253969388</v>
      </c>
      <c r="AE124" s="15">
        <f>+(V.sual_Data[[#This Row],[VALOR NETO ($COP)]]+V.sual_Data[[#This Row],[NEGOCIACIÓN ($COP)]])*1%</f>
        <v>437.73106253969388</v>
      </c>
      <c r="AF124" s="3">
        <f>+V.sual_Data[[#This Row],[VALOR NETO ($COP)]]+V.sual_Data[[#This Row],[4 * 1000 ($COP)]]+V.sual_Data[[#This Row],[ICA ($COP)]]+V.sual_Data[[#This Row],[NEGOCIACIÓN ($COP)]]</f>
        <v>44648.568379048775</v>
      </c>
    </row>
    <row r="125" spans="1:35" ht="60" hidden="1" customHeight="1" x14ac:dyDescent="0.25">
      <c r="A125" s="14"/>
      <c r="B125" s="37" t="s">
        <v>320</v>
      </c>
      <c r="C125" s="38" t="s">
        <v>252</v>
      </c>
      <c r="D125" s="38" t="s">
        <v>190</v>
      </c>
      <c r="E125" s="131" t="s">
        <v>321</v>
      </c>
      <c r="F125" s="157" t="s">
        <v>322</v>
      </c>
      <c r="G125" s="40" t="s">
        <v>323</v>
      </c>
      <c r="H125" s="46">
        <v>1</v>
      </c>
      <c r="I125" s="39" t="s">
        <v>327</v>
      </c>
      <c r="J125" s="86">
        <v>3</v>
      </c>
      <c r="K125" s="45" t="s">
        <v>328</v>
      </c>
      <c r="L125" s="40" t="s">
        <v>183</v>
      </c>
      <c r="M125" s="41">
        <v>0</v>
      </c>
      <c r="N125" s="42">
        <f>IFERROR(VLOOKUP(V.sual_Data[[#This Row],[RESPONSABLE]],Listas!$D$3:$F$7,3,FALSE),0)</f>
        <v>22796.352583586624</v>
      </c>
      <c r="O125" s="34">
        <f>+N125*M125</f>
        <v>0</v>
      </c>
      <c r="P125" s="42">
        <f>IFERROR((VLOOKUP(V.sual_Data[[#This Row],[RESPONSABLE]],Listas!$D$3:$K$7,5,FALSE))*V.sual_Data[[#This Row],[TIEMPO (HORAS)]],0)</f>
        <v>0</v>
      </c>
      <c r="Q125" s="42">
        <f>IFERROR(+VLOOKUP(L125,V.sual_Lista_Data[[EQUIPO VISUAL]:[SOFTWARE 
VALOR HORA]],8,FALSE)*V.sual_Data[[#This Row],[TIEMPO (HORAS)]],"0")</f>
        <v>0</v>
      </c>
      <c r="R125" s="43">
        <v>0</v>
      </c>
      <c r="S125" s="43">
        <v>0</v>
      </c>
      <c r="T125" s="3">
        <f>SUM(O125:S125)</f>
        <v>0</v>
      </c>
      <c r="U125" s="15">
        <f>V.sual_Data[[#This Row],[TIEMPO (HORAS)]]*Gastos_Operativos[[#Totals],[GASTOS HORA]]</f>
        <v>0</v>
      </c>
      <c r="V125" s="3">
        <f>V.sual_Data[[#This Row],[COSTO 
DIRECTO ($COP)]]+V.sual_Data[[#This Row],[PRORRATEO GASTOS ($COP)]]</f>
        <v>0</v>
      </c>
      <c r="W125" s="44">
        <v>0</v>
      </c>
      <c r="X125" s="15">
        <f>V.sual_Data[[#This Row],[COSTOS OPERACIONALES ($COP)]]*V.sual_Data[[#This Row],[DESFASE (%)]]</f>
        <v>0</v>
      </c>
      <c r="Y125" s="44">
        <v>0.3</v>
      </c>
      <c r="Z125" s="15">
        <f>+((V.sual_Data[[#This Row],[COSTOS OPERACIONALES ($COP)]]/(100%-V.sual_Data[[#This Row],[UTILIDAD (%)]])))-V.sual_Data[[#This Row],[COSTOS OPERACIONALES ($COP)]]</f>
        <v>0</v>
      </c>
      <c r="AA125" s="3">
        <f>+V.sual_Data[[#This Row],[COSTOS OPERACIONALES ($COP)]]+V.sual_Data[[#This Row],[DESFASE ($COP)]]+V.sual_Data[[#This Row],[UTILIDAD ($COP)]]</f>
        <v>0</v>
      </c>
      <c r="AB125" s="44">
        <v>0.05</v>
      </c>
      <c r="AC125" s="15">
        <f>+((V.sual_Data[[#This Row],[VALOR NETO ($COP)]]/(100%-V.sual_Data[[#This Row],[MÁRGEN DE NEGOCIACIÓN (%)]])))-V.sual_Data[[#This Row],[VALOR NETO ($COP)]]</f>
        <v>0</v>
      </c>
      <c r="AD125" s="15">
        <f>+(V.sual_Data[[#This Row],[VALOR NETO ($COP)]]+V.sual_Data[[#This Row],[NEGOCIACIÓN ($COP)]])*1%</f>
        <v>0</v>
      </c>
      <c r="AE125" s="15">
        <f>+(V.sual_Data[[#This Row],[VALOR NETO ($COP)]]+V.sual_Data[[#This Row],[NEGOCIACIÓN ($COP)]])*1%</f>
        <v>0</v>
      </c>
      <c r="AF125" s="3">
        <f>+V.sual_Data[[#This Row],[VALOR NETO ($COP)]]+V.sual_Data[[#This Row],[4 * 1000 ($COP)]]+V.sual_Data[[#This Row],[ICA ($COP)]]+V.sual_Data[[#This Row],[NEGOCIACIÓN ($COP)]]</f>
        <v>0</v>
      </c>
    </row>
    <row r="126" spans="1:35" ht="60" hidden="1" customHeight="1" x14ac:dyDescent="0.25">
      <c r="A126" s="14"/>
      <c r="B126" s="37" t="s">
        <v>320</v>
      </c>
      <c r="C126" s="38" t="s">
        <v>252</v>
      </c>
      <c r="D126" s="38" t="s">
        <v>190</v>
      </c>
      <c r="E126" s="131" t="s">
        <v>321</v>
      </c>
      <c r="F126" s="157" t="s">
        <v>322</v>
      </c>
      <c r="G126" s="40" t="s">
        <v>323</v>
      </c>
      <c r="H126" s="46">
        <v>1</v>
      </c>
      <c r="I126" s="39" t="s">
        <v>327</v>
      </c>
      <c r="J126" s="86">
        <v>4</v>
      </c>
      <c r="K126" s="45" t="s">
        <v>329</v>
      </c>
      <c r="L126" s="40" t="s">
        <v>183</v>
      </c>
      <c r="M126" s="41">
        <v>2</v>
      </c>
      <c r="N126" s="42">
        <f>IFERROR(VLOOKUP(V.sual_Data[[#This Row],[RESPONSABLE]],Listas!$D$3:$F$7,3,FALSE),0)</f>
        <v>22796.352583586624</v>
      </c>
      <c r="O126" s="34">
        <f>+N126*M126</f>
        <v>45592.705167173248</v>
      </c>
      <c r="P126" s="42">
        <f>IFERROR((VLOOKUP(V.sual_Data[[#This Row],[RESPONSABLE]],Listas!$D$3:$K$7,5,FALSE))*V.sual_Data[[#This Row],[TIEMPO (HORAS)]],0)</f>
        <v>8443.0935494765272</v>
      </c>
      <c r="Q126" s="42">
        <f>IFERROR(+VLOOKUP(L126,V.sual_Lista_Data[[EQUIPO VISUAL]:[SOFTWARE 
VALOR HORA]],8,FALSE)*V.sual_Data[[#This Row],[TIEMPO (HORAS)]],"0")</f>
        <v>6821.7097742879669</v>
      </c>
      <c r="R126" s="43">
        <v>0</v>
      </c>
      <c r="S126" s="43">
        <v>0</v>
      </c>
      <c r="T126" s="3">
        <f>SUM(O126:S126)</f>
        <v>60857.508490937747</v>
      </c>
      <c r="U126" s="15">
        <f>V.sual_Data[[#This Row],[TIEMPO (HORAS)]]*Gastos_Operativos[[#Totals],[GASTOS HORA]]</f>
        <v>55578.954144620802</v>
      </c>
      <c r="V126" s="3">
        <f>V.sual_Data[[#This Row],[COSTO 
DIRECTO ($COP)]]+V.sual_Data[[#This Row],[PRORRATEO GASTOS ($COP)]]</f>
        <v>116436.46263555855</v>
      </c>
      <c r="W126" s="44">
        <v>0.1</v>
      </c>
      <c r="X126" s="15">
        <f>V.sual_Data[[#This Row],[COSTOS OPERACIONALES ($COP)]]*V.sual_Data[[#This Row],[DESFASE (%)]]</f>
        <v>11643.646263555856</v>
      </c>
      <c r="Y126" s="44">
        <v>0.3</v>
      </c>
      <c r="Z126" s="15">
        <f>+((V.sual_Data[[#This Row],[COSTOS OPERACIONALES ($COP)]]/(100%-V.sual_Data[[#This Row],[UTILIDAD (%)]])))-V.sual_Data[[#This Row],[COSTOS OPERACIONALES ($COP)]]</f>
        <v>49901.341129525114</v>
      </c>
      <c r="AA126" s="3">
        <f>+V.sual_Data[[#This Row],[COSTOS OPERACIONALES ($COP)]]+V.sual_Data[[#This Row],[DESFASE ($COP)]]+V.sual_Data[[#This Row],[UTILIDAD ($COP)]]</f>
        <v>177981.45002863952</v>
      </c>
      <c r="AB126" s="44">
        <v>0.05</v>
      </c>
      <c r="AC126" s="15">
        <f>+((V.sual_Data[[#This Row],[VALOR NETO ($COP)]]/(100%-V.sual_Data[[#This Row],[MÁRGEN DE NEGOCIACIÓN (%)]])))-V.sual_Data[[#This Row],[VALOR NETO ($COP)]]</f>
        <v>9367.4447383494698</v>
      </c>
      <c r="AD126" s="15">
        <f>+(V.sual_Data[[#This Row],[VALOR NETO ($COP)]]+V.sual_Data[[#This Row],[NEGOCIACIÓN ($COP)]])*1%</f>
        <v>1873.48894766989</v>
      </c>
      <c r="AE126" s="15">
        <f>+(V.sual_Data[[#This Row],[VALOR NETO ($COP)]]+V.sual_Data[[#This Row],[NEGOCIACIÓN ($COP)]])*1%</f>
        <v>1873.48894766989</v>
      </c>
      <c r="AF126" s="3">
        <f>+V.sual_Data[[#This Row],[VALOR NETO ($COP)]]+V.sual_Data[[#This Row],[4 * 1000 ($COP)]]+V.sual_Data[[#This Row],[ICA ($COP)]]+V.sual_Data[[#This Row],[NEGOCIACIÓN ($COP)]]</f>
        <v>191095.87266232877</v>
      </c>
    </row>
    <row r="127" spans="1:35" ht="60" hidden="1" customHeight="1" x14ac:dyDescent="0.25">
      <c r="A127" s="14"/>
      <c r="B127" s="37" t="s">
        <v>330</v>
      </c>
      <c r="C127" s="38" t="s">
        <v>216</v>
      </c>
      <c r="D127" s="38" t="s">
        <v>190</v>
      </c>
      <c r="E127" s="38" t="s">
        <v>331</v>
      </c>
      <c r="F127" s="38" t="s">
        <v>218</v>
      </c>
      <c r="G127" s="40" t="s">
        <v>219</v>
      </c>
      <c r="H127" s="46">
        <v>1</v>
      </c>
      <c r="I127" s="131" t="s">
        <v>324</v>
      </c>
      <c r="J127" s="86">
        <v>1</v>
      </c>
      <c r="K127" s="131" t="s">
        <v>325</v>
      </c>
      <c r="L127" s="40" t="s">
        <v>183</v>
      </c>
      <c r="M127" s="41">
        <v>2</v>
      </c>
      <c r="N127" s="42">
        <f>IFERROR(VLOOKUP(V.sual_Data[[#This Row],[RESPONSABLE]],Listas!$D$3:$F$7,3,FALSE),0)</f>
        <v>22796.352583586624</v>
      </c>
      <c r="O127" s="34">
        <f t="shared" ref="O127:O145" si="24">+N127*M127</f>
        <v>45592.705167173248</v>
      </c>
      <c r="P127" s="42">
        <f>IFERROR((VLOOKUP(V.sual_Data[[#This Row],[RESPONSABLE]],Listas!$D$3:$K$7,5,FALSE))*V.sual_Data[[#This Row],[TIEMPO (HORAS)]],0)</f>
        <v>8443.0935494765272</v>
      </c>
      <c r="Q127" s="42">
        <f>IFERROR(+VLOOKUP(L127,V.sual_Lista_Data[[EQUIPO VISUAL]:[SOFTWARE 
VALOR HORA]],8,FALSE)*V.sual_Data[[#This Row],[TIEMPO (HORAS)]],"0")</f>
        <v>6821.7097742879669</v>
      </c>
      <c r="R127" s="43">
        <v>0</v>
      </c>
      <c r="S127" s="43">
        <v>0</v>
      </c>
      <c r="T127" s="3">
        <f t="shared" ref="T127:T129" si="25">SUM(O127:S127)</f>
        <v>60857.508490937747</v>
      </c>
      <c r="U127" s="15">
        <f>V.sual_Data[[#This Row],[TIEMPO (HORAS)]]*Gastos_Operativos[[#Totals],[GASTOS HORA]]</f>
        <v>55578.954144620802</v>
      </c>
      <c r="V127" s="3">
        <f>V.sual_Data[[#This Row],[COSTO 
DIRECTO ($COP)]]+V.sual_Data[[#This Row],[PRORRATEO GASTOS ($COP)]]</f>
        <v>116436.46263555855</v>
      </c>
      <c r="W127" s="44">
        <v>0.1</v>
      </c>
      <c r="X127" s="15">
        <f>V.sual_Data[[#This Row],[COSTOS OPERACIONALES ($COP)]]*V.sual_Data[[#This Row],[DESFASE (%)]]</f>
        <v>11643.646263555856</v>
      </c>
      <c r="Y127" s="44">
        <v>0.3</v>
      </c>
      <c r="Z127" s="15">
        <f>+((V.sual_Data[[#This Row],[COSTOS OPERACIONALES ($COP)]]/(100%-V.sual_Data[[#This Row],[UTILIDAD (%)]])))-V.sual_Data[[#This Row],[COSTOS OPERACIONALES ($COP)]]</f>
        <v>49901.341129525114</v>
      </c>
      <c r="AA127" s="3">
        <f>+V.sual_Data[[#This Row],[COSTOS OPERACIONALES ($COP)]]+V.sual_Data[[#This Row],[DESFASE ($COP)]]+V.sual_Data[[#This Row],[UTILIDAD ($COP)]]</f>
        <v>177981.45002863952</v>
      </c>
      <c r="AB127" s="44">
        <v>0.05</v>
      </c>
      <c r="AC127" s="15">
        <f>+((V.sual_Data[[#This Row],[VALOR NETO ($COP)]]/(100%-V.sual_Data[[#This Row],[MÁRGEN DE NEGOCIACIÓN (%)]])))-V.sual_Data[[#This Row],[VALOR NETO ($COP)]]</f>
        <v>9367.4447383494698</v>
      </c>
      <c r="AD127" s="15">
        <f>+(V.sual_Data[[#This Row],[VALOR NETO ($COP)]]+V.sual_Data[[#This Row],[NEGOCIACIÓN ($COP)]])*1%</f>
        <v>1873.48894766989</v>
      </c>
      <c r="AE127" s="15">
        <f>+(V.sual_Data[[#This Row],[VALOR NETO ($COP)]]+V.sual_Data[[#This Row],[NEGOCIACIÓN ($COP)]])*1%</f>
        <v>1873.48894766989</v>
      </c>
      <c r="AF127" s="3">
        <f>+V.sual_Data[[#This Row],[VALOR NETO ($COP)]]+V.sual_Data[[#This Row],[4 * 1000 ($COP)]]+V.sual_Data[[#This Row],[ICA ($COP)]]+V.sual_Data[[#This Row],[NEGOCIACIÓN ($COP)]]</f>
        <v>191095.87266232877</v>
      </c>
    </row>
    <row r="128" spans="1:35" ht="60" hidden="1" customHeight="1" x14ac:dyDescent="0.25">
      <c r="A128" s="14"/>
      <c r="B128" s="37" t="s">
        <v>330</v>
      </c>
      <c r="C128" s="38" t="s">
        <v>216</v>
      </c>
      <c r="D128" s="38" t="s">
        <v>190</v>
      </c>
      <c r="E128" s="38" t="s">
        <v>331</v>
      </c>
      <c r="F128" s="38" t="s">
        <v>218</v>
      </c>
      <c r="G128" s="40" t="s">
        <v>219</v>
      </c>
      <c r="H128" s="46">
        <v>1</v>
      </c>
      <c r="I128" s="131" t="s">
        <v>324</v>
      </c>
      <c r="J128" s="86">
        <v>2</v>
      </c>
      <c r="K128" s="45" t="s">
        <v>326</v>
      </c>
      <c r="L128" s="40" t="s">
        <v>183</v>
      </c>
      <c r="M128" s="41">
        <v>0.5</v>
      </c>
      <c r="N128" s="42">
        <f>IFERROR(VLOOKUP(V.sual_Data[[#This Row],[RESPONSABLE]],Listas!$D$3:$F$7,3,FALSE),0)</f>
        <v>22796.352583586624</v>
      </c>
      <c r="O128" s="34">
        <f t="shared" si="24"/>
        <v>11398.176291793312</v>
      </c>
      <c r="P128" s="42">
        <f>IFERROR((VLOOKUP(V.sual_Data[[#This Row],[RESPONSABLE]],Listas!$D$3:$K$7,5,FALSE))*V.sual_Data[[#This Row],[TIEMPO (HORAS)]],0)</f>
        <v>2110.7733873691318</v>
      </c>
      <c r="Q128" s="42">
        <f>IFERROR(+VLOOKUP(L128,V.sual_Lista_Data[[EQUIPO VISUAL]:[SOFTWARE 
VALOR HORA]],8,FALSE)*V.sual_Data[[#This Row],[TIEMPO (HORAS)]],"0")</f>
        <v>1705.4274435719917</v>
      </c>
      <c r="R128" s="43">
        <v>0</v>
      </c>
      <c r="S128" s="43">
        <v>0</v>
      </c>
      <c r="T128" s="3">
        <f t="shared" si="25"/>
        <v>15214.377122734437</v>
      </c>
      <c r="U128" s="15">
        <f>V.sual_Data[[#This Row],[TIEMPO (HORAS)]]*Gastos_Operativos[[#Totals],[GASTOS HORA]]</f>
        <v>13894.738536155201</v>
      </c>
      <c r="V128" s="3">
        <f>V.sual_Data[[#This Row],[COSTO 
DIRECTO ($COP)]]+V.sual_Data[[#This Row],[PRORRATEO GASTOS ($COP)]]</f>
        <v>29109.115658889637</v>
      </c>
      <c r="W128" s="44">
        <v>0.1</v>
      </c>
      <c r="X128" s="15">
        <f>V.sual_Data[[#This Row],[COSTOS OPERACIONALES ($COP)]]*V.sual_Data[[#This Row],[DESFASE (%)]]</f>
        <v>2910.9115658889641</v>
      </c>
      <c r="Y128" s="44">
        <v>0.3</v>
      </c>
      <c r="Z128" s="15">
        <f>+((V.sual_Data[[#This Row],[COSTOS OPERACIONALES ($COP)]]/(100%-V.sual_Data[[#This Row],[UTILIDAD (%)]])))-V.sual_Data[[#This Row],[COSTOS OPERACIONALES ($COP)]]</f>
        <v>12475.335282381278</v>
      </c>
      <c r="AA128" s="3">
        <f>+V.sual_Data[[#This Row],[COSTOS OPERACIONALES ($COP)]]+V.sual_Data[[#This Row],[DESFASE ($COP)]]+V.sual_Data[[#This Row],[UTILIDAD ($COP)]]</f>
        <v>44495.36250715988</v>
      </c>
      <c r="AB128" s="44">
        <v>0.05</v>
      </c>
      <c r="AC128" s="15">
        <f>+((V.sual_Data[[#This Row],[VALOR NETO ($COP)]]/(100%-V.sual_Data[[#This Row],[MÁRGEN DE NEGOCIACIÓN (%)]])))-V.sual_Data[[#This Row],[VALOR NETO ($COP)]]</f>
        <v>2341.8611845873675</v>
      </c>
      <c r="AD128" s="15">
        <f>+(V.sual_Data[[#This Row],[VALOR NETO ($COP)]]+V.sual_Data[[#This Row],[NEGOCIACIÓN ($COP)]])*1%</f>
        <v>468.37223691747249</v>
      </c>
      <c r="AE128" s="15">
        <f>+(V.sual_Data[[#This Row],[VALOR NETO ($COP)]]+V.sual_Data[[#This Row],[NEGOCIACIÓN ($COP)]])*1%</f>
        <v>468.37223691747249</v>
      </c>
      <c r="AF128" s="3">
        <f>+V.sual_Data[[#This Row],[VALOR NETO ($COP)]]+V.sual_Data[[#This Row],[4 * 1000 ($COP)]]+V.sual_Data[[#This Row],[ICA ($COP)]]+V.sual_Data[[#This Row],[NEGOCIACIÓN ($COP)]]</f>
        <v>47773.968165582191</v>
      </c>
    </row>
    <row r="129" spans="1:36" ht="60" hidden="1" customHeight="1" x14ac:dyDescent="0.25">
      <c r="A129" s="14"/>
      <c r="B129" s="37" t="s">
        <v>330</v>
      </c>
      <c r="C129" s="38" t="s">
        <v>216</v>
      </c>
      <c r="D129" s="38" t="s">
        <v>190</v>
      </c>
      <c r="E129" s="38" t="s">
        <v>331</v>
      </c>
      <c r="F129" s="38" t="s">
        <v>218</v>
      </c>
      <c r="G129" s="40" t="s">
        <v>219</v>
      </c>
      <c r="H129" s="46">
        <v>1</v>
      </c>
      <c r="I129" s="39" t="s">
        <v>332</v>
      </c>
      <c r="J129" s="86">
        <v>3</v>
      </c>
      <c r="K129" s="45" t="s">
        <v>333</v>
      </c>
      <c r="L129" s="40" t="s">
        <v>183</v>
      </c>
      <c r="M129" s="41">
        <v>2</v>
      </c>
      <c r="N129" s="42">
        <f>IFERROR(VLOOKUP(V.sual_Data[[#This Row],[RESPONSABLE]],Listas!$D$3:$F$7,3,FALSE),0)</f>
        <v>22796.352583586624</v>
      </c>
      <c r="O129" s="34">
        <f t="shared" si="24"/>
        <v>45592.705167173248</v>
      </c>
      <c r="P129" s="42">
        <f>IFERROR((VLOOKUP(V.sual_Data[[#This Row],[RESPONSABLE]],Listas!$D$3:$K$7,5,FALSE))*V.sual_Data[[#This Row],[TIEMPO (HORAS)]],0)</f>
        <v>8443.0935494765272</v>
      </c>
      <c r="Q129" s="42">
        <f>IFERROR(+VLOOKUP(L129,V.sual_Lista_Data[[EQUIPO VISUAL]:[SOFTWARE 
VALOR HORA]],8,FALSE)*V.sual_Data[[#This Row],[TIEMPO (HORAS)]],"0")</f>
        <v>6821.7097742879669</v>
      </c>
      <c r="R129" s="43">
        <v>0</v>
      </c>
      <c r="S129" s="43">
        <v>0</v>
      </c>
      <c r="T129" s="3">
        <f t="shared" si="25"/>
        <v>60857.508490937747</v>
      </c>
      <c r="U129" s="15">
        <f>V.sual_Data[[#This Row],[TIEMPO (HORAS)]]*Gastos_Operativos[[#Totals],[GASTOS HORA]]</f>
        <v>55578.954144620802</v>
      </c>
      <c r="V129" s="3">
        <f>V.sual_Data[[#This Row],[COSTO 
DIRECTO ($COP)]]+V.sual_Data[[#This Row],[PRORRATEO GASTOS ($COP)]]</f>
        <v>116436.46263555855</v>
      </c>
      <c r="W129" s="44">
        <v>0.1</v>
      </c>
      <c r="X129" s="15">
        <f>V.sual_Data[[#This Row],[COSTOS OPERACIONALES ($COP)]]*V.sual_Data[[#This Row],[DESFASE (%)]]</f>
        <v>11643.646263555856</v>
      </c>
      <c r="Y129" s="44">
        <v>0.3</v>
      </c>
      <c r="Z129" s="15">
        <f>+((V.sual_Data[[#This Row],[COSTOS OPERACIONALES ($COP)]]/(100%-V.sual_Data[[#This Row],[UTILIDAD (%)]])))-V.sual_Data[[#This Row],[COSTOS OPERACIONALES ($COP)]]</f>
        <v>49901.341129525114</v>
      </c>
      <c r="AA129" s="3">
        <f>+V.sual_Data[[#This Row],[COSTOS OPERACIONALES ($COP)]]+V.sual_Data[[#This Row],[DESFASE ($COP)]]+V.sual_Data[[#This Row],[UTILIDAD ($COP)]]</f>
        <v>177981.45002863952</v>
      </c>
      <c r="AB129" s="44">
        <v>0.05</v>
      </c>
      <c r="AC129" s="15">
        <f>+((V.sual_Data[[#This Row],[VALOR NETO ($COP)]]/(100%-V.sual_Data[[#This Row],[MÁRGEN DE NEGOCIACIÓN (%)]])))-V.sual_Data[[#This Row],[VALOR NETO ($COP)]]</f>
        <v>9367.4447383494698</v>
      </c>
      <c r="AD129" s="15">
        <f>+(V.sual_Data[[#This Row],[VALOR NETO ($COP)]]+V.sual_Data[[#This Row],[NEGOCIACIÓN ($COP)]])*1%</f>
        <v>1873.48894766989</v>
      </c>
      <c r="AE129" s="15">
        <f>+(V.sual_Data[[#This Row],[VALOR NETO ($COP)]]+V.sual_Data[[#This Row],[NEGOCIACIÓN ($COP)]])*1%</f>
        <v>1873.48894766989</v>
      </c>
      <c r="AF129" s="3">
        <f>+V.sual_Data[[#This Row],[VALOR NETO ($COP)]]+V.sual_Data[[#This Row],[4 * 1000 ($COP)]]+V.sual_Data[[#This Row],[ICA ($COP)]]+V.sual_Data[[#This Row],[NEGOCIACIÓN ($COP)]]</f>
        <v>191095.87266232877</v>
      </c>
    </row>
    <row r="130" spans="1:36" ht="60" hidden="1" customHeight="1" x14ac:dyDescent="0.25">
      <c r="A130" s="14"/>
      <c r="B130" s="37" t="s">
        <v>334</v>
      </c>
      <c r="C130" s="38" t="s">
        <v>302</v>
      </c>
      <c r="D130" s="38" t="s">
        <v>190</v>
      </c>
      <c r="E130" s="38" t="s">
        <v>335</v>
      </c>
      <c r="F130" s="38" t="s">
        <v>336</v>
      </c>
      <c r="G130" s="40" t="s">
        <v>337</v>
      </c>
      <c r="H130" s="46">
        <v>1</v>
      </c>
      <c r="I130" s="39" t="s">
        <v>338</v>
      </c>
      <c r="J130" s="86">
        <v>1</v>
      </c>
      <c r="K130" s="45" t="s">
        <v>339</v>
      </c>
      <c r="L130" s="40" t="s">
        <v>116</v>
      </c>
      <c r="M130" s="41">
        <v>2</v>
      </c>
      <c r="N130" s="207">
        <f>IFERROR(VLOOKUP(V.sual_Data[[#This Row],[RESPONSABLE]],Listas!$D$3:$F$7,3,FALSE),0)</f>
        <v>17730.496453900709</v>
      </c>
      <c r="O130" s="34">
        <f t="shared" si="24"/>
        <v>35460.992907801417</v>
      </c>
      <c r="P130" s="42">
        <f>IFERROR((VLOOKUP(V.sual_Data[[#This Row],[RESPONSABLE]],Listas!$D$3:$K$7,5,FALSE))*V.sual_Data[[#This Row],[TIEMPO (HORAS)]],0)</f>
        <v>8443.0935494765272</v>
      </c>
      <c r="Q130" s="11">
        <f>IFERROR(+VLOOKUP(L130,V.sual_Lista_Data[[EQUIPO VISUAL]:[SOFTWARE 
VALOR HORA]],8,FALSE)*V.sual_Data[[#This Row],[TIEMPO (HORAS)]],"0")</f>
        <v>6821.7097742879669</v>
      </c>
      <c r="R130" s="43"/>
      <c r="S130" s="43"/>
      <c r="T130" s="3">
        <f>SUM(O130:S130)</f>
        <v>50725.79623156591</v>
      </c>
      <c r="U130" s="15">
        <f>V.sual_Data[[#This Row],[TIEMPO (HORAS)]]*Gastos_Operativos[[#Totals],[GASTOS HORA]]</f>
        <v>55578.954144620802</v>
      </c>
      <c r="V130" s="3">
        <f>V.sual_Data[[#This Row],[COSTO 
DIRECTO ($COP)]]+V.sual_Data[[#This Row],[PRORRATEO GASTOS ($COP)]]</f>
        <v>106304.75037618671</v>
      </c>
      <c r="W130" s="44"/>
      <c r="X130" s="15">
        <f>V.sual_Data[[#This Row],[COSTOS OPERACIONALES ($COP)]]*V.sual_Data[[#This Row],[DESFASE (%)]]</f>
        <v>0</v>
      </c>
      <c r="Y130" s="44"/>
      <c r="Z130" s="15">
        <f>+((V.sual_Data[[#This Row],[COSTOS OPERACIONALES ($COP)]]/(100%-V.sual_Data[[#This Row],[UTILIDAD (%)]])))-V.sual_Data[[#This Row],[COSTOS OPERACIONALES ($COP)]]</f>
        <v>0</v>
      </c>
      <c r="AA130" s="3">
        <f>+V.sual_Data[[#This Row],[COSTOS OPERACIONALES ($COP)]]+V.sual_Data[[#This Row],[DESFASE ($COP)]]+V.sual_Data[[#This Row],[UTILIDAD ($COP)]]</f>
        <v>106304.75037618671</v>
      </c>
      <c r="AB130" s="44"/>
      <c r="AC130" s="15">
        <f>+((V.sual_Data[[#This Row],[VALOR NETO ($COP)]]/(100%-V.sual_Data[[#This Row],[MÁRGEN DE NEGOCIACIÓN (%)]])))-V.sual_Data[[#This Row],[VALOR NETO ($COP)]]</f>
        <v>0</v>
      </c>
      <c r="AD130" s="15">
        <f>+(V.sual_Data[[#This Row],[VALOR NETO ($COP)]]+V.sual_Data[[#This Row],[NEGOCIACIÓN ($COP)]])*1%</f>
        <v>1063.0475037618671</v>
      </c>
      <c r="AE130" s="15">
        <f>+(V.sual_Data[[#This Row],[VALOR NETO ($COP)]]+V.sual_Data[[#This Row],[NEGOCIACIÓN ($COP)]])*1%</f>
        <v>1063.0475037618671</v>
      </c>
      <c r="AF130" s="3">
        <f>+V.sual_Data[[#This Row],[VALOR NETO ($COP)]]+V.sual_Data[[#This Row],[4 * 1000 ($COP)]]+V.sual_Data[[#This Row],[ICA ($COP)]]+V.sual_Data[[#This Row],[NEGOCIACIÓN ($COP)]]</f>
        <v>108430.84538371043</v>
      </c>
    </row>
    <row r="131" spans="1:36" ht="60" hidden="1" customHeight="1" x14ac:dyDescent="0.25">
      <c r="A131" s="14"/>
      <c r="B131" s="37" t="s">
        <v>340</v>
      </c>
      <c r="C131" s="38" t="s">
        <v>302</v>
      </c>
      <c r="D131" s="38" t="s">
        <v>190</v>
      </c>
      <c r="E131" s="38" t="s">
        <v>341</v>
      </c>
      <c r="F131" s="38" t="s">
        <v>342</v>
      </c>
      <c r="G131" s="40" t="s">
        <v>343</v>
      </c>
      <c r="H131" s="46">
        <v>100</v>
      </c>
      <c r="I131" s="39" t="s">
        <v>344</v>
      </c>
      <c r="J131" s="86">
        <v>1</v>
      </c>
      <c r="K131" s="45"/>
      <c r="L131" s="40" t="s">
        <v>116</v>
      </c>
      <c r="M131" s="41">
        <v>9.4</v>
      </c>
      <c r="N131" s="207">
        <f>IFERROR(VLOOKUP(V.sual_Data[[#This Row],[RESPONSABLE]],Listas!$D$3:$F$7,3,FALSE),0)</f>
        <v>17730.496453900709</v>
      </c>
      <c r="O131" s="34">
        <f t="shared" si="24"/>
        <v>166666.66666666666</v>
      </c>
      <c r="P131" s="42">
        <f>IFERROR((VLOOKUP(V.sual_Data[[#This Row],[RESPONSABLE]],Listas!$D$3:$K$7,5,FALSE))*V.sual_Data[[#This Row],[TIEMPO (HORAS)]],0)</f>
        <v>39682.539682539682</v>
      </c>
      <c r="Q131" s="11">
        <f>IFERROR(+VLOOKUP(L131,V.sual_Lista_Data[[EQUIPO VISUAL]:[SOFTWARE 
VALOR HORA]],8,FALSE)*V.sual_Data[[#This Row],[TIEMPO (HORAS)]],"0")</f>
        <v>32062.035939153444</v>
      </c>
      <c r="R131" s="43"/>
      <c r="S131" s="43"/>
      <c r="T131" s="3">
        <f>SUM(O131:S131)</f>
        <v>238411.24228835979</v>
      </c>
      <c r="U131" s="15">
        <f>V.sual_Data[[#This Row],[TIEMPO (HORAS)]]*Gastos_Operativos[[#Totals],[GASTOS HORA]]</f>
        <v>261221.08447971777</v>
      </c>
      <c r="V131" s="3">
        <f>V.sual_Data[[#This Row],[COSTO 
DIRECTO ($COP)]]+V.sual_Data[[#This Row],[PRORRATEO GASTOS ($COP)]]</f>
        <v>499632.32676807756</v>
      </c>
      <c r="W131" s="44">
        <v>0.2</v>
      </c>
      <c r="X131" s="15">
        <f>V.sual_Data[[#This Row],[COSTOS OPERACIONALES ($COP)]]*V.sual_Data[[#This Row],[DESFASE (%)]]</f>
        <v>99926.465353615524</v>
      </c>
      <c r="Y131" s="44">
        <v>0.2</v>
      </c>
      <c r="Z131" s="15">
        <f>+((V.sual_Data[[#This Row],[COSTOS OPERACIONALES ($COP)]]/(100%-V.sual_Data[[#This Row],[UTILIDAD (%)]])))-V.sual_Data[[#This Row],[COSTOS OPERACIONALES ($COP)]]</f>
        <v>124908.08169201936</v>
      </c>
      <c r="AA131" s="3">
        <f>+V.sual_Data[[#This Row],[COSTOS OPERACIONALES ($COP)]]+V.sual_Data[[#This Row],[DESFASE ($COP)]]+V.sual_Data[[#This Row],[UTILIDAD ($COP)]]</f>
        <v>724466.87381371239</v>
      </c>
      <c r="AB131" s="44">
        <v>0.05</v>
      </c>
      <c r="AC131" s="15">
        <f>+((V.sual_Data[[#This Row],[VALOR NETO ($COP)]]/(100%-V.sual_Data[[#This Row],[MÁRGEN DE NEGOCIACIÓN (%)]])))-V.sual_Data[[#This Row],[VALOR NETO ($COP)]]</f>
        <v>38129.83546387963</v>
      </c>
      <c r="AD131" s="15">
        <f>+(V.sual_Data[[#This Row],[VALOR NETO ($COP)]]+V.sual_Data[[#This Row],[NEGOCIACIÓN ($COP)]])*1%</f>
        <v>7625.9670927759207</v>
      </c>
      <c r="AE131" s="15">
        <f>+(V.sual_Data[[#This Row],[VALOR NETO ($COP)]]+V.sual_Data[[#This Row],[NEGOCIACIÓN ($COP)]])*1%</f>
        <v>7625.9670927759207</v>
      </c>
      <c r="AF131" s="3">
        <f>+V.sual_Data[[#This Row],[VALOR NETO ($COP)]]+V.sual_Data[[#This Row],[4 * 1000 ($COP)]]+V.sual_Data[[#This Row],[ICA ($COP)]]+V.sual_Data[[#This Row],[NEGOCIACIÓN ($COP)]]</f>
        <v>777848.64346314396</v>
      </c>
    </row>
    <row r="132" spans="1:36" ht="60" hidden="1" customHeight="1" x14ac:dyDescent="0.25">
      <c r="A132" s="14"/>
      <c r="B132" s="37" t="s">
        <v>340</v>
      </c>
      <c r="C132" s="38" t="s">
        <v>302</v>
      </c>
      <c r="D132" s="38" t="s">
        <v>190</v>
      </c>
      <c r="E132" s="38" t="s">
        <v>341</v>
      </c>
      <c r="F132" s="38" t="s">
        <v>342</v>
      </c>
      <c r="G132" s="40" t="s">
        <v>343</v>
      </c>
      <c r="H132" s="46">
        <v>100</v>
      </c>
      <c r="I132" s="39" t="s">
        <v>344</v>
      </c>
      <c r="J132" s="86">
        <v>2</v>
      </c>
      <c r="K132" s="45"/>
      <c r="L132" s="40" t="s">
        <v>116</v>
      </c>
      <c r="M132" s="41">
        <v>18.8</v>
      </c>
      <c r="N132" s="207">
        <f>IFERROR(VLOOKUP(V.sual_Data[[#This Row],[RESPONSABLE]],Listas!$D$3:$F$7,3,FALSE),0)</f>
        <v>17730.496453900709</v>
      </c>
      <c r="O132" s="34">
        <f t="shared" si="24"/>
        <v>333333.33333333331</v>
      </c>
      <c r="P132" s="42">
        <f>IFERROR((VLOOKUP(V.sual_Data[[#This Row],[RESPONSABLE]],Listas!$D$3:$K$7,5,FALSE))*V.sual_Data[[#This Row],[TIEMPO (HORAS)]],0)</f>
        <v>79365.079365079364</v>
      </c>
      <c r="Q132" s="11">
        <f>IFERROR(+VLOOKUP(L132,V.sual_Lista_Data[[EQUIPO VISUAL]:[SOFTWARE 
VALOR HORA]],8,FALSE)*V.sual_Data[[#This Row],[TIEMPO (HORAS)]],"0")</f>
        <v>64124.071878306888</v>
      </c>
      <c r="R132" s="43"/>
      <c r="S132" s="43"/>
      <c r="T132" s="3">
        <f t="shared" ref="T132:T133" si="26">SUM(O132:S132)</f>
        <v>476822.48457671958</v>
      </c>
      <c r="U132" s="15">
        <f>V.sual_Data[[#This Row],[TIEMPO (HORAS)]]*Gastos_Operativos[[#Totals],[GASTOS HORA]]</f>
        <v>522442.16895943554</v>
      </c>
      <c r="V132" s="3">
        <f>V.sual_Data[[#This Row],[COSTO 
DIRECTO ($COP)]]+V.sual_Data[[#This Row],[PRORRATEO GASTOS ($COP)]]</f>
        <v>999264.65353615512</v>
      </c>
      <c r="W132" s="44">
        <v>0.2</v>
      </c>
      <c r="X132" s="15">
        <f>V.sual_Data[[#This Row],[COSTOS OPERACIONALES ($COP)]]*V.sual_Data[[#This Row],[DESFASE (%)]]</f>
        <v>199852.93070723105</v>
      </c>
      <c r="Y132" s="44">
        <v>0.2</v>
      </c>
      <c r="Z132" s="15">
        <f>+((V.sual_Data[[#This Row],[COSTOS OPERACIONALES ($COP)]]/(100%-V.sual_Data[[#This Row],[UTILIDAD (%)]])))-V.sual_Data[[#This Row],[COSTOS OPERACIONALES ($COP)]]</f>
        <v>249816.16338403872</v>
      </c>
      <c r="AA132" s="3">
        <f>+V.sual_Data[[#This Row],[COSTOS OPERACIONALES ($COP)]]+V.sual_Data[[#This Row],[DESFASE ($COP)]]+V.sual_Data[[#This Row],[UTILIDAD ($COP)]]</f>
        <v>1448933.7476274248</v>
      </c>
      <c r="AB132" s="44">
        <v>0.05</v>
      </c>
      <c r="AC132" s="15">
        <f>+((V.sual_Data[[#This Row],[VALOR NETO ($COP)]]/(100%-V.sual_Data[[#This Row],[MÁRGEN DE NEGOCIACIÓN (%)]])))-V.sual_Data[[#This Row],[VALOR NETO ($COP)]]</f>
        <v>76259.67092775926</v>
      </c>
      <c r="AD132" s="15">
        <f>+(V.sual_Data[[#This Row],[VALOR NETO ($COP)]]+V.sual_Data[[#This Row],[NEGOCIACIÓN ($COP)]])*1%</f>
        <v>15251.934185551841</v>
      </c>
      <c r="AE132" s="15">
        <f>+(V.sual_Data[[#This Row],[VALOR NETO ($COP)]]+V.sual_Data[[#This Row],[NEGOCIACIÓN ($COP)]])*1%</f>
        <v>15251.934185551841</v>
      </c>
      <c r="AF132" s="3">
        <f>+V.sual_Data[[#This Row],[VALOR NETO ($COP)]]+V.sual_Data[[#This Row],[4 * 1000 ($COP)]]+V.sual_Data[[#This Row],[ICA ($COP)]]+V.sual_Data[[#This Row],[NEGOCIACIÓN ($COP)]]</f>
        <v>1555697.2869262879</v>
      </c>
    </row>
    <row r="133" spans="1:36" ht="60" hidden="1" customHeight="1" x14ac:dyDescent="0.25">
      <c r="A133" s="14"/>
      <c r="B133" s="37" t="s">
        <v>340</v>
      </c>
      <c r="C133" s="38" t="s">
        <v>302</v>
      </c>
      <c r="D133" s="38" t="s">
        <v>190</v>
      </c>
      <c r="E133" s="38" t="s">
        <v>341</v>
      </c>
      <c r="F133" s="38" t="s">
        <v>342</v>
      </c>
      <c r="G133" s="40" t="s">
        <v>343</v>
      </c>
      <c r="H133" s="46">
        <v>100</v>
      </c>
      <c r="I133" s="39" t="s">
        <v>344</v>
      </c>
      <c r="J133" s="86">
        <v>3</v>
      </c>
      <c r="K133" s="45"/>
      <c r="L133" s="40" t="s">
        <v>116</v>
      </c>
      <c r="M133" s="41">
        <v>18.8</v>
      </c>
      <c r="N133" s="207">
        <f>IFERROR(VLOOKUP(V.sual_Data[[#This Row],[RESPONSABLE]],Listas!$D$3:$F$7,3,FALSE),0)</f>
        <v>17730.496453900709</v>
      </c>
      <c r="O133" s="34">
        <f t="shared" si="24"/>
        <v>333333.33333333331</v>
      </c>
      <c r="P133" s="42">
        <f>IFERROR((VLOOKUP(V.sual_Data[[#This Row],[RESPONSABLE]],Listas!$D$3:$K$7,5,FALSE))*V.sual_Data[[#This Row],[TIEMPO (HORAS)]],0)</f>
        <v>79365.079365079364</v>
      </c>
      <c r="Q133" s="11">
        <f>IFERROR(+VLOOKUP(L133,V.sual_Lista_Data[[EQUIPO VISUAL]:[SOFTWARE 
VALOR HORA]],8,FALSE)*V.sual_Data[[#This Row],[TIEMPO (HORAS)]],"0")</f>
        <v>64124.071878306888</v>
      </c>
      <c r="R133" s="43"/>
      <c r="S133" s="43"/>
      <c r="T133" s="3">
        <f t="shared" si="26"/>
        <v>476822.48457671958</v>
      </c>
      <c r="U133" s="15">
        <f>V.sual_Data[[#This Row],[TIEMPO (HORAS)]]*Gastos_Operativos[[#Totals],[GASTOS HORA]]</f>
        <v>522442.16895943554</v>
      </c>
      <c r="V133" s="3">
        <f>V.sual_Data[[#This Row],[COSTO 
DIRECTO ($COP)]]+V.sual_Data[[#This Row],[PRORRATEO GASTOS ($COP)]]</f>
        <v>999264.65353615512</v>
      </c>
      <c r="W133" s="44">
        <v>0.2</v>
      </c>
      <c r="X133" s="15">
        <f>V.sual_Data[[#This Row],[COSTOS OPERACIONALES ($COP)]]*V.sual_Data[[#This Row],[DESFASE (%)]]</f>
        <v>199852.93070723105</v>
      </c>
      <c r="Y133" s="44">
        <v>0.2</v>
      </c>
      <c r="Z133" s="15">
        <f>+((V.sual_Data[[#This Row],[COSTOS OPERACIONALES ($COP)]]/(100%-V.sual_Data[[#This Row],[UTILIDAD (%)]])))-V.sual_Data[[#This Row],[COSTOS OPERACIONALES ($COP)]]</f>
        <v>249816.16338403872</v>
      </c>
      <c r="AA133" s="3">
        <f>+V.sual_Data[[#This Row],[COSTOS OPERACIONALES ($COP)]]+V.sual_Data[[#This Row],[DESFASE ($COP)]]+V.sual_Data[[#This Row],[UTILIDAD ($COP)]]</f>
        <v>1448933.7476274248</v>
      </c>
      <c r="AB133" s="44">
        <v>0.05</v>
      </c>
      <c r="AC133" s="15">
        <f>+((V.sual_Data[[#This Row],[VALOR NETO ($COP)]]/(100%-V.sual_Data[[#This Row],[MÁRGEN DE NEGOCIACIÓN (%)]])))-V.sual_Data[[#This Row],[VALOR NETO ($COP)]]</f>
        <v>76259.67092775926</v>
      </c>
      <c r="AD133" s="15">
        <f>+(V.sual_Data[[#This Row],[VALOR NETO ($COP)]]+V.sual_Data[[#This Row],[NEGOCIACIÓN ($COP)]])*1%</f>
        <v>15251.934185551841</v>
      </c>
      <c r="AE133" s="15">
        <f>+(V.sual_Data[[#This Row],[VALOR NETO ($COP)]]+V.sual_Data[[#This Row],[NEGOCIACIÓN ($COP)]])*1%</f>
        <v>15251.934185551841</v>
      </c>
      <c r="AF133" s="3">
        <f>+V.sual_Data[[#This Row],[VALOR NETO ($COP)]]+V.sual_Data[[#This Row],[4 * 1000 ($COP)]]+V.sual_Data[[#This Row],[ICA ($COP)]]+V.sual_Data[[#This Row],[NEGOCIACIÓN ($COP)]]</f>
        <v>1555697.2869262879</v>
      </c>
    </row>
    <row r="134" spans="1:36" ht="60" hidden="1" customHeight="1" x14ac:dyDescent="0.25">
      <c r="A134" s="14"/>
      <c r="B134" s="37" t="s">
        <v>340</v>
      </c>
      <c r="C134" s="38" t="s">
        <v>302</v>
      </c>
      <c r="D134" s="38" t="s">
        <v>190</v>
      </c>
      <c r="E134" s="38" t="s">
        <v>341</v>
      </c>
      <c r="F134" s="38" t="s">
        <v>342</v>
      </c>
      <c r="G134" s="40" t="s">
        <v>343</v>
      </c>
      <c r="H134" s="46">
        <v>100</v>
      </c>
      <c r="I134" s="39" t="s">
        <v>344</v>
      </c>
      <c r="J134" s="86">
        <v>4</v>
      </c>
      <c r="K134" s="45"/>
      <c r="L134" s="40" t="s">
        <v>116</v>
      </c>
      <c r="M134" s="41">
        <v>2</v>
      </c>
      <c r="N134" s="207">
        <f>IFERROR(VLOOKUP(V.sual_Data[[#This Row],[RESPONSABLE]],Listas!$D$3:$F$7,3,FALSE),0)</f>
        <v>17730.496453900709</v>
      </c>
      <c r="O134" s="34">
        <f t="shared" si="24"/>
        <v>35460.992907801417</v>
      </c>
      <c r="P134" s="42">
        <f>IFERROR((VLOOKUP(V.sual_Data[[#This Row],[RESPONSABLE]],Listas!$D$3:$K$7,5,FALSE))*V.sual_Data[[#This Row],[TIEMPO (HORAS)]],0)</f>
        <v>8443.0935494765272</v>
      </c>
      <c r="Q134" s="11">
        <f>IFERROR(+VLOOKUP(L134,V.sual_Lista_Data[[EQUIPO VISUAL]:[SOFTWARE 
VALOR HORA]],8,FALSE)*V.sual_Data[[#This Row],[TIEMPO (HORAS)]],"0")</f>
        <v>6821.7097742879669</v>
      </c>
      <c r="R134" s="43"/>
      <c r="S134" s="43"/>
      <c r="T134" s="3">
        <f>SUM(O134:S134)</f>
        <v>50725.79623156591</v>
      </c>
      <c r="U134" s="15">
        <f>V.sual_Data[[#This Row],[TIEMPO (HORAS)]]*Gastos_Operativos[[#Totals],[GASTOS HORA]]</f>
        <v>55578.954144620802</v>
      </c>
      <c r="V134" s="3">
        <f>V.sual_Data[[#This Row],[COSTO 
DIRECTO ($COP)]]+V.sual_Data[[#This Row],[PRORRATEO GASTOS ($COP)]]</f>
        <v>106304.75037618671</v>
      </c>
      <c r="W134" s="44">
        <v>0.2</v>
      </c>
      <c r="X134" s="15">
        <f>V.sual_Data[[#This Row],[COSTOS OPERACIONALES ($COP)]]*V.sual_Data[[#This Row],[DESFASE (%)]]</f>
        <v>21260.950075237342</v>
      </c>
      <c r="Y134" s="44">
        <v>0.2</v>
      </c>
      <c r="Z134" s="15">
        <f>+((V.sual_Data[[#This Row],[COSTOS OPERACIONALES ($COP)]]/(100%-V.sual_Data[[#This Row],[UTILIDAD (%)]])))-V.sual_Data[[#This Row],[COSTOS OPERACIONALES ($COP)]]</f>
        <v>26576.187594046671</v>
      </c>
      <c r="AA134" s="3">
        <f>+V.sual_Data[[#This Row],[COSTOS OPERACIONALES ($COP)]]+V.sual_Data[[#This Row],[DESFASE ($COP)]]+V.sual_Data[[#This Row],[UTILIDAD ($COP)]]</f>
        <v>154141.88804547073</v>
      </c>
      <c r="AB134" s="44">
        <v>0.05</v>
      </c>
      <c r="AC134" s="15">
        <f>+((V.sual_Data[[#This Row],[VALOR NETO ($COP)]]/(100%-V.sual_Data[[#This Row],[MÁRGEN DE NEGOCIACIÓN (%)]])))-V.sual_Data[[#This Row],[VALOR NETO ($COP)]]</f>
        <v>8112.730949761637</v>
      </c>
      <c r="AD134" s="15">
        <f>+(V.sual_Data[[#This Row],[VALOR NETO ($COP)]]+V.sual_Data[[#This Row],[NEGOCIACIÓN ($COP)]])*1%</f>
        <v>1622.5461899523236</v>
      </c>
      <c r="AE134" s="15">
        <f>+(V.sual_Data[[#This Row],[VALOR NETO ($COP)]]+V.sual_Data[[#This Row],[NEGOCIACIÓN ($COP)]])*1%</f>
        <v>1622.5461899523236</v>
      </c>
      <c r="AF134" s="3">
        <f>+V.sual_Data[[#This Row],[VALOR NETO ($COP)]]+V.sual_Data[[#This Row],[4 * 1000 ($COP)]]+V.sual_Data[[#This Row],[ICA ($COP)]]+V.sual_Data[[#This Row],[NEGOCIACIÓN ($COP)]]</f>
        <v>165499.71137513701</v>
      </c>
    </row>
    <row r="135" spans="1:36" ht="84.75" customHeight="1" x14ac:dyDescent="0.25">
      <c r="A135" s="14"/>
      <c r="B135" s="37" t="s">
        <v>345</v>
      </c>
      <c r="C135" s="38" t="s">
        <v>302</v>
      </c>
      <c r="D135" s="38" t="s">
        <v>190</v>
      </c>
      <c r="E135" s="38" t="s">
        <v>346</v>
      </c>
      <c r="F135" s="38" t="s">
        <v>347</v>
      </c>
      <c r="G135" s="40" t="s">
        <v>343</v>
      </c>
      <c r="H135" s="46">
        <v>1</v>
      </c>
      <c r="I135" s="39" t="s">
        <v>348</v>
      </c>
      <c r="J135" s="86">
        <v>1</v>
      </c>
      <c r="K135" s="45" t="s">
        <v>349</v>
      </c>
      <c r="L135" s="40" t="s">
        <v>258</v>
      </c>
      <c r="M135" s="41">
        <v>0</v>
      </c>
      <c r="N135" s="207">
        <f>IFERROR(VLOOKUP(V.sual_Data[[#This Row],[RESPONSABLE]],Listas!$D$3:$F$7,3,FALSE),0)</f>
        <v>0</v>
      </c>
      <c r="O135" s="34">
        <f t="shared" si="24"/>
        <v>0</v>
      </c>
      <c r="P135" s="42">
        <f>IFERROR((VLOOKUP(V.sual_Data[[#This Row],[RESPONSABLE]],Listas!$D$3:$K$7,5,FALSE))*V.sual_Data[[#This Row],[TIEMPO (HORAS)]],0)</f>
        <v>0</v>
      </c>
      <c r="Q135" s="11">
        <v>300000</v>
      </c>
      <c r="R135" s="43"/>
      <c r="S135" s="43"/>
      <c r="T135" s="3">
        <f>SUM(O135:S135)</f>
        <v>300000</v>
      </c>
      <c r="U135" s="15">
        <f>V.sual_Data[[#This Row],[TIEMPO (HORAS)]]*Gastos_Operativos[[#Totals],[GASTOS HORA]]</f>
        <v>0</v>
      </c>
      <c r="V135" s="3">
        <f>V.sual_Data[[#This Row],[COSTO 
DIRECTO ($COP)]]+V.sual_Data[[#This Row],[PRORRATEO GASTOS ($COP)]]</f>
        <v>300000</v>
      </c>
      <c r="W135" s="44">
        <v>0.2</v>
      </c>
      <c r="X135" s="15">
        <f>V.sual_Data[[#This Row],[COSTOS OPERACIONALES ($COP)]]*V.sual_Data[[#This Row],[DESFASE (%)]]</f>
        <v>60000</v>
      </c>
      <c r="Y135" s="44">
        <v>0.6</v>
      </c>
      <c r="Z135" s="15">
        <f>+((V.sual_Data[[#This Row],[COSTOS OPERACIONALES ($COP)]]/(100%-V.sual_Data[[#This Row],[UTILIDAD (%)]])))-V.sual_Data[[#This Row],[COSTOS OPERACIONALES ($COP)]]</f>
        <v>450000</v>
      </c>
      <c r="AA135" s="3">
        <f>+V.sual_Data[[#This Row],[COSTOS OPERACIONALES ($COP)]]+V.sual_Data[[#This Row],[DESFASE ($COP)]]+V.sual_Data[[#This Row],[UTILIDAD ($COP)]]</f>
        <v>810000</v>
      </c>
      <c r="AB135" s="44">
        <v>0.05</v>
      </c>
      <c r="AC135" s="15">
        <f>+((V.sual_Data[[#This Row],[VALOR NETO ($COP)]]/(100%-V.sual_Data[[#This Row],[MÁRGEN DE NEGOCIACIÓN (%)]])))-V.sual_Data[[#This Row],[VALOR NETO ($COP)]]</f>
        <v>42631.578947368427</v>
      </c>
      <c r="AD135" s="15">
        <f>+(V.sual_Data[[#This Row],[VALOR NETO ($COP)]]+V.sual_Data[[#This Row],[NEGOCIACIÓN ($COP)]])*1%</f>
        <v>8526.3157894736851</v>
      </c>
      <c r="AE135" s="15">
        <f>+(V.sual_Data[[#This Row],[VALOR NETO ($COP)]]+V.sual_Data[[#This Row],[NEGOCIACIÓN ($COP)]])*1%</f>
        <v>8526.3157894736851</v>
      </c>
      <c r="AF135" s="3">
        <f>+V.sual_Data[[#This Row],[VALOR NETO ($COP)]]+V.sual_Data[[#This Row],[4 * 1000 ($COP)]]+V.sual_Data[[#This Row],[ICA ($COP)]]+V.sual_Data[[#This Row],[NEGOCIACIÓN ($COP)]]</f>
        <v>869684.21052631584</v>
      </c>
    </row>
    <row r="136" spans="1:36" ht="60" customHeight="1" x14ac:dyDescent="0.25">
      <c r="A136" s="14"/>
      <c r="B136" s="37" t="s">
        <v>345</v>
      </c>
      <c r="C136" s="38" t="s">
        <v>302</v>
      </c>
      <c r="D136" s="38" t="s">
        <v>190</v>
      </c>
      <c r="E136" s="38" t="s">
        <v>346</v>
      </c>
      <c r="F136" s="38" t="s">
        <v>347</v>
      </c>
      <c r="G136" s="40" t="s">
        <v>343</v>
      </c>
      <c r="H136" s="46">
        <v>2</v>
      </c>
      <c r="I136" s="39" t="s">
        <v>350</v>
      </c>
      <c r="J136" s="86">
        <v>2</v>
      </c>
      <c r="K136" s="45" t="s">
        <v>351</v>
      </c>
      <c r="L136" s="40" t="s">
        <v>183</v>
      </c>
      <c r="M136" s="41">
        <v>5</v>
      </c>
      <c r="N136" s="207">
        <f>IFERROR(VLOOKUP(V.sual_Data[[#This Row],[RESPONSABLE]],Listas!$D$3:$F$7,3,FALSE),0)</f>
        <v>22796.352583586624</v>
      </c>
      <c r="O136" s="34">
        <f t="shared" si="24"/>
        <v>113981.76291793311</v>
      </c>
      <c r="P136" s="42">
        <f>IFERROR((VLOOKUP(V.sual_Data[[#This Row],[RESPONSABLE]],Listas!$D$3:$K$7,5,FALSE))*V.sual_Data[[#This Row],[TIEMPO (HORAS)]],0)</f>
        <v>21107.733873691319</v>
      </c>
      <c r="Q136" s="11">
        <f>IFERROR(+VLOOKUP(L136,V.sual_Lista_Data[[EQUIPO VISUAL]:[SOFTWARE 
VALOR HORA]],8,FALSE)*V.sual_Data[[#This Row],[TIEMPO (HORAS)]],"0")</f>
        <v>17054.274435719919</v>
      </c>
      <c r="R136" s="43"/>
      <c r="S136" s="43"/>
      <c r="T136" s="3">
        <f>SUM(O136:S136)</f>
        <v>152143.77122734435</v>
      </c>
      <c r="U136" s="15">
        <f>V.sual_Data[[#This Row],[TIEMPO (HORAS)]]*Gastos_Operativos[[#Totals],[GASTOS HORA]]</f>
        <v>138947.38536155201</v>
      </c>
      <c r="V136" s="3">
        <f>V.sual_Data[[#This Row],[COSTO 
DIRECTO ($COP)]]+V.sual_Data[[#This Row],[PRORRATEO GASTOS ($COP)]]</f>
        <v>291091.15658889635</v>
      </c>
      <c r="W136" s="44">
        <v>0.2</v>
      </c>
      <c r="X136" s="15">
        <f>V.sual_Data[[#This Row],[COSTOS OPERACIONALES ($COP)]]*V.sual_Data[[#This Row],[DESFASE (%)]]</f>
        <v>58218.231317779275</v>
      </c>
      <c r="Y136" s="44">
        <v>0.6</v>
      </c>
      <c r="Z136" s="15">
        <f>+((V.sual_Data[[#This Row],[COSTOS OPERACIONALES ($COP)]]/(100%-V.sual_Data[[#This Row],[UTILIDAD (%)]])))-V.sual_Data[[#This Row],[COSTOS OPERACIONALES ($COP)]]</f>
        <v>436636.73488334444</v>
      </c>
      <c r="AA136" s="3">
        <f>+V.sual_Data[[#This Row],[COSTOS OPERACIONALES ($COP)]]+V.sual_Data[[#This Row],[DESFASE ($COP)]]+V.sual_Data[[#This Row],[UTILIDAD ($COP)]]</f>
        <v>785946.12279002008</v>
      </c>
      <c r="AB136" s="44">
        <v>0.05</v>
      </c>
      <c r="AC136" s="15">
        <f>+((V.sual_Data[[#This Row],[VALOR NETO ($COP)]]/(100%-V.sual_Data[[#This Row],[MÁRGEN DE NEGOCIACIÓN (%)]])))-V.sual_Data[[#This Row],[VALOR NETO ($COP)]]</f>
        <v>41365.585410001106</v>
      </c>
      <c r="AD136" s="15">
        <f>+(V.sual_Data[[#This Row],[VALOR NETO ($COP)]]+V.sual_Data[[#This Row],[NEGOCIACIÓN ($COP)]])*1%</f>
        <v>8273.1170820002117</v>
      </c>
      <c r="AE136" s="15">
        <f>+(V.sual_Data[[#This Row],[VALOR NETO ($COP)]]+V.sual_Data[[#This Row],[NEGOCIACIÓN ($COP)]])*1%</f>
        <v>8273.1170820002117</v>
      </c>
      <c r="AF136" s="3">
        <f>+V.sual_Data[[#This Row],[VALOR NETO ($COP)]]+V.sual_Data[[#This Row],[4 * 1000 ($COP)]]+V.sual_Data[[#This Row],[ICA ($COP)]]+V.sual_Data[[#This Row],[NEGOCIACIÓN ($COP)]]</f>
        <v>843857.94236402167</v>
      </c>
    </row>
    <row r="137" spans="1:36" ht="60" customHeight="1" x14ac:dyDescent="0.25">
      <c r="A137" s="14"/>
      <c r="B137" s="37" t="s">
        <v>345</v>
      </c>
      <c r="C137" s="38" t="s">
        <v>302</v>
      </c>
      <c r="D137" s="38" t="s">
        <v>190</v>
      </c>
      <c r="E137" s="38" t="s">
        <v>346</v>
      </c>
      <c r="F137" s="38" t="s">
        <v>347</v>
      </c>
      <c r="G137" s="40" t="s">
        <v>343</v>
      </c>
      <c r="H137" s="46">
        <v>3</v>
      </c>
      <c r="I137" s="39" t="s">
        <v>350</v>
      </c>
      <c r="J137" s="86">
        <v>3</v>
      </c>
      <c r="K137" s="45" t="s">
        <v>352</v>
      </c>
      <c r="L137" s="40" t="s">
        <v>183</v>
      </c>
      <c r="M137" s="41">
        <v>5</v>
      </c>
      <c r="N137" s="207">
        <f>IFERROR(VLOOKUP(V.sual_Data[[#This Row],[RESPONSABLE]],Listas!$D$3:$F$7,3,FALSE),0)</f>
        <v>22796.352583586624</v>
      </c>
      <c r="O137" s="34">
        <f t="shared" si="24"/>
        <v>113981.76291793311</v>
      </c>
      <c r="P137" s="42">
        <f>IFERROR((VLOOKUP(V.sual_Data[[#This Row],[RESPONSABLE]],Listas!$D$3:$K$7,5,FALSE))*V.sual_Data[[#This Row],[TIEMPO (HORAS)]],0)</f>
        <v>21107.733873691319</v>
      </c>
      <c r="Q137" s="11">
        <f>IFERROR(+VLOOKUP(L137,V.sual_Lista_Data[[EQUIPO VISUAL]:[SOFTWARE 
VALOR HORA]],8,FALSE)*V.sual_Data[[#This Row],[TIEMPO (HORAS)]],"0")</f>
        <v>17054.274435719919</v>
      </c>
      <c r="R137" s="43"/>
      <c r="S137" s="43"/>
      <c r="T137" s="3">
        <f t="shared" ref="T137:T138" si="27">SUM(O137:S137)</f>
        <v>152143.77122734435</v>
      </c>
      <c r="U137" s="15">
        <f>V.sual_Data[[#This Row],[TIEMPO (HORAS)]]*Gastos_Operativos[[#Totals],[GASTOS HORA]]</f>
        <v>138947.38536155201</v>
      </c>
      <c r="V137" s="3">
        <f>V.sual_Data[[#This Row],[COSTO 
DIRECTO ($COP)]]+V.sual_Data[[#This Row],[PRORRATEO GASTOS ($COP)]]</f>
        <v>291091.15658889635</v>
      </c>
      <c r="W137" s="44">
        <v>0.2</v>
      </c>
      <c r="X137" s="15">
        <f>V.sual_Data[[#This Row],[COSTOS OPERACIONALES ($COP)]]*V.sual_Data[[#This Row],[DESFASE (%)]]</f>
        <v>58218.231317779275</v>
      </c>
      <c r="Y137" s="44">
        <v>0.6</v>
      </c>
      <c r="Z137" s="15">
        <f>+((V.sual_Data[[#This Row],[COSTOS OPERACIONALES ($COP)]]/(100%-V.sual_Data[[#This Row],[UTILIDAD (%)]])))-V.sual_Data[[#This Row],[COSTOS OPERACIONALES ($COP)]]</f>
        <v>436636.73488334444</v>
      </c>
      <c r="AA137" s="3">
        <f>+V.sual_Data[[#This Row],[COSTOS OPERACIONALES ($COP)]]+V.sual_Data[[#This Row],[DESFASE ($COP)]]+V.sual_Data[[#This Row],[UTILIDAD ($COP)]]</f>
        <v>785946.12279002008</v>
      </c>
      <c r="AB137" s="44">
        <v>0.05</v>
      </c>
      <c r="AC137" s="15">
        <f>+((V.sual_Data[[#This Row],[VALOR NETO ($COP)]]/(100%-V.sual_Data[[#This Row],[MÁRGEN DE NEGOCIACIÓN (%)]])))-V.sual_Data[[#This Row],[VALOR NETO ($COP)]]</f>
        <v>41365.585410001106</v>
      </c>
      <c r="AD137" s="15">
        <f>+(V.sual_Data[[#This Row],[VALOR NETO ($COP)]]+V.sual_Data[[#This Row],[NEGOCIACIÓN ($COP)]])*1%</f>
        <v>8273.1170820002117</v>
      </c>
      <c r="AE137" s="15">
        <f>+(V.sual_Data[[#This Row],[VALOR NETO ($COP)]]+V.sual_Data[[#This Row],[NEGOCIACIÓN ($COP)]])*1%</f>
        <v>8273.1170820002117</v>
      </c>
      <c r="AF137" s="3">
        <f>+V.sual_Data[[#This Row],[VALOR NETO ($COP)]]+V.sual_Data[[#This Row],[4 * 1000 ($COP)]]+V.sual_Data[[#This Row],[ICA ($COP)]]+V.sual_Data[[#This Row],[NEGOCIACIÓN ($COP)]]</f>
        <v>843857.94236402167</v>
      </c>
    </row>
    <row r="138" spans="1:36" ht="60" customHeight="1" x14ac:dyDescent="0.25">
      <c r="A138" s="14"/>
      <c r="B138" s="37" t="s">
        <v>345</v>
      </c>
      <c r="C138" s="38" t="s">
        <v>302</v>
      </c>
      <c r="D138" s="38" t="s">
        <v>190</v>
      </c>
      <c r="E138" s="38" t="s">
        <v>346</v>
      </c>
      <c r="F138" s="38" t="s">
        <v>347</v>
      </c>
      <c r="G138" s="40" t="s">
        <v>343</v>
      </c>
      <c r="H138" s="46">
        <v>4</v>
      </c>
      <c r="I138" s="39" t="s">
        <v>353</v>
      </c>
      <c r="J138" s="86">
        <v>4</v>
      </c>
      <c r="K138" s="45" t="s">
        <v>354</v>
      </c>
      <c r="L138" s="40" t="s">
        <v>183</v>
      </c>
      <c r="M138" s="41">
        <v>1</v>
      </c>
      <c r="N138" s="207">
        <f>IFERROR(VLOOKUP(V.sual_Data[[#This Row],[RESPONSABLE]],Listas!$D$3:$F$7,3,FALSE),0)</f>
        <v>22796.352583586624</v>
      </c>
      <c r="O138" s="34">
        <f t="shared" si="24"/>
        <v>22796.352583586624</v>
      </c>
      <c r="P138" s="42">
        <f>IFERROR((VLOOKUP(V.sual_Data[[#This Row],[RESPONSABLE]],Listas!$D$3:$K$7,5,FALSE))*V.sual_Data[[#This Row],[TIEMPO (HORAS)]],0)</f>
        <v>4221.5467747382636</v>
      </c>
      <c r="Q138" s="11">
        <f>IFERROR(+VLOOKUP(L138,V.sual_Lista_Data[[EQUIPO VISUAL]:[SOFTWARE 
VALOR HORA]],8,FALSE)*V.sual_Data[[#This Row],[TIEMPO (HORAS)]],"0")</f>
        <v>3410.8548871439834</v>
      </c>
      <c r="R138" s="43"/>
      <c r="S138" s="43"/>
      <c r="T138" s="3">
        <f t="shared" si="27"/>
        <v>30428.754245468874</v>
      </c>
      <c r="U138" s="15">
        <f>V.sual_Data[[#This Row],[TIEMPO (HORAS)]]*Gastos_Operativos[[#Totals],[GASTOS HORA]]</f>
        <v>27789.477072310401</v>
      </c>
      <c r="V138" s="3">
        <f>V.sual_Data[[#This Row],[COSTO 
DIRECTO ($COP)]]+V.sual_Data[[#This Row],[PRORRATEO GASTOS ($COP)]]</f>
        <v>58218.231317779275</v>
      </c>
      <c r="W138" s="44">
        <v>0.2</v>
      </c>
      <c r="X138" s="15">
        <f>V.sual_Data[[#This Row],[COSTOS OPERACIONALES ($COP)]]*V.sual_Data[[#This Row],[DESFASE (%)]]</f>
        <v>11643.646263555856</v>
      </c>
      <c r="Y138" s="44">
        <v>0.6</v>
      </c>
      <c r="Z138" s="15">
        <f>+((V.sual_Data[[#This Row],[COSTOS OPERACIONALES ($COP)]]/(100%-V.sual_Data[[#This Row],[UTILIDAD (%)]])))-V.sual_Data[[#This Row],[COSTOS OPERACIONALES ($COP)]]</f>
        <v>87327.346976668894</v>
      </c>
      <c r="AA138" s="3">
        <f>+V.sual_Data[[#This Row],[COSTOS OPERACIONALES ($COP)]]+V.sual_Data[[#This Row],[DESFASE ($COP)]]+V.sual_Data[[#This Row],[UTILIDAD ($COP)]]</f>
        <v>157189.22455800403</v>
      </c>
      <c r="AB138" s="44">
        <v>0.05</v>
      </c>
      <c r="AC138" s="15">
        <f>+((V.sual_Data[[#This Row],[VALOR NETO ($COP)]]/(100%-V.sual_Data[[#This Row],[MÁRGEN DE NEGOCIACIÓN (%)]])))-V.sual_Data[[#This Row],[VALOR NETO ($COP)]]</f>
        <v>8273.1170820002153</v>
      </c>
      <c r="AD138" s="15">
        <f>+(V.sual_Data[[#This Row],[VALOR NETO ($COP)]]+V.sual_Data[[#This Row],[NEGOCIACIÓN ($COP)]])*1%</f>
        <v>1654.6234164000425</v>
      </c>
      <c r="AE138" s="15">
        <f>+(V.sual_Data[[#This Row],[VALOR NETO ($COP)]]+V.sual_Data[[#This Row],[NEGOCIACIÓN ($COP)]])*1%</f>
        <v>1654.6234164000425</v>
      </c>
      <c r="AF138" s="3">
        <f>+V.sual_Data[[#This Row],[VALOR NETO ($COP)]]+V.sual_Data[[#This Row],[4 * 1000 ($COP)]]+V.sual_Data[[#This Row],[ICA ($COP)]]+V.sual_Data[[#This Row],[NEGOCIACIÓN ($COP)]]</f>
        <v>168771.58847280435</v>
      </c>
    </row>
    <row r="139" spans="1:36" ht="60" customHeight="1" x14ac:dyDescent="0.25">
      <c r="A139" s="14"/>
      <c r="B139" s="37" t="s">
        <v>345</v>
      </c>
      <c r="C139" s="38" t="s">
        <v>302</v>
      </c>
      <c r="D139" s="38" t="s">
        <v>190</v>
      </c>
      <c r="E139" s="38" t="s">
        <v>346</v>
      </c>
      <c r="F139" s="38" t="s">
        <v>347</v>
      </c>
      <c r="G139" s="40" t="s">
        <v>343</v>
      </c>
      <c r="H139" s="46">
        <v>5</v>
      </c>
      <c r="I139" s="39" t="s">
        <v>355</v>
      </c>
      <c r="J139" s="86">
        <v>5</v>
      </c>
      <c r="K139" s="45" t="s">
        <v>356</v>
      </c>
      <c r="L139" s="40" t="s">
        <v>183</v>
      </c>
      <c r="M139" s="41">
        <v>2.5</v>
      </c>
      <c r="N139" s="207">
        <f>IFERROR(VLOOKUP(V.sual_Data[[#This Row],[RESPONSABLE]],Listas!$D$3:$F$7,3,FALSE),0)</f>
        <v>22796.352583586624</v>
      </c>
      <c r="O139" s="34">
        <f t="shared" si="24"/>
        <v>56990.881458966556</v>
      </c>
      <c r="P139" s="42">
        <f>IFERROR((VLOOKUP(V.sual_Data[[#This Row],[RESPONSABLE]],Listas!$D$3:$K$7,5,FALSE))*V.sual_Data[[#This Row],[TIEMPO (HORAS)]],0)</f>
        <v>10553.866936845659</v>
      </c>
      <c r="Q139" s="11">
        <f>IFERROR(+VLOOKUP(L139,V.sual_Lista_Data[[EQUIPO VISUAL]:[SOFTWARE 
VALOR HORA]],8,FALSE)*V.sual_Data[[#This Row],[TIEMPO (HORAS)]],"0")</f>
        <v>8527.1372178599595</v>
      </c>
      <c r="R139" s="43"/>
      <c r="S139" s="43"/>
      <c r="T139" s="3">
        <f>SUM(O139:S139)</f>
        <v>76071.885613672173</v>
      </c>
      <c r="U139" s="15">
        <f>V.sual_Data[[#This Row],[TIEMPO (HORAS)]]*Gastos_Operativos[[#Totals],[GASTOS HORA]]</f>
        <v>69473.692680776003</v>
      </c>
      <c r="V139" s="3">
        <f>V.sual_Data[[#This Row],[COSTO 
DIRECTO ($COP)]]+V.sual_Data[[#This Row],[PRORRATEO GASTOS ($COP)]]</f>
        <v>145545.57829444818</v>
      </c>
      <c r="W139" s="44">
        <v>0.2</v>
      </c>
      <c r="X139" s="15">
        <f>V.sual_Data[[#This Row],[COSTOS OPERACIONALES ($COP)]]*V.sual_Data[[#This Row],[DESFASE (%)]]</f>
        <v>29109.115658889637</v>
      </c>
      <c r="Y139" s="44">
        <v>0.6</v>
      </c>
      <c r="Z139" s="15">
        <f>+((V.sual_Data[[#This Row],[COSTOS OPERACIONALES ($COP)]]/(100%-V.sual_Data[[#This Row],[UTILIDAD (%)]])))-V.sual_Data[[#This Row],[COSTOS OPERACIONALES ($COP)]]</f>
        <v>218318.36744167222</v>
      </c>
      <c r="AA139" s="3">
        <f>+V.sual_Data[[#This Row],[COSTOS OPERACIONALES ($COP)]]+V.sual_Data[[#This Row],[DESFASE ($COP)]]+V.sual_Data[[#This Row],[UTILIDAD ($COP)]]</f>
        <v>392973.06139501004</v>
      </c>
      <c r="AB139" s="44">
        <v>0.05</v>
      </c>
      <c r="AC139" s="15">
        <f>+((V.sual_Data[[#This Row],[VALOR NETO ($COP)]]/(100%-V.sual_Data[[#This Row],[MÁRGEN DE NEGOCIACIÓN (%)]])))-V.sual_Data[[#This Row],[VALOR NETO ($COP)]]</f>
        <v>20682.792705000553</v>
      </c>
      <c r="AD139" s="15">
        <f>+(V.sual_Data[[#This Row],[VALOR NETO ($COP)]]+V.sual_Data[[#This Row],[NEGOCIACIÓN ($COP)]])*1%</f>
        <v>4136.5585410001058</v>
      </c>
      <c r="AE139" s="15">
        <f>+(V.sual_Data[[#This Row],[VALOR NETO ($COP)]]+V.sual_Data[[#This Row],[NEGOCIACIÓN ($COP)]])*1%</f>
        <v>4136.5585410001058</v>
      </c>
      <c r="AF139" s="3">
        <f>+V.sual_Data[[#This Row],[VALOR NETO ($COP)]]+V.sual_Data[[#This Row],[4 * 1000 ($COP)]]+V.sual_Data[[#This Row],[ICA ($COP)]]+V.sual_Data[[#This Row],[NEGOCIACIÓN ($COP)]]</f>
        <v>421928.97118201084</v>
      </c>
    </row>
    <row r="140" spans="1:36" ht="60" hidden="1" customHeight="1" x14ac:dyDescent="0.25">
      <c r="A140" s="14"/>
      <c r="B140" s="37" t="s">
        <v>357</v>
      </c>
      <c r="C140" s="38" t="s">
        <v>302</v>
      </c>
      <c r="D140" s="38" t="s">
        <v>190</v>
      </c>
      <c r="E140" s="38" t="s">
        <v>358</v>
      </c>
      <c r="F140" s="38" t="s">
        <v>359</v>
      </c>
      <c r="G140" s="40" t="s">
        <v>360</v>
      </c>
      <c r="H140" s="46">
        <v>1</v>
      </c>
      <c r="I140" s="39" t="s">
        <v>361</v>
      </c>
      <c r="J140" s="86">
        <v>1</v>
      </c>
      <c r="K140" s="45" t="s">
        <v>362</v>
      </c>
      <c r="L140" s="40" t="s">
        <v>116</v>
      </c>
      <c r="M140" s="41">
        <v>3</v>
      </c>
      <c r="N140" s="207">
        <f>IFERROR(VLOOKUP(V.sual_Data[[#This Row],[RESPONSABLE]],Listas!$D$3:$F$7,3,FALSE),0)</f>
        <v>17730.496453900709</v>
      </c>
      <c r="O140" s="34">
        <f t="shared" si="24"/>
        <v>53191.48936170213</v>
      </c>
      <c r="P140" s="42">
        <f>IFERROR((VLOOKUP(V.sual_Data[[#This Row],[RESPONSABLE]],Listas!$D$3:$K$7,5,FALSE))*V.sual_Data[[#This Row],[TIEMPO (HORAS)]],0)</f>
        <v>12664.64032421479</v>
      </c>
      <c r="Q140" s="11">
        <f>IFERROR(+VLOOKUP(L140,V.sual_Lista_Data[[EQUIPO VISUAL]:[SOFTWARE 
VALOR HORA]],8,FALSE)*V.sual_Data[[#This Row],[TIEMPO (HORAS)]],"0")</f>
        <v>10232.56466143195</v>
      </c>
      <c r="R140" s="43"/>
      <c r="S140" s="43"/>
      <c r="T140" s="3">
        <f>SUM(O140:S140)</f>
        <v>76088.694347348879</v>
      </c>
      <c r="U140" s="15">
        <f>V.sual_Data[[#This Row],[TIEMPO (HORAS)]]*Gastos_Operativos[[#Totals],[GASTOS HORA]]</f>
        <v>83368.431216931203</v>
      </c>
      <c r="V140" s="3">
        <f>V.sual_Data[[#This Row],[COSTO 
DIRECTO ($COP)]]+V.sual_Data[[#This Row],[PRORRATEO GASTOS ($COP)]]</f>
        <v>159457.12556428008</v>
      </c>
      <c r="W140" s="44">
        <v>0.05</v>
      </c>
      <c r="X140" s="15">
        <f>V.sual_Data[[#This Row],[COSTOS OPERACIONALES ($COP)]]*V.sual_Data[[#This Row],[DESFASE (%)]]</f>
        <v>7972.8562782140043</v>
      </c>
      <c r="Y140" s="44">
        <v>0.6</v>
      </c>
      <c r="Z140" s="15">
        <f>+((V.sual_Data[[#This Row],[COSTOS OPERACIONALES ($COP)]]/(100%-V.sual_Data[[#This Row],[UTILIDAD (%)]])))-V.sual_Data[[#This Row],[COSTOS OPERACIONALES ($COP)]]</f>
        <v>239185.68834642012</v>
      </c>
      <c r="AA140" s="3">
        <f>+V.sual_Data[[#This Row],[COSTOS OPERACIONALES ($COP)]]+V.sual_Data[[#This Row],[DESFASE ($COP)]]+V.sual_Data[[#This Row],[UTILIDAD ($COP)]]</f>
        <v>406615.67018891417</v>
      </c>
      <c r="AB140" s="44">
        <v>0.05</v>
      </c>
      <c r="AC140" s="15">
        <f>+((V.sual_Data[[#This Row],[VALOR NETO ($COP)]]/(100%-V.sual_Data[[#This Row],[MÁRGEN DE NEGOCIACIÓN (%)]])))-V.sual_Data[[#This Row],[VALOR NETO ($COP)]]</f>
        <v>21400.824746784987</v>
      </c>
      <c r="AD140" s="15">
        <f>+(V.sual_Data[[#This Row],[VALOR NETO ($COP)]]+V.sual_Data[[#This Row],[NEGOCIACIÓN ($COP)]])*1%</f>
        <v>4280.1649493569912</v>
      </c>
      <c r="AE140" s="15">
        <f>+(V.sual_Data[[#This Row],[VALOR NETO ($COP)]]+V.sual_Data[[#This Row],[NEGOCIACIÓN ($COP)]])*1%</f>
        <v>4280.1649493569912</v>
      </c>
      <c r="AF140" s="3" t="s">
        <v>363</v>
      </c>
    </row>
    <row r="141" spans="1:36" ht="60" hidden="1" customHeight="1" x14ac:dyDescent="0.25">
      <c r="B141" s="37" t="s">
        <v>357</v>
      </c>
      <c r="C141" s="5" t="s">
        <v>302</v>
      </c>
      <c r="D141" s="5" t="s">
        <v>190</v>
      </c>
      <c r="E141" s="20" t="s">
        <v>364</v>
      </c>
      <c r="F141" s="5" t="s">
        <v>359</v>
      </c>
      <c r="G141" s="4" t="s">
        <v>360</v>
      </c>
      <c r="H141" s="2" t="s">
        <v>207</v>
      </c>
      <c r="I141" s="5" t="s">
        <v>361</v>
      </c>
      <c r="J141" s="4">
        <v>2</v>
      </c>
      <c r="K141" s="4" t="s">
        <v>365</v>
      </c>
      <c r="L141" s="40" t="s">
        <v>116</v>
      </c>
      <c r="M141" s="41">
        <v>2</v>
      </c>
      <c r="N141" s="207">
        <f>IFERROR(VLOOKUP(V.sual_Data[[#This Row],[RESPONSABLE]],Listas!$D$3:$F$7,3,FALSE),0)</f>
        <v>17730.496453900709</v>
      </c>
      <c r="O141" s="34">
        <f t="shared" si="24"/>
        <v>35460.992907801417</v>
      </c>
      <c r="P141" s="42">
        <f>IFERROR((VLOOKUP(V.sual_Data[[#This Row],[RESPONSABLE]],Listas!$D$3:$K$7,5,FALSE))*V.sual_Data[[#This Row],[TIEMPO (HORAS)]],0)</f>
        <v>8443.0935494765272</v>
      </c>
      <c r="Q141" s="11">
        <f>IFERROR(+VLOOKUP(L141,V.sual_Lista_Data[[EQUIPO VISUAL]:[SOFTWARE 
VALOR HORA]],8,FALSE)*V.sual_Data[[#This Row],[TIEMPO (HORAS)]],"0")</f>
        <v>6821.7097742879669</v>
      </c>
      <c r="R141" s="43"/>
      <c r="S141" s="43"/>
      <c r="T141" s="3">
        <f t="shared" ref="T141:T145" si="28">SUM(O141:S141)</f>
        <v>50725.79623156591</v>
      </c>
      <c r="U141" s="15">
        <f>V.sual_Data[[#This Row],[TIEMPO (HORAS)]]*Gastos_Operativos[[#Totals],[GASTOS HORA]]</f>
        <v>55578.954144620802</v>
      </c>
      <c r="V141" s="3">
        <f>V.sual_Data[[#This Row],[COSTO 
DIRECTO ($COP)]]+V.sual_Data[[#This Row],[PRORRATEO GASTOS ($COP)]]</f>
        <v>106304.75037618671</v>
      </c>
      <c r="W141" s="44">
        <v>0.05</v>
      </c>
      <c r="X141" s="15">
        <f>V.sual_Data[[#This Row],[COSTOS OPERACIONALES ($COP)]]*V.sual_Data[[#This Row],[DESFASE (%)]]</f>
        <v>5315.2375188093356</v>
      </c>
      <c r="Y141" s="44">
        <v>0.6</v>
      </c>
      <c r="Z141" s="15">
        <f>+((V.sual_Data[[#This Row],[COSTOS OPERACIONALES ($COP)]]/(100%-V.sual_Data[[#This Row],[UTILIDAD (%)]])))-V.sual_Data[[#This Row],[COSTOS OPERACIONALES ($COP)]]</f>
        <v>159457.12556428005</v>
      </c>
      <c r="AA141" s="3">
        <f>+V.sual_Data[[#This Row],[COSTOS OPERACIONALES ($COP)]]+V.sual_Data[[#This Row],[DESFASE ($COP)]]+V.sual_Data[[#This Row],[UTILIDAD ($COP)]]</f>
        <v>271077.11345927609</v>
      </c>
      <c r="AB141" s="44">
        <v>0.05</v>
      </c>
      <c r="AC141" s="15">
        <f>+((V.sual_Data[[#This Row],[VALOR NETO ($COP)]]/(100%-V.sual_Data[[#This Row],[MÁRGEN DE NEGOCIACIÓN (%)]])))-V.sual_Data[[#This Row],[VALOR NETO ($COP)]]</f>
        <v>14267.216497856658</v>
      </c>
      <c r="AD141" s="15">
        <f>+(V.sual_Data[[#This Row],[VALOR NETO ($COP)]]+V.sual_Data[[#This Row],[NEGOCIACIÓN ($COP)]])*1%</f>
        <v>2853.4432995713278</v>
      </c>
      <c r="AE141" s="15">
        <f>+(V.sual_Data[[#This Row],[VALOR NETO ($COP)]]+V.sual_Data[[#This Row],[NEGOCIACIÓN ($COP)]])*1%</f>
        <v>2853.4432995713278</v>
      </c>
      <c r="AF141" s="3">
        <f>+V.sual_Data[[#This Row],[VALOR NETO ($COP)]]+V.sual_Data[[#This Row],[4 * 1000 ($COP)]]+V.sual_Data[[#This Row],[ICA ($COP)]]+V.sual_Data[[#This Row],[NEGOCIACIÓN ($COP)]]</f>
        <v>291051.21655627544</v>
      </c>
      <c r="AH141" s="253"/>
      <c r="AI141" s="253"/>
      <c r="AJ141" s="253"/>
    </row>
    <row r="142" spans="1:36" hidden="1" x14ac:dyDescent="0.25">
      <c r="B142" s="37" t="s">
        <v>357</v>
      </c>
      <c r="C142" s="38" t="s">
        <v>302</v>
      </c>
      <c r="D142" s="38" t="s">
        <v>190</v>
      </c>
      <c r="E142" s="38" t="s">
        <v>364</v>
      </c>
      <c r="F142" s="38" t="s">
        <v>359</v>
      </c>
      <c r="G142" s="40" t="s">
        <v>360</v>
      </c>
      <c r="H142" s="46">
        <v>1</v>
      </c>
      <c r="I142" s="39" t="s">
        <v>366</v>
      </c>
      <c r="J142" s="86">
        <v>3</v>
      </c>
      <c r="K142" s="45" t="s">
        <v>367</v>
      </c>
      <c r="L142" s="40" t="s">
        <v>116</v>
      </c>
      <c r="M142" s="41">
        <v>1</v>
      </c>
      <c r="N142" s="207">
        <f>IFERROR(VLOOKUP(V.sual_Data[[#This Row],[RESPONSABLE]],Listas!$D$3:$F$7,3,FALSE),0)</f>
        <v>17730.496453900709</v>
      </c>
      <c r="O142" s="34">
        <f t="shared" si="24"/>
        <v>17730.496453900709</v>
      </c>
      <c r="P142" s="42">
        <f>IFERROR((VLOOKUP(V.sual_Data[[#This Row],[RESPONSABLE]],Listas!$D$3:$K$7,5,FALSE))*V.sual_Data[[#This Row],[TIEMPO (HORAS)]],0)</f>
        <v>4221.5467747382636</v>
      </c>
      <c r="Q142" s="11">
        <f>IFERROR(+VLOOKUP(L142,V.sual_Lista_Data[[EQUIPO VISUAL]:[SOFTWARE 
VALOR HORA]],8,FALSE)*V.sual_Data[[#This Row],[TIEMPO (HORAS)]],"0")</f>
        <v>3410.8548871439834</v>
      </c>
      <c r="R142" s="43"/>
      <c r="S142" s="43"/>
      <c r="T142" s="3">
        <f t="shared" si="28"/>
        <v>25362.898115782955</v>
      </c>
      <c r="U142" s="15">
        <f>V.sual_Data[[#This Row],[TIEMPO (HORAS)]]*Gastos_Operativos[[#Totals],[GASTOS HORA]]</f>
        <v>27789.477072310401</v>
      </c>
      <c r="V142" s="3">
        <f>V.sual_Data[[#This Row],[COSTO 
DIRECTO ($COP)]]+V.sual_Data[[#This Row],[PRORRATEO GASTOS ($COP)]]</f>
        <v>53152.375188093356</v>
      </c>
      <c r="W142" s="44">
        <v>0.05</v>
      </c>
      <c r="X142" s="15">
        <f>V.sual_Data[[#This Row],[COSTOS OPERACIONALES ($COP)]]*V.sual_Data[[#This Row],[DESFASE (%)]]</f>
        <v>2657.6187594046678</v>
      </c>
      <c r="Y142" s="44">
        <v>0.6</v>
      </c>
      <c r="Z142" s="15">
        <f>+((V.sual_Data[[#This Row],[COSTOS OPERACIONALES ($COP)]]/(100%-V.sual_Data[[#This Row],[UTILIDAD (%)]])))-V.sual_Data[[#This Row],[COSTOS OPERACIONALES ($COP)]]</f>
        <v>79728.562782140027</v>
      </c>
      <c r="AA142" s="3">
        <f>+V.sual_Data[[#This Row],[COSTOS OPERACIONALES ($COP)]]+V.sual_Data[[#This Row],[DESFASE ($COP)]]+V.sual_Data[[#This Row],[UTILIDAD ($COP)]]</f>
        <v>135538.55672963805</v>
      </c>
      <c r="AB142" s="44">
        <v>0.05</v>
      </c>
      <c r="AC142" s="15">
        <f>+((V.sual_Data[[#This Row],[VALOR NETO ($COP)]]/(100%-V.sual_Data[[#This Row],[MÁRGEN DE NEGOCIACIÓN (%)]])))-V.sual_Data[[#This Row],[VALOR NETO ($COP)]]</f>
        <v>7133.608248928329</v>
      </c>
      <c r="AD142" s="15">
        <f>+(V.sual_Data[[#This Row],[VALOR NETO ($COP)]]+V.sual_Data[[#This Row],[NEGOCIACIÓN ($COP)]])*1%</f>
        <v>1426.7216497856639</v>
      </c>
      <c r="AE142" s="15">
        <f>+(V.sual_Data[[#This Row],[VALOR NETO ($COP)]]+V.sual_Data[[#This Row],[NEGOCIACIÓN ($COP)]])*1%</f>
        <v>1426.7216497856639</v>
      </c>
      <c r="AF142" s="3">
        <f>+V.sual_Data[[#This Row],[VALOR NETO ($COP)]]+V.sual_Data[[#This Row],[4 * 1000 ($COP)]]+V.sual_Data[[#This Row],[ICA ($COP)]]+V.sual_Data[[#This Row],[NEGOCIACIÓN ($COP)]]</f>
        <v>145525.60827813772</v>
      </c>
    </row>
    <row r="143" spans="1:36" hidden="1" x14ac:dyDescent="0.25">
      <c r="B143" s="37" t="s">
        <v>357</v>
      </c>
      <c r="C143" s="38" t="s">
        <v>302</v>
      </c>
      <c r="D143" s="38" t="s">
        <v>190</v>
      </c>
      <c r="E143" s="38" t="s">
        <v>364</v>
      </c>
      <c r="F143" s="38" t="s">
        <v>359</v>
      </c>
      <c r="G143" s="40" t="s">
        <v>360</v>
      </c>
      <c r="H143" s="46">
        <v>1</v>
      </c>
      <c r="I143" s="39" t="s">
        <v>368</v>
      </c>
      <c r="J143" s="86">
        <v>4</v>
      </c>
      <c r="K143" s="45" t="s">
        <v>369</v>
      </c>
      <c r="L143" s="40" t="s">
        <v>116</v>
      </c>
      <c r="M143" s="41">
        <v>1</v>
      </c>
      <c r="N143" s="207">
        <f>IFERROR(VLOOKUP(V.sual_Data[[#This Row],[RESPONSABLE]],Listas!$D$3:$F$7,3,FALSE),0)</f>
        <v>17730.496453900709</v>
      </c>
      <c r="O143" s="34">
        <f t="shared" si="24"/>
        <v>17730.496453900709</v>
      </c>
      <c r="P143" s="42">
        <f>IFERROR((VLOOKUP(V.sual_Data[[#This Row],[RESPONSABLE]],Listas!$D$3:$K$7,5,FALSE))*V.sual_Data[[#This Row],[TIEMPO (HORAS)]],0)</f>
        <v>4221.5467747382636</v>
      </c>
      <c r="Q143" s="11">
        <f>IFERROR(+VLOOKUP(L143,V.sual_Lista_Data[[EQUIPO VISUAL]:[SOFTWARE 
VALOR HORA]],8,FALSE)*V.sual_Data[[#This Row],[TIEMPO (HORAS)]],"0")</f>
        <v>3410.8548871439834</v>
      </c>
      <c r="R143" s="43"/>
      <c r="S143" s="43"/>
      <c r="T143" s="3">
        <f t="shared" si="28"/>
        <v>25362.898115782955</v>
      </c>
      <c r="U143" s="15">
        <f>V.sual_Data[[#This Row],[TIEMPO (HORAS)]]*Gastos_Operativos[[#Totals],[GASTOS HORA]]</f>
        <v>27789.477072310401</v>
      </c>
      <c r="V143" s="3">
        <f>V.sual_Data[[#This Row],[COSTO 
DIRECTO ($COP)]]+V.sual_Data[[#This Row],[PRORRATEO GASTOS ($COP)]]</f>
        <v>53152.375188093356</v>
      </c>
      <c r="W143" s="44">
        <v>0.05</v>
      </c>
      <c r="X143" s="15">
        <f>V.sual_Data[[#This Row],[COSTOS OPERACIONALES ($COP)]]*V.sual_Data[[#This Row],[DESFASE (%)]]</f>
        <v>2657.6187594046678</v>
      </c>
      <c r="Y143" s="44">
        <v>0.6</v>
      </c>
      <c r="Z143" s="15">
        <f>+((V.sual_Data[[#This Row],[COSTOS OPERACIONALES ($COP)]]/(100%-V.sual_Data[[#This Row],[UTILIDAD (%)]])))-V.sual_Data[[#This Row],[COSTOS OPERACIONALES ($COP)]]</f>
        <v>79728.562782140027</v>
      </c>
      <c r="AA143" s="3">
        <f>+V.sual_Data[[#This Row],[COSTOS OPERACIONALES ($COP)]]+V.sual_Data[[#This Row],[DESFASE ($COP)]]+V.sual_Data[[#This Row],[UTILIDAD ($COP)]]</f>
        <v>135538.55672963805</v>
      </c>
      <c r="AB143" s="44">
        <v>0.05</v>
      </c>
      <c r="AC143" s="15">
        <f>+((V.sual_Data[[#This Row],[VALOR NETO ($COP)]]/(100%-V.sual_Data[[#This Row],[MÁRGEN DE NEGOCIACIÓN (%)]])))-V.sual_Data[[#This Row],[VALOR NETO ($COP)]]</f>
        <v>7133.608248928329</v>
      </c>
      <c r="AD143" s="15">
        <f>+(V.sual_Data[[#This Row],[VALOR NETO ($COP)]]+V.sual_Data[[#This Row],[NEGOCIACIÓN ($COP)]])*1%</f>
        <v>1426.7216497856639</v>
      </c>
      <c r="AE143" s="15">
        <f>+(V.sual_Data[[#This Row],[VALOR NETO ($COP)]]+V.sual_Data[[#This Row],[NEGOCIACIÓN ($COP)]])*1%</f>
        <v>1426.7216497856639</v>
      </c>
      <c r="AF143" s="3">
        <f>+V.sual_Data[[#This Row],[VALOR NETO ($COP)]]+V.sual_Data[[#This Row],[4 * 1000 ($COP)]]+V.sual_Data[[#This Row],[ICA ($COP)]]+V.sual_Data[[#This Row],[NEGOCIACIÓN ($COP)]]</f>
        <v>145525.60827813772</v>
      </c>
    </row>
    <row r="144" spans="1:36" hidden="1" x14ac:dyDescent="0.25">
      <c r="B144" s="37" t="s">
        <v>357</v>
      </c>
      <c r="C144" s="38" t="s">
        <v>302</v>
      </c>
      <c r="D144" s="38" t="s">
        <v>190</v>
      </c>
      <c r="E144" s="38" t="s">
        <v>364</v>
      </c>
      <c r="F144" s="38" t="s">
        <v>359</v>
      </c>
      <c r="G144" s="40" t="s">
        <v>360</v>
      </c>
      <c r="H144" s="46">
        <v>1</v>
      </c>
      <c r="I144" s="39" t="s">
        <v>370</v>
      </c>
      <c r="J144" s="86">
        <v>5</v>
      </c>
      <c r="K144" s="45" t="s">
        <v>349</v>
      </c>
      <c r="L144" s="40" t="s">
        <v>116</v>
      </c>
      <c r="M144" s="41"/>
      <c r="N144" s="207">
        <f>IFERROR(VLOOKUP(V.sual_Data[[#This Row],[RESPONSABLE]],Listas!$D$3:$F$7,3,FALSE),0)</f>
        <v>17730.496453900709</v>
      </c>
      <c r="O144" s="34">
        <f t="shared" si="24"/>
        <v>0</v>
      </c>
      <c r="P144" s="42">
        <f>IFERROR((VLOOKUP(V.sual_Data[[#This Row],[RESPONSABLE]],Listas!$D$3:$K$7,5,FALSE))*V.sual_Data[[#This Row],[TIEMPO (HORAS)]],0)</f>
        <v>0</v>
      </c>
      <c r="Q144" s="11">
        <v>436000</v>
      </c>
      <c r="R144" s="43"/>
      <c r="S144" s="43"/>
      <c r="T144" s="3">
        <f t="shared" si="28"/>
        <v>436000</v>
      </c>
      <c r="U144" s="15">
        <f>V.sual_Data[[#This Row],[TIEMPO (HORAS)]]*Gastos_Operativos[[#Totals],[GASTOS HORA]]</f>
        <v>0</v>
      </c>
      <c r="V144" s="3">
        <f>V.sual_Data[[#This Row],[COSTO 
DIRECTO ($COP)]]+V.sual_Data[[#This Row],[PRORRATEO GASTOS ($COP)]]</f>
        <v>436000</v>
      </c>
      <c r="W144" s="44">
        <v>0.05</v>
      </c>
      <c r="X144" s="15">
        <f>V.sual_Data[[#This Row],[COSTOS OPERACIONALES ($COP)]]*V.sual_Data[[#This Row],[DESFASE (%)]]</f>
        <v>21800</v>
      </c>
      <c r="Y144" s="44">
        <v>0.6</v>
      </c>
      <c r="Z144" s="15">
        <f>+((V.sual_Data[[#This Row],[COSTOS OPERACIONALES ($COP)]]/(100%-V.sual_Data[[#This Row],[UTILIDAD (%)]])))-V.sual_Data[[#This Row],[COSTOS OPERACIONALES ($COP)]]</f>
        <v>654000</v>
      </c>
      <c r="AA144" s="3">
        <f>+V.sual_Data[[#This Row],[COSTOS OPERACIONALES ($COP)]]+V.sual_Data[[#This Row],[DESFASE ($COP)]]+V.sual_Data[[#This Row],[UTILIDAD ($COP)]]</f>
        <v>1111800</v>
      </c>
      <c r="AB144" s="44"/>
      <c r="AC144" s="15">
        <f>+((V.sual_Data[[#This Row],[VALOR NETO ($COP)]]/(100%-V.sual_Data[[#This Row],[MÁRGEN DE NEGOCIACIÓN (%)]])))-V.sual_Data[[#This Row],[VALOR NETO ($COP)]]</f>
        <v>0</v>
      </c>
      <c r="AD144" s="15">
        <f>+(V.sual_Data[[#This Row],[VALOR NETO ($COP)]]+V.sual_Data[[#This Row],[NEGOCIACIÓN ($COP)]])*1%</f>
        <v>11118</v>
      </c>
      <c r="AE144" s="15">
        <f>+(V.sual_Data[[#This Row],[VALOR NETO ($COP)]]+V.sual_Data[[#This Row],[NEGOCIACIÓN ($COP)]])*1%</f>
        <v>11118</v>
      </c>
      <c r="AF144" s="3">
        <f>+V.sual_Data[[#This Row],[VALOR NETO ($COP)]]+V.sual_Data[[#This Row],[4 * 1000 ($COP)]]+V.sual_Data[[#This Row],[ICA ($COP)]]+V.sual_Data[[#This Row],[NEGOCIACIÓN ($COP)]]</f>
        <v>1134036</v>
      </c>
    </row>
    <row r="145" spans="2:32" hidden="1" x14ac:dyDescent="0.25">
      <c r="B145" s="37" t="s">
        <v>357</v>
      </c>
      <c r="C145" s="38" t="s">
        <v>302</v>
      </c>
      <c r="D145" s="38" t="s">
        <v>190</v>
      </c>
      <c r="E145" s="38" t="s">
        <v>364</v>
      </c>
      <c r="F145" s="38" t="s">
        <v>359</v>
      </c>
      <c r="G145" s="40" t="s">
        <v>360</v>
      </c>
      <c r="H145" s="46">
        <v>1</v>
      </c>
      <c r="I145" s="39" t="s">
        <v>370</v>
      </c>
      <c r="J145" s="86">
        <v>6</v>
      </c>
      <c r="K145" s="45" t="s">
        <v>371</v>
      </c>
      <c r="L145" s="40" t="s">
        <v>116</v>
      </c>
      <c r="M145" s="41">
        <v>0.5</v>
      </c>
      <c r="N145" s="207">
        <f>IFERROR(VLOOKUP(V.sual_Data[[#This Row],[RESPONSABLE]],Listas!$D$3:$F$7,3,FALSE),0)</f>
        <v>17730.496453900709</v>
      </c>
      <c r="O145" s="34">
        <f t="shared" si="24"/>
        <v>8865.2482269503544</v>
      </c>
      <c r="P145" s="42">
        <f>IFERROR((VLOOKUP(V.sual_Data[[#This Row],[RESPONSABLE]],Listas!$D$3:$K$7,5,FALSE))*V.sual_Data[[#This Row],[TIEMPO (HORAS)]],0)</f>
        <v>2110.7733873691318</v>
      </c>
      <c r="R145" s="43"/>
      <c r="S145" s="43"/>
      <c r="T145" s="3">
        <f t="shared" si="28"/>
        <v>10976.021614319487</v>
      </c>
      <c r="U145" s="15">
        <f>V.sual_Data[[#This Row],[TIEMPO (HORAS)]]*Gastos_Operativos[[#Totals],[GASTOS HORA]]</f>
        <v>13894.738536155201</v>
      </c>
      <c r="V145" s="3">
        <f>V.sual_Data[[#This Row],[COSTO 
DIRECTO ($COP)]]+V.sual_Data[[#This Row],[PRORRATEO GASTOS ($COP)]]</f>
        <v>24870.760150474685</v>
      </c>
      <c r="W145" s="44">
        <v>0.05</v>
      </c>
      <c r="X145" s="15">
        <f>V.sual_Data[[#This Row],[COSTOS OPERACIONALES ($COP)]]*V.sual_Data[[#This Row],[DESFASE (%)]]</f>
        <v>1243.5380075237344</v>
      </c>
      <c r="Y145" s="44">
        <v>0.6</v>
      </c>
      <c r="Z145" s="15">
        <f>+((V.sual_Data[[#This Row],[COSTOS OPERACIONALES ($COP)]]/(100%-V.sual_Data[[#This Row],[UTILIDAD (%)]])))-V.sual_Data[[#This Row],[COSTOS OPERACIONALES ($COP)]]</f>
        <v>37306.140225712028</v>
      </c>
      <c r="AA145" s="3">
        <f>+V.sual_Data[[#This Row],[COSTOS OPERACIONALES ($COP)]]+V.sual_Data[[#This Row],[DESFASE ($COP)]]+V.sual_Data[[#This Row],[UTILIDAD ($COP)]]</f>
        <v>63420.438383710447</v>
      </c>
      <c r="AB145" s="44"/>
      <c r="AC145" s="15">
        <f>+((V.sual_Data[[#This Row],[VALOR NETO ($COP)]]/(100%-V.sual_Data[[#This Row],[MÁRGEN DE NEGOCIACIÓN (%)]])))-V.sual_Data[[#This Row],[VALOR NETO ($COP)]]</f>
        <v>0</v>
      </c>
      <c r="AD145" s="15">
        <f>+(V.sual_Data[[#This Row],[VALOR NETO ($COP)]]+V.sual_Data[[#This Row],[NEGOCIACIÓN ($COP)]])*1%</f>
        <v>634.2043838371045</v>
      </c>
      <c r="AE145" s="15">
        <f>+(V.sual_Data[[#This Row],[VALOR NETO ($COP)]]+V.sual_Data[[#This Row],[NEGOCIACIÓN ($COP)]])*1%</f>
        <v>634.2043838371045</v>
      </c>
      <c r="AF145" s="3">
        <f>+V.sual_Data[[#This Row],[VALOR NETO ($COP)]]+V.sual_Data[[#This Row],[4 * 1000 ($COP)]]+V.sual_Data[[#This Row],[ICA ($COP)]]+V.sual_Data[[#This Row],[NEGOCIACIÓN ($COP)]]</f>
        <v>64688.847151384653</v>
      </c>
    </row>
    <row r="146" spans="2:32" x14ac:dyDescent="0.25">
      <c r="B146" s="248"/>
      <c r="C146" s="38"/>
      <c r="D146" s="38"/>
      <c r="E146" s="38"/>
      <c r="F146" s="38"/>
      <c r="G146" s="40"/>
      <c r="H146" s="46"/>
      <c r="I146" s="39"/>
      <c r="J146" s="86"/>
      <c r="K146" s="45"/>
      <c r="L146" s="40"/>
      <c r="M146" s="41">
        <f>SUBTOTAL(109,M4:M145)</f>
        <v>13.5</v>
      </c>
      <c r="N146" s="250"/>
      <c r="O146" s="251"/>
      <c r="P146" s="42"/>
      <c r="R146" s="43"/>
      <c r="S146" s="43"/>
      <c r="T146" s="249"/>
      <c r="U146" s="15"/>
      <c r="V146" s="249"/>
      <c r="W146" s="44">
        <f>SUBTOTAL(101,W4:W145)</f>
        <v>0.2</v>
      </c>
      <c r="X146" s="15"/>
      <c r="Y146" s="44">
        <f>SUBTOTAL(101,Y4:Y145)</f>
        <v>0.6</v>
      </c>
      <c r="Z146" s="15"/>
      <c r="AA146" s="249"/>
      <c r="AB146" s="44"/>
      <c r="AC146" s="15"/>
      <c r="AD146" s="15"/>
      <c r="AE146" s="15"/>
      <c r="AF146" s="249">
        <f>SUBTOTAL(109,AF4:AF145)</f>
        <v>3148100.6549091749</v>
      </c>
    </row>
    <row r="147" spans="2:32" x14ac:dyDescent="0.25">
      <c r="B147" s="37"/>
      <c r="C147" s="38"/>
      <c r="D147" s="38"/>
      <c r="E147" s="38"/>
      <c r="F147" s="38"/>
      <c r="G147" s="40"/>
      <c r="H147" s="46"/>
      <c r="I147" s="39"/>
      <c r="J147" s="86"/>
      <c r="K147" s="45"/>
      <c r="L147" s="40"/>
      <c r="M147" s="41"/>
      <c r="N147" s="207"/>
      <c r="O147" s="208"/>
      <c r="P147" s="42"/>
      <c r="R147" s="43"/>
      <c r="S147" s="43"/>
      <c r="T147" s="3"/>
      <c r="U147" s="15"/>
      <c r="V147" s="3"/>
      <c r="W147" s="44"/>
      <c r="X147" s="15"/>
      <c r="Y147" s="44"/>
      <c r="Z147" s="15"/>
      <c r="AA147" s="3"/>
      <c r="AB147" s="44"/>
      <c r="AC147" s="15"/>
      <c r="AD147" s="15"/>
      <c r="AE147" s="15"/>
      <c r="AF147" s="3"/>
    </row>
    <row r="148" spans="2:32" x14ac:dyDescent="0.25">
      <c r="B148" s="37"/>
      <c r="C148" s="38"/>
      <c r="D148" s="38"/>
      <c r="E148" s="38"/>
      <c r="F148" s="38"/>
      <c r="G148" s="40"/>
      <c r="H148" s="46"/>
      <c r="I148" s="39"/>
      <c r="J148" s="86"/>
      <c r="K148" s="45"/>
      <c r="L148" s="40"/>
      <c r="M148" s="41"/>
      <c r="N148" s="207"/>
      <c r="O148" s="208"/>
      <c r="P148" s="42"/>
      <c r="R148" s="43"/>
      <c r="S148" s="43"/>
      <c r="T148" s="3"/>
      <c r="U148" s="15"/>
      <c r="V148" s="3"/>
      <c r="W148" s="44"/>
      <c r="X148" s="15"/>
      <c r="Y148" s="44"/>
      <c r="Z148" s="15"/>
      <c r="AA148" s="3"/>
      <c r="AB148" s="44"/>
      <c r="AC148" s="15"/>
      <c r="AD148" s="15"/>
      <c r="AE148" s="15"/>
      <c r="AF148" s="3"/>
    </row>
  </sheetData>
  <sheetProtection insertRows="0" sort="0" autoFilter="0"/>
  <mergeCells count="4">
    <mergeCell ref="C2:I2"/>
    <mergeCell ref="L2:T2"/>
    <mergeCell ref="W2:Z2"/>
    <mergeCell ref="AD2:AE2"/>
  </mergeCells>
  <phoneticPr fontId="5" type="noConversion"/>
  <pageMargins left="0.19685039370078741" right="0.19685039370078741" top="0.82677165354330717" bottom="0.19685039370078741" header="0" footer="0"/>
  <pageSetup scale="10" orientation="landscape" r:id="rId1"/>
  <drawing r:id="rId2"/>
  <tableParts count="1">
    <tablePart r:id="rId3"/>
  </tableParts>
  <extLst>
    <ext xmlns:x14="http://schemas.microsoft.com/office/spreadsheetml/2009/9/main" uri="{CCE6A557-97BC-4b89-ADB6-D9C93CAAB3DF}">
      <x14:dataValidations xmlns:xm="http://schemas.microsoft.com/office/excel/2006/main" disablePrompts="1" count="4">
        <x14:dataValidation type="list" allowBlank="1" showErrorMessage="1" xr:uid="{D1F3E4A1-2DA8-4308-9ACE-6CED749A2EF8}">
          <x14:formula1>
            <xm:f>Listas!$B$3:$B$8</xm:f>
          </x14:formula1>
          <xm:sqref>C147:C148 C4:C145</xm:sqref>
        </x14:dataValidation>
        <x14:dataValidation type="list" allowBlank="1" showInputMessage="1" showErrorMessage="1" xr:uid="{5A5DB9D5-3AB5-47A7-B45F-5F459731133F}">
          <x14:formula1>
            <xm:f>Listas!$D$3:$D$7</xm:f>
          </x14:formula1>
          <xm:sqref>L147:L148 L4:L145</xm:sqref>
        </x14:dataValidation>
        <x14:dataValidation type="list" allowBlank="1" showErrorMessage="1" xr:uid="{00000000-0002-0000-0200-000002000000}">
          <x14:formula1>
            <xm:f>Listas!$C$3:$C$8</xm:f>
          </x14:formula1>
          <xm:sqref>D147:D148 D4:D145</xm:sqref>
        </x14:dataValidation>
        <x14:dataValidation type="list" allowBlank="1" showInputMessage="1" showErrorMessage="1" xr:uid="{AD22C1B6-D674-435E-9300-E548E08B562F}">
          <x14:formula1>
            <xm:f>Servicios!$F$3:$F$90</xm:f>
          </x14:formula1>
          <xm:sqref>B147:B148 B4:B145</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46449-CA49-4500-9786-E872E17CD415}">
  <dimension ref="A1:H9"/>
  <sheetViews>
    <sheetView workbookViewId="0">
      <selection activeCell="K7" sqref="K7"/>
    </sheetView>
  </sheetViews>
  <sheetFormatPr baseColWidth="10" defaultColWidth="8.88671875" defaultRowHeight="15" x14ac:dyDescent="0.25"/>
  <cols>
    <col min="1" max="1" width="18.88671875" bestFit="1" customWidth="1"/>
    <col min="2" max="2" width="10.88671875" bestFit="1" customWidth="1"/>
    <col min="3" max="3" width="23.6640625" bestFit="1" customWidth="1"/>
    <col min="4" max="4" width="21.33203125" bestFit="1" customWidth="1"/>
    <col min="5" max="5" width="17.88671875" bestFit="1" customWidth="1"/>
    <col min="6" max="6" width="27.21875" bestFit="1" customWidth="1"/>
    <col min="7" max="7" width="29.88671875" bestFit="1" customWidth="1"/>
    <col min="8" max="8" width="29.21875" bestFit="1" customWidth="1"/>
  </cols>
  <sheetData>
    <row r="1" spans="1:8" x14ac:dyDescent="0.25">
      <c r="A1" s="272" t="s">
        <v>372</v>
      </c>
    </row>
    <row r="3" spans="1:8" x14ac:dyDescent="0.25">
      <c r="A3" t="s">
        <v>373</v>
      </c>
      <c r="B3" t="s">
        <v>374</v>
      </c>
      <c r="C3" t="s">
        <v>375</v>
      </c>
      <c r="D3" t="s">
        <v>376</v>
      </c>
      <c r="E3" t="s">
        <v>377</v>
      </c>
      <c r="F3" t="s">
        <v>378</v>
      </c>
      <c r="G3" t="s">
        <v>379</v>
      </c>
      <c r="H3" t="s">
        <v>380</v>
      </c>
    </row>
    <row r="4" spans="1:8" x14ac:dyDescent="0.25">
      <c r="A4" t="s">
        <v>381</v>
      </c>
      <c r="B4" t="s">
        <v>382</v>
      </c>
      <c r="C4">
        <v>50</v>
      </c>
      <c r="D4">
        <v>5.5555555555555554</v>
      </c>
      <c r="E4" s="267">
        <v>46042</v>
      </c>
      <c r="F4" s="267">
        <v>46049</v>
      </c>
      <c r="G4">
        <v>4</v>
      </c>
      <c r="H4">
        <v>5</v>
      </c>
    </row>
    <row r="5" spans="1:8" hidden="1" x14ac:dyDescent="0.25">
      <c r="A5" t="s">
        <v>381</v>
      </c>
      <c r="B5" t="s">
        <v>383</v>
      </c>
      <c r="C5">
        <v>0.2</v>
      </c>
      <c r="D5">
        <v>2.2222222222222199E-2</v>
      </c>
      <c r="E5" s="267">
        <v>46031</v>
      </c>
      <c r="F5" s="267">
        <v>46031</v>
      </c>
      <c r="G5">
        <v>2</v>
      </c>
      <c r="H5">
        <v>2</v>
      </c>
    </row>
    <row r="6" spans="1:8" hidden="1" x14ac:dyDescent="0.25">
      <c r="A6" t="s">
        <v>381</v>
      </c>
      <c r="B6" t="s">
        <v>383</v>
      </c>
      <c r="C6">
        <v>4</v>
      </c>
      <c r="D6">
        <v>0.44444444444444442</v>
      </c>
      <c r="E6" s="267">
        <v>46032</v>
      </c>
      <c r="F6" s="267">
        <v>46032</v>
      </c>
      <c r="G6">
        <v>2</v>
      </c>
      <c r="H6">
        <v>2</v>
      </c>
    </row>
    <row r="7" spans="1:8" hidden="1" x14ac:dyDescent="0.25">
      <c r="A7" t="s">
        <v>381</v>
      </c>
      <c r="B7" t="s">
        <v>383</v>
      </c>
      <c r="C7">
        <v>0.5</v>
      </c>
      <c r="D7">
        <v>5.5555555555555552E-2</v>
      </c>
      <c r="E7" s="267">
        <v>46033</v>
      </c>
      <c r="F7" s="267">
        <v>46033</v>
      </c>
      <c r="G7">
        <v>2</v>
      </c>
      <c r="H7">
        <v>2</v>
      </c>
    </row>
    <row r="8" spans="1:8" hidden="1" x14ac:dyDescent="0.25">
      <c r="A8" t="s">
        <v>384</v>
      </c>
      <c r="B8" t="s">
        <v>383</v>
      </c>
      <c r="C8">
        <v>1</v>
      </c>
      <c r="D8">
        <v>0.1111111111111111</v>
      </c>
      <c r="E8" s="267">
        <v>46034</v>
      </c>
      <c r="F8" s="267">
        <v>46034</v>
      </c>
      <c r="G8">
        <v>3</v>
      </c>
      <c r="H8">
        <v>3</v>
      </c>
    </row>
    <row r="9" spans="1:8" hidden="1" x14ac:dyDescent="0.25">
      <c r="A9" t="e">
        <v>#N/A</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0D21A-93F8-400C-9699-5BC05D7AF6CE}">
  <sheetPr>
    <tabColor theme="1"/>
  </sheetPr>
  <dimension ref="A1:S72"/>
  <sheetViews>
    <sheetView topLeftCell="B1" zoomScale="70" zoomScaleNormal="70" workbookViewId="0">
      <selection activeCell="Q12" sqref="Q12"/>
    </sheetView>
  </sheetViews>
  <sheetFormatPr baseColWidth="10" defaultColWidth="11" defaultRowHeight="15" x14ac:dyDescent="0.25"/>
  <cols>
    <col min="1" max="1" width="34" hidden="1" customWidth="1"/>
    <col min="2" max="2" width="41.109375" bestFit="1" customWidth="1"/>
    <col min="3" max="3" width="37.44140625" hidden="1" customWidth="1"/>
    <col min="4" max="4" width="121.88671875" bestFit="1" customWidth="1"/>
    <col min="5" max="5" width="12.6640625" bestFit="1" customWidth="1"/>
    <col min="6" max="6" width="15.44140625" bestFit="1" customWidth="1"/>
    <col min="9" max="9" width="24.44140625" bestFit="1" customWidth="1"/>
    <col min="10" max="10" width="18.44140625" bestFit="1" customWidth="1"/>
    <col min="11" max="11" width="13.44140625" customWidth="1"/>
    <col min="12" max="13" width="9.21875" customWidth="1"/>
    <col min="14" max="14" width="10.44140625" bestFit="1" customWidth="1"/>
    <col min="19" max="19" width="12" bestFit="1" customWidth="1"/>
  </cols>
  <sheetData>
    <row r="1" spans="1:19" x14ac:dyDescent="0.25">
      <c r="A1" s="263" t="s">
        <v>77</v>
      </c>
      <c r="B1" t="s">
        <v>385</v>
      </c>
    </row>
    <row r="3" spans="1:19" s="26" customFormat="1" ht="60" x14ac:dyDescent="0.25">
      <c r="A3" s="263" t="s">
        <v>386</v>
      </c>
      <c r="B3" s="263" t="s">
        <v>81</v>
      </c>
      <c r="C3" s="263" t="s">
        <v>84</v>
      </c>
      <c r="D3" s="263" t="s">
        <v>86</v>
      </c>
      <c r="E3" s="266" t="s">
        <v>387</v>
      </c>
      <c r="F3" s="264" t="s">
        <v>373</v>
      </c>
      <c r="G3" s="264" t="s">
        <v>374</v>
      </c>
      <c r="H3" s="264" t="s">
        <v>375</v>
      </c>
      <c r="I3" s="264" t="s">
        <v>376</v>
      </c>
      <c r="J3" s="268" t="s">
        <v>377</v>
      </c>
      <c r="K3" s="264" t="s">
        <v>378</v>
      </c>
      <c r="L3" s="264" t="s">
        <v>379</v>
      </c>
      <c r="M3" s="264" t="s">
        <v>380</v>
      </c>
      <c r="P3" s="264" t="s">
        <v>374</v>
      </c>
      <c r="Q3" s="264" t="s">
        <v>388</v>
      </c>
      <c r="R3" s="264" t="s">
        <v>376</v>
      </c>
      <c r="S3" s="264" t="s">
        <v>389</v>
      </c>
    </row>
    <row r="4" spans="1:19" x14ac:dyDescent="0.25">
      <c r="A4" s="262" t="s">
        <v>390</v>
      </c>
      <c r="B4" s="262" t="s">
        <v>391</v>
      </c>
      <c r="C4" s="262" t="s">
        <v>392</v>
      </c>
      <c r="D4" s="262" t="s">
        <v>393</v>
      </c>
      <c r="E4">
        <v>0.5</v>
      </c>
      <c r="F4" s="262" t="str">
        <f>VLOOKUP(D4,D.sign_Data[[ACCIONES CLAVES]:[SUBTOTAL 
HONORARIOS ($COP)]],2,)</f>
        <v>LA | Leader Architect</v>
      </c>
      <c r="J4" s="267"/>
    </row>
    <row r="5" spans="1:19" ht="24.75" customHeight="1" x14ac:dyDescent="0.25">
      <c r="D5" s="262" t="s">
        <v>394</v>
      </c>
      <c r="E5">
        <v>0.2</v>
      </c>
      <c r="F5" s="262" t="str">
        <f>VLOOKUP(D5,D.sign_Data[[ACCIONES CLAVES]:[SUBTOTAL 
HONORARIOS ($COP)]],2,)</f>
        <v>DM | Design Manager</v>
      </c>
      <c r="G5" s="270" t="s">
        <v>382</v>
      </c>
      <c r="H5" s="262">
        <f>GETPIVOTDATA("TIEMPO (HORAS)",$A$3,"NOMBRE DE SERVICIO","Diagnóstico del proyecto  y preliminares","ENTREGABLE","Diagnóstico Inicial del proyecto ","ACTIVIDADES CLAVES","Recolección de insumos preliminares","ACCIONES CLAVES","Correcto almacenamiento de la información preliminar: Levantamiento topográfico, levantamiento arquitectónico, concepto de norma; entre otros.")</f>
        <v>50</v>
      </c>
      <c r="I5" s="265">
        <f>H5/(44/5)</f>
        <v>5.6818181818181817</v>
      </c>
      <c r="J5" s="269">
        <v>46041</v>
      </c>
      <c r="K5" s="267">
        <f>WORKDAY(J5,I5)</f>
        <v>46048</v>
      </c>
      <c r="L5" s="26">
        <f>_xlfn.ISOWEEKNUM(J5)</f>
        <v>4</v>
      </c>
      <c r="M5" s="26">
        <f>_xlfn.ISOWEEKNUM(K5)</f>
        <v>5</v>
      </c>
      <c r="P5" s="262" t="s">
        <v>382</v>
      </c>
      <c r="Q5" s="265">
        <f>SUMIF($G$5:$G$9,P5,$E$5:$E$9)</f>
        <v>0.2</v>
      </c>
      <c r="R5" s="265">
        <f>Q5/9</f>
        <v>2.2222222222222223E-2</v>
      </c>
      <c r="S5" s="271">
        <f>(44*52-Q5)/(44*52)</f>
        <v>0.99991258741258748</v>
      </c>
    </row>
    <row r="6" spans="1:19" ht="24.75" customHeight="1" x14ac:dyDescent="0.25">
      <c r="D6" s="262" t="s">
        <v>395</v>
      </c>
      <c r="E6">
        <v>0.2</v>
      </c>
      <c r="F6" s="262" t="str">
        <f>VLOOKUP(D6,D.sign_Data[[ACCIONES CLAVES]:[SUBTOTAL 
HONORARIOS ($COP)]],2,)</f>
        <v>DM | Design Manager</v>
      </c>
      <c r="G6" s="270" t="s">
        <v>383</v>
      </c>
      <c r="H6" s="262">
        <v>0.2</v>
      </c>
      <c r="I6" s="265">
        <f t="shared" ref="I6:I9" si="0">H6/(44/5)</f>
        <v>2.2727272727272728E-2</v>
      </c>
      <c r="J6" s="269">
        <v>46031</v>
      </c>
      <c r="K6" s="267">
        <f t="shared" ref="K6:K9" si="1">WORKDAY(J6,I6)</f>
        <v>46031</v>
      </c>
      <c r="L6" s="26">
        <f t="shared" ref="L6:L9" si="2">_xlfn.ISOWEEKNUM(J6)</f>
        <v>2</v>
      </c>
      <c r="M6" s="26">
        <f t="shared" ref="M6:M9" si="3">_xlfn.ISOWEEKNUM(K6)</f>
        <v>2</v>
      </c>
      <c r="P6" s="262" t="s">
        <v>383</v>
      </c>
      <c r="Q6" s="265">
        <f>SUMIF($G$5:$G$9,P6,$E$5:$E$9)</f>
        <v>0.5</v>
      </c>
      <c r="R6" s="265">
        <f>Q6/9</f>
        <v>5.5555555555555552E-2</v>
      </c>
    </row>
    <row r="7" spans="1:19" ht="24.75" customHeight="1" x14ac:dyDescent="0.25">
      <c r="D7" s="262" t="s">
        <v>396</v>
      </c>
      <c r="E7">
        <v>0.1</v>
      </c>
      <c r="F7" s="262" t="str">
        <f>VLOOKUP(D7,D.sign_Data[[ACCIONES CLAVES]:[SUBTOTAL 
HONORARIOS ($COP)]],2,)</f>
        <v>DM | Design Manager</v>
      </c>
      <c r="G7" s="270" t="s">
        <v>383</v>
      </c>
      <c r="H7" s="262">
        <v>4</v>
      </c>
      <c r="I7" s="265">
        <f t="shared" si="0"/>
        <v>0.45454545454545453</v>
      </c>
      <c r="J7" s="269">
        <v>46032</v>
      </c>
      <c r="K7" s="267">
        <f t="shared" si="1"/>
        <v>46032</v>
      </c>
      <c r="L7" s="26">
        <f t="shared" si="2"/>
        <v>2</v>
      </c>
      <c r="M7" s="26">
        <f t="shared" si="3"/>
        <v>2</v>
      </c>
    </row>
    <row r="8" spans="1:19" ht="24.75" customHeight="1" x14ac:dyDescent="0.25">
      <c r="D8" s="262" t="s">
        <v>397</v>
      </c>
      <c r="E8">
        <v>0.1</v>
      </c>
      <c r="F8" s="262" t="str">
        <f>VLOOKUP(D8,D.sign_Data[[ACCIONES CLAVES]:[SUBTOTAL 
HONORARIOS ($COP)]],2,)</f>
        <v>DM | Design Manager</v>
      </c>
      <c r="G8" s="270" t="s">
        <v>383</v>
      </c>
      <c r="H8" s="262">
        <v>0.5</v>
      </c>
      <c r="I8" s="265">
        <f t="shared" si="0"/>
        <v>5.6818181818181816E-2</v>
      </c>
      <c r="J8" s="269">
        <v>46033</v>
      </c>
      <c r="K8" s="267">
        <f t="shared" si="1"/>
        <v>46033</v>
      </c>
      <c r="L8" s="26">
        <f t="shared" si="2"/>
        <v>2</v>
      </c>
      <c r="M8" s="26">
        <f t="shared" si="3"/>
        <v>2</v>
      </c>
    </row>
    <row r="9" spans="1:19" ht="24.75" customHeight="1" x14ac:dyDescent="0.25">
      <c r="D9" s="262" t="s">
        <v>398</v>
      </c>
      <c r="E9">
        <v>0.1</v>
      </c>
      <c r="F9" s="262" t="str">
        <f>VLOOKUP(D9,D.sign_Data[[ACCIONES CLAVES]:[SUBTOTAL 
HONORARIOS ($COP)]],2,)</f>
        <v>LA | Leader Architect</v>
      </c>
      <c r="G9" s="270" t="s">
        <v>383</v>
      </c>
      <c r="H9" s="262">
        <v>1</v>
      </c>
      <c r="I9" s="265">
        <f t="shared" si="0"/>
        <v>0.11363636363636363</v>
      </c>
      <c r="J9" s="269">
        <v>46034</v>
      </c>
      <c r="K9" s="267">
        <f t="shared" si="1"/>
        <v>46034</v>
      </c>
      <c r="L9" s="26">
        <f t="shared" si="2"/>
        <v>3</v>
      </c>
      <c r="M9" s="26">
        <f t="shared" si="3"/>
        <v>3</v>
      </c>
    </row>
    <row r="10" spans="1:19" x14ac:dyDescent="0.25">
      <c r="D10" s="262" t="s">
        <v>399</v>
      </c>
      <c r="E10">
        <v>0.1</v>
      </c>
      <c r="F10" s="262" t="str">
        <f>VLOOKUP(D10,D.sign_Data[[ACCIONES CLAVES]:[SUBTOTAL 
HONORARIOS ($COP)]],2,)</f>
        <v>LA | Leader Architect</v>
      </c>
    </row>
    <row r="11" spans="1:19" x14ac:dyDescent="0.25">
      <c r="D11" s="262" t="s">
        <v>400</v>
      </c>
      <c r="E11">
        <v>0.1</v>
      </c>
      <c r="F11" s="262" t="str">
        <f>VLOOKUP(D11,D.sign_Data[[ACCIONES CLAVES]:[SUBTOTAL 
HONORARIOS ($COP)]],2,)</f>
        <v>LA | Leader Architect</v>
      </c>
      <c r="I11" s="261" t="s">
        <v>401</v>
      </c>
      <c r="J11" s="261" t="s">
        <v>402</v>
      </c>
    </row>
    <row r="12" spans="1:19" x14ac:dyDescent="0.25">
      <c r="B12" s="262" t="s">
        <v>403</v>
      </c>
      <c r="C12" s="262" t="s">
        <v>404</v>
      </c>
      <c r="D12" s="262" t="s">
        <v>405</v>
      </c>
      <c r="E12" s="265">
        <v>50</v>
      </c>
      <c r="F12" s="262" t="str">
        <f>VLOOKUP(D12,D.sign_Data[[ACCIONES CLAVES]:[SUBTOTAL 
HONORARIOS ($COP)]],2,)</f>
        <v>LA | Leader Architect</v>
      </c>
      <c r="I12" s="261" t="s">
        <v>386</v>
      </c>
      <c r="J12">
        <v>2</v>
      </c>
      <c r="K12">
        <v>3</v>
      </c>
      <c r="L12" t="s">
        <v>406</v>
      </c>
      <c r="M12">
        <v>4</v>
      </c>
      <c r="N12" t="s">
        <v>407</v>
      </c>
    </row>
    <row r="13" spans="1:19" x14ac:dyDescent="0.25">
      <c r="D13" s="262" t="s">
        <v>408</v>
      </c>
      <c r="E13" s="265">
        <v>0.2</v>
      </c>
      <c r="F13" s="262" t="str">
        <f>VLOOKUP(D13,D.sign_Data[[ACCIONES CLAVES]:[SUBTOTAL 
HONORARIOS ($COP)]],2,)</f>
        <v>LA | Leader Architect</v>
      </c>
      <c r="I13" s="262" t="s">
        <v>382</v>
      </c>
      <c r="M13">
        <v>50</v>
      </c>
      <c r="N13">
        <v>50</v>
      </c>
    </row>
    <row r="14" spans="1:19" x14ac:dyDescent="0.25">
      <c r="C14" s="262" t="s">
        <v>409</v>
      </c>
      <c r="D14" s="262" t="s">
        <v>410</v>
      </c>
      <c r="E14" s="265">
        <v>4</v>
      </c>
      <c r="F14" s="262" t="str">
        <f>VLOOKUP(D14,D.sign_Data[[ACCIONES CLAVES]:[SUBTOTAL 
HONORARIOS ($COP)]],2,)</f>
        <v>LA | Leader Architect</v>
      </c>
      <c r="I14" s="262" t="s">
        <v>383</v>
      </c>
      <c r="J14">
        <v>4.7</v>
      </c>
      <c r="K14">
        <v>1</v>
      </c>
      <c r="N14">
        <v>5.7</v>
      </c>
    </row>
    <row r="15" spans="1:19" x14ac:dyDescent="0.25">
      <c r="B15" s="262" t="s">
        <v>411</v>
      </c>
      <c r="C15" s="262" t="s">
        <v>404</v>
      </c>
      <c r="D15" s="262" t="s">
        <v>412</v>
      </c>
      <c r="E15" s="265">
        <v>0.5</v>
      </c>
      <c r="F15" s="262" t="str">
        <f>VLOOKUP(D15,D.sign_Data[[ACCIONES CLAVES]:[SUBTOTAL 
HONORARIOS ($COP)]],2,)</f>
        <v>LA | Leader Architect</v>
      </c>
      <c r="I15" s="262" t="s">
        <v>406</v>
      </c>
    </row>
    <row r="16" spans="1:19" x14ac:dyDescent="0.25">
      <c r="B16" s="262" t="s">
        <v>413</v>
      </c>
      <c r="C16" s="262" t="s">
        <v>392</v>
      </c>
      <c r="D16" s="262" t="s">
        <v>414</v>
      </c>
      <c r="E16" s="265">
        <v>1</v>
      </c>
      <c r="F16" s="262" t="str">
        <f>VLOOKUP(D16,D.sign_Data[[ACCIONES CLAVES]:[SUBTOTAL 
HONORARIOS ($COP)]],2,)</f>
        <v>DM | Design Manager</v>
      </c>
      <c r="I16" s="262" t="s">
        <v>407</v>
      </c>
      <c r="J16">
        <v>4.7</v>
      </c>
      <c r="K16">
        <v>1</v>
      </c>
      <c r="M16">
        <v>50</v>
      </c>
      <c r="N16">
        <v>55.7</v>
      </c>
    </row>
    <row r="17" spans="1:6" x14ac:dyDescent="0.25">
      <c r="A17" s="262" t="s">
        <v>415</v>
      </c>
      <c r="E17">
        <v>57.1</v>
      </c>
      <c r="F17" s="262" t="e">
        <f>VLOOKUP(D17,D.sign_Data[[ACCIONES CLAVES]:[SUBTOTAL 
HONORARIOS ($COP)]],2,)</f>
        <v>#N/A</v>
      </c>
    </row>
    <row r="18" spans="1:6" x14ac:dyDescent="0.25">
      <c r="A18" s="262" t="s">
        <v>407</v>
      </c>
      <c r="E18">
        <v>57.1</v>
      </c>
      <c r="F18" s="262" t="e">
        <f>VLOOKUP(D18,D.sign_Data[[ACCIONES CLAVES]:[SUBTOTAL 
HONORARIOS ($COP)]],2,)</f>
        <v>#N/A</v>
      </c>
    </row>
    <row r="19" spans="1:6" x14ac:dyDescent="0.25">
      <c r="F19" s="262" t="e">
        <f>VLOOKUP(D19,D.sign_Data[[ACCIONES CLAVES]:[SUBTOTAL 
HONORARIOS ($COP)]],2,)</f>
        <v>#N/A</v>
      </c>
    </row>
    <row r="20" spans="1:6" x14ac:dyDescent="0.25">
      <c r="F20" s="262" t="e">
        <f>VLOOKUP(D20,D.sign_Data[[ACCIONES CLAVES]:[SUBTOTAL 
HONORARIOS ($COP)]],2,)</f>
        <v>#N/A</v>
      </c>
    </row>
    <row r="21" spans="1:6" x14ac:dyDescent="0.25">
      <c r="F21" s="262" t="e">
        <f>VLOOKUP(D21,D.sign_Data[[ACCIONES CLAVES]:[SUBTOTAL 
HONORARIOS ($COP)]],2,)</f>
        <v>#N/A</v>
      </c>
    </row>
    <row r="22" spans="1:6" x14ac:dyDescent="0.25">
      <c r="F22" s="262" t="e">
        <f>VLOOKUP(D22,D.sign_Data[[ACCIONES CLAVES]:[SUBTOTAL 
HONORARIOS ($COP)]],2,)</f>
        <v>#N/A</v>
      </c>
    </row>
    <row r="23" spans="1:6" x14ac:dyDescent="0.25">
      <c r="F23" s="262" t="e">
        <f>VLOOKUP(D23,D.sign_Data[[ACCIONES CLAVES]:[SUBTOTAL 
HONORARIOS ($COP)]],2,)</f>
        <v>#N/A</v>
      </c>
    </row>
    <row r="72" ht="24" customHeigh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C77F1-1481-43FC-A0AC-4CD8E93E5750}">
  <sheetPr codeName="Hoja3">
    <tabColor theme="1"/>
    <pageSetUpPr fitToPage="1"/>
  </sheetPr>
  <dimension ref="A1:AG1380"/>
  <sheetViews>
    <sheetView showGridLines="0" topLeftCell="A1204" zoomScale="55" zoomScaleNormal="55" workbookViewId="0">
      <selection activeCell="F851" sqref="F851"/>
    </sheetView>
  </sheetViews>
  <sheetFormatPr baseColWidth="10" defaultColWidth="11.33203125" defaultRowHeight="15.75" x14ac:dyDescent="0.25"/>
  <cols>
    <col min="1" max="1" width="44.109375" style="4" customWidth="1"/>
    <col min="2" max="2" width="12.6640625" style="5" customWidth="1"/>
    <col min="3" max="3" width="24.109375" style="20" bestFit="1" customWidth="1"/>
    <col min="4" max="4" width="23.6640625" style="5" bestFit="1" customWidth="1"/>
    <col min="5" max="5" width="20.6640625" style="5" bestFit="1" customWidth="1"/>
    <col min="6" max="6" width="36" style="2" customWidth="1"/>
    <col min="7" max="7" width="32.33203125" style="16" customWidth="1"/>
    <col min="8" max="8" width="20.33203125" style="5" bestFit="1" customWidth="1"/>
    <col min="9" max="9" width="17.109375" style="2" bestFit="1" customWidth="1"/>
    <col min="10" max="10" width="38.33203125" style="4" bestFit="1" customWidth="1"/>
    <col min="11" max="11" width="37.109375" style="5" customWidth="1"/>
    <col min="12" max="12" width="44.109375" style="5" bestFit="1" customWidth="1"/>
    <col min="13" max="13" width="24" style="11" bestFit="1" customWidth="1"/>
    <col min="14" max="14" width="26.88671875" style="11" bestFit="1" customWidth="1"/>
    <col min="15" max="15" width="26.88671875" style="11" customWidth="1"/>
    <col min="16" max="16" width="36" style="11" customWidth="1"/>
    <col min="17" max="17" width="25.33203125" style="11" bestFit="1" customWidth="1"/>
    <col min="18" max="18" width="22.44140625" style="11" bestFit="1" customWidth="1"/>
    <col min="19" max="19" width="23.109375" style="11" bestFit="1" customWidth="1"/>
    <col min="20" max="20" width="23.109375" style="4" bestFit="1" customWidth="1"/>
    <col min="21" max="21" width="23.6640625" style="4" bestFit="1" customWidth="1"/>
    <col min="22" max="22" width="22.109375" style="4" customWidth="1"/>
    <col min="23" max="23" width="24.109375" style="4" bestFit="1" customWidth="1"/>
    <col min="24" max="24" width="15" style="22" customWidth="1"/>
    <col min="25" max="26" width="17" style="4" customWidth="1"/>
    <col min="27" max="27" width="20.77734375" style="22" customWidth="1"/>
    <col min="28" max="28" width="22.6640625" style="4" bestFit="1" customWidth="1"/>
    <col min="29" max="29" width="18.6640625" style="4" bestFit="1" customWidth="1"/>
    <col min="30" max="30" width="21.88671875" style="4" bestFit="1" customWidth="1"/>
    <col min="31" max="31" width="18.88671875" style="4" bestFit="1" customWidth="1"/>
    <col min="32" max="32" width="19.33203125" style="4" customWidth="1"/>
    <col min="33" max="33" width="22.6640625" style="4" bestFit="1" customWidth="1"/>
    <col min="34" max="16384" width="11.33203125" style="4"/>
  </cols>
  <sheetData>
    <row r="1" spans="1:33" ht="120" customHeight="1" x14ac:dyDescent="0.25"/>
    <row r="2" spans="1:33" ht="104.25" customHeight="1" x14ac:dyDescent="0.25">
      <c r="A2" s="12"/>
      <c r="B2" s="13"/>
      <c r="C2" s="277"/>
      <c r="D2" s="276"/>
      <c r="E2" s="276"/>
      <c r="F2" s="276"/>
      <c r="G2" s="276"/>
      <c r="H2" s="276"/>
      <c r="I2" s="276"/>
      <c r="J2" s="274"/>
      <c r="K2" s="277"/>
      <c r="L2" s="276"/>
      <c r="M2" s="276"/>
      <c r="N2" s="276"/>
      <c r="O2" s="276"/>
      <c r="P2" s="276"/>
      <c r="Q2" s="276"/>
      <c r="R2" s="276"/>
      <c r="S2" s="276"/>
      <c r="T2" s="275"/>
      <c r="U2" s="275"/>
      <c r="V2" s="278"/>
      <c r="W2" s="278"/>
      <c r="X2" s="278"/>
      <c r="Y2" s="276"/>
      <c r="Z2" s="273"/>
      <c r="AA2" s="24"/>
      <c r="AB2" s="273"/>
      <c r="AC2" s="278"/>
      <c r="AD2" s="276"/>
      <c r="AE2" s="275"/>
      <c r="AF2" s="275"/>
      <c r="AG2" s="275"/>
    </row>
    <row r="3" spans="1:33" x14ac:dyDescent="0.25">
      <c r="B3" s="1"/>
      <c r="C3" s="21"/>
      <c r="J3" s="2"/>
      <c r="K3" s="1"/>
      <c r="T3" s="15"/>
      <c r="U3" s="15"/>
      <c r="AC3" s="15"/>
      <c r="AE3" s="15"/>
    </row>
    <row r="4" spans="1:33" s="10" customFormat="1" ht="60" customHeight="1" x14ac:dyDescent="0.25">
      <c r="A4" s="6"/>
      <c r="B4" s="7" t="s">
        <v>416</v>
      </c>
      <c r="C4" s="7" t="s">
        <v>77</v>
      </c>
      <c r="D4" s="187" t="s">
        <v>78</v>
      </c>
      <c r="E4" s="7" t="s">
        <v>79</v>
      </c>
      <c r="F4" s="7" t="s">
        <v>80</v>
      </c>
      <c r="G4" s="7" t="s">
        <v>81</v>
      </c>
      <c r="H4" s="7" t="s">
        <v>82</v>
      </c>
      <c r="I4" s="17" t="s">
        <v>83</v>
      </c>
      <c r="J4" s="8" t="s">
        <v>84</v>
      </c>
      <c r="K4" s="8" t="s">
        <v>85</v>
      </c>
      <c r="L4" s="7" t="s">
        <v>86</v>
      </c>
      <c r="M4" s="7" t="s">
        <v>87</v>
      </c>
      <c r="N4" s="18" t="s">
        <v>88</v>
      </c>
      <c r="O4" s="18" t="s">
        <v>89</v>
      </c>
      <c r="P4" s="9" t="s">
        <v>90</v>
      </c>
      <c r="Q4" s="9" t="s">
        <v>91</v>
      </c>
      <c r="R4" s="9" t="s">
        <v>92</v>
      </c>
      <c r="S4" s="9" t="s">
        <v>93</v>
      </c>
      <c r="T4" s="9" t="s">
        <v>94</v>
      </c>
      <c r="U4" s="9" t="s">
        <v>95</v>
      </c>
      <c r="V4" s="7" t="s">
        <v>96</v>
      </c>
      <c r="W4" s="7" t="s">
        <v>97</v>
      </c>
      <c r="X4" s="7" t="s">
        <v>98</v>
      </c>
      <c r="Y4" s="7" t="s">
        <v>99</v>
      </c>
      <c r="Z4" s="23" t="s">
        <v>100</v>
      </c>
      <c r="AA4" s="7" t="s">
        <v>101</v>
      </c>
      <c r="AB4" s="7" t="s">
        <v>102</v>
      </c>
      <c r="AC4" s="23" t="s">
        <v>417</v>
      </c>
      <c r="AD4" s="7" t="s">
        <v>104</v>
      </c>
      <c r="AE4" s="7" t="s">
        <v>105</v>
      </c>
      <c r="AF4" s="7" t="s">
        <v>106</v>
      </c>
      <c r="AG4" s="7" t="s">
        <v>107</v>
      </c>
    </row>
    <row r="5" spans="1:33" ht="60" hidden="1" customHeight="1" x14ac:dyDescent="0.25">
      <c r="A5" s="14"/>
      <c r="B5" s="87" t="s">
        <v>418</v>
      </c>
      <c r="C5" s="182" t="s">
        <v>419</v>
      </c>
      <c r="D5" s="189" t="str">
        <f>VLOOKUP(D.sign_Data[[#This Row],[CÓDIGO]],Descripciones[[CÓDIGO]:[NOMBRE DE SERVICIO]],3,FALSE)</f>
        <v>D1. Parcelaciones y Condominios</v>
      </c>
      <c r="E5" s="87" t="s">
        <v>420</v>
      </c>
      <c r="F5" s="88" t="s">
        <v>421</v>
      </c>
      <c r="G5" s="88" t="s">
        <v>422</v>
      </c>
      <c r="H5" s="87" t="s">
        <v>423</v>
      </c>
      <c r="I5" s="89">
        <v>1</v>
      </c>
      <c r="J5" s="88" t="s">
        <v>424</v>
      </c>
      <c r="K5" s="102"/>
      <c r="L5" s="88" t="s">
        <v>425</v>
      </c>
      <c r="M5" s="89" t="s">
        <v>381</v>
      </c>
      <c r="N5" s="90">
        <v>0.5</v>
      </c>
      <c r="O5" s="27">
        <f>IFERROR(+VLOOKUP(M5,D.sign_Lista_Data[[RESPONSABLE]:[SOFTWARE 
VALOR HORA]],3,FALSE),"0")</f>
        <v>20263.424518743668</v>
      </c>
      <c r="P5" s="3">
        <f t="shared" ref="P5:P92" si="0">+O5*N5</f>
        <v>10131.712259371834</v>
      </c>
      <c r="Q5" s="11">
        <f>IFERROR(+VLOOKUP(M5,D.sign_Lista_Data[[RESPONSABLE]:[SOFTWARE 
VALOR HORA]],5,FALSE)*D.sign_Data[[#This Row],[TIEMPO (HORAS)]],0)</f>
        <v>2110.7733873691318</v>
      </c>
      <c r="R5" s="42">
        <f>IFERROR(+VLOOKUP(M5,D.sign_Lista_Data[[RESPONSABLE]:[SOFTWARE 
VALOR HORA]],8,FALSE)*D.sign_Data[[#This Row],[TIEMPO (HORAS)]],0)</f>
        <v>1705.4274435719917</v>
      </c>
      <c r="S5" s="99">
        <v>0</v>
      </c>
      <c r="T5" s="99">
        <v>0</v>
      </c>
      <c r="U5" s="3">
        <f t="shared" ref="U5:U92" si="1">SUM(P5:T5)</f>
        <v>13947.913090312959</v>
      </c>
      <c r="V5" s="100">
        <f>D.sign_Data[[#This Row],[TIEMPO (HORAS)]]*Gastos_Operativos[[#Totals],[GASTOS HORA]]</f>
        <v>13894.738536155201</v>
      </c>
      <c r="W5" s="3">
        <f>+D.sign_Data[[#This Row],[COSTO 
DIRECTO ($COP)]]+D.sign_Data[[#This Row],[PRORRATEO GASTOS ($COP)]]</f>
        <v>27842.65162646816</v>
      </c>
      <c r="X5" s="101">
        <v>0.15</v>
      </c>
      <c r="Y5" s="15">
        <f>+D.sign_Data[[#This Row],[COSTOS OPERACIONALES ($COP)]]*D.sign_Data[[#This Row],[DESFASE (%)]]</f>
        <v>4176.3977439702239</v>
      </c>
      <c r="Z5" s="101">
        <v>0.3</v>
      </c>
      <c r="AA5" s="15">
        <f>+((D.sign_Data[[#This Row],[COSTOS OPERACIONALES ($COP)]]/(100%-D.sign_Data[[#This Row],[UTILIDAD (%)]])))-D.sign_Data[[#This Row],[COSTOS OPERACIONALES ($COP)]]</f>
        <v>11932.564982772074</v>
      </c>
      <c r="AB5" s="3">
        <f>+D.sign_Data[[#This Row],[COSTOS OPERACIONALES ($COP)]]+D.sign_Data[[#This Row],[DESFASE ($COP)]]+D.sign_Data[[#This Row],[UTILIDAD ($COP)]]</f>
        <v>43951.614353210462</v>
      </c>
      <c r="AC5" s="101">
        <v>0.05</v>
      </c>
      <c r="AD5" s="15">
        <f>+D.sign_Data[[#This Row],[VALOR NETO ($COP)]]/(100%-D.sign_Data[[#This Row],[MARGEN DE NEGOCIACIÓN (%)]])-D.sign_Data[[#This Row],[VALOR NETO ($COP)]]</f>
        <v>2313.242860695289</v>
      </c>
      <c r="AE5" s="15">
        <f>+(D.sign_Data[[#This Row],[VALOR NETO ($COP)]]+D.sign_Data[[#This Row],[NEGOCIACIÓN ($COP)]])*1%</f>
        <v>462.64857213905753</v>
      </c>
      <c r="AF5" s="15">
        <f>+(D.sign_Data[[#This Row],[VALOR NETO ($COP)]]+D.sign_Data[[#This Row],[NEGOCIACIÓN ($COP)]])*1%</f>
        <v>462.64857213905753</v>
      </c>
      <c r="AG5" s="3">
        <f>+D.sign_Data[[#This Row],[VALOR NETO ($COP)]]+D.sign_Data[[#This Row],[NEGOCIACIÓN ($COP)]]+D.sign_Data[[#This Row],[ICA ($COP)]]+D.sign_Data[[#This Row],[4 * 1000 ($COP)]]</f>
        <v>47190.154358183863</v>
      </c>
    </row>
    <row r="6" spans="1:33" ht="60" hidden="1" customHeight="1" x14ac:dyDescent="0.25">
      <c r="A6" s="14"/>
      <c r="B6" s="87" t="s">
        <v>418</v>
      </c>
      <c r="C6" s="182" t="s">
        <v>419</v>
      </c>
      <c r="D6" s="189" t="str">
        <f>VLOOKUP(D.sign_Data[[#This Row],[CÓDIGO]],Descripciones[[CÓDIGO]:[NOMBRE DE SERVICIO]],3,FALSE)</f>
        <v>D1. Parcelaciones y Condominios</v>
      </c>
      <c r="E6" s="87" t="s">
        <v>420</v>
      </c>
      <c r="F6" s="88" t="s">
        <v>421</v>
      </c>
      <c r="G6" s="88" t="s">
        <v>422</v>
      </c>
      <c r="H6" s="87" t="s">
        <v>423</v>
      </c>
      <c r="I6" s="89">
        <v>1</v>
      </c>
      <c r="J6" s="88" t="s">
        <v>424</v>
      </c>
      <c r="K6" s="102"/>
      <c r="L6" s="88" t="s">
        <v>426</v>
      </c>
      <c r="M6" s="89" t="s">
        <v>381</v>
      </c>
      <c r="N6" s="90">
        <v>0.5</v>
      </c>
      <c r="O6" s="27">
        <f>IFERROR(+VLOOKUP(M6,D.sign_Lista_Data[[RESPONSABLE]:[SOFTWARE 
VALOR HORA]],3,FALSE),"0")</f>
        <v>20263.424518743668</v>
      </c>
      <c r="P6" s="3">
        <f t="shared" si="0"/>
        <v>10131.712259371834</v>
      </c>
      <c r="Q6" s="11">
        <f>IFERROR(+VLOOKUP(M6,D.sign_Lista_Data[[RESPONSABLE]:[SOFTWARE 
VALOR HORA]],5,FALSE)*D.sign_Data[[#This Row],[TIEMPO (HORAS)]],0)</f>
        <v>2110.7733873691318</v>
      </c>
      <c r="R6" s="42">
        <f>IFERROR(+VLOOKUP(M6,D.sign_Lista_Data[[RESPONSABLE]:[SOFTWARE 
VALOR HORA]],8,FALSE)*D.sign_Data[[#This Row],[TIEMPO (HORAS)]],0)</f>
        <v>1705.4274435719917</v>
      </c>
      <c r="S6" s="99">
        <v>0</v>
      </c>
      <c r="T6" s="99">
        <v>0</v>
      </c>
      <c r="U6" s="3">
        <f t="shared" si="1"/>
        <v>13947.913090312959</v>
      </c>
      <c r="V6" s="100">
        <f>D.sign_Data[[#This Row],[TIEMPO (HORAS)]]*Gastos_Operativos[[#Totals],[GASTOS HORA]]</f>
        <v>13894.738536155201</v>
      </c>
      <c r="W6" s="3">
        <f>+D.sign_Data[[#This Row],[COSTO 
DIRECTO ($COP)]]+D.sign_Data[[#This Row],[PRORRATEO GASTOS ($COP)]]</f>
        <v>27842.65162646816</v>
      </c>
      <c r="X6" s="101">
        <v>0.15</v>
      </c>
      <c r="Y6" s="15">
        <f>+D.sign_Data[[#This Row],[COSTOS OPERACIONALES ($COP)]]*D.sign_Data[[#This Row],[DESFASE (%)]]</f>
        <v>4176.3977439702239</v>
      </c>
      <c r="Z6" s="101">
        <v>0.3</v>
      </c>
      <c r="AA6" s="15">
        <f>+((D.sign_Data[[#This Row],[COSTOS OPERACIONALES ($COP)]]/(100%-D.sign_Data[[#This Row],[UTILIDAD (%)]])))-D.sign_Data[[#This Row],[COSTOS OPERACIONALES ($COP)]]</f>
        <v>11932.564982772074</v>
      </c>
      <c r="AB6" s="3">
        <f>+D.sign_Data[[#This Row],[COSTOS OPERACIONALES ($COP)]]+D.sign_Data[[#This Row],[DESFASE ($COP)]]+D.sign_Data[[#This Row],[UTILIDAD ($COP)]]</f>
        <v>43951.614353210462</v>
      </c>
      <c r="AC6" s="101">
        <v>0.05</v>
      </c>
      <c r="AD6" s="15">
        <f>+D.sign_Data[[#This Row],[VALOR NETO ($COP)]]/(100%-D.sign_Data[[#This Row],[MARGEN DE NEGOCIACIÓN (%)]])-D.sign_Data[[#This Row],[VALOR NETO ($COP)]]</f>
        <v>2313.242860695289</v>
      </c>
      <c r="AE6" s="15">
        <f>+(D.sign_Data[[#This Row],[VALOR NETO ($COP)]]+D.sign_Data[[#This Row],[NEGOCIACIÓN ($COP)]])*1%</f>
        <v>462.64857213905753</v>
      </c>
      <c r="AF6" s="15">
        <f>+(D.sign_Data[[#This Row],[VALOR NETO ($COP)]]+D.sign_Data[[#This Row],[NEGOCIACIÓN ($COP)]])*1%</f>
        <v>462.64857213905753</v>
      </c>
      <c r="AG6" s="3">
        <f>+D.sign_Data[[#This Row],[VALOR NETO ($COP)]]+D.sign_Data[[#This Row],[NEGOCIACIÓN ($COP)]]+D.sign_Data[[#This Row],[ICA ($COP)]]+D.sign_Data[[#This Row],[4 * 1000 ($COP)]]</f>
        <v>47190.154358183863</v>
      </c>
    </row>
    <row r="7" spans="1:33" ht="60" hidden="1" customHeight="1" x14ac:dyDescent="0.25">
      <c r="A7" s="14"/>
      <c r="B7" s="87" t="s">
        <v>418</v>
      </c>
      <c r="C7" s="182" t="s">
        <v>419</v>
      </c>
      <c r="D7" s="189" t="str">
        <f>VLOOKUP(D.sign_Data[[#This Row],[CÓDIGO]],Descripciones[[CÓDIGO]:[NOMBRE DE SERVICIO]],3,FALSE)</f>
        <v>D1. Parcelaciones y Condominios</v>
      </c>
      <c r="E7" s="87" t="s">
        <v>420</v>
      </c>
      <c r="F7" s="88" t="s">
        <v>421</v>
      </c>
      <c r="G7" s="88" t="s">
        <v>422</v>
      </c>
      <c r="H7" s="87" t="s">
        <v>423</v>
      </c>
      <c r="I7" s="89">
        <v>1</v>
      </c>
      <c r="J7" s="88" t="s">
        <v>424</v>
      </c>
      <c r="K7" s="102"/>
      <c r="L7" s="88" t="s">
        <v>427</v>
      </c>
      <c r="M7" s="89" t="s">
        <v>381</v>
      </c>
      <c r="N7" s="90">
        <v>0.3</v>
      </c>
      <c r="O7" s="27">
        <f>IFERROR(+VLOOKUP(M7,D.sign_Lista_Data[[RESPONSABLE]:[SOFTWARE 
VALOR HORA]],3,FALSE),"0")</f>
        <v>20263.424518743668</v>
      </c>
      <c r="P7" s="3">
        <f t="shared" si="0"/>
        <v>6079.0273556231004</v>
      </c>
      <c r="Q7" s="11">
        <f>IFERROR(+VLOOKUP(M7,D.sign_Lista_Data[[RESPONSABLE]:[SOFTWARE 
VALOR HORA]],5,FALSE)*D.sign_Data[[#This Row],[TIEMPO (HORAS)]],0)</f>
        <v>1266.464032421479</v>
      </c>
      <c r="R7" s="42">
        <f>IFERROR(+VLOOKUP(M7,D.sign_Lista_Data[[RESPONSABLE]:[SOFTWARE 
VALOR HORA]],8,FALSE)*D.sign_Data[[#This Row],[TIEMPO (HORAS)]],0)</f>
        <v>1023.256466143195</v>
      </c>
      <c r="S7" s="99">
        <v>0</v>
      </c>
      <c r="T7" s="99">
        <v>0</v>
      </c>
      <c r="U7" s="3">
        <f t="shared" si="1"/>
        <v>8368.7478541877736</v>
      </c>
      <c r="V7" s="100">
        <f>D.sign_Data[[#This Row],[TIEMPO (HORAS)]]*Gastos_Operativos[[#Totals],[GASTOS HORA]]</f>
        <v>8336.8431216931203</v>
      </c>
      <c r="W7" s="3">
        <f>+D.sign_Data[[#This Row],[COSTO 
DIRECTO ($COP)]]+D.sign_Data[[#This Row],[PRORRATEO GASTOS ($COP)]]</f>
        <v>16705.590975880892</v>
      </c>
      <c r="X7" s="101">
        <v>0.15</v>
      </c>
      <c r="Y7" s="15">
        <f>+D.sign_Data[[#This Row],[COSTOS OPERACIONALES ($COP)]]*D.sign_Data[[#This Row],[DESFASE (%)]]</f>
        <v>2505.8386463821339</v>
      </c>
      <c r="Z7" s="101">
        <v>0.3</v>
      </c>
      <c r="AA7" s="15">
        <f>+((D.sign_Data[[#This Row],[COSTOS OPERACIONALES ($COP)]]/(100%-D.sign_Data[[#This Row],[UTILIDAD (%)]])))-D.sign_Data[[#This Row],[COSTOS OPERACIONALES ($COP)]]</f>
        <v>7159.5389896632405</v>
      </c>
      <c r="AB7" s="3">
        <f>+D.sign_Data[[#This Row],[COSTOS OPERACIONALES ($COP)]]+D.sign_Data[[#This Row],[DESFASE ($COP)]]+D.sign_Data[[#This Row],[UTILIDAD ($COP)]]</f>
        <v>26370.968611926266</v>
      </c>
      <c r="AC7" s="101">
        <v>0.05</v>
      </c>
      <c r="AD7" s="15">
        <f>+D.sign_Data[[#This Row],[VALOR NETO ($COP)]]/(100%-D.sign_Data[[#This Row],[MARGEN DE NEGOCIACIÓN (%)]])-D.sign_Data[[#This Row],[VALOR NETO ($COP)]]</f>
        <v>1387.9457164171727</v>
      </c>
      <c r="AE7" s="15">
        <f>+(D.sign_Data[[#This Row],[VALOR NETO ($COP)]]+D.sign_Data[[#This Row],[NEGOCIACIÓN ($COP)]])*1%</f>
        <v>277.5891432834344</v>
      </c>
      <c r="AF7" s="15">
        <f>+(D.sign_Data[[#This Row],[VALOR NETO ($COP)]]+D.sign_Data[[#This Row],[NEGOCIACIÓN ($COP)]])*1%</f>
        <v>277.5891432834344</v>
      </c>
      <c r="AG7" s="3">
        <f>+D.sign_Data[[#This Row],[VALOR NETO ($COP)]]+D.sign_Data[[#This Row],[NEGOCIACIÓN ($COP)]]+D.sign_Data[[#This Row],[ICA ($COP)]]+D.sign_Data[[#This Row],[4 * 1000 ($COP)]]</f>
        <v>28314.092614910311</v>
      </c>
    </row>
    <row r="8" spans="1:33" ht="60" hidden="1" customHeight="1" x14ac:dyDescent="0.25">
      <c r="A8" s="14"/>
      <c r="B8" s="87" t="s">
        <v>418</v>
      </c>
      <c r="C8" s="182" t="s">
        <v>419</v>
      </c>
      <c r="D8" s="189" t="str">
        <f>VLOOKUP(D.sign_Data[[#This Row],[CÓDIGO]],Descripciones[[CÓDIGO]:[NOMBRE DE SERVICIO]],3,FALSE)</f>
        <v>D1. Parcelaciones y Condominios</v>
      </c>
      <c r="E8" s="87" t="s">
        <v>420</v>
      </c>
      <c r="F8" s="88" t="s">
        <v>421</v>
      </c>
      <c r="G8" s="88" t="s">
        <v>422</v>
      </c>
      <c r="H8" s="87" t="s">
        <v>423</v>
      </c>
      <c r="I8" s="89">
        <v>1</v>
      </c>
      <c r="J8" s="88" t="s">
        <v>424</v>
      </c>
      <c r="K8" s="102"/>
      <c r="L8" s="88" t="s">
        <v>428</v>
      </c>
      <c r="M8" s="89" t="s">
        <v>381</v>
      </c>
      <c r="N8" s="90">
        <v>0.5</v>
      </c>
      <c r="O8" s="27">
        <f>IFERROR(+VLOOKUP(M8,D.sign_Lista_Data[[RESPONSABLE]:[SOFTWARE 
VALOR HORA]],3,FALSE),"0")</f>
        <v>20263.424518743668</v>
      </c>
      <c r="P8" s="3">
        <f t="shared" si="0"/>
        <v>10131.712259371834</v>
      </c>
      <c r="Q8" s="11">
        <f>IFERROR(+VLOOKUP(M8,D.sign_Lista_Data[[RESPONSABLE]:[SOFTWARE 
VALOR HORA]],5,FALSE)*D.sign_Data[[#This Row],[TIEMPO (HORAS)]],0)</f>
        <v>2110.7733873691318</v>
      </c>
      <c r="R8" s="42">
        <f>IFERROR(+VLOOKUP(M8,D.sign_Lista_Data[[RESPONSABLE]:[SOFTWARE 
VALOR HORA]],8,FALSE)*D.sign_Data[[#This Row],[TIEMPO (HORAS)]],0)</f>
        <v>1705.4274435719917</v>
      </c>
      <c r="S8" s="99">
        <v>0</v>
      </c>
      <c r="T8" s="99">
        <v>0</v>
      </c>
      <c r="U8" s="3">
        <f t="shared" si="1"/>
        <v>13947.913090312959</v>
      </c>
      <c r="V8" s="100">
        <f>D.sign_Data[[#This Row],[TIEMPO (HORAS)]]*Gastos_Operativos[[#Totals],[GASTOS HORA]]</f>
        <v>13894.738536155201</v>
      </c>
      <c r="W8" s="3">
        <f>+D.sign_Data[[#This Row],[COSTO 
DIRECTO ($COP)]]+D.sign_Data[[#This Row],[PRORRATEO GASTOS ($COP)]]</f>
        <v>27842.65162646816</v>
      </c>
      <c r="X8" s="101">
        <v>0.15</v>
      </c>
      <c r="Y8" s="15">
        <f>+D.sign_Data[[#This Row],[COSTOS OPERACIONALES ($COP)]]*D.sign_Data[[#This Row],[DESFASE (%)]]</f>
        <v>4176.3977439702239</v>
      </c>
      <c r="Z8" s="101">
        <v>0.3</v>
      </c>
      <c r="AA8" s="15">
        <f>+((D.sign_Data[[#This Row],[COSTOS OPERACIONALES ($COP)]]/(100%-D.sign_Data[[#This Row],[UTILIDAD (%)]])))-D.sign_Data[[#This Row],[COSTOS OPERACIONALES ($COP)]]</f>
        <v>11932.564982772074</v>
      </c>
      <c r="AB8" s="3">
        <f>+D.sign_Data[[#This Row],[COSTOS OPERACIONALES ($COP)]]+D.sign_Data[[#This Row],[DESFASE ($COP)]]+D.sign_Data[[#This Row],[UTILIDAD ($COP)]]</f>
        <v>43951.614353210462</v>
      </c>
      <c r="AC8" s="101">
        <v>0.05</v>
      </c>
      <c r="AD8" s="15">
        <f>+D.sign_Data[[#This Row],[VALOR NETO ($COP)]]/(100%-D.sign_Data[[#This Row],[MARGEN DE NEGOCIACIÓN (%)]])-D.sign_Data[[#This Row],[VALOR NETO ($COP)]]</f>
        <v>2313.242860695289</v>
      </c>
      <c r="AE8" s="15">
        <f>+(D.sign_Data[[#This Row],[VALOR NETO ($COP)]]+D.sign_Data[[#This Row],[NEGOCIACIÓN ($COP)]])*1%</f>
        <v>462.64857213905753</v>
      </c>
      <c r="AF8" s="15">
        <f>+(D.sign_Data[[#This Row],[VALOR NETO ($COP)]]+D.sign_Data[[#This Row],[NEGOCIACIÓN ($COP)]])*1%</f>
        <v>462.64857213905753</v>
      </c>
      <c r="AG8" s="3">
        <f>+D.sign_Data[[#This Row],[VALOR NETO ($COP)]]+D.sign_Data[[#This Row],[NEGOCIACIÓN ($COP)]]+D.sign_Data[[#This Row],[ICA ($COP)]]+D.sign_Data[[#This Row],[4 * 1000 ($COP)]]</f>
        <v>47190.154358183863</v>
      </c>
    </row>
    <row r="9" spans="1:33" ht="60" hidden="1" customHeight="1" x14ac:dyDescent="0.25">
      <c r="A9" s="14"/>
      <c r="B9" s="87" t="s">
        <v>418</v>
      </c>
      <c r="C9" s="182" t="s">
        <v>419</v>
      </c>
      <c r="D9" s="189" t="str">
        <f>VLOOKUP(D.sign_Data[[#This Row],[CÓDIGO]],Descripciones[[CÓDIGO]:[NOMBRE DE SERVICIO]],3,FALSE)</f>
        <v>D1. Parcelaciones y Condominios</v>
      </c>
      <c r="E9" s="87" t="s">
        <v>420</v>
      </c>
      <c r="F9" s="88" t="s">
        <v>421</v>
      </c>
      <c r="G9" s="88" t="s">
        <v>422</v>
      </c>
      <c r="H9" s="87" t="s">
        <v>429</v>
      </c>
      <c r="I9" s="89">
        <v>1</v>
      </c>
      <c r="J9" s="88" t="s">
        <v>430</v>
      </c>
      <c r="K9" s="102"/>
      <c r="L9" s="88" t="s">
        <v>431</v>
      </c>
      <c r="M9" s="89" t="s">
        <v>381</v>
      </c>
      <c r="N9" s="90">
        <v>2.5</v>
      </c>
      <c r="O9" s="27">
        <f>IFERROR(+VLOOKUP(M9,D.sign_Lista_Data[[RESPONSABLE]:[SOFTWARE 
VALOR HORA]],3,FALSE),"0")</f>
        <v>20263.424518743668</v>
      </c>
      <c r="P9" s="3">
        <f t="shared" si="0"/>
        <v>50658.561296859174</v>
      </c>
      <c r="Q9" s="11">
        <f>IFERROR(+VLOOKUP(M9,D.sign_Lista_Data[[RESPONSABLE]:[SOFTWARE 
VALOR HORA]],5,FALSE)*D.sign_Data[[#This Row],[TIEMPO (HORAS)]],0)</f>
        <v>10553.866936845659</v>
      </c>
      <c r="R9" s="42">
        <f>IFERROR(+VLOOKUP(M9,D.sign_Lista_Data[[RESPONSABLE]:[SOFTWARE 
VALOR HORA]],8,FALSE)*D.sign_Data[[#This Row],[TIEMPO (HORAS)]],0)</f>
        <v>8527.1372178599595</v>
      </c>
      <c r="S9" s="99">
        <v>0</v>
      </c>
      <c r="T9" s="99">
        <v>0</v>
      </c>
      <c r="U9" s="3">
        <f t="shared" si="1"/>
        <v>69739.565451564791</v>
      </c>
      <c r="V9" s="100">
        <f>D.sign_Data[[#This Row],[TIEMPO (HORAS)]]*Gastos_Operativos[[#Totals],[GASTOS HORA]]</f>
        <v>69473.692680776003</v>
      </c>
      <c r="W9" s="3">
        <f>+D.sign_Data[[#This Row],[COSTO 
DIRECTO ($COP)]]+D.sign_Data[[#This Row],[PRORRATEO GASTOS ($COP)]]</f>
        <v>139213.25813234079</v>
      </c>
      <c r="X9" s="101">
        <v>0.15</v>
      </c>
      <c r="Y9" s="15">
        <f>+D.sign_Data[[#This Row],[COSTOS OPERACIONALES ($COP)]]*D.sign_Data[[#This Row],[DESFASE (%)]]</f>
        <v>20881.988719851117</v>
      </c>
      <c r="Z9" s="101">
        <v>0.3</v>
      </c>
      <c r="AA9" s="15">
        <f>+((D.sign_Data[[#This Row],[COSTOS OPERACIONALES ($COP)]]/(100%-D.sign_Data[[#This Row],[UTILIDAD (%)]])))-D.sign_Data[[#This Row],[COSTOS OPERACIONALES ($COP)]]</f>
        <v>59662.824913860357</v>
      </c>
      <c r="AB9" s="3">
        <f>+D.sign_Data[[#This Row],[COSTOS OPERACIONALES ($COP)]]+D.sign_Data[[#This Row],[DESFASE ($COP)]]+D.sign_Data[[#This Row],[UTILIDAD ($COP)]]</f>
        <v>219758.07176605228</v>
      </c>
      <c r="AC9" s="101">
        <v>0.05</v>
      </c>
      <c r="AD9" s="15">
        <f>+D.sign_Data[[#This Row],[VALOR NETO ($COP)]]/(100%-D.sign_Data[[#This Row],[MARGEN DE NEGOCIACIÓN (%)]])-D.sign_Data[[#This Row],[VALOR NETO ($COP)]]</f>
        <v>11566.214303476445</v>
      </c>
      <c r="AE9" s="15">
        <f>+(D.sign_Data[[#This Row],[VALOR NETO ($COP)]]+D.sign_Data[[#This Row],[NEGOCIACIÓN ($COP)]])*1%</f>
        <v>2313.2428606952872</v>
      </c>
      <c r="AF9" s="15">
        <f>+(D.sign_Data[[#This Row],[VALOR NETO ($COP)]]+D.sign_Data[[#This Row],[NEGOCIACIÓN ($COP)]])*1%</f>
        <v>2313.2428606952872</v>
      </c>
      <c r="AG9" s="3">
        <f>+D.sign_Data[[#This Row],[VALOR NETO ($COP)]]+D.sign_Data[[#This Row],[NEGOCIACIÓN ($COP)]]+D.sign_Data[[#This Row],[ICA ($COP)]]+D.sign_Data[[#This Row],[4 * 1000 ($COP)]]</f>
        <v>235950.7717909193</v>
      </c>
    </row>
    <row r="10" spans="1:33" ht="60" hidden="1" customHeight="1" x14ac:dyDescent="0.25">
      <c r="A10" s="14"/>
      <c r="B10" s="87" t="s">
        <v>418</v>
      </c>
      <c r="C10" s="182" t="s">
        <v>419</v>
      </c>
      <c r="D10" s="189" t="str">
        <f>VLOOKUP(D.sign_Data[[#This Row],[CÓDIGO]],Descripciones[[CÓDIGO]:[NOMBRE DE SERVICIO]],3,FALSE)</f>
        <v>D1. Parcelaciones y Condominios</v>
      </c>
      <c r="E10" s="87" t="s">
        <v>420</v>
      </c>
      <c r="F10" s="88" t="s">
        <v>421</v>
      </c>
      <c r="G10" s="88" t="s">
        <v>422</v>
      </c>
      <c r="H10" s="87" t="s">
        <v>429</v>
      </c>
      <c r="I10" s="89">
        <v>1</v>
      </c>
      <c r="J10" s="88" t="s">
        <v>430</v>
      </c>
      <c r="K10" s="102"/>
      <c r="L10" s="88" t="s">
        <v>432</v>
      </c>
      <c r="M10" s="89" t="s">
        <v>381</v>
      </c>
      <c r="N10" s="90">
        <v>2.5</v>
      </c>
      <c r="O10" s="27">
        <f>IFERROR(+VLOOKUP(M10,D.sign_Lista_Data[[RESPONSABLE]:[SOFTWARE 
VALOR HORA]],3,FALSE),"0")</f>
        <v>20263.424518743668</v>
      </c>
      <c r="P10" s="3">
        <f t="shared" si="0"/>
        <v>50658.561296859174</v>
      </c>
      <c r="Q10" s="11">
        <f>IFERROR(+VLOOKUP(M10,D.sign_Lista_Data[[RESPONSABLE]:[SOFTWARE 
VALOR HORA]],5,FALSE)*D.sign_Data[[#This Row],[TIEMPO (HORAS)]],0)</f>
        <v>10553.866936845659</v>
      </c>
      <c r="R10" s="42">
        <f>IFERROR(+VLOOKUP(M10,D.sign_Lista_Data[[RESPONSABLE]:[SOFTWARE 
VALOR HORA]],8,FALSE)*D.sign_Data[[#This Row],[TIEMPO (HORAS)]],0)</f>
        <v>8527.1372178599595</v>
      </c>
      <c r="S10" s="99">
        <v>0</v>
      </c>
      <c r="T10" s="99">
        <v>0</v>
      </c>
      <c r="U10" s="3">
        <f t="shared" si="1"/>
        <v>69739.565451564791</v>
      </c>
      <c r="V10" s="100">
        <f>D.sign_Data[[#This Row],[TIEMPO (HORAS)]]*Gastos_Operativos[[#Totals],[GASTOS HORA]]</f>
        <v>69473.692680776003</v>
      </c>
      <c r="W10" s="3">
        <f>+D.sign_Data[[#This Row],[COSTO 
DIRECTO ($COP)]]+D.sign_Data[[#This Row],[PRORRATEO GASTOS ($COP)]]</f>
        <v>139213.25813234079</v>
      </c>
      <c r="X10" s="101">
        <v>0.15</v>
      </c>
      <c r="Y10" s="15">
        <f>+D.sign_Data[[#This Row],[COSTOS OPERACIONALES ($COP)]]*D.sign_Data[[#This Row],[DESFASE (%)]]</f>
        <v>20881.988719851117</v>
      </c>
      <c r="Z10" s="101">
        <v>0.3</v>
      </c>
      <c r="AA10" s="15">
        <f>+((D.sign_Data[[#This Row],[COSTOS OPERACIONALES ($COP)]]/(100%-D.sign_Data[[#This Row],[UTILIDAD (%)]])))-D.sign_Data[[#This Row],[COSTOS OPERACIONALES ($COP)]]</f>
        <v>59662.824913860357</v>
      </c>
      <c r="AB10" s="3">
        <f>+D.sign_Data[[#This Row],[COSTOS OPERACIONALES ($COP)]]+D.sign_Data[[#This Row],[DESFASE ($COP)]]+D.sign_Data[[#This Row],[UTILIDAD ($COP)]]</f>
        <v>219758.07176605228</v>
      </c>
      <c r="AC10" s="101">
        <v>0.05</v>
      </c>
      <c r="AD10" s="15">
        <f>+D.sign_Data[[#This Row],[VALOR NETO ($COP)]]/(100%-D.sign_Data[[#This Row],[MARGEN DE NEGOCIACIÓN (%)]])-D.sign_Data[[#This Row],[VALOR NETO ($COP)]]</f>
        <v>11566.214303476445</v>
      </c>
      <c r="AE10" s="15">
        <f>+(D.sign_Data[[#This Row],[VALOR NETO ($COP)]]+D.sign_Data[[#This Row],[NEGOCIACIÓN ($COP)]])*1%</f>
        <v>2313.2428606952872</v>
      </c>
      <c r="AF10" s="15">
        <f>+(D.sign_Data[[#This Row],[VALOR NETO ($COP)]]+D.sign_Data[[#This Row],[NEGOCIACIÓN ($COP)]])*1%</f>
        <v>2313.2428606952872</v>
      </c>
      <c r="AG10" s="3">
        <f>+D.sign_Data[[#This Row],[VALOR NETO ($COP)]]+D.sign_Data[[#This Row],[NEGOCIACIÓN ($COP)]]+D.sign_Data[[#This Row],[ICA ($COP)]]+D.sign_Data[[#This Row],[4 * 1000 ($COP)]]</f>
        <v>235950.7717909193</v>
      </c>
    </row>
    <row r="11" spans="1:33" ht="60" hidden="1" customHeight="1" x14ac:dyDescent="0.25">
      <c r="A11" s="14"/>
      <c r="B11" s="87" t="s">
        <v>418</v>
      </c>
      <c r="C11" s="182" t="s">
        <v>419</v>
      </c>
      <c r="D11" s="189" t="str">
        <f>VLOOKUP(D.sign_Data[[#This Row],[CÓDIGO]],Descripciones[[CÓDIGO]:[NOMBRE DE SERVICIO]],3,FALSE)</f>
        <v>D1. Parcelaciones y Condominios</v>
      </c>
      <c r="E11" s="87" t="s">
        <v>420</v>
      </c>
      <c r="F11" s="88" t="s">
        <v>421</v>
      </c>
      <c r="G11" s="88" t="s">
        <v>422</v>
      </c>
      <c r="H11" s="87" t="s">
        <v>429</v>
      </c>
      <c r="I11" s="89">
        <v>1</v>
      </c>
      <c r="J11" s="88" t="s">
        <v>430</v>
      </c>
      <c r="K11" s="102"/>
      <c r="L11" s="88" t="s">
        <v>433</v>
      </c>
      <c r="M11" s="89" t="s">
        <v>381</v>
      </c>
      <c r="N11" s="90">
        <v>9.4</v>
      </c>
      <c r="O11" s="27">
        <f>IFERROR(+VLOOKUP(M11,D.sign_Lista_Data[[RESPONSABLE]:[SOFTWARE 
VALOR HORA]],3,FALSE),"0")</f>
        <v>20263.424518743668</v>
      </c>
      <c r="P11" s="3">
        <f t="shared" si="0"/>
        <v>190476.19047619047</v>
      </c>
      <c r="Q11" s="11">
        <f>IFERROR(+VLOOKUP(M11,D.sign_Lista_Data[[RESPONSABLE]:[SOFTWARE 
VALOR HORA]],5,FALSE)*D.sign_Data[[#This Row],[TIEMPO (HORAS)]],0)</f>
        <v>39682.539682539682</v>
      </c>
      <c r="R11" s="42">
        <f>IFERROR(+VLOOKUP(M11,D.sign_Lista_Data[[RESPONSABLE]:[SOFTWARE 
VALOR HORA]],8,FALSE)*D.sign_Data[[#This Row],[TIEMPO (HORAS)]],0)</f>
        <v>32062.035939153444</v>
      </c>
      <c r="S11" s="99">
        <v>0</v>
      </c>
      <c r="T11" s="99">
        <v>0</v>
      </c>
      <c r="U11" s="3">
        <f t="shared" si="1"/>
        <v>262220.76609788358</v>
      </c>
      <c r="V11" s="100">
        <f>D.sign_Data[[#This Row],[TIEMPO (HORAS)]]*Gastos_Operativos[[#Totals],[GASTOS HORA]]</f>
        <v>261221.08447971777</v>
      </c>
      <c r="W11" s="3">
        <f>+D.sign_Data[[#This Row],[COSTO 
DIRECTO ($COP)]]+D.sign_Data[[#This Row],[PRORRATEO GASTOS ($COP)]]</f>
        <v>523441.85057760135</v>
      </c>
      <c r="X11" s="101">
        <v>0.15</v>
      </c>
      <c r="Y11" s="15">
        <f>+D.sign_Data[[#This Row],[COSTOS OPERACIONALES ($COP)]]*D.sign_Data[[#This Row],[DESFASE (%)]]</f>
        <v>78516.277586640193</v>
      </c>
      <c r="Z11" s="101">
        <v>0.3</v>
      </c>
      <c r="AA11" s="15">
        <f>+((D.sign_Data[[#This Row],[COSTOS OPERACIONALES ($COP)]]/(100%-D.sign_Data[[#This Row],[UTILIDAD (%)]])))-D.sign_Data[[#This Row],[COSTOS OPERACIONALES ($COP)]]</f>
        <v>224332.22167611495</v>
      </c>
      <c r="AB11" s="3">
        <f>+D.sign_Data[[#This Row],[COSTOS OPERACIONALES ($COP)]]+D.sign_Data[[#This Row],[DESFASE ($COP)]]+D.sign_Data[[#This Row],[UTILIDAD ($COP)]]</f>
        <v>826290.3498403565</v>
      </c>
      <c r="AC11" s="101">
        <v>0.05</v>
      </c>
      <c r="AD11" s="15">
        <f>+D.sign_Data[[#This Row],[VALOR NETO ($COP)]]/(100%-D.sign_Data[[#This Row],[MARGEN DE NEGOCIACIÓN (%)]])-D.sign_Data[[#This Row],[VALOR NETO ($COP)]]</f>
        <v>43488.965781071456</v>
      </c>
      <c r="AE11" s="15">
        <f>+(D.sign_Data[[#This Row],[VALOR NETO ($COP)]]+D.sign_Data[[#This Row],[NEGOCIACIÓN ($COP)]])*1%</f>
        <v>8697.7931562142803</v>
      </c>
      <c r="AF11" s="15">
        <f>+(D.sign_Data[[#This Row],[VALOR NETO ($COP)]]+D.sign_Data[[#This Row],[NEGOCIACIÓN ($COP)]])*1%</f>
        <v>8697.7931562142803</v>
      </c>
      <c r="AG11" s="3">
        <f>+D.sign_Data[[#This Row],[VALOR NETO ($COP)]]+D.sign_Data[[#This Row],[NEGOCIACIÓN ($COP)]]+D.sign_Data[[#This Row],[ICA ($COP)]]+D.sign_Data[[#This Row],[4 * 1000 ($COP)]]</f>
        <v>887174.90193385654</v>
      </c>
    </row>
    <row r="12" spans="1:33" ht="60" hidden="1" customHeight="1" x14ac:dyDescent="0.25">
      <c r="A12" s="14"/>
      <c r="B12" s="87" t="s">
        <v>418</v>
      </c>
      <c r="C12" s="182" t="s">
        <v>419</v>
      </c>
      <c r="D12" s="189" t="str">
        <f>VLOOKUP(D.sign_Data[[#This Row],[CÓDIGO]],Descripciones[[CÓDIGO]:[NOMBRE DE SERVICIO]],3,FALSE)</f>
        <v>D1. Parcelaciones y Condominios</v>
      </c>
      <c r="E12" s="87" t="s">
        <v>420</v>
      </c>
      <c r="F12" s="88" t="s">
        <v>421</v>
      </c>
      <c r="G12" s="88" t="s">
        <v>422</v>
      </c>
      <c r="H12" s="87" t="s">
        <v>429</v>
      </c>
      <c r="I12" s="89">
        <v>1</v>
      </c>
      <c r="J12" s="88" t="s">
        <v>430</v>
      </c>
      <c r="K12" s="102"/>
      <c r="L12" s="88" t="s">
        <v>434</v>
      </c>
      <c r="M12" s="89" t="s">
        <v>381</v>
      </c>
      <c r="N12" s="90">
        <v>2.5</v>
      </c>
      <c r="O12" s="27">
        <f>IFERROR(+VLOOKUP(M12,D.sign_Lista_Data[[RESPONSABLE]:[SOFTWARE 
VALOR HORA]],3,FALSE),"0")</f>
        <v>20263.424518743668</v>
      </c>
      <c r="P12" s="3">
        <f t="shared" si="0"/>
        <v>50658.561296859174</v>
      </c>
      <c r="Q12" s="11">
        <f>IFERROR(+VLOOKUP(M12,D.sign_Lista_Data[[RESPONSABLE]:[SOFTWARE 
VALOR HORA]],5,FALSE)*D.sign_Data[[#This Row],[TIEMPO (HORAS)]],0)</f>
        <v>10553.866936845659</v>
      </c>
      <c r="R12" s="42">
        <f>IFERROR(+VLOOKUP(M12,D.sign_Lista_Data[[RESPONSABLE]:[SOFTWARE 
VALOR HORA]],8,FALSE)*D.sign_Data[[#This Row],[TIEMPO (HORAS)]],0)</f>
        <v>8527.1372178599595</v>
      </c>
      <c r="S12" s="99">
        <v>0</v>
      </c>
      <c r="T12" s="99">
        <v>0</v>
      </c>
      <c r="U12" s="3">
        <f t="shared" si="1"/>
        <v>69739.565451564791</v>
      </c>
      <c r="V12" s="100">
        <f>D.sign_Data[[#This Row],[TIEMPO (HORAS)]]*Gastos_Operativos[[#Totals],[GASTOS HORA]]</f>
        <v>69473.692680776003</v>
      </c>
      <c r="W12" s="3">
        <f>+D.sign_Data[[#This Row],[COSTO 
DIRECTO ($COP)]]+D.sign_Data[[#This Row],[PRORRATEO GASTOS ($COP)]]</f>
        <v>139213.25813234079</v>
      </c>
      <c r="X12" s="101">
        <v>0.15</v>
      </c>
      <c r="Y12" s="15">
        <f>+D.sign_Data[[#This Row],[COSTOS OPERACIONALES ($COP)]]*D.sign_Data[[#This Row],[DESFASE (%)]]</f>
        <v>20881.988719851117</v>
      </c>
      <c r="Z12" s="101">
        <v>0.3</v>
      </c>
      <c r="AA12" s="15">
        <f>+((D.sign_Data[[#This Row],[COSTOS OPERACIONALES ($COP)]]/(100%-D.sign_Data[[#This Row],[UTILIDAD (%)]])))-D.sign_Data[[#This Row],[COSTOS OPERACIONALES ($COP)]]</f>
        <v>59662.824913860357</v>
      </c>
      <c r="AB12" s="3">
        <f>+D.sign_Data[[#This Row],[COSTOS OPERACIONALES ($COP)]]+D.sign_Data[[#This Row],[DESFASE ($COP)]]+D.sign_Data[[#This Row],[UTILIDAD ($COP)]]</f>
        <v>219758.07176605228</v>
      </c>
      <c r="AC12" s="101">
        <v>0.05</v>
      </c>
      <c r="AD12" s="15">
        <f>+D.sign_Data[[#This Row],[VALOR NETO ($COP)]]/(100%-D.sign_Data[[#This Row],[MARGEN DE NEGOCIACIÓN (%)]])-D.sign_Data[[#This Row],[VALOR NETO ($COP)]]</f>
        <v>11566.214303476445</v>
      </c>
      <c r="AE12" s="15">
        <f>+(D.sign_Data[[#This Row],[VALOR NETO ($COP)]]+D.sign_Data[[#This Row],[NEGOCIACIÓN ($COP)]])*1%</f>
        <v>2313.2428606952872</v>
      </c>
      <c r="AF12" s="15">
        <f>+(D.sign_Data[[#This Row],[VALOR NETO ($COP)]]+D.sign_Data[[#This Row],[NEGOCIACIÓN ($COP)]])*1%</f>
        <v>2313.2428606952872</v>
      </c>
      <c r="AG12" s="3">
        <f>+D.sign_Data[[#This Row],[VALOR NETO ($COP)]]+D.sign_Data[[#This Row],[NEGOCIACIÓN ($COP)]]+D.sign_Data[[#This Row],[ICA ($COP)]]+D.sign_Data[[#This Row],[4 * 1000 ($COP)]]</f>
        <v>235950.7717909193</v>
      </c>
    </row>
    <row r="13" spans="1:33" ht="60" hidden="1" customHeight="1" x14ac:dyDescent="0.25">
      <c r="A13" s="14"/>
      <c r="B13" s="87" t="s">
        <v>418</v>
      </c>
      <c r="C13" s="182" t="s">
        <v>419</v>
      </c>
      <c r="D13" s="189" t="str">
        <f>VLOOKUP(D.sign_Data[[#This Row],[CÓDIGO]],Descripciones[[CÓDIGO]:[NOMBRE DE SERVICIO]],3,FALSE)</f>
        <v>D1. Parcelaciones y Condominios</v>
      </c>
      <c r="E13" s="87" t="s">
        <v>420</v>
      </c>
      <c r="F13" s="88" t="s">
        <v>421</v>
      </c>
      <c r="G13" s="88" t="s">
        <v>422</v>
      </c>
      <c r="H13" s="87" t="s">
        <v>429</v>
      </c>
      <c r="I13" s="89">
        <v>1</v>
      </c>
      <c r="J13" s="88" t="s">
        <v>430</v>
      </c>
      <c r="K13" s="102"/>
      <c r="L13" s="88" t="s">
        <v>435</v>
      </c>
      <c r="M13" s="89" t="s">
        <v>381</v>
      </c>
      <c r="N13" s="90">
        <v>2.5</v>
      </c>
      <c r="O13" s="27">
        <f>IFERROR(+VLOOKUP(M13,D.sign_Lista_Data[[RESPONSABLE]:[SOFTWARE 
VALOR HORA]],3,FALSE),"0")</f>
        <v>20263.424518743668</v>
      </c>
      <c r="P13" s="3">
        <f t="shared" si="0"/>
        <v>50658.561296859174</v>
      </c>
      <c r="Q13" s="11">
        <f>IFERROR(+VLOOKUP(M13,D.sign_Lista_Data[[RESPONSABLE]:[SOFTWARE 
VALOR HORA]],5,FALSE)*D.sign_Data[[#This Row],[TIEMPO (HORAS)]],0)</f>
        <v>10553.866936845659</v>
      </c>
      <c r="R13" s="42">
        <f>IFERROR(+VLOOKUP(M13,D.sign_Lista_Data[[RESPONSABLE]:[SOFTWARE 
VALOR HORA]],8,FALSE)*D.sign_Data[[#This Row],[TIEMPO (HORAS)]],0)</f>
        <v>8527.1372178599595</v>
      </c>
      <c r="S13" s="99">
        <v>0</v>
      </c>
      <c r="T13" s="99">
        <v>0</v>
      </c>
      <c r="U13" s="3">
        <f t="shared" si="1"/>
        <v>69739.565451564791</v>
      </c>
      <c r="V13" s="100">
        <f>D.sign_Data[[#This Row],[TIEMPO (HORAS)]]*Gastos_Operativos[[#Totals],[GASTOS HORA]]</f>
        <v>69473.692680776003</v>
      </c>
      <c r="W13" s="3">
        <f>+D.sign_Data[[#This Row],[COSTO 
DIRECTO ($COP)]]+D.sign_Data[[#This Row],[PRORRATEO GASTOS ($COP)]]</f>
        <v>139213.25813234079</v>
      </c>
      <c r="X13" s="101">
        <v>0.15</v>
      </c>
      <c r="Y13" s="15">
        <f>+D.sign_Data[[#This Row],[COSTOS OPERACIONALES ($COP)]]*D.sign_Data[[#This Row],[DESFASE (%)]]</f>
        <v>20881.988719851117</v>
      </c>
      <c r="Z13" s="101">
        <v>0.3</v>
      </c>
      <c r="AA13" s="15">
        <f>+((D.sign_Data[[#This Row],[COSTOS OPERACIONALES ($COP)]]/(100%-D.sign_Data[[#This Row],[UTILIDAD (%)]])))-D.sign_Data[[#This Row],[COSTOS OPERACIONALES ($COP)]]</f>
        <v>59662.824913860357</v>
      </c>
      <c r="AB13" s="3">
        <f>+D.sign_Data[[#This Row],[COSTOS OPERACIONALES ($COP)]]+D.sign_Data[[#This Row],[DESFASE ($COP)]]+D.sign_Data[[#This Row],[UTILIDAD ($COP)]]</f>
        <v>219758.07176605228</v>
      </c>
      <c r="AC13" s="101">
        <v>0.05</v>
      </c>
      <c r="AD13" s="15">
        <f>+D.sign_Data[[#This Row],[VALOR NETO ($COP)]]/(100%-D.sign_Data[[#This Row],[MARGEN DE NEGOCIACIÓN (%)]])-D.sign_Data[[#This Row],[VALOR NETO ($COP)]]</f>
        <v>11566.214303476445</v>
      </c>
      <c r="AE13" s="15">
        <f>+(D.sign_Data[[#This Row],[VALOR NETO ($COP)]]+D.sign_Data[[#This Row],[NEGOCIACIÓN ($COP)]])*1%</f>
        <v>2313.2428606952872</v>
      </c>
      <c r="AF13" s="15">
        <f>+(D.sign_Data[[#This Row],[VALOR NETO ($COP)]]+D.sign_Data[[#This Row],[NEGOCIACIÓN ($COP)]])*1%</f>
        <v>2313.2428606952872</v>
      </c>
      <c r="AG13" s="3">
        <f>+D.sign_Data[[#This Row],[VALOR NETO ($COP)]]+D.sign_Data[[#This Row],[NEGOCIACIÓN ($COP)]]+D.sign_Data[[#This Row],[ICA ($COP)]]+D.sign_Data[[#This Row],[4 * 1000 ($COP)]]</f>
        <v>235950.7717909193</v>
      </c>
    </row>
    <row r="14" spans="1:33" ht="60" hidden="1" customHeight="1" x14ac:dyDescent="0.25">
      <c r="A14" s="14"/>
      <c r="B14" s="87" t="s">
        <v>418</v>
      </c>
      <c r="C14" s="182" t="s">
        <v>419</v>
      </c>
      <c r="D14" s="189" t="str">
        <f>VLOOKUP(D.sign_Data[[#This Row],[CÓDIGO]],Descripciones[[CÓDIGO]:[NOMBRE DE SERVICIO]],3,FALSE)</f>
        <v>D1. Parcelaciones y Condominios</v>
      </c>
      <c r="E14" s="87" t="s">
        <v>420</v>
      </c>
      <c r="F14" s="88" t="s">
        <v>421</v>
      </c>
      <c r="G14" s="88" t="s">
        <v>422</v>
      </c>
      <c r="H14" s="87" t="s">
        <v>429</v>
      </c>
      <c r="I14" s="89">
        <v>1</v>
      </c>
      <c r="J14" s="88" t="s">
        <v>430</v>
      </c>
      <c r="K14" s="102"/>
      <c r="L14" s="88" t="s">
        <v>436</v>
      </c>
      <c r="M14" s="89" t="s">
        <v>381</v>
      </c>
      <c r="N14" s="90">
        <v>3</v>
      </c>
      <c r="O14" s="27">
        <f>IFERROR(+VLOOKUP(M14,D.sign_Lista_Data[[RESPONSABLE]:[SOFTWARE 
VALOR HORA]],3,FALSE),"0")</f>
        <v>20263.424518743668</v>
      </c>
      <c r="P14" s="3">
        <f t="shared" si="0"/>
        <v>60790.273556231004</v>
      </c>
      <c r="Q14" s="11">
        <f>IFERROR(+VLOOKUP(M14,D.sign_Lista_Data[[RESPONSABLE]:[SOFTWARE 
VALOR HORA]],5,FALSE)*D.sign_Data[[#This Row],[TIEMPO (HORAS)]],0)</f>
        <v>12664.64032421479</v>
      </c>
      <c r="R14" s="42">
        <f>IFERROR(+VLOOKUP(M14,D.sign_Lista_Data[[RESPONSABLE]:[SOFTWARE 
VALOR HORA]],8,FALSE)*D.sign_Data[[#This Row],[TIEMPO (HORAS)]],0)</f>
        <v>10232.56466143195</v>
      </c>
      <c r="S14" s="99">
        <v>0</v>
      </c>
      <c r="T14" s="99">
        <v>0</v>
      </c>
      <c r="U14" s="3">
        <f t="shared" si="1"/>
        <v>83687.478541877746</v>
      </c>
      <c r="V14" s="100">
        <f>D.sign_Data[[#This Row],[TIEMPO (HORAS)]]*Gastos_Operativos[[#Totals],[GASTOS HORA]]</f>
        <v>83368.431216931203</v>
      </c>
      <c r="W14" s="3">
        <f>+D.sign_Data[[#This Row],[COSTO 
DIRECTO ($COP)]]+D.sign_Data[[#This Row],[PRORRATEO GASTOS ($COP)]]</f>
        <v>167055.90975880896</v>
      </c>
      <c r="X14" s="101">
        <v>0.15</v>
      </c>
      <c r="Y14" s="15">
        <f>+D.sign_Data[[#This Row],[COSTOS OPERACIONALES ($COP)]]*D.sign_Data[[#This Row],[DESFASE (%)]]</f>
        <v>25058.386463821345</v>
      </c>
      <c r="Z14" s="101">
        <v>0.3</v>
      </c>
      <c r="AA14" s="15">
        <f>+((D.sign_Data[[#This Row],[COSTOS OPERACIONALES ($COP)]]/(100%-D.sign_Data[[#This Row],[UTILIDAD (%)]])))-D.sign_Data[[#This Row],[COSTOS OPERACIONALES ($COP)]]</f>
        <v>71595.389896632434</v>
      </c>
      <c r="AB14" s="3">
        <f>+D.sign_Data[[#This Row],[COSTOS OPERACIONALES ($COP)]]+D.sign_Data[[#This Row],[DESFASE ($COP)]]+D.sign_Data[[#This Row],[UTILIDAD ($COP)]]</f>
        <v>263709.68611926271</v>
      </c>
      <c r="AC14" s="101">
        <v>0.05</v>
      </c>
      <c r="AD14" s="15">
        <f>+D.sign_Data[[#This Row],[VALOR NETO ($COP)]]/(100%-D.sign_Data[[#This Row],[MARGEN DE NEGOCIACIÓN (%)]])-D.sign_Data[[#This Row],[VALOR NETO ($COP)]]</f>
        <v>13879.457164171734</v>
      </c>
      <c r="AE14" s="15">
        <f>+(D.sign_Data[[#This Row],[VALOR NETO ($COP)]]+D.sign_Data[[#This Row],[NEGOCIACIÓN ($COP)]])*1%</f>
        <v>2775.8914328343444</v>
      </c>
      <c r="AF14" s="15">
        <f>+(D.sign_Data[[#This Row],[VALOR NETO ($COP)]]+D.sign_Data[[#This Row],[NEGOCIACIÓN ($COP)]])*1%</f>
        <v>2775.8914328343444</v>
      </c>
      <c r="AG14" s="3">
        <f>+D.sign_Data[[#This Row],[VALOR NETO ($COP)]]+D.sign_Data[[#This Row],[NEGOCIACIÓN ($COP)]]+D.sign_Data[[#This Row],[ICA ($COP)]]+D.sign_Data[[#This Row],[4 * 1000 ($COP)]]</f>
        <v>283140.92614910309</v>
      </c>
    </row>
    <row r="15" spans="1:33" ht="60" hidden="1" customHeight="1" x14ac:dyDescent="0.25">
      <c r="A15" s="14"/>
      <c r="B15" s="87" t="s">
        <v>418</v>
      </c>
      <c r="C15" s="182" t="s">
        <v>419</v>
      </c>
      <c r="D15" s="189" t="str">
        <f>VLOOKUP(D.sign_Data[[#This Row],[CÓDIGO]],Descripciones[[CÓDIGO]:[NOMBRE DE SERVICIO]],3,FALSE)</f>
        <v>D1. Parcelaciones y Condominios</v>
      </c>
      <c r="E15" s="87" t="s">
        <v>420</v>
      </c>
      <c r="F15" s="88" t="s">
        <v>421</v>
      </c>
      <c r="G15" s="88" t="s">
        <v>422</v>
      </c>
      <c r="H15" s="87" t="s">
        <v>429</v>
      </c>
      <c r="I15" s="89">
        <v>1</v>
      </c>
      <c r="J15" s="88" t="s">
        <v>430</v>
      </c>
      <c r="K15" s="102"/>
      <c r="L15" s="88" t="s">
        <v>437</v>
      </c>
      <c r="M15" s="89" t="s">
        <v>381</v>
      </c>
      <c r="N15" s="90">
        <v>2</v>
      </c>
      <c r="O15" s="27">
        <f>IFERROR(+VLOOKUP(M15,D.sign_Lista_Data[[RESPONSABLE]:[SOFTWARE 
VALOR HORA]],3,FALSE),"0")</f>
        <v>20263.424518743668</v>
      </c>
      <c r="P15" s="3">
        <f t="shared" si="0"/>
        <v>40526.849037487336</v>
      </c>
      <c r="Q15" s="11">
        <f>IFERROR(+VLOOKUP(M15,D.sign_Lista_Data[[RESPONSABLE]:[SOFTWARE 
VALOR HORA]],5,FALSE)*D.sign_Data[[#This Row],[TIEMPO (HORAS)]],0)</f>
        <v>8443.0935494765272</v>
      </c>
      <c r="R15" s="42">
        <f>IFERROR(+VLOOKUP(M15,D.sign_Lista_Data[[RESPONSABLE]:[SOFTWARE 
VALOR HORA]],8,FALSE)*D.sign_Data[[#This Row],[TIEMPO (HORAS)]],0)</f>
        <v>6821.7097742879669</v>
      </c>
      <c r="S15" s="99">
        <v>0</v>
      </c>
      <c r="T15" s="99">
        <v>0</v>
      </c>
      <c r="U15" s="3">
        <f t="shared" si="1"/>
        <v>55791.652361251836</v>
      </c>
      <c r="V15" s="100">
        <f>D.sign_Data[[#This Row],[TIEMPO (HORAS)]]*Gastos_Operativos[[#Totals],[GASTOS HORA]]</f>
        <v>55578.954144620802</v>
      </c>
      <c r="W15" s="3">
        <f>+D.sign_Data[[#This Row],[COSTO 
DIRECTO ($COP)]]+D.sign_Data[[#This Row],[PRORRATEO GASTOS ($COP)]]</f>
        <v>111370.60650587264</v>
      </c>
      <c r="X15" s="101">
        <v>0.15</v>
      </c>
      <c r="Y15" s="15">
        <f>+D.sign_Data[[#This Row],[COSTOS OPERACIONALES ($COP)]]*D.sign_Data[[#This Row],[DESFASE (%)]]</f>
        <v>16705.590975880896</v>
      </c>
      <c r="Z15" s="101">
        <v>0.3</v>
      </c>
      <c r="AA15" s="15">
        <f>+((D.sign_Data[[#This Row],[COSTOS OPERACIONALES ($COP)]]/(100%-D.sign_Data[[#This Row],[UTILIDAD (%)]])))-D.sign_Data[[#This Row],[COSTOS OPERACIONALES ($COP)]]</f>
        <v>47730.259931088294</v>
      </c>
      <c r="AB15" s="3">
        <f>+D.sign_Data[[#This Row],[COSTOS OPERACIONALES ($COP)]]+D.sign_Data[[#This Row],[DESFASE ($COP)]]+D.sign_Data[[#This Row],[UTILIDAD ($COP)]]</f>
        <v>175806.45741284185</v>
      </c>
      <c r="AC15" s="101">
        <v>0.05</v>
      </c>
      <c r="AD15" s="15">
        <f>+D.sign_Data[[#This Row],[VALOR NETO ($COP)]]/(100%-D.sign_Data[[#This Row],[MARGEN DE NEGOCIACIÓN (%)]])-D.sign_Data[[#This Row],[VALOR NETO ($COP)]]</f>
        <v>9252.9714427811559</v>
      </c>
      <c r="AE15" s="15">
        <f>+(D.sign_Data[[#This Row],[VALOR NETO ($COP)]]+D.sign_Data[[#This Row],[NEGOCIACIÓN ($COP)]])*1%</f>
        <v>1850.5942885562301</v>
      </c>
      <c r="AF15" s="15">
        <f>+(D.sign_Data[[#This Row],[VALOR NETO ($COP)]]+D.sign_Data[[#This Row],[NEGOCIACIÓN ($COP)]])*1%</f>
        <v>1850.5942885562301</v>
      </c>
      <c r="AG15" s="3">
        <f>+D.sign_Data[[#This Row],[VALOR NETO ($COP)]]+D.sign_Data[[#This Row],[NEGOCIACIÓN ($COP)]]+D.sign_Data[[#This Row],[ICA ($COP)]]+D.sign_Data[[#This Row],[4 * 1000 ($COP)]]</f>
        <v>188760.61743273545</v>
      </c>
    </row>
    <row r="16" spans="1:33" ht="60" hidden="1" customHeight="1" x14ac:dyDescent="0.25">
      <c r="A16" s="14"/>
      <c r="B16" s="87" t="s">
        <v>418</v>
      </c>
      <c r="C16" s="182" t="s">
        <v>419</v>
      </c>
      <c r="D16" s="189" t="str">
        <f>VLOOKUP(D.sign_Data[[#This Row],[CÓDIGO]],Descripciones[[CÓDIGO]:[NOMBRE DE SERVICIO]],3,FALSE)</f>
        <v>D1. Parcelaciones y Condominios</v>
      </c>
      <c r="E16" s="87" t="s">
        <v>420</v>
      </c>
      <c r="F16" s="88" t="s">
        <v>421</v>
      </c>
      <c r="G16" s="88" t="s">
        <v>422</v>
      </c>
      <c r="H16" s="87" t="s">
        <v>429</v>
      </c>
      <c r="I16" s="89">
        <v>1</v>
      </c>
      <c r="J16" s="88" t="s">
        <v>430</v>
      </c>
      <c r="K16" s="102"/>
      <c r="L16" s="88" t="s">
        <v>438</v>
      </c>
      <c r="M16" s="89" t="s">
        <v>381</v>
      </c>
      <c r="N16" s="90">
        <v>9.4</v>
      </c>
      <c r="O16" s="27">
        <f>IFERROR(+VLOOKUP(M16,D.sign_Lista_Data[[RESPONSABLE]:[SOFTWARE 
VALOR HORA]],3,FALSE),"0")</f>
        <v>20263.424518743668</v>
      </c>
      <c r="P16" s="3">
        <f t="shared" si="0"/>
        <v>190476.19047619047</v>
      </c>
      <c r="Q16" s="11">
        <f>IFERROR(+VLOOKUP(M16,D.sign_Lista_Data[[RESPONSABLE]:[SOFTWARE 
VALOR HORA]],5,FALSE)*D.sign_Data[[#This Row],[TIEMPO (HORAS)]],0)</f>
        <v>39682.539682539682</v>
      </c>
      <c r="R16" s="42">
        <f>IFERROR(+VLOOKUP(M16,D.sign_Lista_Data[[RESPONSABLE]:[SOFTWARE 
VALOR HORA]],8,FALSE)*D.sign_Data[[#This Row],[TIEMPO (HORAS)]],0)</f>
        <v>32062.035939153444</v>
      </c>
      <c r="S16" s="99">
        <v>0</v>
      </c>
      <c r="T16" s="99">
        <v>0</v>
      </c>
      <c r="U16" s="3">
        <f t="shared" si="1"/>
        <v>262220.76609788358</v>
      </c>
      <c r="V16" s="100">
        <f>D.sign_Data[[#This Row],[TIEMPO (HORAS)]]*Gastos_Operativos[[#Totals],[GASTOS HORA]]</f>
        <v>261221.08447971777</v>
      </c>
      <c r="W16" s="3">
        <f>+D.sign_Data[[#This Row],[COSTO 
DIRECTO ($COP)]]+D.sign_Data[[#This Row],[PRORRATEO GASTOS ($COP)]]</f>
        <v>523441.85057760135</v>
      </c>
      <c r="X16" s="101">
        <v>0.15</v>
      </c>
      <c r="Y16" s="15">
        <f>+D.sign_Data[[#This Row],[COSTOS OPERACIONALES ($COP)]]*D.sign_Data[[#This Row],[DESFASE (%)]]</f>
        <v>78516.277586640193</v>
      </c>
      <c r="Z16" s="101">
        <v>0.3</v>
      </c>
      <c r="AA16" s="15">
        <f>+((D.sign_Data[[#This Row],[COSTOS OPERACIONALES ($COP)]]/(100%-D.sign_Data[[#This Row],[UTILIDAD (%)]])))-D.sign_Data[[#This Row],[COSTOS OPERACIONALES ($COP)]]</f>
        <v>224332.22167611495</v>
      </c>
      <c r="AB16" s="3">
        <f>+D.sign_Data[[#This Row],[COSTOS OPERACIONALES ($COP)]]+D.sign_Data[[#This Row],[DESFASE ($COP)]]+D.sign_Data[[#This Row],[UTILIDAD ($COP)]]</f>
        <v>826290.3498403565</v>
      </c>
      <c r="AC16" s="101">
        <v>0.05</v>
      </c>
      <c r="AD16" s="15">
        <f>+D.sign_Data[[#This Row],[VALOR NETO ($COP)]]/(100%-D.sign_Data[[#This Row],[MARGEN DE NEGOCIACIÓN (%)]])-D.sign_Data[[#This Row],[VALOR NETO ($COP)]]</f>
        <v>43488.965781071456</v>
      </c>
      <c r="AE16" s="15">
        <f>+(D.sign_Data[[#This Row],[VALOR NETO ($COP)]]+D.sign_Data[[#This Row],[NEGOCIACIÓN ($COP)]])*1%</f>
        <v>8697.7931562142803</v>
      </c>
      <c r="AF16" s="15">
        <f>+(D.sign_Data[[#This Row],[VALOR NETO ($COP)]]+D.sign_Data[[#This Row],[NEGOCIACIÓN ($COP)]])*1%</f>
        <v>8697.7931562142803</v>
      </c>
      <c r="AG16" s="3">
        <f>+D.sign_Data[[#This Row],[VALOR NETO ($COP)]]+D.sign_Data[[#This Row],[NEGOCIACIÓN ($COP)]]+D.sign_Data[[#This Row],[ICA ($COP)]]+D.sign_Data[[#This Row],[4 * 1000 ($COP)]]</f>
        <v>887174.90193385654</v>
      </c>
    </row>
    <row r="17" spans="1:33" ht="60" hidden="1" customHeight="1" x14ac:dyDescent="0.25">
      <c r="A17" s="14"/>
      <c r="B17" s="87" t="s">
        <v>418</v>
      </c>
      <c r="C17" s="182" t="s">
        <v>419</v>
      </c>
      <c r="D17" s="189" t="str">
        <f>VLOOKUP(D.sign_Data[[#This Row],[CÓDIGO]],Descripciones[[CÓDIGO]:[NOMBRE DE SERVICIO]],3,FALSE)</f>
        <v>D1. Parcelaciones y Condominios</v>
      </c>
      <c r="E17" s="87" t="s">
        <v>420</v>
      </c>
      <c r="F17" s="88" t="s">
        <v>421</v>
      </c>
      <c r="G17" s="88" t="s">
        <v>422</v>
      </c>
      <c r="H17" s="87" t="s">
        <v>429</v>
      </c>
      <c r="I17" s="89">
        <v>1</v>
      </c>
      <c r="J17" s="88" t="s">
        <v>439</v>
      </c>
      <c r="K17" s="102"/>
      <c r="L17" s="88" t="s">
        <v>440</v>
      </c>
      <c r="M17" s="89" t="s">
        <v>381</v>
      </c>
      <c r="N17" s="90">
        <v>5</v>
      </c>
      <c r="O17" s="27">
        <f>IFERROR(+VLOOKUP(M17,D.sign_Lista_Data[[RESPONSABLE]:[SOFTWARE 
VALOR HORA]],3,FALSE),"0")</f>
        <v>20263.424518743668</v>
      </c>
      <c r="P17" s="3">
        <f t="shared" si="0"/>
        <v>101317.12259371835</v>
      </c>
      <c r="Q17" s="11">
        <f>IFERROR(+VLOOKUP(M17,D.sign_Lista_Data[[RESPONSABLE]:[SOFTWARE 
VALOR HORA]],5,FALSE)*D.sign_Data[[#This Row],[TIEMPO (HORAS)]],0)</f>
        <v>21107.733873691319</v>
      </c>
      <c r="R17" s="42">
        <f>IFERROR(+VLOOKUP(M17,D.sign_Lista_Data[[RESPONSABLE]:[SOFTWARE 
VALOR HORA]],8,FALSE)*D.sign_Data[[#This Row],[TIEMPO (HORAS)]],0)</f>
        <v>17054.274435719919</v>
      </c>
      <c r="S17" s="99">
        <v>0</v>
      </c>
      <c r="T17" s="99">
        <v>0</v>
      </c>
      <c r="U17" s="3">
        <f t="shared" si="1"/>
        <v>139479.13090312958</v>
      </c>
      <c r="V17" s="100">
        <f>D.sign_Data[[#This Row],[TIEMPO (HORAS)]]*Gastos_Operativos[[#Totals],[GASTOS HORA]]</f>
        <v>138947.38536155201</v>
      </c>
      <c r="W17" s="3">
        <f>+D.sign_Data[[#This Row],[COSTO 
DIRECTO ($COP)]]+D.sign_Data[[#This Row],[PRORRATEO GASTOS ($COP)]]</f>
        <v>278426.51626468159</v>
      </c>
      <c r="X17" s="101">
        <v>0.15</v>
      </c>
      <c r="Y17" s="15">
        <f>+D.sign_Data[[#This Row],[COSTOS OPERACIONALES ($COP)]]*D.sign_Data[[#This Row],[DESFASE (%)]]</f>
        <v>41763.977439702234</v>
      </c>
      <c r="Z17" s="101">
        <v>0.3</v>
      </c>
      <c r="AA17" s="15">
        <f>+((D.sign_Data[[#This Row],[COSTOS OPERACIONALES ($COP)]]/(100%-D.sign_Data[[#This Row],[UTILIDAD (%)]])))-D.sign_Data[[#This Row],[COSTOS OPERACIONALES ($COP)]]</f>
        <v>119325.64982772071</v>
      </c>
      <c r="AB17" s="3">
        <f>+D.sign_Data[[#This Row],[COSTOS OPERACIONALES ($COP)]]+D.sign_Data[[#This Row],[DESFASE ($COP)]]+D.sign_Data[[#This Row],[UTILIDAD ($COP)]]</f>
        <v>439516.14353210456</v>
      </c>
      <c r="AC17" s="101">
        <v>0.05</v>
      </c>
      <c r="AD17" s="15">
        <f>+D.sign_Data[[#This Row],[VALOR NETO ($COP)]]/(100%-D.sign_Data[[#This Row],[MARGEN DE NEGOCIACIÓN (%)]])-D.sign_Data[[#This Row],[VALOR NETO ($COP)]]</f>
        <v>23132.42860695289</v>
      </c>
      <c r="AE17" s="15">
        <f>+(D.sign_Data[[#This Row],[VALOR NETO ($COP)]]+D.sign_Data[[#This Row],[NEGOCIACIÓN ($COP)]])*1%</f>
        <v>4626.4857213905743</v>
      </c>
      <c r="AF17" s="15">
        <f>+(D.sign_Data[[#This Row],[VALOR NETO ($COP)]]+D.sign_Data[[#This Row],[NEGOCIACIÓN ($COP)]])*1%</f>
        <v>4626.4857213905743</v>
      </c>
      <c r="AG17" s="3">
        <f>+D.sign_Data[[#This Row],[VALOR NETO ($COP)]]+D.sign_Data[[#This Row],[NEGOCIACIÓN ($COP)]]+D.sign_Data[[#This Row],[ICA ($COP)]]+D.sign_Data[[#This Row],[4 * 1000 ($COP)]]</f>
        <v>471901.5435818386</v>
      </c>
    </row>
    <row r="18" spans="1:33" ht="60" hidden="1" customHeight="1" x14ac:dyDescent="0.25">
      <c r="A18" s="14"/>
      <c r="B18" s="87" t="s">
        <v>418</v>
      </c>
      <c r="C18" s="182" t="s">
        <v>419</v>
      </c>
      <c r="D18" s="189" t="str">
        <f>VLOOKUP(D.sign_Data[[#This Row],[CÓDIGO]],Descripciones[[CÓDIGO]:[NOMBRE DE SERVICIO]],3,FALSE)</f>
        <v>D1. Parcelaciones y Condominios</v>
      </c>
      <c r="E18" s="87" t="s">
        <v>420</v>
      </c>
      <c r="F18" s="88" t="s">
        <v>421</v>
      </c>
      <c r="G18" s="88" t="s">
        <v>422</v>
      </c>
      <c r="H18" s="87" t="s">
        <v>429</v>
      </c>
      <c r="I18" s="89">
        <v>1</v>
      </c>
      <c r="J18" s="88" t="s">
        <v>439</v>
      </c>
      <c r="K18" s="102"/>
      <c r="L18" s="88" t="s">
        <v>441</v>
      </c>
      <c r="M18" s="89" t="s">
        <v>381</v>
      </c>
      <c r="N18" s="90">
        <v>4</v>
      </c>
      <c r="O18" s="27">
        <f>IFERROR(+VLOOKUP(M18,D.sign_Lista_Data[[RESPONSABLE]:[SOFTWARE 
VALOR HORA]],3,FALSE),"0")</f>
        <v>20263.424518743668</v>
      </c>
      <c r="P18" s="3">
        <f t="shared" si="0"/>
        <v>81053.698074974673</v>
      </c>
      <c r="Q18" s="11">
        <f>IFERROR(+VLOOKUP(M18,D.sign_Lista_Data[[RESPONSABLE]:[SOFTWARE 
VALOR HORA]],5,FALSE)*D.sign_Data[[#This Row],[TIEMPO (HORAS)]],0)</f>
        <v>16886.187098953054</v>
      </c>
      <c r="R18" s="42">
        <f>IFERROR(+VLOOKUP(M18,D.sign_Lista_Data[[RESPONSABLE]:[SOFTWARE 
VALOR HORA]],8,FALSE)*D.sign_Data[[#This Row],[TIEMPO (HORAS)]],0)</f>
        <v>13643.419548575934</v>
      </c>
      <c r="S18" s="99">
        <v>0</v>
      </c>
      <c r="T18" s="99">
        <v>0</v>
      </c>
      <c r="U18" s="3">
        <f t="shared" si="1"/>
        <v>111583.30472250367</v>
      </c>
      <c r="V18" s="100">
        <f>D.sign_Data[[#This Row],[TIEMPO (HORAS)]]*Gastos_Operativos[[#Totals],[GASTOS HORA]]</f>
        <v>111157.9082892416</v>
      </c>
      <c r="W18" s="3">
        <f>+D.sign_Data[[#This Row],[COSTO 
DIRECTO ($COP)]]+D.sign_Data[[#This Row],[PRORRATEO GASTOS ($COP)]]</f>
        <v>222741.21301174528</v>
      </c>
      <c r="X18" s="101">
        <v>0.15</v>
      </c>
      <c r="Y18" s="15">
        <f>+D.sign_Data[[#This Row],[COSTOS OPERACIONALES ($COP)]]*D.sign_Data[[#This Row],[DESFASE (%)]]</f>
        <v>33411.181951761791</v>
      </c>
      <c r="Z18" s="101">
        <v>0.3</v>
      </c>
      <c r="AA18" s="15">
        <f>+((D.sign_Data[[#This Row],[COSTOS OPERACIONALES ($COP)]]/(100%-D.sign_Data[[#This Row],[UTILIDAD (%)]])))-D.sign_Data[[#This Row],[COSTOS OPERACIONALES ($COP)]]</f>
        <v>95460.519862176589</v>
      </c>
      <c r="AB18" s="3">
        <f>+D.sign_Data[[#This Row],[COSTOS OPERACIONALES ($COP)]]+D.sign_Data[[#This Row],[DESFASE ($COP)]]+D.sign_Data[[#This Row],[UTILIDAD ($COP)]]</f>
        <v>351612.91482568369</v>
      </c>
      <c r="AC18" s="101">
        <v>0.05</v>
      </c>
      <c r="AD18" s="15">
        <f>+D.sign_Data[[#This Row],[VALOR NETO ($COP)]]/(100%-D.sign_Data[[#This Row],[MARGEN DE NEGOCIACIÓN (%)]])-D.sign_Data[[#This Row],[VALOR NETO ($COP)]]</f>
        <v>18505.942885562312</v>
      </c>
      <c r="AE18" s="15">
        <f>+(D.sign_Data[[#This Row],[VALOR NETO ($COP)]]+D.sign_Data[[#This Row],[NEGOCIACIÓN ($COP)]])*1%</f>
        <v>3701.1885771124603</v>
      </c>
      <c r="AF18" s="15">
        <f>+(D.sign_Data[[#This Row],[VALOR NETO ($COP)]]+D.sign_Data[[#This Row],[NEGOCIACIÓN ($COP)]])*1%</f>
        <v>3701.1885771124603</v>
      </c>
      <c r="AG18" s="3">
        <f>+D.sign_Data[[#This Row],[VALOR NETO ($COP)]]+D.sign_Data[[#This Row],[NEGOCIACIÓN ($COP)]]+D.sign_Data[[#This Row],[ICA ($COP)]]+D.sign_Data[[#This Row],[4 * 1000 ($COP)]]</f>
        <v>377521.23486547091</v>
      </c>
    </row>
    <row r="19" spans="1:33" ht="60" hidden="1" customHeight="1" x14ac:dyDescent="0.25">
      <c r="A19" s="14"/>
      <c r="B19" s="87" t="s">
        <v>442</v>
      </c>
      <c r="C19" s="182" t="s">
        <v>443</v>
      </c>
      <c r="D19" s="189" t="str">
        <f>VLOOKUP(D.sign_Data[[#This Row],[CÓDIGO]],Descripciones[[CÓDIGO]:[NOMBRE DE SERVICIO]],3,FALSE)</f>
        <v>D1. Parcelaciones y Condominios</v>
      </c>
      <c r="E19" s="87" t="s">
        <v>420</v>
      </c>
      <c r="F19" s="88" t="s">
        <v>444</v>
      </c>
      <c r="G19" s="88" t="s">
        <v>445</v>
      </c>
      <c r="H19" s="87" t="s">
        <v>429</v>
      </c>
      <c r="I19" s="89">
        <v>1</v>
      </c>
      <c r="J19" s="88" t="s">
        <v>446</v>
      </c>
      <c r="K19" s="102"/>
      <c r="L19" s="88" t="s">
        <v>447</v>
      </c>
      <c r="M19" s="89" t="s">
        <v>381</v>
      </c>
      <c r="N19" s="90">
        <v>9.4</v>
      </c>
      <c r="O19" s="27">
        <f>IFERROR(+VLOOKUP(M19,D.sign_Lista_Data[[RESPONSABLE]:[SOFTWARE 
VALOR HORA]],3,FALSE),"0")</f>
        <v>20263.424518743668</v>
      </c>
      <c r="P19" s="3">
        <f t="shared" si="0"/>
        <v>190476.19047619047</v>
      </c>
      <c r="Q19" s="11">
        <f>IFERROR(+VLOOKUP(M19,D.sign_Lista_Data[[RESPONSABLE]:[SOFTWARE 
VALOR HORA]],5,FALSE)*D.sign_Data[[#This Row],[TIEMPO (HORAS)]],0)</f>
        <v>39682.539682539682</v>
      </c>
      <c r="R19" s="42">
        <f>IFERROR(+VLOOKUP(M19,D.sign_Lista_Data[[RESPONSABLE]:[SOFTWARE 
VALOR HORA]],8,FALSE)*D.sign_Data[[#This Row],[TIEMPO (HORAS)]],0)</f>
        <v>32062.035939153444</v>
      </c>
      <c r="S19" s="99">
        <v>0</v>
      </c>
      <c r="T19" s="99">
        <v>0</v>
      </c>
      <c r="U19" s="3">
        <f t="shared" si="1"/>
        <v>262220.76609788358</v>
      </c>
      <c r="V19" s="100">
        <f>D.sign_Data[[#This Row],[TIEMPO (HORAS)]]*Gastos_Operativos[[#Totals],[GASTOS HORA]]</f>
        <v>261221.08447971777</v>
      </c>
      <c r="W19" s="3">
        <f>+D.sign_Data[[#This Row],[COSTO 
DIRECTO ($COP)]]+D.sign_Data[[#This Row],[PRORRATEO GASTOS ($COP)]]</f>
        <v>523441.85057760135</v>
      </c>
      <c r="X19" s="101">
        <v>0.05</v>
      </c>
      <c r="Y19" s="15">
        <f>+D.sign_Data[[#This Row],[COSTOS OPERACIONALES ($COP)]]*D.sign_Data[[#This Row],[DESFASE (%)]]</f>
        <v>26172.092528880068</v>
      </c>
      <c r="Z19" s="101">
        <v>0.2</v>
      </c>
      <c r="AA19" s="15">
        <f>+((D.sign_Data[[#This Row],[COSTOS OPERACIONALES ($COP)]]/(100%-D.sign_Data[[#This Row],[UTILIDAD (%)]])))-D.sign_Data[[#This Row],[COSTOS OPERACIONALES ($COP)]]</f>
        <v>130860.46264440031</v>
      </c>
      <c r="AB19" s="3">
        <f>+D.sign_Data[[#This Row],[COSTOS OPERACIONALES ($COP)]]+D.sign_Data[[#This Row],[DESFASE ($COP)]]+D.sign_Data[[#This Row],[UTILIDAD ($COP)]]</f>
        <v>680474.40575088176</v>
      </c>
      <c r="AC19" s="101">
        <v>0.05</v>
      </c>
      <c r="AD19" s="15">
        <f>+D.sign_Data[[#This Row],[VALOR NETO ($COP)]]/(100%-D.sign_Data[[#This Row],[MARGEN DE NEGOCIACIÓN (%)]])-D.sign_Data[[#This Row],[VALOR NETO ($COP)]]</f>
        <v>35814.442407941213</v>
      </c>
      <c r="AE19" s="15">
        <f>+(D.sign_Data[[#This Row],[VALOR NETO ($COP)]]+D.sign_Data[[#This Row],[NEGOCIACIÓN ($COP)]])*1%</f>
        <v>7162.8884815882302</v>
      </c>
      <c r="AF19" s="15">
        <f>+(D.sign_Data[[#This Row],[VALOR NETO ($COP)]]+D.sign_Data[[#This Row],[NEGOCIACIÓN ($COP)]])*1%</f>
        <v>7162.8884815882302</v>
      </c>
      <c r="AG19" s="3">
        <f>+D.sign_Data[[#This Row],[VALOR NETO ($COP)]]+D.sign_Data[[#This Row],[NEGOCIACIÓN ($COP)]]+D.sign_Data[[#This Row],[ICA ($COP)]]+D.sign_Data[[#This Row],[4 * 1000 ($COP)]]</f>
        <v>730614.62512199942</v>
      </c>
    </row>
    <row r="20" spans="1:33" ht="60" hidden="1" customHeight="1" x14ac:dyDescent="0.25">
      <c r="A20" s="14"/>
      <c r="B20" s="87" t="s">
        <v>442</v>
      </c>
      <c r="C20" s="182" t="s">
        <v>443</v>
      </c>
      <c r="D20" s="189" t="str">
        <f>VLOOKUP(D.sign_Data[[#This Row],[CÓDIGO]],Descripciones[[CÓDIGO]:[NOMBRE DE SERVICIO]],3,FALSE)</f>
        <v>D1. Parcelaciones y Condominios</v>
      </c>
      <c r="E20" s="87" t="s">
        <v>420</v>
      </c>
      <c r="F20" s="88" t="s">
        <v>444</v>
      </c>
      <c r="G20" s="88" t="s">
        <v>445</v>
      </c>
      <c r="H20" s="87" t="s">
        <v>448</v>
      </c>
      <c r="I20" s="89">
        <v>1</v>
      </c>
      <c r="J20" s="88" t="s">
        <v>449</v>
      </c>
      <c r="K20" s="102"/>
      <c r="L20" s="88" t="s">
        <v>450</v>
      </c>
      <c r="M20" s="89" t="s">
        <v>381</v>
      </c>
      <c r="N20" s="90">
        <v>5</v>
      </c>
      <c r="O20" s="27">
        <f>IFERROR(+VLOOKUP(M20,D.sign_Lista_Data[[RESPONSABLE]:[SOFTWARE 
VALOR HORA]],3,FALSE),"0")</f>
        <v>20263.424518743668</v>
      </c>
      <c r="P20" s="3">
        <f t="shared" si="0"/>
        <v>101317.12259371835</v>
      </c>
      <c r="Q20" s="11">
        <f>IFERROR(+VLOOKUP(M20,D.sign_Lista_Data[[RESPONSABLE]:[SOFTWARE 
VALOR HORA]],5,FALSE)*D.sign_Data[[#This Row],[TIEMPO (HORAS)]],0)</f>
        <v>21107.733873691319</v>
      </c>
      <c r="R20" s="42">
        <f>IFERROR(+VLOOKUP(M20,D.sign_Lista_Data[[RESPONSABLE]:[SOFTWARE 
VALOR HORA]],8,FALSE)*D.sign_Data[[#This Row],[TIEMPO (HORAS)]],0)</f>
        <v>17054.274435719919</v>
      </c>
      <c r="S20" s="99">
        <v>0</v>
      </c>
      <c r="T20" s="99">
        <v>0</v>
      </c>
      <c r="U20" s="3">
        <f t="shared" si="1"/>
        <v>139479.13090312958</v>
      </c>
      <c r="V20" s="100">
        <f>D.sign_Data[[#This Row],[TIEMPO (HORAS)]]*Gastos_Operativos[[#Totals],[GASTOS HORA]]</f>
        <v>138947.38536155201</v>
      </c>
      <c r="W20" s="3">
        <f>+D.sign_Data[[#This Row],[COSTO 
DIRECTO ($COP)]]+D.sign_Data[[#This Row],[PRORRATEO GASTOS ($COP)]]</f>
        <v>278426.51626468159</v>
      </c>
      <c r="X20" s="101">
        <v>0.05</v>
      </c>
      <c r="Y20" s="15">
        <f>+D.sign_Data[[#This Row],[COSTOS OPERACIONALES ($COP)]]*D.sign_Data[[#This Row],[DESFASE (%)]]</f>
        <v>13921.32581323408</v>
      </c>
      <c r="Z20" s="101">
        <v>0.2</v>
      </c>
      <c r="AA20" s="15">
        <f>+((D.sign_Data[[#This Row],[COSTOS OPERACIONALES ($COP)]]/(100%-D.sign_Data[[#This Row],[UTILIDAD (%)]])))-D.sign_Data[[#This Row],[COSTOS OPERACIONALES ($COP)]]</f>
        <v>69606.629066170368</v>
      </c>
      <c r="AB20" s="3">
        <f>+D.sign_Data[[#This Row],[COSTOS OPERACIONALES ($COP)]]+D.sign_Data[[#This Row],[DESFASE ($COP)]]+D.sign_Data[[#This Row],[UTILIDAD ($COP)]]</f>
        <v>361954.47114408604</v>
      </c>
      <c r="AC20" s="101">
        <v>0.05</v>
      </c>
      <c r="AD20" s="15">
        <f>+D.sign_Data[[#This Row],[VALOR NETO ($COP)]]/(100%-D.sign_Data[[#This Row],[MARGEN DE NEGOCIACIÓN (%)]])-D.sign_Data[[#This Row],[VALOR NETO ($COP)]]</f>
        <v>19050.235323372995</v>
      </c>
      <c r="AE20" s="15">
        <f>+(D.sign_Data[[#This Row],[VALOR NETO ($COP)]]+D.sign_Data[[#This Row],[NEGOCIACIÓN ($COP)]])*1%</f>
        <v>3810.0470646745903</v>
      </c>
      <c r="AF20" s="15">
        <f>+(D.sign_Data[[#This Row],[VALOR NETO ($COP)]]+D.sign_Data[[#This Row],[NEGOCIACIÓN ($COP)]])*1%</f>
        <v>3810.0470646745903</v>
      </c>
      <c r="AG20" s="3">
        <f>+D.sign_Data[[#This Row],[VALOR NETO ($COP)]]+D.sign_Data[[#This Row],[NEGOCIACIÓN ($COP)]]+D.sign_Data[[#This Row],[ICA ($COP)]]+D.sign_Data[[#This Row],[4 * 1000 ($COP)]]</f>
        <v>388624.80059680826</v>
      </c>
    </row>
    <row r="21" spans="1:33" ht="60" hidden="1" customHeight="1" x14ac:dyDescent="0.25">
      <c r="A21" s="14"/>
      <c r="B21" s="87" t="s">
        <v>442</v>
      </c>
      <c r="C21" s="182" t="s">
        <v>443</v>
      </c>
      <c r="D21" s="189" t="str">
        <f>VLOOKUP(D.sign_Data[[#This Row],[CÓDIGO]],Descripciones[[CÓDIGO]:[NOMBRE DE SERVICIO]],3,FALSE)</f>
        <v>D1. Parcelaciones y Condominios</v>
      </c>
      <c r="E21" s="87" t="s">
        <v>420</v>
      </c>
      <c r="F21" s="88" t="s">
        <v>444</v>
      </c>
      <c r="G21" s="88" t="s">
        <v>445</v>
      </c>
      <c r="H21" s="87" t="s">
        <v>448</v>
      </c>
      <c r="I21" s="89">
        <v>1</v>
      </c>
      <c r="J21" s="88" t="s">
        <v>451</v>
      </c>
      <c r="K21" s="102"/>
      <c r="L21" s="88" t="s">
        <v>452</v>
      </c>
      <c r="M21" s="89" t="s">
        <v>381</v>
      </c>
      <c r="N21" s="90">
        <v>1.5</v>
      </c>
      <c r="O21" s="27">
        <f>IFERROR(+VLOOKUP(M21,D.sign_Lista_Data[[RESPONSABLE]:[SOFTWARE 
VALOR HORA]],3,FALSE),"0")</f>
        <v>20263.424518743668</v>
      </c>
      <c r="P21" s="3">
        <f t="shared" si="0"/>
        <v>30395.136778115502</v>
      </c>
      <c r="Q21" s="11">
        <f>IFERROR(+VLOOKUP(M21,D.sign_Lista_Data[[RESPONSABLE]:[SOFTWARE 
VALOR HORA]],5,FALSE)*D.sign_Data[[#This Row],[TIEMPO (HORAS)]],0)</f>
        <v>6332.3201621073949</v>
      </c>
      <c r="R21" s="42">
        <f>IFERROR(+VLOOKUP(M21,D.sign_Lista_Data[[RESPONSABLE]:[SOFTWARE 
VALOR HORA]],8,FALSE)*D.sign_Data[[#This Row],[TIEMPO (HORAS)]],0)</f>
        <v>5116.2823307159751</v>
      </c>
      <c r="S21" s="99">
        <v>0</v>
      </c>
      <c r="T21" s="99">
        <v>0</v>
      </c>
      <c r="U21" s="3">
        <f t="shared" si="1"/>
        <v>41843.739270938873</v>
      </c>
      <c r="V21" s="100">
        <f>D.sign_Data[[#This Row],[TIEMPO (HORAS)]]*Gastos_Operativos[[#Totals],[GASTOS HORA]]</f>
        <v>41684.215608465602</v>
      </c>
      <c r="W21" s="3">
        <f>+D.sign_Data[[#This Row],[COSTO 
DIRECTO ($COP)]]+D.sign_Data[[#This Row],[PRORRATEO GASTOS ($COP)]]</f>
        <v>83527.954879404482</v>
      </c>
      <c r="X21" s="101">
        <v>0.05</v>
      </c>
      <c r="Y21" s="15">
        <f>+D.sign_Data[[#This Row],[COSTOS OPERACIONALES ($COP)]]*D.sign_Data[[#This Row],[DESFASE (%)]]</f>
        <v>4176.3977439702239</v>
      </c>
      <c r="Z21" s="101">
        <v>0.2</v>
      </c>
      <c r="AA21" s="15">
        <f>+((D.sign_Data[[#This Row],[COSTOS OPERACIONALES ($COP)]]/(100%-D.sign_Data[[#This Row],[UTILIDAD (%)]])))-D.sign_Data[[#This Row],[COSTOS OPERACIONALES ($COP)]]</f>
        <v>20881.988719851113</v>
      </c>
      <c r="AB21" s="3">
        <f>+D.sign_Data[[#This Row],[COSTOS OPERACIONALES ($COP)]]+D.sign_Data[[#This Row],[DESFASE ($COP)]]+D.sign_Data[[#This Row],[UTILIDAD ($COP)]]</f>
        <v>108586.34134322582</v>
      </c>
      <c r="AC21" s="101">
        <v>0.05</v>
      </c>
      <c r="AD21" s="15">
        <f>+D.sign_Data[[#This Row],[VALOR NETO ($COP)]]/(100%-D.sign_Data[[#This Row],[MARGEN DE NEGOCIACIÓN (%)]])-D.sign_Data[[#This Row],[VALOR NETO ($COP)]]</f>
        <v>5715.070597011887</v>
      </c>
      <c r="AE21" s="15">
        <f>+(D.sign_Data[[#This Row],[VALOR NETO ($COP)]]+D.sign_Data[[#This Row],[NEGOCIACIÓN ($COP)]])*1%</f>
        <v>1143.0141194023772</v>
      </c>
      <c r="AF21" s="15">
        <f>+(D.sign_Data[[#This Row],[VALOR NETO ($COP)]]+D.sign_Data[[#This Row],[NEGOCIACIÓN ($COP)]])*1%</f>
        <v>1143.0141194023772</v>
      </c>
      <c r="AG21" s="3">
        <f>+D.sign_Data[[#This Row],[VALOR NETO ($COP)]]+D.sign_Data[[#This Row],[NEGOCIACIÓN ($COP)]]+D.sign_Data[[#This Row],[ICA ($COP)]]+D.sign_Data[[#This Row],[4 * 1000 ($COP)]]</f>
        <v>116587.44017904246</v>
      </c>
    </row>
    <row r="22" spans="1:33" ht="60" hidden="1" customHeight="1" x14ac:dyDescent="0.25">
      <c r="A22" s="14"/>
      <c r="B22" s="87" t="s">
        <v>442</v>
      </c>
      <c r="C22" s="182" t="s">
        <v>443</v>
      </c>
      <c r="D22" s="189" t="str">
        <f>VLOOKUP(D.sign_Data[[#This Row],[CÓDIGO]],Descripciones[[CÓDIGO]:[NOMBRE DE SERVICIO]],3,FALSE)</f>
        <v>D1. Parcelaciones y Condominios</v>
      </c>
      <c r="E22" s="87" t="s">
        <v>420</v>
      </c>
      <c r="F22" s="88" t="s">
        <v>444</v>
      </c>
      <c r="G22" s="88" t="s">
        <v>445</v>
      </c>
      <c r="H22" s="87" t="s">
        <v>448</v>
      </c>
      <c r="I22" s="89">
        <v>1</v>
      </c>
      <c r="J22" s="88" t="s">
        <v>451</v>
      </c>
      <c r="K22" s="102"/>
      <c r="L22" s="88" t="s">
        <v>453</v>
      </c>
      <c r="M22" s="89" t="s">
        <v>381</v>
      </c>
      <c r="N22" s="90">
        <v>0.5</v>
      </c>
      <c r="O22" s="27">
        <f>IFERROR(+VLOOKUP(M22,D.sign_Lista_Data[[RESPONSABLE]:[SOFTWARE 
VALOR HORA]],3,FALSE),"0")</f>
        <v>20263.424518743668</v>
      </c>
      <c r="P22" s="3">
        <f t="shared" si="0"/>
        <v>10131.712259371834</v>
      </c>
      <c r="Q22" s="11">
        <f>IFERROR(+VLOOKUP(M22,D.sign_Lista_Data[[RESPONSABLE]:[SOFTWARE 
VALOR HORA]],5,FALSE)*D.sign_Data[[#This Row],[TIEMPO (HORAS)]],0)</f>
        <v>2110.7733873691318</v>
      </c>
      <c r="R22" s="42">
        <f>IFERROR(+VLOOKUP(M22,D.sign_Lista_Data[[RESPONSABLE]:[SOFTWARE 
VALOR HORA]],8,FALSE)*D.sign_Data[[#This Row],[TIEMPO (HORAS)]],0)</f>
        <v>1705.4274435719917</v>
      </c>
      <c r="S22" s="99">
        <v>0</v>
      </c>
      <c r="T22" s="99">
        <v>0</v>
      </c>
      <c r="U22" s="3">
        <f t="shared" si="1"/>
        <v>13947.913090312959</v>
      </c>
      <c r="V22" s="100">
        <f>D.sign_Data[[#This Row],[TIEMPO (HORAS)]]*Gastos_Operativos[[#Totals],[GASTOS HORA]]</f>
        <v>13894.738536155201</v>
      </c>
      <c r="W22" s="3">
        <f>+D.sign_Data[[#This Row],[COSTO 
DIRECTO ($COP)]]+D.sign_Data[[#This Row],[PRORRATEO GASTOS ($COP)]]</f>
        <v>27842.65162646816</v>
      </c>
      <c r="X22" s="101">
        <v>0.05</v>
      </c>
      <c r="Y22" s="15">
        <f>+D.sign_Data[[#This Row],[COSTOS OPERACIONALES ($COP)]]*D.sign_Data[[#This Row],[DESFASE (%)]]</f>
        <v>1392.132581323408</v>
      </c>
      <c r="Z22" s="101">
        <v>0.2</v>
      </c>
      <c r="AA22" s="15">
        <f>+((D.sign_Data[[#This Row],[COSTOS OPERACIONALES ($COP)]]/(100%-D.sign_Data[[#This Row],[UTILIDAD (%)]])))-D.sign_Data[[#This Row],[COSTOS OPERACIONALES ($COP)]]</f>
        <v>6960.662906617039</v>
      </c>
      <c r="AB22" s="3">
        <f>+D.sign_Data[[#This Row],[COSTOS OPERACIONALES ($COP)]]+D.sign_Data[[#This Row],[DESFASE ($COP)]]+D.sign_Data[[#This Row],[UTILIDAD ($COP)]]</f>
        <v>36195.447114408606</v>
      </c>
      <c r="AC22" s="101">
        <v>0.05</v>
      </c>
      <c r="AD22" s="15">
        <f>+D.sign_Data[[#This Row],[VALOR NETO ($COP)]]/(100%-D.sign_Data[[#This Row],[MARGEN DE NEGOCIACIÓN (%)]])-D.sign_Data[[#This Row],[VALOR NETO ($COP)]]</f>
        <v>1905.0235323372981</v>
      </c>
      <c r="AE22" s="15">
        <f>+(D.sign_Data[[#This Row],[VALOR NETO ($COP)]]+D.sign_Data[[#This Row],[NEGOCIACIÓN ($COP)]])*1%</f>
        <v>381.00470646745902</v>
      </c>
      <c r="AF22" s="15">
        <f>+(D.sign_Data[[#This Row],[VALOR NETO ($COP)]]+D.sign_Data[[#This Row],[NEGOCIACIÓN ($COP)]])*1%</f>
        <v>381.00470646745902</v>
      </c>
      <c r="AG22" s="3">
        <f>+D.sign_Data[[#This Row],[VALOR NETO ($COP)]]+D.sign_Data[[#This Row],[NEGOCIACIÓN ($COP)]]+D.sign_Data[[#This Row],[ICA ($COP)]]+D.sign_Data[[#This Row],[4 * 1000 ($COP)]]</f>
        <v>38862.48005968082</v>
      </c>
    </row>
    <row r="23" spans="1:33" ht="60" hidden="1" customHeight="1" x14ac:dyDescent="0.25">
      <c r="A23" s="14"/>
      <c r="B23" s="87" t="s">
        <v>442</v>
      </c>
      <c r="C23" s="182" t="s">
        <v>443</v>
      </c>
      <c r="D23" s="189" t="str">
        <f>VLOOKUP(D.sign_Data[[#This Row],[CÓDIGO]],Descripciones[[CÓDIGO]:[NOMBRE DE SERVICIO]],3,FALSE)</f>
        <v>D1. Parcelaciones y Condominios</v>
      </c>
      <c r="E23" s="87" t="s">
        <v>420</v>
      </c>
      <c r="F23" s="88" t="s">
        <v>444</v>
      </c>
      <c r="G23" s="88" t="s">
        <v>445</v>
      </c>
      <c r="H23" s="87" t="s">
        <v>448</v>
      </c>
      <c r="I23" s="89">
        <v>1</v>
      </c>
      <c r="J23" s="88" t="s">
        <v>454</v>
      </c>
      <c r="K23" s="102"/>
      <c r="L23" s="88" t="s">
        <v>454</v>
      </c>
      <c r="M23" s="89" t="s">
        <v>381</v>
      </c>
      <c r="N23" s="90">
        <v>3</v>
      </c>
      <c r="O23" s="27">
        <f>IFERROR(+VLOOKUP(M23,D.sign_Lista_Data[[RESPONSABLE]:[SOFTWARE 
VALOR HORA]],3,FALSE),"0")</f>
        <v>20263.424518743668</v>
      </c>
      <c r="P23" s="3">
        <f t="shared" si="0"/>
        <v>60790.273556231004</v>
      </c>
      <c r="Q23" s="11">
        <f>IFERROR(+VLOOKUP(M23,D.sign_Lista_Data[[RESPONSABLE]:[SOFTWARE 
VALOR HORA]],5,FALSE)*D.sign_Data[[#This Row],[TIEMPO (HORAS)]],0)</f>
        <v>12664.64032421479</v>
      </c>
      <c r="R23" s="42">
        <f>IFERROR(+VLOOKUP(M23,D.sign_Lista_Data[[RESPONSABLE]:[SOFTWARE 
VALOR HORA]],8,FALSE)*D.sign_Data[[#This Row],[TIEMPO (HORAS)]],0)</f>
        <v>10232.56466143195</v>
      </c>
      <c r="S23" s="99">
        <v>0</v>
      </c>
      <c r="T23" s="99">
        <v>0</v>
      </c>
      <c r="U23" s="3">
        <f t="shared" si="1"/>
        <v>83687.478541877746</v>
      </c>
      <c r="V23" s="100">
        <f>D.sign_Data[[#This Row],[TIEMPO (HORAS)]]*Gastos_Operativos[[#Totals],[GASTOS HORA]]</f>
        <v>83368.431216931203</v>
      </c>
      <c r="W23" s="3">
        <f>+D.sign_Data[[#This Row],[COSTO 
DIRECTO ($COP)]]+D.sign_Data[[#This Row],[PRORRATEO GASTOS ($COP)]]</f>
        <v>167055.90975880896</v>
      </c>
      <c r="X23" s="101">
        <v>0.05</v>
      </c>
      <c r="Y23" s="15">
        <f>+D.sign_Data[[#This Row],[COSTOS OPERACIONALES ($COP)]]*D.sign_Data[[#This Row],[DESFASE (%)]]</f>
        <v>8352.7954879404479</v>
      </c>
      <c r="Z23" s="101">
        <v>0.2</v>
      </c>
      <c r="AA23" s="15">
        <f>+((D.sign_Data[[#This Row],[COSTOS OPERACIONALES ($COP)]]/(100%-D.sign_Data[[#This Row],[UTILIDAD (%)]])))-D.sign_Data[[#This Row],[COSTOS OPERACIONALES ($COP)]]</f>
        <v>41763.977439702227</v>
      </c>
      <c r="AB23" s="3">
        <f>+D.sign_Data[[#This Row],[COSTOS OPERACIONALES ($COP)]]+D.sign_Data[[#This Row],[DESFASE ($COP)]]+D.sign_Data[[#This Row],[UTILIDAD ($COP)]]</f>
        <v>217172.68268645165</v>
      </c>
      <c r="AC23" s="101">
        <v>0.05</v>
      </c>
      <c r="AD23" s="15">
        <f>+D.sign_Data[[#This Row],[VALOR NETO ($COP)]]/(100%-D.sign_Data[[#This Row],[MARGEN DE NEGOCIACIÓN (%)]])-D.sign_Data[[#This Row],[VALOR NETO ($COP)]]</f>
        <v>11430.141194023774</v>
      </c>
      <c r="AE23" s="15">
        <f>+(D.sign_Data[[#This Row],[VALOR NETO ($COP)]]+D.sign_Data[[#This Row],[NEGOCIACIÓN ($COP)]])*1%</f>
        <v>2286.0282388047544</v>
      </c>
      <c r="AF23" s="15">
        <f>+(D.sign_Data[[#This Row],[VALOR NETO ($COP)]]+D.sign_Data[[#This Row],[NEGOCIACIÓN ($COP)]])*1%</f>
        <v>2286.0282388047544</v>
      </c>
      <c r="AG23" s="3">
        <f>+D.sign_Data[[#This Row],[VALOR NETO ($COP)]]+D.sign_Data[[#This Row],[NEGOCIACIÓN ($COP)]]+D.sign_Data[[#This Row],[ICA ($COP)]]+D.sign_Data[[#This Row],[4 * 1000 ($COP)]]</f>
        <v>233174.88035808492</v>
      </c>
    </row>
    <row r="24" spans="1:33" ht="60" hidden="1" customHeight="1" x14ac:dyDescent="0.25">
      <c r="A24" s="14"/>
      <c r="B24" s="87" t="s">
        <v>442</v>
      </c>
      <c r="C24" s="182" t="s">
        <v>443</v>
      </c>
      <c r="D24" s="189" t="str">
        <f>VLOOKUP(D.sign_Data[[#This Row],[CÓDIGO]],Descripciones[[CÓDIGO]:[NOMBRE DE SERVICIO]],3,FALSE)</f>
        <v>D1. Parcelaciones y Condominios</v>
      </c>
      <c r="E24" s="87" t="s">
        <v>420</v>
      </c>
      <c r="F24" s="88" t="s">
        <v>444</v>
      </c>
      <c r="G24" s="88" t="s">
        <v>445</v>
      </c>
      <c r="H24" s="87" t="s">
        <v>455</v>
      </c>
      <c r="I24" s="89">
        <v>1</v>
      </c>
      <c r="J24" s="88" t="s">
        <v>446</v>
      </c>
      <c r="K24" s="102"/>
      <c r="L24" s="91" t="s">
        <v>456</v>
      </c>
      <c r="M24" s="89" t="s">
        <v>381</v>
      </c>
      <c r="N24" s="90">
        <v>0.5</v>
      </c>
      <c r="O24" s="27">
        <f>IFERROR(+VLOOKUP(M24,D.sign_Lista_Data[[RESPONSABLE]:[SOFTWARE 
VALOR HORA]],3,FALSE),"0")</f>
        <v>20263.424518743668</v>
      </c>
      <c r="P24" s="3">
        <f t="shared" si="0"/>
        <v>10131.712259371834</v>
      </c>
      <c r="Q24" s="11">
        <f>IFERROR(+VLOOKUP(M24,D.sign_Lista_Data[[RESPONSABLE]:[SOFTWARE 
VALOR HORA]],5,FALSE)*D.sign_Data[[#This Row],[TIEMPO (HORAS)]],0)</f>
        <v>2110.7733873691318</v>
      </c>
      <c r="R24" s="42">
        <f>IFERROR(+VLOOKUP(M24,D.sign_Lista_Data[[RESPONSABLE]:[SOFTWARE 
VALOR HORA]],8,FALSE)*D.sign_Data[[#This Row],[TIEMPO (HORAS)]],0)</f>
        <v>1705.4274435719917</v>
      </c>
      <c r="S24" s="99">
        <v>0</v>
      </c>
      <c r="T24" s="99">
        <v>0</v>
      </c>
      <c r="U24" s="3">
        <f t="shared" si="1"/>
        <v>13947.913090312959</v>
      </c>
      <c r="V24" s="100">
        <f>D.sign_Data[[#This Row],[TIEMPO (HORAS)]]*Gastos_Operativos[[#Totals],[GASTOS HORA]]</f>
        <v>13894.738536155201</v>
      </c>
      <c r="W24" s="3">
        <f>+D.sign_Data[[#This Row],[COSTO 
DIRECTO ($COP)]]+D.sign_Data[[#This Row],[PRORRATEO GASTOS ($COP)]]</f>
        <v>27842.65162646816</v>
      </c>
      <c r="X24" s="101">
        <v>0.05</v>
      </c>
      <c r="Y24" s="15">
        <f>+D.sign_Data[[#This Row],[COSTOS OPERACIONALES ($COP)]]*D.sign_Data[[#This Row],[DESFASE (%)]]</f>
        <v>1392.132581323408</v>
      </c>
      <c r="Z24" s="101">
        <v>0.2</v>
      </c>
      <c r="AA24" s="15">
        <f>+((D.sign_Data[[#This Row],[COSTOS OPERACIONALES ($COP)]]/(100%-D.sign_Data[[#This Row],[UTILIDAD (%)]])))-D.sign_Data[[#This Row],[COSTOS OPERACIONALES ($COP)]]</f>
        <v>6960.662906617039</v>
      </c>
      <c r="AB24" s="3">
        <f>+D.sign_Data[[#This Row],[COSTOS OPERACIONALES ($COP)]]+D.sign_Data[[#This Row],[DESFASE ($COP)]]+D.sign_Data[[#This Row],[UTILIDAD ($COP)]]</f>
        <v>36195.447114408606</v>
      </c>
      <c r="AC24" s="101">
        <v>0.05</v>
      </c>
      <c r="AD24" s="15">
        <f>+D.sign_Data[[#This Row],[VALOR NETO ($COP)]]/(100%-D.sign_Data[[#This Row],[MARGEN DE NEGOCIACIÓN (%)]])-D.sign_Data[[#This Row],[VALOR NETO ($COP)]]</f>
        <v>1905.0235323372981</v>
      </c>
      <c r="AE24" s="15">
        <f>+(D.sign_Data[[#This Row],[VALOR NETO ($COP)]]+D.sign_Data[[#This Row],[NEGOCIACIÓN ($COP)]])*1%</f>
        <v>381.00470646745902</v>
      </c>
      <c r="AF24" s="15">
        <f>+(D.sign_Data[[#This Row],[VALOR NETO ($COP)]]+D.sign_Data[[#This Row],[NEGOCIACIÓN ($COP)]])*1%</f>
        <v>381.00470646745902</v>
      </c>
      <c r="AG24" s="3">
        <f>+D.sign_Data[[#This Row],[VALOR NETO ($COP)]]+D.sign_Data[[#This Row],[NEGOCIACIÓN ($COP)]]+D.sign_Data[[#This Row],[ICA ($COP)]]+D.sign_Data[[#This Row],[4 * 1000 ($COP)]]</f>
        <v>38862.48005968082</v>
      </c>
    </row>
    <row r="25" spans="1:33" ht="60" hidden="1" customHeight="1" x14ac:dyDescent="0.25">
      <c r="A25" s="14"/>
      <c r="B25" s="87" t="s">
        <v>442</v>
      </c>
      <c r="C25" s="182" t="s">
        <v>443</v>
      </c>
      <c r="D25" s="189" t="str">
        <f>VLOOKUP(D.sign_Data[[#This Row],[CÓDIGO]],Descripciones[[CÓDIGO]:[NOMBRE DE SERVICIO]],3,FALSE)</f>
        <v>D1. Parcelaciones y Condominios</v>
      </c>
      <c r="E25" s="87" t="s">
        <v>420</v>
      </c>
      <c r="F25" s="88" t="s">
        <v>444</v>
      </c>
      <c r="G25" s="88" t="s">
        <v>445</v>
      </c>
      <c r="H25" s="87" t="s">
        <v>455</v>
      </c>
      <c r="I25" s="89">
        <v>1</v>
      </c>
      <c r="J25" s="88" t="s">
        <v>446</v>
      </c>
      <c r="K25" s="102"/>
      <c r="L25" s="91" t="s">
        <v>457</v>
      </c>
      <c r="M25" s="89" t="s">
        <v>381</v>
      </c>
      <c r="N25" s="90">
        <v>8</v>
      </c>
      <c r="O25" s="27">
        <f>IFERROR(+VLOOKUP(M25,D.sign_Lista_Data[[RESPONSABLE]:[SOFTWARE 
VALOR HORA]],3,FALSE),"0")</f>
        <v>20263.424518743668</v>
      </c>
      <c r="P25" s="3">
        <f t="shared" si="0"/>
        <v>162107.39614994935</v>
      </c>
      <c r="Q25" s="11">
        <f>IFERROR(+VLOOKUP(M25,D.sign_Lista_Data[[RESPONSABLE]:[SOFTWARE 
VALOR HORA]],5,FALSE)*D.sign_Data[[#This Row],[TIEMPO (HORAS)]],0)</f>
        <v>33772.374197906109</v>
      </c>
      <c r="R25" s="42">
        <f>IFERROR(+VLOOKUP(M25,D.sign_Lista_Data[[RESPONSABLE]:[SOFTWARE 
VALOR HORA]],8,FALSE)*D.sign_Data[[#This Row],[TIEMPO (HORAS)]],0)</f>
        <v>27286.839097151867</v>
      </c>
      <c r="S25" s="99">
        <v>0</v>
      </c>
      <c r="T25" s="99">
        <v>0</v>
      </c>
      <c r="U25" s="3">
        <f t="shared" si="1"/>
        <v>223166.60944500734</v>
      </c>
      <c r="V25" s="100">
        <f>D.sign_Data[[#This Row],[TIEMPO (HORAS)]]*Gastos_Operativos[[#Totals],[GASTOS HORA]]</f>
        <v>222315.81657848321</v>
      </c>
      <c r="W25" s="3">
        <f>+D.sign_Data[[#This Row],[COSTO 
DIRECTO ($COP)]]+D.sign_Data[[#This Row],[PRORRATEO GASTOS ($COP)]]</f>
        <v>445482.42602349055</v>
      </c>
      <c r="X25" s="101">
        <v>0.05</v>
      </c>
      <c r="Y25" s="15">
        <f>+D.sign_Data[[#This Row],[COSTOS OPERACIONALES ($COP)]]*D.sign_Data[[#This Row],[DESFASE (%)]]</f>
        <v>22274.121301174528</v>
      </c>
      <c r="Z25" s="101">
        <v>0.2</v>
      </c>
      <c r="AA25" s="15">
        <f>+((D.sign_Data[[#This Row],[COSTOS OPERACIONALES ($COP)]]/(100%-D.sign_Data[[#This Row],[UTILIDAD (%)]])))-D.sign_Data[[#This Row],[COSTOS OPERACIONALES ($COP)]]</f>
        <v>111370.60650587262</v>
      </c>
      <c r="AB25" s="3">
        <f>+D.sign_Data[[#This Row],[COSTOS OPERACIONALES ($COP)]]+D.sign_Data[[#This Row],[DESFASE ($COP)]]+D.sign_Data[[#This Row],[UTILIDAD ($COP)]]</f>
        <v>579127.15383053769</v>
      </c>
      <c r="AC25" s="101">
        <v>0.05</v>
      </c>
      <c r="AD25" s="15">
        <f>+D.sign_Data[[#This Row],[VALOR NETO ($COP)]]/(100%-D.sign_Data[[#This Row],[MARGEN DE NEGOCIACIÓN (%)]])-D.sign_Data[[#This Row],[VALOR NETO ($COP)]]</f>
        <v>30480.376517396769</v>
      </c>
      <c r="AE25" s="15">
        <f>+(D.sign_Data[[#This Row],[VALOR NETO ($COP)]]+D.sign_Data[[#This Row],[NEGOCIACIÓN ($COP)]])*1%</f>
        <v>6096.0753034793443</v>
      </c>
      <c r="AF25" s="15">
        <f>+(D.sign_Data[[#This Row],[VALOR NETO ($COP)]]+D.sign_Data[[#This Row],[NEGOCIACIÓN ($COP)]])*1%</f>
        <v>6096.0753034793443</v>
      </c>
      <c r="AG25" s="3">
        <f>+D.sign_Data[[#This Row],[VALOR NETO ($COP)]]+D.sign_Data[[#This Row],[NEGOCIACIÓN ($COP)]]+D.sign_Data[[#This Row],[ICA ($COP)]]+D.sign_Data[[#This Row],[4 * 1000 ($COP)]]</f>
        <v>621799.68095489312</v>
      </c>
    </row>
    <row r="26" spans="1:33" ht="60" hidden="1" customHeight="1" x14ac:dyDescent="0.25">
      <c r="A26" s="14"/>
      <c r="B26" s="87" t="s">
        <v>442</v>
      </c>
      <c r="C26" s="182" t="s">
        <v>443</v>
      </c>
      <c r="D26" s="189" t="str">
        <f>VLOOKUP(D.sign_Data[[#This Row],[CÓDIGO]],Descripciones[[CÓDIGO]:[NOMBRE DE SERVICIO]],3,FALSE)</f>
        <v>D1. Parcelaciones y Condominios</v>
      </c>
      <c r="E26" s="87" t="s">
        <v>420</v>
      </c>
      <c r="F26" s="88" t="s">
        <v>444</v>
      </c>
      <c r="G26" s="88" t="s">
        <v>445</v>
      </c>
      <c r="H26" s="87" t="s">
        <v>455</v>
      </c>
      <c r="I26" s="89">
        <v>1</v>
      </c>
      <c r="J26" s="88" t="s">
        <v>446</v>
      </c>
      <c r="K26" s="102"/>
      <c r="L26" s="91" t="s">
        <v>458</v>
      </c>
      <c r="M26" s="89" t="s">
        <v>381</v>
      </c>
      <c r="N26" s="90">
        <v>4</v>
      </c>
      <c r="O26" s="27">
        <f>IFERROR(+VLOOKUP(M26,D.sign_Lista_Data[[RESPONSABLE]:[SOFTWARE 
VALOR HORA]],3,FALSE),"0")</f>
        <v>20263.424518743668</v>
      </c>
      <c r="P26" s="3">
        <f t="shared" si="0"/>
        <v>81053.698074974673</v>
      </c>
      <c r="Q26" s="11">
        <f>IFERROR(+VLOOKUP(M26,D.sign_Lista_Data[[RESPONSABLE]:[SOFTWARE 
VALOR HORA]],5,FALSE)*D.sign_Data[[#This Row],[TIEMPO (HORAS)]],0)</f>
        <v>16886.187098953054</v>
      </c>
      <c r="R26" s="42">
        <f>IFERROR(+VLOOKUP(M26,D.sign_Lista_Data[[RESPONSABLE]:[SOFTWARE 
VALOR HORA]],8,FALSE)*D.sign_Data[[#This Row],[TIEMPO (HORAS)]],0)</f>
        <v>13643.419548575934</v>
      </c>
      <c r="S26" s="99">
        <v>0</v>
      </c>
      <c r="T26" s="99">
        <v>0</v>
      </c>
      <c r="U26" s="3">
        <f t="shared" si="1"/>
        <v>111583.30472250367</v>
      </c>
      <c r="V26" s="100">
        <f>D.sign_Data[[#This Row],[TIEMPO (HORAS)]]*Gastos_Operativos[[#Totals],[GASTOS HORA]]</f>
        <v>111157.9082892416</v>
      </c>
      <c r="W26" s="3">
        <f>+D.sign_Data[[#This Row],[COSTO 
DIRECTO ($COP)]]+D.sign_Data[[#This Row],[PRORRATEO GASTOS ($COP)]]</f>
        <v>222741.21301174528</v>
      </c>
      <c r="X26" s="101">
        <v>0.05</v>
      </c>
      <c r="Y26" s="15">
        <f>+D.sign_Data[[#This Row],[COSTOS OPERACIONALES ($COP)]]*D.sign_Data[[#This Row],[DESFASE (%)]]</f>
        <v>11137.060650587264</v>
      </c>
      <c r="Z26" s="101">
        <v>0.2</v>
      </c>
      <c r="AA26" s="15">
        <f>+((D.sign_Data[[#This Row],[COSTOS OPERACIONALES ($COP)]]/(100%-D.sign_Data[[#This Row],[UTILIDAD (%)]])))-D.sign_Data[[#This Row],[COSTOS OPERACIONALES ($COP)]]</f>
        <v>55685.303252936312</v>
      </c>
      <c r="AB26" s="3">
        <f>+D.sign_Data[[#This Row],[COSTOS OPERACIONALES ($COP)]]+D.sign_Data[[#This Row],[DESFASE ($COP)]]+D.sign_Data[[#This Row],[UTILIDAD ($COP)]]</f>
        <v>289563.57691526884</v>
      </c>
      <c r="AC26" s="101">
        <v>0.05</v>
      </c>
      <c r="AD26" s="15">
        <f>+D.sign_Data[[#This Row],[VALOR NETO ($COP)]]/(100%-D.sign_Data[[#This Row],[MARGEN DE NEGOCIACIÓN (%)]])-D.sign_Data[[#This Row],[VALOR NETO ($COP)]]</f>
        <v>15240.188258698385</v>
      </c>
      <c r="AE26" s="15">
        <f>+(D.sign_Data[[#This Row],[VALOR NETO ($COP)]]+D.sign_Data[[#This Row],[NEGOCIACIÓN ($COP)]])*1%</f>
        <v>3048.0376517396721</v>
      </c>
      <c r="AF26" s="15">
        <f>+(D.sign_Data[[#This Row],[VALOR NETO ($COP)]]+D.sign_Data[[#This Row],[NEGOCIACIÓN ($COP)]])*1%</f>
        <v>3048.0376517396721</v>
      </c>
      <c r="AG26" s="3">
        <f>+D.sign_Data[[#This Row],[VALOR NETO ($COP)]]+D.sign_Data[[#This Row],[NEGOCIACIÓN ($COP)]]+D.sign_Data[[#This Row],[ICA ($COP)]]+D.sign_Data[[#This Row],[4 * 1000 ($COP)]]</f>
        <v>310899.84047744656</v>
      </c>
    </row>
    <row r="27" spans="1:33" ht="60" hidden="1" customHeight="1" x14ac:dyDescent="0.25">
      <c r="A27" s="14"/>
      <c r="B27" s="87" t="s">
        <v>442</v>
      </c>
      <c r="C27" s="182" t="s">
        <v>443</v>
      </c>
      <c r="D27" s="189" t="str">
        <f>VLOOKUP(D.sign_Data[[#This Row],[CÓDIGO]],Descripciones[[CÓDIGO]:[NOMBRE DE SERVICIO]],3,FALSE)</f>
        <v>D1. Parcelaciones y Condominios</v>
      </c>
      <c r="E27" s="87" t="s">
        <v>420</v>
      </c>
      <c r="F27" s="88" t="s">
        <v>444</v>
      </c>
      <c r="G27" s="88" t="s">
        <v>445</v>
      </c>
      <c r="H27" s="87" t="s">
        <v>455</v>
      </c>
      <c r="I27" s="89">
        <v>1</v>
      </c>
      <c r="J27" s="88" t="s">
        <v>446</v>
      </c>
      <c r="K27" s="102"/>
      <c r="L27" s="91" t="s">
        <v>459</v>
      </c>
      <c r="M27" s="89" t="s">
        <v>381</v>
      </c>
      <c r="N27" s="90">
        <v>4</v>
      </c>
      <c r="O27" s="27">
        <f>IFERROR(+VLOOKUP(M27,D.sign_Lista_Data[[RESPONSABLE]:[SOFTWARE 
VALOR HORA]],3,FALSE),"0")</f>
        <v>20263.424518743668</v>
      </c>
      <c r="P27" s="3">
        <f t="shared" si="0"/>
        <v>81053.698074974673</v>
      </c>
      <c r="Q27" s="11">
        <f>IFERROR(+VLOOKUP(M27,D.sign_Lista_Data[[RESPONSABLE]:[SOFTWARE 
VALOR HORA]],5,FALSE)*D.sign_Data[[#This Row],[TIEMPO (HORAS)]],0)</f>
        <v>16886.187098953054</v>
      </c>
      <c r="R27" s="42">
        <f>IFERROR(+VLOOKUP(M27,D.sign_Lista_Data[[RESPONSABLE]:[SOFTWARE 
VALOR HORA]],8,FALSE)*D.sign_Data[[#This Row],[TIEMPO (HORAS)]],0)</f>
        <v>13643.419548575934</v>
      </c>
      <c r="S27" s="99">
        <v>0</v>
      </c>
      <c r="T27" s="99">
        <v>0</v>
      </c>
      <c r="U27" s="3">
        <f t="shared" si="1"/>
        <v>111583.30472250367</v>
      </c>
      <c r="V27" s="100">
        <f>D.sign_Data[[#This Row],[TIEMPO (HORAS)]]*Gastos_Operativos[[#Totals],[GASTOS HORA]]</f>
        <v>111157.9082892416</v>
      </c>
      <c r="W27" s="3">
        <f>+D.sign_Data[[#This Row],[COSTO 
DIRECTO ($COP)]]+D.sign_Data[[#This Row],[PRORRATEO GASTOS ($COP)]]</f>
        <v>222741.21301174528</v>
      </c>
      <c r="X27" s="101">
        <v>0.05</v>
      </c>
      <c r="Y27" s="15">
        <f>+D.sign_Data[[#This Row],[COSTOS OPERACIONALES ($COP)]]*D.sign_Data[[#This Row],[DESFASE (%)]]</f>
        <v>11137.060650587264</v>
      </c>
      <c r="Z27" s="101">
        <v>0.2</v>
      </c>
      <c r="AA27" s="15">
        <f>+((D.sign_Data[[#This Row],[COSTOS OPERACIONALES ($COP)]]/(100%-D.sign_Data[[#This Row],[UTILIDAD (%)]])))-D.sign_Data[[#This Row],[COSTOS OPERACIONALES ($COP)]]</f>
        <v>55685.303252936312</v>
      </c>
      <c r="AB27" s="3">
        <f>+D.sign_Data[[#This Row],[COSTOS OPERACIONALES ($COP)]]+D.sign_Data[[#This Row],[DESFASE ($COP)]]+D.sign_Data[[#This Row],[UTILIDAD ($COP)]]</f>
        <v>289563.57691526884</v>
      </c>
      <c r="AC27" s="101">
        <v>0.05</v>
      </c>
      <c r="AD27" s="15">
        <f>+D.sign_Data[[#This Row],[VALOR NETO ($COP)]]/(100%-D.sign_Data[[#This Row],[MARGEN DE NEGOCIACIÓN (%)]])-D.sign_Data[[#This Row],[VALOR NETO ($COP)]]</f>
        <v>15240.188258698385</v>
      </c>
      <c r="AE27" s="15">
        <f>+(D.sign_Data[[#This Row],[VALOR NETO ($COP)]]+D.sign_Data[[#This Row],[NEGOCIACIÓN ($COP)]])*1%</f>
        <v>3048.0376517396721</v>
      </c>
      <c r="AF27" s="15">
        <f>+(D.sign_Data[[#This Row],[VALOR NETO ($COP)]]+D.sign_Data[[#This Row],[NEGOCIACIÓN ($COP)]])*1%</f>
        <v>3048.0376517396721</v>
      </c>
      <c r="AG27" s="3">
        <f>+D.sign_Data[[#This Row],[VALOR NETO ($COP)]]+D.sign_Data[[#This Row],[NEGOCIACIÓN ($COP)]]+D.sign_Data[[#This Row],[ICA ($COP)]]+D.sign_Data[[#This Row],[4 * 1000 ($COP)]]</f>
        <v>310899.84047744656</v>
      </c>
    </row>
    <row r="28" spans="1:33" ht="60" hidden="1" customHeight="1" x14ac:dyDescent="0.25">
      <c r="A28" s="14"/>
      <c r="B28" s="87" t="s">
        <v>442</v>
      </c>
      <c r="C28" s="182" t="s">
        <v>443</v>
      </c>
      <c r="D28" s="189" t="str">
        <f>VLOOKUP(D.sign_Data[[#This Row],[CÓDIGO]],Descripciones[[CÓDIGO]:[NOMBRE DE SERVICIO]],3,FALSE)</f>
        <v>D1. Parcelaciones y Condominios</v>
      </c>
      <c r="E28" s="87" t="s">
        <v>420</v>
      </c>
      <c r="F28" s="88" t="s">
        <v>444</v>
      </c>
      <c r="G28" s="88" t="s">
        <v>445</v>
      </c>
      <c r="H28" s="87" t="s">
        <v>455</v>
      </c>
      <c r="I28" s="89">
        <v>1</v>
      </c>
      <c r="J28" s="88" t="s">
        <v>446</v>
      </c>
      <c r="K28" s="102"/>
      <c r="L28" s="91" t="s">
        <v>460</v>
      </c>
      <c r="M28" s="89" t="s">
        <v>381</v>
      </c>
      <c r="N28" s="90">
        <v>3</v>
      </c>
      <c r="O28" s="27">
        <f>IFERROR(+VLOOKUP(M28,D.sign_Lista_Data[[RESPONSABLE]:[SOFTWARE 
VALOR HORA]],3,FALSE),"0")</f>
        <v>20263.424518743668</v>
      </c>
      <c r="P28" s="3">
        <f t="shared" si="0"/>
        <v>60790.273556231004</v>
      </c>
      <c r="Q28" s="11">
        <f>IFERROR(+VLOOKUP(M28,D.sign_Lista_Data[[RESPONSABLE]:[SOFTWARE 
VALOR HORA]],5,FALSE)*D.sign_Data[[#This Row],[TIEMPO (HORAS)]],0)</f>
        <v>12664.64032421479</v>
      </c>
      <c r="R28" s="42">
        <f>IFERROR(+VLOOKUP(M28,D.sign_Lista_Data[[RESPONSABLE]:[SOFTWARE 
VALOR HORA]],8,FALSE)*D.sign_Data[[#This Row],[TIEMPO (HORAS)]],0)</f>
        <v>10232.56466143195</v>
      </c>
      <c r="S28" s="99">
        <v>0</v>
      </c>
      <c r="T28" s="99">
        <v>0</v>
      </c>
      <c r="U28" s="3">
        <f t="shared" si="1"/>
        <v>83687.478541877746</v>
      </c>
      <c r="V28" s="100">
        <f>D.sign_Data[[#This Row],[TIEMPO (HORAS)]]*Gastos_Operativos[[#Totals],[GASTOS HORA]]</f>
        <v>83368.431216931203</v>
      </c>
      <c r="W28" s="3">
        <f>+D.sign_Data[[#This Row],[COSTO 
DIRECTO ($COP)]]+D.sign_Data[[#This Row],[PRORRATEO GASTOS ($COP)]]</f>
        <v>167055.90975880896</v>
      </c>
      <c r="X28" s="101">
        <v>0.05</v>
      </c>
      <c r="Y28" s="15">
        <f>+D.sign_Data[[#This Row],[COSTOS OPERACIONALES ($COP)]]*D.sign_Data[[#This Row],[DESFASE (%)]]</f>
        <v>8352.7954879404479</v>
      </c>
      <c r="Z28" s="101">
        <v>0.2</v>
      </c>
      <c r="AA28" s="15">
        <f>+((D.sign_Data[[#This Row],[COSTOS OPERACIONALES ($COP)]]/(100%-D.sign_Data[[#This Row],[UTILIDAD (%)]])))-D.sign_Data[[#This Row],[COSTOS OPERACIONALES ($COP)]]</f>
        <v>41763.977439702227</v>
      </c>
      <c r="AB28" s="3">
        <f>+D.sign_Data[[#This Row],[COSTOS OPERACIONALES ($COP)]]+D.sign_Data[[#This Row],[DESFASE ($COP)]]+D.sign_Data[[#This Row],[UTILIDAD ($COP)]]</f>
        <v>217172.68268645165</v>
      </c>
      <c r="AC28" s="101">
        <v>0.05</v>
      </c>
      <c r="AD28" s="15">
        <f>+D.sign_Data[[#This Row],[VALOR NETO ($COP)]]/(100%-D.sign_Data[[#This Row],[MARGEN DE NEGOCIACIÓN (%)]])-D.sign_Data[[#This Row],[VALOR NETO ($COP)]]</f>
        <v>11430.141194023774</v>
      </c>
      <c r="AE28" s="15">
        <f>+(D.sign_Data[[#This Row],[VALOR NETO ($COP)]]+D.sign_Data[[#This Row],[NEGOCIACIÓN ($COP)]])*1%</f>
        <v>2286.0282388047544</v>
      </c>
      <c r="AF28" s="15">
        <f>+(D.sign_Data[[#This Row],[VALOR NETO ($COP)]]+D.sign_Data[[#This Row],[NEGOCIACIÓN ($COP)]])*1%</f>
        <v>2286.0282388047544</v>
      </c>
      <c r="AG28" s="3">
        <f>+D.sign_Data[[#This Row],[VALOR NETO ($COP)]]+D.sign_Data[[#This Row],[NEGOCIACIÓN ($COP)]]+D.sign_Data[[#This Row],[ICA ($COP)]]+D.sign_Data[[#This Row],[4 * 1000 ($COP)]]</f>
        <v>233174.88035808492</v>
      </c>
    </row>
    <row r="29" spans="1:33" ht="60" hidden="1" customHeight="1" x14ac:dyDescent="0.25">
      <c r="A29" s="14"/>
      <c r="B29" s="87" t="s">
        <v>442</v>
      </c>
      <c r="C29" s="182" t="s">
        <v>443</v>
      </c>
      <c r="D29" s="189" t="str">
        <f>VLOOKUP(D.sign_Data[[#This Row],[CÓDIGO]],Descripciones[[CÓDIGO]:[NOMBRE DE SERVICIO]],3,FALSE)</f>
        <v>D1. Parcelaciones y Condominios</v>
      </c>
      <c r="E29" s="87" t="s">
        <v>420</v>
      </c>
      <c r="F29" s="88" t="s">
        <v>444</v>
      </c>
      <c r="G29" s="88" t="s">
        <v>445</v>
      </c>
      <c r="H29" s="87" t="s">
        <v>455</v>
      </c>
      <c r="I29" s="89">
        <v>1</v>
      </c>
      <c r="J29" s="88" t="s">
        <v>446</v>
      </c>
      <c r="K29" s="102"/>
      <c r="L29" s="91" t="s">
        <v>461</v>
      </c>
      <c r="M29" s="89" t="s">
        <v>381</v>
      </c>
      <c r="N29" s="90">
        <v>2</v>
      </c>
      <c r="O29" s="27">
        <f>IFERROR(+VLOOKUP(M29,D.sign_Lista_Data[[RESPONSABLE]:[SOFTWARE 
VALOR HORA]],3,FALSE),"0")</f>
        <v>20263.424518743668</v>
      </c>
      <c r="P29" s="3">
        <f t="shared" si="0"/>
        <v>40526.849037487336</v>
      </c>
      <c r="Q29" s="11">
        <f>IFERROR(+VLOOKUP(M29,D.sign_Lista_Data[[RESPONSABLE]:[SOFTWARE 
VALOR HORA]],5,FALSE)*D.sign_Data[[#This Row],[TIEMPO (HORAS)]],0)</f>
        <v>8443.0935494765272</v>
      </c>
      <c r="R29" s="42">
        <f>IFERROR(+VLOOKUP(M29,D.sign_Lista_Data[[RESPONSABLE]:[SOFTWARE 
VALOR HORA]],8,FALSE)*D.sign_Data[[#This Row],[TIEMPO (HORAS)]],0)</f>
        <v>6821.7097742879669</v>
      </c>
      <c r="S29" s="99">
        <v>0</v>
      </c>
      <c r="T29" s="99">
        <v>0</v>
      </c>
      <c r="U29" s="3">
        <f t="shared" si="1"/>
        <v>55791.652361251836</v>
      </c>
      <c r="V29" s="100">
        <f>D.sign_Data[[#This Row],[TIEMPO (HORAS)]]*Gastos_Operativos[[#Totals],[GASTOS HORA]]</f>
        <v>55578.954144620802</v>
      </c>
      <c r="W29" s="3">
        <f>+D.sign_Data[[#This Row],[COSTO 
DIRECTO ($COP)]]+D.sign_Data[[#This Row],[PRORRATEO GASTOS ($COP)]]</f>
        <v>111370.60650587264</v>
      </c>
      <c r="X29" s="101">
        <v>0.05</v>
      </c>
      <c r="Y29" s="15">
        <f>+D.sign_Data[[#This Row],[COSTOS OPERACIONALES ($COP)]]*D.sign_Data[[#This Row],[DESFASE (%)]]</f>
        <v>5568.5303252936319</v>
      </c>
      <c r="Z29" s="101">
        <v>0.2</v>
      </c>
      <c r="AA29" s="15">
        <f>+((D.sign_Data[[#This Row],[COSTOS OPERACIONALES ($COP)]]/(100%-D.sign_Data[[#This Row],[UTILIDAD (%)]])))-D.sign_Data[[#This Row],[COSTOS OPERACIONALES ($COP)]]</f>
        <v>27842.651626468156</v>
      </c>
      <c r="AB29" s="3">
        <f>+D.sign_Data[[#This Row],[COSTOS OPERACIONALES ($COP)]]+D.sign_Data[[#This Row],[DESFASE ($COP)]]+D.sign_Data[[#This Row],[UTILIDAD ($COP)]]</f>
        <v>144781.78845763442</v>
      </c>
      <c r="AC29" s="101">
        <v>0.05</v>
      </c>
      <c r="AD29" s="15">
        <f>+D.sign_Data[[#This Row],[VALOR NETO ($COP)]]/(100%-D.sign_Data[[#This Row],[MARGEN DE NEGOCIACIÓN (%)]])-D.sign_Data[[#This Row],[VALOR NETO ($COP)]]</f>
        <v>7620.0941293491924</v>
      </c>
      <c r="AE29" s="15">
        <f>+(D.sign_Data[[#This Row],[VALOR NETO ($COP)]]+D.sign_Data[[#This Row],[NEGOCIACIÓN ($COP)]])*1%</f>
        <v>1524.0188258698361</v>
      </c>
      <c r="AF29" s="15">
        <f>+(D.sign_Data[[#This Row],[VALOR NETO ($COP)]]+D.sign_Data[[#This Row],[NEGOCIACIÓN ($COP)]])*1%</f>
        <v>1524.0188258698361</v>
      </c>
      <c r="AG29" s="3">
        <f>+D.sign_Data[[#This Row],[VALOR NETO ($COP)]]+D.sign_Data[[#This Row],[NEGOCIACIÓN ($COP)]]+D.sign_Data[[#This Row],[ICA ($COP)]]+D.sign_Data[[#This Row],[4 * 1000 ($COP)]]</f>
        <v>155449.92023872328</v>
      </c>
    </row>
    <row r="30" spans="1:33" ht="60" hidden="1" customHeight="1" x14ac:dyDescent="0.25">
      <c r="A30" s="14"/>
      <c r="B30" s="87" t="s">
        <v>442</v>
      </c>
      <c r="C30" s="182" t="s">
        <v>443</v>
      </c>
      <c r="D30" s="189" t="str">
        <f>VLOOKUP(D.sign_Data[[#This Row],[CÓDIGO]],Descripciones[[CÓDIGO]:[NOMBRE DE SERVICIO]],3,FALSE)</f>
        <v>D1. Parcelaciones y Condominios</v>
      </c>
      <c r="E30" s="87" t="s">
        <v>420</v>
      </c>
      <c r="F30" s="88" t="s">
        <v>444</v>
      </c>
      <c r="G30" s="88" t="s">
        <v>445</v>
      </c>
      <c r="H30" s="87" t="s">
        <v>455</v>
      </c>
      <c r="I30" s="92">
        <v>1</v>
      </c>
      <c r="J30" s="88" t="s">
        <v>446</v>
      </c>
      <c r="K30" s="102"/>
      <c r="L30" s="91" t="s">
        <v>462</v>
      </c>
      <c r="M30" s="89" t="s">
        <v>381</v>
      </c>
      <c r="N30" s="90">
        <v>2</v>
      </c>
      <c r="O30" s="27">
        <f>IFERROR(+VLOOKUP(M30,D.sign_Lista_Data[[RESPONSABLE]:[SOFTWARE 
VALOR HORA]],3,FALSE),"0")</f>
        <v>20263.424518743668</v>
      </c>
      <c r="P30" s="3">
        <f t="shared" si="0"/>
        <v>40526.849037487336</v>
      </c>
      <c r="Q30" s="11">
        <f>IFERROR(+VLOOKUP(M30,D.sign_Lista_Data[[RESPONSABLE]:[SOFTWARE 
VALOR HORA]],5,FALSE)*D.sign_Data[[#This Row],[TIEMPO (HORAS)]],0)</f>
        <v>8443.0935494765272</v>
      </c>
      <c r="R30" s="42">
        <f>IFERROR(+VLOOKUP(M30,D.sign_Lista_Data[[RESPONSABLE]:[SOFTWARE 
VALOR HORA]],8,FALSE)*D.sign_Data[[#This Row],[TIEMPO (HORAS)]],0)</f>
        <v>6821.7097742879669</v>
      </c>
      <c r="S30" s="99">
        <v>0</v>
      </c>
      <c r="T30" s="99">
        <v>0</v>
      </c>
      <c r="U30" s="3">
        <f t="shared" si="1"/>
        <v>55791.652361251836</v>
      </c>
      <c r="V30" s="100">
        <f>D.sign_Data[[#This Row],[TIEMPO (HORAS)]]*Gastos_Operativos[[#Totals],[GASTOS HORA]]</f>
        <v>55578.954144620802</v>
      </c>
      <c r="W30" s="3">
        <f>+D.sign_Data[[#This Row],[COSTO 
DIRECTO ($COP)]]+D.sign_Data[[#This Row],[PRORRATEO GASTOS ($COP)]]</f>
        <v>111370.60650587264</v>
      </c>
      <c r="X30" s="101">
        <v>0.05</v>
      </c>
      <c r="Y30" s="15">
        <f>+D.sign_Data[[#This Row],[COSTOS OPERACIONALES ($COP)]]*D.sign_Data[[#This Row],[DESFASE (%)]]</f>
        <v>5568.5303252936319</v>
      </c>
      <c r="Z30" s="101">
        <v>0.2</v>
      </c>
      <c r="AA30" s="15">
        <f>+((D.sign_Data[[#This Row],[COSTOS OPERACIONALES ($COP)]]/(100%-D.sign_Data[[#This Row],[UTILIDAD (%)]])))-D.sign_Data[[#This Row],[COSTOS OPERACIONALES ($COP)]]</f>
        <v>27842.651626468156</v>
      </c>
      <c r="AB30" s="3">
        <f>+D.sign_Data[[#This Row],[COSTOS OPERACIONALES ($COP)]]+D.sign_Data[[#This Row],[DESFASE ($COP)]]+D.sign_Data[[#This Row],[UTILIDAD ($COP)]]</f>
        <v>144781.78845763442</v>
      </c>
      <c r="AC30" s="101">
        <v>0.05</v>
      </c>
      <c r="AD30" s="15">
        <f>+D.sign_Data[[#This Row],[VALOR NETO ($COP)]]/(100%-D.sign_Data[[#This Row],[MARGEN DE NEGOCIACIÓN (%)]])-D.sign_Data[[#This Row],[VALOR NETO ($COP)]]</f>
        <v>7620.0941293491924</v>
      </c>
      <c r="AE30" s="15">
        <f>+(D.sign_Data[[#This Row],[VALOR NETO ($COP)]]+D.sign_Data[[#This Row],[NEGOCIACIÓN ($COP)]])*1%</f>
        <v>1524.0188258698361</v>
      </c>
      <c r="AF30" s="15">
        <f>+(D.sign_Data[[#This Row],[VALOR NETO ($COP)]]+D.sign_Data[[#This Row],[NEGOCIACIÓN ($COP)]])*1%</f>
        <v>1524.0188258698361</v>
      </c>
      <c r="AG30" s="3">
        <f>+D.sign_Data[[#This Row],[VALOR NETO ($COP)]]+D.sign_Data[[#This Row],[NEGOCIACIÓN ($COP)]]+D.sign_Data[[#This Row],[ICA ($COP)]]+D.sign_Data[[#This Row],[4 * 1000 ($COP)]]</f>
        <v>155449.92023872328</v>
      </c>
    </row>
    <row r="31" spans="1:33" ht="60" hidden="1" customHeight="1" x14ac:dyDescent="0.25">
      <c r="A31" s="14"/>
      <c r="B31" s="87" t="s">
        <v>442</v>
      </c>
      <c r="C31" s="182" t="s">
        <v>443</v>
      </c>
      <c r="D31" s="189" t="str">
        <f>VLOOKUP(D.sign_Data[[#This Row],[CÓDIGO]],Descripciones[[CÓDIGO]:[NOMBRE DE SERVICIO]],3,FALSE)</f>
        <v>D1. Parcelaciones y Condominios</v>
      </c>
      <c r="E31" s="87" t="s">
        <v>420</v>
      </c>
      <c r="F31" s="88" t="s">
        <v>444</v>
      </c>
      <c r="G31" s="88" t="s">
        <v>445</v>
      </c>
      <c r="H31" s="87" t="s">
        <v>455</v>
      </c>
      <c r="I31" s="92">
        <v>1</v>
      </c>
      <c r="J31" s="88" t="s">
        <v>446</v>
      </c>
      <c r="K31" s="102"/>
      <c r="L31" s="91" t="s">
        <v>463</v>
      </c>
      <c r="M31" s="89" t="s">
        <v>381</v>
      </c>
      <c r="N31" s="90">
        <v>3</v>
      </c>
      <c r="O31" s="27">
        <f>IFERROR(+VLOOKUP(M31,D.sign_Lista_Data[[RESPONSABLE]:[SOFTWARE 
VALOR HORA]],3,FALSE),"0")</f>
        <v>20263.424518743668</v>
      </c>
      <c r="P31" s="3">
        <f t="shared" si="0"/>
        <v>60790.273556231004</v>
      </c>
      <c r="Q31" s="11">
        <f>IFERROR(+VLOOKUP(M31,D.sign_Lista_Data[[RESPONSABLE]:[SOFTWARE 
VALOR HORA]],5,FALSE)*D.sign_Data[[#This Row],[TIEMPO (HORAS)]],0)</f>
        <v>12664.64032421479</v>
      </c>
      <c r="R31" s="42">
        <f>IFERROR(+VLOOKUP(M31,D.sign_Lista_Data[[RESPONSABLE]:[SOFTWARE 
VALOR HORA]],8,FALSE)*D.sign_Data[[#This Row],[TIEMPO (HORAS)]],0)</f>
        <v>10232.56466143195</v>
      </c>
      <c r="S31" s="99">
        <v>0</v>
      </c>
      <c r="T31" s="99">
        <v>0</v>
      </c>
      <c r="U31" s="3">
        <f t="shared" si="1"/>
        <v>83687.478541877746</v>
      </c>
      <c r="V31" s="100">
        <f>D.sign_Data[[#This Row],[TIEMPO (HORAS)]]*Gastos_Operativos[[#Totals],[GASTOS HORA]]</f>
        <v>83368.431216931203</v>
      </c>
      <c r="W31" s="3">
        <f>+D.sign_Data[[#This Row],[COSTO 
DIRECTO ($COP)]]+D.sign_Data[[#This Row],[PRORRATEO GASTOS ($COP)]]</f>
        <v>167055.90975880896</v>
      </c>
      <c r="X31" s="101">
        <v>0.05</v>
      </c>
      <c r="Y31" s="15">
        <f>+D.sign_Data[[#This Row],[COSTOS OPERACIONALES ($COP)]]*D.sign_Data[[#This Row],[DESFASE (%)]]</f>
        <v>8352.7954879404479</v>
      </c>
      <c r="Z31" s="101">
        <v>0.2</v>
      </c>
      <c r="AA31" s="15">
        <f>+((D.sign_Data[[#This Row],[COSTOS OPERACIONALES ($COP)]]/(100%-D.sign_Data[[#This Row],[UTILIDAD (%)]])))-D.sign_Data[[#This Row],[COSTOS OPERACIONALES ($COP)]]</f>
        <v>41763.977439702227</v>
      </c>
      <c r="AB31" s="3">
        <f>+D.sign_Data[[#This Row],[COSTOS OPERACIONALES ($COP)]]+D.sign_Data[[#This Row],[DESFASE ($COP)]]+D.sign_Data[[#This Row],[UTILIDAD ($COP)]]</f>
        <v>217172.68268645165</v>
      </c>
      <c r="AC31" s="101">
        <v>0.05</v>
      </c>
      <c r="AD31" s="15">
        <f>+D.sign_Data[[#This Row],[VALOR NETO ($COP)]]/(100%-D.sign_Data[[#This Row],[MARGEN DE NEGOCIACIÓN (%)]])-D.sign_Data[[#This Row],[VALOR NETO ($COP)]]</f>
        <v>11430.141194023774</v>
      </c>
      <c r="AE31" s="15">
        <f>+(D.sign_Data[[#This Row],[VALOR NETO ($COP)]]+D.sign_Data[[#This Row],[NEGOCIACIÓN ($COP)]])*1%</f>
        <v>2286.0282388047544</v>
      </c>
      <c r="AF31" s="15">
        <f>+(D.sign_Data[[#This Row],[VALOR NETO ($COP)]]+D.sign_Data[[#This Row],[NEGOCIACIÓN ($COP)]])*1%</f>
        <v>2286.0282388047544</v>
      </c>
      <c r="AG31" s="3">
        <f>+D.sign_Data[[#This Row],[VALOR NETO ($COP)]]+D.sign_Data[[#This Row],[NEGOCIACIÓN ($COP)]]+D.sign_Data[[#This Row],[ICA ($COP)]]+D.sign_Data[[#This Row],[4 * 1000 ($COP)]]</f>
        <v>233174.88035808492</v>
      </c>
    </row>
    <row r="32" spans="1:33" ht="60" hidden="1" customHeight="1" x14ac:dyDescent="0.25">
      <c r="A32" s="14"/>
      <c r="B32" s="87" t="s">
        <v>442</v>
      </c>
      <c r="C32" s="182" t="s">
        <v>443</v>
      </c>
      <c r="D32" s="189" t="str">
        <f>VLOOKUP(D.sign_Data[[#This Row],[CÓDIGO]],Descripciones[[CÓDIGO]:[NOMBRE DE SERVICIO]],3,FALSE)</f>
        <v>D1. Parcelaciones y Condominios</v>
      </c>
      <c r="E32" s="87" t="s">
        <v>420</v>
      </c>
      <c r="F32" s="88" t="s">
        <v>444</v>
      </c>
      <c r="G32" s="88" t="s">
        <v>445</v>
      </c>
      <c r="H32" s="87" t="s">
        <v>455</v>
      </c>
      <c r="I32" s="92">
        <v>1</v>
      </c>
      <c r="J32" s="88" t="s">
        <v>446</v>
      </c>
      <c r="K32" s="102"/>
      <c r="L32" s="91" t="s">
        <v>464</v>
      </c>
      <c r="M32" s="89" t="s">
        <v>381</v>
      </c>
      <c r="N32" s="90">
        <v>0.3</v>
      </c>
      <c r="O32" s="27">
        <f>IFERROR(+VLOOKUP(M32,D.sign_Lista_Data[[RESPONSABLE]:[SOFTWARE 
VALOR HORA]],3,FALSE),"0")</f>
        <v>20263.424518743668</v>
      </c>
      <c r="P32" s="3">
        <f t="shared" si="0"/>
        <v>6079.0273556231004</v>
      </c>
      <c r="Q32" s="11">
        <f>IFERROR(+VLOOKUP(M32,D.sign_Lista_Data[[RESPONSABLE]:[SOFTWARE 
VALOR HORA]],5,FALSE)*D.sign_Data[[#This Row],[TIEMPO (HORAS)]],0)</f>
        <v>1266.464032421479</v>
      </c>
      <c r="R32" s="42">
        <f>IFERROR(+VLOOKUP(M32,D.sign_Lista_Data[[RESPONSABLE]:[SOFTWARE 
VALOR HORA]],8,FALSE)*D.sign_Data[[#This Row],[TIEMPO (HORAS)]],0)</f>
        <v>1023.256466143195</v>
      </c>
      <c r="S32" s="99">
        <v>0</v>
      </c>
      <c r="T32" s="99">
        <v>0</v>
      </c>
      <c r="U32" s="3">
        <f t="shared" si="1"/>
        <v>8368.7478541877736</v>
      </c>
      <c r="V32" s="100">
        <f>D.sign_Data[[#This Row],[TIEMPO (HORAS)]]*Gastos_Operativos[[#Totals],[GASTOS HORA]]</f>
        <v>8336.8431216931203</v>
      </c>
      <c r="W32" s="3">
        <f>+D.sign_Data[[#This Row],[COSTO 
DIRECTO ($COP)]]+D.sign_Data[[#This Row],[PRORRATEO GASTOS ($COP)]]</f>
        <v>16705.590975880892</v>
      </c>
      <c r="X32" s="101">
        <v>0.05</v>
      </c>
      <c r="Y32" s="15">
        <f>+D.sign_Data[[#This Row],[COSTOS OPERACIONALES ($COP)]]*D.sign_Data[[#This Row],[DESFASE (%)]]</f>
        <v>835.27954879404467</v>
      </c>
      <c r="Z32" s="101">
        <v>0.2</v>
      </c>
      <c r="AA32" s="15">
        <f>+((D.sign_Data[[#This Row],[COSTOS OPERACIONALES ($COP)]]/(100%-D.sign_Data[[#This Row],[UTILIDAD (%)]])))-D.sign_Data[[#This Row],[COSTOS OPERACIONALES ($COP)]]</f>
        <v>4176.3977439702212</v>
      </c>
      <c r="AB32" s="3">
        <f>+D.sign_Data[[#This Row],[COSTOS OPERACIONALES ($COP)]]+D.sign_Data[[#This Row],[DESFASE ($COP)]]+D.sign_Data[[#This Row],[UTILIDAD ($COP)]]</f>
        <v>21717.268268645159</v>
      </c>
      <c r="AC32" s="101">
        <v>0.05</v>
      </c>
      <c r="AD32" s="15">
        <f>+D.sign_Data[[#This Row],[VALOR NETO ($COP)]]/(100%-D.sign_Data[[#This Row],[MARGEN DE NEGOCIACIÓN (%)]])-D.sign_Data[[#This Row],[VALOR NETO ($COP)]]</f>
        <v>1143.0141194023781</v>
      </c>
      <c r="AE32" s="15">
        <f>+(D.sign_Data[[#This Row],[VALOR NETO ($COP)]]+D.sign_Data[[#This Row],[NEGOCIACIÓN ($COP)]])*1%</f>
        <v>228.60282388047537</v>
      </c>
      <c r="AF32" s="15">
        <f>+(D.sign_Data[[#This Row],[VALOR NETO ($COP)]]+D.sign_Data[[#This Row],[NEGOCIACIÓN ($COP)]])*1%</f>
        <v>228.60282388047537</v>
      </c>
      <c r="AG32" s="3">
        <f>+D.sign_Data[[#This Row],[VALOR NETO ($COP)]]+D.sign_Data[[#This Row],[NEGOCIACIÓN ($COP)]]+D.sign_Data[[#This Row],[ICA ($COP)]]+D.sign_Data[[#This Row],[4 * 1000 ($COP)]]</f>
        <v>23317.488035808488</v>
      </c>
    </row>
    <row r="33" spans="1:33" ht="60" hidden="1" customHeight="1" x14ac:dyDescent="0.25">
      <c r="A33" s="14"/>
      <c r="B33" s="87" t="s">
        <v>442</v>
      </c>
      <c r="C33" s="182" t="s">
        <v>443</v>
      </c>
      <c r="D33" s="189" t="str">
        <f>VLOOKUP(D.sign_Data[[#This Row],[CÓDIGO]],Descripciones[[CÓDIGO]:[NOMBRE DE SERVICIO]],3,FALSE)</f>
        <v>D1. Parcelaciones y Condominios</v>
      </c>
      <c r="E33" s="87" t="s">
        <v>420</v>
      </c>
      <c r="F33" s="88" t="s">
        <v>444</v>
      </c>
      <c r="G33" s="88" t="s">
        <v>445</v>
      </c>
      <c r="H33" s="87" t="s">
        <v>455</v>
      </c>
      <c r="I33" s="92">
        <v>1</v>
      </c>
      <c r="J33" s="88" t="s">
        <v>446</v>
      </c>
      <c r="K33" s="102"/>
      <c r="L33" s="91" t="s">
        <v>465</v>
      </c>
      <c r="M33" s="89" t="s">
        <v>384</v>
      </c>
      <c r="N33" s="90">
        <v>1</v>
      </c>
      <c r="O33" s="27">
        <f>IFERROR(+VLOOKUP(M33,D.sign_Lista_Data[[RESPONSABLE]:[SOFTWARE 
VALOR HORA]],3,FALSE),"0")</f>
        <v>22796.352583586624</v>
      </c>
      <c r="P33" s="3">
        <f t="shared" si="0"/>
        <v>22796.352583586624</v>
      </c>
      <c r="Q33" s="11">
        <f>IFERROR(+VLOOKUP(M33,D.sign_Lista_Data[[RESPONSABLE]:[SOFTWARE 
VALOR HORA]],5,FALSE)*D.sign_Data[[#This Row],[TIEMPO (HORAS)]],0)</f>
        <v>2532.9280648429585</v>
      </c>
      <c r="R33" s="42">
        <f>IFERROR(+VLOOKUP(M33,D.sign_Lista_Data[[RESPONSABLE]:[SOFTWARE 
VALOR HORA]],8,FALSE)*D.sign_Data[[#This Row],[TIEMPO (HORAS)]],0)</f>
        <v>3410.8548871439834</v>
      </c>
      <c r="S33" s="99">
        <v>0</v>
      </c>
      <c r="T33" s="99">
        <v>0</v>
      </c>
      <c r="U33" s="3">
        <f t="shared" si="1"/>
        <v>28740.135535573565</v>
      </c>
      <c r="V33" s="100">
        <f>D.sign_Data[[#This Row],[TIEMPO (HORAS)]]*Gastos_Operativos[[#Totals],[GASTOS HORA]]</f>
        <v>27789.477072310401</v>
      </c>
      <c r="W33" s="3">
        <f>+D.sign_Data[[#This Row],[COSTO 
DIRECTO ($COP)]]+D.sign_Data[[#This Row],[PRORRATEO GASTOS ($COP)]]</f>
        <v>56529.612607883966</v>
      </c>
      <c r="X33" s="101">
        <v>0.05</v>
      </c>
      <c r="Y33" s="15">
        <f>+D.sign_Data[[#This Row],[COSTOS OPERACIONALES ($COP)]]*D.sign_Data[[#This Row],[DESFASE (%)]]</f>
        <v>2826.4806303941987</v>
      </c>
      <c r="Z33" s="101">
        <v>0.2</v>
      </c>
      <c r="AA33" s="15">
        <f>+((D.sign_Data[[#This Row],[COSTOS OPERACIONALES ($COP)]]/(100%-D.sign_Data[[#This Row],[UTILIDAD (%)]])))-D.sign_Data[[#This Row],[COSTOS OPERACIONALES ($COP)]]</f>
        <v>14132.40315197099</v>
      </c>
      <c r="AB33" s="3">
        <f>+D.sign_Data[[#This Row],[COSTOS OPERACIONALES ($COP)]]+D.sign_Data[[#This Row],[DESFASE ($COP)]]+D.sign_Data[[#This Row],[UTILIDAD ($COP)]]</f>
        <v>73488.496390249144</v>
      </c>
      <c r="AC33" s="101">
        <v>0.05</v>
      </c>
      <c r="AD33" s="15">
        <f>+D.sign_Data[[#This Row],[VALOR NETO ($COP)]]/(100%-D.sign_Data[[#This Row],[MARGEN DE NEGOCIACIÓN (%)]])-D.sign_Data[[#This Row],[VALOR NETO ($COP)]]</f>
        <v>3867.8155994867993</v>
      </c>
      <c r="AE33" s="15">
        <f>+(D.sign_Data[[#This Row],[VALOR NETO ($COP)]]+D.sign_Data[[#This Row],[NEGOCIACIÓN ($COP)]])*1%</f>
        <v>773.56311989735946</v>
      </c>
      <c r="AF33" s="15">
        <f>+(D.sign_Data[[#This Row],[VALOR NETO ($COP)]]+D.sign_Data[[#This Row],[NEGOCIACIÓN ($COP)]])*1%</f>
        <v>773.56311989735946</v>
      </c>
      <c r="AG33" s="3">
        <f>+D.sign_Data[[#This Row],[VALOR NETO ($COP)]]+D.sign_Data[[#This Row],[NEGOCIACIÓN ($COP)]]+D.sign_Data[[#This Row],[ICA ($COP)]]+D.sign_Data[[#This Row],[4 * 1000 ($COP)]]</f>
        <v>78903.438229530657</v>
      </c>
    </row>
    <row r="34" spans="1:33" ht="60" hidden="1" customHeight="1" x14ac:dyDescent="0.25">
      <c r="A34" s="14"/>
      <c r="B34" s="87" t="s">
        <v>442</v>
      </c>
      <c r="C34" s="182" t="s">
        <v>466</v>
      </c>
      <c r="D34" s="189" t="str">
        <f>VLOOKUP(D.sign_Data[[#This Row],[CÓDIGO]],Descripciones[[CÓDIGO]:[NOMBRE DE SERVICIO]],3,FALSE)</f>
        <v>D1. Parcelaciones y Condominios</v>
      </c>
      <c r="E34" s="87" t="s">
        <v>467</v>
      </c>
      <c r="F34" s="88" t="s">
        <v>468</v>
      </c>
      <c r="G34" s="88" t="s">
        <v>469</v>
      </c>
      <c r="H34" s="87" t="s">
        <v>448</v>
      </c>
      <c r="I34" s="89">
        <v>1</v>
      </c>
      <c r="J34" s="88" t="s">
        <v>470</v>
      </c>
      <c r="K34" s="102"/>
      <c r="L34" s="88" t="s">
        <v>471</v>
      </c>
      <c r="M34" s="89" t="s">
        <v>472</v>
      </c>
      <c r="N34" s="90">
        <v>0.2</v>
      </c>
      <c r="O34" s="27">
        <f>IFERROR(+VLOOKUP(M34,D.sign_Lista_Data[[RESPONSABLE]:[SOFTWARE 
VALOR HORA]],3,FALSE),"0")</f>
        <v>17730.496453900709</v>
      </c>
      <c r="P34" s="3">
        <f t="shared" si="0"/>
        <v>3546.0992907801419</v>
      </c>
      <c r="Q34" s="11">
        <f>IFERROR(+VLOOKUP(M34,D.sign_Lista_Data[[RESPONSABLE]:[SOFTWARE 
VALOR HORA]],5,FALSE)*D.sign_Data[[#This Row],[TIEMPO (HORAS)]],0)</f>
        <v>675.44748395812223</v>
      </c>
      <c r="R34" s="11">
        <f>IFERROR(+VLOOKUP(M34,D.sign_Lista_Data[[RESPONSABLE]:[SOFTWARE 
VALOR HORA]],8,FALSE)*D.sign_Data[[#This Row],[TIEMPO (HORAS)]],0)</f>
        <v>682.17097742879673</v>
      </c>
      <c r="S34" s="99"/>
      <c r="T34" s="99"/>
      <c r="U34" s="3">
        <f t="shared" si="1"/>
        <v>4903.717752167061</v>
      </c>
      <c r="V34" s="100">
        <f>D.sign_Data[[#This Row],[TIEMPO (HORAS)]]*Gastos_Operativos[[#Totals],[GASTOS HORA]]</f>
        <v>5557.8954144620802</v>
      </c>
      <c r="W34" s="3">
        <f>+D.sign_Data[[#This Row],[COSTO 
DIRECTO ($COP)]]+D.sign_Data[[#This Row],[PRORRATEO GASTOS ($COP)]]</f>
        <v>10461.61316662914</v>
      </c>
      <c r="X34" s="101"/>
      <c r="Y34" s="15">
        <f>+D.sign_Data[[#This Row],[COSTOS OPERACIONALES ($COP)]]*D.sign_Data[[#This Row],[DESFASE (%)]]</f>
        <v>0</v>
      </c>
      <c r="Z34" s="101">
        <v>0.3</v>
      </c>
      <c r="AA34" s="15">
        <f>+((D.sign_Data[[#This Row],[COSTOS OPERACIONALES ($COP)]]/(100%-D.sign_Data[[#This Row],[UTILIDAD (%)]])))-D.sign_Data[[#This Row],[COSTOS OPERACIONALES ($COP)]]</f>
        <v>4483.5484999839191</v>
      </c>
      <c r="AB34" s="3">
        <f>+D.sign_Data[[#This Row],[COSTOS OPERACIONALES ($COP)]]+D.sign_Data[[#This Row],[DESFASE ($COP)]]+D.sign_Data[[#This Row],[UTILIDAD ($COP)]]</f>
        <v>14945.161666613059</v>
      </c>
      <c r="AC34" s="101"/>
      <c r="AD34" s="15">
        <f>+D.sign_Data[[#This Row],[VALOR NETO ($COP)]]/(100%-D.sign_Data[[#This Row],[MARGEN DE NEGOCIACIÓN (%)]])-D.sign_Data[[#This Row],[VALOR NETO ($COP)]]</f>
        <v>0</v>
      </c>
      <c r="AE34" s="15">
        <f>+(D.sign_Data[[#This Row],[VALOR NETO ($COP)]]+D.sign_Data[[#This Row],[NEGOCIACIÓN ($COP)]])*1%</f>
        <v>149.4516166661306</v>
      </c>
      <c r="AF34" s="15">
        <f>+(D.sign_Data[[#This Row],[VALOR NETO ($COP)]]+D.sign_Data[[#This Row],[NEGOCIACIÓN ($COP)]])*1%</f>
        <v>149.4516166661306</v>
      </c>
      <c r="AG34" s="3">
        <f>+D.sign_Data[[#This Row],[VALOR NETO ($COP)]]+D.sign_Data[[#This Row],[NEGOCIACIÓN ($COP)]]+D.sign_Data[[#This Row],[ICA ($COP)]]+D.sign_Data[[#This Row],[4 * 1000 ($COP)]]</f>
        <v>15244.064899945321</v>
      </c>
    </row>
    <row r="35" spans="1:33" ht="60" hidden="1" customHeight="1" x14ac:dyDescent="0.25">
      <c r="A35" s="14"/>
      <c r="B35" s="87" t="s">
        <v>442</v>
      </c>
      <c r="C35" s="182" t="s">
        <v>466</v>
      </c>
      <c r="D35" s="189" t="str">
        <f>VLOOKUP(D.sign_Data[[#This Row],[CÓDIGO]],Descripciones[[CÓDIGO]:[NOMBRE DE SERVICIO]],3,FALSE)</f>
        <v>D1. Parcelaciones y Condominios</v>
      </c>
      <c r="E35" s="87" t="s">
        <v>467</v>
      </c>
      <c r="F35" s="88" t="s">
        <v>468</v>
      </c>
      <c r="G35" s="88" t="s">
        <v>469</v>
      </c>
      <c r="H35" s="87" t="s">
        <v>448</v>
      </c>
      <c r="I35" s="89">
        <v>1</v>
      </c>
      <c r="J35" s="88" t="s">
        <v>470</v>
      </c>
      <c r="K35" s="102"/>
      <c r="L35" s="88" t="s">
        <v>473</v>
      </c>
      <c r="M35" s="89" t="s">
        <v>472</v>
      </c>
      <c r="N35" s="90">
        <v>0.1</v>
      </c>
      <c r="O35" s="27">
        <f>IFERROR(+VLOOKUP(M35,D.sign_Lista_Data[[RESPONSABLE]:[SOFTWARE 
VALOR HORA]],3,FALSE),"0")</f>
        <v>17730.496453900709</v>
      </c>
      <c r="P35" s="3">
        <f t="shared" si="0"/>
        <v>1773.049645390071</v>
      </c>
      <c r="Q35" s="11">
        <f>IFERROR(+VLOOKUP(M35,D.sign_Lista_Data[[RESPONSABLE]:[SOFTWARE 
VALOR HORA]],5,FALSE)*D.sign_Data[[#This Row],[TIEMPO (HORAS)]],0)</f>
        <v>337.72374197906112</v>
      </c>
      <c r="R35" s="11">
        <f>IFERROR(+VLOOKUP(M35,D.sign_Lista_Data[[RESPONSABLE]:[SOFTWARE 
VALOR HORA]],8,FALSE)*D.sign_Data[[#This Row],[TIEMPO (HORAS)]],0)</f>
        <v>341.08548871439837</v>
      </c>
      <c r="S35" s="99"/>
      <c r="T35" s="99"/>
      <c r="U35" s="3">
        <f t="shared" si="1"/>
        <v>2451.8588760835305</v>
      </c>
      <c r="V35" s="100">
        <f>D.sign_Data[[#This Row],[TIEMPO (HORAS)]]*Gastos_Operativos[[#Totals],[GASTOS HORA]]</f>
        <v>2778.9477072310401</v>
      </c>
      <c r="W35" s="3">
        <f>+D.sign_Data[[#This Row],[COSTO 
DIRECTO ($COP)]]+D.sign_Data[[#This Row],[PRORRATEO GASTOS ($COP)]]</f>
        <v>5230.8065833145702</v>
      </c>
      <c r="X35" s="101"/>
      <c r="Y35" s="15">
        <f>+D.sign_Data[[#This Row],[COSTOS OPERACIONALES ($COP)]]*D.sign_Data[[#This Row],[DESFASE (%)]]</f>
        <v>0</v>
      </c>
      <c r="Z35" s="101">
        <v>0.3</v>
      </c>
      <c r="AA35" s="15">
        <f>+((D.sign_Data[[#This Row],[COSTOS OPERACIONALES ($COP)]]/(100%-D.sign_Data[[#This Row],[UTILIDAD (%)]])))-D.sign_Data[[#This Row],[COSTOS OPERACIONALES ($COP)]]</f>
        <v>2241.7742499919596</v>
      </c>
      <c r="AB35" s="3">
        <f>+D.sign_Data[[#This Row],[COSTOS OPERACIONALES ($COP)]]+D.sign_Data[[#This Row],[DESFASE ($COP)]]+D.sign_Data[[#This Row],[UTILIDAD ($COP)]]</f>
        <v>7472.5808333065297</v>
      </c>
      <c r="AC35" s="101"/>
      <c r="AD35" s="15">
        <f>+D.sign_Data[[#This Row],[VALOR NETO ($COP)]]/(100%-D.sign_Data[[#This Row],[MARGEN DE NEGOCIACIÓN (%)]])-D.sign_Data[[#This Row],[VALOR NETO ($COP)]]</f>
        <v>0</v>
      </c>
      <c r="AE35" s="15">
        <f>+(D.sign_Data[[#This Row],[VALOR NETO ($COP)]]+D.sign_Data[[#This Row],[NEGOCIACIÓN ($COP)]])*1%</f>
        <v>74.725808333065302</v>
      </c>
      <c r="AF35" s="15">
        <f>+(D.sign_Data[[#This Row],[VALOR NETO ($COP)]]+D.sign_Data[[#This Row],[NEGOCIACIÓN ($COP)]])*1%</f>
        <v>74.725808333065302</v>
      </c>
      <c r="AG35" s="3">
        <f>+D.sign_Data[[#This Row],[VALOR NETO ($COP)]]+D.sign_Data[[#This Row],[NEGOCIACIÓN ($COP)]]+D.sign_Data[[#This Row],[ICA ($COP)]]+D.sign_Data[[#This Row],[4 * 1000 ($COP)]]</f>
        <v>7622.0324499726603</v>
      </c>
    </row>
    <row r="36" spans="1:33" ht="60" hidden="1" customHeight="1" x14ac:dyDescent="0.25">
      <c r="A36" s="14"/>
      <c r="B36" s="87" t="s">
        <v>442</v>
      </c>
      <c r="C36" s="182" t="s">
        <v>466</v>
      </c>
      <c r="D36" s="189" t="str">
        <f>VLOOKUP(D.sign_Data[[#This Row],[CÓDIGO]],Descripciones[[CÓDIGO]:[NOMBRE DE SERVICIO]],3,FALSE)</f>
        <v>D1. Parcelaciones y Condominios</v>
      </c>
      <c r="E36" s="87" t="s">
        <v>467</v>
      </c>
      <c r="F36" s="88" t="s">
        <v>468</v>
      </c>
      <c r="G36" s="88" t="s">
        <v>469</v>
      </c>
      <c r="H36" s="87" t="s">
        <v>448</v>
      </c>
      <c r="I36" s="89">
        <v>1</v>
      </c>
      <c r="J36" s="88" t="s">
        <v>470</v>
      </c>
      <c r="K36" s="102"/>
      <c r="L36" s="88" t="s">
        <v>474</v>
      </c>
      <c r="M36" s="89" t="s">
        <v>472</v>
      </c>
      <c r="N36" s="90">
        <v>0.2</v>
      </c>
      <c r="O36" s="27">
        <f>IFERROR(+VLOOKUP(M36,D.sign_Lista_Data[[RESPONSABLE]:[SOFTWARE 
VALOR HORA]],3,FALSE),"0")</f>
        <v>17730.496453900709</v>
      </c>
      <c r="P36" s="3">
        <f t="shared" si="0"/>
        <v>3546.0992907801419</v>
      </c>
      <c r="Q36" s="11">
        <f>IFERROR(+VLOOKUP(M36,D.sign_Lista_Data[[RESPONSABLE]:[SOFTWARE 
VALOR HORA]],5,FALSE)*D.sign_Data[[#This Row],[TIEMPO (HORAS)]],0)</f>
        <v>675.44748395812223</v>
      </c>
      <c r="R36" s="11">
        <f>IFERROR(+VLOOKUP(M36,D.sign_Lista_Data[[RESPONSABLE]:[SOFTWARE 
VALOR HORA]],8,FALSE)*D.sign_Data[[#This Row],[TIEMPO (HORAS)]],0)</f>
        <v>682.17097742879673</v>
      </c>
      <c r="S36" s="99"/>
      <c r="T36" s="99"/>
      <c r="U36" s="3">
        <f t="shared" si="1"/>
        <v>4903.717752167061</v>
      </c>
      <c r="V36" s="100">
        <f>D.sign_Data[[#This Row],[TIEMPO (HORAS)]]*Gastos_Operativos[[#Totals],[GASTOS HORA]]</f>
        <v>5557.8954144620802</v>
      </c>
      <c r="W36" s="3">
        <f>+D.sign_Data[[#This Row],[COSTO 
DIRECTO ($COP)]]+D.sign_Data[[#This Row],[PRORRATEO GASTOS ($COP)]]</f>
        <v>10461.61316662914</v>
      </c>
      <c r="X36" s="101"/>
      <c r="Y36" s="15">
        <f>+D.sign_Data[[#This Row],[COSTOS OPERACIONALES ($COP)]]*D.sign_Data[[#This Row],[DESFASE (%)]]</f>
        <v>0</v>
      </c>
      <c r="Z36" s="101">
        <v>0.3</v>
      </c>
      <c r="AA36" s="15">
        <f>+((D.sign_Data[[#This Row],[COSTOS OPERACIONALES ($COP)]]/(100%-D.sign_Data[[#This Row],[UTILIDAD (%)]])))-D.sign_Data[[#This Row],[COSTOS OPERACIONALES ($COP)]]</f>
        <v>4483.5484999839191</v>
      </c>
      <c r="AB36" s="3">
        <f>+D.sign_Data[[#This Row],[COSTOS OPERACIONALES ($COP)]]+D.sign_Data[[#This Row],[DESFASE ($COP)]]+D.sign_Data[[#This Row],[UTILIDAD ($COP)]]</f>
        <v>14945.161666613059</v>
      </c>
      <c r="AC36" s="101"/>
      <c r="AD36" s="15">
        <f>+D.sign_Data[[#This Row],[VALOR NETO ($COP)]]/(100%-D.sign_Data[[#This Row],[MARGEN DE NEGOCIACIÓN (%)]])-D.sign_Data[[#This Row],[VALOR NETO ($COP)]]</f>
        <v>0</v>
      </c>
      <c r="AE36" s="15">
        <f>+(D.sign_Data[[#This Row],[VALOR NETO ($COP)]]+D.sign_Data[[#This Row],[NEGOCIACIÓN ($COP)]])*1%</f>
        <v>149.4516166661306</v>
      </c>
      <c r="AF36" s="15">
        <f>+(D.sign_Data[[#This Row],[VALOR NETO ($COP)]]+D.sign_Data[[#This Row],[NEGOCIACIÓN ($COP)]])*1%</f>
        <v>149.4516166661306</v>
      </c>
      <c r="AG36" s="3">
        <f>+D.sign_Data[[#This Row],[VALOR NETO ($COP)]]+D.sign_Data[[#This Row],[NEGOCIACIÓN ($COP)]]+D.sign_Data[[#This Row],[ICA ($COP)]]+D.sign_Data[[#This Row],[4 * 1000 ($COP)]]</f>
        <v>15244.064899945321</v>
      </c>
    </row>
    <row r="37" spans="1:33" ht="60" hidden="1" customHeight="1" x14ac:dyDescent="0.25">
      <c r="A37" s="14"/>
      <c r="B37" s="87" t="s">
        <v>442</v>
      </c>
      <c r="C37" s="182" t="s">
        <v>466</v>
      </c>
      <c r="D37" s="189" t="str">
        <f>VLOOKUP(D.sign_Data[[#This Row],[CÓDIGO]],Descripciones[[CÓDIGO]:[NOMBRE DE SERVICIO]],3,FALSE)</f>
        <v>D1. Parcelaciones y Condominios</v>
      </c>
      <c r="E37" s="87" t="s">
        <v>467</v>
      </c>
      <c r="F37" s="88" t="s">
        <v>468</v>
      </c>
      <c r="G37" s="88" t="s">
        <v>469</v>
      </c>
      <c r="H37" s="87" t="s">
        <v>448</v>
      </c>
      <c r="I37" s="89">
        <v>1</v>
      </c>
      <c r="J37" s="88" t="s">
        <v>475</v>
      </c>
      <c r="K37" s="102"/>
      <c r="L37" s="88" t="s">
        <v>476</v>
      </c>
      <c r="M37" s="89" t="s">
        <v>472</v>
      </c>
      <c r="N37" s="90">
        <v>0.2</v>
      </c>
      <c r="O37" s="27">
        <f>IFERROR(+VLOOKUP(M37,D.sign_Lista_Data[[RESPONSABLE]:[SOFTWARE 
VALOR HORA]],3,FALSE),"0")</f>
        <v>17730.496453900709</v>
      </c>
      <c r="P37" s="3">
        <f t="shared" si="0"/>
        <v>3546.0992907801419</v>
      </c>
      <c r="Q37" s="11">
        <f>IFERROR(+VLOOKUP(M37,D.sign_Lista_Data[[RESPONSABLE]:[SOFTWARE 
VALOR HORA]],5,FALSE)*D.sign_Data[[#This Row],[TIEMPO (HORAS)]],0)</f>
        <v>675.44748395812223</v>
      </c>
      <c r="R37" s="11">
        <f>IFERROR(+VLOOKUP(M37,D.sign_Lista_Data[[RESPONSABLE]:[SOFTWARE 
VALOR HORA]],8,FALSE)*D.sign_Data[[#This Row],[TIEMPO (HORAS)]],0)</f>
        <v>682.17097742879673</v>
      </c>
      <c r="S37" s="99"/>
      <c r="T37" s="99"/>
      <c r="U37" s="3">
        <f t="shared" si="1"/>
        <v>4903.717752167061</v>
      </c>
      <c r="V37" s="100">
        <f>D.sign_Data[[#This Row],[TIEMPO (HORAS)]]*Gastos_Operativos[[#Totals],[GASTOS HORA]]</f>
        <v>5557.8954144620802</v>
      </c>
      <c r="W37" s="3">
        <f>+D.sign_Data[[#This Row],[COSTO 
DIRECTO ($COP)]]+D.sign_Data[[#This Row],[PRORRATEO GASTOS ($COP)]]</f>
        <v>10461.61316662914</v>
      </c>
      <c r="X37" s="101"/>
      <c r="Y37" s="15">
        <f>+D.sign_Data[[#This Row],[COSTOS OPERACIONALES ($COP)]]*D.sign_Data[[#This Row],[DESFASE (%)]]</f>
        <v>0</v>
      </c>
      <c r="Z37" s="101">
        <v>0.3</v>
      </c>
      <c r="AA37" s="15">
        <f>+((D.sign_Data[[#This Row],[COSTOS OPERACIONALES ($COP)]]/(100%-D.sign_Data[[#This Row],[UTILIDAD (%)]])))-D.sign_Data[[#This Row],[COSTOS OPERACIONALES ($COP)]]</f>
        <v>4483.5484999839191</v>
      </c>
      <c r="AB37" s="3">
        <f>+D.sign_Data[[#This Row],[COSTOS OPERACIONALES ($COP)]]+D.sign_Data[[#This Row],[DESFASE ($COP)]]+D.sign_Data[[#This Row],[UTILIDAD ($COP)]]</f>
        <v>14945.161666613059</v>
      </c>
      <c r="AC37" s="101"/>
      <c r="AD37" s="15">
        <f>+D.sign_Data[[#This Row],[VALOR NETO ($COP)]]/(100%-D.sign_Data[[#This Row],[MARGEN DE NEGOCIACIÓN (%)]])-D.sign_Data[[#This Row],[VALOR NETO ($COP)]]</f>
        <v>0</v>
      </c>
      <c r="AE37" s="15">
        <f>+(D.sign_Data[[#This Row],[VALOR NETO ($COP)]]+D.sign_Data[[#This Row],[NEGOCIACIÓN ($COP)]])*1%</f>
        <v>149.4516166661306</v>
      </c>
      <c r="AF37" s="15">
        <f>+(D.sign_Data[[#This Row],[VALOR NETO ($COP)]]+D.sign_Data[[#This Row],[NEGOCIACIÓN ($COP)]])*1%</f>
        <v>149.4516166661306</v>
      </c>
      <c r="AG37" s="3">
        <f>+D.sign_Data[[#This Row],[VALOR NETO ($COP)]]+D.sign_Data[[#This Row],[NEGOCIACIÓN ($COP)]]+D.sign_Data[[#This Row],[ICA ($COP)]]+D.sign_Data[[#This Row],[4 * 1000 ($COP)]]</f>
        <v>15244.064899945321</v>
      </c>
    </row>
    <row r="38" spans="1:33" ht="60" hidden="1" customHeight="1" x14ac:dyDescent="0.25">
      <c r="A38" s="14"/>
      <c r="B38" s="87" t="s">
        <v>442</v>
      </c>
      <c r="C38" s="182" t="s">
        <v>466</v>
      </c>
      <c r="D38" s="189" t="str">
        <f>VLOOKUP(D.sign_Data[[#This Row],[CÓDIGO]],Descripciones[[CÓDIGO]:[NOMBRE DE SERVICIO]],3,FALSE)</f>
        <v>D1. Parcelaciones y Condominios</v>
      </c>
      <c r="E38" s="87" t="s">
        <v>467</v>
      </c>
      <c r="F38" s="88" t="s">
        <v>468</v>
      </c>
      <c r="G38" s="88" t="s">
        <v>469</v>
      </c>
      <c r="H38" s="87" t="s">
        <v>448</v>
      </c>
      <c r="I38" s="89">
        <v>1</v>
      </c>
      <c r="J38" s="88" t="s">
        <v>475</v>
      </c>
      <c r="K38" s="102"/>
      <c r="L38" s="91" t="s">
        <v>477</v>
      </c>
      <c r="M38" s="89" t="s">
        <v>472</v>
      </c>
      <c r="N38" s="90">
        <v>0.1</v>
      </c>
      <c r="O38" s="27">
        <f>IFERROR(+VLOOKUP(M38,D.sign_Lista_Data[[RESPONSABLE]:[SOFTWARE 
VALOR HORA]],3,FALSE),"0")</f>
        <v>17730.496453900709</v>
      </c>
      <c r="P38" s="3">
        <f t="shared" si="0"/>
        <v>1773.049645390071</v>
      </c>
      <c r="Q38" s="11">
        <f>IFERROR(+VLOOKUP(M38,D.sign_Lista_Data[[RESPONSABLE]:[SOFTWARE 
VALOR HORA]],5,FALSE)*D.sign_Data[[#This Row],[TIEMPO (HORAS)]],0)</f>
        <v>337.72374197906112</v>
      </c>
      <c r="R38" s="11">
        <f>IFERROR(+VLOOKUP(M38,D.sign_Lista_Data[[RESPONSABLE]:[SOFTWARE 
VALOR HORA]],8,FALSE)*D.sign_Data[[#This Row],[TIEMPO (HORAS)]],0)</f>
        <v>341.08548871439837</v>
      </c>
      <c r="S38" s="99"/>
      <c r="T38" s="99"/>
      <c r="U38" s="3">
        <f t="shared" si="1"/>
        <v>2451.8588760835305</v>
      </c>
      <c r="V38" s="100">
        <f>D.sign_Data[[#This Row],[TIEMPO (HORAS)]]*Gastos_Operativos[[#Totals],[GASTOS HORA]]</f>
        <v>2778.9477072310401</v>
      </c>
      <c r="W38" s="3">
        <f>+D.sign_Data[[#This Row],[COSTO 
DIRECTO ($COP)]]+D.sign_Data[[#This Row],[PRORRATEO GASTOS ($COP)]]</f>
        <v>5230.8065833145702</v>
      </c>
      <c r="X38" s="101"/>
      <c r="Y38" s="15">
        <f>+D.sign_Data[[#This Row],[COSTOS OPERACIONALES ($COP)]]*D.sign_Data[[#This Row],[DESFASE (%)]]</f>
        <v>0</v>
      </c>
      <c r="Z38" s="101">
        <v>0.3</v>
      </c>
      <c r="AA38" s="15">
        <f>+((D.sign_Data[[#This Row],[COSTOS OPERACIONALES ($COP)]]/(100%-D.sign_Data[[#This Row],[UTILIDAD (%)]])))-D.sign_Data[[#This Row],[COSTOS OPERACIONALES ($COP)]]</f>
        <v>2241.7742499919596</v>
      </c>
      <c r="AB38" s="3">
        <f>+D.sign_Data[[#This Row],[COSTOS OPERACIONALES ($COP)]]+D.sign_Data[[#This Row],[DESFASE ($COP)]]+D.sign_Data[[#This Row],[UTILIDAD ($COP)]]</f>
        <v>7472.5808333065297</v>
      </c>
      <c r="AC38" s="101"/>
      <c r="AD38" s="15">
        <f>+D.sign_Data[[#This Row],[VALOR NETO ($COP)]]/(100%-D.sign_Data[[#This Row],[MARGEN DE NEGOCIACIÓN (%)]])-D.sign_Data[[#This Row],[VALOR NETO ($COP)]]</f>
        <v>0</v>
      </c>
      <c r="AE38" s="15">
        <f>+(D.sign_Data[[#This Row],[VALOR NETO ($COP)]]+D.sign_Data[[#This Row],[NEGOCIACIÓN ($COP)]])*1%</f>
        <v>74.725808333065302</v>
      </c>
      <c r="AF38" s="15">
        <f>+(D.sign_Data[[#This Row],[VALOR NETO ($COP)]]+D.sign_Data[[#This Row],[NEGOCIACIÓN ($COP)]])*1%</f>
        <v>74.725808333065302</v>
      </c>
      <c r="AG38" s="3">
        <f>+D.sign_Data[[#This Row],[VALOR NETO ($COP)]]+D.sign_Data[[#This Row],[NEGOCIACIÓN ($COP)]]+D.sign_Data[[#This Row],[ICA ($COP)]]+D.sign_Data[[#This Row],[4 * 1000 ($COP)]]</f>
        <v>7622.0324499726603</v>
      </c>
    </row>
    <row r="39" spans="1:33" ht="60" hidden="1" customHeight="1" x14ac:dyDescent="0.25">
      <c r="A39" s="14"/>
      <c r="B39" s="87" t="s">
        <v>442</v>
      </c>
      <c r="C39" s="182" t="s">
        <v>466</v>
      </c>
      <c r="D39" s="189" t="str">
        <f>VLOOKUP(D.sign_Data[[#This Row],[CÓDIGO]],Descripciones[[CÓDIGO]:[NOMBRE DE SERVICIO]],3,FALSE)</f>
        <v>D1. Parcelaciones y Condominios</v>
      </c>
      <c r="E39" s="87" t="s">
        <v>467</v>
      </c>
      <c r="F39" s="88" t="s">
        <v>468</v>
      </c>
      <c r="G39" s="88" t="s">
        <v>469</v>
      </c>
      <c r="H39" s="87" t="s">
        <v>448</v>
      </c>
      <c r="I39" s="89">
        <v>1</v>
      </c>
      <c r="J39" s="88" t="s">
        <v>475</v>
      </c>
      <c r="K39" s="102"/>
      <c r="L39" s="91" t="s">
        <v>471</v>
      </c>
      <c r="M39" s="89" t="s">
        <v>472</v>
      </c>
      <c r="N39" s="90">
        <v>0.2</v>
      </c>
      <c r="O39" s="27">
        <f>IFERROR(+VLOOKUP(M39,D.sign_Lista_Data[[RESPONSABLE]:[SOFTWARE 
VALOR HORA]],3,FALSE),"0")</f>
        <v>17730.496453900709</v>
      </c>
      <c r="P39" s="3">
        <f t="shared" si="0"/>
        <v>3546.0992907801419</v>
      </c>
      <c r="Q39" s="11">
        <f>IFERROR(+VLOOKUP(M39,D.sign_Lista_Data[[RESPONSABLE]:[SOFTWARE 
VALOR HORA]],5,FALSE)*D.sign_Data[[#This Row],[TIEMPO (HORAS)]],0)</f>
        <v>675.44748395812223</v>
      </c>
      <c r="R39" s="11">
        <f>IFERROR(+VLOOKUP(M39,D.sign_Lista_Data[[RESPONSABLE]:[SOFTWARE 
VALOR HORA]],8,FALSE)*D.sign_Data[[#This Row],[TIEMPO (HORAS)]],0)</f>
        <v>682.17097742879673</v>
      </c>
      <c r="S39" s="99"/>
      <c r="T39" s="99"/>
      <c r="U39" s="3">
        <f t="shared" si="1"/>
        <v>4903.717752167061</v>
      </c>
      <c r="V39" s="100">
        <f>D.sign_Data[[#This Row],[TIEMPO (HORAS)]]*Gastos_Operativos[[#Totals],[GASTOS HORA]]</f>
        <v>5557.8954144620802</v>
      </c>
      <c r="W39" s="3">
        <f>+D.sign_Data[[#This Row],[COSTO 
DIRECTO ($COP)]]+D.sign_Data[[#This Row],[PRORRATEO GASTOS ($COP)]]</f>
        <v>10461.61316662914</v>
      </c>
      <c r="X39" s="101"/>
      <c r="Y39" s="15">
        <f>+D.sign_Data[[#This Row],[COSTOS OPERACIONALES ($COP)]]*D.sign_Data[[#This Row],[DESFASE (%)]]</f>
        <v>0</v>
      </c>
      <c r="Z39" s="101">
        <v>0.3</v>
      </c>
      <c r="AA39" s="15">
        <f>+((D.sign_Data[[#This Row],[COSTOS OPERACIONALES ($COP)]]/(100%-D.sign_Data[[#This Row],[UTILIDAD (%)]])))-D.sign_Data[[#This Row],[COSTOS OPERACIONALES ($COP)]]</f>
        <v>4483.5484999839191</v>
      </c>
      <c r="AB39" s="3">
        <f>+D.sign_Data[[#This Row],[COSTOS OPERACIONALES ($COP)]]+D.sign_Data[[#This Row],[DESFASE ($COP)]]+D.sign_Data[[#This Row],[UTILIDAD ($COP)]]</f>
        <v>14945.161666613059</v>
      </c>
      <c r="AC39" s="101"/>
      <c r="AD39" s="15">
        <f>+D.sign_Data[[#This Row],[VALOR NETO ($COP)]]/(100%-D.sign_Data[[#This Row],[MARGEN DE NEGOCIACIÓN (%)]])-D.sign_Data[[#This Row],[VALOR NETO ($COP)]]</f>
        <v>0</v>
      </c>
      <c r="AE39" s="15">
        <f>+(D.sign_Data[[#This Row],[VALOR NETO ($COP)]]+D.sign_Data[[#This Row],[NEGOCIACIÓN ($COP)]])*1%</f>
        <v>149.4516166661306</v>
      </c>
      <c r="AF39" s="15">
        <f>+(D.sign_Data[[#This Row],[VALOR NETO ($COP)]]+D.sign_Data[[#This Row],[NEGOCIACIÓN ($COP)]])*1%</f>
        <v>149.4516166661306</v>
      </c>
      <c r="AG39" s="3">
        <f>+D.sign_Data[[#This Row],[VALOR NETO ($COP)]]+D.sign_Data[[#This Row],[NEGOCIACIÓN ($COP)]]+D.sign_Data[[#This Row],[ICA ($COP)]]+D.sign_Data[[#This Row],[4 * 1000 ($COP)]]</f>
        <v>15244.064899945321</v>
      </c>
    </row>
    <row r="40" spans="1:33" ht="60" hidden="1" customHeight="1" x14ac:dyDescent="0.25">
      <c r="A40" s="14"/>
      <c r="B40" s="87" t="s">
        <v>442</v>
      </c>
      <c r="C40" s="182" t="s">
        <v>466</v>
      </c>
      <c r="D40" s="189" t="str">
        <f>VLOOKUP(D.sign_Data[[#This Row],[CÓDIGO]],Descripciones[[CÓDIGO]:[NOMBRE DE SERVICIO]],3,FALSE)</f>
        <v>D1. Parcelaciones y Condominios</v>
      </c>
      <c r="E40" s="87" t="s">
        <v>467</v>
      </c>
      <c r="F40" s="88" t="s">
        <v>468</v>
      </c>
      <c r="G40" s="88" t="s">
        <v>469</v>
      </c>
      <c r="H40" s="87" t="s">
        <v>448</v>
      </c>
      <c r="I40" s="89">
        <v>1</v>
      </c>
      <c r="J40" s="88" t="s">
        <v>475</v>
      </c>
      <c r="K40" s="102"/>
      <c r="L40" s="88" t="s">
        <v>473</v>
      </c>
      <c r="M40" s="89" t="s">
        <v>472</v>
      </c>
      <c r="N40" s="90">
        <v>0.1</v>
      </c>
      <c r="O40" s="27">
        <f>IFERROR(+VLOOKUP(M40,D.sign_Lista_Data[[RESPONSABLE]:[SOFTWARE 
VALOR HORA]],3,FALSE),"0")</f>
        <v>17730.496453900709</v>
      </c>
      <c r="P40" s="3">
        <f t="shared" si="0"/>
        <v>1773.049645390071</v>
      </c>
      <c r="Q40" s="11">
        <f>IFERROR(+VLOOKUP(M40,D.sign_Lista_Data[[RESPONSABLE]:[SOFTWARE 
VALOR HORA]],5,FALSE)*D.sign_Data[[#This Row],[TIEMPO (HORAS)]],0)</f>
        <v>337.72374197906112</v>
      </c>
      <c r="R40" s="11">
        <f>IFERROR(+VLOOKUP(M40,D.sign_Lista_Data[[RESPONSABLE]:[SOFTWARE 
VALOR HORA]],8,FALSE)*D.sign_Data[[#This Row],[TIEMPO (HORAS)]],0)</f>
        <v>341.08548871439837</v>
      </c>
      <c r="S40" s="99"/>
      <c r="T40" s="99"/>
      <c r="U40" s="3">
        <f t="shared" si="1"/>
        <v>2451.8588760835305</v>
      </c>
      <c r="V40" s="100">
        <f>D.sign_Data[[#This Row],[TIEMPO (HORAS)]]*Gastos_Operativos[[#Totals],[GASTOS HORA]]</f>
        <v>2778.9477072310401</v>
      </c>
      <c r="W40" s="3">
        <f>+D.sign_Data[[#This Row],[COSTO 
DIRECTO ($COP)]]+D.sign_Data[[#This Row],[PRORRATEO GASTOS ($COP)]]</f>
        <v>5230.8065833145702</v>
      </c>
      <c r="X40" s="101"/>
      <c r="Y40" s="15">
        <f>+D.sign_Data[[#This Row],[COSTOS OPERACIONALES ($COP)]]*D.sign_Data[[#This Row],[DESFASE (%)]]</f>
        <v>0</v>
      </c>
      <c r="Z40" s="101">
        <v>0.3</v>
      </c>
      <c r="AA40" s="15">
        <f>+((D.sign_Data[[#This Row],[COSTOS OPERACIONALES ($COP)]]/(100%-D.sign_Data[[#This Row],[UTILIDAD (%)]])))-D.sign_Data[[#This Row],[COSTOS OPERACIONALES ($COP)]]</f>
        <v>2241.7742499919596</v>
      </c>
      <c r="AB40" s="3">
        <f>+D.sign_Data[[#This Row],[COSTOS OPERACIONALES ($COP)]]+D.sign_Data[[#This Row],[DESFASE ($COP)]]+D.sign_Data[[#This Row],[UTILIDAD ($COP)]]</f>
        <v>7472.5808333065297</v>
      </c>
      <c r="AC40" s="101"/>
      <c r="AD40" s="15">
        <f>+D.sign_Data[[#This Row],[VALOR NETO ($COP)]]/(100%-D.sign_Data[[#This Row],[MARGEN DE NEGOCIACIÓN (%)]])-D.sign_Data[[#This Row],[VALOR NETO ($COP)]]</f>
        <v>0</v>
      </c>
      <c r="AE40" s="15">
        <f>+(D.sign_Data[[#This Row],[VALOR NETO ($COP)]]+D.sign_Data[[#This Row],[NEGOCIACIÓN ($COP)]])*1%</f>
        <v>74.725808333065302</v>
      </c>
      <c r="AF40" s="15">
        <f>+(D.sign_Data[[#This Row],[VALOR NETO ($COP)]]+D.sign_Data[[#This Row],[NEGOCIACIÓN ($COP)]])*1%</f>
        <v>74.725808333065302</v>
      </c>
      <c r="AG40" s="3">
        <f>+D.sign_Data[[#This Row],[VALOR NETO ($COP)]]+D.sign_Data[[#This Row],[NEGOCIACIÓN ($COP)]]+D.sign_Data[[#This Row],[ICA ($COP)]]+D.sign_Data[[#This Row],[4 * 1000 ($COP)]]</f>
        <v>7622.0324499726603</v>
      </c>
    </row>
    <row r="41" spans="1:33" ht="60" hidden="1" customHeight="1" x14ac:dyDescent="0.25">
      <c r="A41" s="14"/>
      <c r="B41" s="87" t="s">
        <v>442</v>
      </c>
      <c r="C41" s="182" t="s">
        <v>466</v>
      </c>
      <c r="D41" s="189" t="str">
        <f>VLOOKUP(D.sign_Data[[#This Row],[CÓDIGO]],Descripciones[[CÓDIGO]:[NOMBRE DE SERVICIO]],3,FALSE)</f>
        <v>D1. Parcelaciones y Condominios</v>
      </c>
      <c r="E41" s="87" t="s">
        <v>467</v>
      </c>
      <c r="F41" s="88" t="s">
        <v>468</v>
      </c>
      <c r="G41" s="88" t="s">
        <v>469</v>
      </c>
      <c r="H41" s="87" t="s">
        <v>448</v>
      </c>
      <c r="I41" s="89">
        <v>1</v>
      </c>
      <c r="J41" s="88" t="s">
        <v>475</v>
      </c>
      <c r="K41" s="102"/>
      <c r="L41" s="88" t="s">
        <v>478</v>
      </c>
      <c r="M41" s="89" t="s">
        <v>472</v>
      </c>
      <c r="N41" s="90">
        <v>0.5</v>
      </c>
      <c r="O41" s="27">
        <f>IFERROR(+VLOOKUP(M41,D.sign_Lista_Data[[RESPONSABLE]:[SOFTWARE 
VALOR HORA]],3,FALSE),"0")</f>
        <v>17730.496453900709</v>
      </c>
      <c r="P41" s="3">
        <f t="shared" si="0"/>
        <v>8865.2482269503544</v>
      </c>
      <c r="Q41" s="11">
        <f>IFERROR(+VLOOKUP(M41,D.sign_Lista_Data[[RESPONSABLE]:[SOFTWARE 
VALOR HORA]],5,FALSE)*D.sign_Data[[#This Row],[TIEMPO (HORAS)]],0)</f>
        <v>1688.6187098953055</v>
      </c>
      <c r="R41" s="11">
        <f>IFERROR(+VLOOKUP(M41,D.sign_Lista_Data[[RESPONSABLE]:[SOFTWARE 
VALOR HORA]],8,FALSE)*D.sign_Data[[#This Row],[TIEMPO (HORAS)]],0)</f>
        <v>1705.4274435719917</v>
      </c>
      <c r="S41" s="99"/>
      <c r="T41" s="99"/>
      <c r="U41" s="3">
        <f t="shared" si="1"/>
        <v>12259.29438041765</v>
      </c>
      <c r="V41" s="100">
        <f>D.sign_Data[[#This Row],[TIEMPO (HORAS)]]*Gastos_Operativos[[#Totals],[GASTOS HORA]]</f>
        <v>13894.738536155201</v>
      </c>
      <c r="W41" s="3">
        <f>+D.sign_Data[[#This Row],[COSTO 
DIRECTO ($COP)]]+D.sign_Data[[#This Row],[PRORRATEO GASTOS ($COP)]]</f>
        <v>26154.032916572851</v>
      </c>
      <c r="X41" s="101"/>
      <c r="Y41" s="15">
        <f>+D.sign_Data[[#This Row],[COSTOS OPERACIONALES ($COP)]]*D.sign_Data[[#This Row],[DESFASE (%)]]</f>
        <v>0</v>
      </c>
      <c r="Z41" s="101">
        <v>0.3</v>
      </c>
      <c r="AA41" s="15">
        <f>+((D.sign_Data[[#This Row],[COSTOS OPERACIONALES ($COP)]]/(100%-D.sign_Data[[#This Row],[UTILIDAD (%)]])))-D.sign_Data[[#This Row],[COSTOS OPERACIONALES ($COP)]]</f>
        <v>11208.871249959793</v>
      </c>
      <c r="AB41" s="3">
        <f>+D.sign_Data[[#This Row],[COSTOS OPERACIONALES ($COP)]]+D.sign_Data[[#This Row],[DESFASE ($COP)]]+D.sign_Data[[#This Row],[UTILIDAD ($COP)]]</f>
        <v>37362.904166532644</v>
      </c>
      <c r="AC41" s="101"/>
      <c r="AD41" s="15">
        <f>+D.sign_Data[[#This Row],[VALOR NETO ($COP)]]/(100%-D.sign_Data[[#This Row],[MARGEN DE NEGOCIACIÓN (%)]])-D.sign_Data[[#This Row],[VALOR NETO ($COP)]]</f>
        <v>0</v>
      </c>
      <c r="AE41" s="15">
        <f>+(D.sign_Data[[#This Row],[VALOR NETO ($COP)]]+D.sign_Data[[#This Row],[NEGOCIACIÓN ($COP)]])*1%</f>
        <v>373.62904166532644</v>
      </c>
      <c r="AF41" s="15">
        <f>+(D.sign_Data[[#This Row],[VALOR NETO ($COP)]]+D.sign_Data[[#This Row],[NEGOCIACIÓN ($COP)]])*1%</f>
        <v>373.62904166532644</v>
      </c>
      <c r="AG41" s="3">
        <f>+D.sign_Data[[#This Row],[VALOR NETO ($COP)]]+D.sign_Data[[#This Row],[NEGOCIACIÓN ($COP)]]+D.sign_Data[[#This Row],[ICA ($COP)]]+D.sign_Data[[#This Row],[4 * 1000 ($COP)]]</f>
        <v>38110.162249863301</v>
      </c>
    </row>
    <row r="42" spans="1:33" ht="60" hidden="1" customHeight="1" x14ac:dyDescent="0.25">
      <c r="A42" s="14"/>
      <c r="B42" s="87" t="s">
        <v>442</v>
      </c>
      <c r="C42" s="182" t="s">
        <v>466</v>
      </c>
      <c r="D42" s="189" t="str">
        <f>VLOOKUP(D.sign_Data[[#This Row],[CÓDIGO]],Descripciones[[CÓDIGO]:[NOMBRE DE SERVICIO]],3,FALSE)</f>
        <v>D1. Parcelaciones y Condominios</v>
      </c>
      <c r="E42" s="87" t="s">
        <v>467</v>
      </c>
      <c r="F42" s="88" t="s">
        <v>468</v>
      </c>
      <c r="G42" s="88" t="s">
        <v>469</v>
      </c>
      <c r="H42" s="87" t="s">
        <v>448</v>
      </c>
      <c r="I42" s="89">
        <v>1</v>
      </c>
      <c r="J42" s="88" t="s">
        <v>475</v>
      </c>
      <c r="K42" s="102"/>
      <c r="L42" s="88" t="s">
        <v>474</v>
      </c>
      <c r="M42" s="89" t="s">
        <v>472</v>
      </c>
      <c r="N42" s="90">
        <v>0.2</v>
      </c>
      <c r="O42" s="27">
        <f>IFERROR(+VLOOKUP(M42,D.sign_Lista_Data[[RESPONSABLE]:[SOFTWARE 
VALOR HORA]],3,FALSE),"0")</f>
        <v>17730.496453900709</v>
      </c>
      <c r="P42" s="3">
        <f t="shared" si="0"/>
        <v>3546.0992907801419</v>
      </c>
      <c r="Q42" s="11">
        <f>IFERROR(+VLOOKUP(M42,D.sign_Lista_Data[[RESPONSABLE]:[SOFTWARE 
VALOR HORA]],5,FALSE)*D.sign_Data[[#This Row],[TIEMPO (HORAS)]],0)</f>
        <v>675.44748395812223</v>
      </c>
      <c r="R42" s="11">
        <f>IFERROR(+VLOOKUP(M42,D.sign_Lista_Data[[RESPONSABLE]:[SOFTWARE 
VALOR HORA]],8,FALSE)*D.sign_Data[[#This Row],[TIEMPO (HORAS)]],0)</f>
        <v>682.17097742879673</v>
      </c>
      <c r="S42" s="99"/>
      <c r="T42" s="99"/>
      <c r="U42" s="3">
        <f t="shared" si="1"/>
        <v>4903.717752167061</v>
      </c>
      <c r="V42" s="100">
        <f>D.sign_Data[[#This Row],[TIEMPO (HORAS)]]*Gastos_Operativos[[#Totals],[GASTOS HORA]]</f>
        <v>5557.8954144620802</v>
      </c>
      <c r="W42" s="3">
        <f>+D.sign_Data[[#This Row],[COSTO 
DIRECTO ($COP)]]+D.sign_Data[[#This Row],[PRORRATEO GASTOS ($COP)]]</f>
        <v>10461.61316662914</v>
      </c>
      <c r="X42" s="101"/>
      <c r="Y42" s="15">
        <f>+D.sign_Data[[#This Row],[COSTOS OPERACIONALES ($COP)]]*D.sign_Data[[#This Row],[DESFASE (%)]]</f>
        <v>0</v>
      </c>
      <c r="Z42" s="101">
        <v>0.3</v>
      </c>
      <c r="AA42" s="15">
        <f>+((D.sign_Data[[#This Row],[COSTOS OPERACIONALES ($COP)]]/(100%-D.sign_Data[[#This Row],[UTILIDAD (%)]])))-D.sign_Data[[#This Row],[COSTOS OPERACIONALES ($COP)]]</f>
        <v>4483.5484999839191</v>
      </c>
      <c r="AB42" s="3">
        <f>+D.sign_Data[[#This Row],[COSTOS OPERACIONALES ($COP)]]+D.sign_Data[[#This Row],[DESFASE ($COP)]]+D.sign_Data[[#This Row],[UTILIDAD ($COP)]]</f>
        <v>14945.161666613059</v>
      </c>
      <c r="AC42" s="101"/>
      <c r="AD42" s="15">
        <f>+D.sign_Data[[#This Row],[VALOR NETO ($COP)]]/(100%-D.sign_Data[[#This Row],[MARGEN DE NEGOCIACIÓN (%)]])-D.sign_Data[[#This Row],[VALOR NETO ($COP)]]</f>
        <v>0</v>
      </c>
      <c r="AE42" s="15">
        <f>+(D.sign_Data[[#This Row],[VALOR NETO ($COP)]]+D.sign_Data[[#This Row],[NEGOCIACIÓN ($COP)]])*1%</f>
        <v>149.4516166661306</v>
      </c>
      <c r="AF42" s="15">
        <f>+(D.sign_Data[[#This Row],[VALOR NETO ($COP)]]+D.sign_Data[[#This Row],[NEGOCIACIÓN ($COP)]])*1%</f>
        <v>149.4516166661306</v>
      </c>
      <c r="AG42" s="3">
        <f>+D.sign_Data[[#This Row],[VALOR NETO ($COP)]]+D.sign_Data[[#This Row],[NEGOCIACIÓN ($COP)]]+D.sign_Data[[#This Row],[ICA ($COP)]]+D.sign_Data[[#This Row],[4 * 1000 ($COP)]]</f>
        <v>15244.064899945321</v>
      </c>
    </row>
    <row r="43" spans="1:33" ht="60" hidden="1" customHeight="1" x14ac:dyDescent="0.25">
      <c r="A43" s="14"/>
      <c r="B43" s="87" t="s">
        <v>442</v>
      </c>
      <c r="C43" s="182" t="s">
        <v>466</v>
      </c>
      <c r="D43" s="189" t="str">
        <f>VLOOKUP(D.sign_Data[[#This Row],[CÓDIGO]],Descripciones[[CÓDIGO]:[NOMBRE DE SERVICIO]],3,FALSE)</f>
        <v>D1. Parcelaciones y Condominios</v>
      </c>
      <c r="E43" s="87" t="s">
        <v>467</v>
      </c>
      <c r="F43" s="88" t="s">
        <v>468</v>
      </c>
      <c r="G43" s="88" t="s">
        <v>469</v>
      </c>
      <c r="H43" s="87" t="s">
        <v>448</v>
      </c>
      <c r="I43" s="89">
        <v>1</v>
      </c>
      <c r="J43" s="88" t="s">
        <v>479</v>
      </c>
      <c r="K43" s="102"/>
      <c r="L43" s="88" t="s">
        <v>476</v>
      </c>
      <c r="M43" s="89" t="s">
        <v>472</v>
      </c>
      <c r="N43" s="90">
        <v>0.2</v>
      </c>
      <c r="O43" s="27">
        <f>IFERROR(+VLOOKUP(M43,D.sign_Lista_Data[[RESPONSABLE]:[SOFTWARE 
VALOR HORA]],3,FALSE),"0")</f>
        <v>17730.496453900709</v>
      </c>
      <c r="P43" s="3">
        <f t="shared" si="0"/>
        <v>3546.0992907801419</v>
      </c>
      <c r="Q43" s="11">
        <f>IFERROR(+VLOOKUP(M43,D.sign_Lista_Data[[RESPONSABLE]:[SOFTWARE 
VALOR HORA]],5,FALSE)*D.sign_Data[[#This Row],[TIEMPO (HORAS)]],0)</f>
        <v>675.44748395812223</v>
      </c>
      <c r="R43" s="11">
        <f>IFERROR(+VLOOKUP(M43,D.sign_Lista_Data[[RESPONSABLE]:[SOFTWARE 
VALOR HORA]],8,FALSE)*D.sign_Data[[#This Row],[TIEMPO (HORAS)]],0)</f>
        <v>682.17097742879673</v>
      </c>
      <c r="S43" s="99"/>
      <c r="T43" s="99"/>
      <c r="U43" s="3">
        <f t="shared" si="1"/>
        <v>4903.717752167061</v>
      </c>
      <c r="V43" s="100">
        <f>D.sign_Data[[#This Row],[TIEMPO (HORAS)]]*Gastos_Operativos[[#Totals],[GASTOS HORA]]</f>
        <v>5557.8954144620802</v>
      </c>
      <c r="W43" s="3">
        <f>+D.sign_Data[[#This Row],[COSTO 
DIRECTO ($COP)]]+D.sign_Data[[#This Row],[PRORRATEO GASTOS ($COP)]]</f>
        <v>10461.61316662914</v>
      </c>
      <c r="X43" s="101"/>
      <c r="Y43" s="15">
        <f>+D.sign_Data[[#This Row],[COSTOS OPERACIONALES ($COP)]]*D.sign_Data[[#This Row],[DESFASE (%)]]</f>
        <v>0</v>
      </c>
      <c r="Z43" s="101">
        <v>0.3</v>
      </c>
      <c r="AA43" s="15">
        <f>+((D.sign_Data[[#This Row],[COSTOS OPERACIONALES ($COP)]]/(100%-D.sign_Data[[#This Row],[UTILIDAD (%)]])))-D.sign_Data[[#This Row],[COSTOS OPERACIONALES ($COP)]]</f>
        <v>4483.5484999839191</v>
      </c>
      <c r="AB43" s="3">
        <f>+D.sign_Data[[#This Row],[COSTOS OPERACIONALES ($COP)]]+D.sign_Data[[#This Row],[DESFASE ($COP)]]+D.sign_Data[[#This Row],[UTILIDAD ($COP)]]</f>
        <v>14945.161666613059</v>
      </c>
      <c r="AC43" s="101"/>
      <c r="AD43" s="15">
        <f>+D.sign_Data[[#This Row],[VALOR NETO ($COP)]]/(100%-D.sign_Data[[#This Row],[MARGEN DE NEGOCIACIÓN (%)]])-D.sign_Data[[#This Row],[VALOR NETO ($COP)]]</f>
        <v>0</v>
      </c>
      <c r="AE43" s="15">
        <f>+(D.sign_Data[[#This Row],[VALOR NETO ($COP)]]+D.sign_Data[[#This Row],[NEGOCIACIÓN ($COP)]])*1%</f>
        <v>149.4516166661306</v>
      </c>
      <c r="AF43" s="15">
        <f>+(D.sign_Data[[#This Row],[VALOR NETO ($COP)]]+D.sign_Data[[#This Row],[NEGOCIACIÓN ($COP)]])*1%</f>
        <v>149.4516166661306</v>
      </c>
      <c r="AG43" s="3">
        <f>+D.sign_Data[[#This Row],[VALOR NETO ($COP)]]+D.sign_Data[[#This Row],[NEGOCIACIÓN ($COP)]]+D.sign_Data[[#This Row],[ICA ($COP)]]+D.sign_Data[[#This Row],[4 * 1000 ($COP)]]</f>
        <v>15244.064899945321</v>
      </c>
    </row>
    <row r="44" spans="1:33" ht="60" hidden="1" customHeight="1" x14ac:dyDescent="0.25">
      <c r="A44" s="14"/>
      <c r="B44" s="87" t="s">
        <v>442</v>
      </c>
      <c r="C44" s="182" t="s">
        <v>466</v>
      </c>
      <c r="D44" s="189" t="str">
        <f>VLOOKUP(D.sign_Data[[#This Row],[CÓDIGO]],Descripciones[[CÓDIGO]:[NOMBRE DE SERVICIO]],3,FALSE)</f>
        <v>D1. Parcelaciones y Condominios</v>
      </c>
      <c r="E44" s="87" t="s">
        <v>467</v>
      </c>
      <c r="F44" s="88" t="s">
        <v>468</v>
      </c>
      <c r="G44" s="88" t="s">
        <v>469</v>
      </c>
      <c r="H44" s="87" t="s">
        <v>448</v>
      </c>
      <c r="I44" s="89">
        <v>1</v>
      </c>
      <c r="J44" s="88" t="s">
        <v>479</v>
      </c>
      <c r="K44" s="102"/>
      <c r="L44" s="88" t="s">
        <v>471</v>
      </c>
      <c r="M44" s="89" t="s">
        <v>472</v>
      </c>
      <c r="N44" s="90">
        <v>0.2</v>
      </c>
      <c r="O44" s="27">
        <f>IFERROR(+VLOOKUP(M44,D.sign_Lista_Data[[RESPONSABLE]:[SOFTWARE 
VALOR HORA]],3,FALSE),"0")</f>
        <v>17730.496453900709</v>
      </c>
      <c r="P44" s="3">
        <f t="shared" si="0"/>
        <v>3546.0992907801419</v>
      </c>
      <c r="Q44" s="11">
        <f>IFERROR(+VLOOKUP(M44,D.sign_Lista_Data[[RESPONSABLE]:[SOFTWARE 
VALOR HORA]],5,FALSE)*D.sign_Data[[#This Row],[TIEMPO (HORAS)]],0)</f>
        <v>675.44748395812223</v>
      </c>
      <c r="R44" s="11">
        <f>IFERROR(+VLOOKUP(M44,D.sign_Lista_Data[[RESPONSABLE]:[SOFTWARE 
VALOR HORA]],8,FALSE)*D.sign_Data[[#This Row],[TIEMPO (HORAS)]],0)</f>
        <v>682.17097742879673</v>
      </c>
      <c r="S44" s="99"/>
      <c r="T44" s="99"/>
      <c r="U44" s="3">
        <f t="shared" si="1"/>
        <v>4903.717752167061</v>
      </c>
      <c r="V44" s="100">
        <f>D.sign_Data[[#This Row],[TIEMPO (HORAS)]]*Gastos_Operativos[[#Totals],[GASTOS HORA]]</f>
        <v>5557.8954144620802</v>
      </c>
      <c r="W44" s="3">
        <f>+D.sign_Data[[#This Row],[COSTO 
DIRECTO ($COP)]]+D.sign_Data[[#This Row],[PRORRATEO GASTOS ($COP)]]</f>
        <v>10461.61316662914</v>
      </c>
      <c r="X44" s="101"/>
      <c r="Y44" s="15">
        <f>+D.sign_Data[[#This Row],[COSTOS OPERACIONALES ($COP)]]*D.sign_Data[[#This Row],[DESFASE (%)]]</f>
        <v>0</v>
      </c>
      <c r="Z44" s="101">
        <v>0.3</v>
      </c>
      <c r="AA44" s="15">
        <f>+((D.sign_Data[[#This Row],[COSTOS OPERACIONALES ($COP)]]/(100%-D.sign_Data[[#This Row],[UTILIDAD (%)]])))-D.sign_Data[[#This Row],[COSTOS OPERACIONALES ($COP)]]</f>
        <v>4483.5484999839191</v>
      </c>
      <c r="AB44" s="3">
        <f>+D.sign_Data[[#This Row],[COSTOS OPERACIONALES ($COP)]]+D.sign_Data[[#This Row],[DESFASE ($COP)]]+D.sign_Data[[#This Row],[UTILIDAD ($COP)]]</f>
        <v>14945.161666613059</v>
      </c>
      <c r="AC44" s="101"/>
      <c r="AD44" s="15">
        <f>+D.sign_Data[[#This Row],[VALOR NETO ($COP)]]/(100%-D.sign_Data[[#This Row],[MARGEN DE NEGOCIACIÓN (%)]])-D.sign_Data[[#This Row],[VALOR NETO ($COP)]]</f>
        <v>0</v>
      </c>
      <c r="AE44" s="15">
        <f>+(D.sign_Data[[#This Row],[VALOR NETO ($COP)]]+D.sign_Data[[#This Row],[NEGOCIACIÓN ($COP)]])*1%</f>
        <v>149.4516166661306</v>
      </c>
      <c r="AF44" s="15">
        <f>+(D.sign_Data[[#This Row],[VALOR NETO ($COP)]]+D.sign_Data[[#This Row],[NEGOCIACIÓN ($COP)]])*1%</f>
        <v>149.4516166661306</v>
      </c>
      <c r="AG44" s="3">
        <f>+D.sign_Data[[#This Row],[VALOR NETO ($COP)]]+D.sign_Data[[#This Row],[NEGOCIACIÓN ($COP)]]+D.sign_Data[[#This Row],[ICA ($COP)]]+D.sign_Data[[#This Row],[4 * 1000 ($COP)]]</f>
        <v>15244.064899945321</v>
      </c>
    </row>
    <row r="45" spans="1:33" ht="60" hidden="1" customHeight="1" x14ac:dyDescent="0.25">
      <c r="A45" s="14"/>
      <c r="B45" s="87" t="s">
        <v>442</v>
      </c>
      <c r="C45" s="182" t="s">
        <v>466</v>
      </c>
      <c r="D45" s="189" t="str">
        <f>VLOOKUP(D.sign_Data[[#This Row],[CÓDIGO]],Descripciones[[CÓDIGO]:[NOMBRE DE SERVICIO]],3,FALSE)</f>
        <v>D1. Parcelaciones y Condominios</v>
      </c>
      <c r="E45" s="87" t="s">
        <v>467</v>
      </c>
      <c r="F45" s="88" t="s">
        <v>468</v>
      </c>
      <c r="G45" s="88" t="s">
        <v>469</v>
      </c>
      <c r="H45" s="87" t="s">
        <v>448</v>
      </c>
      <c r="I45" s="89">
        <v>1</v>
      </c>
      <c r="J45" s="88" t="s">
        <v>479</v>
      </c>
      <c r="K45" s="102"/>
      <c r="L45" s="88" t="s">
        <v>480</v>
      </c>
      <c r="M45" s="89" t="s">
        <v>472</v>
      </c>
      <c r="N45" s="90">
        <v>0.1</v>
      </c>
      <c r="O45" s="27">
        <f>IFERROR(+VLOOKUP(M45,D.sign_Lista_Data[[RESPONSABLE]:[SOFTWARE 
VALOR HORA]],3,FALSE),"0")</f>
        <v>17730.496453900709</v>
      </c>
      <c r="P45" s="3">
        <f t="shared" si="0"/>
        <v>1773.049645390071</v>
      </c>
      <c r="Q45" s="11">
        <f>IFERROR(+VLOOKUP(M45,D.sign_Lista_Data[[RESPONSABLE]:[SOFTWARE 
VALOR HORA]],5,FALSE)*D.sign_Data[[#This Row],[TIEMPO (HORAS)]],0)</f>
        <v>337.72374197906112</v>
      </c>
      <c r="R45" s="11">
        <f>IFERROR(+VLOOKUP(M45,D.sign_Lista_Data[[RESPONSABLE]:[SOFTWARE 
VALOR HORA]],8,FALSE)*D.sign_Data[[#This Row],[TIEMPO (HORAS)]],0)</f>
        <v>341.08548871439837</v>
      </c>
      <c r="S45" s="99"/>
      <c r="T45" s="99"/>
      <c r="U45" s="3">
        <f t="shared" si="1"/>
        <v>2451.8588760835305</v>
      </c>
      <c r="V45" s="100">
        <f>D.sign_Data[[#This Row],[TIEMPO (HORAS)]]*Gastos_Operativos[[#Totals],[GASTOS HORA]]</f>
        <v>2778.9477072310401</v>
      </c>
      <c r="W45" s="3">
        <f>+D.sign_Data[[#This Row],[COSTO 
DIRECTO ($COP)]]+D.sign_Data[[#This Row],[PRORRATEO GASTOS ($COP)]]</f>
        <v>5230.8065833145702</v>
      </c>
      <c r="X45" s="101"/>
      <c r="Y45" s="15">
        <f>+D.sign_Data[[#This Row],[COSTOS OPERACIONALES ($COP)]]*D.sign_Data[[#This Row],[DESFASE (%)]]</f>
        <v>0</v>
      </c>
      <c r="Z45" s="101">
        <v>0.3</v>
      </c>
      <c r="AA45" s="15">
        <f>+((D.sign_Data[[#This Row],[COSTOS OPERACIONALES ($COP)]]/(100%-D.sign_Data[[#This Row],[UTILIDAD (%)]])))-D.sign_Data[[#This Row],[COSTOS OPERACIONALES ($COP)]]</f>
        <v>2241.7742499919596</v>
      </c>
      <c r="AB45" s="3">
        <f>+D.sign_Data[[#This Row],[COSTOS OPERACIONALES ($COP)]]+D.sign_Data[[#This Row],[DESFASE ($COP)]]+D.sign_Data[[#This Row],[UTILIDAD ($COP)]]</f>
        <v>7472.5808333065297</v>
      </c>
      <c r="AC45" s="101"/>
      <c r="AD45" s="15">
        <f>+D.sign_Data[[#This Row],[VALOR NETO ($COP)]]/(100%-D.sign_Data[[#This Row],[MARGEN DE NEGOCIACIÓN (%)]])-D.sign_Data[[#This Row],[VALOR NETO ($COP)]]</f>
        <v>0</v>
      </c>
      <c r="AE45" s="15">
        <f>+(D.sign_Data[[#This Row],[VALOR NETO ($COP)]]+D.sign_Data[[#This Row],[NEGOCIACIÓN ($COP)]])*1%</f>
        <v>74.725808333065302</v>
      </c>
      <c r="AF45" s="15">
        <f>+(D.sign_Data[[#This Row],[VALOR NETO ($COP)]]+D.sign_Data[[#This Row],[NEGOCIACIÓN ($COP)]])*1%</f>
        <v>74.725808333065302</v>
      </c>
      <c r="AG45" s="3">
        <f>+D.sign_Data[[#This Row],[VALOR NETO ($COP)]]+D.sign_Data[[#This Row],[NEGOCIACIÓN ($COP)]]+D.sign_Data[[#This Row],[ICA ($COP)]]+D.sign_Data[[#This Row],[4 * 1000 ($COP)]]</f>
        <v>7622.0324499726603</v>
      </c>
    </row>
    <row r="46" spans="1:33" ht="60" hidden="1" customHeight="1" x14ac:dyDescent="0.25">
      <c r="A46" s="14"/>
      <c r="B46" s="87" t="s">
        <v>442</v>
      </c>
      <c r="C46" s="182" t="s">
        <v>466</v>
      </c>
      <c r="D46" s="189" t="str">
        <f>VLOOKUP(D.sign_Data[[#This Row],[CÓDIGO]],Descripciones[[CÓDIGO]:[NOMBRE DE SERVICIO]],3,FALSE)</f>
        <v>D1. Parcelaciones y Condominios</v>
      </c>
      <c r="E46" s="87" t="s">
        <v>467</v>
      </c>
      <c r="F46" s="88" t="s">
        <v>468</v>
      </c>
      <c r="G46" s="88" t="s">
        <v>469</v>
      </c>
      <c r="H46" s="87" t="s">
        <v>448</v>
      </c>
      <c r="I46" s="89">
        <v>1</v>
      </c>
      <c r="J46" s="88" t="s">
        <v>479</v>
      </c>
      <c r="K46" s="102"/>
      <c r="L46" s="88" t="s">
        <v>481</v>
      </c>
      <c r="M46" s="89" t="s">
        <v>472</v>
      </c>
      <c r="N46" s="90">
        <v>0.2</v>
      </c>
      <c r="O46" s="27">
        <f>IFERROR(+VLOOKUP(M46,D.sign_Lista_Data[[RESPONSABLE]:[SOFTWARE 
VALOR HORA]],3,FALSE),"0")</f>
        <v>17730.496453900709</v>
      </c>
      <c r="P46" s="3">
        <f t="shared" si="0"/>
        <v>3546.0992907801419</v>
      </c>
      <c r="Q46" s="11">
        <f>IFERROR(+VLOOKUP(M46,D.sign_Lista_Data[[RESPONSABLE]:[SOFTWARE 
VALOR HORA]],5,FALSE)*D.sign_Data[[#This Row],[TIEMPO (HORAS)]],0)</f>
        <v>675.44748395812223</v>
      </c>
      <c r="R46" s="11">
        <f>IFERROR(+VLOOKUP(M46,D.sign_Lista_Data[[RESPONSABLE]:[SOFTWARE 
VALOR HORA]],8,FALSE)*D.sign_Data[[#This Row],[TIEMPO (HORAS)]],0)</f>
        <v>682.17097742879673</v>
      </c>
      <c r="S46" s="99"/>
      <c r="T46" s="99"/>
      <c r="U46" s="3">
        <f t="shared" si="1"/>
        <v>4903.717752167061</v>
      </c>
      <c r="V46" s="100">
        <f>D.sign_Data[[#This Row],[TIEMPO (HORAS)]]*Gastos_Operativos[[#Totals],[GASTOS HORA]]</f>
        <v>5557.8954144620802</v>
      </c>
      <c r="W46" s="3">
        <f>+D.sign_Data[[#This Row],[COSTO 
DIRECTO ($COP)]]+D.sign_Data[[#This Row],[PRORRATEO GASTOS ($COP)]]</f>
        <v>10461.61316662914</v>
      </c>
      <c r="X46" s="101"/>
      <c r="Y46" s="15">
        <f>+D.sign_Data[[#This Row],[COSTOS OPERACIONALES ($COP)]]*D.sign_Data[[#This Row],[DESFASE (%)]]</f>
        <v>0</v>
      </c>
      <c r="Z46" s="101">
        <v>0.3</v>
      </c>
      <c r="AA46" s="15">
        <f>+((D.sign_Data[[#This Row],[COSTOS OPERACIONALES ($COP)]]/(100%-D.sign_Data[[#This Row],[UTILIDAD (%)]])))-D.sign_Data[[#This Row],[COSTOS OPERACIONALES ($COP)]]</f>
        <v>4483.5484999839191</v>
      </c>
      <c r="AB46" s="3">
        <f>+D.sign_Data[[#This Row],[COSTOS OPERACIONALES ($COP)]]+D.sign_Data[[#This Row],[DESFASE ($COP)]]+D.sign_Data[[#This Row],[UTILIDAD ($COP)]]</f>
        <v>14945.161666613059</v>
      </c>
      <c r="AC46" s="101"/>
      <c r="AD46" s="15">
        <f>+D.sign_Data[[#This Row],[VALOR NETO ($COP)]]/(100%-D.sign_Data[[#This Row],[MARGEN DE NEGOCIACIÓN (%)]])-D.sign_Data[[#This Row],[VALOR NETO ($COP)]]</f>
        <v>0</v>
      </c>
      <c r="AE46" s="15">
        <f>+(D.sign_Data[[#This Row],[VALOR NETO ($COP)]]+D.sign_Data[[#This Row],[NEGOCIACIÓN ($COP)]])*1%</f>
        <v>149.4516166661306</v>
      </c>
      <c r="AF46" s="15">
        <f>+(D.sign_Data[[#This Row],[VALOR NETO ($COP)]]+D.sign_Data[[#This Row],[NEGOCIACIÓN ($COP)]])*1%</f>
        <v>149.4516166661306</v>
      </c>
      <c r="AG46" s="3">
        <f>+D.sign_Data[[#This Row],[VALOR NETO ($COP)]]+D.sign_Data[[#This Row],[NEGOCIACIÓN ($COP)]]+D.sign_Data[[#This Row],[ICA ($COP)]]+D.sign_Data[[#This Row],[4 * 1000 ($COP)]]</f>
        <v>15244.064899945321</v>
      </c>
    </row>
    <row r="47" spans="1:33" ht="60" hidden="1" customHeight="1" x14ac:dyDescent="0.25">
      <c r="A47" s="14"/>
      <c r="B47" s="87" t="s">
        <v>442</v>
      </c>
      <c r="C47" s="182" t="s">
        <v>466</v>
      </c>
      <c r="D47" s="189" t="str">
        <f>VLOOKUP(D.sign_Data[[#This Row],[CÓDIGO]],Descripciones[[CÓDIGO]:[NOMBRE DE SERVICIO]],3,FALSE)</f>
        <v>D1. Parcelaciones y Condominios</v>
      </c>
      <c r="E47" s="87" t="s">
        <v>467</v>
      </c>
      <c r="F47" s="88" t="s">
        <v>468</v>
      </c>
      <c r="G47" s="88" t="s">
        <v>469</v>
      </c>
      <c r="H47" s="87" t="s">
        <v>448</v>
      </c>
      <c r="I47" s="89">
        <v>1</v>
      </c>
      <c r="J47" s="88" t="s">
        <v>479</v>
      </c>
      <c r="K47" s="102"/>
      <c r="L47" s="88" t="s">
        <v>482</v>
      </c>
      <c r="M47" s="89" t="s">
        <v>472</v>
      </c>
      <c r="N47" s="90">
        <v>0.2</v>
      </c>
      <c r="O47" s="27">
        <f>IFERROR(+VLOOKUP(M47,D.sign_Lista_Data[[RESPONSABLE]:[SOFTWARE 
VALOR HORA]],3,FALSE),"0")</f>
        <v>17730.496453900709</v>
      </c>
      <c r="P47" s="3">
        <f t="shared" si="0"/>
        <v>3546.0992907801419</v>
      </c>
      <c r="Q47" s="11">
        <f>IFERROR(+VLOOKUP(M47,D.sign_Lista_Data[[RESPONSABLE]:[SOFTWARE 
VALOR HORA]],5,FALSE)*D.sign_Data[[#This Row],[TIEMPO (HORAS)]],0)</f>
        <v>675.44748395812223</v>
      </c>
      <c r="R47" s="11">
        <f>IFERROR(+VLOOKUP(M47,D.sign_Lista_Data[[RESPONSABLE]:[SOFTWARE 
VALOR HORA]],8,FALSE)*D.sign_Data[[#This Row],[TIEMPO (HORAS)]],0)</f>
        <v>682.17097742879673</v>
      </c>
      <c r="S47" s="99"/>
      <c r="T47" s="99"/>
      <c r="U47" s="3">
        <f t="shared" si="1"/>
        <v>4903.717752167061</v>
      </c>
      <c r="V47" s="100">
        <f>D.sign_Data[[#This Row],[TIEMPO (HORAS)]]*Gastos_Operativos[[#Totals],[GASTOS HORA]]</f>
        <v>5557.8954144620802</v>
      </c>
      <c r="W47" s="3">
        <f>+D.sign_Data[[#This Row],[COSTO 
DIRECTO ($COP)]]+D.sign_Data[[#This Row],[PRORRATEO GASTOS ($COP)]]</f>
        <v>10461.61316662914</v>
      </c>
      <c r="X47" s="101"/>
      <c r="Y47" s="15">
        <f>+D.sign_Data[[#This Row],[COSTOS OPERACIONALES ($COP)]]*D.sign_Data[[#This Row],[DESFASE (%)]]</f>
        <v>0</v>
      </c>
      <c r="Z47" s="101">
        <v>0.3</v>
      </c>
      <c r="AA47" s="15">
        <f>+((D.sign_Data[[#This Row],[COSTOS OPERACIONALES ($COP)]]/(100%-D.sign_Data[[#This Row],[UTILIDAD (%)]])))-D.sign_Data[[#This Row],[COSTOS OPERACIONALES ($COP)]]</f>
        <v>4483.5484999839191</v>
      </c>
      <c r="AB47" s="3">
        <f>+D.sign_Data[[#This Row],[COSTOS OPERACIONALES ($COP)]]+D.sign_Data[[#This Row],[DESFASE ($COP)]]+D.sign_Data[[#This Row],[UTILIDAD ($COP)]]</f>
        <v>14945.161666613059</v>
      </c>
      <c r="AC47" s="101"/>
      <c r="AD47" s="15">
        <f>+D.sign_Data[[#This Row],[VALOR NETO ($COP)]]/(100%-D.sign_Data[[#This Row],[MARGEN DE NEGOCIACIÓN (%)]])-D.sign_Data[[#This Row],[VALOR NETO ($COP)]]</f>
        <v>0</v>
      </c>
      <c r="AE47" s="15">
        <f>+(D.sign_Data[[#This Row],[VALOR NETO ($COP)]]+D.sign_Data[[#This Row],[NEGOCIACIÓN ($COP)]])*1%</f>
        <v>149.4516166661306</v>
      </c>
      <c r="AF47" s="15">
        <f>+(D.sign_Data[[#This Row],[VALOR NETO ($COP)]]+D.sign_Data[[#This Row],[NEGOCIACIÓN ($COP)]])*1%</f>
        <v>149.4516166661306</v>
      </c>
      <c r="AG47" s="3">
        <f>+D.sign_Data[[#This Row],[VALOR NETO ($COP)]]+D.sign_Data[[#This Row],[NEGOCIACIÓN ($COP)]]+D.sign_Data[[#This Row],[ICA ($COP)]]+D.sign_Data[[#This Row],[4 * 1000 ($COP)]]</f>
        <v>15244.064899945321</v>
      </c>
    </row>
    <row r="48" spans="1:33" ht="60" hidden="1" customHeight="1" x14ac:dyDescent="0.25">
      <c r="A48" s="14"/>
      <c r="B48" s="87" t="s">
        <v>442</v>
      </c>
      <c r="C48" s="182" t="s">
        <v>466</v>
      </c>
      <c r="D48" s="189" t="str">
        <f>VLOOKUP(D.sign_Data[[#This Row],[CÓDIGO]],Descripciones[[CÓDIGO]:[NOMBRE DE SERVICIO]],3,FALSE)</f>
        <v>D1. Parcelaciones y Condominios</v>
      </c>
      <c r="E48" s="87" t="s">
        <v>467</v>
      </c>
      <c r="F48" s="88" t="s">
        <v>468</v>
      </c>
      <c r="G48" s="88" t="s">
        <v>469</v>
      </c>
      <c r="H48" s="87" t="s">
        <v>448</v>
      </c>
      <c r="I48" s="89">
        <v>1</v>
      </c>
      <c r="J48" s="88" t="s">
        <v>479</v>
      </c>
      <c r="K48" s="102"/>
      <c r="L48" s="88" t="s">
        <v>483</v>
      </c>
      <c r="M48" s="89" t="s">
        <v>472</v>
      </c>
      <c r="N48" s="90">
        <v>0.1</v>
      </c>
      <c r="O48" s="27">
        <f>IFERROR(+VLOOKUP(M48,D.sign_Lista_Data[[RESPONSABLE]:[SOFTWARE 
VALOR HORA]],3,FALSE),"0")</f>
        <v>17730.496453900709</v>
      </c>
      <c r="P48" s="3">
        <f t="shared" si="0"/>
        <v>1773.049645390071</v>
      </c>
      <c r="Q48" s="11">
        <f>IFERROR(+VLOOKUP(M48,D.sign_Lista_Data[[RESPONSABLE]:[SOFTWARE 
VALOR HORA]],5,FALSE)*D.sign_Data[[#This Row],[TIEMPO (HORAS)]],0)</f>
        <v>337.72374197906112</v>
      </c>
      <c r="R48" s="11">
        <f>IFERROR(+VLOOKUP(M48,D.sign_Lista_Data[[RESPONSABLE]:[SOFTWARE 
VALOR HORA]],8,FALSE)*D.sign_Data[[#This Row],[TIEMPO (HORAS)]],0)</f>
        <v>341.08548871439837</v>
      </c>
      <c r="S48" s="99"/>
      <c r="T48" s="99"/>
      <c r="U48" s="3">
        <f t="shared" si="1"/>
        <v>2451.8588760835305</v>
      </c>
      <c r="V48" s="100">
        <f>D.sign_Data[[#This Row],[TIEMPO (HORAS)]]*Gastos_Operativos[[#Totals],[GASTOS HORA]]</f>
        <v>2778.9477072310401</v>
      </c>
      <c r="W48" s="3">
        <f>+D.sign_Data[[#This Row],[COSTO 
DIRECTO ($COP)]]+D.sign_Data[[#This Row],[PRORRATEO GASTOS ($COP)]]</f>
        <v>5230.8065833145702</v>
      </c>
      <c r="X48" s="101"/>
      <c r="Y48" s="15">
        <f>+D.sign_Data[[#This Row],[COSTOS OPERACIONALES ($COP)]]*D.sign_Data[[#This Row],[DESFASE (%)]]</f>
        <v>0</v>
      </c>
      <c r="Z48" s="101">
        <v>0.3</v>
      </c>
      <c r="AA48" s="15">
        <f>+((D.sign_Data[[#This Row],[COSTOS OPERACIONALES ($COP)]]/(100%-D.sign_Data[[#This Row],[UTILIDAD (%)]])))-D.sign_Data[[#This Row],[COSTOS OPERACIONALES ($COP)]]</f>
        <v>2241.7742499919596</v>
      </c>
      <c r="AB48" s="3">
        <f>+D.sign_Data[[#This Row],[COSTOS OPERACIONALES ($COP)]]+D.sign_Data[[#This Row],[DESFASE ($COP)]]+D.sign_Data[[#This Row],[UTILIDAD ($COP)]]</f>
        <v>7472.5808333065297</v>
      </c>
      <c r="AC48" s="101"/>
      <c r="AD48" s="15">
        <f>+D.sign_Data[[#This Row],[VALOR NETO ($COP)]]/(100%-D.sign_Data[[#This Row],[MARGEN DE NEGOCIACIÓN (%)]])-D.sign_Data[[#This Row],[VALOR NETO ($COP)]]</f>
        <v>0</v>
      </c>
      <c r="AE48" s="15">
        <f>+(D.sign_Data[[#This Row],[VALOR NETO ($COP)]]+D.sign_Data[[#This Row],[NEGOCIACIÓN ($COP)]])*1%</f>
        <v>74.725808333065302</v>
      </c>
      <c r="AF48" s="15">
        <f>+(D.sign_Data[[#This Row],[VALOR NETO ($COP)]]+D.sign_Data[[#This Row],[NEGOCIACIÓN ($COP)]])*1%</f>
        <v>74.725808333065302</v>
      </c>
      <c r="AG48" s="3">
        <f>+D.sign_Data[[#This Row],[VALOR NETO ($COP)]]+D.sign_Data[[#This Row],[NEGOCIACIÓN ($COP)]]+D.sign_Data[[#This Row],[ICA ($COP)]]+D.sign_Data[[#This Row],[4 * 1000 ($COP)]]</f>
        <v>7622.0324499726603</v>
      </c>
    </row>
    <row r="49" spans="1:33" ht="60" hidden="1" customHeight="1" x14ac:dyDescent="0.25">
      <c r="A49" s="14"/>
      <c r="B49" s="87" t="s">
        <v>442</v>
      </c>
      <c r="C49" s="182" t="s">
        <v>466</v>
      </c>
      <c r="D49" s="189" t="str">
        <f>VLOOKUP(D.sign_Data[[#This Row],[CÓDIGO]],Descripciones[[CÓDIGO]:[NOMBRE DE SERVICIO]],3,FALSE)</f>
        <v>D1. Parcelaciones y Condominios</v>
      </c>
      <c r="E49" s="87" t="s">
        <v>467</v>
      </c>
      <c r="F49" s="88" t="s">
        <v>468</v>
      </c>
      <c r="G49" s="88" t="s">
        <v>469</v>
      </c>
      <c r="H49" s="87" t="s">
        <v>448</v>
      </c>
      <c r="I49" s="89">
        <v>1</v>
      </c>
      <c r="J49" s="88" t="s">
        <v>479</v>
      </c>
      <c r="K49" s="102"/>
      <c r="L49" s="88" t="s">
        <v>478</v>
      </c>
      <c r="M49" s="89" t="s">
        <v>472</v>
      </c>
      <c r="N49" s="90">
        <v>0.5</v>
      </c>
      <c r="O49" s="27">
        <f>IFERROR(+VLOOKUP(M49,D.sign_Lista_Data[[RESPONSABLE]:[SOFTWARE 
VALOR HORA]],3,FALSE),"0")</f>
        <v>17730.496453900709</v>
      </c>
      <c r="P49" s="3">
        <f t="shared" si="0"/>
        <v>8865.2482269503544</v>
      </c>
      <c r="Q49" s="11">
        <f>IFERROR(+VLOOKUP(M49,D.sign_Lista_Data[[RESPONSABLE]:[SOFTWARE 
VALOR HORA]],5,FALSE)*D.sign_Data[[#This Row],[TIEMPO (HORAS)]],0)</f>
        <v>1688.6187098953055</v>
      </c>
      <c r="R49" s="11">
        <f>IFERROR(+VLOOKUP(M49,D.sign_Lista_Data[[RESPONSABLE]:[SOFTWARE 
VALOR HORA]],8,FALSE)*D.sign_Data[[#This Row],[TIEMPO (HORAS)]],0)</f>
        <v>1705.4274435719917</v>
      </c>
      <c r="S49" s="99"/>
      <c r="T49" s="99"/>
      <c r="U49" s="3">
        <f t="shared" si="1"/>
        <v>12259.29438041765</v>
      </c>
      <c r="V49" s="100">
        <f>D.sign_Data[[#This Row],[TIEMPO (HORAS)]]*Gastos_Operativos[[#Totals],[GASTOS HORA]]</f>
        <v>13894.738536155201</v>
      </c>
      <c r="W49" s="3">
        <f>+D.sign_Data[[#This Row],[COSTO 
DIRECTO ($COP)]]+D.sign_Data[[#This Row],[PRORRATEO GASTOS ($COP)]]</f>
        <v>26154.032916572851</v>
      </c>
      <c r="X49" s="101"/>
      <c r="Y49" s="15">
        <f>+D.sign_Data[[#This Row],[COSTOS OPERACIONALES ($COP)]]*D.sign_Data[[#This Row],[DESFASE (%)]]</f>
        <v>0</v>
      </c>
      <c r="Z49" s="101">
        <v>0.3</v>
      </c>
      <c r="AA49" s="15">
        <f>+((D.sign_Data[[#This Row],[COSTOS OPERACIONALES ($COP)]]/(100%-D.sign_Data[[#This Row],[UTILIDAD (%)]])))-D.sign_Data[[#This Row],[COSTOS OPERACIONALES ($COP)]]</f>
        <v>11208.871249959793</v>
      </c>
      <c r="AB49" s="3">
        <f>+D.sign_Data[[#This Row],[COSTOS OPERACIONALES ($COP)]]+D.sign_Data[[#This Row],[DESFASE ($COP)]]+D.sign_Data[[#This Row],[UTILIDAD ($COP)]]</f>
        <v>37362.904166532644</v>
      </c>
      <c r="AC49" s="101"/>
      <c r="AD49" s="15">
        <f>+D.sign_Data[[#This Row],[VALOR NETO ($COP)]]/(100%-D.sign_Data[[#This Row],[MARGEN DE NEGOCIACIÓN (%)]])-D.sign_Data[[#This Row],[VALOR NETO ($COP)]]</f>
        <v>0</v>
      </c>
      <c r="AE49" s="15">
        <f>+(D.sign_Data[[#This Row],[VALOR NETO ($COP)]]+D.sign_Data[[#This Row],[NEGOCIACIÓN ($COP)]])*1%</f>
        <v>373.62904166532644</v>
      </c>
      <c r="AF49" s="15">
        <f>+(D.sign_Data[[#This Row],[VALOR NETO ($COP)]]+D.sign_Data[[#This Row],[NEGOCIACIÓN ($COP)]])*1%</f>
        <v>373.62904166532644</v>
      </c>
      <c r="AG49" s="3">
        <f>+D.sign_Data[[#This Row],[VALOR NETO ($COP)]]+D.sign_Data[[#This Row],[NEGOCIACIÓN ($COP)]]+D.sign_Data[[#This Row],[ICA ($COP)]]+D.sign_Data[[#This Row],[4 * 1000 ($COP)]]</f>
        <v>38110.162249863301</v>
      </c>
    </row>
    <row r="50" spans="1:33" ht="60" hidden="1" customHeight="1" x14ac:dyDescent="0.25">
      <c r="A50" s="14"/>
      <c r="B50" s="87" t="s">
        <v>442</v>
      </c>
      <c r="C50" s="182" t="s">
        <v>466</v>
      </c>
      <c r="D50" s="189" t="str">
        <f>VLOOKUP(D.sign_Data[[#This Row],[CÓDIGO]],Descripciones[[CÓDIGO]:[NOMBRE DE SERVICIO]],3,FALSE)</f>
        <v>D1. Parcelaciones y Condominios</v>
      </c>
      <c r="E50" s="87" t="s">
        <v>467</v>
      </c>
      <c r="F50" s="88" t="s">
        <v>468</v>
      </c>
      <c r="G50" s="88" t="s">
        <v>469</v>
      </c>
      <c r="H50" s="87" t="s">
        <v>448</v>
      </c>
      <c r="I50" s="89">
        <v>1</v>
      </c>
      <c r="J50" s="88" t="s">
        <v>479</v>
      </c>
      <c r="K50" s="102"/>
      <c r="L50" s="88" t="s">
        <v>474</v>
      </c>
      <c r="M50" s="89" t="s">
        <v>472</v>
      </c>
      <c r="N50" s="90">
        <v>0.21</v>
      </c>
      <c r="O50" s="27">
        <f>IFERROR(+VLOOKUP(M50,D.sign_Lista_Data[[RESPONSABLE]:[SOFTWARE 
VALOR HORA]],3,FALSE),"0")</f>
        <v>17730.496453900709</v>
      </c>
      <c r="P50" s="3">
        <f t="shared" si="0"/>
        <v>3723.4042553191489</v>
      </c>
      <c r="Q50" s="11">
        <f>IFERROR(+VLOOKUP(M50,D.sign_Lista_Data[[RESPONSABLE]:[SOFTWARE 
VALOR HORA]],5,FALSE)*D.sign_Data[[#This Row],[TIEMPO (HORAS)]],0)</f>
        <v>709.21985815602829</v>
      </c>
      <c r="R50" s="11">
        <f>IFERROR(+VLOOKUP(M50,D.sign_Lista_Data[[RESPONSABLE]:[SOFTWARE 
VALOR HORA]],8,FALSE)*D.sign_Data[[#This Row],[TIEMPO (HORAS)]],0)</f>
        <v>716.27952630023651</v>
      </c>
      <c r="S50" s="99"/>
      <c r="T50" s="99"/>
      <c r="U50" s="3">
        <f t="shared" si="1"/>
        <v>5148.9036397754135</v>
      </c>
      <c r="V50" s="100">
        <f>D.sign_Data[[#This Row],[TIEMPO (HORAS)]]*Gastos_Operativos[[#Totals],[GASTOS HORA]]</f>
        <v>5835.7901851851839</v>
      </c>
      <c r="W50" s="3">
        <f>+D.sign_Data[[#This Row],[COSTO 
DIRECTO ($COP)]]+D.sign_Data[[#This Row],[PRORRATEO GASTOS ($COP)]]</f>
        <v>10984.693824960597</v>
      </c>
      <c r="X50" s="101"/>
      <c r="Y50" s="15">
        <f>+D.sign_Data[[#This Row],[COSTOS OPERACIONALES ($COP)]]*D.sign_Data[[#This Row],[DESFASE (%)]]</f>
        <v>0</v>
      </c>
      <c r="Z50" s="101">
        <v>0.3</v>
      </c>
      <c r="AA50" s="15">
        <f>+((D.sign_Data[[#This Row],[COSTOS OPERACIONALES ($COP)]]/(100%-D.sign_Data[[#This Row],[UTILIDAD (%)]])))-D.sign_Data[[#This Row],[COSTOS OPERACIONALES ($COP)]]</f>
        <v>4707.725924983115</v>
      </c>
      <c r="AB50" s="3">
        <f>+D.sign_Data[[#This Row],[COSTOS OPERACIONALES ($COP)]]+D.sign_Data[[#This Row],[DESFASE ($COP)]]+D.sign_Data[[#This Row],[UTILIDAD ($COP)]]</f>
        <v>15692.419749943712</v>
      </c>
      <c r="AC50" s="101"/>
      <c r="AD50" s="15">
        <f>+D.sign_Data[[#This Row],[VALOR NETO ($COP)]]/(100%-D.sign_Data[[#This Row],[MARGEN DE NEGOCIACIÓN (%)]])-D.sign_Data[[#This Row],[VALOR NETO ($COP)]]</f>
        <v>0</v>
      </c>
      <c r="AE50" s="15">
        <f>+(D.sign_Data[[#This Row],[VALOR NETO ($COP)]]+D.sign_Data[[#This Row],[NEGOCIACIÓN ($COP)]])*1%</f>
        <v>156.92419749943713</v>
      </c>
      <c r="AF50" s="15">
        <f>+(D.sign_Data[[#This Row],[VALOR NETO ($COP)]]+D.sign_Data[[#This Row],[NEGOCIACIÓN ($COP)]])*1%</f>
        <v>156.92419749943713</v>
      </c>
      <c r="AG50" s="3">
        <f>+D.sign_Data[[#This Row],[VALOR NETO ($COP)]]+D.sign_Data[[#This Row],[NEGOCIACIÓN ($COP)]]+D.sign_Data[[#This Row],[ICA ($COP)]]+D.sign_Data[[#This Row],[4 * 1000 ($COP)]]</f>
        <v>16006.268144942585</v>
      </c>
    </row>
    <row r="51" spans="1:33" ht="60" hidden="1" customHeight="1" x14ac:dyDescent="0.25">
      <c r="A51" s="14"/>
      <c r="B51" s="87" t="s">
        <v>442</v>
      </c>
      <c r="C51" s="182" t="s">
        <v>466</v>
      </c>
      <c r="D51" s="189" t="str">
        <f>VLOOKUP(D.sign_Data[[#This Row],[CÓDIGO]],Descripciones[[CÓDIGO]:[NOMBRE DE SERVICIO]],3,FALSE)</f>
        <v>D1. Parcelaciones y Condominios</v>
      </c>
      <c r="E51" s="87" t="s">
        <v>467</v>
      </c>
      <c r="F51" s="88" t="s">
        <v>468</v>
      </c>
      <c r="G51" s="88" t="s">
        <v>469</v>
      </c>
      <c r="H51" s="87" t="s">
        <v>448</v>
      </c>
      <c r="I51" s="89">
        <v>1</v>
      </c>
      <c r="J51" s="88" t="s">
        <v>484</v>
      </c>
      <c r="K51" s="102"/>
      <c r="L51" s="88" t="s">
        <v>485</v>
      </c>
      <c r="M51" s="89" t="s">
        <v>472</v>
      </c>
      <c r="N51" s="90">
        <v>0.5</v>
      </c>
      <c r="O51" s="27">
        <f>IFERROR(+VLOOKUP(M51,D.sign_Lista_Data[[RESPONSABLE]:[SOFTWARE 
VALOR HORA]],3,FALSE),"0")</f>
        <v>17730.496453900709</v>
      </c>
      <c r="P51" s="3">
        <f t="shared" si="0"/>
        <v>8865.2482269503544</v>
      </c>
      <c r="Q51" s="11">
        <f>IFERROR(+VLOOKUP(M51,D.sign_Lista_Data[[RESPONSABLE]:[SOFTWARE 
VALOR HORA]],5,FALSE)*D.sign_Data[[#This Row],[TIEMPO (HORAS)]],0)</f>
        <v>1688.6187098953055</v>
      </c>
      <c r="R51" s="11">
        <f>IFERROR(+VLOOKUP(M51,D.sign_Lista_Data[[RESPONSABLE]:[SOFTWARE 
VALOR HORA]],8,FALSE)*D.sign_Data[[#This Row],[TIEMPO (HORAS)]],0)</f>
        <v>1705.4274435719917</v>
      </c>
      <c r="S51" s="99"/>
      <c r="T51" s="99"/>
      <c r="U51" s="3">
        <f t="shared" si="1"/>
        <v>12259.29438041765</v>
      </c>
      <c r="V51" s="100">
        <f>D.sign_Data[[#This Row],[TIEMPO (HORAS)]]*Gastos_Operativos[[#Totals],[GASTOS HORA]]</f>
        <v>13894.738536155201</v>
      </c>
      <c r="W51" s="3">
        <f>+D.sign_Data[[#This Row],[COSTO 
DIRECTO ($COP)]]+D.sign_Data[[#This Row],[PRORRATEO GASTOS ($COP)]]</f>
        <v>26154.032916572851</v>
      </c>
      <c r="X51" s="101"/>
      <c r="Y51" s="15">
        <f>+D.sign_Data[[#This Row],[COSTOS OPERACIONALES ($COP)]]*D.sign_Data[[#This Row],[DESFASE (%)]]</f>
        <v>0</v>
      </c>
      <c r="Z51" s="101">
        <v>0.3</v>
      </c>
      <c r="AA51" s="15">
        <f>+((D.sign_Data[[#This Row],[COSTOS OPERACIONALES ($COP)]]/(100%-D.sign_Data[[#This Row],[UTILIDAD (%)]])))-D.sign_Data[[#This Row],[COSTOS OPERACIONALES ($COP)]]</f>
        <v>11208.871249959793</v>
      </c>
      <c r="AB51" s="3">
        <f>+D.sign_Data[[#This Row],[COSTOS OPERACIONALES ($COP)]]+D.sign_Data[[#This Row],[DESFASE ($COP)]]+D.sign_Data[[#This Row],[UTILIDAD ($COP)]]</f>
        <v>37362.904166532644</v>
      </c>
      <c r="AC51" s="101"/>
      <c r="AD51" s="15">
        <f>+D.sign_Data[[#This Row],[VALOR NETO ($COP)]]/(100%-D.sign_Data[[#This Row],[MARGEN DE NEGOCIACIÓN (%)]])-D.sign_Data[[#This Row],[VALOR NETO ($COP)]]</f>
        <v>0</v>
      </c>
      <c r="AE51" s="15">
        <f>+(D.sign_Data[[#This Row],[VALOR NETO ($COP)]]+D.sign_Data[[#This Row],[NEGOCIACIÓN ($COP)]])*1%</f>
        <v>373.62904166532644</v>
      </c>
      <c r="AF51" s="15">
        <f>+(D.sign_Data[[#This Row],[VALOR NETO ($COP)]]+D.sign_Data[[#This Row],[NEGOCIACIÓN ($COP)]])*1%</f>
        <v>373.62904166532644</v>
      </c>
      <c r="AG51" s="3">
        <f>+D.sign_Data[[#This Row],[VALOR NETO ($COP)]]+D.sign_Data[[#This Row],[NEGOCIACIÓN ($COP)]]+D.sign_Data[[#This Row],[ICA ($COP)]]+D.sign_Data[[#This Row],[4 * 1000 ($COP)]]</f>
        <v>38110.162249863301</v>
      </c>
    </row>
    <row r="52" spans="1:33" ht="60" hidden="1" customHeight="1" x14ac:dyDescent="0.25">
      <c r="A52" s="14"/>
      <c r="B52" s="87" t="s">
        <v>442</v>
      </c>
      <c r="C52" s="182" t="s">
        <v>466</v>
      </c>
      <c r="D52" s="189" t="str">
        <f>VLOOKUP(D.sign_Data[[#This Row],[CÓDIGO]],Descripciones[[CÓDIGO]:[NOMBRE DE SERVICIO]],3,FALSE)</f>
        <v>D1. Parcelaciones y Condominios</v>
      </c>
      <c r="E52" s="87" t="s">
        <v>467</v>
      </c>
      <c r="F52" s="88" t="s">
        <v>468</v>
      </c>
      <c r="G52" s="88" t="s">
        <v>469</v>
      </c>
      <c r="H52" s="87" t="s">
        <v>448</v>
      </c>
      <c r="I52" s="89">
        <v>1</v>
      </c>
      <c r="J52" s="88" t="s">
        <v>484</v>
      </c>
      <c r="K52" s="102"/>
      <c r="L52" s="88" t="s">
        <v>486</v>
      </c>
      <c r="M52" s="89" t="s">
        <v>472</v>
      </c>
      <c r="N52" s="90">
        <v>0.5</v>
      </c>
      <c r="O52" s="27">
        <f>IFERROR(+VLOOKUP(M52,D.sign_Lista_Data[[RESPONSABLE]:[SOFTWARE 
VALOR HORA]],3,FALSE),"0")</f>
        <v>17730.496453900709</v>
      </c>
      <c r="P52" s="3">
        <f t="shared" si="0"/>
        <v>8865.2482269503544</v>
      </c>
      <c r="Q52" s="11">
        <f>IFERROR(+VLOOKUP(M52,D.sign_Lista_Data[[RESPONSABLE]:[SOFTWARE 
VALOR HORA]],5,FALSE)*D.sign_Data[[#This Row],[TIEMPO (HORAS)]],0)</f>
        <v>1688.6187098953055</v>
      </c>
      <c r="R52" s="11">
        <f>IFERROR(+VLOOKUP(M52,D.sign_Lista_Data[[RESPONSABLE]:[SOFTWARE 
VALOR HORA]],8,FALSE)*D.sign_Data[[#This Row],[TIEMPO (HORAS)]],0)</f>
        <v>1705.4274435719917</v>
      </c>
      <c r="S52" s="99"/>
      <c r="T52" s="99"/>
      <c r="U52" s="3">
        <f t="shared" si="1"/>
        <v>12259.29438041765</v>
      </c>
      <c r="V52" s="100">
        <f>D.sign_Data[[#This Row],[TIEMPO (HORAS)]]*Gastos_Operativos[[#Totals],[GASTOS HORA]]</f>
        <v>13894.738536155201</v>
      </c>
      <c r="W52" s="3">
        <f>+D.sign_Data[[#This Row],[COSTO 
DIRECTO ($COP)]]+D.sign_Data[[#This Row],[PRORRATEO GASTOS ($COP)]]</f>
        <v>26154.032916572851</v>
      </c>
      <c r="X52" s="101"/>
      <c r="Y52" s="15">
        <f>+D.sign_Data[[#This Row],[COSTOS OPERACIONALES ($COP)]]*D.sign_Data[[#This Row],[DESFASE (%)]]</f>
        <v>0</v>
      </c>
      <c r="Z52" s="101">
        <v>0.3</v>
      </c>
      <c r="AA52" s="15">
        <f>+((D.sign_Data[[#This Row],[COSTOS OPERACIONALES ($COP)]]/(100%-D.sign_Data[[#This Row],[UTILIDAD (%)]])))-D.sign_Data[[#This Row],[COSTOS OPERACIONALES ($COP)]]</f>
        <v>11208.871249959793</v>
      </c>
      <c r="AB52" s="3">
        <f>+D.sign_Data[[#This Row],[COSTOS OPERACIONALES ($COP)]]+D.sign_Data[[#This Row],[DESFASE ($COP)]]+D.sign_Data[[#This Row],[UTILIDAD ($COP)]]</f>
        <v>37362.904166532644</v>
      </c>
      <c r="AC52" s="101"/>
      <c r="AD52" s="15">
        <f>+D.sign_Data[[#This Row],[VALOR NETO ($COP)]]/(100%-D.sign_Data[[#This Row],[MARGEN DE NEGOCIACIÓN (%)]])-D.sign_Data[[#This Row],[VALOR NETO ($COP)]]</f>
        <v>0</v>
      </c>
      <c r="AE52" s="15">
        <f>+(D.sign_Data[[#This Row],[VALOR NETO ($COP)]]+D.sign_Data[[#This Row],[NEGOCIACIÓN ($COP)]])*1%</f>
        <v>373.62904166532644</v>
      </c>
      <c r="AF52" s="15">
        <f>+(D.sign_Data[[#This Row],[VALOR NETO ($COP)]]+D.sign_Data[[#This Row],[NEGOCIACIÓN ($COP)]])*1%</f>
        <v>373.62904166532644</v>
      </c>
      <c r="AG52" s="3">
        <f>+D.sign_Data[[#This Row],[VALOR NETO ($COP)]]+D.sign_Data[[#This Row],[NEGOCIACIÓN ($COP)]]+D.sign_Data[[#This Row],[ICA ($COP)]]+D.sign_Data[[#This Row],[4 * 1000 ($COP)]]</f>
        <v>38110.162249863301</v>
      </c>
    </row>
    <row r="53" spans="1:33" ht="60" hidden="1" customHeight="1" x14ac:dyDescent="0.25">
      <c r="A53" s="14"/>
      <c r="B53" s="87" t="s">
        <v>442</v>
      </c>
      <c r="C53" s="182" t="s">
        <v>466</v>
      </c>
      <c r="D53" s="189" t="str">
        <f>VLOOKUP(D.sign_Data[[#This Row],[CÓDIGO]],Descripciones[[CÓDIGO]:[NOMBRE DE SERVICIO]],3,FALSE)</f>
        <v>D1. Parcelaciones y Condominios</v>
      </c>
      <c r="E53" s="87" t="s">
        <v>467</v>
      </c>
      <c r="F53" s="88" t="s">
        <v>468</v>
      </c>
      <c r="G53" s="88" t="s">
        <v>469</v>
      </c>
      <c r="H53" s="87" t="s">
        <v>448</v>
      </c>
      <c r="I53" s="89">
        <v>1</v>
      </c>
      <c r="J53" s="88" t="s">
        <v>484</v>
      </c>
      <c r="K53" s="102"/>
      <c r="L53" s="88" t="s">
        <v>471</v>
      </c>
      <c r="M53" s="89" t="s">
        <v>472</v>
      </c>
      <c r="N53" s="90">
        <v>0.2</v>
      </c>
      <c r="O53" s="27">
        <f>IFERROR(+VLOOKUP(M53,D.sign_Lista_Data[[RESPONSABLE]:[SOFTWARE 
VALOR HORA]],3,FALSE),"0")</f>
        <v>17730.496453900709</v>
      </c>
      <c r="P53" s="3">
        <f t="shared" si="0"/>
        <v>3546.0992907801419</v>
      </c>
      <c r="Q53" s="11">
        <f>IFERROR(+VLOOKUP(M53,D.sign_Lista_Data[[RESPONSABLE]:[SOFTWARE 
VALOR HORA]],5,FALSE)*D.sign_Data[[#This Row],[TIEMPO (HORAS)]],0)</f>
        <v>675.44748395812223</v>
      </c>
      <c r="R53" s="11">
        <f>IFERROR(+VLOOKUP(M53,D.sign_Lista_Data[[RESPONSABLE]:[SOFTWARE 
VALOR HORA]],8,FALSE)*D.sign_Data[[#This Row],[TIEMPO (HORAS)]],0)</f>
        <v>682.17097742879673</v>
      </c>
      <c r="S53" s="99"/>
      <c r="T53" s="99"/>
      <c r="U53" s="3">
        <f t="shared" si="1"/>
        <v>4903.717752167061</v>
      </c>
      <c r="V53" s="100">
        <f>D.sign_Data[[#This Row],[TIEMPO (HORAS)]]*Gastos_Operativos[[#Totals],[GASTOS HORA]]</f>
        <v>5557.8954144620802</v>
      </c>
      <c r="W53" s="3">
        <f>+D.sign_Data[[#This Row],[COSTO 
DIRECTO ($COP)]]+D.sign_Data[[#This Row],[PRORRATEO GASTOS ($COP)]]</f>
        <v>10461.61316662914</v>
      </c>
      <c r="X53" s="101"/>
      <c r="Y53" s="15">
        <f>+D.sign_Data[[#This Row],[COSTOS OPERACIONALES ($COP)]]*D.sign_Data[[#This Row],[DESFASE (%)]]</f>
        <v>0</v>
      </c>
      <c r="Z53" s="101">
        <v>0.3</v>
      </c>
      <c r="AA53" s="15">
        <f>+((D.sign_Data[[#This Row],[COSTOS OPERACIONALES ($COP)]]/(100%-D.sign_Data[[#This Row],[UTILIDAD (%)]])))-D.sign_Data[[#This Row],[COSTOS OPERACIONALES ($COP)]]</f>
        <v>4483.5484999839191</v>
      </c>
      <c r="AB53" s="3">
        <f>+D.sign_Data[[#This Row],[COSTOS OPERACIONALES ($COP)]]+D.sign_Data[[#This Row],[DESFASE ($COP)]]+D.sign_Data[[#This Row],[UTILIDAD ($COP)]]</f>
        <v>14945.161666613059</v>
      </c>
      <c r="AC53" s="101"/>
      <c r="AD53" s="15">
        <f>+D.sign_Data[[#This Row],[VALOR NETO ($COP)]]/(100%-D.sign_Data[[#This Row],[MARGEN DE NEGOCIACIÓN (%)]])-D.sign_Data[[#This Row],[VALOR NETO ($COP)]]</f>
        <v>0</v>
      </c>
      <c r="AE53" s="15">
        <f>+(D.sign_Data[[#This Row],[VALOR NETO ($COP)]]+D.sign_Data[[#This Row],[NEGOCIACIÓN ($COP)]])*1%</f>
        <v>149.4516166661306</v>
      </c>
      <c r="AF53" s="15">
        <f>+(D.sign_Data[[#This Row],[VALOR NETO ($COP)]]+D.sign_Data[[#This Row],[NEGOCIACIÓN ($COP)]])*1%</f>
        <v>149.4516166661306</v>
      </c>
      <c r="AG53" s="3">
        <f>+D.sign_Data[[#This Row],[VALOR NETO ($COP)]]+D.sign_Data[[#This Row],[NEGOCIACIÓN ($COP)]]+D.sign_Data[[#This Row],[ICA ($COP)]]+D.sign_Data[[#This Row],[4 * 1000 ($COP)]]</f>
        <v>15244.064899945321</v>
      </c>
    </row>
    <row r="54" spans="1:33" ht="60" hidden="1" customHeight="1" x14ac:dyDescent="0.25">
      <c r="A54" s="14"/>
      <c r="B54" s="87" t="s">
        <v>442</v>
      </c>
      <c r="C54" s="182" t="s">
        <v>466</v>
      </c>
      <c r="D54" s="189" t="str">
        <f>VLOOKUP(D.sign_Data[[#This Row],[CÓDIGO]],Descripciones[[CÓDIGO]:[NOMBRE DE SERVICIO]],3,FALSE)</f>
        <v>D1. Parcelaciones y Condominios</v>
      </c>
      <c r="E54" s="87" t="s">
        <v>467</v>
      </c>
      <c r="F54" s="88" t="s">
        <v>468</v>
      </c>
      <c r="G54" s="88" t="s">
        <v>469</v>
      </c>
      <c r="H54" s="87" t="s">
        <v>448</v>
      </c>
      <c r="I54" s="89">
        <v>1</v>
      </c>
      <c r="J54" s="88" t="s">
        <v>484</v>
      </c>
      <c r="K54" s="102"/>
      <c r="L54" s="88" t="s">
        <v>473</v>
      </c>
      <c r="M54" s="89" t="s">
        <v>472</v>
      </c>
      <c r="N54" s="90">
        <v>0.1</v>
      </c>
      <c r="O54" s="27">
        <f>IFERROR(+VLOOKUP(M54,D.sign_Lista_Data[[RESPONSABLE]:[SOFTWARE 
VALOR HORA]],3,FALSE),"0")</f>
        <v>17730.496453900709</v>
      </c>
      <c r="P54" s="3">
        <f t="shared" si="0"/>
        <v>1773.049645390071</v>
      </c>
      <c r="Q54" s="11">
        <f>IFERROR(+VLOOKUP(M54,D.sign_Lista_Data[[RESPONSABLE]:[SOFTWARE 
VALOR HORA]],5,FALSE)*D.sign_Data[[#This Row],[TIEMPO (HORAS)]],0)</f>
        <v>337.72374197906112</v>
      </c>
      <c r="R54" s="11">
        <f>IFERROR(+VLOOKUP(M54,D.sign_Lista_Data[[RESPONSABLE]:[SOFTWARE 
VALOR HORA]],8,FALSE)*D.sign_Data[[#This Row],[TIEMPO (HORAS)]],0)</f>
        <v>341.08548871439837</v>
      </c>
      <c r="S54" s="99"/>
      <c r="T54" s="99"/>
      <c r="U54" s="3">
        <f t="shared" si="1"/>
        <v>2451.8588760835305</v>
      </c>
      <c r="V54" s="100">
        <f>D.sign_Data[[#This Row],[TIEMPO (HORAS)]]*Gastos_Operativos[[#Totals],[GASTOS HORA]]</f>
        <v>2778.9477072310401</v>
      </c>
      <c r="W54" s="3">
        <f>+D.sign_Data[[#This Row],[COSTO 
DIRECTO ($COP)]]+D.sign_Data[[#This Row],[PRORRATEO GASTOS ($COP)]]</f>
        <v>5230.8065833145702</v>
      </c>
      <c r="X54" s="101"/>
      <c r="Y54" s="15">
        <f>+D.sign_Data[[#This Row],[COSTOS OPERACIONALES ($COP)]]*D.sign_Data[[#This Row],[DESFASE (%)]]</f>
        <v>0</v>
      </c>
      <c r="Z54" s="101">
        <v>0.3</v>
      </c>
      <c r="AA54" s="15">
        <f>+((D.sign_Data[[#This Row],[COSTOS OPERACIONALES ($COP)]]/(100%-D.sign_Data[[#This Row],[UTILIDAD (%)]])))-D.sign_Data[[#This Row],[COSTOS OPERACIONALES ($COP)]]</f>
        <v>2241.7742499919596</v>
      </c>
      <c r="AB54" s="3">
        <f>+D.sign_Data[[#This Row],[COSTOS OPERACIONALES ($COP)]]+D.sign_Data[[#This Row],[DESFASE ($COP)]]+D.sign_Data[[#This Row],[UTILIDAD ($COP)]]</f>
        <v>7472.5808333065297</v>
      </c>
      <c r="AC54" s="101"/>
      <c r="AD54" s="15">
        <f>+D.sign_Data[[#This Row],[VALOR NETO ($COP)]]/(100%-D.sign_Data[[#This Row],[MARGEN DE NEGOCIACIÓN (%)]])-D.sign_Data[[#This Row],[VALOR NETO ($COP)]]</f>
        <v>0</v>
      </c>
      <c r="AE54" s="15">
        <f>+(D.sign_Data[[#This Row],[VALOR NETO ($COP)]]+D.sign_Data[[#This Row],[NEGOCIACIÓN ($COP)]])*1%</f>
        <v>74.725808333065302</v>
      </c>
      <c r="AF54" s="15">
        <f>+(D.sign_Data[[#This Row],[VALOR NETO ($COP)]]+D.sign_Data[[#This Row],[NEGOCIACIÓN ($COP)]])*1%</f>
        <v>74.725808333065302</v>
      </c>
      <c r="AG54" s="3">
        <f>+D.sign_Data[[#This Row],[VALOR NETO ($COP)]]+D.sign_Data[[#This Row],[NEGOCIACIÓN ($COP)]]+D.sign_Data[[#This Row],[ICA ($COP)]]+D.sign_Data[[#This Row],[4 * 1000 ($COP)]]</f>
        <v>7622.0324499726603</v>
      </c>
    </row>
    <row r="55" spans="1:33" ht="60" hidden="1" customHeight="1" x14ac:dyDescent="0.25">
      <c r="A55" s="14"/>
      <c r="B55" s="87" t="s">
        <v>442</v>
      </c>
      <c r="C55" s="182" t="s">
        <v>466</v>
      </c>
      <c r="D55" s="189" t="str">
        <f>VLOOKUP(D.sign_Data[[#This Row],[CÓDIGO]],Descripciones[[CÓDIGO]:[NOMBRE DE SERVICIO]],3,FALSE)</f>
        <v>D1. Parcelaciones y Condominios</v>
      </c>
      <c r="E55" s="87" t="s">
        <v>467</v>
      </c>
      <c r="F55" s="88" t="s">
        <v>468</v>
      </c>
      <c r="G55" s="88" t="s">
        <v>469</v>
      </c>
      <c r="H55" s="87" t="s">
        <v>448</v>
      </c>
      <c r="I55" s="89">
        <v>1</v>
      </c>
      <c r="J55" s="88" t="s">
        <v>484</v>
      </c>
      <c r="K55" s="102"/>
      <c r="L55" s="88" t="s">
        <v>478</v>
      </c>
      <c r="M55" s="89" t="s">
        <v>472</v>
      </c>
      <c r="N55" s="90">
        <v>0.5</v>
      </c>
      <c r="O55" s="27">
        <f>IFERROR(+VLOOKUP(M55,D.sign_Lista_Data[[RESPONSABLE]:[SOFTWARE 
VALOR HORA]],3,FALSE),"0")</f>
        <v>17730.496453900709</v>
      </c>
      <c r="P55" s="3">
        <f t="shared" si="0"/>
        <v>8865.2482269503544</v>
      </c>
      <c r="Q55" s="11">
        <f>IFERROR(+VLOOKUP(M55,D.sign_Lista_Data[[RESPONSABLE]:[SOFTWARE 
VALOR HORA]],5,FALSE)*D.sign_Data[[#This Row],[TIEMPO (HORAS)]],0)</f>
        <v>1688.6187098953055</v>
      </c>
      <c r="R55" s="11">
        <f>IFERROR(+VLOOKUP(M55,D.sign_Lista_Data[[RESPONSABLE]:[SOFTWARE 
VALOR HORA]],8,FALSE)*D.sign_Data[[#This Row],[TIEMPO (HORAS)]],0)</f>
        <v>1705.4274435719917</v>
      </c>
      <c r="S55" s="99"/>
      <c r="T55" s="99"/>
      <c r="U55" s="3">
        <f t="shared" si="1"/>
        <v>12259.29438041765</v>
      </c>
      <c r="V55" s="100">
        <f>D.sign_Data[[#This Row],[TIEMPO (HORAS)]]*Gastos_Operativos[[#Totals],[GASTOS HORA]]</f>
        <v>13894.738536155201</v>
      </c>
      <c r="W55" s="3">
        <f>+D.sign_Data[[#This Row],[COSTO 
DIRECTO ($COP)]]+D.sign_Data[[#This Row],[PRORRATEO GASTOS ($COP)]]</f>
        <v>26154.032916572851</v>
      </c>
      <c r="X55" s="101"/>
      <c r="Y55" s="15">
        <f>+D.sign_Data[[#This Row],[COSTOS OPERACIONALES ($COP)]]*D.sign_Data[[#This Row],[DESFASE (%)]]</f>
        <v>0</v>
      </c>
      <c r="Z55" s="101">
        <v>0.3</v>
      </c>
      <c r="AA55" s="15">
        <f>+((D.sign_Data[[#This Row],[COSTOS OPERACIONALES ($COP)]]/(100%-D.sign_Data[[#This Row],[UTILIDAD (%)]])))-D.sign_Data[[#This Row],[COSTOS OPERACIONALES ($COP)]]</f>
        <v>11208.871249959793</v>
      </c>
      <c r="AB55" s="3">
        <f>+D.sign_Data[[#This Row],[COSTOS OPERACIONALES ($COP)]]+D.sign_Data[[#This Row],[DESFASE ($COP)]]+D.sign_Data[[#This Row],[UTILIDAD ($COP)]]</f>
        <v>37362.904166532644</v>
      </c>
      <c r="AC55" s="101"/>
      <c r="AD55" s="15">
        <f>+D.sign_Data[[#This Row],[VALOR NETO ($COP)]]/(100%-D.sign_Data[[#This Row],[MARGEN DE NEGOCIACIÓN (%)]])-D.sign_Data[[#This Row],[VALOR NETO ($COP)]]</f>
        <v>0</v>
      </c>
      <c r="AE55" s="15">
        <f>+(D.sign_Data[[#This Row],[VALOR NETO ($COP)]]+D.sign_Data[[#This Row],[NEGOCIACIÓN ($COP)]])*1%</f>
        <v>373.62904166532644</v>
      </c>
      <c r="AF55" s="15">
        <f>+(D.sign_Data[[#This Row],[VALOR NETO ($COP)]]+D.sign_Data[[#This Row],[NEGOCIACIÓN ($COP)]])*1%</f>
        <v>373.62904166532644</v>
      </c>
      <c r="AG55" s="3">
        <f>+D.sign_Data[[#This Row],[VALOR NETO ($COP)]]+D.sign_Data[[#This Row],[NEGOCIACIÓN ($COP)]]+D.sign_Data[[#This Row],[ICA ($COP)]]+D.sign_Data[[#This Row],[4 * 1000 ($COP)]]</f>
        <v>38110.162249863301</v>
      </c>
    </row>
    <row r="56" spans="1:33" ht="60" hidden="1" customHeight="1" x14ac:dyDescent="0.25">
      <c r="A56" s="14"/>
      <c r="B56" s="87" t="s">
        <v>442</v>
      </c>
      <c r="C56" s="182" t="s">
        <v>466</v>
      </c>
      <c r="D56" s="189" t="str">
        <f>VLOOKUP(D.sign_Data[[#This Row],[CÓDIGO]],Descripciones[[CÓDIGO]:[NOMBRE DE SERVICIO]],3,FALSE)</f>
        <v>D1. Parcelaciones y Condominios</v>
      </c>
      <c r="E56" s="87" t="s">
        <v>467</v>
      </c>
      <c r="F56" s="88" t="s">
        <v>468</v>
      </c>
      <c r="G56" s="88" t="s">
        <v>469</v>
      </c>
      <c r="H56" s="87" t="s">
        <v>448</v>
      </c>
      <c r="I56" s="89">
        <v>1</v>
      </c>
      <c r="J56" s="88" t="s">
        <v>484</v>
      </c>
      <c r="K56" s="102"/>
      <c r="L56" s="88" t="s">
        <v>474</v>
      </c>
      <c r="M56" s="89" t="s">
        <v>472</v>
      </c>
      <c r="N56" s="90">
        <v>0.2</v>
      </c>
      <c r="O56" s="27">
        <f>IFERROR(+VLOOKUP(M56,D.sign_Lista_Data[[RESPONSABLE]:[SOFTWARE 
VALOR HORA]],3,FALSE),"0")</f>
        <v>17730.496453900709</v>
      </c>
      <c r="P56" s="3">
        <f t="shared" si="0"/>
        <v>3546.0992907801419</v>
      </c>
      <c r="Q56" s="11">
        <f>IFERROR(+VLOOKUP(M56,D.sign_Lista_Data[[RESPONSABLE]:[SOFTWARE 
VALOR HORA]],5,FALSE)*D.sign_Data[[#This Row],[TIEMPO (HORAS)]],0)</f>
        <v>675.44748395812223</v>
      </c>
      <c r="R56" s="11">
        <f>IFERROR(+VLOOKUP(M56,D.sign_Lista_Data[[RESPONSABLE]:[SOFTWARE 
VALOR HORA]],8,FALSE)*D.sign_Data[[#This Row],[TIEMPO (HORAS)]],0)</f>
        <v>682.17097742879673</v>
      </c>
      <c r="S56" s="99"/>
      <c r="T56" s="99"/>
      <c r="U56" s="3">
        <f t="shared" si="1"/>
        <v>4903.717752167061</v>
      </c>
      <c r="V56" s="100">
        <f>D.sign_Data[[#This Row],[TIEMPO (HORAS)]]*Gastos_Operativos[[#Totals],[GASTOS HORA]]</f>
        <v>5557.8954144620802</v>
      </c>
      <c r="W56" s="3">
        <f>+D.sign_Data[[#This Row],[COSTO 
DIRECTO ($COP)]]+D.sign_Data[[#This Row],[PRORRATEO GASTOS ($COP)]]</f>
        <v>10461.61316662914</v>
      </c>
      <c r="X56" s="101"/>
      <c r="Y56" s="15">
        <f>+D.sign_Data[[#This Row],[COSTOS OPERACIONALES ($COP)]]*D.sign_Data[[#This Row],[DESFASE (%)]]</f>
        <v>0</v>
      </c>
      <c r="Z56" s="101">
        <v>0.3</v>
      </c>
      <c r="AA56" s="15">
        <f>+((D.sign_Data[[#This Row],[COSTOS OPERACIONALES ($COP)]]/(100%-D.sign_Data[[#This Row],[UTILIDAD (%)]])))-D.sign_Data[[#This Row],[COSTOS OPERACIONALES ($COP)]]</f>
        <v>4483.5484999839191</v>
      </c>
      <c r="AB56" s="3">
        <f>+D.sign_Data[[#This Row],[COSTOS OPERACIONALES ($COP)]]+D.sign_Data[[#This Row],[DESFASE ($COP)]]+D.sign_Data[[#This Row],[UTILIDAD ($COP)]]</f>
        <v>14945.161666613059</v>
      </c>
      <c r="AC56" s="101"/>
      <c r="AD56" s="15">
        <f>+D.sign_Data[[#This Row],[VALOR NETO ($COP)]]/(100%-D.sign_Data[[#This Row],[MARGEN DE NEGOCIACIÓN (%)]])-D.sign_Data[[#This Row],[VALOR NETO ($COP)]]</f>
        <v>0</v>
      </c>
      <c r="AE56" s="15">
        <f>+(D.sign_Data[[#This Row],[VALOR NETO ($COP)]]+D.sign_Data[[#This Row],[NEGOCIACIÓN ($COP)]])*1%</f>
        <v>149.4516166661306</v>
      </c>
      <c r="AF56" s="15">
        <f>+(D.sign_Data[[#This Row],[VALOR NETO ($COP)]]+D.sign_Data[[#This Row],[NEGOCIACIÓN ($COP)]])*1%</f>
        <v>149.4516166661306</v>
      </c>
      <c r="AG56" s="3">
        <f>+D.sign_Data[[#This Row],[VALOR NETO ($COP)]]+D.sign_Data[[#This Row],[NEGOCIACIÓN ($COP)]]+D.sign_Data[[#This Row],[ICA ($COP)]]+D.sign_Data[[#This Row],[4 * 1000 ($COP)]]</f>
        <v>15244.064899945321</v>
      </c>
    </row>
    <row r="57" spans="1:33" ht="60" hidden="1" customHeight="1" x14ac:dyDescent="0.25">
      <c r="A57" s="14"/>
      <c r="B57" s="87" t="s">
        <v>442</v>
      </c>
      <c r="C57" s="182" t="s">
        <v>466</v>
      </c>
      <c r="D57" s="189" t="str">
        <f>VLOOKUP(D.sign_Data[[#This Row],[CÓDIGO]],Descripciones[[CÓDIGO]:[NOMBRE DE SERVICIO]],3,FALSE)</f>
        <v>D1. Parcelaciones y Condominios</v>
      </c>
      <c r="E57" s="87" t="s">
        <v>467</v>
      </c>
      <c r="F57" s="88" t="s">
        <v>468</v>
      </c>
      <c r="G57" s="88" t="s">
        <v>469</v>
      </c>
      <c r="H57" s="87" t="s">
        <v>448</v>
      </c>
      <c r="I57" s="89">
        <v>1</v>
      </c>
      <c r="J57" s="88" t="s">
        <v>487</v>
      </c>
      <c r="K57" s="102"/>
      <c r="L57" s="88" t="s">
        <v>488</v>
      </c>
      <c r="M57" s="89" t="s">
        <v>472</v>
      </c>
      <c r="N57" s="90">
        <v>0.12</v>
      </c>
      <c r="O57" s="27">
        <f>IFERROR(+VLOOKUP(M57,D.sign_Lista_Data[[RESPONSABLE]:[SOFTWARE 
VALOR HORA]],3,FALSE),"0")</f>
        <v>17730.496453900709</v>
      </c>
      <c r="P57" s="3">
        <f t="shared" si="0"/>
        <v>2127.6595744680849</v>
      </c>
      <c r="Q57" s="11">
        <f>IFERROR(+VLOOKUP(M57,D.sign_Lista_Data[[RESPONSABLE]:[SOFTWARE 
VALOR HORA]],5,FALSE)*D.sign_Data[[#This Row],[TIEMPO (HORAS)]],0)</f>
        <v>405.26849037487329</v>
      </c>
      <c r="R57" s="11">
        <f>IFERROR(+VLOOKUP(M57,D.sign_Lista_Data[[RESPONSABLE]:[SOFTWARE 
VALOR HORA]],8,FALSE)*D.sign_Data[[#This Row],[TIEMPO (HORAS)]],0)</f>
        <v>409.30258645727798</v>
      </c>
      <c r="S57" s="99"/>
      <c r="T57" s="99"/>
      <c r="U57" s="3">
        <f t="shared" si="1"/>
        <v>2942.2306513002359</v>
      </c>
      <c r="V57" s="100">
        <f>D.sign_Data[[#This Row],[TIEMPO (HORAS)]]*Gastos_Operativos[[#Totals],[GASTOS HORA]]</f>
        <v>3334.7372486772479</v>
      </c>
      <c r="W57" s="3">
        <f>+D.sign_Data[[#This Row],[COSTO 
DIRECTO ($COP)]]+D.sign_Data[[#This Row],[PRORRATEO GASTOS ($COP)]]</f>
        <v>6276.9678999774842</v>
      </c>
      <c r="X57" s="101"/>
      <c r="Y57" s="15">
        <f>+D.sign_Data[[#This Row],[COSTOS OPERACIONALES ($COP)]]*D.sign_Data[[#This Row],[DESFASE (%)]]</f>
        <v>0</v>
      </c>
      <c r="Z57" s="101">
        <v>0.3</v>
      </c>
      <c r="AA57" s="15">
        <f>+((D.sign_Data[[#This Row],[COSTOS OPERACIONALES ($COP)]]/(100%-D.sign_Data[[#This Row],[UTILIDAD (%)]])))-D.sign_Data[[#This Row],[COSTOS OPERACIONALES ($COP)]]</f>
        <v>2690.1290999903504</v>
      </c>
      <c r="AB57" s="3">
        <f>+D.sign_Data[[#This Row],[COSTOS OPERACIONALES ($COP)]]+D.sign_Data[[#This Row],[DESFASE ($COP)]]+D.sign_Data[[#This Row],[UTILIDAD ($COP)]]</f>
        <v>8967.0969999678346</v>
      </c>
      <c r="AC57" s="101"/>
      <c r="AD57" s="15">
        <f>+D.sign_Data[[#This Row],[VALOR NETO ($COP)]]/(100%-D.sign_Data[[#This Row],[MARGEN DE NEGOCIACIÓN (%)]])-D.sign_Data[[#This Row],[VALOR NETO ($COP)]]</f>
        <v>0</v>
      </c>
      <c r="AE57" s="15">
        <f>+(D.sign_Data[[#This Row],[VALOR NETO ($COP)]]+D.sign_Data[[#This Row],[NEGOCIACIÓN ($COP)]])*1%</f>
        <v>89.670969999678348</v>
      </c>
      <c r="AF57" s="15">
        <f>+(D.sign_Data[[#This Row],[VALOR NETO ($COP)]]+D.sign_Data[[#This Row],[NEGOCIACIÓN ($COP)]])*1%</f>
        <v>89.670969999678348</v>
      </c>
      <c r="AG57" s="3">
        <f>+D.sign_Data[[#This Row],[VALOR NETO ($COP)]]+D.sign_Data[[#This Row],[NEGOCIACIÓN ($COP)]]+D.sign_Data[[#This Row],[ICA ($COP)]]+D.sign_Data[[#This Row],[4 * 1000 ($COP)]]</f>
        <v>9146.4389399671927</v>
      </c>
    </row>
    <row r="58" spans="1:33" ht="60" hidden="1" customHeight="1" x14ac:dyDescent="0.25">
      <c r="A58" s="14"/>
      <c r="B58" s="87" t="s">
        <v>442</v>
      </c>
      <c r="C58" s="182" t="s">
        <v>466</v>
      </c>
      <c r="D58" s="189" t="str">
        <f>VLOOKUP(D.sign_Data[[#This Row],[CÓDIGO]],Descripciones[[CÓDIGO]:[NOMBRE DE SERVICIO]],3,FALSE)</f>
        <v>D1. Parcelaciones y Condominios</v>
      </c>
      <c r="E58" s="87" t="s">
        <v>467</v>
      </c>
      <c r="F58" s="88" t="s">
        <v>468</v>
      </c>
      <c r="G58" s="88" t="s">
        <v>469</v>
      </c>
      <c r="H58" s="87" t="s">
        <v>448</v>
      </c>
      <c r="I58" s="89">
        <v>1</v>
      </c>
      <c r="J58" s="88" t="s">
        <v>487</v>
      </c>
      <c r="K58" s="102"/>
      <c r="L58" s="91" t="s">
        <v>478</v>
      </c>
      <c r="M58" s="89" t="s">
        <v>472</v>
      </c>
      <c r="N58" s="90">
        <v>0.5</v>
      </c>
      <c r="O58" s="27">
        <f>IFERROR(+VLOOKUP(M58,D.sign_Lista_Data[[RESPONSABLE]:[SOFTWARE 
VALOR HORA]],3,FALSE),"0")</f>
        <v>17730.496453900709</v>
      </c>
      <c r="P58" s="3">
        <f t="shared" si="0"/>
        <v>8865.2482269503544</v>
      </c>
      <c r="Q58" s="11">
        <f>IFERROR(+VLOOKUP(M58,D.sign_Lista_Data[[RESPONSABLE]:[SOFTWARE 
VALOR HORA]],5,FALSE)*D.sign_Data[[#This Row],[TIEMPO (HORAS)]],0)</f>
        <v>1688.6187098953055</v>
      </c>
      <c r="R58" s="11">
        <f>IFERROR(+VLOOKUP(M58,D.sign_Lista_Data[[RESPONSABLE]:[SOFTWARE 
VALOR HORA]],8,FALSE)*D.sign_Data[[#This Row],[TIEMPO (HORAS)]],0)</f>
        <v>1705.4274435719917</v>
      </c>
      <c r="S58" s="99"/>
      <c r="T58" s="99"/>
      <c r="U58" s="3">
        <f t="shared" si="1"/>
        <v>12259.29438041765</v>
      </c>
      <c r="V58" s="100">
        <f>D.sign_Data[[#This Row],[TIEMPO (HORAS)]]*Gastos_Operativos[[#Totals],[GASTOS HORA]]</f>
        <v>13894.738536155201</v>
      </c>
      <c r="W58" s="3">
        <f>+D.sign_Data[[#This Row],[COSTO 
DIRECTO ($COP)]]+D.sign_Data[[#This Row],[PRORRATEO GASTOS ($COP)]]</f>
        <v>26154.032916572851</v>
      </c>
      <c r="X58" s="101"/>
      <c r="Y58" s="15">
        <f>+D.sign_Data[[#This Row],[COSTOS OPERACIONALES ($COP)]]*D.sign_Data[[#This Row],[DESFASE (%)]]</f>
        <v>0</v>
      </c>
      <c r="Z58" s="101">
        <v>0.3</v>
      </c>
      <c r="AA58" s="15">
        <f>+((D.sign_Data[[#This Row],[COSTOS OPERACIONALES ($COP)]]/(100%-D.sign_Data[[#This Row],[UTILIDAD (%)]])))-D.sign_Data[[#This Row],[COSTOS OPERACIONALES ($COP)]]</f>
        <v>11208.871249959793</v>
      </c>
      <c r="AB58" s="3">
        <f>+D.sign_Data[[#This Row],[COSTOS OPERACIONALES ($COP)]]+D.sign_Data[[#This Row],[DESFASE ($COP)]]+D.sign_Data[[#This Row],[UTILIDAD ($COP)]]</f>
        <v>37362.904166532644</v>
      </c>
      <c r="AC58" s="101"/>
      <c r="AD58" s="15">
        <f>+D.sign_Data[[#This Row],[VALOR NETO ($COP)]]/(100%-D.sign_Data[[#This Row],[MARGEN DE NEGOCIACIÓN (%)]])-D.sign_Data[[#This Row],[VALOR NETO ($COP)]]</f>
        <v>0</v>
      </c>
      <c r="AE58" s="15">
        <f>+(D.sign_Data[[#This Row],[VALOR NETO ($COP)]]+D.sign_Data[[#This Row],[NEGOCIACIÓN ($COP)]])*1%</f>
        <v>373.62904166532644</v>
      </c>
      <c r="AF58" s="15">
        <f>+(D.sign_Data[[#This Row],[VALOR NETO ($COP)]]+D.sign_Data[[#This Row],[NEGOCIACIÓN ($COP)]])*1%</f>
        <v>373.62904166532644</v>
      </c>
      <c r="AG58" s="3">
        <f>+D.sign_Data[[#This Row],[VALOR NETO ($COP)]]+D.sign_Data[[#This Row],[NEGOCIACIÓN ($COP)]]+D.sign_Data[[#This Row],[ICA ($COP)]]+D.sign_Data[[#This Row],[4 * 1000 ($COP)]]</f>
        <v>38110.162249863301</v>
      </c>
    </row>
    <row r="59" spans="1:33" ht="60" hidden="1" customHeight="1" x14ac:dyDescent="0.25">
      <c r="A59" s="14"/>
      <c r="B59" s="87" t="s">
        <v>442</v>
      </c>
      <c r="C59" s="182" t="s">
        <v>466</v>
      </c>
      <c r="D59" s="189" t="str">
        <f>VLOOKUP(D.sign_Data[[#This Row],[CÓDIGO]],Descripciones[[CÓDIGO]:[NOMBRE DE SERVICIO]],3,FALSE)</f>
        <v>D1. Parcelaciones y Condominios</v>
      </c>
      <c r="E59" s="87" t="s">
        <v>467</v>
      </c>
      <c r="F59" s="88" t="s">
        <v>468</v>
      </c>
      <c r="G59" s="88" t="s">
        <v>469</v>
      </c>
      <c r="H59" s="87" t="s">
        <v>448</v>
      </c>
      <c r="I59" s="89">
        <v>1</v>
      </c>
      <c r="J59" s="88" t="s">
        <v>487</v>
      </c>
      <c r="K59" s="102"/>
      <c r="L59" s="91" t="s">
        <v>471</v>
      </c>
      <c r="M59" s="89" t="s">
        <v>472</v>
      </c>
      <c r="N59" s="90">
        <v>0.2</v>
      </c>
      <c r="O59" s="27">
        <f>IFERROR(+VLOOKUP(M59,D.sign_Lista_Data[[RESPONSABLE]:[SOFTWARE 
VALOR HORA]],3,FALSE),"0")</f>
        <v>17730.496453900709</v>
      </c>
      <c r="P59" s="3">
        <f t="shared" si="0"/>
        <v>3546.0992907801419</v>
      </c>
      <c r="Q59" s="11">
        <f>IFERROR(+VLOOKUP(M59,D.sign_Lista_Data[[RESPONSABLE]:[SOFTWARE 
VALOR HORA]],5,FALSE)*D.sign_Data[[#This Row],[TIEMPO (HORAS)]],0)</f>
        <v>675.44748395812223</v>
      </c>
      <c r="R59" s="11">
        <f>IFERROR(+VLOOKUP(M59,D.sign_Lista_Data[[RESPONSABLE]:[SOFTWARE 
VALOR HORA]],8,FALSE)*D.sign_Data[[#This Row],[TIEMPO (HORAS)]],0)</f>
        <v>682.17097742879673</v>
      </c>
      <c r="S59" s="99"/>
      <c r="T59" s="99"/>
      <c r="U59" s="3">
        <f t="shared" si="1"/>
        <v>4903.717752167061</v>
      </c>
      <c r="V59" s="100">
        <f>D.sign_Data[[#This Row],[TIEMPO (HORAS)]]*Gastos_Operativos[[#Totals],[GASTOS HORA]]</f>
        <v>5557.8954144620802</v>
      </c>
      <c r="W59" s="3">
        <f>+D.sign_Data[[#This Row],[COSTO 
DIRECTO ($COP)]]+D.sign_Data[[#This Row],[PRORRATEO GASTOS ($COP)]]</f>
        <v>10461.61316662914</v>
      </c>
      <c r="X59" s="101"/>
      <c r="Y59" s="15">
        <f>+D.sign_Data[[#This Row],[COSTOS OPERACIONALES ($COP)]]*D.sign_Data[[#This Row],[DESFASE (%)]]</f>
        <v>0</v>
      </c>
      <c r="Z59" s="101">
        <v>0.3</v>
      </c>
      <c r="AA59" s="15">
        <f>+((D.sign_Data[[#This Row],[COSTOS OPERACIONALES ($COP)]]/(100%-D.sign_Data[[#This Row],[UTILIDAD (%)]])))-D.sign_Data[[#This Row],[COSTOS OPERACIONALES ($COP)]]</f>
        <v>4483.5484999839191</v>
      </c>
      <c r="AB59" s="3">
        <f>+D.sign_Data[[#This Row],[COSTOS OPERACIONALES ($COP)]]+D.sign_Data[[#This Row],[DESFASE ($COP)]]+D.sign_Data[[#This Row],[UTILIDAD ($COP)]]</f>
        <v>14945.161666613059</v>
      </c>
      <c r="AC59" s="101"/>
      <c r="AD59" s="15">
        <f>+D.sign_Data[[#This Row],[VALOR NETO ($COP)]]/(100%-D.sign_Data[[#This Row],[MARGEN DE NEGOCIACIÓN (%)]])-D.sign_Data[[#This Row],[VALOR NETO ($COP)]]</f>
        <v>0</v>
      </c>
      <c r="AE59" s="15">
        <f>+(D.sign_Data[[#This Row],[VALOR NETO ($COP)]]+D.sign_Data[[#This Row],[NEGOCIACIÓN ($COP)]])*1%</f>
        <v>149.4516166661306</v>
      </c>
      <c r="AF59" s="15">
        <f>+(D.sign_Data[[#This Row],[VALOR NETO ($COP)]]+D.sign_Data[[#This Row],[NEGOCIACIÓN ($COP)]])*1%</f>
        <v>149.4516166661306</v>
      </c>
      <c r="AG59" s="3">
        <f>+D.sign_Data[[#This Row],[VALOR NETO ($COP)]]+D.sign_Data[[#This Row],[NEGOCIACIÓN ($COP)]]+D.sign_Data[[#This Row],[ICA ($COP)]]+D.sign_Data[[#This Row],[4 * 1000 ($COP)]]</f>
        <v>15244.064899945321</v>
      </c>
    </row>
    <row r="60" spans="1:33" ht="60" hidden="1" customHeight="1" x14ac:dyDescent="0.25">
      <c r="A60" s="14"/>
      <c r="B60" s="87" t="s">
        <v>442</v>
      </c>
      <c r="C60" s="182" t="s">
        <v>466</v>
      </c>
      <c r="D60" s="189" t="str">
        <f>VLOOKUP(D.sign_Data[[#This Row],[CÓDIGO]],Descripciones[[CÓDIGO]:[NOMBRE DE SERVICIO]],3,FALSE)</f>
        <v>D1. Parcelaciones y Condominios</v>
      </c>
      <c r="E60" s="87" t="s">
        <v>467</v>
      </c>
      <c r="F60" s="88" t="s">
        <v>468</v>
      </c>
      <c r="G60" s="88" t="s">
        <v>469</v>
      </c>
      <c r="H60" s="87" t="s">
        <v>448</v>
      </c>
      <c r="I60" s="89">
        <v>1</v>
      </c>
      <c r="J60" s="88" t="s">
        <v>487</v>
      </c>
      <c r="K60" s="102"/>
      <c r="L60" s="91" t="s">
        <v>473</v>
      </c>
      <c r="M60" s="89" t="s">
        <v>472</v>
      </c>
      <c r="N60" s="90">
        <v>0.1</v>
      </c>
      <c r="O60" s="27">
        <f>IFERROR(+VLOOKUP(M60,D.sign_Lista_Data[[RESPONSABLE]:[SOFTWARE 
VALOR HORA]],3,FALSE),"0")</f>
        <v>17730.496453900709</v>
      </c>
      <c r="P60" s="3">
        <f t="shared" si="0"/>
        <v>1773.049645390071</v>
      </c>
      <c r="Q60" s="11">
        <f>IFERROR(+VLOOKUP(M60,D.sign_Lista_Data[[RESPONSABLE]:[SOFTWARE 
VALOR HORA]],5,FALSE)*D.sign_Data[[#This Row],[TIEMPO (HORAS)]],0)</f>
        <v>337.72374197906112</v>
      </c>
      <c r="R60" s="11">
        <f>IFERROR(+VLOOKUP(M60,D.sign_Lista_Data[[RESPONSABLE]:[SOFTWARE 
VALOR HORA]],8,FALSE)*D.sign_Data[[#This Row],[TIEMPO (HORAS)]],0)</f>
        <v>341.08548871439837</v>
      </c>
      <c r="S60" s="99"/>
      <c r="T60" s="99"/>
      <c r="U60" s="3">
        <f t="shared" si="1"/>
        <v>2451.8588760835305</v>
      </c>
      <c r="V60" s="100">
        <f>D.sign_Data[[#This Row],[TIEMPO (HORAS)]]*Gastos_Operativos[[#Totals],[GASTOS HORA]]</f>
        <v>2778.9477072310401</v>
      </c>
      <c r="W60" s="3">
        <f>+D.sign_Data[[#This Row],[COSTO 
DIRECTO ($COP)]]+D.sign_Data[[#This Row],[PRORRATEO GASTOS ($COP)]]</f>
        <v>5230.8065833145702</v>
      </c>
      <c r="X60" s="101"/>
      <c r="Y60" s="15">
        <f>+D.sign_Data[[#This Row],[COSTOS OPERACIONALES ($COP)]]*D.sign_Data[[#This Row],[DESFASE (%)]]</f>
        <v>0</v>
      </c>
      <c r="Z60" s="101">
        <v>0.3</v>
      </c>
      <c r="AA60" s="15">
        <f>+((D.sign_Data[[#This Row],[COSTOS OPERACIONALES ($COP)]]/(100%-D.sign_Data[[#This Row],[UTILIDAD (%)]])))-D.sign_Data[[#This Row],[COSTOS OPERACIONALES ($COP)]]</f>
        <v>2241.7742499919596</v>
      </c>
      <c r="AB60" s="3">
        <f>+D.sign_Data[[#This Row],[COSTOS OPERACIONALES ($COP)]]+D.sign_Data[[#This Row],[DESFASE ($COP)]]+D.sign_Data[[#This Row],[UTILIDAD ($COP)]]</f>
        <v>7472.5808333065297</v>
      </c>
      <c r="AC60" s="101"/>
      <c r="AD60" s="15">
        <f>+D.sign_Data[[#This Row],[VALOR NETO ($COP)]]/(100%-D.sign_Data[[#This Row],[MARGEN DE NEGOCIACIÓN (%)]])-D.sign_Data[[#This Row],[VALOR NETO ($COP)]]</f>
        <v>0</v>
      </c>
      <c r="AE60" s="15">
        <f>+(D.sign_Data[[#This Row],[VALOR NETO ($COP)]]+D.sign_Data[[#This Row],[NEGOCIACIÓN ($COP)]])*1%</f>
        <v>74.725808333065302</v>
      </c>
      <c r="AF60" s="15">
        <f>+(D.sign_Data[[#This Row],[VALOR NETO ($COP)]]+D.sign_Data[[#This Row],[NEGOCIACIÓN ($COP)]])*1%</f>
        <v>74.725808333065302</v>
      </c>
      <c r="AG60" s="3">
        <f>+D.sign_Data[[#This Row],[VALOR NETO ($COP)]]+D.sign_Data[[#This Row],[NEGOCIACIÓN ($COP)]]+D.sign_Data[[#This Row],[ICA ($COP)]]+D.sign_Data[[#This Row],[4 * 1000 ($COP)]]</f>
        <v>7622.0324499726603</v>
      </c>
    </row>
    <row r="61" spans="1:33" ht="60" hidden="1" customHeight="1" x14ac:dyDescent="0.25">
      <c r="A61" s="14"/>
      <c r="B61" s="87" t="s">
        <v>442</v>
      </c>
      <c r="C61" s="182" t="s">
        <v>466</v>
      </c>
      <c r="D61" s="189" t="str">
        <f>VLOOKUP(D.sign_Data[[#This Row],[CÓDIGO]],Descripciones[[CÓDIGO]:[NOMBRE DE SERVICIO]],3,FALSE)</f>
        <v>D1. Parcelaciones y Condominios</v>
      </c>
      <c r="E61" s="87" t="s">
        <v>467</v>
      </c>
      <c r="F61" s="88" t="s">
        <v>468</v>
      </c>
      <c r="G61" s="88" t="s">
        <v>469</v>
      </c>
      <c r="H61" s="87" t="s">
        <v>448</v>
      </c>
      <c r="I61" s="89">
        <v>1</v>
      </c>
      <c r="J61" s="88" t="s">
        <v>487</v>
      </c>
      <c r="K61" s="102"/>
      <c r="L61" s="88" t="s">
        <v>474</v>
      </c>
      <c r="M61" s="89" t="s">
        <v>472</v>
      </c>
      <c r="N61" s="90">
        <v>0.1</v>
      </c>
      <c r="O61" s="27">
        <f>IFERROR(+VLOOKUP(M61,D.sign_Lista_Data[[RESPONSABLE]:[SOFTWARE 
VALOR HORA]],3,FALSE),"0")</f>
        <v>17730.496453900709</v>
      </c>
      <c r="P61" s="3">
        <f t="shared" si="0"/>
        <v>1773.049645390071</v>
      </c>
      <c r="Q61" s="11">
        <f>IFERROR(+VLOOKUP(M61,D.sign_Lista_Data[[RESPONSABLE]:[SOFTWARE 
VALOR HORA]],5,FALSE)*D.sign_Data[[#This Row],[TIEMPO (HORAS)]],0)</f>
        <v>337.72374197906112</v>
      </c>
      <c r="R61" s="11">
        <f>IFERROR(+VLOOKUP(M61,D.sign_Lista_Data[[RESPONSABLE]:[SOFTWARE 
VALOR HORA]],8,FALSE)*D.sign_Data[[#This Row],[TIEMPO (HORAS)]],0)</f>
        <v>341.08548871439837</v>
      </c>
      <c r="S61" s="99"/>
      <c r="T61" s="99"/>
      <c r="U61" s="3">
        <f t="shared" si="1"/>
        <v>2451.8588760835305</v>
      </c>
      <c r="V61" s="100">
        <f>D.sign_Data[[#This Row],[TIEMPO (HORAS)]]*Gastos_Operativos[[#Totals],[GASTOS HORA]]</f>
        <v>2778.9477072310401</v>
      </c>
      <c r="W61" s="3">
        <f>+D.sign_Data[[#This Row],[COSTO 
DIRECTO ($COP)]]+D.sign_Data[[#This Row],[PRORRATEO GASTOS ($COP)]]</f>
        <v>5230.8065833145702</v>
      </c>
      <c r="X61" s="101"/>
      <c r="Y61" s="15">
        <f>+D.sign_Data[[#This Row],[COSTOS OPERACIONALES ($COP)]]*D.sign_Data[[#This Row],[DESFASE (%)]]</f>
        <v>0</v>
      </c>
      <c r="Z61" s="101">
        <v>0.3</v>
      </c>
      <c r="AA61" s="15">
        <f>+((D.sign_Data[[#This Row],[COSTOS OPERACIONALES ($COP)]]/(100%-D.sign_Data[[#This Row],[UTILIDAD (%)]])))-D.sign_Data[[#This Row],[COSTOS OPERACIONALES ($COP)]]</f>
        <v>2241.7742499919596</v>
      </c>
      <c r="AB61" s="3">
        <f>+D.sign_Data[[#This Row],[COSTOS OPERACIONALES ($COP)]]+D.sign_Data[[#This Row],[DESFASE ($COP)]]+D.sign_Data[[#This Row],[UTILIDAD ($COP)]]</f>
        <v>7472.5808333065297</v>
      </c>
      <c r="AC61" s="101"/>
      <c r="AD61" s="15">
        <f>+D.sign_Data[[#This Row],[VALOR NETO ($COP)]]/(100%-D.sign_Data[[#This Row],[MARGEN DE NEGOCIACIÓN (%)]])-D.sign_Data[[#This Row],[VALOR NETO ($COP)]]</f>
        <v>0</v>
      </c>
      <c r="AE61" s="15">
        <f>+(D.sign_Data[[#This Row],[VALOR NETO ($COP)]]+D.sign_Data[[#This Row],[NEGOCIACIÓN ($COP)]])*1%</f>
        <v>74.725808333065302</v>
      </c>
      <c r="AF61" s="15">
        <f>+(D.sign_Data[[#This Row],[VALOR NETO ($COP)]]+D.sign_Data[[#This Row],[NEGOCIACIÓN ($COP)]])*1%</f>
        <v>74.725808333065302</v>
      </c>
      <c r="AG61" s="3">
        <f>+D.sign_Data[[#This Row],[VALOR NETO ($COP)]]+D.sign_Data[[#This Row],[NEGOCIACIÓN ($COP)]]+D.sign_Data[[#This Row],[ICA ($COP)]]+D.sign_Data[[#This Row],[4 * 1000 ($COP)]]</f>
        <v>7622.0324499726603</v>
      </c>
    </row>
    <row r="62" spans="1:33" ht="60" hidden="1" customHeight="1" x14ac:dyDescent="0.25">
      <c r="A62" s="14"/>
      <c r="B62" s="87" t="s">
        <v>442</v>
      </c>
      <c r="C62" s="182" t="s">
        <v>466</v>
      </c>
      <c r="D62" s="189" t="str">
        <f>VLOOKUP(D.sign_Data[[#This Row],[CÓDIGO]],Descripciones[[CÓDIGO]:[NOMBRE DE SERVICIO]],3,FALSE)</f>
        <v>D1. Parcelaciones y Condominios</v>
      </c>
      <c r="E62" s="87" t="s">
        <v>467</v>
      </c>
      <c r="F62" s="88" t="s">
        <v>468</v>
      </c>
      <c r="G62" s="88" t="s">
        <v>469</v>
      </c>
      <c r="H62" s="87" t="s">
        <v>448</v>
      </c>
      <c r="I62" s="89">
        <v>1</v>
      </c>
      <c r="J62" s="88" t="s">
        <v>489</v>
      </c>
      <c r="K62" s="102"/>
      <c r="L62" s="88" t="s">
        <v>490</v>
      </c>
      <c r="M62" s="89" t="s">
        <v>472</v>
      </c>
      <c r="N62" s="90">
        <v>0.2</v>
      </c>
      <c r="O62" s="27">
        <f>IFERROR(+VLOOKUP(M62,D.sign_Lista_Data[[RESPONSABLE]:[SOFTWARE 
VALOR HORA]],3,FALSE),"0")</f>
        <v>17730.496453900709</v>
      </c>
      <c r="P62" s="3">
        <f t="shared" si="0"/>
        <v>3546.0992907801419</v>
      </c>
      <c r="Q62" s="11">
        <f>IFERROR(+VLOOKUP(M62,D.sign_Lista_Data[[RESPONSABLE]:[SOFTWARE 
VALOR HORA]],5,FALSE)*D.sign_Data[[#This Row],[TIEMPO (HORAS)]],0)</f>
        <v>675.44748395812223</v>
      </c>
      <c r="R62" s="11">
        <f>IFERROR(+VLOOKUP(M62,D.sign_Lista_Data[[RESPONSABLE]:[SOFTWARE 
VALOR HORA]],8,FALSE)*D.sign_Data[[#This Row],[TIEMPO (HORAS)]],0)</f>
        <v>682.17097742879673</v>
      </c>
      <c r="S62" s="99"/>
      <c r="T62" s="99"/>
      <c r="U62" s="3">
        <f t="shared" si="1"/>
        <v>4903.717752167061</v>
      </c>
      <c r="V62" s="100">
        <f>D.sign_Data[[#This Row],[TIEMPO (HORAS)]]*Gastos_Operativos[[#Totals],[GASTOS HORA]]</f>
        <v>5557.8954144620802</v>
      </c>
      <c r="W62" s="3">
        <f>+D.sign_Data[[#This Row],[COSTO 
DIRECTO ($COP)]]+D.sign_Data[[#This Row],[PRORRATEO GASTOS ($COP)]]</f>
        <v>10461.61316662914</v>
      </c>
      <c r="X62" s="101"/>
      <c r="Y62" s="15">
        <f>+D.sign_Data[[#This Row],[COSTOS OPERACIONALES ($COP)]]*D.sign_Data[[#This Row],[DESFASE (%)]]</f>
        <v>0</v>
      </c>
      <c r="Z62" s="101">
        <v>0.3</v>
      </c>
      <c r="AA62" s="15">
        <f>+((D.sign_Data[[#This Row],[COSTOS OPERACIONALES ($COP)]]/(100%-D.sign_Data[[#This Row],[UTILIDAD (%)]])))-D.sign_Data[[#This Row],[COSTOS OPERACIONALES ($COP)]]</f>
        <v>4483.5484999839191</v>
      </c>
      <c r="AB62" s="3">
        <f>+D.sign_Data[[#This Row],[COSTOS OPERACIONALES ($COP)]]+D.sign_Data[[#This Row],[DESFASE ($COP)]]+D.sign_Data[[#This Row],[UTILIDAD ($COP)]]</f>
        <v>14945.161666613059</v>
      </c>
      <c r="AC62" s="101"/>
      <c r="AD62" s="15">
        <f>+D.sign_Data[[#This Row],[VALOR NETO ($COP)]]/(100%-D.sign_Data[[#This Row],[MARGEN DE NEGOCIACIÓN (%)]])-D.sign_Data[[#This Row],[VALOR NETO ($COP)]]</f>
        <v>0</v>
      </c>
      <c r="AE62" s="15">
        <f>+(D.sign_Data[[#This Row],[VALOR NETO ($COP)]]+D.sign_Data[[#This Row],[NEGOCIACIÓN ($COP)]])*1%</f>
        <v>149.4516166661306</v>
      </c>
      <c r="AF62" s="15">
        <f>+(D.sign_Data[[#This Row],[VALOR NETO ($COP)]]+D.sign_Data[[#This Row],[NEGOCIACIÓN ($COP)]])*1%</f>
        <v>149.4516166661306</v>
      </c>
      <c r="AG62" s="3">
        <f>+D.sign_Data[[#This Row],[VALOR NETO ($COP)]]+D.sign_Data[[#This Row],[NEGOCIACIÓN ($COP)]]+D.sign_Data[[#This Row],[ICA ($COP)]]+D.sign_Data[[#This Row],[4 * 1000 ($COP)]]</f>
        <v>15244.064899945321</v>
      </c>
    </row>
    <row r="63" spans="1:33" ht="60" hidden="1" customHeight="1" x14ac:dyDescent="0.25">
      <c r="A63" s="14"/>
      <c r="B63" s="87" t="s">
        <v>442</v>
      </c>
      <c r="C63" s="182" t="s">
        <v>466</v>
      </c>
      <c r="D63" s="189" t="str">
        <f>VLOOKUP(D.sign_Data[[#This Row],[CÓDIGO]],Descripciones[[CÓDIGO]:[NOMBRE DE SERVICIO]],3,FALSE)</f>
        <v>D1. Parcelaciones y Condominios</v>
      </c>
      <c r="E63" s="87" t="s">
        <v>467</v>
      </c>
      <c r="F63" s="88" t="s">
        <v>468</v>
      </c>
      <c r="G63" s="88" t="s">
        <v>469</v>
      </c>
      <c r="H63" s="87" t="s">
        <v>448</v>
      </c>
      <c r="I63" s="89">
        <v>1</v>
      </c>
      <c r="J63" s="88" t="s">
        <v>491</v>
      </c>
      <c r="K63" s="102"/>
      <c r="L63" s="88" t="s">
        <v>492</v>
      </c>
      <c r="M63" s="89" t="s">
        <v>472</v>
      </c>
      <c r="N63" s="90">
        <v>0.5</v>
      </c>
      <c r="O63" s="27">
        <f>IFERROR(+VLOOKUP(M63,D.sign_Lista_Data[[RESPONSABLE]:[SOFTWARE 
VALOR HORA]],3,FALSE),"0")</f>
        <v>17730.496453900709</v>
      </c>
      <c r="P63" s="3">
        <f t="shared" si="0"/>
        <v>8865.2482269503544</v>
      </c>
      <c r="Q63" s="11">
        <f>IFERROR(+VLOOKUP(M63,D.sign_Lista_Data[[RESPONSABLE]:[SOFTWARE 
VALOR HORA]],5,FALSE)*D.sign_Data[[#This Row],[TIEMPO (HORAS)]],0)</f>
        <v>1688.6187098953055</v>
      </c>
      <c r="R63" s="11">
        <f>IFERROR(+VLOOKUP(M63,D.sign_Lista_Data[[RESPONSABLE]:[SOFTWARE 
VALOR HORA]],8,FALSE)*D.sign_Data[[#This Row],[TIEMPO (HORAS)]],0)</f>
        <v>1705.4274435719917</v>
      </c>
      <c r="S63" s="99"/>
      <c r="T63" s="99"/>
      <c r="U63" s="3">
        <f t="shared" si="1"/>
        <v>12259.29438041765</v>
      </c>
      <c r="V63" s="100">
        <f>D.sign_Data[[#This Row],[TIEMPO (HORAS)]]*Gastos_Operativos[[#Totals],[GASTOS HORA]]</f>
        <v>13894.738536155201</v>
      </c>
      <c r="W63" s="3">
        <f>+D.sign_Data[[#This Row],[COSTO 
DIRECTO ($COP)]]+D.sign_Data[[#This Row],[PRORRATEO GASTOS ($COP)]]</f>
        <v>26154.032916572851</v>
      </c>
      <c r="X63" s="101"/>
      <c r="Y63" s="15">
        <f>+D.sign_Data[[#This Row],[COSTOS OPERACIONALES ($COP)]]*D.sign_Data[[#This Row],[DESFASE (%)]]</f>
        <v>0</v>
      </c>
      <c r="Z63" s="101">
        <v>0.3</v>
      </c>
      <c r="AA63" s="15">
        <f>+((D.sign_Data[[#This Row],[COSTOS OPERACIONALES ($COP)]]/(100%-D.sign_Data[[#This Row],[UTILIDAD (%)]])))-D.sign_Data[[#This Row],[COSTOS OPERACIONALES ($COP)]]</f>
        <v>11208.871249959793</v>
      </c>
      <c r="AB63" s="3">
        <f>+D.sign_Data[[#This Row],[COSTOS OPERACIONALES ($COP)]]+D.sign_Data[[#This Row],[DESFASE ($COP)]]+D.sign_Data[[#This Row],[UTILIDAD ($COP)]]</f>
        <v>37362.904166532644</v>
      </c>
      <c r="AC63" s="101"/>
      <c r="AD63" s="15">
        <f>+D.sign_Data[[#This Row],[VALOR NETO ($COP)]]/(100%-D.sign_Data[[#This Row],[MARGEN DE NEGOCIACIÓN (%)]])-D.sign_Data[[#This Row],[VALOR NETO ($COP)]]</f>
        <v>0</v>
      </c>
      <c r="AE63" s="15">
        <f>+(D.sign_Data[[#This Row],[VALOR NETO ($COP)]]+D.sign_Data[[#This Row],[NEGOCIACIÓN ($COP)]])*1%</f>
        <v>373.62904166532644</v>
      </c>
      <c r="AF63" s="15">
        <f>+(D.sign_Data[[#This Row],[VALOR NETO ($COP)]]+D.sign_Data[[#This Row],[NEGOCIACIÓN ($COP)]])*1%</f>
        <v>373.62904166532644</v>
      </c>
      <c r="AG63" s="3">
        <f>+D.sign_Data[[#This Row],[VALOR NETO ($COP)]]+D.sign_Data[[#This Row],[NEGOCIACIÓN ($COP)]]+D.sign_Data[[#This Row],[ICA ($COP)]]+D.sign_Data[[#This Row],[4 * 1000 ($COP)]]</f>
        <v>38110.162249863301</v>
      </c>
    </row>
    <row r="64" spans="1:33" ht="60" hidden="1" customHeight="1" x14ac:dyDescent="0.25">
      <c r="A64" s="14"/>
      <c r="B64" s="87" t="s">
        <v>442</v>
      </c>
      <c r="C64" s="182" t="s">
        <v>466</v>
      </c>
      <c r="D64" s="189" t="str">
        <f>VLOOKUP(D.sign_Data[[#This Row],[CÓDIGO]],Descripciones[[CÓDIGO]:[NOMBRE DE SERVICIO]],3,FALSE)</f>
        <v>D1. Parcelaciones y Condominios</v>
      </c>
      <c r="E64" s="87" t="s">
        <v>467</v>
      </c>
      <c r="F64" s="88" t="s">
        <v>468</v>
      </c>
      <c r="G64" s="88" t="s">
        <v>469</v>
      </c>
      <c r="H64" s="87" t="s">
        <v>448</v>
      </c>
      <c r="I64" s="89">
        <v>1</v>
      </c>
      <c r="J64" s="88" t="s">
        <v>491</v>
      </c>
      <c r="K64" s="102"/>
      <c r="L64" s="91" t="s">
        <v>483</v>
      </c>
      <c r="M64" s="89" t="s">
        <v>472</v>
      </c>
      <c r="N64" s="90">
        <v>0.1</v>
      </c>
      <c r="O64" s="27">
        <f>IFERROR(+VLOOKUP(M64,D.sign_Lista_Data[[RESPONSABLE]:[SOFTWARE 
VALOR HORA]],3,FALSE),"0")</f>
        <v>17730.496453900709</v>
      </c>
      <c r="P64" s="3">
        <f t="shared" si="0"/>
        <v>1773.049645390071</v>
      </c>
      <c r="Q64" s="11">
        <f>IFERROR(+VLOOKUP(M64,D.sign_Lista_Data[[RESPONSABLE]:[SOFTWARE 
VALOR HORA]],5,FALSE)*D.sign_Data[[#This Row],[TIEMPO (HORAS)]],0)</f>
        <v>337.72374197906112</v>
      </c>
      <c r="R64" s="11">
        <f>IFERROR(+VLOOKUP(M64,D.sign_Lista_Data[[RESPONSABLE]:[SOFTWARE 
VALOR HORA]],8,FALSE)*D.sign_Data[[#This Row],[TIEMPO (HORAS)]],0)</f>
        <v>341.08548871439837</v>
      </c>
      <c r="S64" s="99"/>
      <c r="T64" s="99"/>
      <c r="U64" s="3">
        <f t="shared" si="1"/>
        <v>2451.8588760835305</v>
      </c>
      <c r="V64" s="100">
        <f>D.sign_Data[[#This Row],[TIEMPO (HORAS)]]*Gastos_Operativos[[#Totals],[GASTOS HORA]]</f>
        <v>2778.9477072310401</v>
      </c>
      <c r="W64" s="3">
        <f>+D.sign_Data[[#This Row],[COSTO 
DIRECTO ($COP)]]+D.sign_Data[[#This Row],[PRORRATEO GASTOS ($COP)]]</f>
        <v>5230.8065833145702</v>
      </c>
      <c r="X64" s="101"/>
      <c r="Y64" s="15">
        <f>+D.sign_Data[[#This Row],[COSTOS OPERACIONALES ($COP)]]*D.sign_Data[[#This Row],[DESFASE (%)]]</f>
        <v>0</v>
      </c>
      <c r="Z64" s="101">
        <v>0.3</v>
      </c>
      <c r="AA64" s="15">
        <f>+((D.sign_Data[[#This Row],[COSTOS OPERACIONALES ($COP)]]/(100%-D.sign_Data[[#This Row],[UTILIDAD (%)]])))-D.sign_Data[[#This Row],[COSTOS OPERACIONALES ($COP)]]</f>
        <v>2241.7742499919596</v>
      </c>
      <c r="AB64" s="3">
        <f>+D.sign_Data[[#This Row],[COSTOS OPERACIONALES ($COP)]]+D.sign_Data[[#This Row],[DESFASE ($COP)]]+D.sign_Data[[#This Row],[UTILIDAD ($COP)]]</f>
        <v>7472.5808333065297</v>
      </c>
      <c r="AC64" s="101"/>
      <c r="AD64" s="15">
        <f>+D.sign_Data[[#This Row],[VALOR NETO ($COP)]]/(100%-D.sign_Data[[#This Row],[MARGEN DE NEGOCIACIÓN (%)]])-D.sign_Data[[#This Row],[VALOR NETO ($COP)]]</f>
        <v>0</v>
      </c>
      <c r="AE64" s="15">
        <f>+(D.sign_Data[[#This Row],[VALOR NETO ($COP)]]+D.sign_Data[[#This Row],[NEGOCIACIÓN ($COP)]])*1%</f>
        <v>74.725808333065302</v>
      </c>
      <c r="AF64" s="15">
        <f>+(D.sign_Data[[#This Row],[VALOR NETO ($COP)]]+D.sign_Data[[#This Row],[NEGOCIACIÓN ($COP)]])*1%</f>
        <v>74.725808333065302</v>
      </c>
      <c r="AG64" s="3">
        <f>+D.sign_Data[[#This Row],[VALOR NETO ($COP)]]+D.sign_Data[[#This Row],[NEGOCIACIÓN ($COP)]]+D.sign_Data[[#This Row],[ICA ($COP)]]+D.sign_Data[[#This Row],[4 * 1000 ($COP)]]</f>
        <v>7622.0324499726603</v>
      </c>
    </row>
    <row r="65" spans="1:33" ht="60" hidden="1" customHeight="1" x14ac:dyDescent="0.25">
      <c r="A65" s="14"/>
      <c r="B65" s="87" t="s">
        <v>493</v>
      </c>
      <c r="C65" s="182" t="s">
        <v>494</v>
      </c>
      <c r="D65" s="189" t="str">
        <f>VLOOKUP(D.sign_Data[[#This Row],[CÓDIGO]],Descripciones[[CÓDIGO]:[NOMBRE DE SERVICIO]],3,FALSE)</f>
        <v>D1. Parcelaciones y Condominios</v>
      </c>
      <c r="E65" s="87" t="s">
        <v>467</v>
      </c>
      <c r="F65" s="88" t="s">
        <v>495</v>
      </c>
      <c r="G65" s="88" t="s">
        <v>469</v>
      </c>
      <c r="H65" s="87" t="s">
        <v>448</v>
      </c>
      <c r="I65" s="89">
        <v>1</v>
      </c>
      <c r="J65" s="88" t="s">
        <v>475</v>
      </c>
      <c r="K65" s="102"/>
      <c r="L65" s="88" t="s">
        <v>478</v>
      </c>
      <c r="M65" s="89" t="s">
        <v>472</v>
      </c>
      <c r="N65" s="90">
        <v>0.5</v>
      </c>
      <c r="O65" s="27">
        <f>IFERROR(+VLOOKUP(M65,D.sign_Lista_Data[[RESPONSABLE]:[SOFTWARE 
VALOR HORA]],3,FALSE),"0")</f>
        <v>17730.496453900709</v>
      </c>
      <c r="P65" s="3">
        <f t="shared" ref="P65:P88" si="2">+O65*N65</f>
        <v>8865.2482269503544</v>
      </c>
      <c r="Q65" s="11">
        <f>IFERROR(+VLOOKUP(M65,D.sign_Lista_Data[[RESPONSABLE]:[SOFTWARE 
VALOR HORA]],5,FALSE)*D.sign_Data[[#This Row],[TIEMPO (HORAS)]],0)</f>
        <v>1688.6187098953055</v>
      </c>
      <c r="R65" s="11">
        <f>IFERROR(+VLOOKUP(M65,D.sign_Lista_Data[[RESPONSABLE]:[SOFTWARE 
VALOR HORA]],8,FALSE)*D.sign_Data[[#This Row],[TIEMPO (HORAS)]],0)</f>
        <v>1705.4274435719917</v>
      </c>
      <c r="S65" s="99"/>
      <c r="T65" s="99"/>
      <c r="U65" s="3">
        <f t="shared" ref="U65:U88" si="3">SUM(P65:T65)</f>
        <v>12259.29438041765</v>
      </c>
      <c r="V65" s="100">
        <f>D.sign_Data[[#This Row],[TIEMPO (HORAS)]]*Gastos_Operativos[[#Totals],[GASTOS HORA]]</f>
        <v>13894.738536155201</v>
      </c>
      <c r="W65" s="3">
        <f>+D.sign_Data[[#This Row],[COSTO 
DIRECTO ($COP)]]+D.sign_Data[[#This Row],[PRORRATEO GASTOS ($COP)]]</f>
        <v>26154.032916572851</v>
      </c>
      <c r="X65" s="101">
        <v>0.15</v>
      </c>
      <c r="Y65" s="15">
        <f>+D.sign_Data[[#This Row],[COSTOS OPERACIONALES ($COP)]]*D.sign_Data[[#This Row],[DESFASE (%)]]</f>
        <v>3923.1049374859276</v>
      </c>
      <c r="Z65" s="101">
        <v>0.3</v>
      </c>
      <c r="AA65" s="15">
        <f>+((D.sign_Data[[#This Row],[COSTOS OPERACIONALES ($COP)]]/(100%-D.sign_Data[[#This Row],[UTILIDAD (%)]])))-D.sign_Data[[#This Row],[COSTOS OPERACIONALES ($COP)]]</f>
        <v>11208.871249959793</v>
      </c>
      <c r="AB65" s="3">
        <f>+D.sign_Data[[#This Row],[COSTOS OPERACIONALES ($COP)]]+D.sign_Data[[#This Row],[DESFASE ($COP)]]+D.sign_Data[[#This Row],[UTILIDAD ($COP)]]</f>
        <v>41286.009104018573</v>
      </c>
      <c r="AC65" s="101">
        <v>0.05</v>
      </c>
      <c r="AD65" s="15">
        <f>+D.sign_Data[[#This Row],[VALOR NETO ($COP)]]/(100%-D.sign_Data[[#This Row],[MARGEN DE NEGOCIACIÓN (%)]])-D.sign_Data[[#This Row],[VALOR NETO ($COP)]]</f>
        <v>2172.947847579926</v>
      </c>
      <c r="AE65" s="15">
        <f>+(D.sign_Data[[#This Row],[VALOR NETO ($COP)]]+D.sign_Data[[#This Row],[NEGOCIACIÓN ($COP)]])*1%</f>
        <v>434.58956951598498</v>
      </c>
      <c r="AF65" s="15">
        <f>+(D.sign_Data[[#This Row],[VALOR NETO ($COP)]]+D.sign_Data[[#This Row],[NEGOCIACIÓN ($COP)]])*1%</f>
        <v>434.58956951598498</v>
      </c>
      <c r="AG65" s="3">
        <f>+D.sign_Data[[#This Row],[VALOR NETO ($COP)]]+D.sign_Data[[#This Row],[NEGOCIACIÓN ($COP)]]+D.sign_Data[[#This Row],[ICA ($COP)]]+D.sign_Data[[#This Row],[4 * 1000 ($COP)]]</f>
        <v>44328.136090630469</v>
      </c>
    </row>
    <row r="66" spans="1:33" ht="60" hidden="1" customHeight="1" x14ac:dyDescent="0.25">
      <c r="A66" s="14"/>
      <c r="B66" s="87" t="s">
        <v>493</v>
      </c>
      <c r="C66" s="182" t="s">
        <v>494</v>
      </c>
      <c r="D66" s="189" t="str">
        <f>VLOOKUP(D.sign_Data[[#This Row],[CÓDIGO]],Descripciones[[CÓDIGO]:[NOMBRE DE SERVICIO]],3,FALSE)</f>
        <v>D1. Parcelaciones y Condominios</v>
      </c>
      <c r="E66" s="87" t="s">
        <v>467</v>
      </c>
      <c r="F66" s="88" t="s">
        <v>495</v>
      </c>
      <c r="G66" s="88" t="s">
        <v>469</v>
      </c>
      <c r="H66" s="87" t="s">
        <v>448</v>
      </c>
      <c r="I66" s="89">
        <v>1</v>
      </c>
      <c r="J66" s="88" t="s">
        <v>475</v>
      </c>
      <c r="K66" s="102"/>
      <c r="L66" s="88" t="s">
        <v>474</v>
      </c>
      <c r="M66" s="89" t="s">
        <v>472</v>
      </c>
      <c r="N66" s="90">
        <v>0.2</v>
      </c>
      <c r="O66" s="27">
        <f>IFERROR(+VLOOKUP(M66,D.sign_Lista_Data[[RESPONSABLE]:[SOFTWARE 
VALOR HORA]],3,FALSE),"0")</f>
        <v>17730.496453900709</v>
      </c>
      <c r="P66" s="3">
        <f t="shared" si="2"/>
        <v>3546.0992907801419</v>
      </c>
      <c r="Q66" s="11">
        <f>IFERROR(+VLOOKUP(M66,D.sign_Lista_Data[[RESPONSABLE]:[SOFTWARE 
VALOR HORA]],5,FALSE)*D.sign_Data[[#This Row],[TIEMPO (HORAS)]],0)</f>
        <v>675.44748395812223</v>
      </c>
      <c r="R66" s="11">
        <f>IFERROR(+VLOOKUP(M66,D.sign_Lista_Data[[RESPONSABLE]:[SOFTWARE 
VALOR HORA]],8,FALSE)*D.sign_Data[[#This Row],[TIEMPO (HORAS)]],0)</f>
        <v>682.17097742879673</v>
      </c>
      <c r="S66" s="99"/>
      <c r="T66" s="99"/>
      <c r="U66" s="3">
        <f t="shared" si="3"/>
        <v>4903.717752167061</v>
      </c>
      <c r="V66" s="100">
        <f>D.sign_Data[[#This Row],[TIEMPO (HORAS)]]*Gastos_Operativos[[#Totals],[GASTOS HORA]]</f>
        <v>5557.8954144620802</v>
      </c>
      <c r="W66" s="3">
        <f>+D.sign_Data[[#This Row],[COSTO 
DIRECTO ($COP)]]+D.sign_Data[[#This Row],[PRORRATEO GASTOS ($COP)]]</f>
        <v>10461.61316662914</v>
      </c>
      <c r="X66" s="101">
        <v>0.15</v>
      </c>
      <c r="Y66" s="15">
        <f>+D.sign_Data[[#This Row],[COSTOS OPERACIONALES ($COP)]]*D.sign_Data[[#This Row],[DESFASE (%)]]</f>
        <v>1569.241974994371</v>
      </c>
      <c r="Z66" s="101">
        <v>0.3</v>
      </c>
      <c r="AA66" s="15">
        <f>+((D.sign_Data[[#This Row],[COSTOS OPERACIONALES ($COP)]]/(100%-D.sign_Data[[#This Row],[UTILIDAD (%)]])))-D.sign_Data[[#This Row],[COSTOS OPERACIONALES ($COP)]]</f>
        <v>4483.5484999839191</v>
      </c>
      <c r="AB66" s="3">
        <f>+D.sign_Data[[#This Row],[COSTOS OPERACIONALES ($COP)]]+D.sign_Data[[#This Row],[DESFASE ($COP)]]+D.sign_Data[[#This Row],[UTILIDAD ($COP)]]</f>
        <v>16514.40364160743</v>
      </c>
      <c r="AC66" s="101">
        <v>0.05</v>
      </c>
      <c r="AD66" s="15">
        <f>+D.sign_Data[[#This Row],[VALOR NETO ($COP)]]/(100%-D.sign_Data[[#This Row],[MARGEN DE NEGOCIACIÓN (%)]])-D.sign_Data[[#This Row],[VALOR NETO ($COP)]]</f>
        <v>869.17913903197041</v>
      </c>
      <c r="AE66" s="15">
        <f>+(D.sign_Data[[#This Row],[VALOR NETO ($COP)]]+D.sign_Data[[#This Row],[NEGOCIACIÓN ($COP)]])*1%</f>
        <v>173.83582780639401</v>
      </c>
      <c r="AF66" s="15">
        <f>+(D.sign_Data[[#This Row],[VALOR NETO ($COP)]]+D.sign_Data[[#This Row],[NEGOCIACIÓN ($COP)]])*1%</f>
        <v>173.83582780639401</v>
      </c>
      <c r="AG66" s="3">
        <f>+D.sign_Data[[#This Row],[VALOR NETO ($COP)]]+D.sign_Data[[#This Row],[NEGOCIACIÓN ($COP)]]+D.sign_Data[[#This Row],[ICA ($COP)]]+D.sign_Data[[#This Row],[4 * 1000 ($COP)]]</f>
        <v>17731.254436252188</v>
      </c>
    </row>
    <row r="67" spans="1:33" ht="60" hidden="1" customHeight="1" x14ac:dyDescent="0.25">
      <c r="A67" s="14"/>
      <c r="B67" s="87" t="s">
        <v>493</v>
      </c>
      <c r="C67" s="182" t="s">
        <v>494</v>
      </c>
      <c r="D67" s="189" t="str">
        <f>VLOOKUP(D.sign_Data[[#This Row],[CÓDIGO]],Descripciones[[CÓDIGO]:[NOMBRE DE SERVICIO]],3,FALSE)</f>
        <v>D1. Parcelaciones y Condominios</v>
      </c>
      <c r="E67" s="87" t="s">
        <v>467</v>
      </c>
      <c r="F67" s="88" t="s">
        <v>495</v>
      </c>
      <c r="G67" s="88" t="s">
        <v>469</v>
      </c>
      <c r="H67" s="87" t="s">
        <v>448</v>
      </c>
      <c r="I67" s="89">
        <v>1</v>
      </c>
      <c r="J67" s="88" t="s">
        <v>479</v>
      </c>
      <c r="K67" s="102"/>
      <c r="L67" s="88" t="s">
        <v>476</v>
      </c>
      <c r="M67" s="89" t="s">
        <v>472</v>
      </c>
      <c r="N67" s="90">
        <v>0.2</v>
      </c>
      <c r="O67" s="27">
        <f>IFERROR(+VLOOKUP(M67,D.sign_Lista_Data[[RESPONSABLE]:[SOFTWARE 
VALOR HORA]],3,FALSE),"0")</f>
        <v>17730.496453900709</v>
      </c>
      <c r="P67" s="3">
        <f t="shared" si="2"/>
        <v>3546.0992907801419</v>
      </c>
      <c r="Q67" s="11">
        <f>IFERROR(+VLOOKUP(M67,D.sign_Lista_Data[[RESPONSABLE]:[SOFTWARE 
VALOR HORA]],5,FALSE)*D.sign_Data[[#This Row],[TIEMPO (HORAS)]],0)</f>
        <v>675.44748395812223</v>
      </c>
      <c r="R67" s="11">
        <f>IFERROR(+VLOOKUP(M67,D.sign_Lista_Data[[RESPONSABLE]:[SOFTWARE 
VALOR HORA]],8,FALSE)*D.sign_Data[[#This Row],[TIEMPO (HORAS)]],0)</f>
        <v>682.17097742879673</v>
      </c>
      <c r="S67" s="99"/>
      <c r="T67" s="99"/>
      <c r="U67" s="3">
        <f t="shared" si="3"/>
        <v>4903.717752167061</v>
      </c>
      <c r="V67" s="100">
        <f>D.sign_Data[[#This Row],[TIEMPO (HORAS)]]*Gastos_Operativos[[#Totals],[GASTOS HORA]]</f>
        <v>5557.8954144620802</v>
      </c>
      <c r="W67" s="3">
        <f>+D.sign_Data[[#This Row],[COSTO 
DIRECTO ($COP)]]+D.sign_Data[[#This Row],[PRORRATEO GASTOS ($COP)]]</f>
        <v>10461.61316662914</v>
      </c>
      <c r="X67" s="101">
        <v>0.15</v>
      </c>
      <c r="Y67" s="15">
        <f>+D.sign_Data[[#This Row],[COSTOS OPERACIONALES ($COP)]]*D.sign_Data[[#This Row],[DESFASE (%)]]</f>
        <v>1569.241974994371</v>
      </c>
      <c r="Z67" s="101">
        <v>0.3</v>
      </c>
      <c r="AA67" s="15">
        <f>+((D.sign_Data[[#This Row],[COSTOS OPERACIONALES ($COP)]]/(100%-D.sign_Data[[#This Row],[UTILIDAD (%)]])))-D.sign_Data[[#This Row],[COSTOS OPERACIONALES ($COP)]]</f>
        <v>4483.5484999839191</v>
      </c>
      <c r="AB67" s="3">
        <f>+D.sign_Data[[#This Row],[COSTOS OPERACIONALES ($COP)]]+D.sign_Data[[#This Row],[DESFASE ($COP)]]+D.sign_Data[[#This Row],[UTILIDAD ($COP)]]</f>
        <v>16514.40364160743</v>
      </c>
      <c r="AC67" s="101">
        <v>0.05</v>
      </c>
      <c r="AD67" s="15">
        <f>+D.sign_Data[[#This Row],[VALOR NETO ($COP)]]/(100%-D.sign_Data[[#This Row],[MARGEN DE NEGOCIACIÓN (%)]])-D.sign_Data[[#This Row],[VALOR NETO ($COP)]]</f>
        <v>869.17913903197041</v>
      </c>
      <c r="AE67" s="15">
        <f>+(D.sign_Data[[#This Row],[VALOR NETO ($COP)]]+D.sign_Data[[#This Row],[NEGOCIACIÓN ($COP)]])*1%</f>
        <v>173.83582780639401</v>
      </c>
      <c r="AF67" s="15">
        <f>+(D.sign_Data[[#This Row],[VALOR NETO ($COP)]]+D.sign_Data[[#This Row],[NEGOCIACIÓN ($COP)]])*1%</f>
        <v>173.83582780639401</v>
      </c>
      <c r="AG67" s="3">
        <f>+D.sign_Data[[#This Row],[VALOR NETO ($COP)]]+D.sign_Data[[#This Row],[NEGOCIACIÓN ($COP)]]+D.sign_Data[[#This Row],[ICA ($COP)]]+D.sign_Data[[#This Row],[4 * 1000 ($COP)]]</f>
        <v>17731.254436252188</v>
      </c>
    </row>
    <row r="68" spans="1:33" ht="60" hidden="1" customHeight="1" x14ac:dyDescent="0.25">
      <c r="A68" s="14"/>
      <c r="B68" s="87" t="s">
        <v>493</v>
      </c>
      <c r="C68" s="182" t="s">
        <v>494</v>
      </c>
      <c r="D68" s="189" t="str">
        <f>VLOOKUP(D.sign_Data[[#This Row],[CÓDIGO]],Descripciones[[CÓDIGO]:[NOMBRE DE SERVICIO]],3,FALSE)</f>
        <v>D1. Parcelaciones y Condominios</v>
      </c>
      <c r="E68" s="87" t="s">
        <v>467</v>
      </c>
      <c r="F68" s="88" t="s">
        <v>495</v>
      </c>
      <c r="G68" s="88" t="s">
        <v>469</v>
      </c>
      <c r="H68" s="87" t="s">
        <v>448</v>
      </c>
      <c r="I68" s="89">
        <v>1</v>
      </c>
      <c r="J68" s="88" t="s">
        <v>479</v>
      </c>
      <c r="K68" s="102"/>
      <c r="L68" s="88" t="s">
        <v>471</v>
      </c>
      <c r="M68" s="89" t="s">
        <v>472</v>
      </c>
      <c r="N68" s="90">
        <v>0.2</v>
      </c>
      <c r="O68" s="27">
        <f>IFERROR(+VLOOKUP(M68,D.sign_Lista_Data[[RESPONSABLE]:[SOFTWARE 
VALOR HORA]],3,FALSE),"0")</f>
        <v>17730.496453900709</v>
      </c>
      <c r="P68" s="3">
        <f t="shared" si="2"/>
        <v>3546.0992907801419</v>
      </c>
      <c r="Q68" s="11">
        <f>IFERROR(+VLOOKUP(M68,D.sign_Lista_Data[[RESPONSABLE]:[SOFTWARE 
VALOR HORA]],5,FALSE)*D.sign_Data[[#This Row],[TIEMPO (HORAS)]],0)</f>
        <v>675.44748395812223</v>
      </c>
      <c r="R68" s="11">
        <f>IFERROR(+VLOOKUP(M68,D.sign_Lista_Data[[RESPONSABLE]:[SOFTWARE 
VALOR HORA]],8,FALSE)*D.sign_Data[[#This Row],[TIEMPO (HORAS)]],0)</f>
        <v>682.17097742879673</v>
      </c>
      <c r="S68" s="99"/>
      <c r="T68" s="99"/>
      <c r="U68" s="3">
        <f t="shared" si="3"/>
        <v>4903.717752167061</v>
      </c>
      <c r="V68" s="100">
        <f>D.sign_Data[[#This Row],[TIEMPO (HORAS)]]*Gastos_Operativos[[#Totals],[GASTOS HORA]]</f>
        <v>5557.8954144620802</v>
      </c>
      <c r="W68" s="3">
        <f>+D.sign_Data[[#This Row],[COSTO 
DIRECTO ($COP)]]+D.sign_Data[[#This Row],[PRORRATEO GASTOS ($COP)]]</f>
        <v>10461.61316662914</v>
      </c>
      <c r="X68" s="101">
        <v>0.15</v>
      </c>
      <c r="Y68" s="15">
        <f>+D.sign_Data[[#This Row],[COSTOS OPERACIONALES ($COP)]]*D.sign_Data[[#This Row],[DESFASE (%)]]</f>
        <v>1569.241974994371</v>
      </c>
      <c r="Z68" s="101">
        <v>0.3</v>
      </c>
      <c r="AA68" s="15">
        <f>+((D.sign_Data[[#This Row],[COSTOS OPERACIONALES ($COP)]]/(100%-D.sign_Data[[#This Row],[UTILIDAD (%)]])))-D.sign_Data[[#This Row],[COSTOS OPERACIONALES ($COP)]]</f>
        <v>4483.5484999839191</v>
      </c>
      <c r="AB68" s="3">
        <f>+D.sign_Data[[#This Row],[COSTOS OPERACIONALES ($COP)]]+D.sign_Data[[#This Row],[DESFASE ($COP)]]+D.sign_Data[[#This Row],[UTILIDAD ($COP)]]</f>
        <v>16514.40364160743</v>
      </c>
      <c r="AC68" s="101">
        <v>0.05</v>
      </c>
      <c r="AD68" s="15">
        <f>+D.sign_Data[[#This Row],[VALOR NETO ($COP)]]/(100%-D.sign_Data[[#This Row],[MARGEN DE NEGOCIACIÓN (%)]])-D.sign_Data[[#This Row],[VALOR NETO ($COP)]]</f>
        <v>869.17913903197041</v>
      </c>
      <c r="AE68" s="15">
        <f>+(D.sign_Data[[#This Row],[VALOR NETO ($COP)]]+D.sign_Data[[#This Row],[NEGOCIACIÓN ($COP)]])*1%</f>
        <v>173.83582780639401</v>
      </c>
      <c r="AF68" s="15">
        <f>+(D.sign_Data[[#This Row],[VALOR NETO ($COP)]]+D.sign_Data[[#This Row],[NEGOCIACIÓN ($COP)]])*1%</f>
        <v>173.83582780639401</v>
      </c>
      <c r="AG68" s="3">
        <f>+D.sign_Data[[#This Row],[VALOR NETO ($COP)]]+D.sign_Data[[#This Row],[NEGOCIACIÓN ($COP)]]+D.sign_Data[[#This Row],[ICA ($COP)]]+D.sign_Data[[#This Row],[4 * 1000 ($COP)]]</f>
        <v>17731.254436252188</v>
      </c>
    </row>
    <row r="69" spans="1:33" ht="60" hidden="1" customHeight="1" x14ac:dyDescent="0.25">
      <c r="A69" s="14"/>
      <c r="B69" s="87" t="s">
        <v>493</v>
      </c>
      <c r="C69" s="182" t="s">
        <v>494</v>
      </c>
      <c r="D69" s="189" t="str">
        <f>VLOOKUP(D.sign_Data[[#This Row],[CÓDIGO]],Descripciones[[CÓDIGO]:[NOMBRE DE SERVICIO]],3,FALSE)</f>
        <v>D1. Parcelaciones y Condominios</v>
      </c>
      <c r="E69" s="87" t="s">
        <v>467</v>
      </c>
      <c r="F69" s="88" t="s">
        <v>495</v>
      </c>
      <c r="G69" s="88" t="s">
        <v>469</v>
      </c>
      <c r="H69" s="87" t="s">
        <v>448</v>
      </c>
      <c r="I69" s="89">
        <v>1</v>
      </c>
      <c r="J69" s="88" t="s">
        <v>479</v>
      </c>
      <c r="K69" s="102"/>
      <c r="L69" s="88" t="s">
        <v>480</v>
      </c>
      <c r="M69" s="89" t="s">
        <v>472</v>
      </c>
      <c r="N69" s="90">
        <v>0.1</v>
      </c>
      <c r="O69" s="27">
        <f>IFERROR(+VLOOKUP(M69,D.sign_Lista_Data[[RESPONSABLE]:[SOFTWARE 
VALOR HORA]],3,FALSE),"0")</f>
        <v>17730.496453900709</v>
      </c>
      <c r="P69" s="3">
        <f t="shared" si="2"/>
        <v>1773.049645390071</v>
      </c>
      <c r="Q69" s="11">
        <f>IFERROR(+VLOOKUP(M69,D.sign_Lista_Data[[RESPONSABLE]:[SOFTWARE 
VALOR HORA]],5,FALSE)*D.sign_Data[[#This Row],[TIEMPO (HORAS)]],0)</f>
        <v>337.72374197906112</v>
      </c>
      <c r="R69" s="11">
        <f>IFERROR(+VLOOKUP(M69,D.sign_Lista_Data[[RESPONSABLE]:[SOFTWARE 
VALOR HORA]],8,FALSE)*D.sign_Data[[#This Row],[TIEMPO (HORAS)]],0)</f>
        <v>341.08548871439837</v>
      </c>
      <c r="S69" s="99"/>
      <c r="T69" s="99"/>
      <c r="U69" s="3">
        <f t="shared" si="3"/>
        <v>2451.8588760835305</v>
      </c>
      <c r="V69" s="100">
        <f>D.sign_Data[[#This Row],[TIEMPO (HORAS)]]*Gastos_Operativos[[#Totals],[GASTOS HORA]]</f>
        <v>2778.9477072310401</v>
      </c>
      <c r="W69" s="3">
        <f>+D.sign_Data[[#This Row],[COSTO 
DIRECTO ($COP)]]+D.sign_Data[[#This Row],[PRORRATEO GASTOS ($COP)]]</f>
        <v>5230.8065833145702</v>
      </c>
      <c r="X69" s="101">
        <v>0.15</v>
      </c>
      <c r="Y69" s="15">
        <f>+D.sign_Data[[#This Row],[COSTOS OPERACIONALES ($COP)]]*D.sign_Data[[#This Row],[DESFASE (%)]]</f>
        <v>784.62098749718552</v>
      </c>
      <c r="Z69" s="101">
        <v>0.3</v>
      </c>
      <c r="AA69" s="15">
        <f>+((D.sign_Data[[#This Row],[COSTOS OPERACIONALES ($COP)]]/(100%-D.sign_Data[[#This Row],[UTILIDAD (%)]])))-D.sign_Data[[#This Row],[COSTOS OPERACIONALES ($COP)]]</f>
        <v>2241.7742499919596</v>
      </c>
      <c r="AB69" s="3">
        <f>+D.sign_Data[[#This Row],[COSTOS OPERACIONALES ($COP)]]+D.sign_Data[[#This Row],[DESFASE ($COP)]]+D.sign_Data[[#This Row],[UTILIDAD ($COP)]]</f>
        <v>8257.2018208037152</v>
      </c>
      <c r="AC69" s="101">
        <v>0.05</v>
      </c>
      <c r="AD69" s="15">
        <f>+D.sign_Data[[#This Row],[VALOR NETO ($COP)]]/(100%-D.sign_Data[[#This Row],[MARGEN DE NEGOCIACIÓN (%)]])-D.sign_Data[[#This Row],[VALOR NETO ($COP)]]</f>
        <v>434.5895695159852</v>
      </c>
      <c r="AE69" s="15">
        <f>+(D.sign_Data[[#This Row],[VALOR NETO ($COP)]]+D.sign_Data[[#This Row],[NEGOCIACIÓN ($COP)]])*1%</f>
        <v>86.917913903197004</v>
      </c>
      <c r="AF69" s="15">
        <f>+(D.sign_Data[[#This Row],[VALOR NETO ($COP)]]+D.sign_Data[[#This Row],[NEGOCIACIÓN ($COP)]])*1%</f>
        <v>86.917913903197004</v>
      </c>
      <c r="AG69" s="3">
        <f>+D.sign_Data[[#This Row],[VALOR NETO ($COP)]]+D.sign_Data[[#This Row],[NEGOCIACIÓN ($COP)]]+D.sign_Data[[#This Row],[ICA ($COP)]]+D.sign_Data[[#This Row],[4 * 1000 ($COP)]]</f>
        <v>8865.6272181260938</v>
      </c>
    </row>
    <row r="70" spans="1:33" ht="60" hidden="1" customHeight="1" x14ac:dyDescent="0.25">
      <c r="A70" s="14"/>
      <c r="B70" s="87" t="s">
        <v>493</v>
      </c>
      <c r="C70" s="182" t="s">
        <v>494</v>
      </c>
      <c r="D70" s="189" t="str">
        <f>VLOOKUP(D.sign_Data[[#This Row],[CÓDIGO]],Descripciones[[CÓDIGO]:[NOMBRE DE SERVICIO]],3,FALSE)</f>
        <v>D1. Parcelaciones y Condominios</v>
      </c>
      <c r="E70" s="87" t="s">
        <v>467</v>
      </c>
      <c r="F70" s="88" t="s">
        <v>495</v>
      </c>
      <c r="G70" s="88" t="s">
        <v>469</v>
      </c>
      <c r="H70" s="87" t="s">
        <v>448</v>
      </c>
      <c r="I70" s="89">
        <v>1</v>
      </c>
      <c r="J70" s="88" t="s">
        <v>479</v>
      </c>
      <c r="K70" s="102"/>
      <c r="L70" s="88" t="s">
        <v>481</v>
      </c>
      <c r="M70" s="89" t="s">
        <v>472</v>
      </c>
      <c r="N70" s="90">
        <v>0.2</v>
      </c>
      <c r="O70" s="27">
        <f>IFERROR(+VLOOKUP(M70,D.sign_Lista_Data[[RESPONSABLE]:[SOFTWARE 
VALOR HORA]],3,FALSE),"0")</f>
        <v>17730.496453900709</v>
      </c>
      <c r="P70" s="3">
        <f t="shared" si="2"/>
        <v>3546.0992907801419</v>
      </c>
      <c r="Q70" s="11">
        <f>IFERROR(+VLOOKUP(M70,D.sign_Lista_Data[[RESPONSABLE]:[SOFTWARE 
VALOR HORA]],5,FALSE)*D.sign_Data[[#This Row],[TIEMPO (HORAS)]],0)</f>
        <v>675.44748395812223</v>
      </c>
      <c r="R70" s="11">
        <f>IFERROR(+VLOOKUP(M70,D.sign_Lista_Data[[RESPONSABLE]:[SOFTWARE 
VALOR HORA]],8,FALSE)*D.sign_Data[[#This Row],[TIEMPO (HORAS)]],0)</f>
        <v>682.17097742879673</v>
      </c>
      <c r="S70" s="99"/>
      <c r="T70" s="99"/>
      <c r="U70" s="3">
        <f t="shared" si="3"/>
        <v>4903.717752167061</v>
      </c>
      <c r="V70" s="100">
        <f>D.sign_Data[[#This Row],[TIEMPO (HORAS)]]*Gastos_Operativos[[#Totals],[GASTOS HORA]]</f>
        <v>5557.8954144620802</v>
      </c>
      <c r="W70" s="3">
        <f>+D.sign_Data[[#This Row],[COSTO 
DIRECTO ($COP)]]+D.sign_Data[[#This Row],[PRORRATEO GASTOS ($COP)]]</f>
        <v>10461.61316662914</v>
      </c>
      <c r="X70" s="101">
        <v>0.15</v>
      </c>
      <c r="Y70" s="15">
        <f>+D.sign_Data[[#This Row],[COSTOS OPERACIONALES ($COP)]]*D.sign_Data[[#This Row],[DESFASE (%)]]</f>
        <v>1569.241974994371</v>
      </c>
      <c r="Z70" s="101">
        <v>0.3</v>
      </c>
      <c r="AA70" s="15">
        <f>+((D.sign_Data[[#This Row],[COSTOS OPERACIONALES ($COP)]]/(100%-D.sign_Data[[#This Row],[UTILIDAD (%)]])))-D.sign_Data[[#This Row],[COSTOS OPERACIONALES ($COP)]]</f>
        <v>4483.5484999839191</v>
      </c>
      <c r="AB70" s="3">
        <f>+D.sign_Data[[#This Row],[COSTOS OPERACIONALES ($COP)]]+D.sign_Data[[#This Row],[DESFASE ($COP)]]+D.sign_Data[[#This Row],[UTILIDAD ($COP)]]</f>
        <v>16514.40364160743</v>
      </c>
      <c r="AC70" s="101">
        <v>0.05</v>
      </c>
      <c r="AD70" s="15">
        <f>+D.sign_Data[[#This Row],[VALOR NETO ($COP)]]/(100%-D.sign_Data[[#This Row],[MARGEN DE NEGOCIACIÓN (%)]])-D.sign_Data[[#This Row],[VALOR NETO ($COP)]]</f>
        <v>869.17913903197041</v>
      </c>
      <c r="AE70" s="15">
        <f>+(D.sign_Data[[#This Row],[VALOR NETO ($COP)]]+D.sign_Data[[#This Row],[NEGOCIACIÓN ($COP)]])*1%</f>
        <v>173.83582780639401</v>
      </c>
      <c r="AF70" s="15">
        <f>+(D.sign_Data[[#This Row],[VALOR NETO ($COP)]]+D.sign_Data[[#This Row],[NEGOCIACIÓN ($COP)]])*1%</f>
        <v>173.83582780639401</v>
      </c>
      <c r="AG70" s="3">
        <f>+D.sign_Data[[#This Row],[VALOR NETO ($COP)]]+D.sign_Data[[#This Row],[NEGOCIACIÓN ($COP)]]+D.sign_Data[[#This Row],[ICA ($COP)]]+D.sign_Data[[#This Row],[4 * 1000 ($COP)]]</f>
        <v>17731.254436252188</v>
      </c>
    </row>
    <row r="71" spans="1:33" ht="60" hidden="1" customHeight="1" x14ac:dyDescent="0.25">
      <c r="A71" s="14"/>
      <c r="B71" s="87" t="s">
        <v>493</v>
      </c>
      <c r="C71" s="182" t="s">
        <v>494</v>
      </c>
      <c r="D71" s="189" t="str">
        <f>VLOOKUP(D.sign_Data[[#This Row],[CÓDIGO]],Descripciones[[CÓDIGO]:[NOMBRE DE SERVICIO]],3,FALSE)</f>
        <v>D1. Parcelaciones y Condominios</v>
      </c>
      <c r="E71" s="87" t="s">
        <v>467</v>
      </c>
      <c r="F71" s="88" t="s">
        <v>495</v>
      </c>
      <c r="G71" s="88" t="s">
        <v>469</v>
      </c>
      <c r="H71" s="87" t="s">
        <v>448</v>
      </c>
      <c r="I71" s="89">
        <v>1</v>
      </c>
      <c r="J71" s="88" t="s">
        <v>479</v>
      </c>
      <c r="K71" s="102"/>
      <c r="L71" s="88" t="s">
        <v>482</v>
      </c>
      <c r="M71" s="89" t="s">
        <v>472</v>
      </c>
      <c r="N71" s="90">
        <v>0.2</v>
      </c>
      <c r="O71" s="27">
        <f>IFERROR(+VLOOKUP(M71,D.sign_Lista_Data[[RESPONSABLE]:[SOFTWARE 
VALOR HORA]],3,FALSE),"0")</f>
        <v>17730.496453900709</v>
      </c>
      <c r="P71" s="3">
        <f t="shared" si="2"/>
        <v>3546.0992907801419</v>
      </c>
      <c r="Q71" s="11">
        <f>IFERROR(+VLOOKUP(M71,D.sign_Lista_Data[[RESPONSABLE]:[SOFTWARE 
VALOR HORA]],5,FALSE)*D.sign_Data[[#This Row],[TIEMPO (HORAS)]],0)</f>
        <v>675.44748395812223</v>
      </c>
      <c r="R71" s="11">
        <f>IFERROR(+VLOOKUP(M71,D.sign_Lista_Data[[RESPONSABLE]:[SOFTWARE 
VALOR HORA]],8,FALSE)*D.sign_Data[[#This Row],[TIEMPO (HORAS)]],0)</f>
        <v>682.17097742879673</v>
      </c>
      <c r="S71" s="99"/>
      <c r="T71" s="99"/>
      <c r="U71" s="3">
        <f t="shared" si="3"/>
        <v>4903.717752167061</v>
      </c>
      <c r="V71" s="100">
        <f>D.sign_Data[[#This Row],[TIEMPO (HORAS)]]*Gastos_Operativos[[#Totals],[GASTOS HORA]]</f>
        <v>5557.8954144620802</v>
      </c>
      <c r="W71" s="3">
        <f>+D.sign_Data[[#This Row],[COSTO 
DIRECTO ($COP)]]+D.sign_Data[[#This Row],[PRORRATEO GASTOS ($COP)]]</f>
        <v>10461.61316662914</v>
      </c>
      <c r="X71" s="101">
        <v>0.15</v>
      </c>
      <c r="Y71" s="15">
        <f>+D.sign_Data[[#This Row],[COSTOS OPERACIONALES ($COP)]]*D.sign_Data[[#This Row],[DESFASE (%)]]</f>
        <v>1569.241974994371</v>
      </c>
      <c r="Z71" s="101">
        <v>0.3</v>
      </c>
      <c r="AA71" s="15">
        <f>+((D.sign_Data[[#This Row],[COSTOS OPERACIONALES ($COP)]]/(100%-D.sign_Data[[#This Row],[UTILIDAD (%)]])))-D.sign_Data[[#This Row],[COSTOS OPERACIONALES ($COP)]]</f>
        <v>4483.5484999839191</v>
      </c>
      <c r="AB71" s="3">
        <f>+D.sign_Data[[#This Row],[COSTOS OPERACIONALES ($COP)]]+D.sign_Data[[#This Row],[DESFASE ($COP)]]+D.sign_Data[[#This Row],[UTILIDAD ($COP)]]</f>
        <v>16514.40364160743</v>
      </c>
      <c r="AC71" s="101">
        <v>0.05</v>
      </c>
      <c r="AD71" s="15">
        <f>+D.sign_Data[[#This Row],[VALOR NETO ($COP)]]/(100%-D.sign_Data[[#This Row],[MARGEN DE NEGOCIACIÓN (%)]])-D.sign_Data[[#This Row],[VALOR NETO ($COP)]]</f>
        <v>869.17913903197041</v>
      </c>
      <c r="AE71" s="15">
        <f>+(D.sign_Data[[#This Row],[VALOR NETO ($COP)]]+D.sign_Data[[#This Row],[NEGOCIACIÓN ($COP)]])*1%</f>
        <v>173.83582780639401</v>
      </c>
      <c r="AF71" s="15">
        <f>+(D.sign_Data[[#This Row],[VALOR NETO ($COP)]]+D.sign_Data[[#This Row],[NEGOCIACIÓN ($COP)]])*1%</f>
        <v>173.83582780639401</v>
      </c>
      <c r="AG71" s="3">
        <f>+D.sign_Data[[#This Row],[VALOR NETO ($COP)]]+D.sign_Data[[#This Row],[NEGOCIACIÓN ($COP)]]+D.sign_Data[[#This Row],[ICA ($COP)]]+D.sign_Data[[#This Row],[4 * 1000 ($COP)]]</f>
        <v>17731.254436252188</v>
      </c>
    </row>
    <row r="72" spans="1:33" ht="60" hidden="1" customHeight="1" x14ac:dyDescent="0.25">
      <c r="A72" s="14"/>
      <c r="B72" s="87" t="s">
        <v>493</v>
      </c>
      <c r="C72" s="182" t="s">
        <v>494</v>
      </c>
      <c r="D72" s="189" t="str">
        <f>VLOOKUP(D.sign_Data[[#This Row],[CÓDIGO]],Descripciones[[CÓDIGO]:[NOMBRE DE SERVICIO]],3,FALSE)</f>
        <v>D1. Parcelaciones y Condominios</v>
      </c>
      <c r="E72" s="87" t="s">
        <v>467</v>
      </c>
      <c r="F72" s="88" t="s">
        <v>495</v>
      </c>
      <c r="G72" s="88" t="s">
        <v>469</v>
      </c>
      <c r="H72" s="87" t="s">
        <v>448</v>
      </c>
      <c r="I72" s="89">
        <v>1</v>
      </c>
      <c r="J72" s="88" t="s">
        <v>479</v>
      </c>
      <c r="K72" s="102"/>
      <c r="L72" s="88" t="s">
        <v>483</v>
      </c>
      <c r="M72" s="89" t="s">
        <v>472</v>
      </c>
      <c r="N72" s="90">
        <v>0.1</v>
      </c>
      <c r="O72" s="27">
        <f>IFERROR(+VLOOKUP(M72,D.sign_Lista_Data[[RESPONSABLE]:[SOFTWARE 
VALOR HORA]],3,FALSE),"0")</f>
        <v>17730.496453900709</v>
      </c>
      <c r="P72" s="3">
        <f t="shared" si="2"/>
        <v>1773.049645390071</v>
      </c>
      <c r="Q72" s="11">
        <f>IFERROR(+VLOOKUP(M72,D.sign_Lista_Data[[RESPONSABLE]:[SOFTWARE 
VALOR HORA]],5,FALSE)*D.sign_Data[[#This Row],[TIEMPO (HORAS)]],0)</f>
        <v>337.72374197906112</v>
      </c>
      <c r="R72" s="11">
        <f>IFERROR(+VLOOKUP(M72,D.sign_Lista_Data[[RESPONSABLE]:[SOFTWARE 
VALOR HORA]],8,FALSE)*D.sign_Data[[#This Row],[TIEMPO (HORAS)]],0)</f>
        <v>341.08548871439837</v>
      </c>
      <c r="S72" s="99"/>
      <c r="T72" s="99"/>
      <c r="U72" s="3">
        <f t="shared" si="3"/>
        <v>2451.8588760835305</v>
      </c>
      <c r="V72" s="100">
        <f>D.sign_Data[[#This Row],[TIEMPO (HORAS)]]*Gastos_Operativos[[#Totals],[GASTOS HORA]]</f>
        <v>2778.9477072310401</v>
      </c>
      <c r="W72" s="3">
        <f>+D.sign_Data[[#This Row],[COSTO 
DIRECTO ($COP)]]+D.sign_Data[[#This Row],[PRORRATEO GASTOS ($COP)]]</f>
        <v>5230.8065833145702</v>
      </c>
      <c r="X72" s="101">
        <v>0.15</v>
      </c>
      <c r="Y72" s="15">
        <f>+D.sign_Data[[#This Row],[COSTOS OPERACIONALES ($COP)]]*D.sign_Data[[#This Row],[DESFASE (%)]]</f>
        <v>784.62098749718552</v>
      </c>
      <c r="Z72" s="101">
        <v>0.3</v>
      </c>
      <c r="AA72" s="15">
        <f>+((D.sign_Data[[#This Row],[COSTOS OPERACIONALES ($COP)]]/(100%-D.sign_Data[[#This Row],[UTILIDAD (%)]])))-D.sign_Data[[#This Row],[COSTOS OPERACIONALES ($COP)]]</f>
        <v>2241.7742499919596</v>
      </c>
      <c r="AB72" s="3">
        <f>+D.sign_Data[[#This Row],[COSTOS OPERACIONALES ($COP)]]+D.sign_Data[[#This Row],[DESFASE ($COP)]]+D.sign_Data[[#This Row],[UTILIDAD ($COP)]]</f>
        <v>8257.2018208037152</v>
      </c>
      <c r="AC72" s="101">
        <v>0.05</v>
      </c>
      <c r="AD72" s="15">
        <f>+D.sign_Data[[#This Row],[VALOR NETO ($COP)]]/(100%-D.sign_Data[[#This Row],[MARGEN DE NEGOCIACIÓN (%)]])-D.sign_Data[[#This Row],[VALOR NETO ($COP)]]</f>
        <v>434.5895695159852</v>
      </c>
      <c r="AE72" s="15">
        <f>+(D.sign_Data[[#This Row],[VALOR NETO ($COP)]]+D.sign_Data[[#This Row],[NEGOCIACIÓN ($COP)]])*1%</f>
        <v>86.917913903197004</v>
      </c>
      <c r="AF72" s="15">
        <f>+(D.sign_Data[[#This Row],[VALOR NETO ($COP)]]+D.sign_Data[[#This Row],[NEGOCIACIÓN ($COP)]])*1%</f>
        <v>86.917913903197004</v>
      </c>
      <c r="AG72" s="3">
        <f>+D.sign_Data[[#This Row],[VALOR NETO ($COP)]]+D.sign_Data[[#This Row],[NEGOCIACIÓN ($COP)]]+D.sign_Data[[#This Row],[ICA ($COP)]]+D.sign_Data[[#This Row],[4 * 1000 ($COP)]]</f>
        <v>8865.6272181260938</v>
      </c>
    </row>
    <row r="73" spans="1:33" ht="60" hidden="1" customHeight="1" x14ac:dyDescent="0.25">
      <c r="A73" s="14"/>
      <c r="B73" s="87" t="s">
        <v>493</v>
      </c>
      <c r="C73" s="182" t="s">
        <v>494</v>
      </c>
      <c r="D73" s="189" t="str">
        <f>VLOOKUP(D.sign_Data[[#This Row],[CÓDIGO]],Descripciones[[CÓDIGO]:[NOMBRE DE SERVICIO]],3,FALSE)</f>
        <v>D1. Parcelaciones y Condominios</v>
      </c>
      <c r="E73" s="87" t="s">
        <v>467</v>
      </c>
      <c r="F73" s="88" t="s">
        <v>495</v>
      </c>
      <c r="G73" s="88" t="s">
        <v>469</v>
      </c>
      <c r="H73" s="87" t="s">
        <v>448</v>
      </c>
      <c r="I73" s="89">
        <v>1</v>
      </c>
      <c r="J73" s="88" t="s">
        <v>479</v>
      </c>
      <c r="K73" s="102"/>
      <c r="L73" s="88" t="s">
        <v>478</v>
      </c>
      <c r="M73" s="89" t="s">
        <v>472</v>
      </c>
      <c r="N73" s="90">
        <v>0.5</v>
      </c>
      <c r="O73" s="27">
        <f>IFERROR(+VLOOKUP(M73,D.sign_Lista_Data[[RESPONSABLE]:[SOFTWARE 
VALOR HORA]],3,FALSE),"0")</f>
        <v>17730.496453900709</v>
      </c>
      <c r="P73" s="3">
        <f t="shared" si="2"/>
        <v>8865.2482269503544</v>
      </c>
      <c r="Q73" s="11">
        <f>IFERROR(+VLOOKUP(M73,D.sign_Lista_Data[[RESPONSABLE]:[SOFTWARE 
VALOR HORA]],5,FALSE)*D.sign_Data[[#This Row],[TIEMPO (HORAS)]],0)</f>
        <v>1688.6187098953055</v>
      </c>
      <c r="R73" s="11">
        <f>IFERROR(+VLOOKUP(M73,D.sign_Lista_Data[[RESPONSABLE]:[SOFTWARE 
VALOR HORA]],8,FALSE)*D.sign_Data[[#This Row],[TIEMPO (HORAS)]],0)</f>
        <v>1705.4274435719917</v>
      </c>
      <c r="S73" s="99"/>
      <c r="T73" s="99"/>
      <c r="U73" s="3">
        <f t="shared" si="3"/>
        <v>12259.29438041765</v>
      </c>
      <c r="V73" s="100">
        <f>D.sign_Data[[#This Row],[TIEMPO (HORAS)]]*Gastos_Operativos[[#Totals],[GASTOS HORA]]</f>
        <v>13894.738536155201</v>
      </c>
      <c r="W73" s="3">
        <f>+D.sign_Data[[#This Row],[COSTO 
DIRECTO ($COP)]]+D.sign_Data[[#This Row],[PRORRATEO GASTOS ($COP)]]</f>
        <v>26154.032916572851</v>
      </c>
      <c r="X73" s="101">
        <v>0.15</v>
      </c>
      <c r="Y73" s="15">
        <f>+D.sign_Data[[#This Row],[COSTOS OPERACIONALES ($COP)]]*D.sign_Data[[#This Row],[DESFASE (%)]]</f>
        <v>3923.1049374859276</v>
      </c>
      <c r="Z73" s="101">
        <v>0.3</v>
      </c>
      <c r="AA73" s="15">
        <f>+((D.sign_Data[[#This Row],[COSTOS OPERACIONALES ($COP)]]/(100%-D.sign_Data[[#This Row],[UTILIDAD (%)]])))-D.sign_Data[[#This Row],[COSTOS OPERACIONALES ($COP)]]</f>
        <v>11208.871249959793</v>
      </c>
      <c r="AB73" s="3">
        <f>+D.sign_Data[[#This Row],[COSTOS OPERACIONALES ($COP)]]+D.sign_Data[[#This Row],[DESFASE ($COP)]]+D.sign_Data[[#This Row],[UTILIDAD ($COP)]]</f>
        <v>41286.009104018573</v>
      </c>
      <c r="AC73" s="101">
        <v>0.05</v>
      </c>
      <c r="AD73" s="15">
        <f>+D.sign_Data[[#This Row],[VALOR NETO ($COP)]]/(100%-D.sign_Data[[#This Row],[MARGEN DE NEGOCIACIÓN (%)]])-D.sign_Data[[#This Row],[VALOR NETO ($COP)]]</f>
        <v>2172.947847579926</v>
      </c>
      <c r="AE73" s="15">
        <f>+(D.sign_Data[[#This Row],[VALOR NETO ($COP)]]+D.sign_Data[[#This Row],[NEGOCIACIÓN ($COP)]])*1%</f>
        <v>434.58956951598498</v>
      </c>
      <c r="AF73" s="15">
        <f>+(D.sign_Data[[#This Row],[VALOR NETO ($COP)]]+D.sign_Data[[#This Row],[NEGOCIACIÓN ($COP)]])*1%</f>
        <v>434.58956951598498</v>
      </c>
      <c r="AG73" s="3">
        <f>+D.sign_Data[[#This Row],[VALOR NETO ($COP)]]+D.sign_Data[[#This Row],[NEGOCIACIÓN ($COP)]]+D.sign_Data[[#This Row],[ICA ($COP)]]+D.sign_Data[[#This Row],[4 * 1000 ($COP)]]</f>
        <v>44328.136090630469</v>
      </c>
    </row>
    <row r="74" spans="1:33" ht="60" hidden="1" customHeight="1" x14ac:dyDescent="0.25">
      <c r="A74" s="14"/>
      <c r="B74" s="87" t="s">
        <v>493</v>
      </c>
      <c r="C74" s="182" t="s">
        <v>494</v>
      </c>
      <c r="D74" s="189" t="str">
        <f>VLOOKUP(D.sign_Data[[#This Row],[CÓDIGO]],Descripciones[[CÓDIGO]:[NOMBRE DE SERVICIO]],3,FALSE)</f>
        <v>D1. Parcelaciones y Condominios</v>
      </c>
      <c r="E74" s="87" t="s">
        <v>467</v>
      </c>
      <c r="F74" s="88" t="s">
        <v>495</v>
      </c>
      <c r="G74" s="88" t="s">
        <v>469</v>
      </c>
      <c r="H74" s="87" t="s">
        <v>448</v>
      </c>
      <c r="I74" s="89">
        <v>1</v>
      </c>
      <c r="J74" s="88" t="s">
        <v>479</v>
      </c>
      <c r="K74" s="102"/>
      <c r="L74" s="88" t="s">
        <v>474</v>
      </c>
      <c r="M74" s="89" t="s">
        <v>472</v>
      </c>
      <c r="N74" s="90">
        <v>0.21</v>
      </c>
      <c r="O74" s="27">
        <f>IFERROR(+VLOOKUP(M74,D.sign_Lista_Data[[RESPONSABLE]:[SOFTWARE 
VALOR HORA]],3,FALSE),"0")</f>
        <v>17730.496453900709</v>
      </c>
      <c r="P74" s="3">
        <f t="shared" si="2"/>
        <v>3723.4042553191489</v>
      </c>
      <c r="Q74" s="11">
        <f>IFERROR(+VLOOKUP(M74,D.sign_Lista_Data[[RESPONSABLE]:[SOFTWARE 
VALOR HORA]],5,FALSE)*D.sign_Data[[#This Row],[TIEMPO (HORAS)]],0)</f>
        <v>709.21985815602829</v>
      </c>
      <c r="R74" s="11">
        <f>IFERROR(+VLOOKUP(M74,D.sign_Lista_Data[[RESPONSABLE]:[SOFTWARE 
VALOR HORA]],8,FALSE)*D.sign_Data[[#This Row],[TIEMPO (HORAS)]],0)</f>
        <v>716.27952630023651</v>
      </c>
      <c r="S74" s="99"/>
      <c r="T74" s="99"/>
      <c r="U74" s="3">
        <f t="shared" si="3"/>
        <v>5148.9036397754135</v>
      </c>
      <c r="V74" s="100">
        <f>D.sign_Data[[#This Row],[TIEMPO (HORAS)]]*Gastos_Operativos[[#Totals],[GASTOS HORA]]</f>
        <v>5835.7901851851839</v>
      </c>
      <c r="W74" s="3">
        <f>+D.sign_Data[[#This Row],[COSTO 
DIRECTO ($COP)]]+D.sign_Data[[#This Row],[PRORRATEO GASTOS ($COP)]]</f>
        <v>10984.693824960597</v>
      </c>
      <c r="X74" s="101">
        <v>0.15</v>
      </c>
      <c r="Y74" s="15">
        <f>+D.sign_Data[[#This Row],[COSTOS OPERACIONALES ($COP)]]*D.sign_Data[[#This Row],[DESFASE (%)]]</f>
        <v>1647.7040737440896</v>
      </c>
      <c r="Z74" s="101">
        <v>0.3</v>
      </c>
      <c r="AA74" s="15">
        <f>+((D.sign_Data[[#This Row],[COSTOS OPERACIONALES ($COP)]]/(100%-D.sign_Data[[#This Row],[UTILIDAD (%)]])))-D.sign_Data[[#This Row],[COSTOS OPERACIONALES ($COP)]]</f>
        <v>4707.725924983115</v>
      </c>
      <c r="AB74" s="3">
        <f>+D.sign_Data[[#This Row],[COSTOS OPERACIONALES ($COP)]]+D.sign_Data[[#This Row],[DESFASE ($COP)]]+D.sign_Data[[#This Row],[UTILIDAD ($COP)]]</f>
        <v>17340.123823687802</v>
      </c>
      <c r="AC74" s="101">
        <v>0.05</v>
      </c>
      <c r="AD74" s="15">
        <f>+D.sign_Data[[#This Row],[VALOR NETO ($COP)]]/(100%-D.sign_Data[[#This Row],[MARGEN DE NEGOCIACIÓN (%)]])-D.sign_Data[[#This Row],[VALOR NETO ($COP)]]</f>
        <v>912.63809598356966</v>
      </c>
      <c r="AE74" s="15">
        <f>+(D.sign_Data[[#This Row],[VALOR NETO ($COP)]]+D.sign_Data[[#This Row],[NEGOCIACIÓN ($COP)]])*1%</f>
        <v>182.52761919671372</v>
      </c>
      <c r="AF74" s="15">
        <f>+(D.sign_Data[[#This Row],[VALOR NETO ($COP)]]+D.sign_Data[[#This Row],[NEGOCIACIÓN ($COP)]])*1%</f>
        <v>182.52761919671372</v>
      </c>
      <c r="AG74" s="3">
        <f>+D.sign_Data[[#This Row],[VALOR NETO ($COP)]]+D.sign_Data[[#This Row],[NEGOCIACIÓN ($COP)]]+D.sign_Data[[#This Row],[ICA ($COP)]]+D.sign_Data[[#This Row],[4 * 1000 ($COP)]]</f>
        <v>18617.817158064798</v>
      </c>
    </row>
    <row r="75" spans="1:33" ht="60" hidden="1" customHeight="1" x14ac:dyDescent="0.25">
      <c r="A75" s="14"/>
      <c r="B75" s="87" t="s">
        <v>493</v>
      </c>
      <c r="C75" s="182" t="s">
        <v>494</v>
      </c>
      <c r="D75" s="189" t="str">
        <f>VLOOKUP(D.sign_Data[[#This Row],[CÓDIGO]],Descripciones[[CÓDIGO]:[NOMBRE DE SERVICIO]],3,FALSE)</f>
        <v>D1. Parcelaciones y Condominios</v>
      </c>
      <c r="E75" s="87" t="s">
        <v>467</v>
      </c>
      <c r="F75" s="88" t="s">
        <v>495</v>
      </c>
      <c r="G75" s="88" t="s">
        <v>469</v>
      </c>
      <c r="H75" s="87" t="s">
        <v>448</v>
      </c>
      <c r="I75" s="89">
        <v>1</v>
      </c>
      <c r="J75" s="88" t="s">
        <v>484</v>
      </c>
      <c r="K75" s="102"/>
      <c r="L75" s="88" t="s">
        <v>485</v>
      </c>
      <c r="M75" s="89" t="s">
        <v>472</v>
      </c>
      <c r="N75" s="90">
        <v>0.5</v>
      </c>
      <c r="O75" s="27">
        <f>IFERROR(+VLOOKUP(M75,D.sign_Lista_Data[[RESPONSABLE]:[SOFTWARE 
VALOR HORA]],3,FALSE),"0")</f>
        <v>17730.496453900709</v>
      </c>
      <c r="P75" s="3">
        <f t="shared" si="2"/>
        <v>8865.2482269503544</v>
      </c>
      <c r="Q75" s="11">
        <f>IFERROR(+VLOOKUP(M75,D.sign_Lista_Data[[RESPONSABLE]:[SOFTWARE 
VALOR HORA]],5,FALSE)*D.sign_Data[[#This Row],[TIEMPO (HORAS)]],0)</f>
        <v>1688.6187098953055</v>
      </c>
      <c r="R75" s="11">
        <f>IFERROR(+VLOOKUP(M75,D.sign_Lista_Data[[RESPONSABLE]:[SOFTWARE 
VALOR HORA]],8,FALSE)*D.sign_Data[[#This Row],[TIEMPO (HORAS)]],0)</f>
        <v>1705.4274435719917</v>
      </c>
      <c r="S75" s="99"/>
      <c r="T75" s="99"/>
      <c r="U75" s="3">
        <f t="shared" si="3"/>
        <v>12259.29438041765</v>
      </c>
      <c r="V75" s="100">
        <f>D.sign_Data[[#This Row],[TIEMPO (HORAS)]]*Gastos_Operativos[[#Totals],[GASTOS HORA]]</f>
        <v>13894.738536155201</v>
      </c>
      <c r="W75" s="3">
        <f>+D.sign_Data[[#This Row],[COSTO 
DIRECTO ($COP)]]+D.sign_Data[[#This Row],[PRORRATEO GASTOS ($COP)]]</f>
        <v>26154.032916572851</v>
      </c>
      <c r="X75" s="101">
        <v>0.15</v>
      </c>
      <c r="Y75" s="15">
        <f>+D.sign_Data[[#This Row],[COSTOS OPERACIONALES ($COP)]]*D.sign_Data[[#This Row],[DESFASE (%)]]</f>
        <v>3923.1049374859276</v>
      </c>
      <c r="Z75" s="101">
        <v>0.3</v>
      </c>
      <c r="AA75" s="15">
        <f>+((D.sign_Data[[#This Row],[COSTOS OPERACIONALES ($COP)]]/(100%-D.sign_Data[[#This Row],[UTILIDAD (%)]])))-D.sign_Data[[#This Row],[COSTOS OPERACIONALES ($COP)]]</f>
        <v>11208.871249959793</v>
      </c>
      <c r="AB75" s="3">
        <f>+D.sign_Data[[#This Row],[COSTOS OPERACIONALES ($COP)]]+D.sign_Data[[#This Row],[DESFASE ($COP)]]+D.sign_Data[[#This Row],[UTILIDAD ($COP)]]</f>
        <v>41286.009104018573</v>
      </c>
      <c r="AC75" s="101">
        <v>0.05</v>
      </c>
      <c r="AD75" s="15">
        <f>+D.sign_Data[[#This Row],[VALOR NETO ($COP)]]/(100%-D.sign_Data[[#This Row],[MARGEN DE NEGOCIACIÓN (%)]])-D.sign_Data[[#This Row],[VALOR NETO ($COP)]]</f>
        <v>2172.947847579926</v>
      </c>
      <c r="AE75" s="15">
        <f>+(D.sign_Data[[#This Row],[VALOR NETO ($COP)]]+D.sign_Data[[#This Row],[NEGOCIACIÓN ($COP)]])*1%</f>
        <v>434.58956951598498</v>
      </c>
      <c r="AF75" s="15">
        <f>+(D.sign_Data[[#This Row],[VALOR NETO ($COP)]]+D.sign_Data[[#This Row],[NEGOCIACIÓN ($COP)]])*1%</f>
        <v>434.58956951598498</v>
      </c>
      <c r="AG75" s="3">
        <f>+D.sign_Data[[#This Row],[VALOR NETO ($COP)]]+D.sign_Data[[#This Row],[NEGOCIACIÓN ($COP)]]+D.sign_Data[[#This Row],[ICA ($COP)]]+D.sign_Data[[#This Row],[4 * 1000 ($COP)]]</f>
        <v>44328.136090630469</v>
      </c>
    </row>
    <row r="76" spans="1:33" ht="60" hidden="1" customHeight="1" x14ac:dyDescent="0.25">
      <c r="A76" s="14"/>
      <c r="B76" s="87" t="s">
        <v>493</v>
      </c>
      <c r="C76" s="182" t="s">
        <v>494</v>
      </c>
      <c r="D76" s="189" t="str">
        <f>VLOOKUP(D.sign_Data[[#This Row],[CÓDIGO]],Descripciones[[CÓDIGO]:[NOMBRE DE SERVICIO]],3,FALSE)</f>
        <v>D1. Parcelaciones y Condominios</v>
      </c>
      <c r="E76" s="87" t="s">
        <v>467</v>
      </c>
      <c r="F76" s="88" t="s">
        <v>495</v>
      </c>
      <c r="G76" s="88" t="s">
        <v>469</v>
      </c>
      <c r="H76" s="87" t="s">
        <v>448</v>
      </c>
      <c r="I76" s="89">
        <v>1</v>
      </c>
      <c r="J76" s="88" t="s">
        <v>484</v>
      </c>
      <c r="K76" s="102"/>
      <c r="L76" s="88" t="s">
        <v>486</v>
      </c>
      <c r="M76" s="89" t="s">
        <v>472</v>
      </c>
      <c r="N76" s="90">
        <v>0.5</v>
      </c>
      <c r="O76" s="27">
        <f>IFERROR(+VLOOKUP(M76,D.sign_Lista_Data[[RESPONSABLE]:[SOFTWARE 
VALOR HORA]],3,FALSE),"0")</f>
        <v>17730.496453900709</v>
      </c>
      <c r="P76" s="3">
        <f t="shared" si="2"/>
        <v>8865.2482269503544</v>
      </c>
      <c r="Q76" s="11">
        <f>IFERROR(+VLOOKUP(M76,D.sign_Lista_Data[[RESPONSABLE]:[SOFTWARE 
VALOR HORA]],5,FALSE)*D.sign_Data[[#This Row],[TIEMPO (HORAS)]],0)</f>
        <v>1688.6187098953055</v>
      </c>
      <c r="R76" s="11">
        <f>IFERROR(+VLOOKUP(M76,D.sign_Lista_Data[[RESPONSABLE]:[SOFTWARE 
VALOR HORA]],8,FALSE)*D.sign_Data[[#This Row],[TIEMPO (HORAS)]],0)</f>
        <v>1705.4274435719917</v>
      </c>
      <c r="S76" s="99"/>
      <c r="T76" s="99"/>
      <c r="U76" s="3">
        <f t="shared" si="3"/>
        <v>12259.29438041765</v>
      </c>
      <c r="V76" s="100">
        <f>D.sign_Data[[#This Row],[TIEMPO (HORAS)]]*Gastos_Operativos[[#Totals],[GASTOS HORA]]</f>
        <v>13894.738536155201</v>
      </c>
      <c r="W76" s="3">
        <f>+D.sign_Data[[#This Row],[COSTO 
DIRECTO ($COP)]]+D.sign_Data[[#This Row],[PRORRATEO GASTOS ($COP)]]</f>
        <v>26154.032916572851</v>
      </c>
      <c r="X76" s="101">
        <v>0.15</v>
      </c>
      <c r="Y76" s="15">
        <f>+D.sign_Data[[#This Row],[COSTOS OPERACIONALES ($COP)]]*D.sign_Data[[#This Row],[DESFASE (%)]]</f>
        <v>3923.1049374859276</v>
      </c>
      <c r="Z76" s="101">
        <v>0.3</v>
      </c>
      <c r="AA76" s="15">
        <f>+((D.sign_Data[[#This Row],[COSTOS OPERACIONALES ($COP)]]/(100%-D.sign_Data[[#This Row],[UTILIDAD (%)]])))-D.sign_Data[[#This Row],[COSTOS OPERACIONALES ($COP)]]</f>
        <v>11208.871249959793</v>
      </c>
      <c r="AB76" s="3">
        <f>+D.sign_Data[[#This Row],[COSTOS OPERACIONALES ($COP)]]+D.sign_Data[[#This Row],[DESFASE ($COP)]]+D.sign_Data[[#This Row],[UTILIDAD ($COP)]]</f>
        <v>41286.009104018573</v>
      </c>
      <c r="AC76" s="101">
        <v>0.05</v>
      </c>
      <c r="AD76" s="15">
        <f>+D.sign_Data[[#This Row],[VALOR NETO ($COP)]]/(100%-D.sign_Data[[#This Row],[MARGEN DE NEGOCIACIÓN (%)]])-D.sign_Data[[#This Row],[VALOR NETO ($COP)]]</f>
        <v>2172.947847579926</v>
      </c>
      <c r="AE76" s="15">
        <f>+(D.sign_Data[[#This Row],[VALOR NETO ($COP)]]+D.sign_Data[[#This Row],[NEGOCIACIÓN ($COP)]])*1%</f>
        <v>434.58956951598498</v>
      </c>
      <c r="AF76" s="15">
        <f>+(D.sign_Data[[#This Row],[VALOR NETO ($COP)]]+D.sign_Data[[#This Row],[NEGOCIACIÓN ($COP)]])*1%</f>
        <v>434.58956951598498</v>
      </c>
      <c r="AG76" s="3">
        <f>+D.sign_Data[[#This Row],[VALOR NETO ($COP)]]+D.sign_Data[[#This Row],[NEGOCIACIÓN ($COP)]]+D.sign_Data[[#This Row],[ICA ($COP)]]+D.sign_Data[[#This Row],[4 * 1000 ($COP)]]</f>
        <v>44328.136090630469</v>
      </c>
    </row>
    <row r="77" spans="1:33" ht="60" hidden="1" customHeight="1" x14ac:dyDescent="0.25">
      <c r="A77" s="14"/>
      <c r="B77" s="87" t="s">
        <v>493</v>
      </c>
      <c r="C77" s="182" t="s">
        <v>494</v>
      </c>
      <c r="D77" s="189" t="str">
        <f>VLOOKUP(D.sign_Data[[#This Row],[CÓDIGO]],Descripciones[[CÓDIGO]:[NOMBRE DE SERVICIO]],3,FALSE)</f>
        <v>D1. Parcelaciones y Condominios</v>
      </c>
      <c r="E77" s="87" t="s">
        <v>467</v>
      </c>
      <c r="F77" s="88" t="s">
        <v>495</v>
      </c>
      <c r="G77" s="88" t="s">
        <v>469</v>
      </c>
      <c r="H77" s="87" t="s">
        <v>448</v>
      </c>
      <c r="I77" s="89">
        <v>1</v>
      </c>
      <c r="J77" s="88" t="s">
        <v>484</v>
      </c>
      <c r="K77" s="102"/>
      <c r="L77" s="88" t="s">
        <v>471</v>
      </c>
      <c r="M77" s="89" t="s">
        <v>472</v>
      </c>
      <c r="N77" s="90">
        <v>0.2</v>
      </c>
      <c r="O77" s="27">
        <f>IFERROR(+VLOOKUP(M77,D.sign_Lista_Data[[RESPONSABLE]:[SOFTWARE 
VALOR HORA]],3,FALSE),"0")</f>
        <v>17730.496453900709</v>
      </c>
      <c r="P77" s="3">
        <f t="shared" si="2"/>
        <v>3546.0992907801419</v>
      </c>
      <c r="Q77" s="11">
        <f>IFERROR(+VLOOKUP(M77,D.sign_Lista_Data[[RESPONSABLE]:[SOFTWARE 
VALOR HORA]],5,FALSE)*D.sign_Data[[#This Row],[TIEMPO (HORAS)]],0)</f>
        <v>675.44748395812223</v>
      </c>
      <c r="R77" s="11">
        <f>IFERROR(+VLOOKUP(M77,D.sign_Lista_Data[[RESPONSABLE]:[SOFTWARE 
VALOR HORA]],8,FALSE)*D.sign_Data[[#This Row],[TIEMPO (HORAS)]],0)</f>
        <v>682.17097742879673</v>
      </c>
      <c r="S77" s="99"/>
      <c r="T77" s="99"/>
      <c r="U77" s="3">
        <f t="shared" si="3"/>
        <v>4903.717752167061</v>
      </c>
      <c r="V77" s="100">
        <f>D.sign_Data[[#This Row],[TIEMPO (HORAS)]]*Gastos_Operativos[[#Totals],[GASTOS HORA]]</f>
        <v>5557.8954144620802</v>
      </c>
      <c r="W77" s="3">
        <f>+D.sign_Data[[#This Row],[COSTO 
DIRECTO ($COP)]]+D.sign_Data[[#This Row],[PRORRATEO GASTOS ($COP)]]</f>
        <v>10461.61316662914</v>
      </c>
      <c r="X77" s="101">
        <v>0.15</v>
      </c>
      <c r="Y77" s="15">
        <f>+D.sign_Data[[#This Row],[COSTOS OPERACIONALES ($COP)]]*D.sign_Data[[#This Row],[DESFASE (%)]]</f>
        <v>1569.241974994371</v>
      </c>
      <c r="Z77" s="101">
        <v>0.3</v>
      </c>
      <c r="AA77" s="15">
        <f>+((D.sign_Data[[#This Row],[COSTOS OPERACIONALES ($COP)]]/(100%-D.sign_Data[[#This Row],[UTILIDAD (%)]])))-D.sign_Data[[#This Row],[COSTOS OPERACIONALES ($COP)]]</f>
        <v>4483.5484999839191</v>
      </c>
      <c r="AB77" s="3">
        <f>+D.sign_Data[[#This Row],[COSTOS OPERACIONALES ($COP)]]+D.sign_Data[[#This Row],[DESFASE ($COP)]]+D.sign_Data[[#This Row],[UTILIDAD ($COP)]]</f>
        <v>16514.40364160743</v>
      </c>
      <c r="AC77" s="101">
        <v>0.05</v>
      </c>
      <c r="AD77" s="15">
        <f>+D.sign_Data[[#This Row],[VALOR NETO ($COP)]]/(100%-D.sign_Data[[#This Row],[MARGEN DE NEGOCIACIÓN (%)]])-D.sign_Data[[#This Row],[VALOR NETO ($COP)]]</f>
        <v>869.17913903197041</v>
      </c>
      <c r="AE77" s="15">
        <f>+(D.sign_Data[[#This Row],[VALOR NETO ($COP)]]+D.sign_Data[[#This Row],[NEGOCIACIÓN ($COP)]])*1%</f>
        <v>173.83582780639401</v>
      </c>
      <c r="AF77" s="15">
        <f>+(D.sign_Data[[#This Row],[VALOR NETO ($COP)]]+D.sign_Data[[#This Row],[NEGOCIACIÓN ($COP)]])*1%</f>
        <v>173.83582780639401</v>
      </c>
      <c r="AG77" s="3">
        <f>+D.sign_Data[[#This Row],[VALOR NETO ($COP)]]+D.sign_Data[[#This Row],[NEGOCIACIÓN ($COP)]]+D.sign_Data[[#This Row],[ICA ($COP)]]+D.sign_Data[[#This Row],[4 * 1000 ($COP)]]</f>
        <v>17731.254436252188</v>
      </c>
    </row>
    <row r="78" spans="1:33" ht="60" hidden="1" customHeight="1" x14ac:dyDescent="0.25">
      <c r="A78" s="14"/>
      <c r="B78" s="87" t="s">
        <v>493</v>
      </c>
      <c r="C78" s="182" t="s">
        <v>494</v>
      </c>
      <c r="D78" s="189" t="str">
        <f>VLOOKUP(D.sign_Data[[#This Row],[CÓDIGO]],Descripciones[[CÓDIGO]:[NOMBRE DE SERVICIO]],3,FALSE)</f>
        <v>D1. Parcelaciones y Condominios</v>
      </c>
      <c r="E78" s="87" t="s">
        <v>467</v>
      </c>
      <c r="F78" s="88" t="s">
        <v>495</v>
      </c>
      <c r="G78" s="88" t="s">
        <v>469</v>
      </c>
      <c r="H78" s="87" t="s">
        <v>448</v>
      </c>
      <c r="I78" s="89">
        <v>1</v>
      </c>
      <c r="J78" s="88" t="s">
        <v>484</v>
      </c>
      <c r="K78" s="102"/>
      <c r="L78" s="88" t="s">
        <v>473</v>
      </c>
      <c r="M78" s="89" t="s">
        <v>472</v>
      </c>
      <c r="N78" s="90">
        <v>0.1</v>
      </c>
      <c r="O78" s="27">
        <f>IFERROR(+VLOOKUP(M78,D.sign_Lista_Data[[RESPONSABLE]:[SOFTWARE 
VALOR HORA]],3,FALSE),"0")</f>
        <v>17730.496453900709</v>
      </c>
      <c r="P78" s="3">
        <f t="shared" si="2"/>
        <v>1773.049645390071</v>
      </c>
      <c r="Q78" s="11">
        <f>IFERROR(+VLOOKUP(M78,D.sign_Lista_Data[[RESPONSABLE]:[SOFTWARE 
VALOR HORA]],5,FALSE)*D.sign_Data[[#This Row],[TIEMPO (HORAS)]],0)</f>
        <v>337.72374197906112</v>
      </c>
      <c r="R78" s="11">
        <f>IFERROR(+VLOOKUP(M78,D.sign_Lista_Data[[RESPONSABLE]:[SOFTWARE 
VALOR HORA]],8,FALSE)*D.sign_Data[[#This Row],[TIEMPO (HORAS)]],0)</f>
        <v>341.08548871439837</v>
      </c>
      <c r="S78" s="99"/>
      <c r="T78" s="99"/>
      <c r="U78" s="3">
        <f t="shared" si="3"/>
        <v>2451.8588760835305</v>
      </c>
      <c r="V78" s="100">
        <f>D.sign_Data[[#This Row],[TIEMPO (HORAS)]]*Gastos_Operativos[[#Totals],[GASTOS HORA]]</f>
        <v>2778.9477072310401</v>
      </c>
      <c r="W78" s="3">
        <f>+D.sign_Data[[#This Row],[COSTO 
DIRECTO ($COP)]]+D.sign_Data[[#This Row],[PRORRATEO GASTOS ($COP)]]</f>
        <v>5230.8065833145702</v>
      </c>
      <c r="X78" s="101">
        <v>0.15</v>
      </c>
      <c r="Y78" s="15">
        <f>+D.sign_Data[[#This Row],[COSTOS OPERACIONALES ($COP)]]*D.sign_Data[[#This Row],[DESFASE (%)]]</f>
        <v>784.62098749718552</v>
      </c>
      <c r="Z78" s="101">
        <v>0.3</v>
      </c>
      <c r="AA78" s="15">
        <f>+((D.sign_Data[[#This Row],[COSTOS OPERACIONALES ($COP)]]/(100%-D.sign_Data[[#This Row],[UTILIDAD (%)]])))-D.sign_Data[[#This Row],[COSTOS OPERACIONALES ($COP)]]</f>
        <v>2241.7742499919596</v>
      </c>
      <c r="AB78" s="3">
        <f>+D.sign_Data[[#This Row],[COSTOS OPERACIONALES ($COP)]]+D.sign_Data[[#This Row],[DESFASE ($COP)]]+D.sign_Data[[#This Row],[UTILIDAD ($COP)]]</f>
        <v>8257.2018208037152</v>
      </c>
      <c r="AC78" s="101">
        <v>0.05</v>
      </c>
      <c r="AD78" s="15">
        <f>+D.sign_Data[[#This Row],[VALOR NETO ($COP)]]/(100%-D.sign_Data[[#This Row],[MARGEN DE NEGOCIACIÓN (%)]])-D.sign_Data[[#This Row],[VALOR NETO ($COP)]]</f>
        <v>434.5895695159852</v>
      </c>
      <c r="AE78" s="15">
        <f>+(D.sign_Data[[#This Row],[VALOR NETO ($COP)]]+D.sign_Data[[#This Row],[NEGOCIACIÓN ($COP)]])*1%</f>
        <v>86.917913903197004</v>
      </c>
      <c r="AF78" s="15">
        <f>+(D.sign_Data[[#This Row],[VALOR NETO ($COP)]]+D.sign_Data[[#This Row],[NEGOCIACIÓN ($COP)]])*1%</f>
        <v>86.917913903197004</v>
      </c>
      <c r="AG78" s="3">
        <f>+D.sign_Data[[#This Row],[VALOR NETO ($COP)]]+D.sign_Data[[#This Row],[NEGOCIACIÓN ($COP)]]+D.sign_Data[[#This Row],[ICA ($COP)]]+D.sign_Data[[#This Row],[4 * 1000 ($COP)]]</f>
        <v>8865.6272181260938</v>
      </c>
    </row>
    <row r="79" spans="1:33" ht="60" hidden="1" customHeight="1" x14ac:dyDescent="0.25">
      <c r="A79" s="14"/>
      <c r="B79" s="87" t="s">
        <v>493</v>
      </c>
      <c r="C79" s="182" t="s">
        <v>494</v>
      </c>
      <c r="D79" s="189" t="str">
        <f>VLOOKUP(D.sign_Data[[#This Row],[CÓDIGO]],Descripciones[[CÓDIGO]:[NOMBRE DE SERVICIO]],3,FALSE)</f>
        <v>D1. Parcelaciones y Condominios</v>
      </c>
      <c r="E79" s="87" t="s">
        <v>467</v>
      </c>
      <c r="F79" s="88" t="s">
        <v>495</v>
      </c>
      <c r="G79" s="88" t="s">
        <v>469</v>
      </c>
      <c r="H79" s="87" t="s">
        <v>448</v>
      </c>
      <c r="I79" s="89">
        <v>1</v>
      </c>
      <c r="J79" s="88" t="s">
        <v>484</v>
      </c>
      <c r="K79" s="102"/>
      <c r="L79" s="88" t="s">
        <v>478</v>
      </c>
      <c r="M79" s="89" t="s">
        <v>472</v>
      </c>
      <c r="N79" s="90">
        <v>0.5</v>
      </c>
      <c r="O79" s="27">
        <f>IFERROR(+VLOOKUP(M79,D.sign_Lista_Data[[RESPONSABLE]:[SOFTWARE 
VALOR HORA]],3,FALSE),"0")</f>
        <v>17730.496453900709</v>
      </c>
      <c r="P79" s="3">
        <f t="shared" si="2"/>
        <v>8865.2482269503544</v>
      </c>
      <c r="Q79" s="11">
        <f>IFERROR(+VLOOKUP(M79,D.sign_Lista_Data[[RESPONSABLE]:[SOFTWARE 
VALOR HORA]],5,FALSE)*D.sign_Data[[#This Row],[TIEMPO (HORAS)]],0)</f>
        <v>1688.6187098953055</v>
      </c>
      <c r="R79" s="11">
        <f>IFERROR(+VLOOKUP(M79,D.sign_Lista_Data[[RESPONSABLE]:[SOFTWARE 
VALOR HORA]],8,FALSE)*D.sign_Data[[#This Row],[TIEMPO (HORAS)]],0)</f>
        <v>1705.4274435719917</v>
      </c>
      <c r="S79" s="99"/>
      <c r="T79" s="99"/>
      <c r="U79" s="3">
        <f t="shared" si="3"/>
        <v>12259.29438041765</v>
      </c>
      <c r="V79" s="100">
        <f>D.sign_Data[[#This Row],[TIEMPO (HORAS)]]*Gastos_Operativos[[#Totals],[GASTOS HORA]]</f>
        <v>13894.738536155201</v>
      </c>
      <c r="W79" s="3">
        <f>+D.sign_Data[[#This Row],[COSTO 
DIRECTO ($COP)]]+D.sign_Data[[#This Row],[PRORRATEO GASTOS ($COP)]]</f>
        <v>26154.032916572851</v>
      </c>
      <c r="X79" s="101">
        <v>0.15</v>
      </c>
      <c r="Y79" s="15">
        <f>+D.sign_Data[[#This Row],[COSTOS OPERACIONALES ($COP)]]*D.sign_Data[[#This Row],[DESFASE (%)]]</f>
        <v>3923.1049374859276</v>
      </c>
      <c r="Z79" s="101">
        <v>0.3</v>
      </c>
      <c r="AA79" s="15">
        <f>+((D.sign_Data[[#This Row],[COSTOS OPERACIONALES ($COP)]]/(100%-D.sign_Data[[#This Row],[UTILIDAD (%)]])))-D.sign_Data[[#This Row],[COSTOS OPERACIONALES ($COP)]]</f>
        <v>11208.871249959793</v>
      </c>
      <c r="AB79" s="3">
        <f>+D.sign_Data[[#This Row],[COSTOS OPERACIONALES ($COP)]]+D.sign_Data[[#This Row],[DESFASE ($COP)]]+D.sign_Data[[#This Row],[UTILIDAD ($COP)]]</f>
        <v>41286.009104018573</v>
      </c>
      <c r="AC79" s="101">
        <v>0.05</v>
      </c>
      <c r="AD79" s="15">
        <f>+D.sign_Data[[#This Row],[VALOR NETO ($COP)]]/(100%-D.sign_Data[[#This Row],[MARGEN DE NEGOCIACIÓN (%)]])-D.sign_Data[[#This Row],[VALOR NETO ($COP)]]</f>
        <v>2172.947847579926</v>
      </c>
      <c r="AE79" s="15">
        <f>+(D.sign_Data[[#This Row],[VALOR NETO ($COP)]]+D.sign_Data[[#This Row],[NEGOCIACIÓN ($COP)]])*1%</f>
        <v>434.58956951598498</v>
      </c>
      <c r="AF79" s="15">
        <f>+(D.sign_Data[[#This Row],[VALOR NETO ($COP)]]+D.sign_Data[[#This Row],[NEGOCIACIÓN ($COP)]])*1%</f>
        <v>434.58956951598498</v>
      </c>
      <c r="AG79" s="3">
        <f>+D.sign_Data[[#This Row],[VALOR NETO ($COP)]]+D.sign_Data[[#This Row],[NEGOCIACIÓN ($COP)]]+D.sign_Data[[#This Row],[ICA ($COP)]]+D.sign_Data[[#This Row],[4 * 1000 ($COP)]]</f>
        <v>44328.136090630469</v>
      </c>
    </row>
    <row r="80" spans="1:33" ht="60" hidden="1" customHeight="1" x14ac:dyDescent="0.25">
      <c r="A80" s="14"/>
      <c r="B80" s="87" t="s">
        <v>493</v>
      </c>
      <c r="C80" s="182" t="s">
        <v>494</v>
      </c>
      <c r="D80" s="189" t="str">
        <f>VLOOKUP(D.sign_Data[[#This Row],[CÓDIGO]],Descripciones[[CÓDIGO]:[NOMBRE DE SERVICIO]],3,FALSE)</f>
        <v>D1. Parcelaciones y Condominios</v>
      </c>
      <c r="E80" s="87" t="s">
        <v>467</v>
      </c>
      <c r="F80" s="88" t="s">
        <v>495</v>
      </c>
      <c r="G80" s="88" t="s">
        <v>469</v>
      </c>
      <c r="H80" s="87" t="s">
        <v>448</v>
      </c>
      <c r="I80" s="89">
        <v>1</v>
      </c>
      <c r="J80" s="88" t="s">
        <v>484</v>
      </c>
      <c r="K80" s="102"/>
      <c r="L80" s="88" t="s">
        <v>474</v>
      </c>
      <c r="M80" s="89" t="s">
        <v>472</v>
      </c>
      <c r="N80" s="90">
        <v>0.2</v>
      </c>
      <c r="O80" s="27">
        <f>IFERROR(+VLOOKUP(M80,D.sign_Lista_Data[[RESPONSABLE]:[SOFTWARE 
VALOR HORA]],3,FALSE),"0")</f>
        <v>17730.496453900709</v>
      </c>
      <c r="P80" s="3">
        <f t="shared" si="2"/>
        <v>3546.0992907801419</v>
      </c>
      <c r="Q80" s="11">
        <f>IFERROR(+VLOOKUP(M80,D.sign_Lista_Data[[RESPONSABLE]:[SOFTWARE 
VALOR HORA]],5,FALSE)*D.sign_Data[[#This Row],[TIEMPO (HORAS)]],0)</f>
        <v>675.44748395812223</v>
      </c>
      <c r="R80" s="11">
        <f>IFERROR(+VLOOKUP(M80,D.sign_Lista_Data[[RESPONSABLE]:[SOFTWARE 
VALOR HORA]],8,FALSE)*D.sign_Data[[#This Row],[TIEMPO (HORAS)]],0)</f>
        <v>682.17097742879673</v>
      </c>
      <c r="S80" s="99"/>
      <c r="T80" s="99"/>
      <c r="U80" s="3">
        <f t="shared" si="3"/>
        <v>4903.717752167061</v>
      </c>
      <c r="V80" s="100">
        <f>D.sign_Data[[#This Row],[TIEMPO (HORAS)]]*Gastos_Operativos[[#Totals],[GASTOS HORA]]</f>
        <v>5557.8954144620802</v>
      </c>
      <c r="W80" s="3">
        <f>+D.sign_Data[[#This Row],[COSTO 
DIRECTO ($COP)]]+D.sign_Data[[#This Row],[PRORRATEO GASTOS ($COP)]]</f>
        <v>10461.61316662914</v>
      </c>
      <c r="X80" s="101">
        <v>0.15</v>
      </c>
      <c r="Y80" s="15">
        <f>+D.sign_Data[[#This Row],[COSTOS OPERACIONALES ($COP)]]*D.sign_Data[[#This Row],[DESFASE (%)]]</f>
        <v>1569.241974994371</v>
      </c>
      <c r="Z80" s="101">
        <v>0.3</v>
      </c>
      <c r="AA80" s="15">
        <f>+((D.sign_Data[[#This Row],[COSTOS OPERACIONALES ($COP)]]/(100%-D.sign_Data[[#This Row],[UTILIDAD (%)]])))-D.sign_Data[[#This Row],[COSTOS OPERACIONALES ($COP)]]</f>
        <v>4483.5484999839191</v>
      </c>
      <c r="AB80" s="3">
        <f>+D.sign_Data[[#This Row],[COSTOS OPERACIONALES ($COP)]]+D.sign_Data[[#This Row],[DESFASE ($COP)]]+D.sign_Data[[#This Row],[UTILIDAD ($COP)]]</f>
        <v>16514.40364160743</v>
      </c>
      <c r="AC80" s="101">
        <v>0.05</v>
      </c>
      <c r="AD80" s="15">
        <f>+D.sign_Data[[#This Row],[VALOR NETO ($COP)]]/(100%-D.sign_Data[[#This Row],[MARGEN DE NEGOCIACIÓN (%)]])-D.sign_Data[[#This Row],[VALOR NETO ($COP)]]</f>
        <v>869.17913903197041</v>
      </c>
      <c r="AE80" s="15">
        <f>+(D.sign_Data[[#This Row],[VALOR NETO ($COP)]]+D.sign_Data[[#This Row],[NEGOCIACIÓN ($COP)]])*1%</f>
        <v>173.83582780639401</v>
      </c>
      <c r="AF80" s="15">
        <f>+(D.sign_Data[[#This Row],[VALOR NETO ($COP)]]+D.sign_Data[[#This Row],[NEGOCIACIÓN ($COP)]])*1%</f>
        <v>173.83582780639401</v>
      </c>
      <c r="AG80" s="3">
        <f>+D.sign_Data[[#This Row],[VALOR NETO ($COP)]]+D.sign_Data[[#This Row],[NEGOCIACIÓN ($COP)]]+D.sign_Data[[#This Row],[ICA ($COP)]]+D.sign_Data[[#This Row],[4 * 1000 ($COP)]]</f>
        <v>17731.254436252188</v>
      </c>
    </row>
    <row r="81" spans="1:33" ht="60" hidden="1" customHeight="1" x14ac:dyDescent="0.25">
      <c r="A81" s="14"/>
      <c r="B81" s="87" t="s">
        <v>493</v>
      </c>
      <c r="C81" s="182" t="s">
        <v>494</v>
      </c>
      <c r="D81" s="189" t="str">
        <f>VLOOKUP(D.sign_Data[[#This Row],[CÓDIGO]],Descripciones[[CÓDIGO]:[NOMBRE DE SERVICIO]],3,FALSE)</f>
        <v>D1. Parcelaciones y Condominios</v>
      </c>
      <c r="E81" s="87" t="s">
        <v>467</v>
      </c>
      <c r="F81" s="88" t="s">
        <v>495</v>
      </c>
      <c r="G81" s="88" t="s">
        <v>469</v>
      </c>
      <c r="H81" s="87" t="s">
        <v>448</v>
      </c>
      <c r="I81" s="89">
        <v>1</v>
      </c>
      <c r="J81" s="88" t="s">
        <v>487</v>
      </c>
      <c r="K81" s="102"/>
      <c r="L81" s="88" t="s">
        <v>488</v>
      </c>
      <c r="M81" s="89" t="s">
        <v>472</v>
      </c>
      <c r="N81" s="90">
        <v>0.12</v>
      </c>
      <c r="O81" s="27">
        <f>IFERROR(+VLOOKUP(M81,D.sign_Lista_Data[[RESPONSABLE]:[SOFTWARE 
VALOR HORA]],3,FALSE),"0")</f>
        <v>17730.496453900709</v>
      </c>
      <c r="P81" s="3">
        <f t="shared" si="2"/>
        <v>2127.6595744680849</v>
      </c>
      <c r="Q81" s="11">
        <f>IFERROR(+VLOOKUP(M81,D.sign_Lista_Data[[RESPONSABLE]:[SOFTWARE 
VALOR HORA]],5,FALSE)*D.sign_Data[[#This Row],[TIEMPO (HORAS)]],0)</f>
        <v>405.26849037487329</v>
      </c>
      <c r="R81" s="11">
        <f>IFERROR(+VLOOKUP(M81,D.sign_Lista_Data[[RESPONSABLE]:[SOFTWARE 
VALOR HORA]],8,FALSE)*D.sign_Data[[#This Row],[TIEMPO (HORAS)]],0)</f>
        <v>409.30258645727798</v>
      </c>
      <c r="S81" s="99"/>
      <c r="T81" s="99"/>
      <c r="U81" s="3">
        <f t="shared" si="3"/>
        <v>2942.2306513002359</v>
      </c>
      <c r="V81" s="100">
        <f>D.sign_Data[[#This Row],[TIEMPO (HORAS)]]*Gastos_Operativos[[#Totals],[GASTOS HORA]]</f>
        <v>3334.7372486772479</v>
      </c>
      <c r="W81" s="3">
        <f>+D.sign_Data[[#This Row],[COSTO 
DIRECTO ($COP)]]+D.sign_Data[[#This Row],[PRORRATEO GASTOS ($COP)]]</f>
        <v>6276.9678999774842</v>
      </c>
      <c r="X81" s="101">
        <v>0.15</v>
      </c>
      <c r="Y81" s="15">
        <f>+D.sign_Data[[#This Row],[COSTOS OPERACIONALES ($COP)]]*D.sign_Data[[#This Row],[DESFASE (%)]]</f>
        <v>941.54518499662254</v>
      </c>
      <c r="Z81" s="101">
        <v>0.3</v>
      </c>
      <c r="AA81" s="15">
        <f>+((D.sign_Data[[#This Row],[COSTOS OPERACIONALES ($COP)]]/(100%-D.sign_Data[[#This Row],[UTILIDAD (%)]])))-D.sign_Data[[#This Row],[COSTOS OPERACIONALES ($COP)]]</f>
        <v>2690.1290999903504</v>
      </c>
      <c r="AB81" s="3">
        <f>+D.sign_Data[[#This Row],[COSTOS OPERACIONALES ($COP)]]+D.sign_Data[[#This Row],[DESFASE ($COP)]]+D.sign_Data[[#This Row],[UTILIDAD ($COP)]]</f>
        <v>9908.6421849644576</v>
      </c>
      <c r="AC81" s="101">
        <v>0.05</v>
      </c>
      <c r="AD81" s="15">
        <f>+D.sign_Data[[#This Row],[VALOR NETO ($COP)]]/(100%-D.sign_Data[[#This Row],[MARGEN DE NEGOCIACIÓN (%)]])-D.sign_Data[[#This Row],[VALOR NETO ($COP)]]</f>
        <v>521.50748341918188</v>
      </c>
      <c r="AE81" s="15">
        <f>+(D.sign_Data[[#This Row],[VALOR NETO ($COP)]]+D.sign_Data[[#This Row],[NEGOCIACIÓN ($COP)]])*1%</f>
        <v>104.30149668383639</v>
      </c>
      <c r="AF81" s="15">
        <f>+(D.sign_Data[[#This Row],[VALOR NETO ($COP)]]+D.sign_Data[[#This Row],[NEGOCIACIÓN ($COP)]])*1%</f>
        <v>104.30149668383639</v>
      </c>
      <c r="AG81" s="3">
        <f>+D.sign_Data[[#This Row],[VALOR NETO ($COP)]]+D.sign_Data[[#This Row],[NEGOCIACIÓN ($COP)]]+D.sign_Data[[#This Row],[ICA ($COP)]]+D.sign_Data[[#This Row],[4 * 1000 ($COP)]]</f>
        <v>10638.752661751312</v>
      </c>
    </row>
    <row r="82" spans="1:33" ht="60" hidden="1" customHeight="1" x14ac:dyDescent="0.25">
      <c r="A82" s="14"/>
      <c r="B82" s="87" t="s">
        <v>493</v>
      </c>
      <c r="C82" s="182" t="s">
        <v>494</v>
      </c>
      <c r="D82" s="189" t="str">
        <f>VLOOKUP(D.sign_Data[[#This Row],[CÓDIGO]],Descripciones[[CÓDIGO]:[NOMBRE DE SERVICIO]],3,FALSE)</f>
        <v>D1. Parcelaciones y Condominios</v>
      </c>
      <c r="E82" s="87" t="s">
        <v>467</v>
      </c>
      <c r="F82" s="88" t="s">
        <v>495</v>
      </c>
      <c r="G82" s="88" t="s">
        <v>469</v>
      </c>
      <c r="H82" s="87" t="s">
        <v>448</v>
      </c>
      <c r="I82" s="89">
        <v>1</v>
      </c>
      <c r="J82" s="88" t="s">
        <v>487</v>
      </c>
      <c r="K82" s="102"/>
      <c r="L82" s="91" t="s">
        <v>478</v>
      </c>
      <c r="M82" s="89" t="s">
        <v>472</v>
      </c>
      <c r="N82" s="90">
        <v>0.5</v>
      </c>
      <c r="O82" s="27">
        <f>IFERROR(+VLOOKUP(M82,D.sign_Lista_Data[[RESPONSABLE]:[SOFTWARE 
VALOR HORA]],3,FALSE),"0")</f>
        <v>17730.496453900709</v>
      </c>
      <c r="P82" s="3">
        <f t="shared" si="2"/>
        <v>8865.2482269503544</v>
      </c>
      <c r="Q82" s="11">
        <f>IFERROR(+VLOOKUP(M82,D.sign_Lista_Data[[RESPONSABLE]:[SOFTWARE 
VALOR HORA]],5,FALSE)*D.sign_Data[[#This Row],[TIEMPO (HORAS)]],0)</f>
        <v>1688.6187098953055</v>
      </c>
      <c r="R82" s="11">
        <f>IFERROR(+VLOOKUP(M82,D.sign_Lista_Data[[RESPONSABLE]:[SOFTWARE 
VALOR HORA]],8,FALSE)*D.sign_Data[[#This Row],[TIEMPO (HORAS)]],0)</f>
        <v>1705.4274435719917</v>
      </c>
      <c r="S82" s="99"/>
      <c r="T82" s="99"/>
      <c r="U82" s="3">
        <f t="shared" si="3"/>
        <v>12259.29438041765</v>
      </c>
      <c r="V82" s="100">
        <f>D.sign_Data[[#This Row],[TIEMPO (HORAS)]]*Gastos_Operativos[[#Totals],[GASTOS HORA]]</f>
        <v>13894.738536155201</v>
      </c>
      <c r="W82" s="3">
        <f>+D.sign_Data[[#This Row],[COSTO 
DIRECTO ($COP)]]+D.sign_Data[[#This Row],[PRORRATEO GASTOS ($COP)]]</f>
        <v>26154.032916572851</v>
      </c>
      <c r="X82" s="101">
        <v>0.15</v>
      </c>
      <c r="Y82" s="15">
        <f>+D.sign_Data[[#This Row],[COSTOS OPERACIONALES ($COP)]]*D.sign_Data[[#This Row],[DESFASE (%)]]</f>
        <v>3923.1049374859276</v>
      </c>
      <c r="Z82" s="101">
        <v>0.3</v>
      </c>
      <c r="AA82" s="15">
        <f>+((D.sign_Data[[#This Row],[COSTOS OPERACIONALES ($COP)]]/(100%-D.sign_Data[[#This Row],[UTILIDAD (%)]])))-D.sign_Data[[#This Row],[COSTOS OPERACIONALES ($COP)]]</f>
        <v>11208.871249959793</v>
      </c>
      <c r="AB82" s="3">
        <f>+D.sign_Data[[#This Row],[COSTOS OPERACIONALES ($COP)]]+D.sign_Data[[#This Row],[DESFASE ($COP)]]+D.sign_Data[[#This Row],[UTILIDAD ($COP)]]</f>
        <v>41286.009104018573</v>
      </c>
      <c r="AC82" s="101">
        <v>0.05</v>
      </c>
      <c r="AD82" s="15">
        <f>+D.sign_Data[[#This Row],[VALOR NETO ($COP)]]/(100%-D.sign_Data[[#This Row],[MARGEN DE NEGOCIACIÓN (%)]])-D.sign_Data[[#This Row],[VALOR NETO ($COP)]]</f>
        <v>2172.947847579926</v>
      </c>
      <c r="AE82" s="15">
        <f>+(D.sign_Data[[#This Row],[VALOR NETO ($COP)]]+D.sign_Data[[#This Row],[NEGOCIACIÓN ($COP)]])*1%</f>
        <v>434.58956951598498</v>
      </c>
      <c r="AF82" s="15">
        <f>+(D.sign_Data[[#This Row],[VALOR NETO ($COP)]]+D.sign_Data[[#This Row],[NEGOCIACIÓN ($COP)]])*1%</f>
        <v>434.58956951598498</v>
      </c>
      <c r="AG82" s="3">
        <f>+D.sign_Data[[#This Row],[VALOR NETO ($COP)]]+D.sign_Data[[#This Row],[NEGOCIACIÓN ($COP)]]+D.sign_Data[[#This Row],[ICA ($COP)]]+D.sign_Data[[#This Row],[4 * 1000 ($COP)]]</f>
        <v>44328.136090630469</v>
      </c>
    </row>
    <row r="83" spans="1:33" ht="60" hidden="1" customHeight="1" x14ac:dyDescent="0.25">
      <c r="A83" s="14"/>
      <c r="B83" s="87" t="s">
        <v>493</v>
      </c>
      <c r="C83" s="182" t="s">
        <v>494</v>
      </c>
      <c r="D83" s="189" t="str">
        <f>VLOOKUP(D.sign_Data[[#This Row],[CÓDIGO]],Descripciones[[CÓDIGO]:[NOMBRE DE SERVICIO]],3,FALSE)</f>
        <v>D1. Parcelaciones y Condominios</v>
      </c>
      <c r="E83" s="87" t="s">
        <v>467</v>
      </c>
      <c r="F83" s="88" t="s">
        <v>495</v>
      </c>
      <c r="G83" s="88" t="s">
        <v>469</v>
      </c>
      <c r="H83" s="87" t="s">
        <v>448</v>
      </c>
      <c r="I83" s="89">
        <v>1</v>
      </c>
      <c r="J83" s="88" t="s">
        <v>487</v>
      </c>
      <c r="K83" s="102"/>
      <c r="L83" s="91" t="s">
        <v>471</v>
      </c>
      <c r="M83" s="89" t="s">
        <v>472</v>
      </c>
      <c r="N83" s="90">
        <v>0.2</v>
      </c>
      <c r="O83" s="27">
        <f>IFERROR(+VLOOKUP(M83,D.sign_Lista_Data[[RESPONSABLE]:[SOFTWARE 
VALOR HORA]],3,FALSE),"0")</f>
        <v>17730.496453900709</v>
      </c>
      <c r="P83" s="3">
        <f t="shared" si="2"/>
        <v>3546.0992907801419</v>
      </c>
      <c r="Q83" s="11">
        <f>IFERROR(+VLOOKUP(M83,D.sign_Lista_Data[[RESPONSABLE]:[SOFTWARE 
VALOR HORA]],5,FALSE)*D.sign_Data[[#This Row],[TIEMPO (HORAS)]],0)</f>
        <v>675.44748395812223</v>
      </c>
      <c r="R83" s="11">
        <f>IFERROR(+VLOOKUP(M83,D.sign_Lista_Data[[RESPONSABLE]:[SOFTWARE 
VALOR HORA]],8,FALSE)*D.sign_Data[[#This Row],[TIEMPO (HORAS)]],0)</f>
        <v>682.17097742879673</v>
      </c>
      <c r="S83" s="99"/>
      <c r="T83" s="99"/>
      <c r="U83" s="3">
        <f t="shared" si="3"/>
        <v>4903.717752167061</v>
      </c>
      <c r="V83" s="100">
        <f>D.sign_Data[[#This Row],[TIEMPO (HORAS)]]*Gastos_Operativos[[#Totals],[GASTOS HORA]]</f>
        <v>5557.8954144620802</v>
      </c>
      <c r="W83" s="3">
        <f>+D.sign_Data[[#This Row],[COSTO 
DIRECTO ($COP)]]+D.sign_Data[[#This Row],[PRORRATEO GASTOS ($COP)]]</f>
        <v>10461.61316662914</v>
      </c>
      <c r="X83" s="101">
        <v>0.15</v>
      </c>
      <c r="Y83" s="15">
        <f>+D.sign_Data[[#This Row],[COSTOS OPERACIONALES ($COP)]]*D.sign_Data[[#This Row],[DESFASE (%)]]</f>
        <v>1569.241974994371</v>
      </c>
      <c r="Z83" s="101">
        <v>0.3</v>
      </c>
      <c r="AA83" s="15">
        <f>+((D.sign_Data[[#This Row],[COSTOS OPERACIONALES ($COP)]]/(100%-D.sign_Data[[#This Row],[UTILIDAD (%)]])))-D.sign_Data[[#This Row],[COSTOS OPERACIONALES ($COP)]]</f>
        <v>4483.5484999839191</v>
      </c>
      <c r="AB83" s="3">
        <f>+D.sign_Data[[#This Row],[COSTOS OPERACIONALES ($COP)]]+D.sign_Data[[#This Row],[DESFASE ($COP)]]+D.sign_Data[[#This Row],[UTILIDAD ($COP)]]</f>
        <v>16514.40364160743</v>
      </c>
      <c r="AC83" s="101">
        <v>0.05</v>
      </c>
      <c r="AD83" s="15">
        <f>+D.sign_Data[[#This Row],[VALOR NETO ($COP)]]/(100%-D.sign_Data[[#This Row],[MARGEN DE NEGOCIACIÓN (%)]])-D.sign_Data[[#This Row],[VALOR NETO ($COP)]]</f>
        <v>869.17913903197041</v>
      </c>
      <c r="AE83" s="15">
        <f>+(D.sign_Data[[#This Row],[VALOR NETO ($COP)]]+D.sign_Data[[#This Row],[NEGOCIACIÓN ($COP)]])*1%</f>
        <v>173.83582780639401</v>
      </c>
      <c r="AF83" s="15">
        <f>+(D.sign_Data[[#This Row],[VALOR NETO ($COP)]]+D.sign_Data[[#This Row],[NEGOCIACIÓN ($COP)]])*1%</f>
        <v>173.83582780639401</v>
      </c>
      <c r="AG83" s="3">
        <f>+D.sign_Data[[#This Row],[VALOR NETO ($COP)]]+D.sign_Data[[#This Row],[NEGOCIACIÓN ($COP)]]+D.sign_Data[[#This Row],[ICA ($COP)]]+D.sign_Data[[#This Row],[4 * 1000 ($COP)]]</f>
        <v>17731.254436252188</v>
      </c>
    </row>
    <row r="84" spans="1:33" ht="60" hidden="1" customHeight="1" x14ac:dyDescent="0.25">
      <c r="A84" s="14"/>
      <c r="B84" s="87" t="s">
        <v>493</v>
      </c>
      <c r="C84" s="182" t="s">
        <v>494</v>
      </c>
      <c r="D84" s="189" t="str">
        <f>VLOOKUP(D.sign_Data[[#This Row],[CÓDIGO]],Descripciones[[CÓDIGO]:[NOMBRE DE SERVICIO]],3,FALSE)</f>
        <v>D1. Parcelaciones y Condominios</v>
      </c>
      <c r="E84" s="87" t="s">
        <v>467</v>
      </c>
      <c r="F84" s="88" t="s">
        <v>495</v>
      </c>
      <c r="G84" s="88" t="s">
        <v>469</v>
      </c>
      <c r="H84" s="87" t="s">
        <v>448</v>
      </c>
      <c r="I84" s="89">
        <v>1</v>
      </c>
      <c r="J84" s="88" t="s">
        <v>487</v>
      </c>
      <c r="K84" s="102"/>
      <c r="L84" s="91" t="s">
        <v>473</v>
      </c>
      <c r="M84" s="89" t="s">
        <v>472</v>
      </c>
      <c r="N84" s="90">
        <v>0.1</v>
      </c>
      <c r="O84" s="27">
        <f>IFERROR(+VLOOKUP(M84,D.sign_Lista_Data[[RESPONSABLE]:[SOFTWARE 
VALOR HORA]],3,FALSE),"0")</f>
        <v>17730.496453900709</v>
      </c>
      <c r="P84" s="3">
        <f t="shared" si="2"/>
        <v>1773.049645390071</v>
      </c>
      <c r="Q84" s="11">
        <f>IFERROR(+VLOOKUP(M84,D.sign_Lista_Data[[RESPONSABLE]:[SOFTWARE 
VALOR HORA]],5,FALSE)*D.sign_Data[[#This Row],[TIEMPO (HORAS)]],0)</f>
        <v>337.72374197906112</v>
      </c>
      <c r="R84" s="11">
        <f>IFERROR(+VLOOKUP(M84,D.sign_Lista_Data[[RESPONSABLE]:[SOFTWARE 
VALOR HORA]],8,FALSE)*D.sign_Data[[#This Row],[TIEMPO (HORAS)]],0)</f>
        <v>341.08548871439837</v>
      </c>
      <c r="S84" s="99"/>
      <c r="T84" s="99"/>
      <c r="U84" s="3">
        <f t="shared" si="3"/>
        <v>2451.8588760835305</v>
      </c>
      <c r="V84" s="100">
        <f>D.sign_Data[[#This Row],[TIEMPO (HORAS)]]*Gastos_Operativos[[#Totals],[GASTOS HORA]]</f>
        <v>2778.9477072310401</v>
      </c>
      <c r="W84" s="3">
        <f>+D.sign_Data[[#This Row],[COSTO 
DIRECTO ($COP)]]+D.sign_Data[[#This Row],[PRORRATEO GASTOS ($COP)]]</f>
        <v>5230.8065833145702</v>
      </c>
      <c r="X84" s="101">
        <v>0.15</v>
      </c>
      <c r="Y84" s="15">
        <f>+D.sign_Data[[#This Row],[COSTOS OPERACIONALES ($COP)]]*D.sign_Data[[#This Row],[DESFASE (%)]]</f>
        <v>784.62098749718552</v>
      </c>
      <c r="Z84" s="101">
        <v>0.3</v>
      </c>
      <c r="AA84" s="15">
        <f>+((D.sign_Data[[#This Row],[COSTOS OPERACIONALES ($COP)]]/(100%-D.sign_Data[[#This Row],[UTILIDAD (%)]])))-D.sign_Data[[#This Row],[COSTOS OPERACIONALES ($COP)]]</f>
        <v>2241.7742499919596</v>
      </c>
      <c r="AB84" s="3">
        <f>+D.sign_Data[[#This Row],[COSTOS OPERACIONALES ($COP)]]+D.sign_Data[[#This Row],[DESFASE ($COP)]]+D.sign_Data[[#This Row],[UTILIDAD ($COP)]]</f>
        <v>8257.2018208037152</v>
      </c>
      <c r="AC84" s="101">
        <v>0.05</v>
      </c>
      <c r="AD84" s="15">
        <f>+D.sign_Data[[#This Row],[VALOR NETO ($COP)]]/(100%-D.sign_Data[[#This Row],[MARGEN DE NEGOCIACIÓN (%)]])-D.sign_Data[[#This Row],[VALOR NETO ($COP)]]</f>
        <v>434.5895695159852</v>
      </c>
      <c r="AE84" s="15">
        <f>+(D.sign_Data[[#This Row],[VALOR NETO ($COP)]]+D.sign_Data[[#This Row],[NEGOCIACIÓN ($COP)]])*1%</f>
        <v>86.917913903197004</v>
      </c>
      <c r="AF84" s="15">
        <f>+(D.sign_Data[[#This Row],[VALOR NETO ($COP)]]+D.sign_Data[[#This Row],[NEGOCIACIÓN ($COP)]])*1%</f>
        <v>86.917913903197004</v>
      </c>
      <c r="AG84" s="3">
        <f>+D.sign_Data[[#This Row],[VALOR NETO ($COP)]]+D.sign_Data[[#This Row],[NEGOCIACIÓN ($COP)]]+D.sign_Data[[#This Row],[ICA ($COP)]]+D.sign_Data[[#This Row],[4 * 1000 ($COP)]]</f>
        <v>8865.6272181260938</v>
      </c>
    </row>
    <row r="85" spans="1:33" ht="60" hidden="1" customHeight="1" x14ac:dyDescent="0.25">
      <c r="A85" s="14"/>
      <c r="B85" s="87" t="s">
        <v>493</v>
      </c>
      <c r="C85" s="182" t="s">
        <v>494</v>
      </c>
      <c r="D85" s="189" t="str">
        <f>VLOOKUP(D.sign_Data[[#This Row],[CÓDIGO]],Descripciones[[CÓDIGO]:[NOMBRE DE SERVICIO]],3,FALSE)</f>
        <v>D1. Parcelaciones y Condominios</v>
      </c>
      <c r="E85" s="87" t="s">
        <v>467</v>
      </c>
      <c r="F85" s="88" t="s">
        <v>495</v>
      </c>
      <c r="G85" s="88" t="s">
        <v>469</v>
      </c>
      <c r="H85" s="87" t="s">
        <v>448</v>
      </c>
      <c r="I85" s="89">
        <v>1</v>
      </c>
      <c r="J85" s="88" t="s">
        <v>487</v>
      </c>
      <c r="K85" s="102"/>
      <c r="L85" s="88" t="s">
        <v>474</v>
      </c>
      <c r="M85" s="89" t="s">
        <v>472</v>
      </c>
      <c r="N85" s="90">
        <v>0.1</v>
      </c>
      <c r="O85" s="27">
        <f>IFERROR(+VLOOKUP(M85,D.sign_Lista_Data[[RESPONSABLE]:[SOFTWARE 
VALOR HORA]],3,FALSE),"0")</f>
        <v>17730.496453900709</v>
      </c>
      <c r="P85" s="3">
        <f t="shared" si="2"/>
        <v>1773.049645390071</v>
      </c>
      <c r="Q85" s="11">
        <f>IFERROR(+VLOOKUP(M85,D.sign_Lista_Data[[RESPONSABLE]:[SOFTWARE 
VALOR HORA]],5,FALSE)*D.sign_Data[[#This Row],[TIEMPO (HORAS)]],0)</f>
        <v>337.72374197906112</v>
      </c>
      <c r="R85" s="11">
        <f>IFERROR(+VLOOKUP(M85,D.sign_Lista_Data[[RESPONSABLE]:[SOFTWARE 
VALOR HORA]],8,FALSE)*D.sign_Data[[#This Row],[TIEMPO (HORAS)]],0)</f>
        <v>341.08548871439837</v>
      </c>
      <c r="S85" s="99"/>
      <c r="T85" s="99"/>
      <c r="U85" s="3">
        <f t="shared" si="3"/>
        <v>2451.8588760835305</v>
      </c>
      <c r="V85" s="100">
        <f>D.sign_Data[[#This Row],[TIEMPO (HORAS)]]*Gastos_Operativos[[#Totals],[GASTOS HORA]]</f>
        <v>2778.9477072310401</v>
      </c>
      <c r="W85" s="3">
        <f>+D.sign_Data[[#This Row],[COSTO 
DIRECTO ($COP)]]+D.sign_Data[[#This Row],[PRORRATEO GASTOS ($COP)]]</f>
        <v>5230.8065833145702</v>
      </c>
      <c r="X85" s="101">
        <v>0.15</v>
      </c>
      <c r="Y85" s="15">
        <f>+D.sign_Data[[#This Row],[COSTOS OPERACIONALES ($COP)]]*D.sign_Data[[#This Row],[DESFASE (%)]]</f>
        <v>784.62098749718552</v>
      </c>
      <c r="Z85" s="101">
        <v>0.3</v>
      </c>
      <c r="AA85" s="15">
        <f>+((D.sign_Data[[#This Row],[COSTOS OPERACIONALES ($COP)]]/(100%-D.sign_Data[[#This Row],[UTILIDAD (%)]])))-D.sign_Data[[#This Row],[COSTOS OPERACIONALES ($COP)]]</f>
        <v>2241.7742499919596</v>
      </c>
      <c r="AB85" s="3">
        <f>+D.sign_Data[[#This Row],[COSTOS OPERACIONALES ($COP)]]+D.sign_Data[[#This Row],[DESFASE ($COP)]]+D.sign_Data[[#This Row],[UTILIDAD ($COP)]]</f>
        <v>8257.2018208037152</v>
      </c>
      <c r="AC85" s="101">
        <v>0.05</v>
      </c>
      <c r="AD85" s="15">
        <f>+D.sign_Data[[#This Row],[VALOR NETO ($COP)]]/(100%-D.sign_Data[[#This Row],[MARGEN DE NEGOCIACIÓN (%)]])-D.sign_Data[[#This Row],[VALOR NETO ($COP)]]</f>
        <v>434.5895695159852</v>
      </c>
      <c r="AE85" s="15">
        <f>+(D.sign_Data[[#This Row],[VALOR NETO ($COP)]]+D.sign_Data[[#This Row],[NEGOCIACIÓN ($COP)]])*1%</f>
        <v>86.917913903197004</v>
      </c>
      <c r="AF85" s="15">
        <f>+(D.sign_Data[[#This Row],[VALOR NETO ($COP)]]+D.sign_Data[[#This Row],[NEGOCIACIÓN ($COP)]])*1%</f>
        <v>86.917913903197004</v>
      </c>
      <c r="AG85" s="3">
        <f>+D.sign_Data[[#This Row],[VALOR NETO ($COP)]]+D.sign_Data[[#This Row],[NEGOCIACIÓN ($COP)]]+D.sign_Data[[#This Row],[ICA ($COP)]]+D.sign_Data[[#This Row],[4 * 1000 ($COP)]]</f>
        <v>8865.6272181260938</v>
      </c>
    </row>
    <row r="86" spans="1:33" ht="60" hidden="1" customHeight="1" x14ac:dyDescent="0.25">
      <c r="A86" s="14"/>
      <c r="B86" s="87" t="s">
        <v>493</v>
      </c>
      <c r="C86" s="182" t="s">
        <v>494</v>
      </c>
      <c r="D86" s="189" t="str">
        <f>VLOOKUP(D.sign_Data[[#This Row],[CÓDIGO]],Descripciones[[CÓDIGO]:[NOMBRE DE SERVICIO]],3,FALSE)</f>
        <v>D1. Parcelaciones y Condominios</v>
      </c>
      <c r="E86" s="87" t="s">
        <v>467</v>
      </c>
      <c r="F86" s="88" t="s">
        <v>495</v>
      </c>
      <c r="G86" s="88" t="s">
        <v>469</v>
      </c>
      <c r="H86" s="87" t="s">
        <v>448</v>
      </c>
      <c r="I86" s="89">
        <v>1</v>
      </c>
      <c r="J86" s="88" t="s">
        <v>489</v>
      </c>
      <c r="K86" s="102"/>
      <c r="L86" s="88" t="s">
        <v>490</v>
      </c>
      <c r="M86" s="89" t="s">
        <v>472</v>
      </c>
      <c r="N86" s="90">
        <v>0.2</v>
      </c>
      <c r="O86" s="27">
        <f>IFERROR(+VLOOKUP(M86,D.sign_Lista_Data[[RESPONSABLE]:[SOFTWARE 
VALOR HORA]],3,FALSE),"0")</f>
        <v>17730.496453900709</v>
      </c>
      <c r="P86" s="3">
        <f t="shared" si="2"/>
        <v>3546.0992907801419</v>
      </c>
      <c r="Q86" s="11">
        <f>IFERROR(+VLOOKUP(M86,D.sign_Lista_Data[[RESPONSABLE]:[SOFTWARE 
VALOR HORA]],5,FALSE)*D.sign_Data[[#This Row],[TIEMPO (HORAS)]],0)</f>
        <v>675.44748395812223</v>
      </c>
      <c r="R86" s="11">
        <f>IFERROR(+VLOOKUP(M86,D.sign_Lista_Data[[RESPONSABLE]:[SOFTWARE 
VALOR HORA]],8,FALSE)*D.sign_Data[[#This Row],[TIEMPO (HORAS)]],0)</f>
        <v>682.17097742879673</v>
      </c>
      <c r="S86" s="99"/>
      <c r="T86" s="99"/>
      <c r="U86" s="3">
        <f t="shared" si="3"/>
        <v>4903.717752167061</v>
      </c>
      <c r="V86" s="100">
        <f>D.sign_Data[[#This Row],[TIEMPO (HORAS)]]*Gastos_Operativos[[#Totals],[GASTOS HORA]]</f>
        <v>5557.8954144620802</v>
      </c>
      <c r="W86" s="3">
        <f>+D.sign_Data[[#This Row],[COSTO 
DIRECTO ($COP)]]+D.sign_Data[[#This Row],[PRORRATEO GASTOS ($COP)]]</f>
        <v>10461.61316662914</v>
      </c>
      <c r="X86" s="101">
        <v>0.15</v>
      </c>
      <c r="Y86" s="15">
        <f>+D.sign_Data[[#This Row],[COSTOS OPERACIONALES ($COP)]]*D.sign_Data[[#This Row],[DESFASE (%)]]</f>
        <v>1569.241974994371</v>
      </c>
      <c r="Z86" s="101">
        <v>0.3</v>
      </c>
      <c r="AA86" s="15">
        <f>+((D.sign_Data[[#This Row],[COSTOS OPERACIONALES ($COP)]]/(100%-D.sign_Data[[#This Row],[UTILIDAD (%)]])))-D.sign_Data[[#This Row],[COSTOS OPERACIONALES ($COP)]]</f>
        <v>4483.5484999839191</v>
      </c>
      <c r="AB86" s="3">
        <f>+D.sign_Data[[#This Row],[COSTOS OPERACIONALES ($COP)]]+D.sign_Data[[#This Row],[DESFASE ($COP)]]+D.sign_Data[[#This Row],[UTILIDAD ($COP)]]</f>
        <v>16514.40364160743</v>
      </c>
      <c r="AC86" s="101">
        <v>0.05</v>
      </c>
      <c r="AD86" s="15">
        <f>+D.sign_Data[[#This Row],[VALOR NETO ($COP)]]/(100%-D.sign_Data[[#This Row],[MARGEN DE NEGOCIACIÓN (%)]])-D.sign_Data[[#This Row],[VALOR NETO ($COP)]]</f>
        <v>869.17913903197041</v>
      </c>
      <c r="AE86" s="15">
        <f>+(D.sign_Data[[#This Row],[VALOR NETO ($COP)]]+D.sign_Data[[#This Row],[NEGOCIACIÓN ($COP)]])*1%</f>
        <v>173.83582780639401</v>
      </c>
      <c r="AF86" s="15">
        <f>+(D.sign_Data[[#This Row],[VALOR NETO ($COP)]]+D.sign_Data[[#This Row],[NEGOCIACIÓN ($COP)]])*1%</f>
        <v>173.83582780639401</v>
      </c>
      <c r="AG86" s="3">
        <f>+D.sign_Data[[#This Row],[VALOR NETO ($COP)]]+D.sign_Data[[#This Row],[NEGOCIACIÓN ($COP)]]+D.sign_Data[[#This Row],[ICA ($COP)]]+D.sign_Data[[#This Row],[4 * 1000 ($COP)]]</f>
        <v>17731.254436252188</v>
      </c>
    </row>
    <row r="87" spans="1:33" ht="60" hidden="1" customHeight="1" x14ac:dyDescent="0.25">
      <c r="A87" s="14"/>
      <c r="B87" s="87" t="s">
        <v>493</v>
      </c>
      <c r="C87" s="182" t="s">
        <v>494</v>
      </c>
      <c r="D87" s="189" t="str">
        <f>VLOOKUP(D.sign_Data[[#This Row],[CÓDIGO]],Descripciones[[CÓDIGO]:[NOMBRE DE SERVICIO]],3,FALSE)</f>
        <v>D1. Parcelaciones y Condominios</v>
      </c>
      <c r="E87" s="87" t="s">
        <v>467</v>
      </c>
      <c r="F87" s="88" t="s">
        <v>495</v>
      </c>
      <c r="G87" s="88" t="s">
        <v>469</v>
      </c>
      <c r="H87" s="87" t="s">
        <v>448</v>
      </c>
      <c r="I87" s="89">
        <v>1</v>
      </c>
      <c r="J87" s="88" t="s">
        <v>491</v>
      </c>
      <c r="K87" s="102"/>
      <c r="L87" s="88" t="s">
        <v>492</v>
      </c>
      <c r="M87" s="89" t="s">
        <v>472</v>
      </c>
      <c r="N87" s="90">
        <v>0.5</v>
      </c>
      <c r="O87" s="27">
        <f>IFERROR(+VLOOKUP(M87,D.sign_Lista_Data[[RESPONSABLE]:[SOFTWARE 
VALOR HORA]],3,FALSE),"0")</f>
        <v>17730.496453900709</v>
      </c>
      <c r="P87" s="3">
        <f t="shared" si="2"/>
        <v>8865.2482269503544</v>
      </c>
      <c r="Q87" s="11">
        <f>IFERROR(+VLOOKUP(M87,D.sign_Lista_Data[[RESPONSABLE]:[SOFTWARE 
VALOR HORA]],5,FALSE)*D.sign_Data[[#This Row],[TIEMPO (HORAS)]],0)</f>
        <v>1688.6187098953055</v>
      </c>
      <c r="R87" s="11">
        <f>IFERROR(+VLOOKUP(M87,D.sign_Lista_Data[[RESPONSABLE]:[SOFTWARE 
VALOR HORA]],8,FALSE)*D.sign_Data[[#This Row],[TIEMPO (HORAS)]],0)</f>
        <v>1705.4274435719917</v>
      </c>
      <c r="S87" s="99"/>
      <c r="T87" s="99"/>
      <c r="U87" s="3">
        <f t="shared" si="3"/>
        <v>12259.29438041765</v>
      </c>
      <c r="V87" s="100">
        <f>D.sign_Data[[#This Row],[TIEMPO (HORAS)]]*Gastos_Operativos[[#Totals],[GASTOS HORA]]</f>
        <v>13894.738536155201</v>
      </c>
      <c r="W87" s="3">
        <f>+D.sign_Data[[#This Row],[COSTO 
DIRECTO ($COP)]]+D.sign_Data[[#This Row],[PRORRATEO GASTOS ($COP)]]</f>
        <v>26154.032916572851</v>
      </c>
      <c r="X87" s="101">
        <v>0.15</v>
      </c>
      <c r="Y87" s="15">
        <f>+D.sign_Data[[#This Row],[COSTOS OPERACIONALES ($COP)]]*D.sign_Data[[#This Row],[DESFASE (%)]]</f>
        <v>3923.1049374859276</v>
      </c>
      <c r="Z87" s="101">
        <v>0.3</v>
      </c>
      <c r="AA87" s="15">
        <f>+((D.sign_Data[[#This Row],[COSTOS OPERACIONALES ($COP)]]/(100%-D.sign_Data[[#This Row],[UTILIDAD (%)]])))-D.sign_Data[[#This Row],[COSTOS OPERACIONALES ($COP)]]</f>
        <v>11208.871249959793</v>
      </c>
      <c r="AB87" s="3">
        <f>+D.sign_Data[[#This Row],[COSTOS OPERACIONALES ($COP)]]+D.sign_Data[[#This Row],[DESFASE ($COP)]]+D.sign_Data[[#This Row],[UTILIDAD ($COP)]]</f>
        <v>41286.009104018573</v>
      </c>
      <c r="AC87" s="101">
        <v>0.05</v>
      </c>
      <c r="AD87" s="15">
        <f>+D.sign_Data[[#This Row],[VALOR NETO ($COP)]]/(100%-D.sign_Data[[#This Row],[MARGEN DE NEGOCIACIÓN (%)]])-D.sign_Data[[#This Row],[VALOR NETO ($COP)]]</f>
        <v>2172.947847579926</v>
      </c>
      <c r="AE87" s="15">
        <f>+(D.sign_Data[[#This Row],[VALOR NETO ($COP)]]+D.sign_Data[[#This Row],[NEGOCIACIÓN ($COP)]])*1%</f>
        <v>434.58956951598498</v>
      </c>
      <c r="AF87" s="15">
        <f>+(D.sign_Data[[#This Row],[VALOR NETO ($COP)]]+D.sign_Data[[#This Row],[NEGOCIACIÓN ($COP)]])*1%</f>
        <v>434.58956951598498</v>
      </c>
      <c r="AG87" s="3">
        <f>+D.sign_Data[[#This Row],[VALOR NETO ($COP)]]+D.sign_Data[[#This Row],[NEGOCIACIÓN ($COP)]]+D.sign_Data[[#This Row],[ICA ($COP)]]+D.sign_Data[[#This Row],[4 * 1000 ($COP)]]</f>
        <v>44328.136090630469</v>
      </c>
    </row>
    <row r="88" spans="1:33" ht="60" hidden="1" customHeight="1" x14ac:dyDescent="0.25">
      <c r="A88" s="14"/>
      <c r="B88" s="87" t="s">
        <v>493</v>
      </c>
      <c r="C88" s="182" t="s">
        <v>494</v>
      </c>
      <c r="D88" s="189" t="str">
        <f>VLOOKUP(D.sign_Data[[#This Row],[CÓDIGO]],Descripciones[[CÓDIGO]:[NOMBRE DE SERVICIO]],3,FALSE)</f>
        <v>D1. Parcelaciones y Condominios</v>
      </c>
      <c r="E88" s="87" t="s">
        <v>467</v>
      </c>
      <c r="F88" s="88" t="s">
        <v>495</v>
      </c>
      <c r="G88" s="88" t="s">
        <v>469</v>
      </c>
      <c r="H88" s="87" t="s">
        <v>448</v>
      </c>
      <c r="I88" s="89">
        <v>1</v>
      </c>
      <c r="J88" s="88" t="s">
        <v>491</v>
      </c>
      <c r="K88" s="102"/>
      <c r="L88" s="91" t="s">
        <v>483</v>
      </c>
      <c r="M88" s="89" t="s">
        <v>472</v>
      </c>
      <c r="N88" s="90">
        <v>0.1</v>
      </c>
      <c r="O88" s="27">
        <f>IFERROR(+VLOOKUP(M88,D.sign_Lista_Data[[RESPONSABLE]:[SOFTWARE 
VALOR HORA]],3,FALSE),"0")</f>
        <v>17730.496453900709</v>
      </c>
      <c r="P88" s="3">
        <f t="shared" si="2"/>
        <v>1773.049645390071</v>
      </c>
      <c r="Q88" s="11">
        <f>IFERROR(+VLOOKUP(M88,D.sign_Lista_Data[[RESPONSABLE]:[SOFTWARE 
VALOR HORA]],5,FALSE)*D.sign_Data[[#This Row],[TIEMPO (HORAS)]],0)</f>
        <v>337.72374197906112</v>
      </c>
      <c r="R88" s="11">
        <f>IFERROR(+VLOOKUP(M88,D.sign_Lista_Data[[RESPONSABLE]:[SOFTWARE 
VALOR HORA]],8,FALSE)*D.sign_Data[[#This Row],[TIEMPO (HORAS)]],0)</f>
        <v>341.08548871439837</v>
      </c>
      <c r="S88" s="99"/>
      <c r="T88" s="99"/>
      <c r="U88" s="3">
        <f t="shared" si="3"/>
        <v>2451.8588760835305</v>
      </c>
      <c r="V88" s="100">
        <f>D.sign_Data[[#This Row],[TIEMPO (HORAS)]]*Gastos_Operativos[[#Totals],[GASTOS HORA]]</f>
        <v>2778.9477072310401</v>
      </c>
      <c r="W88" s="3">
        <f>+D.sign_Data[[#This Row],[COSTO 
DIRECTO ($COP)]]+D.sign_Data[[#This Row],[PRORRATEO GASTOS ($COP)]]</f>
        <v>5230.8065833145702</v>
      </c>
      <c r="X88" s="101">
        <v>0.15</v>
      </c>
      <c r="Y88" s="15">
        <f>+D.sign_Data[[#This Row],[COSTOS OPERACIONALES ($COP)]]*D.sign_Data[[#This Row],[DESFASE (%)]]</f>
        <v>784.62098749718552</v>
      </c>
      <c r="Z88" s="101">
        <v>0.3</v>
      </c>
      <c r="AA88" s="15">
        <f>+((D.sign_Data[[#This Row],[COSTOS OPERACIONALES ($COP)]]/(100%-D.sign_Data[[#This Row],[UTILIDAD (%)]])))-D.sign_Data[[#This Row],[COSTOS OPERACIONALES ($COP)]]</f>
        <v>2241.7742499919596</v>
      </c>
      <c r="AB88" s="3">
        <f>+D.sign_Data[[#This Row],[COSTOS OPERACIONALES ($COP)]]+D.sign_Data[[#This Row],[DESFASE ($COP)]]+D.sign_Data[[#This Row],[UTILIDAD ($COP)]]</f>
        <v>8257.2018208037152</v>
      </c>
      <c r="AC88" s="101">
        <v>0.05</v>
      </c>
      <c r="AD88" s="15">
        <f>+D.sign_Data[[#This Row],[VALOR NETO ($COP)]]/(100%-D.sign_Data[[#This Row],[MARGEN DE NEGOCIACIÓN (%)]])-D.sign_Data[[#This Row],[VALOR NETO ($COP)]]</f>
        <v>434.5895695159852</v>
      </c>
      <c r="AE88" s="15">
        <f>+(D.sign_Data[[#This Row],[VALOR NETO ($COP)]]+D.sign_Data[[#This Row],[NEGOCIACIÓN ($COP)]])*1%</f>
        <v>86.917913903197004</v>
      </c>
      <c r="AF88" s="15">
        <f>+(D.sign_Data[[#This Row],[VALOR NETO ($COP)]]+D.sign_Data[[#This Row],[NEGOCIACIÓN ($COP)]])*1%</f>
        <v>86.917913903197004</v>
      </c>
      <c r="AG88" s="3">
        <f>+D.sign_Data[[#This Row],[VALOR NETO ($COP)]]+D.sign_Data[[#This Row],[NEGOCIACIÓN ($COP)]]+D.sign_Data[[#This Row],[ICA ($COP)]]+D.sign_Data[[#This Row],[4 * 1000 ($COP)]]</f>
        <v>8865.6272181260938</v>
      </c>
    </row>
    <row r="89" spans="1:33" ht="60" hidden="1" customHeight="1" x14ac:dyDescent="0.25">
      <c r="A89" s="14"/>
      <c r="B89" s="87" t="s">
        <v>442</v>
      </c>
      <c r="C89" s="182" t="s">
        <v>496</v>
      </c>
      <c r="D89" s="189" t="str">
        <f>VLOOKUP(D.sign_Data[[#This Row],[CÓDIGO]],Descripciones[[CÓDIGO]:[NOMBRE DE SERVICIO]],3,FALSE)</f>
        <v>D1. Parcelaciones y Condominios</v>
      </c>
      <c r="E89" s="87" t="s">
        <v>497</v>
      </c>
      <c r="F89" s="88" t="s">
        <v>498</v>
      </c>
      <c r="G89" s="88" t="s">
        <v>499</v>
      </c>
      <c r="H89" s="87" t="s">
        <v>500</v>
      </c>
      <c r="I89" s="89">
        <v>1</v>
      </c>
      <c r="J89" s="88" t="s">
        <v>501</v>
      </c>
      <c r="K89" s="102"/>
      <c r="L89" s="88" t="s">
        <v>471</v>
      </c>
      <c r="M89" s="89" t="s">
        <v>381</v>
      </c>
      <c r="N89" s="90">
        <v>0.5</v>
      </c>
      <c r="O89" s="27">
        <f>IFERROR(+VLOOKUP(M89,D.sign_Lista_Data[[RESPONSABLE]:[SOFTWARE 
VALOR HORA]],3,FALSE),"0")</f>
        <v>20263.424518743668</v>
      </c>
      <c r="P89" s="3">
        <f t="shared" si="0"/>
        <v>10131.712259371834</v>
      </c>
      <c r="Q89" s="11">
        <f>IFERROR(+VLOOKUP(M89,D.sign_Lista_Data[[RESPONSABLE]:[SOFTWARE 
VALOR HORA]],5,FALSE)*D.sign_Data[[#This Row],[TIEMPO (HORAS)]],0)</f>
        <v>2110.7733873691318</v>
      </c>
      <c r="R89" s="42">
        <f>IFERROR(+VLOOKUP(M89,D.sign_Lista_Data[[RESPONSABLE]:[SOFTWARE 
VALOR HORA]],8,FALSE)*D.sign_Data[[#This Row],[TIEMPO (HORAS)]],0)</f>
        <v>1705.4274435719917</v>
      </c>
      <c r="S89" s="99">
        <v>0</v>
      </c>
      <c r="T89" s="99">
        <v>0</v>
      </c>
      <c r="U89" s="3">
        <f t="shared" si="1"/>
        <v>13947.913090312959</v>
      </c>
      <c r="V89" s="100">
        <f>D.sign_Data[[#This Row],[TIEMPO (HORAS)]]*Gastos_Operativos[[#Totals],[GASTOS HORA]]</f>
        <v>13894.738536155201</v>
      </c>
      <c r="W89" s="3">
        <f>+D.sign_Data[[#This Row],[COSTO 
DIRECTO ($COP)]]+D.sign_Data[[#This Row],[PRORRATEO GASTOS ($COP)]]</f>
        <v>27842.65162646816</v>
      </c>
      <c r="X89" s="101">
        <v>0.05</v>
      </c>
      <c r="Y89" s="15">
        <f>+D.sign_Data[[#This Row],[COSTOS OPERACIONALES ($COP)]]*D.sign_Data[[#This Row],[DESFASE (%)]]</f>
        <v>1392.132581323408</v>
      </c>
      <c r="Z89" s="101">
        <v>0.3</v>
      </c>
      <c r="AA89" s="15">
        <f>+((D.sign_Data[[#This Row],[COSTOS OPERACIONALES ($COP)]]/(100%-D.sign_Data[[#This Row],[UTILIDAD (%)]])))-D.sign_Data[[#This Row],[COSTOS OPERACIONALES ($COP)]]</f>
        <v>11932.564982772074</v>
      </c>
      <c r="AB89" s="3">
        <f>+D.sign_Data[[#This Row],[COSTOS OPERACIONALES ($COP)]]+D.sign_Data[[#This Row],[DESFASE ($COP)]]+D.sign_Data[[#This Row],[UTILIDAD ($COP)]]</f>
        <v>41167.34919056364</v>
      </c>
      <c r="AC89" s="101">
        <v>0.05</v>
      </c>
      <c r="AD89" s="15">
        <f>+D.sign_Data[[#This Row],[VALOR NETO ($COP)]]/(100%-D.sign_Data[[#This Row],[MARGEN DE NEGOCIACIÓN (%)]])-D.sign_Data[[#This Row],[VALOR NETO ($COP)]]</f>
        <v>2166.7025889770375</v>
      </c>
      <c r="AE89" s="15">
        <f>+(D.sign_Data[[#This Row],[VALOR NETO ($COP)]]+D.sign_Data[[#This Row],[NEGOCIACIÓN ($COP)]])*1%</f>
        <v>433.34051779540681</v>
      </c>
      <c r="AF89" s="15">
        <f>+(D.sign_Data[[#This Row],[VALOR NETO ($COP)]]+D.sign_Data[[#This Row],[NEGOCIACIÓN ($COP)]])*1%</f>
        <v>433.34051779540681</v>
      </c>
      <c r="AG89" s="3">
        <f>+D.sign_Data[[#This Row],[VALOR NETO ($COP)]]+D.sign_Data[[#This Row],[NEGOCIACIÓN ($COP)]]+D.sign_Data[[#This Row],[ICA ($COP)]]+D.sign_Data[[#This Row],[4 * 1000 ($COP)]]</f>
        <v>44200.732815131487</v>
      </c>
    </row>
    <row r="90" spans="1:33" ht="60" hidden="1" customHeight="1" x14ac:dyDescent="0.25">
      <c r="A90" s="14"/>
      <c r="B90" s="87" t="s">
        <v>442</v>
      </c>
      <c r="C90" s="182" t="s">
        <v>496</v>
      </c>
      <c r="D90" s="189" t="str">
        <f>VLOOKUP(D.sign_Data[[#This Row],[CÓDIGO]],Descripciones[[CÓDIGO]:[NOMBRE DE SERVICIO]],3,FALSE)</f>
        <v>D1. Parcelaciones y Condominios</v>
      </c>
      <c r="E90" s="87" t="s">
        <v>497</v>
      </c>
      <c r="F90" s="88" t="s">
        <v>498</v>
      </c>
      <c r="G90" s="88" t="s">
        <v>499</v>
      </c>
      <c r="H90" s="87" t="s">
        <v>448</v>
      </c>
      <c r="I90" s="89">
        <v>1</v>
      </c>
      <c r="J90" s="88" t="s">
        <v>501</v>
      </c>
      <c r="K90" s="102"/>
      <c r="L90" s="88" t="s">
        <v>473</v>
      </c>
      <c r="M90" s="89" t="s">
        <v>381</v>
      </c>
      <c r="N90" s="90">
        <v>0.5</v>
      </c>
      <c r="O90" s="27">
        <f>IFERROR(+VLOOKUP(M90,D.sign_Lista_Data[[RESPONSABLE]:[SOFTWARE 
VALOR HORA]],3,FALSE),"0")</f>
        <v>20263.424518743668</v>
      </c>
      <c r="P90" s="3">
        <f t="shared" si="0"/>
        <v>10131.712259371834</v>
      </c>
      <c r="Q90" s="11">
        <f>IFERROR(+VLOOKUP(M90,D.sign_Lista_Data[[RESPONSABLE]:[SOFTWARE 
VALOR HORA]],5,FALSE)*D.sign_Data[[#This Row],[TIEMPO (HORAS)]],0)</f>
        <v>2110.7733873691318</v>
      </c>
      <c r="R90" s="42">
        <f>IFERROR(+VLOOKUP(M90,D.sign_Lista_Data[[RESPONSABLE]:[SOFTWARE 
VALOR HORA]],8,FALSE)*D.sign_Data[[#This Row],[TIEMPO (HORAS)]],0)</f>
        <v>1705.4274435719917</v>
      </c>
      <c r="S90" s="99">
        <v>0</v>
      </c>
      <c r="T90" s="99">
        <v>0</v>
      </c>
      <c r="U90" s="3">
        <f t="shared" si="1"/>
        <v>13947.913090312959</v>
      </c>
      <c r="V90" s="100">
        <f>D.sign_Data[[#This Row],[TIEMPO (HORAS)]]*Gastos_Operativos[[#Totals],[GASTOS HORA]]</f>
        <v>13894.738536155201</v>
      </c>
      <c r="W90" s="3">
        <f>+D.sign_Data[[#This Row],[COSTO 
DIRECTO ($COP)]]+D.sign_Data[[#This Row],[PRORRATEO GASTOS ($COP)]]</f>
        <v>27842.65162646816</v>
      </c>
      <c r="X90" s="101">
        <v>0.05</v>
      </c>
      <c r="Y90" s="15">
        <f>+D.sign_Data[[#This Row],[COSTOS OPERACIONALES ($COP)]]*D.sign_Data[[#This Row],[DESFASE (%)]]</f>
        <v>1392.132581323408</v>
      </c>
      <c r="Z90" s="101">
        <v>0.3</v>
      </c>
      <c r="AA90" s="15">
        <f>+((D.sign_Data[[#This Row],[COSTOS OPERACIONALES ($COP)]]/(100%-D.sign_Data[[#This Row],[UTILIDAD (%)]])))-D.sign_Data[[#This Row],[COSTOS OPERACIONALES ($COP)]]</f>
        <v>11932.564982772074</v>
      </c>
      <c r="AB90" s="3">
        <f>+D.sign_Data[[#This Row],[COSTOS OPERACIONALES ($COP)]]+D.sign_Data[[#This Row],[DESFASE ($COP)]]+D.sign_Data[[#This Row],[UTILIDAD ($COP)]]</f>
        <v>41167.34919056364</v>
      </c>
      <c r="AC90" s="101">
        <v>0.05</v>
      </c>
      <c r="AD90" s="15">
        <f>+D.sign_Data[[#This Row],[VALOR NETO ($COP)]]/(100%-D.sign_Data[[#This Row],[MARGEN DE NEGOCIACIÓN (%)]])-D.sign_Data[[#This Row],[VALOR NETO ($COP)]]</f>
        <v>2166.7025889770375</v>
      </c>
      <c r="AE90" s="15">
        <f>+(D.sign_Data[[#This Row],[VALOR NETO ($COP)]]+D.sign_Data[[#This Row],[NEGOCIACIÓN ($COP)]])*1%</f>
        <v>433.34051779540681</v>
      </c>
      <c r="AF90" s="15">
        <f>+(D.sign_Data[[#This Row],[VALOR NETO ($COP)]]+D.sign_Data[[#This Row],[NEGOCIACIÓN ($COP)]])*1%</f>
        <v>433.34051779540681</v>
      </c>
      <c r="AG90" s="3">
        <f>+D.sign_Data[[#This Row],[VALOR NETO ($COP)]]+D.sign_Data[[#This Row],[NEGOCIACIÓN ($COP)]]+D.sign_Data[[#This Row],[ICA ($COP)]]+D.sign_Data[[#This Row],[4 * 1000 ($COP)]]</f>
        <v>44200.732815131487</v>
      </c>
    </row>
    <row r="91" spans="1:33" ht="60" hidden="1" customHeight="1" x14ac:dyDescent="0.25">
      <c r="A91" s="14"/>
      <c r="B91" s="87" t="s">
        <v>442</v>
      </c>
      <c r="C91" s="182" t="s">
        <v>496</v>
      </c>
      <c r="D91" s="189" t="str">
        <f>VLOOKUP(D.sign_Data[[#This Row],[CÓDIGO]],Descripciones[[CÓDIGO]:[NOMBRE DE SERVICIO]],3,FALSE)</f>
        <v>D1. Parcelaciones y Condominios</v>
      </c>
      <c r="E91" s="87" t="s">
        <v>497</v>
      </c>
      <c r="F91" s="88" t="s">
        <v>498</v>
      </c>
      <c r="G91" s="88" t="s">
        <v>499</v>
      </c>
      <c r="H91" s="87" t="s">
        <v>448</v>
      </c>
      <c r="I91" s="89">
        <v>1</v>
      </c>
      <c r="J91" s="88" t="s">
        <v>501</v>
      </c>
      <c r="K91" s="102"/>
      <c r="L91" s="88" t="s">
        <v>474</v>
      </c>
      <c r="M91" s="89" t="s">
        <v>381</v>
      </c>
      <c r="N91" s="90">
        <v>0.25</v>
      </c>
      <c r="O91" s="27">
        <f>IFERROR(+VLOOKUP(M91,D.sign_Lista_Data[[RESPONSABLE]:[SOFTWARE 
VALOR HORA]],3,FALSE),"0")</f>
        <v>20263.424518743668</v>
      </c>
      <c r="P91" s="3">
        <f t="shared" si="0"/>
        <v>5065.856129685917</v>
      </c>
      <c r="Q91" s="11">
        <f>IFERROR(+VLOOKUP(M91,D.sign_Lista_Data[[RESPONSABLE]:[SOFTWARE 
VALOR HORA]],5,FALSE)*D.sign_Data[[#This Row],[TIEMPO (HORAS)]],0)</f>
        <v>1055.3866936845659</v>
      </c>
      <c r="R91" s="42">
        <f>IFERROR(+VLOOKUP(M91,D.sign_Lista_Data[[RESPONSABLE]:[SOFTWARE 
VALOR HORA]],8,FALSE)*D.sign_Data[[#This Row],[TIEMPO (HORAS)]],0)</f>
        <v>852.71372178599586</v>
      </c>
      <c r="S91" s="99">
        <v>0</v>
      </c>
      <c r="T91" s="99">
        <v>0</v>
      </c>
      <c r="U91" s="3">
        <f t="shared" si="1"/>
        <v>6973.9565451564795</v>
      </c>
      <c r="V91" s="100">
        <f>D.sign_Data[[#This Row],[TIEMPO (HORAS)]]*Gastos_Operativos[[#Totals],[GASTOS HORA]]</f>
        <v>6947.3692680776003</v>
      </c>
      <c r="W91" s="3">
        <f>+D.sign_Data[[#This Row],[COSTO 
DIRECTO ($COP)]]+D.sign_Data[[#This Row],[PRORRATEO GASTOS ($COP)]]</f>
        <v>13921.32581323408</v>
      </c>
      <c r="X91" s="101">
        <v>0.05</v>
      </c>
      <c r="Y91" s="15">
        <f>+D.sign_Data[[#This Row],[COSTOS OPERACIONALES ($COP)]]*D.sign_Data[[#This Row],[DESFASE (%)]]</f>
        <v>696.06629066170399</v>
      </c>
      <c r="Z91" s="101">
        <v>0.3</v>
      </c>
      <c r="AA91" s="15">
        <f>+((D.sign_Data[[#This Row],[COSTOS OPERACIONALES ($COP)]]/(100%-D.sign_Data[[#This Row],[UTILIDAD (%)]])))-D.sign_Data[[#This Row],[COSTOS OPERACIONALES ($COP)]]</f>
        <v>5966.2824913860368</v>
      </c>
      <c r="AB91" s="3">
        <f>+D.sign_Data[[#This Row],[COSTOS OPERACIONALES ($COP)]]+D.sign_Data[[#This Row],[DESFASE ($COP)]]+D.sign_Data[[#This Row],[UTILIDAD ($COP)]]</f>
        <v>20583.67459528182</v>
      </c>
      <c r="AC91" s="101">
        <v>0.05</v>
      </c>
      <c r="AD91" s="15">
        <f>+D.sign_Data[[#This Row],[VALOR NETO ($COP)]]/(100%-D.sign_Data[[#This Row],[MARGEN DE NEGOCIACIÓN (%)]])-D.sign_Data[[#This Row],[VALOR NETO ($COP)]]</f>
        <v>1083.3512944885188</v>
      </c>
      <c r="AE91" s="15">
        <f>+(D.sign_Data[[#This Row],[VALOR NETO ($COP)]]+D.sign_Data[[#This Row],[NEGOCIACIÓN ($COP)]])*1%</f>
        <v>216.67025889770341</v>
      </c>
      <c r="AF91" s="15">
        <f>+(D.sign_Data[[#This Row],[VALOR NETO ($COP)]]+D.sign_Data[[#This Row],[NEGOCIACIÓN ($COP)]])*1%</f>
        <v>216.67025889770341</v>
      </c>
      <c r="AG91" s="3">
        <f>+D.sign_Data[[#This Row],[VALOR NETO ($COP)]]+D.sign_Data[[#This Row],[NEGOCIACIÓN ($COP)]]+D.sign_Data[[#This Row],[ICA ($COP)]]+D.sign_Data[[#This Row],[4 * 1000 ($COP)]]</f>
        <v>22100.366407565743</v>
      </c>
    </row>
    <row r="92" spans="1:33" ht="60" hidden="1" customHeight="1" x14ac:dyDescent="0.25">
      <c r="A92" s="14"/>
      <c r="B92" s="87" t="s">
        <v>442</v>
      </c>
      <c r="C92" s="182" t="s">
        <v>496</v>
      </c>
      <c r="D92" s="189" t="str">
        <f>VLOOKUP(D.sign_Data[[#This Row],[CÓDIGO]],Descripciones[[CÓDIGO]:[NOMBRE DE SERVICIO]],3,FALSE)</f>
        <v>D1. Parcelaciones y Condominios</v>
      </c>
      <c r="E92" s="87" t="s">
        <v>497</v>
      </c>
      <c r="F92" s="88" t="s">
        <v>498</v>
      </c>
      <c r="G92" s="88" t="s">
        <v>499</v>
      </c>
      <c r="H92" s="87" t="s">
        <v>448</v>
      </c>
      <c r="I92" s="89">
        <v>1</v>
      </c>
      <c r="J92" s="88" t="s">
        <v>502</v>
      </c>
      <c r="K92" s="102"/>
      <c r="L92" s="88" t="s">
        <v>476</v>
      </c>
      <c r="M92" s="89" t="s">
        <v>381</v>
      </c>
      <c r="N92" s="90">
        <v>0.25</v>
      </c>
      <c r="O92" s="27">
        <f>IFERROR(+VLOOKUP(M92,D.sign_Lista_Data[[RESPONSABLE]:[SOFTWARE 
VALOR HORA]],3,FALSE),"0")</f>
        <v>20263.424518743668</v>
      </c>
      <c r="P92" s="3">
        <f t="shared" si="0"/>
        <v>5065.856129685917</v>
      </c>
      <c r="Q92" s="11">
        <f>IFERROR(+VLOOKUP(M92,D.sign_Lista_Data[[RESPONSABLE]:[SOFTWARE 
VALOR HORA]],5,FALSE)*D.sign_Data[[#This Row],[TIEMPO (HORAS)]],0)</f>
        <v>1055.3866936845659</v>
      </c>
      <c r="R92" s="42">
        <f>IFERROR(+VLOOKUP(M92,D.sign_Lista_Data[[RESPONSABLE]:[SOFTWARE 
VALOR HORA]],8,FALSE)*D.sign_Data[[#This Row],[TIEMPO (HORAS)]],0)</f>
        <v>852.71372178599586</v>
      </c>
      <c r="S92" s="99">
        <v>0</v>
      </c>
      <c r="T92" s="99">
        <v>0</v>
      </c>
      <c r="U92" s="3">
        <f t="shared" si="1"/>
        <v>6973.9565451564795</v>
      </c>
      <c r="V92" s="100">
        <f>D.sign_Data[[#This Row],[TIEMPO (HORAS)]]*Gastos_Operativos[[#Totals],[GASTOS HORA]]</f>
        <v>6947.3692680776003</v>
      </c>
      <c r="W92" s="3">
        <f>+D.sign_Data[[#This Row],[COSTO 
DIRECTO ($COP)]]+D.sign_Data[[#This Row],[PRORRATEO GASTOS ($COP)]]</f>
        <v>13921.32581323408</v>
      </c>
      <c r="X92" s="101">
        <v>0.05</v>
      </c>
      <c r="Y92" s="15">
        <f>+D.sign_Data[[#This Row],[COSTOS OPERACIONALES ($COP)]]*D.sign_Data[[#This Row],[DESFASE (%)]]</f>
        <v>696.06629066170399</v>
      </c>
      <c r="Z92" s="101">
        <v>0.3</v>
      </c>
      <c r="AA92" s="15">
        <f>+((D.sign_Data[[#This Row],[COSTOS OPERACIONALES ($COP)]]/(100%-D.sign_Data[[#This Row],[UTILIDAD (%)]])))-D.sign_Data[[#This Row],[COSTOS OPERACIONALES ($COP)]]</f>
        <v>5966.2824913860368</v>
      </c>
      <c r="AB92" s="3">
        <f>+D.sign_Data[[#This Row],[COSTOS OPERACIONALES ($COP)]]+D.sign_Data[[#This Row],[DESFASE ($COP)]]+D.sign_Data[[#This Row],[UTILIDAD ($COP)]]</f>
        <v>20583.67459528182</v>
      </c>
      <c r="AC92" s="101">
        <v>0.05</v>
      </c>
      <c r="AD92" s="15">
        <f>+D.sign_Data[[#This Row],[VALOR NETO ($COP)]]/(100%-D.sign_Data[[#This Row],[MARGEN DE NEGOCIACIÓN (%)]])-D.sign_Data[[#This Row],[VALOR NETO ($COP)]]</f>
        <v>1083.3512944885188</v>
      </c>
      <c r="AE92" s="15">
        <f>+(D.sign_Data[[#This Row],[VALOR NETO ($COP)]]+D.sign_Data[[#This Row],[NEGOCIACIÓN ($COP)]])*1%</f>
        <v>216.67025889770341</v>
      </c>
      <c r="AF92" s="15">
        <f>+(D.sign_Data[[#This Row],[VALOR NETO ($COP)]]+D.sign_Data[[#This Row],[NEGOCIACIÓN ($COP)]])*1%</f>
        <v>216.67025889770341</v>
      </c>
      <c r="AG92" s="3">
        <f>+D.sign_Data[[#This Row],[VALOR NETO ($COP)]]+D.sign_Data[[#This Row],[NEGOCIACIÓN ($COP)]]+D.sign_Data[[#This Row],[ICA ($COP)]]+D.sign_Data[[#This Row],[4 * 1000 ($COP)]]</f>
        <v>22100.366407565743</v>
      </c>
    </row>
    <row r="93" spans="1:33" ht="60" hidden="1" customHeight="1" x14ac:dyDescent="0.25">
      <c r="A93" s="14"/>
      <c r="B93" s="87" t="s">
        <v>442</v>
      </c>
      <c r="C93" s="182" t="s">
        <v>496</v>
      </c>
      <c r="D93" s="189" t="str">
        <f>VLOOKUP(D.sign_Data[[#This Row],[CÓDIGO]],Descripciones[[CÓDIGO]:[NOMBRE DE SERVICIO]],3,FALSE)</f>
        <v>D1. Parcelaciones y Condominios</v>
      </c>
      <c r="E93" s="87" t="s">
        <v>497</v>
      </c>
      <c r="F93" s="88" t="s">
        <v>498</v>
      </c>
      <c r="G93" s="88" t="s">
        <v>499</v>
      </c>
      <c r="H93" s="87" t="s">
        <v>448</v>
      </c>
      <c r="I93" s="89">
        <v>1</v>
      </c>
      <c r="J93" s="88" t="s">
        <v>502</v>
      </c>
      <c r="K93" s="102"/>
      <c r="L93" s="91" t="s">
        <v>477</v>
      </c>
      <c r="M93" s="89" t="s">
        <v>381</v>
      </c>
      <c r="N93" s="90">
        <v>1</v>
      </c>
      <c r="O93" s="27">
        <f>IFERROR(+VLOOKUP(M93,D.sign_Lista_Data[[RESPONSABLE]:[SOFTWARE 
VALOR HORA]],3,FALSE),"0")</f>
        <v>20263.424518743668</v>
      </c>
      <c r="P93" s="3">
        <f t="shared" ref="P93:P156" si="4">+O93*N93</f>
        <v>20263.424518743668</v>
      </c>
      <c r="Q93" s="11">
        <f>IFERROR(+VLOOKUP(M93,D.sign_Lista_Data[[RESPONSABLE]:[SOFTWARE 
VALOR HORA]],5,FALSE)*D.sign_Data[[#This Row],[TIEMPO (HORAS)]],0)</f>
        <v>4221.5467747382636</v>
      </c>
      <c r="R93" s="42">
        <f>IFERROR(+VLOOKUP(M93,D.sign_Lista_Data[[RESPONSABLE]:[SOFTWARE 
VALOR HORA]],8,FALSE)*D.sign_Data[[#This Row],[TIEMPO (HORAS)]],0)</f>
        <v>3410.8548871439834</v>
      </c>
      <c r="S93" s="99">
        <v>0</v>
      </c>
      <c r="T93" s="99">
        <v>0</v>
      </c>
      <c r="U93" s="3">
        <f t="shared" ref="U93:U156" si="5">SUM(P93:T93)</f>
        <v>27895.826180625918</v>
      </c>
      <c r="V93" s="100">
        <f>D.sign_Data[[#This Row],[TIEMPO (HORAS)]]*Gastos_Operativos[[#Totals],[GASTOS HORA]]</f>
        <v>27789.477072310401</v>
      </c>
      <c r="W93" s="3">
        <f>+D.sign_Data[[#This Row],[COSTO 
DIRECTO ($COP)]]+D.sign_Data[[#This Row],[PRORRATEO GASTOS ($COP)]]</f>
        <v>55685.303252936319</v>
      </c>
      <c r="X93" s="101">
        <v>0.05</v>
      </c>
      <c r="Y93" s="15">
        <f>+D.sign_Data[[#This Row],[COSTOS OPERACIONALES ($COP)]]*D.sign_Data[[#This Row],[DESFASE (%)]]</f>
        <v>2784.265162646816</v>
      </c>
      <c r="Z93" s="101">
        <v>0.3</v>
      </c>
      <c r="AA93" s="15">
        <f>+((D.sign_Data[[#This Row],[COSTOS OPERACIONALES ($COP)]]/(100%-D.sign_Data[[#This Row],[UTILIDAD (%)]])))-D.sign_Data[[#This Row],[COSTOS OPERACIONALES ($COP)]]</f>
        <v>23865.129965544147</v>
      </c>
      <c r="AB93" s="3">
        <f>+D.sign_Data[[#This Row],[COSTOS OPERACIONALES ($COP)]]+D.sign_Data[[#This Row],[DESFASE ($COP)]]+D.sign_Data[[#This Row],[UTILIDAD ($COP)]]</f>
        <v>82334.69838112728</v>
      </c>
      <c r="AC93" s="101">
        <v>0.05</v>
      </c>
      <c r="AD93" s="15">
        <f>+D.sign_Data[[#This Row],[VALOR NETO ($COP)]]/(100%-D.sign_Data[[#This Row],[MARGEN DE NEGOCIACIÓN (%)]])-D.sign_Data[[#This Row],[VALOR NETO ($COP)]]</f>
        <v>4333.405177954075</v>
      </c>
      <c r="AE93" s="15">
        <f>+(D.sign_Data[[#This Row],[VALOR NETO ($COP)]]+D.sign_Data[[#This Row],[NEGOCIACIÓN ($COP)]])*1%</f>
        <v>866.68103559081362</v>
      </c>
      <c r="AF93" s="15">
        <f>+(D.sign_Data[[#This Row],[VALOR NETO ($COP)]]+D.sign_Data[[#This Row],[NEGOCIACIÓN ($COP)]])*1%</f>
        <v>866.68103559081362</v>
      </c>
      <c r="AG93" s="3">
        <f>+D.sign_Data[[#This Row],[VALOR NETO ($COP)]]+D.sign_Data[[#This Row],[NEGOCIACIÓN ($COP)]]+D.sign_Data[[#This Row],[ICA ($COP)]]+D.sign_Data[[#This Row],[4 * 1000 ($COP)]]</f>
        <v>88401.465630262974</v>
      </c>
    </row>
    <row r="94" spans="1:33" ht="60" hidden="1" customHeight="1" x14ac:dyDescent="0.25">
      <c r="A94" s="14"/>
      <c r="B94" s="87" t="s">
        <v>442</v>
      </c>
      <c r="C94" s="182" t="s">
        <v>496</v>
      </c>
      <c r="D94" s="189" t="str">
        <f>VLOOKUP(D.sign_Data[[#This Row],[CÓDIGO]],Descripciones[[CÓDIGO]:[NOMBRE DE SERVICIO]],3,FALSE)</f>
        <v>D1. Parcelaciones y Condominios</v>
      </c>
      <c r="E94" s="87" t="s">
        <v>497</v>
      </c>
      <c r="F94" s="88" t="s">
        <v>498</v>
      </c>
      <c r="G94" s="88" t="s">
        <v>499</v>
      </c>
      <c r="H94" s="87" t="s">
        <v>500</v>
      </c>
      <c r="I94" s="89">
        <v>1</v>
      </c>
      <c r="J94" s="88" t="s">
        <v>502</v>
      </c>
      <c r="K94" s="102"/>
      <c r="L94" s="91" t="s">
        <v>471</v>
      </c>
      <c r="M94" s="89" t="s">
        <v>381</v>
      </c>
      <c r="N94" s="90">
        <v>2</v>
      </c>
      <c r="O94" s="27">
        <f>IFERROR(+VLOOKUP(M94,D.sign_Lista_Data[[RESPONSABLE]:[SOFTWARE 
VALOR HORA]],3,FALSE),"0")</f>
        <v>20263.424518743668</v>
      </c>
      <c r="P94" s="3">
        <f t="shared" si="4"/>
        <v>40526.849037487336</v>
      </c>
      <c r="Q94" s="11">
        <f>IFERROR(+VLOOKUP(M94,D.sign_Lista_Data[[RESPONSABLE]:[SOFTWARE 
VALOR HORA]],5,FALSE)*D.sign_Data[[#This Row],[TIEMPO (HORAS)]],0)</f>
        <v>8443.0935494765272</v>
      </c>
      <c r="R94" s="42">
        <f>IFERROR(+VLOOKUP(M94,D.sign_Lista_Data[[RESPONSABLE]:[SOFTWARE 
VALOR HORA]],8,FALSE)*D.sign_Data[[#This Row],[TIEMPO (HORAS)]],0)</f>
        <v>6821.7097742879669</v>
      </c>
      <c r="S94" s="99">
        <v>0</v>
      </c>
      <c r="T94" s="99">
        <v>0</v>
      </c>
      <c r="U94" s="3">
        <f t="shared" si="5"/>
        <v>55791.652361251836</v>
      </c>
      <c r="V94" s="100">
        <f>D.sign_Data[[#This Row],[TIEMPO (HORAS)]]*Gastos_Operativos[[#Totals],[GASTOS HORA]]</f>
        <v>55578.954144620802</v>
      </c>
      <c r="W94" s="3">
        <f>+D.sign_Data[[#This Row],[COSTO 
DIRECTO ($COP)]]+D.sign_Data[[#This Row],[PRORRATEO GASTOS ($COP)]]</f>
        <v>111370.60650587264</v>
      </c>
      <c r="X94" s="101">
        <v>0.05</v>
      </c>
      <c r="Y94" s="15">
        <f>+D.sign_Data[[#This Row],[COSTOS OPERACIONALES ($COP)]]*D.sign_Data[[#This Row],[DESFASE (%)]]</f>
        <v>5568.5303252936319</v>
      </c>
      <c r="Z94" s="101">
        <v>0.3</v>
      </c>
      <c r="AA94" s="15">
        <f>+((D.sign_Data[[#This Row],[COSTOS OPERACIONALES ($COP)]]/(100%-D.sign_Data[[#This Row],[UTILIDAD (%)]])))-D.sign_Data[[#This Row],[COSTOS OPERACIONALES ($COP)]]</f>
        <v>47730.259931088294</v>
      </c>
      <c r="AB94" s="3">
        <f>+D.sign_Data[[#This Row],[COSTOS OPERACIONALES ($COP)]]+D.sign_Data[[#This Row],[DESFASE ($COP)]]+D.sign_Data[[#This Row],[UTILIDAD ($COP)]]</f>
        <v>164669.39676225456</v>
      </c>
      <c r="AC94" s="101">
        <v>0.05</v>
      </c>
      <c r="AD94" s="15">
        <f>+D.sign_Data[[#This Row],[VALOR NETO ($COP)]]/(100%-D.sign_Data[[#This Row],[MARGEN DE NEGOCIACIÓN (%)]])-D.sign_Data[[#This Row],[VALOR NETO ($COP)]]</f>
        <v>8666.8103559081501</v>
      </c>
      <c r="AE94" s="15">
        <f>+(D.sign_Data[[#This Row],[VALOR NETO ($COP)]]+D.sign_Data[[#This Row],[NEGOCIACIÓN ($COP)]])*1%</f>
        <v>1733.3620711816272</v>
      </c>
      <c r="AF94" s="15">
        <f>+(D.sign_Data[[#This Row],[VALOR NETO ($COP)]]+D.sign_Data[[#This Row],[NEGOCIACIÓN ($COP)]])*1%</f>
        <v>1733.3620711816272</v>
      </c>
      <c r="AG94" s="3">
        <f>+D.sign_Data[[#This Row],[VALOR NETO ($COP)]]+D.sign_Data[[#This Row],[NEGOCIACIÓN ($COP)]]+D.sign_Data[[#This Row],[ICA ($COP)]]+D.sign_Data[[#This Row],[4 * 1000 ($COP)]]</f>
        <v>176802.93126052595</v>
      </c>
    </row>
    <row r="95" spans="1:33" ht="60" hidden="1" customHeight="1" x14ac:dyDescent="0.25">
      <c r="A95" s="14"/>
      <c r="B95" s="87" t="s">
        <v>442</v>
      </c>
      <c r="C95" s="182" t="s">
        <v>496</v>
      </c>
      <c r="D95" s="189" t="str">
        <f>VLOOKUP(D.sign_Data[[#This Row],[CÓDIGO]],Descripciones[[CÓDIGO]:[NOMBRE DE SERVICIO]],3,FALSE)</f>
        <v>D1. Parcelaciones y Condominios</v>
      </c>
      <c r="E95" s="87" t="s">
        <v>497</v>
      </c>
      <c r="F95" s="88" t="s">
        <v>498</v>
      </c>
      <c r="G95" s="88" t="s">
        <v>499</v>
      </c>
      <c r="H95" s="87" t="s">
        <v>448</v>
      </c>
      <c r="I95" s="89">
        <v>1</v>
      </c>
      <c r="J95" s="88" t="s">
        <v>502</v>
      </c>
      <c r="K95" s="102"/>
      <c r="L95" s="91" t="s">
        <v>503</v>
      </c>
      <c r="M95" s="89" t="s">
        <v>381</v>
      </c>
      <c r="N95" s="90">
        <v>2</v>
      </c>
      <c r="O95" s="27">
        <f>IFERROR(+VLOOKUP(M95,D.sign_Lista_Data[[RESPONSABLE]:[SOFTWARE 
VALOR HORA]],3,FALSE),"0")</f>
        <v>20263.424518743668</v>
      </c>
      <c r="P95" s="3">
        <f t="shared" si="4"/>
        <v>40526.849037487336</v>
      </c>
      <c r="Q95" s="11">
        <f>IFERROR(+VLOOKUP(M95,D.sign_Lista_Data[[RESPONSABLE]:[SOFTWARE 
VALOR HORA]],5,FALSE)*D.sign_Data[[#This Row],[TIEMPO (HORAS)]],0)</f>
        <v>8443.0935494765272</v>
      </c>
      <c r="R95" s="42">
        <f>IFERROR(+VLOOKUP(M95,D.sign_Lista_Data[[RESPONSABLE]:[SOFTWARE 
VALOR HORA]],8,FALSE)*D.sign_Data[[#This Row],[TIEMPO (HORAS)]],0)</f>
        <v>6821.7097742879669</v>
      </c>
      <c r="S95" s="99">
        <v>0</v>
      </c>
      <c r="T95" s="99">
        <v>0</v>
      </c>
      <c r="U95" s="3">
        <f t="shared" si="5"/>
        <v>55791.652361251836</v>
      </c>
      <c r="V95" s="100">
        <f>D.sign_Data[[#This Row],[TIEMPO (HORAS)]]*Gastos_Operativos[[#Totals],[GASTOS HORA]]</f>
        <v>55578.954144620802</v>
      </c>
      <c r="W95" s="3">
        <f>+D.sign_Data[[#This Row],[COSTO 
DIRECTO ($COP)]]+D.sign_Data[[#This Row],[PRORRATEO GASTOS ($COP)]]</f>
        <v>111370.60650587264</v>
      </c>
      <c r="X95" s="101">
        <v>0.05</v>
      </c>
      <c r="Y95" s="15">
        <f>+D.sign_Data[[#This Row],[COSTOS OPERACIONALES ($COP)]]*D.sign_Data[[#This Row],[DESFASE (%)]]</f>
        <v>5568.5303252936319</v>
      </c>
      <c r="Z95" s="101">
        <v>0.3</v>
      </c>
      <c r="AA95" s="15">
        <f>+((D.sign_Data[[#This Row],[COSTOS OPERACIONALES ($COP)]]/(100%-D.sign_Data[[#This Row],[UTILIDAD (%)]])))-D.sign_Data[[#This Row],[COSTOS OPERACIONALES ($COP)]]</f>
        <v>47730.259931088294</v>
      </c>
      <c r="AB95" s="3">
        <f>+D.sign_Data[[#This Row],[COSTOS OPERACIONALES ($COP)]]+D.sign_Data[[#This Row],[DESFASE ($COP)]]+D.sign_Data[[#This Row],[UTILIDAD ($COP)]]</f>
        <v>164669.39676225456</v>
      </c>
      <c r="AC95" s="101">
        <v>0.05</v>
      </c>
      <c r="AD95" s="15">
        <f>+D.sign_Data[[#This Row],[VALOR NETO ($COP)]]/(100%-D.sign_Data[[#This Row],[MARGEN DE NEGOCIACIÓN (%)]])-D.sign_Data[[#This Row],[VALOR NETO ($COP)]]</f>
        <v>8666.8103559081501</v>
      </c>
      <c r="AE95" s="15">
        <f>+(D.sign_Data[[#This Row],[VALOR NETO ($COP)]]+D.sign_Data[[#This Row],[NEGOCIACIÓN ($COP)]])*1%</f>
        <v>1733.3620711816272</v>
      </c>
      <c r="AF95" s="15">
        <f>+(D.sign_Data[[#This Row],[VALOR NETO ($COP)]]+D.sign_Data[[#This Row],[NEGOCIACIÓN ($COP)]])*1%</f>
        <v>1733.3620711816272</v>
      </c>
      <c r="AG95" s="3">
        <f>+D.sign_Data[[#This Row],[VALOR NETO ($COP)]]+D.sign_Data[[#This Row],[NEGOCIACIÓN ($COP)]]+D.sign_Data[[#This Row],[ICA ($COP)]]+D.sign_Data[[#This Row],[4 * 1000 ($COP)]]</f>
        <v>176802.93126052595</v>
      </c>
    </row>
    <row r="96" spans="1:33" ht="60" hidden="1" customHeight="1" x14ac:dyDescent="0.25">
      <c r="A96" s="14"/>
      <c r="B96" s="87" t="s">
        <v>442</v>
      </c>
      <c r="C96" s="182" t="s">
        <v>496</v>
      </c>
      <c r="D96" s="189" t="str">
        <f>VLOOKUP(D.sign_Data[[#This Row],[CÓDIGO]],Descripciones[[CÓDIGO]:[NOMBRE DE SERVICIO]],3,FALSE)</f>
        <v>D1. Parcelaciones y Condominios</v>
      </c>
      <c r="E96" s="87" t="s">
        <v>497</v>
      </c>
      <c r="F96" s="88" t="s">
        <v>498</v>
      </c>
      <c r="G96" s="88" t="s">
        <v>499</v>
      </c>
      <c r="H96" s="87" t="s">
        <v>448</v>
      </c>
      <c r="I96" s="89">
        <v>1</v>
      </c>
      <c r="J96" s="88" t="s">
        <v>502</v>
      </c>
      <c r="K96" s="102"/>
      <c r="L96" s="88" t="s">
        <v>473</v>
      </c>
      <c r="M96" s="89" t="s">
        <v>381</v>
      </c>
      <c r="N96" s="90">
        <v>0.25</v>
      </c>
      <c r="O96" s="27">
        <f>IFERROR(+VLOOKUP(M96,D.sign_Lista_Data[[RESPONSABLE]:[SOFTWARE 
VALOR HORA]],3,FALSE),"0")</f>
        <v>20263.424518743668</v>
      </c>
      <c r="P96" s="3">
        <f t="shared" si="4"/>
        <v>5065.856129685917</v>
      </c>
      <c r="Q96" s="11">
        <f>IFERROR(+VLOOKUP(M96,D.sign_Lista_Data[[RESPONSABLE]:[SOFTWARE 
VALOR HORA]],5,FALSE)*D.sign_Data[[#This Row],[TIEMPO (HORAS)]],0)</f>
        <v>1055.3866936845659</v>
      </c>
      <c r="R96" s="42">
        <f>IFERROR(+VLOOKUP(M96,D.sign_Lista_Data[[RESPONSABLE]:[SOFTWARE 
VALOR HORA]],8,FALSE)*D.sign_Data[[#This Row],[TIEMPO (HORAS)]],0)</f>
        <v>852.71372178599586</v>
      </c>
      <c r="S96" s="99">
        <v>0</v>
      </c>
      <c r="T96" s="99">
        <v>0</v>
      </c>
      <c r="U96" s="3">
        <f t="shared" si="5"/>
        <v>6973.9565451564795</v>
      </c>
      <c r="V96" s="100">
        <f>D.sign_Data[[#This Row],[TIEMPO (HORAS)]]*Gastos_Operativos[[#Totals],[GASTOS HORA]]</f>
        <v>6947.3692680776003</v>
      </c>
      <c r="W96" s="3">
        <f>+D.sign_Data[[#This Row],[COSTO 
DIRECTO ($COP)]]+D.sign_Data[[#This Row],[PRORRATEO GASTOS ($COP)]]</f>
        <v>13921.32581323408</v>
      </c>
      <c r="X96" s="101">
        <v>0.05</v>
      </c>
      <c r="Y96" s="15">
        <f>+D.sign_Data[[#This Row],[COSTOS OPERACIONALES ($COP)]]*D.sign_Data[[#This Row],[DESFASE (%)]]</f>
        <v>696.06629066170399</v>
      </c>
      <c r="Z96" s="101">
        <v>0.3</v>
      </c>
      <c r="AA96" s="15">
        <f>+((D.sign_Data[[#This Row],[COSTOS OPERACIONALES ($COP)]]/(100%-D.sign_Data[[#This Row],[UTILIDAD (%)]])))-D.sign_Data[[#This Row],[COSTOS OPERACIONALES ($COP)]]</f>
        <v>5966.2824913860368</v>
      </c>
      <c r="AB96" s="3">
        <f>+D.sign_Data[[#This Row],[COSTOS OPERACIONALES ($COP)]]+D.sign_Data[[#This Row],[DESFASE ($COP)]]+D.sign_Data[[#This Row],[UTILIDAD ($COP)]]</f>
        <v>20583.67459528182</v>
      </c>
      <c r="AC96" s="101">
        <v>0.05</v>
      </c>
      <c r="AD96" s="15">
        <f>+D.sign_Data[[#This Row],[VALOR NETO ($COP)]]/(100%-D.sign_Data[[#This Row],[MARGEN DE NEGOCIACIÓN (%)]])-D.sign_Data[[#This Row],[VALOR NETO ($COP)]]</f>
        <v>1083.3512944885188</v>
      </c>
      <c r="AE96" s="15">
        <f>+(D.sign_Data[[#This Row],[VALOR NETO ($COP)]]+D.sign_Data[[#This Row],[NEGOCIACIÓN ($COP)]])*1%</f>
        <v>216.67025889770341</v>
      </c>
      <c r="AF96" s="15">
        <f>+(D.sign_Data[[#This Row],[VALOR NETO ($COP)]]+D.sign_Data[[#This Row],[NEGOCIACIÓN ($COP)]])*1%</f>
        <v>216.67025889770341</v>
      </c>
      <c r="AG96" s="3">
        <f>+D.sign_Data[[#This Row],[VALOR NETO ($COP)]]+D.sign_Data[[#This Row],[NEGOCIACIÓN ($COP)]]+D.sign_Data[[#This Row],[ICA ($COP)]]+D.sign_Data[[#This Row],[4 * 1000 ($COP)]]</f>
        <v>22100.366407565743</v>
      </c>
    </row>
    <row r="97" spans="1:33" ht="60" hidden="1" customHeight="1" x14ac:dyDescent="0.25">
      <c r="A97" s="14"/>
      <c r="B97" s="87" t="s">
        <v>442</v>
      </c>
      <c r="C97" s="182" t="s">
        <v>496</v>
      </c>
      <c r="D97" s="189" t="str">
        <f>VLOOKUP(D.sign_Data[[#This Row],[CÓDIGO]],Descripciones[[CÓDIGO]:[NOMBRE DE SERVICIO]],3,FALSE)</f>
        <v>D1. Parcelaciones y Condominios</v>
      </c>
      <c r="E97" s="87" t="s">
        <v>497</v>
      </c>
      <c r="F97" s="88" t="s">
        <v>498</v>
      </c>
      <c r="G97" s="88" t="s">
        <v>499</v>
      </c>
      <c r="H97" s="87" t="s">
        <v>500</v>
      </c>
      <c r="I97" s="89">
        <v>1</v>
      </c>
      <c r="J97" s="88" t="s">
        <v>502</v>
      </c>
      <c r="K97" s="102"/>
      <c r="L97" s="88" t="s">
        <v>478</v>
      </c>
      <c r="M97" s="89" t="s">
        <v>381</v>
      </c>
      <c r="N97" s="90">
        <v>0.5</v>
      </c>
      <c r="O97" s="27">
        <f>IFERROR(+VLOOKUP(M97,D.sign_Lista_Data[[RESPONSABLE]:[SOFTWARE 
VALOR HORA]],3,FALSE),"0")</f>
        <v>20263.424518743668</v>
      </c>
      <c r="P97" s="3">
        <f t="shared" si="4"/>
        <v>10131.712259371834</v>
      </c>
      <c r="Q97" s="11">
        <f>IFERROR(+VLOOKUP(M97,D.sign_Lista_Data[[RESPONSABLE]:[SOFTWARE 
VALOR HORA]],5,FALSE)*D.sign_Data[[#This Row],[TIEMPO (HORAS)]],0)</f>
        <v>2110.7733873691318</v>
      </c>
      <c r="R97" s="42">
        <f>IFERROR(+VLOOKUP(M97,D.sign_Lista_Data[[RESPONSABLE]:[SOFTWARE 
VALOR HORA]],8,FALSE)*D.sign_Data[[#This Row],[TIEMPO (HORAS)]],0)</f>
        <v>1705.4274435719917</v>
      </c>
      <c r="S97" s="99">
        <v>0</v>
      </c>
      <c r="T97" s="99">
        <v>0</v>
      </c>
      <c r="U97" s="3">
        <f t="shared" si="5"/>
        <v>13947.913090312959</v>
      </c>
      <c r="V97" s="100">
        <f>D.sign_Data[[#This Row],[TIEMPO (HORAS)]]*Gastos_Operativos[[#Totals],[GASTOS HORA]]</f>
        <v>13894.738536155201</v>
      </c>
      <c r="W97" s="3">
        <f>+D.sign_Data[[#This Row],[COSTO 
DIRECTO ($COP)]]+D.sign_Data[[#This Row],[PRORRATEO GASTOS ($COP)]]</f>
        <v>27842.65162646816</v>
      </c>
      <c r="X97" s="101">
        <v>0.05</v>
      </c>
      <c r="Y97" s="15">
        <f>+D.sign_Data[[#This Row],[COSTOS OPERACIONALES ($COP)]]*D.sign_Data[[#This Row],[DESFASE (%)]]</f>
        <v>1392.132581323408</v>
      </c>
      <c r="Z97" s="101">
        <v>0.3</v>
      </c>
      <c r="AA97" s="15">
        <f>+((D.sign_Data[[#This Row],[COSTOS OPERACIONALES ($COP)]]/(100%-D.sign_Data[[#This Row],[UTILIDAD (%)]])))-D.sign_Data[[#This Row],[COSTOS OPERACIONALES ($COP)]]</f>
        <v>11932.564982772074</v>
      </c>
      <c r="AB97" s="3">
        <f>+D.sign_Data[[#This Row],[COSTOS OPERACIONALES ($COP)]]+D.sign_Data[[#This Row],[DESFASE ($COP)]]+D.sign_Data[[#This Row],[UTILIDAD ($COP)]]</f>
        <v>41167.34919056364</v>
      </c>
      <c r="AC97" s="101">
        <v>0.05</v>
      </c>
      <c r="AD97" s="15">
        <f>+D.sign_Data[[#This Row],[VALOR NETO ($COP)]]/(100%-D.sign_Data[[#This Row],[MARGEN DE NEGOCIACIÓN (%)]])-D.sign_Data[[#This Row],[VALOR NETO ($COP)]]</f>
        <v>2166.7025889770375</v>
      </c>
      <c r="AE97" s="15">
        <f>+(D.sign_Data[[#This Row],[VALOR NETO ($COP)]]+D.sign_Data[[#This Row],[NEGOCIACIÓN ($COP)]])*1%</f>
        <v>433.34051779540681</v>
      </c>
      <c r="AF97" s="15">
        <f>+(D.sign_Data[[#This Row],[VALOR NETO ($COP)]]+D.sign_Data[[#This Row],[NEGOCIACIÓN ($COP)]])*1%</f>
        <v>433.34051779540681</v>
      </c>
      <c r="AG97" s="3">
        <f>+D.sign_Data[[#This Row],[VALOR NETO ($COP)]]+D.sign_Data[[#This Row],[NEGOCIACIÓN ($COP)]]+D.sign_Data[[#This Row],[ICA ($COP)]]+D.sign_Data[[#This Row],[4 * 1000 ($COP)]]</f>
        <v>44200.732815131487</v>
      </c>
    </row>
    <row r="98" spans="1:33" ht="60" hidden="1" customHeight="1" x14ac:dyDescent="0.25">
      <c r="A98" s="14"/>
      <c r="B98" s="87" t="s">
        <v>442</v>
      </c>
      <c r="C98" s="182" t="s">
        <v>496</v>
      </c>
      <c r="D98" s="189" t="str">
        <f>VLOOKUP(D.sign_Data[[#This Row],[CÓDIGO]],Descripciones[[CÓDIGO]:[NOMBRE DE SERVICIO]],3,FALSE)</f>
        <v>D1. Parcelaciones y Condominios</v>
      </c>
      <c r="E98" s="87" t="s">
        <v>497</v>
      </c>
      <c r="F98" s="88" t="s">
        <v>498</v>
      </c>
      <c r="G98" s="88" t="s">
        <v>499</v>
      </c>
      <c r="H98" s="87" t="s">
        <v>448</v>
      </c>
      <c r="I98" s="89">
        <v>1</v>
      </c>
      <c r="J98" s="88" t="s">
        <v>502</v>
      </c>
      <c r="K98" s="102"/>
      <c r="L98" s="88" t="s">
        <v>474</v>
      </c>
      <c r="M98" s="89" t="s">
        <v>381</v>
      </c>
      <c r="N98" s="90">
        <v>0.25</v>
      </c>
      <c r="O98" s="27">
        <f>IFERROR(+VLOOKUP(M98,D.sign_Lista_Data[[RESPONSABLE]:[SOFTWARE 
VALOR HORA]],3,FALSE),"0")</f>
        <v>20263.424518743668</v>
      </c>
      <c r="P98" s="3">
        <f t="shared" si="4"/>
        <v>5065.856129685917</v>
      </c>
      <c r="Q98" s="11">
        <f>IFERROR(+VLOOKUP(M98,D.sign_Lista_Data[[RESPONSABLE]:[SOFTWARE 
VALOR HORA]],5,FALSE)*D.sign_Data[[#This Row],[TIEMPO (HORAS)]],0)</f>
        <v>1055.3866936845659</v>
      </c>
      <c r="R98" s="42">
        <f>IFERROR(+VLOOKUP(M98,D.sign_Lista_Data[[RESPONSABLE]:[SOFTWARE 
VALOR HORA]],8,FALSE)*D.sign_Data[[#This Row],[TIEMPO (HORAS)]],0)</f>
        <v>852.71372178599586</v>
      </c>
      <c r="S98" s="99">
        <v>0</v>
      </c>
      <c r="T98" s="99">
        <v>0</v>
      </c>
      <c r="U98" s="3">
        <f t="shared" si="5"/>
        <v>6973.9565451564795</v>
      </c>
      <c r="V98" s="100">
        <f>D.sign_Data[[#This Row],[TIEMPO (HORAS)]]*Gastos_Operativos[[#Totals],[GASTOS HORA]]</f>
        <v>6947.3692680776003</v>
      </c>
      <c r="W98" s="3">
        <f>+D.sign_Data[[#This Row],[COSTO 
DIRECTO ($COP)]]+D.sign_Data[[#This Row],[PRORRATEO GASTOS ($COP)]]</f>
        <v>13921.32581323408</v>
      </c>
      <c r="X98" s="101">
        <v>0.05</v>
      </c>
      <c r="Y98" s="15">
        <f>+D.sign_Data[[#This Row],[COSTOS OPERACIONALES ($COP)]]*D.sign_Data[[#This Row],[DESFASE (%)]]</f>
        <v>696.06629066170399</v>
      </c>
      <c r="Z98" s="101">
        <v>0.3</v>
      </c>
      <c r="AA98" s="15">
        <f>+((D.sign_Data[[#This Row],[COSTOS OPERACIONALES ($COP)]]/(100%-D.sign_Data[[#This Row],[UTILIDAD (%)]])))-D.sign_Data[[#This Row],[COSTOS OPERACIONALES ($COP)]]</f>
        <v>5966.2824913860368</v>
      </c>
      <c r="AB98" s="3">
        <f>+D.sign_Data[[#This Row],[COSTOS OPERACIONALES ($COP)]]+D.sign_Data[[#This Row],[DESFASE ($COP)]]+D.sign_Data[[#This Row],[UTILIDAD ($COP)]]</f>
        <v>20583.67459528182</v>
      </c>
      <c r="AC98" s="101">
        <v>0.05</v>
      </c>
      <c r="AD98" s="15">
        <f>+D.sign_Data[[#This Row],[VALOR NETO ($COP)]]/(100%-D.sign_Data[[#This Row],[MARGEN DE NEGOCIACIÓN (%)]])-D.sign_Data[[#This Row],[VALOR NETO ($COP)]]</f>
        <v>1083.3512944885188</v>
      </c>
      <c r="AE98" s="15">
        <f>+(D.sign_Data[[#This Row],[VALOR NETO ($COP)]]+D.sign_Data[[#This Row],[NEGOCIACIÓN ($COP)]])*1%</f>
        <v>216.67025889770341</v>
      </c>
      <c r="AF98" s="15">
        <f>+(D.sign_Data[[#This Row],[VALOR NETO ($COP)]]+D.sign_Data[[#This Row],[NEGOCIACIÓN ($COP)]])*1%</f>
        <v>216.67025889770341</v>
      </c>
      <c r="AG98" s="3">
        <f>+D.sign_Data[[#This Row],[VALOR NETO ($COP)]]+D.sign_Data[[#This Row],[NEGOCIACIÓN ($COP)]]+D.sign_Data[[#This Row],[ICA ($COP)]]+D.sign_Data[[#This Row],[4 * 1000 ($COP)]]</f>
        <v>22100.366407565743</v>
      </c>
    </row>
    <row r="99" spans="1:33" ht="60" hidden="1" customHeight="1" x14ac:dyDescent="0.25">
      <c r="A99" s="14"/>
      <c r="B99" s="87" t="s">
        <v>442</v>
      </c>
      <c r="C99" s="182" t="s">
        <v>496</v>
      </c>
      <c r="D99" s="189" t="str">
        <f>VLOOKUP(D.sign_Data[[#This Row],[CÓDIGO]],Descripciones[[CÓDIGO]:[NOMBRE DE SERVICIO]],3,FALSE)</f>
        <v>D1. Parcelaciones y Condominios</v>
      </c>
      <c r="E99" s="87" t="s">
        <v>497</v>
      </c>
      <c r="F99" s="88" t="s">
        <v>498</v>
      </c>
      <c r="G99" s="88" t="s">
        <v>499</v>
      </c>
      <c r="H99" s="87" t="s">
        <v>448</v>
      </c>
      <c r="I99" s="89">
        <v>1</v>
      </c>
      <c r="J99" s="88" t="s">
        <v>504</v>
      </c>
      <c r="K99" s="102"/>
      <c r="L99" s="88" t="s">
        <v>476</v>
      </c>
      <c r="M99" s="89" t="s">
        <v>381</v>
      </c>
      <c r="N99" s="90">
        <v>0.25</v>
      </c>
      <c r="O99" s="27">
        <f>IFERROR(+VLOOKUP(M99,D.sign_Lista_Data[[RESPONSABLE]:[SOFTWARE 
VALOR HORA]],3,FALSE),"0")</f>
        <v>20263.424518743668</v>
      </c>
      <c r="P99" s="3">
        <f t="shared" si="4"/>
        <v>5065.856129685917</v>
      </c>
      <c r="Q99" s="11">
        <f>IFERROR(+VLOOKUP(M99,D.sign_Lista_Data[[RESPONSABLE]:[SOFTWARE 
VALOR HORA]],5,FALSE)*D.sign_Data[[#This Row],[TIEMPO (HORAS)]],0)</f>
        <v>1055.3866936845659</v>
      </c>
      <c r="R99" s="42">
        <f>IFERROR(+VLOOKUP(M99,D.sign_Lista_Data[[RESPONSABLE]:[SOFTWARE 
VALOR HORA]],8,FALSE)*D.sign_Data[[#This Row],[TIEMPO (HORAS)]],0)</f>
        <v>852.71372178599586</v>
      </c>
      <c r="S99" s="99">
        <v>0</v>
      </c>
      <c r="T99" s="99">
        <v>0</v>
      </c>
      <c r="U99" s="3">
        <f t="shared" si="5"/>
        <v>6973.9565451564795</v>
      </c>
      <c r="V99" s="100">
        <f>D.sign_Data[[#This Row],[TIEMPO (HORAS)]]*Gastos_Operativos[[#Totals],[GASTOS HORA]]</f>
        <v>6947.3692680776003</v>
      </c>
      <c r="W99" s="3">
        <f>+D.sign_Data[[#This Row],[COSTO 
DIRECTO ($COP)]]+D.sign_Data[[#This Row],[PRORRATEO GASTOS ($COP)]]</f>
        <v>13921.32581323408</v>
      </c>
      <c r="X99" s="101">
        <v>0.05</v>
      </c>
      <c r="Y99" s="15">
        <f>+D.sign_Data[[#This Row],[COSTOS OPERACIONALES ($COP)]]*D.sign_Data[[#This Row],[DESFASE (%)]]</f>
        <v>696.06629066170399</v>
      </c>
      <c r="Z99" s="101">
        <v>0.3</v>
      </c>
      <c r="AA99" s="15">
        <f>+((D.sign_Data[[#This Row],[COSTOS OPERACIONALES ($COP)]]/(100%-D.sign_Data[[#This Row],[UTILIDAD (%)]])))-D.sign_Data[[#This Row],[COSTOS OPERACIONALES ($COP)]]</f>
        <v>5966.2824913860368</v>
      </c>
      <c r="AB99" s="3">
        <f>+D.sign_Data[[#This Row],[COSTOS OPERACIONALES ($COP)]]+D.sign_Data[[#This Row],[DESFASE ($COP)]]+D.sign_Data[[#This Row],[UTILIDAD ($COP)]]</f>
        <v>20583.67459528182</v>
      </c>
      <c r="AC99" s="101">
        <v>0.05</v>
      </c>
      <c r="AD99" s="15">
        <f>+D.sign_Data[[#This Row],[VALOR NETO ($COP)]]/(100%-D.sign_Data[[#This Row],[MARGEN DE NEGOCIACIÓN (%)]])-D.sign_Data[[#This Row],[VALOR NETO ($COP)]]</f>
        <v>1083.3512944885188</v>
      </c>
      <c r="AE99" s="15">
        <f>+(D.sign_Data[[#This Row],[VALOR NETO ($COP)]]+D.sign_Data[[#This Row],[NEGOCIACIÓN ($COP)]])*1%</f>
        <v>216.67025889770341</v>
      </c>
      <c r="AF99" s="15">
        <f>+(D.sign_Data[[#This Row],[VALOR NETO ($COP)]]+D.sign_Data[[#This Row],[NEGOCIACIÓN ($COP)]])*1%</f>
        <v>216.67025889770341</v>
      </c>
      <c r="AG99" s="3">
        <f>+D.sign_Data[[#This Row],[VALOR NETO ($COP)]]+D.sign_Data[[#This Row],[NEGOCIACIÓN ($COP)]]+D.sign_Data[[#This Row],[ICA ($COP)]]+D.sign_Data[[#This Row],[4 * 1000 ($COP)]]</f>
        <v>22100.366407565743</v>
      </c>
    </row>
    <row r="100" spans="1:33" ht="60" hidden="1" customHeight="1" x14ac:dyDescent="0.25">
      <c r="A100" s="14"/>
      <c r="B100" s="87" t="s">
        <v>442</v>
      </c>
      <c r="C100" s="182" t="s">
        <v>496</v>
      </c>
      <c r="D100" s="189" t="str">
        <f>VLOOKUP(D.sign_Data[[#This Row],[CÓDIGO]],Descripciones[[CÓDIGO]:[NOMBRE DE SERVICIO]],3,FALSE)</f>
        <v>D1. Parcelaciones y Condominios</v>
      </c>
      <c r="E100" s="87" t="s">
        <v>497</v>
      </c>
      <c r="F100" s="88" t="s">
        <v>498</v>
      </c>
      <c r="G100" s="88" t="s">
        <v>499</v>
      </c>
      <c r="H100" s="87" t="s">
        <v>448</v>
      </c>
      <c r="I100" s="89">
        <v>1</v>
      </c>
      <c r="J100" s="88" t="s">
        <v>504</v>
      </c>
      <c r="K100" s="102"/>
      <c r="L100" s="88" t="s">
        <v>471</v>
      </c>
      <c r="M100" s="89" t="s">
        <v>381</v>
      </c>
      <c r="N100" s="90">
        <v>1</v>
      </c>
      <c r="O100" s="27">
        <f>IFERROR(+VLOOKUP(M100,D.sign_Lista_Data[[RESPONSABLE]:[SOFTWARE 
VALOR HORA]],3,FALSE),"0")</f>
        <v>20263.424518743668</v>
      </c>
      <c r="P100" s="3">
        <f t="shared" si="4"/>
        <v>20263.424518743668</v>
      </c>
      <c r="Q100" s="11">
        <f>IFERROR(+VLOOKUP(M100,D.sign_Lista_Data[[RESPONSABLE]:[SOFTWARE 
VALOR HORA]],5,FALSE)*D.sign_Data[[#This Row],[TIEMPO (HORAS)]],0)</f>
        <v>4221.5467747382636</v>
      </c>
      <c r="R100" s="42">
        <f>IFERROR(+VLOOKUP(M100,D.sign_Lista_Data[[RESPONSABLE]:[SOFTWARE 
VALOR HORA]],8,FALSE)*D.sign_Data[[#This Row],[TIEMPO (HORAS)]],0)</f>
        <v>3410.8548871439834</v>
      </c>
      <c r="S100" s="99">
        <v>0</v>
      </c>
      <c r="T100" s="99">
        <v>0</v>
      </c>
      <c r="U100" s="3">
        <f t="shared" si="5"/>
        <v>27895.826180625918</v>
      </c>
      <c r="V100" s="100">
        <f>D.sign_Data[[#This Row],[TIEMPO (HORAS)]]*Gastos_Operativos[[#Totals],[GASTOS HORA]]</f>
        <v>27789.477072310401</v>
      </c>
      <c r="W100" s="3">
        <f>+D.sign_Data[[#This Row],[COSTO 
DIRECTO ($COP)]]+D.sign_Data[[#This Row],[PRORRATEO GASTOS ($COP)]]</f>
        <v>55685.303252936319</v>
      </c>
      <c r="X100" s="101">
        <v>0.05</v>
      </c>
      <c r="Y100" s="15">
        <f>+D.sign_Data[[#This Row],[COSTOS OPERACIONALES ($COP)]]*D.sign_Data[[#This Row],[DESFASE (%)]]</f>
        <v>2784.265162646816</v>
      </c>
      <c r="Z100" s="101">
        <v>0.3</v>
      </c>
      <c r="AA100" s="15">
        <f>+((D.sign_Data[[#This Row],[COSTOS OPERACIONALES ($COP)]]/(100%-D.sign_Data[[#This Row],[UTILIDAD (%)]])))-D.sign_Data[[#This Row],[COSTOS OPERACIONALES ($COP)]]</f>
        <v>23865.129965544147</v>
      </c>
      <c r="AB100" s="3">
        <f>+D.sign_Data[[#This Row],[COSTOS OPERACIONALES ($COP)]]+D.sign_Data[[#This Row],[DESFASE ($COP)]]+D.sign_Data[[#This Row],[UTILIDAD ($COP)]]</f>
        <v>82334.69838112728</v>
      </c>
      <c r="AC100" s="101">
        <v>0.05</v>
      </c>
      <c r="AD100" s="15">
        <f>+D.sign_Data[[#This Row],[VALOR NETO ($COP)]]/(100%-D.sign_Data[[#This Row],[MARGEN DE NEGOCIACIÓN (%)]])-D.sign_Data[[#This Row],[VALOR NETO ($COP)]]</f>
        <v>4333.405177954075</v>
      </c>
      <c r="AE100" s="15">
        <f>+(D.sign_Data[[#This Row],[VALOR NETO ($COP)]]+D.sign_Data[[#This Row],[NEGOCIACIÓN ($COP)]])*1%</f>
        <v>866.68103559081362</v>
      </c>
      <c r="AF100" s="15">
        <f>+(D.sign_Data[[#This Row],[VALOR NETO ($COP)]]+D.sign_Data[[#This Row],[NEGOCIACIÓN ($COP)]])*1%</f>
        <v>866.68103559081362</v>
      </c>
      <c r="AG100" s="3">
        <f>+D.sign_Data[[#This Row],[VALOR NETO ($COP)]]+D.sign_Data[[#This Row],[NEGOCIACIÓN ($COP)]]+D.sign_Data[[#This Row],[ICA ($COP)]]+D.sign_Data[[#This Row],[4 * 1000 ($COP)]]</f>
        <v>88401.465630262974</v>
      </c>
    </row>
    <row r="101" spans="1:33" ht="60" hidden="1" customHeight="1" x14ac:dyDescent="0.25">
      <c r="A101" s="14"/>
      <c r="B101" s="87" t="s">
        <v>442</v>
      </c>
      <c r="C101" s="182" t="s">
        <v>496</v>
      </c>
      <c r="D101" s="189" t="str">
        <f>VLOOKUP(D.sign_Data[[#This Row],[CÓDIGO]],Descripciones[[CÓDIGO]:[NOMBRE DE SERVICIO]],3,FALSE)</f>
        <v>D1. Parcelaciones y Condominios</v>
      </c>
      <c r="E101" s="87" t="s">
        <v>497</v>
      </c>
      <c r="F101" s="88" t="s">
        <v>498</v>
      </c>
      <c r="G101" s="88" t="s">
        <v>499</v>
      </c>
      <c r="H101" s="87" t="s">
        <v>448</v>
      </c>
      <c r="I101" s="89">
        <v>1</v>
      </c>
      <c r="J101" s="88" t="s">
        <v>504</v>
      </c>
      <c r="K101" s="102"/>
      <c r="L101" s="88" t="s">
        <v>480</v>
      </c>
      <c r="M101" s="89" t="s">
        <v>381</v>
      </c>
      <c r="N101" s="90">
        <v>0.5</v>
      </c>
      <c r="O101" s="27">
        <f>IFERROR(+VLOOKUP(M101,D.sign_Lista_Data[[RESPONSABLE]:[SOFTWARE 
VALOR HORA]],3,FALSE),"0")</f>
        <v>20263.424518743668</v>
      </c>
      <c r="P101" s="3">
        <f t="shared" si="4"/>
        <v>10131.712259371834</v>
      </c>
      <c r="Q101" s="11">
        <f>IFERROR(+VLOOKUP(M101,D.sign_Lista_Data[[RESPONSABLE]:[SOFTWARE 
VALOR HORA]],5,FALSE)*D.sign_Data[[#This Row],[TIEMPO (HORAS)]],0)</f>
        <v>2110.7733873691318</v>
      </c>
      <c r="R101" s="42">
        <f>IFERROR(+VLOOKUP(M101,D.sign_Lista_Data[[RESPONSABLE]:[SOFTWARE 
VALOR HORA]],8,FALSE)*D.sign_Data[[#This Row],[TIEMPO (HORAS)]],0)</f>
        <v>1705.4274435719917</v>
      </c>
      <c r="S101" s="99">
        <v>0</v>
      </c>
      <c r="T101" s="99">
        <v>0</v>
      </c>
      <c r="U101" s="3">
        <f t="shared" si="5"/>
        <v>13947.913090312959</v>
      </c>
      <c r="V101" s="100">
        <f>D.sign_Data[[#This Row],[TIEMPO (HORAS)]]*Gastos_Operativos[[#Totals],[GASTOS HORA]]</f>
        <v>13894.738536155201</v>
      </c>
      <c r="W101" s="3">
        <f>+D.sign_Data[[#This Row],[COSTO 
DIRECTO ($COP)]]+D.sign_Data[[#This Row],[PRORRATEO GASTOS ($COP)]]</f>
        <v>27842.65162646816</v>
      </c>
      <c r="X101" s="101">
        <v>0.05</v>
      </c>
      <c r="Y101" s="15">
        <f>+D.sign_Data[[#This Row],[COSTOS OPERACIONALES ($COP)]]*D.sign_Data[[#This Row],[DESFASE (%)]]</f>
        <v>1392.132581323408</v>
      </c>
      <c r="Z101" s="101">
        <v>0.3</v>
      </c>
      <c r="AA101" s="15">
        <f>+((D.sign_Data[[#This Row],[COSTOS OPERACIONALES ($COP)]]/(100%-D.sign_Data[[#This Row],[UTILIDAD (%)]])))-D.sign_Data[[#This Row],[COSTOS OPERACIONALES ($COP)]]</f>
        <v>11932.564982772074</v>
      </c>
      <c r="AB101" s="3">
        <f>+D.sign_Data[[#This Row],[COSTOS OPERACIONALES ($COP)]]+D.sign_Data[[#This Row],[DESFASE ($COP)]]+D.sign_Data[[#This Row],[UTILIDAD ($COP)]]</f>
        <v>41167.34919056364</v>
      </c>
      <c r="AC101" s="101">
        <v>0.05</v>
      </c>
      <c r="AD101" s="15">
        <f>+D.sign_Data[[#This Row],[VALOR NETO ($COP)]]/(100%-D.sign_Data[[#This Row],[MARGEN DE NEGOCIACIÓN (%)]])-D.sign_Data[[#This Row],[VALOR NETO ($COP)]]</f>
        <v>2166.7025889770375</v>
      </c>
      <c r="AE101" s="15">
        <f>+(D.sign_Data[[#This Row],[VALOR NETO ($COP)]]+D.sign_Data[[#This Row],[NEGOCIACIÓN ($COP)]])*1%</f>
        <v>433.34051779540681</v>
      </c>
      <c r="AF101" s="15">
        <f>+(D.sign_Data[[#This Row],[VALOR NETO ($COP)]]+D.sign_Data[[#This Row],[NEGOCIACIÓN ($COP)]])*1%</f>
        <v>433.34051779540681</v>
      </c>
      <c r="AG101" s="3">
        <f>+D.sign_Data[[#This Row],[VALOR NETO ($COP)]]+D.sign_Data[[#This Row],[NEGOCIACIÓN ($COP)]]+D.sign_Data[[#This Row],[ICA ($COP)]]+D.sign_Data[[#This Row],[4 * 1000 ($COP)]]</f>
        <v>44200.732815131487</v>
      </c>
    </row>
    <row r="102" spans="1:33" ht="60" hidden="1" customHeight="1" x14ac:dyDescent="0.25">
      <c r="A102" s="14"/>
      <c r="B102" s="87" t="s">
        <v>442</v>
      </c>
      <c r="C102" s="182" t="s">
        <v>496</v>
      </c>
      <c r="D102" s="189" t="str">
        <f>VLOOKUP(D.sign_Data[[#This Row],[CÓDIGO]],Descripciones[[CÓDIGO]:[NOMBRE DE SERVICIO]],3,FALSE)</f>
        <v>D1. Parcelaciones y Condominios</v>
      </c>
      <c r="E102" s="87" t="s">
        <v>497</v>
      </c>
      <c r="F102" s="88" t="s">
        <v>498</v>
      </c>
      <c r="G102" s="88" t="s">
        <v>499</v>
      </c>
      <c r="H102" s="87" t="s">
        <v>448</v>
      </c>
      <c r="I102" s="89">
        <v>1</v>
      </c>
      <c r="J102" s="88" t="s">
        <v>504</v>
      </c>
      <c r="K102" s="102"/>
      <c r="L102" s="88" t="s">
        <v>481</v>
      </c>
      <c r="M102" s="89" t="s">
        <v>381</v>
      </c>
      <c r="N102" s="90">
        <v>0.5</v>
      </c>
      <c r="O102" s="27">
        <f>IFERROR(+VLOOKUP(M102,D.sign_Lista_Data[[RESPONSABLE]:[SOFTWARE 
VALOR HORA]],3,FALSE),"0")</f>
        <v>20263.424518743668</v>
      </c>
      <c r="P102" s="3">
        <f t="shared" si="4"/>
        <v>10131.712259371834</v>
      </c>
      <c r="Q102" s="11">
        <f>IFERROR(+VLOOKUP(M102,D.sign_Lista_Data[[RESPONSABLE]:[SOFTWARE 
VALOR HORA]],5,FALSE)*D.sign_Data[[#This Row],[TIEMPO (HORAS)]],0)</f>
        <v>2110.7733873691318</v>
      </c>
      <c r="R102" s="42">
        <f>IFERROR(+VLOOKUP(M102,D.sign_Lista_Data[[RESPONSABLE]:[SOFTWARE 
VALOR HORA]],8,FALSE)*D.sign_Data[[#This Row],[TIEMPO (HORAS)]],0)</f>
        <v>1705.4274435719917</v>
      </c>
      <c r="S102" s="99">
        <v>0</v>
      </c>
      <c r="T102" s="99">
        <v>0</v>
      </c>
      <c r="U102" s="3">
        <f t="shared" si="5"/>
        <v>13947.913090312959</v>
      </c>
      <c r="V102" s="100">
        <f>D.sign_Data[[#This Row],[TIEMPO (HORAS)]]*Gastos_Operativos[[#Totals],[GASTOS HORA]]</f>
        <v>13894.738536155201</v>
      </c>
      <c r="W102" s="3">
        <f>+D.sign_Data[[#This Row],[COSTO 
DIRECTO ($COP)]]+D.sign_Data[[#This Row],[PRORRATEO GASTOS ($COP)]]</f>
        <v>27842.65162646816</v>
      </c>
      <c r="X102" s="101">
        <v>0.05</v>
      </c>
      <c r="Y102" s="15">
        <f>+D.sign_Data[[#This Row],[COSTOS OPERACIONALES ($COP)]]*D.sign_Data[[#This Row],[DESFASE (%)]]</f>
        <v>1392.132581323408</v>
      </c>
      <c r="Z102" s="101">
        <v>0.3</v>
      </c>
      <c r="AA102" s="15">
        <f>+((D.sign_Data[[#This Row],[COSTOS OPERACIONALES ($COP)]]/(100%-D.sign_Data[[#This Row],[UTILIDAD (%)]])))-D.sign_Data[[#This Row],[COSTOS OPERACIONALES ($COP)]]</f>
        <v>11932.564982772074</v>
      </c>
      <c r="AB102" s="3">
        <f>+D.sign_Data[[#This Row],[COSTOS OPERACIONALES ($COP)]]+D.sign_Data[[#This Row],[DESFASE ($COP)]]+D.sign_Data[[#This Row],[UTILIDAD ($COP)]]</f>
        <v>41167.34919056364</v>
      </c>
      <c r="AC102" s="101">
        <v>0.05</v>
      </c>
      <c r="AD102" s="15">
        <f>+D.sign_Data[[#This Row],[VALOR NETO ($COP)]]/(100%-D.sign_Data[[#This Row],[MARGEN DE NEGOCIACIÓN (%)]])-D.sign_Data[[#This Row],[VALOR NETO ($COP)]]</f>
        <v>2166.7025889770375</v>
      </c>
      <c r="AE102" s="15">
        <f>+(D.sign_Data[[#This Row],[VALOR NETO ($COP)]]+D.sign_Data[[#This Row],[NEGOCIACIÓN ($COP)]])*1%</f>
        <v>433.34051779540681</v>
      </c>
      <c r="AF102" s="15">
        <f>+(D.sign_Data[[#This Row],[VALOR NETO ($COP)]]+D.sign_Data[[#This Row],[NEGOCIACIÓN ($COP)]])*1%</f>
        <v>433.34051779540681</v>
      </c>
      <c r="AG102" s="3">
        <f>+D.sign_Data[[#This Row],[VALOR NETO ($COP)]]+D.sign_Data[[#This Row],[NEGOCIACIÓN ($COP)]]+D.sign_Data[[#This Row],[ICA ($COP)]]+D.sign_Data[[#This Row],[4 * 1000 ($COP)]]</f>
        <v>44200.732815131487</v>
      </c>
    </row>
    <row r="103" spans="1:33" ht="60" hidden="1" customHeight="1" x14ac:dyDescent="0.25">
      <c r="A103" s="14"/>
      <c r="B103" s="87" t="s">
        <v>442</v>
      </c>
      <c r="C103" s="182" t="s">
        <v>496</v>
      </c>
      <c r="D103" s="189" t="str">
        <f>VLOOKUP(D.sign_Data[[#This Row],[CÓDIGO]],Descripciones[[CÓDIGO]:[NOMBRE DE SERVICIO]],3,FALSE)</f>
        <v>D1. Parcelaciones y Condominios</v>
      </c>
      <c r="E103" s="87" t="s">
        <v>497</v>
      </c>
      <c r="F103" s="88" t="s">
        <v>498</v>
      </c>
      <c r="G103" s="88" t="s">
        <v>499</v>
      </c>
      <c r="H103" s="87" t="s">
        <v>448</v>
      </c>
      <c r="I103" s="89">
        <v>1</v>
      </c>
      <c r="J103" s="88" t="s">
        <v>504</v>
      </c>
      <c r="K103" s="102"/>
      <c r="L103" s="88" t="s">
        <v>482</v>
      </c>
      <c r="M103" s="89" t="s">
        <v>381</v>
      </c>
      <c r="N103" s="90">
        <v>0.5</v>
      </c>
      <c r="O103" s="27">
        <f>IFERROR(+VLOOKUP(M103,D.sign_Lista_Data[[RESPONSABLE]:[SOFTWARE 
VALOR HORA]],3,FALSE),"0")</f>
        <v>20263.424518743668</v>
      </c>
      <c r="P103" s="3">
        <f t="shared" si="4"/>
        <v>10131.712259371834</v>
      </c>
      <c r="Q103" s="11">
        <f>IFERROR(+VLOOKUP(M103,D.sign_Lista_Data[[RESPONSABLE]:[SOFTWARE 
VALOR HORA]],5,FALSE)*D.sign_Data[[#This Row],[TIEMPO (HORAS)]],0)</f>
        <v>2110.7733873691318</v>
      </c>
      <c r="R103" s="42">
        <f>IFERROR(+VLOOKUP(M103,D.sign_Lista_Data[[RESPONSABLE]:[SOFTWARE 
VALOR HORA]],8,FALSE)*D.sign_Data[[#This Row],[TIEMPO (HORAS)]],0)</f>
        <v>1705.4274435719917</v>
      </c>
      <c r="S103" s="99">
        <v>0</v>
      </c>
      <c r="T103" s="99">
        <v>0</v>
      </c>
      <c r="U103" s="3">
        <f t="shared" si="5"/>
        <v>13947.913090312959</v>
      </c>
      <c r="V103" s="100">
        <f>D.sign_Data[[#This Row],[TIEMPO (HORAS)]]*Gastos_Operativos[[#Totals],[GASTOS HORA]]</f>
        <v>13894.738536155201</v>
      </c>
      <c r="W103" s="3">
        <f>+D.sign_Data[[#This Row],[COSTO 
DIRECTO ($COP)]]+D.sign_Data[[#This Row],[PRORRATEO GASTOS ($COP)]]</f>
        <v>27842.65162646816</v>
      </c>
      <c r="X103" s="101">
        <v>0.05</v>
      </c>
      <c r="Y103" s="15">
        <f>+D.sign_Data[[#This Row],[COSTOS OPERACIONALES ($COP)]]*D.sign_Data[[#This Row],[DESFASE (%)]]</f>
        <v>1392.132581323408</v>
      </c>
      <c r="Z103" s="101">
        <v>0.3</v>
      </c>
      <c r="AA103" s="15">
        <f>+((D.sign_Data[[#This Row],[COSTOS OPERACIONALES ($COP)]]/(100%-D.sign_Data[[#This Row],[UTILIDAD (%)]])))-D.sign_Data[[#This Row],[COSTOS OPERACIONALES ($COP)]]</f>
        <v>11932.564982772074</v>
      </c>
      <c r="AB103" s="3">
        <f>+D.sign_Data[[#This Row],[COSTOS OPERACIONALES ($COP)]]+D.sign_Data[[#This Row],[DESFASE ($COP)]]+D.sign_Data[[#This Row],[UTILIDAD ($COP)]]</f>
        <v>41167.34919056364</v>
      </c>
      <c r="AC103" s="101">
        <v>0.05</v>
      </c>
      <c r="AD103" s="15">
        <f>+D.sign_Data[[#This Row],[VALOR NETO ($COP)]]/(100%-D.sign_Data[[#This Row],[MARGEN DE NEGOCIACIÓN (%)]])-D.sign_Data[[#This Row],[VALOR NETO ($COP)]]</f>
        <v>2166.7025889770375</v>
      </c>
      <c r="AE103" s="15">
        <f>+(D.sign_Data[[#This Row],[VALOR NETO ($COP)]]+D.sign_Data[[#This Row],[NEGOCIACIÓN ($COP)]])*1%</f>
        <v>433.34051779540681</v>
      </c>
      <c r="AF103" s="15">
        <f>+(D.sign_Data[[#This Row],[VALOR NETO ($COP)]]+D.sign_Data[[#This Row],[NEGOCIACIÓN ($COP)]])*1%</f>
        <v>433.34051779540681</v>
      </c>
      <c r="AG103" s="3">
        <f>+D.sign_Data[[#This Row],[VALOR NETO ($COP)]]+D.sign_Data[[#This Row],[NEGOCIACIÓN ($COP)]]+D.sign_Data[[#This Row],[ICA ($COP)]]+D.sign_Data[[#This Row],[4 * 1000 ($COP)]]</f>
        <v>44200.732815131487</v>
      </c>
    </row>
    <row r="104" spans="1:33" ht="60" hidden="1" customHeight="1" x14ac:dyDescent="0.25">
      <c r="A104" s="14"/>
      <c r="B104" s="87" t="s">
        <v>442</v>
      </c>
      <c r="C104" s="182" t="s">
        <v>496</v>
      </c>
      <c r="D104" s="189" t="str">
        <f>VLOOKUP(D.sign_Data[[#This Row],[CÓDIGO]],Descripciones[[CÓDIGO]:[NOMBRE DE SERVICIO]],3,FALSE)</f>
        <v>D1. Parcelaciones y Condominios</v>
      </c>
      <c r="E104" s="87" t="s">
        <v>497</v>
      </c>
      <c r="F104" s="88" t="s">
        <v>498</v>
      </c>
      <c r="G104" s="88" t="s">
        <v>499</v>
      </c>
      <c r="H104" s="87" t="s">
        <v>448</v>
      </c>
      <c r="I104" s="89">
        <v>1</v>
      </c>
      <c r="J104" s="88" t="s">
        <v>504</v>
      </c>
      <c r="K104" s="102"/>
      <c r="L104" s="88" t="s">
        <v>483</v>
      </c>
      <c r="M104" s="89" t="s">
        <v>381</v>
      </c>
      <c r="N104" s="90">
        <v>0.25</v>
      </c>
      <c r="O104" s="27">
        <f>IFERROR(+VLOOKUP(M104,D.sign_Lista_Data[[RESPONSABLE]:[SOFTWARE 
VALOR HORA]],3,FALSE),"0")</f>
        <v>20263.424518743668</v>
      </c>
      <c r="P104" s="3">
        <f t="shared" si="4"/>
        <v>5065.856129685917</v>
      </c>
      <c r="Q104" s="11">
        <f>IFERROR(+VLOOKUP(M104,D.sign_Lista_Data[[RESPONSABLE]:[SOFTWARE 
VALOR HORA]],5,FALSE)*D.sign_Data[[#This Row],[TIEMPO (HORAS)]],0)</f>
        <v>1055.3866936845659</v>
      </c>
      <c r="R104" s="42">
        <f>IFERROR(+VLOOKUP(M104,D.sign_Lista_Data[[RESPONSABLE]:[SOFTWARE 
VALOR HORA]],8,FALSE)*D.sign_Data[[#This Row],[TIEMPO (HORAS)]],0)</f>
        <v>852.71372178599586</v>
      </c>
      <c r="S104" s="99">
        <v>0</v>
      </c>
      <c r="T104" s="99">
        <v>0</v>
      </c>
      <c r="U104" s="3">
        <f t="shared" si="5"/>
        <v>6973.9565451564795</v>
      </c>
      <c r="V104" s="100">
        <f>D.sign_Data[[#This Row],[TIEMPO (HORAS)]]*Gastos_Operativos[[#Totals],[GASTOS HORA]]</f>
        <v>6947.3692680776003</v>
      </c>
      <c r="W104" s="3">
        <f>+D.sign_Data[[#This Row],[COSTO 
DIRECTO ($COP)]]+D.sign_Data[[#This Row],[PRORRATEO GASTOS ($COP)]]</f>
        <v>13921.32581323408</v>
      </c>
      <c r="X104" s="101">
        <v>0.05</v>
      </c>
      <c r="Y104" s="15">
        <f>+D.sign_Data[[#This Row],[COSTOS OPERACIONALES ($COP)]]*D.sign_Data[[#This Row],[DESFASE (%)]]</f>
        <v>696.06629066170399</v>
      </c>
      <c r="Z104" s="101">
        <v>0.3</v>
      </c>
      <c r="AA104" s="15">
        <f>+((D.sign_Data[[#This Row],[COSTOS OPERACIONALES ($COP)]]/(100%-D.sign_Data[[#This Row],[UTILIDAD (%)]])))-D.sign_Data[[#This Row],[COSTOS OPERACIONALES ($COP)]]</f>
        <v>5966.2824913860368</v>
      </c>
      <c r="AB104" s="3">
        <f>+D.sign_Data[[#This Row],[COSTOS OPERACIONALES ($COP)]]+D.sign_Data[[#This Row],[DESFASE ($COP)]]+D.sign_Data[[#This Row],[UTILIDAD ($COP)]]</f>
        <v>20583.67459528182</v>
      </c>
      <c r="AC104" s="101">
        <v>0.05</v>
      </c>
      <c r="AD104" s="15">
        <f>+D.sign_Data[[#This Row],[VALOR NETO ($COP)]]/(100%-D.sign_Data[[#This Row],[MARGEN DE NEGOCIACIÓN (%)]])-D.sign_Data[[#This Row],[VALOR NETO ($COP)]]</f>
        <v>1083.3512944885188</v>
      </c>
      <c r="AE104" s="15">
        <f>+(D.sign_Data[[#This Row],[VALOR NETO ($COP)]]+D.sign_Data[[#This Row],[NEGOCIACIÓN ($COP)]])*1%</f>
        <v>216.67025889770341</v>
      </c>
      <c r="AF104" s="15">
        <f>+(D.sign_Data[[#This Row],[VALOR NETO ($COP)]]+D.sign_Data[[#This Row],[NEGOCIACIÓN ($COP)]])*1%</f>
        <v>216.67025889770341</v>
      </c>
      <c r="AG104" s="3">
        <f>+D.sign_Data[[#This Row],[VALOR NETO ($COP)]]+D.sign_Data[[#This Row],[NEGOCIACIÓN ($COP)]]+D.sign_Data[[#This Row],[ICA ($COP)]]+D.sign_Data[[#This Row],[4 * 1000 ($COP)]]</f>
        <v>22100.366407565743</v>
      </c>
    </row>
    <row r="105" spans="1:33" ht="60" hidden="1" customHeight="1" x14ac:dyDescent="0.25">
      <c r="A105" s="14"/>
      <c r="B105" s="87" t="s">
        <v>442</v>
      </c>
      <c r="C105" s="182" t="s">
        <v>496</v>
      </c>
      <c r="D105" s="189" t="str">
        <f>VLOOKUP(D.sign_Data[[#This Row],[CÓDIGO]],Descripciones[[CÓDIGO]:[NOMBRE DE SERVICIO]],3,FALSE)</f>
        <v>D1. Parcelaciones y Condominios</v>
      </c>
      <c r="E105" s="87" t="s">
        <v>497</v>
      </c>
      <c r="F105" s="88" t="s">
        <v>498</v>
      </c>
      <c r="G105" s="88" t="s">
        <v>499</v>
      </c>
      <c r="H105" s="87" t="s">
        <v>448</v>
      </c>
      <c r="I105" s="89">
        <v>1</v>
      </c>
      <c r="J105" s="88" t="s">
        <v>504</v>
      </c>
      <c r="K105" s="102"/>
      <c r="L105" s="88" t="s">
        <v>478</v>
      </c>
      <c r="M105" s="89" t="s">
        <v>381</v>
      </c>
      <c r="N105" s="90">
        <v>0.5</v>
      </c>
      <c r="O105" s="27">
        <f>IFERROR(+VLOOKUP(M105,D.sign_Lista_Data[[RESPONSABLE]:[SOFTWARE 
VALOR HORA]],3,FALSE),"0")</f>
        <v>20263.424518743668</v>
      </c>
      <c r="P105" s="3">
        <f t="shared" si="4"/>
        <v>10131.712259371834</v>
      </c>
      <c r="Q105" s="11">
        <f>IFERROR(+VLOOKUP(M105,D.sign_Lista_Data[[RESPONSABLE]:[SOFTWARE 
VALOR HORA]],5,FALSE)*D.sign_Data[[#This Row],[TIEMPO (HORAS)]],0)</f>
        <v>2110.7733873691318</v>
      </c>
      <c r="R105" s="42">
        <f>IFERROR(+VLOOKUP(M105,D.sign_Lista_Data[[RESPONSABLE]:[SOFTWARE 
VALOR HORA]],8,FALSE)*D.sign_Data[[#This Row],[TIEMPO (HORAS)]],0)</f>
        <v>1705.4274435719917</v>
      </c>
      <c r="S105" s="99">
        <v>0</v>
      </c>
      <c r="T105" s="99">
        <v>0</v>
      </c>
      <c r="U105" s="3">
        <f t="shared" si="5"/>
        <v>13947.913090312959</v>
      </c>
      <c r="V105" s="100">
        <f>D.sign_Data[[#This Row],[TIEMPO (HORAS)]]*Gastos_Operativos[[#Totals],[GASTOS HORA]]</f>
        <v>13894.738536155201</v>
      </c>
      <c r="W105" s="3">
        <f>+D.sign_Data[[#This Row],[COSTO 
DIRECTO ($COP)]]+D.sign_Data[[#This Row],[PRORRATEO GASTOS ($COP)]]</f>
        <v>27842.65162646816</v>
      </c>
      <c r="X105" s="101">
        <v>0.05</v>
      </c>
      <c r="Y105" s="15">
        <f>+D.sign_Data[[#This Row],[COSTOS OPERACIONALES ($COP)]]*D.sign_Data[[#This Row],[DESFASE (%)]]</f>
        <v>1392.132581323408</v>
      </c>
      <c r="Z105" s="101">
        <v>0.3</v>
      </c>
      <c r="AA105" s="15">
        <f>+((D.sign_Data[[#This Row],[COSTOS OPERACIONALES ($COP)]]/(100%-D.sign_Data[[#This Row],[UTILIDAD (%)]])))-D.sign_Data[[#This Row],[COSTOS OPERACIONALES ($COP)]]</f>
        <v>11932.564982772074</v>
      </c>
      <c r="AB105" s="3">
        <f>+D.sign_Data[[#This Row],[COSTOS OPERACIONALES ($COP)]]+D.sign_Data[[#This Row],[DESFASE ($COP)]]+D.sign_Data[[#This Row],[UTILIDAD ($COP)]]</f>
        <v>41167.34919056364</v>
      </c>
      <c r="AC105" s="101">
        <v>0.05</v>
      </c>
      <c r="AD105" s="15">
        <f>+D.sign_Data[[#This Row],[VALOR NETO ($COP)]]/(100%-D.sign_Data[[#This Row],[MARGEN DE NEGOCIACIÓN (%)]])-D.sign_Data[[#This Row],[VALOR NETO ($COP)]]</f>
        <v>2166.7025889770375</v>
      </c>
      <c r="AE105" s="15">
        <f>+(D.sign_Data[[#This Row],[VALOR NETO ($COP)]]+D.sign_Data[[#This Row],[NEGOCIACIÓN ($COP)]])*1%</f>
        <v>433.34051779540681</v>
      </c>
      <c r="AF105" s="15">
        <f>+(D.sign_Data[[#This Row],[VALOR NETO ($COP)]]+D.sign_Data[[#This Row],[NEGOCIACIÓN ($COP)]])*1%</f>
        <v>433.34051779540681</v>
      </c>
      <c r="AG105" s="3">
        <f>+D.sign_Data[[#This Row],[VALOR NETO ($COP)]]+D.sign_Data[[#This Row],[NEGOCIACIÓN ($COP)]]+D.sign_Data[[#This Row],[ICA ($COP)]]+D.sign_Data[[#This Row],[4 * 1000 ($COP)]]</f>
        <v>44200.732815131487</v>
      </c>
    </row>
    <row r="106" spans="1:33" ht="60" hidden="1" customHeight="1" x14ac:dyDescent="0.25">
      <c r="A106" s="14"/>
      <c r="B106" s="87" t="s">
        <v>442</v>
      </c>
      <c r="C106" s="182" t="s">
        <v>496</v>
      </c>
      <c r="D106" s="189" t="str">
        <f>VLOOKUP(D.sign_Data[[#This Row],[CÓDIGO]],Descripciones[[CÓDIGO]:[NOMBRE DE SERVICIO]],3,FALSE)</f>
        <v>D1. Parcelaciones y Condominios</v>
      </c>
      <c r="E106" s="87" t="s">
        <v>497</v>
      </c>
      <c r="F106" s="88" t="s">
        <v>498</v>
      </c>
      <c r="G106" s="88" t="s">
        <v>499</v>
      </c>
      <c r="H106" s="87" t="s">
        <v>448</v>
      </c>
      <c r="I106" s="89">
        <v>1</v>
      </c>
      <c r="J106" s="88" t="s">
        <v>504</v>
      </c>
      <c r="K106" s="102"/>
      <c r="L106" s="88" t="s">
        <v>474</v>
      </c>
      <c r="M106" s="89" t="s">
        <v>381</v>
      </c>
      <c r="N106" s="90">
        <v>0.21</v>
      </c>
      <c r="O106" s="27">
        <f>IFERROR(+VLOOKUP(M106,D.sign_Lista_Data[[RESPONSABLE]:[SOFTWARE 
VALOR HORA]],3,FALSE),"0")</f>
        <v>20263.424518743668</v>
      </c>
      <c r="P106" s="3">
        <f t="shared" si="4"/>
        <v>4255.3191489361698</v>
      </c>
      <c r="Q106" s="11">
        <f>IFERROR(+VLOOKUP(M106,D.sign_Lista_Data[[RESPONSABLE]:[SOFTWARE 
VALOR HORA]],5,FALSE)*D.sign_Data[[#This Row],[TIEMPO (HORAS)]],0)</f>
        <v>886.52482269503537</v>
      </c>
      <c r="R106" s="42">
        <f>IFERROR(+VLOOKUP(M106,D.sign_Lista_Data[[RESPONSABLE]:[SOFTWARE 
VALOR HORA]],8,FALSE)*D.sign_Data[[#This Row],[TIEMPO (HORAS)]],0)</f>
        <v>716.27952630023651</v>
      </c>
      <c r="S106" s="99">
        <v>0</v>
      </c>
      <c r="T106" s="99">
        <v>0</v>
      </c>
      <c r="U106" s="3">
        <f t="shared" si="5"/>
        <v>5858.1234979314413</v>
      </c>
      <c r="V106" s="100">
        <f>D.sign_Data[[#This Row],[TIEMPO (HORAS)]]*Gastos_Operativos[[#Totals],[GASTOS HORA]]</f>
        <v>5835.7901851851839</v>
      </c>
      <c r="W106" s="3">
        <f>+D.sign_Data[[#This Row],[COSTO 
DIRECTO ($COP)]]+D.sign_Data[[#This Row],[PRORRATEO GASTOS ($COP)]]</f>
        <v>11693.913683116625</v>
      </c>
      <c r="X106" s="101">
        <v>0.05</v>
      </c>
      <c r="Y106" s="15">
        <f>+D.sign_Data[[#This Row],[COSTOS OPERACIONALES ($COP)]]*D.sign_Data[[#This Row],[DESFASE (%)]]</f>
        <v>584.69568415583126</v>
      </c>
      <c r="Z106" s="101">
        <v>0.3</v>
      </c>
      <c r="AA106" s="15">
        <f>+((D.sign_Data[[#This Row],[COSTOS OPERACIONALES ($COP)]]/(100%-D.sign_Data[[#This Row],[UTILIDAD (%)]])))-D.sign_Data[[#This Row],[COSTOS OPERACIONALES ($COP)]]</f>
        <v>5011.6772927642705</v>
      </c>
      <c r="AB106" s="3">
        <f>+D.sign_Data[[#This Row],[COSTOS OPERACIONALES ($COP)]]+D.sign_Data[[#This Row],[DESFASE ($COP)]]+D.sign_Data[[#This Row],[UTILIDAD ($COP)]]</f>
        <v>17290.286660036727</v>
      </c>
      <c r="AC106" s="101">
        <v>0.05</v>
      </c>
      <c r="AD106" s="15">
        <f>+D.sign_Data[[#This Row],[VALOR NETO ($COP)]]/(100%-D.sign_Data[[#This Row],[MARGEN DE NEGOCIACIÓN (%)]])-D.sign_Data[[#This Row],[VALOR NETO ($COP)]]</f>
        <v>910.01508737035329</v>
      </c>
      <c r="AE106" s="15">
        <f>+(D.sign_Data[[#This Row],[VALOR NETO ($COP)]]+D.sign_Data[[#This Row],[NEGOCIACIÓN ($COP)]])*1%</f>
        <v>182.00301747407082</v>
      </c>
      <c r="AF106" s="15">
        <f>+(D.sign_Data[[#This Row],[VALOR NETO ($COP)]]+D.sign_Data[[#This Row],[NEGOCIACIÓN ($COP)]])*1%</f>
        <v>182.00301747407082</v>
      </c>
      <c r="AG106" s="3">
        <f>+D.sign_Data[[#This Row],[VALOR NETO ($COP)]]+D.sign_Data[[#This Row],[NEGOCIACIÓN ($COP)]]+D.sign_Data[[#This Row],[ICA ($COP)]]+D.sign_Data[[#This Row],[4 * 1000 ($COP)]]</f>
        <v>18564.307782355223</v>
      </c>
    </row>
    <row r="107" spans="1:33" ht="60" hidden="1" customHeight="1" x14ac:dyDescent="0.25">
      <c r="A107" s="14"/>
      <c r="B107" s="87" t="s">
        <v>442</v>
      </c>
      <c r="C107" s="182" t="s">
        <v>496</v>
      </c>
      <c r="D107" s="189" t="str">
        <f>VLOOKUP(D.sign_Data[[#This Row],[CÓDIGO]],Descripciones[[CÓDIGO]:[NOMBRE DE SERVICIO]],3,FALSE)</f>
        <v>D1. Parcelaciones y Condominios</v>
      </c>
      <c r="E107" s="87" t="s">
        <v>497</v>
      </c>
      <c r="F107" s="88" t="s">
        <v>498</v>
      </c>
      <c r="G107" s="88" t="s">
        <v>499</v>
      </c>
      <c r="H107" s="87" t="s">
        <v>448</v>
      </c>
      <c r="I107" s="89">
        <v>1</v>
      </c>
      <c r="J107" s="88" t="s">
        <v>505</v>
      </c>
      <c r="K107" s="102"/>
      <c r="L107" s="88" t="s">
        <v>485</v>
      </c>
      <c r="M107" s="89" t="s">
        <v>381</v>
      </c>
      <c r="N107" s="90">
        <v>0.5</v>
      </c>
      <c r="O107" s="27">
        <f>IFERROR(+VLOOKUP(M107,D.sign_Lista_Data[[RESPONSABLE]:[SOFTWARE 
VALOR HORA]],3,FALSE),"0")</f>
        <v>20263.424518743668</v>
      </c>
      <c r="P107" s="3">
        <f t="shared" si="4"/>
        <v>10131.712259371834</v>
      </c>
      <c r="Q107" s="11">
        <f>IFERROR(+VLOOKUP(M107,D.sign_Lista_Data[[RESPONSABLE]:[SOFTWARE 
VALOR HORA]],5,FALSE)*D.sign_Data[[#This Row],[TIEMPO (HORAS)]],0)</f>
        <v>2110.7733873691318</v>
      </c>
      <c r="R107" s="42">
        <f>IFERROR(+VLOOKUP(M107,D.sign_Lista_Data[[RESPONSABLE]:[SOFTWARE 
VALOR HORA]],8,FALSE)*D.sign_Data[[#This Row],[TIEMPO (HORAS)]],0)</f>
        <v>1705.4274435719917</v>
      </c>
      <c r="S107" s="99">
        <v>0</v>
      </c>
      <c r="T107" s="99">
        <v>0</v>
      </c>
      <c r="U107" s="3">
        <f t="shared" si="5"/>
        <v>13947.913090312959</v>
      </c>
      <c r="V107" s="100">
        <f>D.sign_Data[[#This Row],[TIEMPO (HORAS)]]*Gastos_Operativos[[#Totals],[GASTOS HORA]]</f>
        <v>13894.738536155201</v>
      </c>
      <c r="W107" s="3">
        <f>+D.sign_Data[[#This Row],[COSTO 
DIRECTO ($COP)]]+D.sign_Data[[#This Row],[PRORRATEO GASTOS ($COP)]]</f>
        <v>27842.65162646816</v>
      </c>
      <c r="X107" s="101">
        <v>0.05</v>
      </c>
      <c r="Y107" s="15">
        <f>+D.sign_Data[[#This Row],[COSTOS OPERACIONALES ($COP)]]*D.sign_Data[[#This Row],[DESFASE (%)]]</f>
        <v>1392.132581323408</v>
      </c>
      <c r="Z107" s="101">
        <v>0.3</v>
      </c>
      <c r="AA107" s="15">
        <f>+((D.sign_Data[[#This Row],[COSTOS OPERACIONALES ($COP)]]/(100%-D.sign_Data[[#This Row],[UTILIDAD (%)]])))-D.sign_Data[[#This Row],[COSTOS OPERACIONALES ($COP)]]</f>
        <v>11932.564982772074</v>
      </c>
      <c r="AB107" s="3">
        <f>+D.sign_Data[[#This Row],[COSTOS OPERACIONALES ($COP)]]+D.sign_Data[[#This Row],[DESFASE ($COP)]]+D.sign_Data[[#This Row],[UTILIDAD ($COP)]]</f>
        <v>41167.34919056364</v>
      </c>
      <c r="AC107" s="101">
        <v>0.05</v>
      </c>
      <c r="AD107" s="15">
        <f>+D.sign_Data[[#This Row],[VALOR NETO ($COP)]]/(100%-D.sign_Data[[#This Row],[MARGEN DE NEGOCIACIÓN (%)]])-D.sign_Data[[#This Row],[VALOR NETO ($COP)]]</f>
        <v>2166.7025889770375</v>
      </c>
      <c r="AE107" s="15">
        <f>+(D.sign_Data[[#This Row],[VALOR NETO ($COP)]]+D.sign_Data[[#This Row],[NEGOCIACIÓN ($COP)]])*1%</f>
        <v>433.34051779540681</v>
      </c>
      <c r="AF107" s="15">
        <f>+(D.sign_Data[[#This Row],[VALOR NETO ($COP)]]+D.sign_Data[[#This Row],[NEGOCIACIÓN ($COP)]])*1%</f>
        <v>433.34051779540681</v>
      </c>
      <c r="AG107" s="3">
        <f>+D.sign_Data[[#This Row],[VALOR NETO ($COP)]]+D.sign_Data[[#This Row],[NEGOCIACIÓN ($COP)]]+D.sign_Data[[#This Row],[ICA ($COP)]]+D.sign_Data[[#This Row],[4 * 1000 ($COP)]]</f>
        <v>44200.732815131487</v>
      </c>
    </row>
    <row r="108" spans="1:33" ht="60" hidden="1" customHeight="1" x14ac:dyDescent="0.25">
      <c r="A108" s="14"/>
      <c r="B108" s="87" t="s">
        <v>442</v>
      </c>
      <c r="C108" s="182" t="s">
        <v>496</v>
      </c>
      <c r="D108" s="189" t="str">
        <f>VLOOKUP(D.sign_Data[[#This Row],[CÓDIGO]],Descripciones[[CÓDIGO]:[NOMBRE DE SERVICIO]],3,FALSE)</f>
        <v>D1. Parcelaciones y Condominios</v>
      </c>
      <c r="E108" s="87" t="s">
        <v>497</v>
      </c>
      <c r="F108" s="88" t="s">
        <v>498</v>
      </c>
      <c r="G108" s="88" t="s">
        <v>499</v>
      </c>
      <c r="H108" s="87" t="s">
        <v>448</v>
      </c>
      <c r="I108" s="89">
        <v>1</v>
      </c>
      <c r="J108" s="88" t="s">
        <v>505</v>
      </c>
      <c r="K108" s="102"/>
      <c r="L108" s="88" t="s">
        <v>486</v>
      </c>
      <c r="M108" s="89" t="s">
        <v>381</v>
      </c>
      <c r="N108" s="90">
        <v>0.5</v>
      </c>
      <c r="O108" s="27">
        <f>IFERROR(+VLOOKUP(M108,D.sign_Lista_Data[[RESPONSABLE]:[SOFTWARE 
VALOR HORA]],3,FALSE),"0")</f>
        <v>20263.424518743668</v>
      </c>
      <c r="P108" s="3">
        <f t="shared" si="4"/>
        <v>10131.712259371834</v>
      </c>
      <c r="Q108" s="11">
        <f>IFERROR(+VLOOKUP(M108,D.sign_Lista_Data[[RESPONSABLE]:[SOFTWARE 
VALOR HORA]],5,FALSE)*D.sign_Data[[#This Row],[TIEMPO (HORAS)]],0)</f>
        <v>2110.7733873691318</v>
      </c>
      <c r="R108" s="42">
        <f>IFERROR(+VLOOKUP(M108,D.sign_Lista_Data[[RESPONSABLE]:[SOFTWARE 
VALOR HORA]],8,FALSE)*D.sign_Data[[#This Row],[TIEMPO (HORAS)]],0)</f>
        <v>1705.4274435719917</v>
      </c>
      <c r="S108" s="99">
        <v>0</v>
      </c>
      <c r="T108" s="99">
        <v>0</v>
      </c>
      <c r="U108" s="3">
        <f t="shared" si="5"/>
        <v>13947.913090312959</v>
      </c>
      <c r="V108" s="100">
        <f>D.sign_Data[[#This Row],[TIEMPO (HORAS)]]*Gastos_Operativos[[#Totals],[GASTOS HORA]]</f>
        <v>13894.738536155201</v>
      </c>
      <c r="W108" s="3">
        <f>+D.sign_Data[[#This Row],[COSTO 
DIRECTO ($COP)]]+D.sign_Data[[#This Row],[PRORRATEO GASTOS ($COP)]]</f>
        <v>27842.65162646816</v>
      </c>
      <c r="X108" s="101">
        <v>0.05</v>
      </c>
      <c r="Y108" s="15">
        <f>+D.sign_Data[[#This Row],[COSTOS OPERACIONALES ($COP)]]*D.sign_Data[[#This Row],[DESFASE (%)]]</f>
        <v>1392.132581323408</v>
      </c>
      <c r="Z108" s="101">
        <v>0.3</v>
      </c>
      <c r="AA108" s="15">
        <f>+((D.sign_Data[[#This Row],[COSTOS OPERACIONALES ($COP)]]/(100%-D.sign_Data[[#This Row],[UTILIDAD (%)]])))-D.sign_Data[[#This Row],[COSTOS OPERACIONALES ($COP)]]</f>
        <v>11932.564982772074</v>
      </c>
      <c r="AB108" s="3">
        <f>+D.sign_Data[[#This Row],[COSTOS OPERACIONALES ($COP)]]+D.sign_Data[[#This Row],[DESFASE ($COP)]]+D.sign_Data[[#This Row],[UTILIDAD ($COP)]]</f>
        <v>41167.34919056364</v>
      </c>
      <c r="AC108" s="101">
        <v>0.05</v>
      </c>
      <c r="AD108" s="15">
        <f>+D.sign_Data[[#This Row],[VALOR NETO ($COP)]]/(100%-D.sign_Data[[#This Row],[MARGEN DE NEGOCIACIÓN (%)]])-D.sign_Data[[#This Row],[VALOR NETO ($COP)]]</f>
        <v>2166.7025889770375</v>
      </c>
      <c r="AE108" s="15">
        <f>+(D.sign_Data[[#This Row],[VALOR NETO ($COP)]]+D.sign_Data[[#This Row],[NEGOCIACIÓN ($COP)]])*1%</f>
        <v>433.34051779540681</v>
      </c>
      <c r="AF108" s="15">
        <f>+(D.sign_Data[[#This Row],[VALOR NETO ($COP)]]+D.sign_Data[[#This Row],[NEGOCIACIÓN ($COP)]])*1%</f>
        <v>433.34051779540681</v>
      </c>
      <c r="AG108" s="3">
        <f>+D.sign_Data[[#This Row],[VALOR NETO ($COP)]]+D.sign_Data[[#This Row],[NEGOCIACIÓN ($COP)]]+D.sign_Data[[#This Row],[ICA ($COP)]]+D.sign_Data[[#This Row],[4 * 1000 ($COP)]]</f>
        <v>44200.732815131487</v>
      </c>
    </row>
    <row r="109" spans="1:33" ht="60" hidden="1" customHeight="1" x14ac:dyDescent="0.25">
      <c r="A109" s="14"/>
      <c r="B109" s="87" t="s">
        <v>442</v>
      </c>
      <c r="C109" s="182" t="s">
        <v>496</v>
      </c>
      <c r="D109" s="189" t="str">
        <f>VLOOKUP(D.sign_Data[[#This Row],[CÓDIGO]],Descripciones[[CÓDIGO]:[NOMBRE DE SERVICIO]],3,FALSE)</f>
        <v>D1. Parcelaciones y Condominios</v>
      </c>
      <c r="E109" s="87" t="s">
        <v>497</v>
      </c>
      <c r="F109" s="88" t="s">
        <v>498</v>
      </c>
      <c r="G109" s="88" t="s">
        <v>499</v>
      </c>
      <c r="H109" s="87" t="s">
        <v>448</v>
      </c>
      <c r="I109" s="89">
        <v>1</v>
      </c>
      <c r="J109" s="88" t="s">
        <v>505</v>
      </c>
      <c r="K109" s="102"/>
      <c r="L109" s="88" t="s">
        <v>471</v>
      </c>
      <c r="M109" s="89" t="s">
        <v>381</v>
      </c>
      <c r="N109" s="90">
        <v>1</v>
      </c>
      <c r="O109" s="27">
        <f>IFERROR(+VLOOKUP(M109,D.sign_Lista_Data[[RESPONSABLE]:[SOFTWARE 
VALOR HORA]],3,FALSE),"0")</f>
        <v>20263.424518743668</v>
      </c>
      <c r="P109" s="3">
        <f t="shared" si="4"/>
        <v>20263.424518743668</v>
      </c>
      <c r="Q109" s="11">
        <f>IFERROR(+VLOOKUP(M109,D.sign_Lista_Data[[RESPONSABLE]:[SOFTWARE 
VALOR HORA]],5,FALSE)*D.sign_Data[[#This Row],[TIEMPO (HORAS)]],0)</f>
        <v>4221.5467747382636</v>
      </c>
      <c r="R109" s="42">
        <f>IFERROR(+VLOOKUP(M109,D.sign_Lista_Data[[RESPONSABLE]:[SOFTWARE 
VALOR HORA]],8,FALSE)*D.sign_Data[[#This Row],[TIEMPO (HORAS)]],0)</f>
        <v>3410.8548871439834</v>
      </c>
      <c r="S109" s="99">
        <v>0</v>
      </c>
      <c r="T109" s="99">
        <v>0</v>
      </c>
      <c r="U109" s="3">
        <f t="shared" si="5"/>
        <v>27895.826180625918</v>
      </c>
      <c r="V109" s="100">
        <f>D.sign_Data[[#This Row],[TIEMPO (HORAS)]]*Gastos_Operativos[[#Totals],[GASTOS HORA]]</f>
        <v>27789.477072310401</v>
      </c>
      <c r="W109" s="3">
        <f>+D.sign_Data[[#This Row],[COSTO 
DIRECTO ($COP)]]+D.sign_Data[[#This Row],[PRORRATEO GASTOS ($COP)]]</f>
        <v>55685.303252936319</v>
      </c>
      <c r="X109" s="101">
        <v>0.05</v>
      </c>
      <c r="Y109" s="15">
        <f>+D.sign_Data[[#This Row],[COSTOS OPERACIONALES ($COP)]]*D.sign_Data[[#This Row],[DESFASE (%)]]</f>
        <v>2784.265162646816</v>
      </c>
      <c r="Z109" s="101">
        <v>0.3</v>
      </c>
      <c r="AA109" s="15">
        <f>+((D.sign_Data[[#This Row],[COSTOS OPERACIONALES ($COP)]]/(100%-D.sign_Data[[#This Row],[UTILIDAD (%)]])))-D.sign_Data[[#This Row],[COSTOS OPERACIONALES ($COP)]]</f>
        <v>23865.129965544147</v>
      </c>
      <c r="AB109" s="3">
        <f>+D.sign_Data[[#This Row],[COSTOS OPERACIONALES ($COP)]]+D.sign_Data[[#This Row],[DESFASE ($COP)]]+D.sign_Data[[#This Row],[UTILIDAD ($COP)]]</f>
        <v>82334.69838112728</v>
      </c>
      <c r="AC109" s="101">
        <v>0.05</v>
      </c>
      <c r="AD109" s="15">
        <f>+D.sign_Data[[#This Row],[VALOR NETO ($COP)]]/(100%-D.sign_Data[[#This Row],[MARGEN DE NEGOCIACIÓN (%)]])-D.sign_Data[[#This Row],[VALOR NETO ($COP)]]</f>
        <v>4333.405177954075</v>
      </c>
      <c r="AE109" s="15">
        <f>+(D.sign_Data[[#This Row],[VALOR NETO ($COP)]]+D.sign_Data[[#This Row],[NEGOCIACIÓN ($COP)]])*1%</f>
        <v>866.68103559081362</v>
      </c>
      <c r="AF109" s="15">
        <f>+(D.sign_Data[[#This Row],[VALOR NETO ($COP)]]+D.sign_Data[[#This Row],[NEGOCIACIÓN ($COP)]])*1%</f>
        <v>866.68103559081362</v>
      </c>
      <c r="AG109" s="3">
        <f>+D.sign_Data[[#This Row],[VALOR NETO ($COP)]]+D.sign_Data[[#This Row],[NEGOCIACIÓN ($COP)]]+D.sign_Data[[#This Row],[ICA ($COP)]]+D.sign_Data[[#This Row],[4 * 1000 ($COP)]]</f>
        <v>88401.465630262974</v>
      </c>
    </row>
    <row r="110" spans="1:33" ht="60" hidden="1" customHeight="1" x14ac:dyDescent="0.25">
      <c r="A110" s="14"/>
      <c r="B110" s="87" t="s">
        <v>442</v>
      </c>
      <c r="C110" s="182" t="s">
        <v>496</v>
      </c>
      <c r="D110" s="189" t="str">
        <f>VLOOKUP(D.sign_Data[[#This Row],[CÓDIGO]],Descripciones[[CÓDIGO]:[NOMBRE DE SERVICIO]],3,FALSE)</f>
        <v>D1. Parcelaciones y Condominios</v>
      </c>
      <c r="E110" s="87" t="s">
        <v>497</v>
      </c>
      <c r="F110" s="88" t="s">
        <v>498</v>
      </c>
      <c r="G110" s="88" t="s">
        <v>499</v>
      </c>
      <c r="H110" s="87" t="s">
        <v>448</v>
      </c>
      <c r="I110" s="89">
        <v>1</v>
      </c>
      <c r="J110" s="88" t="s">
        <v>505</v>
      </c>
      <c r="K110" s="102"/>
      <c r="L110" s="88" t="s">
        <v>473</v>
      </c>
      <c r="M110" s="89" t="s">
        <v>381</v>
      </c>
      <c r="N110" s="90">
        <v>0.3</v>
      </c>
      <c r="O110" s="27">
        <f>IFERROR(+VLOOKUP(M110,D.sign_Lista_Data[[RESPONSABLE]:[SOFTWARE 
VALOR HORA]],3,FALSE),"0")</f>
        <v>20263.424518743668</v>
      </c>
      <c r="P110" s="3">
        <f t="shared" si="4"/>
        <v>6079.0273556231004</v>
      </c>
      <c r="Q110" s="11">
        <f>IFERROR(+VLOOKUP(M110,D.sign_Lista_Data[[RESPONSABLE]:[SOFTWARE 
VALOR HORA]],5,FALSE)*D.sign_Data[[#This Row],[TIEMPO (HORAS)]],0)</f>
        <v>1266.464032421479</v>
      </c>
      <c r="R110" s="42">
        <f>IFERROR(+VLOOKUP(M110,D.sign_Lista_Data[[RESPONSABLE]:[SOFTWARE 
VALOR HORA]],8,FALSE)*D.sign_Data[[#This Row],[TIEMPO (HORAS)]],0)</f>
        <v>1023.256466143195</v>
      </c>
      <c r="S110" s="99">
        <v>0</v>
      </c>
      <c r="T110" s="99">
        <v>0</v>
      </c>
      <c r="U110" s="3">
        <f t="shared" si="5"/>
        <v>8368.7478541877736</v>
      </c>
      <c r="V110" s="100">
        <f>D.sign_Data[[#This Row],[TIEMPO (HORAS)]]*Gastos_Operativos[[#Totals],[GASTOS HORA]]</f>
        <v>8336.8431216931203</v>
      </c>
      <c r="W110" s="3">
        <f>+D.sign_Data[[#This Row],[COSTO 
DIRECTO ($COP)]]+D.sign_Data[[#This Row],[PRORRATEO GASTOS ($COP)]]</f>
        <v>16705.590975880892</v>
      </c>
      <c r="X110" s="101">
        <v>0.05</v>
      </c>
      <c r="Y110" s="15">
        <f>+D.sign_Data[[#This Row],[COSTOS OPERACIONALES ($COP)]]*D.sign_Data[[#This Row],[DESFASE (%)]]</f>
        <v>835.27954879404467</v>
      </c>
      <c r="Z110" s="101">
        <v>0.3</v>
      </c>
      <c r="AA110" s="15">
        <f>+((D.sign_Data[[#This Row],[COSTOS OPERACIONALES ($COP)]]/(100%-D.sign_Data[[#This Row],[UTILIDAD (%)]])))-D.sign_Data[[#This Row],[COSTOS OPERACIONALES ($COP)]]</f>
        <v>7159.5389896632405</v>
      </c>
      <c r="AB110" s="3">
        <f>+D.sign_Data[[#This Row],[COSTOS OPERACIONALES ($COP)]]+D.sign_Data[[#This Row],[DESFASE ($COP)]]+D.sign_Data[[#This Row],[UTILIDAD ($COP)]]</f>
        <v>24700.409514338178</v>
      </c>
      <c r="AC110" s="101">
        <v>0.05</v>
      </c>
      <c r="AD110" s="15">
        <f>+D.sign_Data[[#This Row],[VALOR NETO ($COP)]]/(100%-D.sign_Data[[#This Row],[MARGEN DE NEGOCIACIÓN (%)]])-D.sign_Data[[#This Row],[VALOR NETO ($COP)]]</f>
        <v>1300.0215533862211</v>
      </c>
      <c r="AE110" s="15">
        <f>+(D.sign_Data[[#This Row],[VALOR NETO ($COP)]]+D.sign_Data[[#This Row],[NEGOCIACIÓN ($COP)]])*1%</f>
        <v>260.00431067724401</v>
      </c>
      <c r="AF110" s="15">
        <f>+(D.sign_Data[[#This Row],[VALOR NETO ($COP)]]+D.sign_Data[[#This Row],[NEGOCIACIÓN ($COP)]])*1%</f>
        <v>260.00431067724401</v>
      </c>
      <c r="AG110" s="3">
        <f>+D.sign_Data[[#This Row],[VALOR NETO ($COP)]]+D.sign_Data[[#This Row],[NEGOCIACIÓN ($COP)]]+D.sign_Data[[#This Row],[ICA ($COP)]]+D.sign_Data[[#This Row],[4 * 1000 ($COP)]]</f>
        <v>26520.439689078885</v>
      </c>
    </row>
    <row r="111" spans="1:33" ht="60" hidden="1" customHeight="1" x14ac:dyDescent="0.25">
      <c r="A111" s="14"/>
      <c r="B111" s="87" t="s">
        <v>442</v>
      </c>
      <c r="C111" s="182" t="s">
        <v>496</v>
      </c>
      <c r="D111" s="189" t="str">
        <f>VLOOKUP(D.sign_Data[[#This Row],[CÓDIGO]],Descripciones[[CÓDIGO]:[NOMBRE DE SERVICIO]],3,FALSE)</f>
        <v>D1. Parcelaciones y Condominios</v>
      </c>
      <c r="E111" s="87" t="s">
        <v>497</v>
      </c>
      <c r="F111" s="88" t="s">
        <v>498</v>
      </c>
      <c r="G111" s="88" t="s">
        <v>499</v>
      </c>
      <c r="H111" s="87" t="s">
        <v>448</v>
      </c>
      <c r="I111" s="89">
        <v>1</v>
      </c>
      <c r="J111" s="88" t="s">
        <v>505</v>
      </c>
      <c r="K111" s="102"/>
      <c r="L111" s="88" t="s">
        <v>478</v>
      </c>
      <c r="M111" s="89" t="s">
        <v>381</v>
      </c>
      <c r="N111" s="90">
        <v>0.5</v>
      </c>
      <c r="O111" s="27">
        <f>IFERROR(+VLOOKUP(M111,D.sign_Lista_Data[[RESPONSABLE]:[SOFTWARE 
VALOR HORA]],3,FALSE),"0")</f>
        <v>20263.424518743668</v>
      </c>
      <c r="P111" s="3">
        <f t="shared" si="4"/>
        <v>10131.712259371834</v>
      </c>
      <c r="Q111" s="11">
        <f>IFERROR(+VLOOKUP(M111,D.sign_Lista_Data[[RESPONSABLE]:[SOFTWARE 
VALOR HORA]],5,FALSE)*D.sign_Data[[#This Row],[TIEMPO (HORAS)]],0)</f>
        <v>2110.7733873691318</v>
      </c>
      <c r="R111" s="42">
        <f>IFERROR(+VLOOKUP(M111,D.sign_Lista_Data[[RESPONSABLE]:[SOFTWARE 
VALOR HORA]],8,FALSE)*D.sign_Data[[#This Row],[TIEMPO (HORAS)]],0)</f>
        <v>1705.4274435719917</v>
      </c>
      <c r="S111" s="99">
        <v>0</v>
      </c>
      <c r="T111" s="99">
        <v>0</v>
      </c>
      <c r="U111" s="3">
        <f t="shared" si="5"/>
        <v>13947.913090312959</v>
      </c>
      <c r="V111" s="100">
        <f>D.sign_Data[[#This Row],[TIEMPO (HORAS)]]*Gastos_Operativos[[#Totals],[GASTOS HORA]]</f>
        <v>13894.738536155201</v>
      </c>
      <c r="W111" s="3">
        <f>+D.sign_Data[[#This Row],[COSTO 
DIRECTO ($COP)]]+D.sign_Data[[#This Row],[PRORRATEO GASTOS ($COP)]]</f>
        <v>27842.65162646816</v>
      </c>
      <c r="X111" s="101">
        <v>0.05</v>
      </c>
      <c r="Y111" s="15">
        <f>+D.sign_Data[[#This Row],[COSTOS OPERACIONALES ($COP)]]*D.sign_Data[[#This Row],[DESFASE (%)]]</f>
        <v>1392.132581323408</v>
      </c>
      <c r="Z111" s="101">
        <v>0.3</v>
      </c>
      <c r="AA111" s="15">
        <f>+((D.sign_Data[[#This Row],[COSTOS OPERACIONALES ($COP)]]/(100%-D.sign_Data[[#This Row],[UTILIDAD (%)]])))-D.sign_Data[[#This Row],[COSTOS OPERACIONALES ($COP)]]</f>
        <v>11932.564982772074</v>
      </c>
      <c r="AB111" s="3">
        <f>+D.sign_Data[[#This Row],[COSTOS OPERACIONALES ($COP)]]+D.sign_Data[[#This Row],[DESFASE ($COP)]]+D.sign_Data[[#This Row],[UTILIDAD ($COP)]]</f>
        <v>41167.34919056364</v>
      </c>
      <c r="AC111" s="101">
        <v>0.05</v>
      </c>
      <c r="AD111" s="15">
        <f>+D.sign_Data[[#This Row],[VALOR NETO ($COP)]]/(100%-D.sign_Data[[#This Row],[MARGEN DE NEGOCIACIÓN (%)]])-D.sign_Data[[#This Row],[VALOR NETO ($COP)]]</f>
        <v>2166.7025889770375</v>
      </c>
      <c r="AE111" s="15">
        <f>+(D.sign_Data[[#This Row],[VALOR NETO ($COP)]]+D.sign_Data[[#This Row],[NEGOCIACIÓN ($COP)]])*1%</f>
        <v>433.34051779540681</v>
      </c>
      <c r="AF111" s="15">
        <f>+(D.sign_Data[[#This Row],[VALOR NETO ($COP)]]+D.sign_Data[[#This Row],[NEGOCIACIÓN ($COP)]])*1%</f>
        <v>433.34051779540681</v>
      </c>
      <c r="AG111" s="3">
        <f>+D.sign_Data[[#This Row],[VALOR NETO ($COP)]]+D.sign_Data[[#This Row],[NEGOCIACIÓN ($COP)]]+D.sign_Data[[#This Row],[ICA ($COP)]]+D.sign_Data[[#This Row],[4 * 1000 ($COP)]]</f>
        <v>44200.732815131487</v>
      </c>
    </row>
    <row r="112" spans="1:33" ht="60" hidden="1" customHeight="1" x14ac:dyDescent="0.25">
      <c r="A112" s="14"/>
      <c r="B112" s="87" t="s">
        <v>442</v>
      </c>
      <c r="C112" s="182" t="s">
        <v>496</v>
      </c>
      <c r="D112" s="189" t="str">
        <f>VLOOKUP(D.sign_Data[[#This Row],[CÓDIGO]],Descripciones[[CÓDIGO]:[NOMBRE DE SERVICIO]],3,FALSE)</f>
        <v>D1. Parcelaciones y Condominios</v>
      </c>
      <c r="E112" s="87" t="s">
        <v>497</v>
      </c>
      <c r="F112" s="88" t="s">
        <v>498</v>
      </c>
      <c r="G112" s="88" t="s">
        <v>499</v>
      </c>
      <c r="H112" s="87" t="s">
        <v>448</v>
      </c>
      <c r="I112" s="89">
        <v>1</v>
      </c>
      <c r="J112" s="88" t="s">
        <v>505</v>
      </c>
      <c r="K112" s="102"/>
      <c r="L112" s="88" t="s">
        <v>474</v>
      </c>
      <c r="M112" s="89" t="s">
        <v>381</v>
      </c>
      <c r="N112" s="90">
        <v>0.3</v>
      </c>
      <c r="O112" s="27">
        <f>IFERROR(+VLOOKUP(M112,D.sign_Lista_Data[[RESPONSABLE]:[SOFTWARE 
VALOR HORA]],3,FALSE),"0")</f>
        <v>20263.424518743668</v>
      </c>
      <c r="P112" s="3">
        <f t="shared" si="4"/>
        <v>6079.0273556231004</v>
      </c>
      <c r="Q112" s="11">
        <f>IFERROR(+VLOOKUP(M112,D.sign_Lista_Data[[RESPONSABLE]:[SOFTWARE 
VALOR HORA]],5,FALSE)*D.sign_Data[[#This Row],[TIEMPO (HORAS)]],0)</f>
        <v>1266.464032421479</v>
      </c>
      <c r="R112" s="42">
        <f>IFERROR(+VLOOKUP(M112,D.sign_Lista_Data[[RESPONSABLE]:[SOFTWARE 
VALOR HORA]],8,FALSE)*D.sign_Data[[#This Row],[TIEMPO (HORAS)]],0)</f>
        <v>1023.256466143195</v>
      </c>
      <c r="S112" s="99">
        <v>0</v>
      </c>
      <c r="T112" s="99">
        <v>0</v>
      </c>
      <c r="U112" s="3">
        <f t="shared" si="5"/>
        <v>8368.7478541877736</v>
      </c>
      <c r="V112" s="100">
        <f>D.sign_Data[[#This Row],[TIEMPO (HORAS)]]*Gastos_Operativos[[#Totals],[GASTOS HORA]]</f>
        <v>8336.8431216931203</v>
      </c>
      <c r="W112" s="3">
        <f>+D.sign_Data[[#This Row],[COSTO 
DIRECTO ($COP)]]+D.sign_Data[[#This Row],[PRORRATEO GASTOS ($COP)]]</f>
        <v>16705.590975880892</v>
      </c>
      <c r="X112" s="101">
        <v>0.05</v>
      </c>
      <c r="Y112" s="15">
        <f>+D.sign_Data[[#This Row],[COSTOS OPERACIONALES ($COP)]]*D.sign_Data[[#This Row],[DESFASE (%)]]</f>
        <v>835.27954879404467</v>
      </c>
      <c r="Z112" s="101">
        <v>0.3</v>
      </c>
      <c r="AA112" s="15">
        <f>+((D.sign_Data[[#This Row],[COSTOS OPERACIONALES ($COP)]]/(100%-D.sign_Data[[#This Row],[UTILIDAD (%)]])))-D.sign_Data[[#This Row],[COSTOS OPERACIONALES ($COP)]]</f>
        <v>7159.5389896632405</v>
      </c>
      <c r="AB112" s="3">
        <f>+D.sign_Data[[#This Row],[COSTOS OPERACIONALES ($COP)]]+D.sign_Data[[#This Row],[DESFASE ($COP)]]+D.sign_Data[[#This Row],[UTILIDAD ($COP)]]</f>
        <v>24700.409514338178</v>
      </c>
      <c r="AC112" s="101">
        <v>0.05</v>
      </c>
      <c r="AD112" s="15">
        <f>+D.sign_Data[[#This Row],[VALOR NETO ($COP)]]/(100%-D.sign_Data[[#This Row],[MARGEN DE NEGOCIACIÓN (%)]])-D.sign_Data[[#This Row],[VALOR NETO ($COP)]]</f>
        <v>1300.0215533862211</v>
      </c>
      <c r="AE112" s="15">
        <f>+(D.sign_Data[[#This Row],[VALOR NETO ($COP)]]+D.sign_Data[[#This Row],[NEGOCIACIÓN ($COP)]])*1%</f>
        <v>260.00431067724401</v>
      </c>
      <c r="AF112" s="15">
        <f>+(D.sign_Data[[#This Row],[VALOR NETO ($COP)]]+D.sign_Data[[#This Row],[NEGOCIACIÓN ($COP)]])*1%</f>
        <v>260.00431067724401</v>
      </c>
      <c r="AG112" s="3">
        <f>+D.sign_Data[[#This Row],[VALOR NETO ($COP)]]+D.sign_Data[[#This Row],[NEGOCIACIÓN ($COP)]]+D.sign_Data[[#This Row],[ICA ($COP)]]+D.sign_Data[[#This Row],[4 * 1000 ($COP)]]</f>
        <v>26520.439689078885</v>
      </c>
    </row>
    <row r="113" spans="1:33" ht="60" hidden="1" customHeight="1" x14ac:dyDescent="0.25">
      <c r="A113" s="14"/>
      <c r="B113" s="87" t="s">
        <v>442</v>
      </c>
      <c r="C113" s="182" t="s">
        <v>496</v>
      </c>
      <c r="D113" s="189" t="str">
        <f>VLOOKUP(D.sign_Data[[#This Row],[CÓDIGO]],Descripciones[[CÓDIGO]:[NOMBRE DE SERVICIO]],3,FALSE)</f>
        <v>D1. Parcelaciones y Condominios</v>
      </c>
      <c r="E113" s="87" t="s">
        <v>497</v>
      </c>
      <c r="F113" s="88" t="s">
        <v>498</v>
      </c>
      <c r="G113" s="88" t="s">
        <v>499</v>
      </c>
      <c r="H113" s="87" t="s">
        <v>448</v>
      </c>
      <c r="I113" s="89">
        <v>1</v>
      </c>
      <c r="J113" s="88" t="s">
        <v>506</v>
      </c>
      <c r="K113" s="102"/>
      <c r="L113" s="88" t="s">
        <v>488</v>
      </c>
      <c r="M113" s="89" t="s">
        <v>381</v>
      </c>
      <c r="N113" s="90">
        <v>0.5</v>
      </c>
      <c r="O113" s="27">
        <f>IFERROR(+VLOOKUP(M113,D.sign_Lista_Data[[RESPONSABLE]:[SOFTWARE 
VALOR HORA]],3,FALSE),"0")</f>
        <v>20263.424518743668</v>
      </c>
      <c r="P113" s="3">
        <f t="shared" si="4"/>
        <v>10131.712259371834</v>
      </c>
      <c r="Q113" s="11">
        <f>IFERROR(+VLOOKUP(M113,D.sign_Lista_Data[[RESPONSABLE]:[SOFTWARE 
VALOR HORA]],5,FALSE)*D.sign_Data[[#This Row],[TIEMPO (HORAS)]],0)</f>
        <v>2110.7733873691318</v>
      </c>
      <c r="R113" s="42">
        <f>IFERROR(+VLOOKUP(M113,D.sign_Lista_Data[[RESPONSABLE]:[SOFTWARE 
VALOR HORA]],8,FALSE)*D.sign_Data[[#This Row],[TIEMPO (HORAS)]],0)</f>
        <v>1705.4274435719917</v>
      </c>
      <c r="S113" s="99">
        <v>0</v>
      </c>
      <c r="T113" s="99">
        <v>0</v>
      </c>
      <c r="U113" s="3">
        <f t="shared" si="5"/>
        <v>13947.913090312959</v>
      </c>
      <c r="V113" s="100">
        <f>D.sign_Data[[#This Row],[TIEMPO (HORAS)]]*Gastos_Operativos[[#Totals],[GASTOS HORA]]</f>
        <v>13894.738536155201</v>
      </c>
      <c r="W113" s="3">
        <f>+D.sign_Data[[#This Row],[COSTO 
DIRECTO ($COP)]]+D.sign_Data[[#This Row],[PRORRATEO GASTOS ($COP)]]</f>
        <v>27842.65162646816</v>
      </c>
      <c r="X113" s="101">
        <v>0.05</v>
      </c>
      <c r="Y113" s="15">
        <f>+D.sign_Data[[#This Row],[COSTOS OPERACIONALES ($COP)]]*D.sign_Data[[#This Row],[DESFASE (%)]]</f>
        <v>1392.132581323408</v>
      </c>
      <c r="Z113" s="101">
        <v>0.3</v>
      </c>
      <c r="AA113" s="15">
        <f>+((D.sign_Data[[#This Row],[COSTOS OPERACIONALES ($COP)]]/(100%-D.sign_Data[[#This Row],[UTILIDAD (%)]])))-D.sign_Data[[#This Row],[COSTOS OPERACIONALES ($COP)]]</f>
        <v>11932.564982772074</v>
      </c>
      <c r="AB113" s="3">
        <f>+D.sign_Data[[#This Row],[COSTOS OPERACIONALES ($COP)]]+D.sign_Data[[#This Row],[DESFASE ($COP)]]+D.sign_Data[[#This Row],[UTILIDAD ($COP)]]</f>
        <v>41167.34919056364</v>
      </c>
      <c r="AC113" s="101">
        <v>0.05</v>
      </c>
      <c r="AD113" s="15">
        <f>+D.sign_Data[[#This Row],[VALOR NETO ($COP)]]/(100%-D.sign_Data[[#This Row],[MARGEN DE NEGOCIACIÓN (%)]])-D.sign_Data[[#This Row],[VALOR NETO ($COP)]]</f>
        <v>2166.7025889770375</v>
      </c>
      <c r="AE113" s="15">
        <f>+(D.sign_Data[[#This Row],[VALOR NETO ($COP)]]+D.sign_Data[[#This Row],[NEGOCIACIÓN ($COP)]])*1%</f>
        <v>433.34051779540681</v>
      </c>
      <c r="AF113" s="15">
        <f>+(D.sign_Data[[#This Row],[VALOR NETO ($COP)]]+D.sign_Data[[#This Row],[NEGOCIACIÓN ($COP)]])*1%</f>
        <v>433.34051779540681</v>
      </c>
      <c r="AG113" s="3">
        <f>+D.sign_Data[[#This Row],[VALOR NETO ($COP)]]+D.sign_Data[[#This Row],[NEGOCIACIÓN ($COP)]]+D.sign_Data[[#This Row],[ICA ($COP)]]+D.sign_Data[[#This Row],[4 * 1000 ($COP)]]</f>
        <v>44200.732815131487</v>
      </c>
    </row>
    <row r="114" spans="1:33" ht="60" hidden="1" customHeight="1" x14ac:dyDescent="0.25">
      <c r="A114" s="14"/>
      <c r="B114" s="87" t="s">
        <v>442</v>
      </c>
      <c r="C114" s="182" t="s">
        <v>496</v>
      </c>
      <c r="D114" s="189" t="str">
        <f>VLOOKUP(D.sign_Data[[#This Row],[CÓDIGO]],Descripciones[[CÓDIGO]:[NOMBRE DE SERVICIO]],3,FALSE)</f>
        <v>D1. Parcelaciones y Condominios</v>
      </c>
      <c r="E114" s="87" t="s">
        <v>497</v>
      </c>
      <c r="F114" s="88" t="s">
        <v>498</v>
      </c>
      <c r="G114" s="88" t="s">
        <v>499</v>
      </c>
      <c r="H114" s="87" t="s">
        <v>448</v>
      </c>
      <c r="I114" s="89">
        <v>1</v>
      </c>
      <c r="J114" s="88" t="s">
        <v>506</v>
      </c>
      <c r="K114" s="102"/>
      <c r="L114" s="91" t="s">
        <v>478</v>
      </c>
      <c r="M114" s="89" t="s">
        <v>381</v>
      </c>
      <c r="N114" s="90">
        <v>0.5</v>
      </c>
      <c r="O114" s="27">
        <f>IFERROR(+VLOOKUP(M114,D.sign_Lista_Data[[RESPONSABLE]:[SOFTWARE 
VALOR HORA]],3,FALSE),"0")</f>
        <v>20263.424518743668</v>
      </c>
      <c r="P114" s="3">
        <f t="shared" si="4"/>
        <v>10131.712259371834</v>
      </c>
      <c r="Q114" s="11">
        <f>IFERROR(+VLOOKUP(M114,D.sign_Lista_Data[[RESPONSABLE]:[SOFTWARE 
VALOR HORA]],5,FALSE)*D.sign_Data[[#This Row],[TIEMPO (HORAS)]],0)</f>
        <v>2110.7733873691318</v>
      </c>
      <c r="R114" s="42">
        <f>IFERROR(+VLOOKUP(M114,D.sign_Lista_Data[[RESPONSABLE]:[SOFTWARE 
VALOR HORA]],8,FALSE)*D.sign_Data[[#This Row],[TIEMPO (HORAS)]],0)</f>
        <v>1705.4274435719917</v>
      </c>
      <c r="S114" s="99">
        <v>0</v>
      </c>
      <c r="T114" s="99">
        <v>0</v>
      </c>
      <c r="U114" s="3">
        <f t="shared" si="5"/>
        <v>13947.913090312959</v>
      </c>
      <c r="V114" s="100">
        <f>D.sign_Data[[#This Row],[TIEMPO (HORAS)]]*Gastos_Operativos[[#Totals],[GASTOS HORA]]</f>
        <v>13894.738536155201</v>
      </c>
      <c r="W114" s="3">
        <f>+D.sign_Data[[#This Row],[COSTO 
DIRECTO ($COP)]]+D.sign_Data[[#This Row],[PRORRATEO GASTOS ($COP)]]</f>
        <v>27842.65162646816</v>
      </c>
      <c r="X114" s="101">
        <v>0.05</v>
      </c>
      <c r="Y114" s="15">
        <f>+D.sign_Data[[#This Row],[COSTOS OPERACIONALES ($COP)]]*D.sign_Data[[#This Row],[DESFASE (%)]]</f>
        <v>1392.132581323408</v>
      </c>
      <c r="Z114" s="101">
        <v>0.3</v>
      </c>
      <c r="AA114" s="15">
        <f>+((D.sign_Data[[#This Row],[COSTOS OPERACIONALES ($COP)]]/(100%-D.sign_Data[[#This Row],[UTILIDAD (%)]])))-D.sign_Data[[#This Row],[COSTOS OPERACIONALES ($COP)]]</f>
        <v>11932.564982772074</v>
      </c>
      <c r="AB114" s="3">
        <f>+D.sign_Data[[#This Row],[COSTOS OPERACIONALES ($COP)]]+D.sign_Data[[#This Row],[DESFASE ($COP)]]+D.sign_Data[[#This Row],[UTILIDAD ($COP)]]</f>
        <v>41167.34919056364</v>
      </c>
      <c r="AC114" s="101">
        <v>0.05</v>
      </c>
      <c r="AD114" s="15">
        <f>+D.sign_Data[[#This Row],[VALOR NETO ($COP)]]/(100%-D.sign_Data[[#This Row],[MARGEN DE NEGOCIACIÓN (%)]])-D.sign_Data[[#This Row],[VALOR NETO ($COP)]]</f>
        <v>2166.7025889770375</v>
      </c>
      <c r="AE114" s="15">
        <f>+(D.sign_Data[[#This Row],[VALOR NETO ($COP)]]+D.sign_Data[[#This Row],[NEGOCIACIÓN ($COP)]])*1%</f>
        <v>433.34051779540681</v>
      </c>
      <c r="AF114" s="15">
        <f>+(D.sign_Data[[#This Row],[VALOR NETO ($COP)]]+D.sign_Data[[#This Row],[NEGOCIACIÓN ($COP)]])*1%</f>
        <v>433.34051779540681</v>
      </c>
      <c r="AG114" s="3">
        <f>+D.sign_Data[[#This Row],[VALOR NETO ($COP)]]+D.sign_Data[[#This Row],[NEGOCIACIÓN ($COP)]]+D.sign_Data[[#This Row],[ICA ($COP)]]+D.sign_Data[[#This Row],[4 * 1000 ($COP)]]</f>
        <v>44200.732815131487</v>
      </c>
    </row>
    <row r="115" spans="1:33" ht="60" hidden="1" customHeight="1" x14ac:dyDescent="0.25">
      <c r="A115" s="14"/>
      <c r="B115" s="87" t="s">
        <v>442</v>
      </c>
      <c r="C115" s="182" t="s">
        <v>496</v>
      </c>
      <c r="D115" s="189" t="str">
        <f>VLOOKUP(D.sign_Data[[#This Row],[CÓDIGO]],Descripciones[[CÓDIGO]:[NOMBRE DE SERVICIO]],3,FALSE)</f>
        <v>D1. Parcelaciones y Condominios</v>
      </c>
      <c r="E115" s="87" t="s">
        <v>497</v>
      </c>
      <c r="F115" s="88" t="s">
        <v>498</v>
      </c>
      <c r="G115" s="88" t="s">
        <v>499</v>
      </c>
      <c r="H115" s="87" t="s">
        <v>448</v>
      </c>
      <c r="I115" s="89">
        <v>1</v>
      </c>
      <c r="J115" s="88" t="s">
        <v>506</v>
      </c>
      <c r="K115" s="102"/>
      <c r="L115" s="91" t="s">
        <v>471</v>
      </c>
      <c r="M115" s="89" t="s">
        <v>381</v>
      </c>
      <c r="N115" s="90">
        <v>1</v>
      </c>
      <c r="O115" s="27">
        <f>IFERROR(+VLOOKUP(M115,D.sign_Lista_Data[[RESPONSABLE]:[SOFTWARE 
VALOR HORA]],3,FALSE),"0")</f>
        <v>20263.424518743668</v>
      </c>
      <c r="P115" s="3">
        <f t="shared" si="4"/>
        <v>20263.424518743668</v>
      </c>
      <c r="Q115" s="11">
        <f>IFERROR(+VLOOKUP(M115,D.sign_Lista_Data[[RESPONSABLE]:[SOFTWARE 
VALOR HORA]],5,FALSE)*D.sign_Data[[#This Row],[TIEMPO (HORAS)]],0)</f>
        <v>4221.5467747382636</v>
      </c>
      <c r="R115" s="42">
        <f>IFERROR(+VLOOKUP(M115,D.sign_Lista_Data[[RESPONSABLE]:[SOFTWARE 
VALOR HORA]],8,FALSE)*D.sign_Data[[#This Row],[TIEMPO (HORAS)]],0)</f>
        <v>3410.8548871439834</v>
      </c>
      <c r="S115" s="99">
        <v>0</v>
      </c>
      <c r="T115" s="99">
        <v>0</v>
      </c>
      <c r="U115" s="3">
        <f t="shared" si="5"/>
        <v>27895.826180625918</v>
      </c>
      <c r="V115" s="100">
        <f>D.sign_Data[[#This Row],[TIEMPO (HORAS)]]*Gastos_Operativos[[#Totals],[GASTOS HORA]]</f>
        <v>27789.477072310401</v>
      </c>
      <c r="W115" s="3">
        <f>+D.sign_Data[[#This Row],[COSTO 
DIRECTO ($COP)]]+D.sign_Data[[#This Row],[PRORRATEO GASTOS ($COP)]]</f>
        <v>55685.303252936319</v>
      </c>
      <c r="X115" s="101">
        <v>0.05</v>
      </c>
      <c r="Y115" s="15">
        <f>+D.sign_Data[[#This Row],[COSTOS OPERACIONALES ($COP)]]*D.sign_Data[[#This Row],[DESFASE (%)]]</f>
        <v>2784.265162646816</v>
      </c>
      <c r="Z115" s="101">
        <v>0.3</v>
      </c>
      <c r="AA115" s="15">
        <f>+((D.sign_Data[[#This Row],[COSTOS OPERACIONALES ($COP)]]/(100%-D.sign_Data[[#This Row],[UTILIDAD (%)]])))-D.sign_Data[[#This Row],[COSTOS OPERACIONALES ($COP)]]</f>
        <v>23865.129965544147</v>
      </c>
      <c r="AB115" s="3">
        <f>+D.sign_Data[[#This Row],[COSTOS OPERACIONALES ($COP)]]+D.sign_Data[[#This Row],[DESFASE ($COP)]]+D.sign_Data[[#This Row],[UTILIDAD ($COP)]]</f>
        <v>82334.69838112728</v>
      </c>
      <c r="AC115" s="101">
        <v>0.05</v>
      </c>
      <c r="AD115" s="15">
        <f>+D.sign_Data[[#This Row],[VALOR NETO ($COP)]]/(100%-D.sign_Data[[#This Row],[MARGEN DE NEGOCIACIÓN (%)]])-D.sign_Data[[#This Row],[VALOR NETO ($COP)]]</f>
        <v>4333.405177954075</v>
      </c>
      <c r="AE115" s="15">
        <f>+(D.sign_Data[[#This Row],[VALOR NETO ($COP)]]+D.sign_Data[[#This Row],[NEGOCIACIÓN ($COP)]])*1%</f>
        <v>866.68103559081362</v>
      </c>
      <c r="AF115" s="15">
        <f>+(D.sign_Data[[#This Row],[VALOR NETO ($COP)]]+D.sign_Data[[#This Row],[NEGOCIACIÓN ($COP)]])*1%</f>
        <v>866.68103559081362</v>
      </c>
      <c r="AG115" s="3">
        <f>+D.sign_Data[[#This Row],[VALOR NETO ($COP)]]+D.sign_Data[[#This Row],[NEGOCIACIÓN ($COP)]]+D.sign_Data[[#This Row],[ICA ($COP)]]+D.sign_Data[[#This Row],[4 * 1000 ($COP)]]</f>
        <v>88401.465630262974</v>
      </c>
    </row>
    <row r="116" spans="1:33" ht="60" hidden="1" customHeight="1" x14ac:dyDescent="0.25">
      <c r="A116" s="14"/>
      <c r="B116" s="87" t="s">
        <v>442</v>
      </c>
      <c r="C116" s="182" t="s">
        <v>496</v>
      </c>
      <c r="D116" s="189" t="str">
        <f>VLOOKUP(D.sign_Data[[#This Row],[CÓDIGO]],Descripciones[[CÓDIGO]:[NOMBRE DE SERVICIO]],3,FALSE)</f>
        <v>D1. Parcelaciones y Condominios</v>
      </c>
      <c r="E116" s="87" t="s">
        <v>497</v>
      </c>
      <c r="F116" s="88" t="s">
        <v>498</v>
      </c>
      <c r="G116" s="88" t="s">
        <v>499</v>
      </c>
      <c r="H116" s="87" t="s">
        <v>448</v>
      </c>
      <c r="I116" s="89">
        <v>1</v>
      </c>
      <c r="J116" s="88" t="s">
        <v>506</v>
      </c>
      <c r="K116" s="102"/>
      <c r="L116" s="91" t="s">
        <v>473</v>
      </c>
      <c r="M116" s="89" t="s">
        <v>381</v>
      </c>
      <c r="N116" s="90">
        <v>0.25</v>
      </c>
      <c r="O116" s="27">
        <f>IFERROR(+VLOOKUP(M116,D.sign_Lista_Data[[RESPONSABLE]:[SOFTWARE 
VALOR HORA]],3,FALSE),"0")</f>
        <v>20263.424518743668</v>
      </c>
      <c r="P116" s="3">
        <f t="shared" si="4"/>
        <v>5065.856129685917</v>
      </c>
      <c r="Q116" s="11">
        <f>IFERROR(+VLOOKUP(M116,D.sign_Lista_Data[[RESPONSABLE]:[SOFTWARE 
VALOR HORA]],5,FALSE)*D.sign_Data[[#This Row],[TIEMPO (HORAS)]],0)</f>
        <v>1055.3866936845659</v>
      </c>
      <c r="R116" s="42">
        <f>IFERROR(+VLOOKUP(M116,D.sign_Lista_Data[[RESPONSABLE]:[SOFTWARE 
VALOR HORA]],8,FALSE)*D.sign_Data[[#This Row],[TIEMPO (HORAS)]],0)</f>
        <v>852.71372178599586</v>
      </c>
      <c r="S116" s="99">
        <v>0</v>
      </c>
      <c r="T116" s="99">
        <v>0</v>
      </c>
      <c r="U116" s="3">
        <f t="shared" si="5"/>
        <v>6973.9565451564795</v>
      </c>
      <c r="V116" s="100">
        <f>D.sign_Data[[#This Row],[TIEMPO (HORAS)]]*Gastos_Operativos[[#Totals],[GASTOS HORA]]</f>
        <v>6947.3692680776003</v>
      </c>
      <c r="W116" s="3">
        <f>+D.sign_Data[[#This Row],[COSTO 
DIRECTO ($COP)]]+D.sign_Data[[#This Row],[PRORRATEO GASTOS ($COP)]]</f>
        <v>13921.32581323408</v>
      </c>
      <c r="X116" s="101">
        <v>0.05</v>
      </c>
      <c r="Y116" s="15">
        <f>+D.sign_Data[[#This Row],[COSTOS OPERACIONALES ($COP)]]*D.sign_Data[[#This Row],[DESFASE (%)]]</f>
        <v>696.06629066170399</v>
      </c>
      <c r="Z116" s="101">
        <v>0.3</v>
      </c>
      <c r="AA116" s="15">
        <f>+((D.sign_Data[[#This Row],[COSTOS OPERACIONALES ($COP)]]/(100%-D.sign_Data[[#This Row],[UTILIDAD (%)]])))-D.sign_Data[[#This Row],[COSTOS OPERACIONALES ($COP)]]</f>
        <v>5966.2824913860368</v>
      </c>
      <c r="AB116" s="3">
        <f>+D.sign_Data[[#This Row],[COSTOS OPERACIONALES ($COP)]]+D.sign_Data[[#This Row],[DESFASE ($COP)]]+D.sign_Data[[#This Row],[UTILIDAD ($COP)]]</f>
        <v>20583.67459528182</v>
      </c>
      <c r="AC116" s="101">
        <v>0.05</v>
      </c>
      <c r="AD116" s="15">
        <f>+D.sign_Data[[#This Row],[VALOR NETO ($COP)]]/(100%-D.sign_Data[[#This Row],[MARGEN DE NEGOCIACIÓN (%)]])-D.sign_Data[[#This Row],[VALOR NETO ($COP)]]</f>
        <v>1083.3512944885188</v>
      </c>
      <c r="AE116" s="15">
        <f>+(D.sign_Data[[#This Row],[VALOR NETO ($COP)]]+D.sign_Data[[#This Row],[NEGOCIACIÓN ($COP)]])*1%</f>
        <v>216.67025889770341</v>
      </c>
      <c r="AF116" s="15">
        <f>+(D.sign_Data[[#This Row],[VALOR NETO ($COP)]]+D.sign_Data[[#This Row],[NEGOCIACIÓN ($COP)]])*1%</f>
        <v>216.67025889770341</v>
      </c>
      <c r="AG116" s="3">
        <f>+D.sign_Data[[#This Row],[VALOR NETO ($COP)]]+D.sign_Data[[#This Row],[NEGOCIACIÓN ($COP)]]+D.sign_Data[[#This Row],[ICA ($COP)]]+D.sign_Data[[#This Row],[4 * 1000 ($COP)]]</f>
        <v>22100.366407565743</v>
      </c>
    </row>
    <row r="117" spans="1:33" ht="60" hidden="1" customHeight="1" x14ac:dyDescent="0.25">
      <c r="A117" s="14"/>
      <c r="B117" s="87" t="s">
        <v>442</v>
      </c>
      <c r="C117" s="182" t="s">
        <v>496</v>
      </c>
      <c r="D117" s="189" t="str">
        <f>VLOOKUP(D.sign_Data[[#This Row],[CÓDIGO]],Descripciones[[CÓDIGO]:[NOMBRE DE SERVICIO]],3,FALSE)</f>
        <v>D1. Parcelaciones y Condominios</v>
      </c>
      <c r="E117" s="87" t="s">
        <v>497</v>
      </c>
      <c r="F117" s="88" t="s">
        <v>498</v>
      </c>
      <c r="G117" s="88" t="s">
        <v>499</v>
      </c>
      <c r="H117" s="87" t="s">
        <v>448</v>
      </c>
      <c r="I117" s="89">
        <v>1</v>
      </c>
      <c r="J117" s="88" t="s">
        <v>506</v>
      </c>
      <c r="K117" s="102"/>
      <c r="L117" s="88" t="s">
        <v>474</v>
      </c>
      <c r="M117" s="89" t="s">
        <v>381</v>
      </c>
      <c r="N117" s="90">
        <v>0.1</v>
      </c>
      <c r="O117" s="27">
        <f>IFERROR(+VLOOKUP(M117,D.sign_Lista_Data[[RESPONSABLE]:[SOFTWARE 
VALOR HORA]],3,FALSE),"0")</f>
        <v>20263.424518743668</v>
      </c>
      <c r="P117" s="3">
        <f t="shared" si="4"/>
        <v>2026.3424518743668</v>
      </c>
      <c r="Q117" s="11">
        <f>IFERROR(+VLOOKUP(M117,D.sign_Lista_Data[[RESPONSABLE]:[SOFTWARE 
VALOR HORA]],5,FALSE)*D.sign_Data[[#This Row],[TIEMPO (HORAS)]],0)</f>
        <v>422.15467747382638</v>
      </c>
      <c r="R117" s="42">
        <f>IFERROR(+VLOOKUP(M117,D.sign_Lista_Data[[RESPONSABLE]:[SOFTWARE 
VALOR HORA]],8,FALSE)*D.sign_Data[[#This Row],[TIEMPO (HORAS)]],0)</f>
        <v>341.08548871439837</v>
      </c>
      <c r="S117" s="99">
        <v>0</v>
      </c>
      <c r="T117" s="99">
        <v>0</v>
      </c>
      <c r="U117" s="3">
        <f t="shared" si="5"/>
        <v>2789.5826180625913</v>
      </c>
      <c r="V117" s="100">
        <f>D.sign_Data[[#This Row],[TIEMPO (HORAS)]]*Gastos_Operativos[[#Totals],[GASTOS HORA]]</f>
        <v>2778.9477072310401</v>
      </c>
      <c r="W117" s="3">
        <f>+D.sign_Data[[#This Row],[COSTO 
DIRECTO ($COP)]]+D.sign_Data[[#This Row],[PRORRATEO GASTOS ($COP)]]</f>
        <v>5568.5303252936319</v>
      </c>
      <c r="X117" s="101">
        <v>0.05</v>
      </c>
      <c r="Y117" s="15">
        <f>+D.sign_Data[[#This Row],[COSTOS OPERACIONALES ($COP)]]*D.sign_Data[[#This Row],[DESFASE (%)]]</f>
        <v>278.4265162646816</v>
      </c>
      <c r="Z117" s="101">
        <v>0.3</v>
      </c>
      <c r="AA117" s="15">
        <f>+((D.sign_Data[[#This Row],[COSTOS OPERACIONALES ($COP)]]/(100%-D.sign_Data[[#This Row],[UTILIDAD (%)]])))-D.sign_Data[[#This Row],[COSTOS OPERACIONALES ($COP)]]</f>
        <v>2386.5129965544138</v>
      </c>
      <c r="AB117" s="3">
        <f>+D.sign_Data[[#This Row],[COSTOS OPERACIONALES ($COP)]]+D.sign_Data[[#This Row],[DESFASE ($COP)]]+D.sign_Data[[#This Row],[UTILIDAD ($COP)]]</f>
        <v>8233.4698381127273</v>
      </c>
      <c r="AC117" s="101">
        <v>0.05</v>
      </c>
      <c r="AD117" s="15">
        <f>+D.sign_Data[[#This Row],[VALOR NETO ($COP)]]/(100%-D.sign_Data[[#This Row],[MARGEN DE NEGOCIACIÓN (%)]])-D.sign_Data[[#This Row],[VALOR NETO ($COP)]]</f>
        <v>433.34051779540641</v>
      </c>
      <c r="AE117" s="15">
        <f>+(D.sign_Data[[#This Row],[VALOR NETO ($COP)]]+D.sign_Data[[#This Row],[NEGOCIACIÓN ($COP)]])*1%</f>
        <v>86.668103559081345</v>
      </c>
      <c r="AF117" s="15">
        <f>+(D.sign_Data[[#This Row],[VALOR NETO ($COP)]]+D.sign_Data[[#This Row],[NEGOCIACIÓN ($COP)]])*1%</f>
        <v>86.668103559081345</v>
      </c>
      <c r="AG117" s="3">
        <f>+D.sign_Data[[#This Row],[VALOR NETO ($COP)]]+D.sign_Data[[#This Row],[NEGOCIACIÓN ($COP)]]+D.sign_Data[[#This Row],[ICA ($COP)]]+D.sign_Data[[#This Row],[4 * 1000 ($COP)]]</f>
        <v>8840.1465630262956</v>
      </c>
    </row>
    <row r="118" spans="1:33" ht="60" hidden="1" customHeight="1" x14ac:dyDescent="0.25">
      <c r="A118" s="14"/>
      <c r="B118" s="87" t="s">
        <v>442</v>
      </c>
      <c r="C118" s="182" t="s">
        <v>496</v>
      </c>
      <c r="D118" s="189" t="str">
        <f>VLOOKUP(D.sign_Data[[#This Row],[CÓDIGO]],Descripciones[[CÓDIGO]:[NOMBRE DE SERVICIO]],3,FALSE)</f>
        <v>D1. Parcelaciones y Condominios</v>
      </c>
      <c r="E118" s="87" t="s">
        <v>497</v>
      </c>
      <c r="F118" s="88" t="s">
        <v>498</v>
      </c>
      <c r="G118" s="88" t="s">
        <v>499</v>
      </c>
      <c r="H118" s="87" t="s">
        <v>448</v>
      </c>
      <c r="I118" s="89">
        <v>1</v>
      </c>
      <c r="J118" s="88" t="s">
        <v>507</v>
      </c>
      <c r="K118" s="102"/>
      <c r="L118" s="88" t="s">
        <v>490</v>
      </c>
      <c r="M118" s="89" t="s">
        <v>381</v>
      </c>
      <c r="N118" s="90">
        <v>0.5</v>
      </c>
      <c r="O118" s="27">
        <f>IFERROR(+VLOOKUP(M118,D.sign_Lista_Data[[RESPONSABLE]:[SOFTWARE 
VALOR HORA]],3,FALSE),"0")</f>
        <v>20263.424518743668</v>
      </c>
      <c r="P118" s="3">
        <f t="shared" si="4"/>
        <v>10131.712259371834</v>
      </c>
      <c r="Q118" s="11">
        <f>IFERROR(+VLOOKUP(M118,D.sign_Lista_Data[[RESPONSABLE]:[SOFTWARE 
VALOR HORA]],5,FALSE)*D.sign_Data[[#This Row],[TIEMPO (HORAS)]],0)</f>
        <v>2110.7733873691318</v>
      </c>
      <c r="R118" s="42">
        <f>IFERROR(+VLOOKUP(M118,D.sign_Lista_Data[[RESPONSABLE]:[SOFTWARE 
VALOR HORA]],8,FALSE)*D.sign_Data[[#This Row],[TIEMPO (HORAS)]],0)</f>
        <v>1705.4274435719917</v>
      </c>
      <c r="S118" s="99">
        <v>0</v>
      </c>
      <c r="T118" s="99">
        <v>0</v>
      </c>
      <c r="U118" s="3">
        <f t="shared" si="5"/>
        <v>13947.913090312959</v>
      </c>
      <c r="V118" s="100">
        <f>D.sign_Data[[#This Row],[TIEMPO (HORAS)]]*Gastos_Operativos[[#Totals],[GASTOS HORA]]</f>
        <v>13894.738536155201</v>
      </c>
      <c r="W118" s="3">
        <f>+D.sign_Data[[#This Row],[COSTO 
DIRECTO ($COP)]]+D.sign_Data[[#This Row],[PRORRATEO GASTOS ($COP)]]</f>
        <v>27842.65162646816</v>
      </c>
      <c r="X118" s="101">
        <v>0.05</v>
      </c>
      <c r="Y118" s="15">
        <f>+D.sign_Data[[#This Row],[COSTOS OPERACIONALES ($COP)]]*D.sign_Data[[#This Row],[DESFASE (%)]]</f>
        <v>1392.132581323408</v>
      </c>
      <c r="Z118" s="101">
        <v>0.3</v>
      </c>
      <c r="AA118" s="15">
        <f>+((D.sign_Data[[#This Row],[COSTOS OPERACIONALES ($COP)]]/(100%-D.sign_Data[[#This Row],[UTILIDAD (%)]])))-D.sign_Data[[#This Row],[COSTOS OPERACIONALES ($COP)]]</f>
        <v>11932.564982772074</v>
      </c>
      <c r="AB118" s="3">
        <f>+D.sign_Data[[#This Row],[COSTOS OPERACIONALES ($COP)]]+D.sign_Data[[#This Row],[DESFASE ($COP)]]+D.sign_Data[[#This Row],[UTILIDAD ($COP)]]</f>
        <v>41167.34919056364</v>
      </c>
      <c r="AC118" s="101">
        <v>0.05</v>
      </c>
      <c r="AD118" s="15">
        <f>+D.sign_Data[[#This Row],[VALOR NETO ($COP)]]/(100%-D.sign_Data[[#This Row],[MARGEN DE NEGOCIACIÓN (%)]])-D.sign_Data[[#This Row],[VALOR NETO ($COP)]]</f>
        <v>2166.7025889770375</v>
      </c>
      <c r="AE118" s="15">
        <f>+(D.sign_Data[[#This Row],[VALOR NETO ($COP)]]+D.sign_Data[[#This Row],[NEGOCIACIÓN ($COP)]])*1%</f>
        <v>433.34051779540681</v>
      </c>
      <c r="AF118" s="15">
        <f>+(D.sign_Data[[#This Row],[VALOR NETO ($COP)]]+D.sign_Data[[#This Row],[NEGOCIACIÓN ($COP)]])*1%</f>
        <v>433.34051779540681</v>
      </c>
      <c r="AG118" s="3">
        <f>+D.sign_Data[[#This Row],[VALOR NETO ($COP)]]+D.sign_Data[[#This Row],[NEGOCIACIÓN ($COP)]]+D.sign_Data[[#This Row],[ICA ($COP)]]+D.sign_Data[[#This Row],[4 * 1000 ($COP)]]</f>
        <v>44200.732815131487</v>
      </c>
    </row>
    <row r="119" spans="1:33" ht="60" hidden="1" customHeight="1" x14ac:dyDescent="0.25">
      <c r="A119" s="14"/>
      <c r="B119" s="87" t="s">
        <v>442</v>
      </c>
      <c r="C119" s="182" t="s">
        <v>496</v>
      </c>
      <c r="D119" s="189" t="str">
        <f>VLOOKUP(D.sign_Data[[#This Row],[CÓDIGO]],Descripciones[[CÓDIGO]:[NOMBRE DE SERVICIO]],3,FALSE)</f>
        <v>D1. Parcelaciones y Condominios</v>
      </c>
      <c r="E119" s="87" t="s">
        <v>497</v>
      </c>
      <c r="F119" s="88" t="s">
        <v>498</v>
      </c>
      <c r="G119" s="88" t="s">
        <v>499</v>
      </c>
      <c r="H119" s="87" t="s">
        <v>448</v>
      </c>
      <c r="I119" s="89">
        <v>1</v>
      </c>
      <c r="J119" s="88" t="s">
        <v>508</v>
      </c>
      <c r="K119" s="102"/>
      <c r="L119" s="88" t="s">
        <v>492</v>
      </c>
      <c r="M119" s="89" t="s">
        <v>381</v>
      </c>
      <c r="N119" s="90">
        <v>0.6</v>
      </c>
      <c r="O119" s="27">
        <f>IFERROR(+VLOOKUP(M119,D.sign_Lista_Data[[RESPONSABLE]:[SOFTWARE 
VALOR HORA]],3,FALSE),"0")</f>
        <v>20263.424518743668</v>
      </c>
      <c r="P119" s="3">
        <f t="shared" si="4"/>
        <v>12158.054711246201</v>
      </c>
      <c r="Q119" s="11">
        <f>IFERROR(+VLOOKUP(M119,D.sign_Lista_Data[[RESPONSABLE]:[SOFTWARE 
VALOR HORA]],5,FALSE)*D.sign_Data[[#This Row],[TIEMPO (HORAS)]],0)</f>
        <v>2532.9280648429581</v>
      </c>
      <c r="R119" s="42">
        <f>IFERROR(+VLOOKUP(M119,D.sign_Lista_Data[[RESPONSABLE]:[SOFTWARE 
VALOR HORA]],8,FALSE)*D.sign_Data[[#This Row],[TIEMPO (HORAS)]],0)</f>
        <v>2046.51293228639</v>
      </c>
      <c r="S119" s="99">
        <v>0</v>
      </c>
      <c r="T119" s="99">
        <v>0</v>
      </c>
      <c r="U119" s="3">
        <f t="shared" si="5"/>
        <v>16737.495708375547</v>
      </c>
      <c r="V119" s="100">
        <f>D.sign_Data[[#This Row],[TIEMPO (HORAS)]]*Gastos_Operativos[[#Totals],[GASTOS HORA]]</f>
        <v>16673.686243386241</v>
      </c>
      <c r="W119" s="3">
        <f>+D.sign_Data[[#This Row],[COSTO 
DIRECTO ($COP)]]+D.sign_Data[[#This Row],[PRORRATEO GASTOS ($COP)]]</f>
        <v>33411.181951761784</v>
      </c>
      <c r="X119" s="101">
        <v>0.05</v>
      </c>
      <c r="Y119" s="15">
        <f>+D.sign_Data[[#This Row],[COSTOS OPERACIONALES ($COP)]]*D.sign_Data[[#This Row],[DESFASE (%)]]</f>
        <v>1670.5590975880893</v>
      </c>
      <c r="Z119" s="101">
        <v>0.3</v>
      </c>
      <c r="AA119" s="15">
        <f>+((D.sign_Data[[#This Row],[COSTOS OPERACIONALES ($COP)]]/(100%-D.sign_Data[[#This Row],[UTILIDAD (%)]])))-D.sign_Data[[#This Row],[COSTOS OPERACIONALES ($COP)]]</f>
        <v>14319.077979326481</v>
      </c>
      <c r="AB119" s="3">
        <f>+D.sign_Data[[#This Row],[COSTOS OPERACIONALES ($COP)]]+D.sign_Data[[#This Row],[DESFASE ($COP)]]+D.sign_Data[[#This Row],[UTILIDAD ($COP)]]</f>
        <v>49400.819028676357</v>
      </c>
      <c r="AC119" s="101">
        <v>0.05</v>
      </c>
      <c r="AD119" s="15">
        <f>+D.sign_Data[[#This Row],[VALOR NETO ($COP)]]/(100%-D.sign_Data[[#This Row],[MARGEN DE NEGOCIACIÓN (%)]])-D.sign_Data[[#This Row],[VALOR NETO ($COP)]]</f>
        <v>2600.0431067724421</v>
      </c>
      <c r="AE119" s="15">
        <f>+(D.sign_Data[[#This Row],[VALOR NETO ($COP)]]+D.sign_Data[[#This Row],[NEGOCIACIÓN ($COP)]])*1%</f>
        <v>520.00862135448801</v>
      </c>
      <c r="AF119" s="15">
        <f>+(D.sign_Data[[#This Row],[VALOR NETO ($COP)]]+D.sign_Data[[#This Row],[NEGOCIACIÓN ($COP)]])*1%</f>
        <v>520.00862135448801</v>
      </c>
      <c r="AG119" s="3">
        <f>+D.sign_Data[[#This Row],[VALOR NETO ($COP)]]+D.sign_Data[[#This Row],[NEGOCIACIÓN ($COP)]]+D.sign_Data[[#This Row],[ICA ($COP)]]+D.sign_Data[[#This Row],[4 * 1000 ($COP)]]</f>
        <v>53040.87937815777</v>
      </c>
    </row>
    <row r="120" spans="1:33" ht="60" hidden="1" customHeight="1" x14ac:dyDescent="0.25">
      <c r="A120" s="14"/>
      <c r="B120" s="87" t="s">
        <v>442</v>
      </c>
      <c r="C120" s="182" t="s">
        <v>496</v>
      </c>
      <c r="D120" s="189" t="str">
        <f>VLOOKUP(D.sign_Data[[#This Row],[CÓDIGO]],Descripciones[[CÓDIGO]:[NOMBRE DE SERVICIO]],3,FALSE)</f>
        <v>D1. Parcelaciones y Condominios</v>
      </c>
      <c r="E120" s="87" t="s">
        <v>497</v>
      </c>
      <c r="F120" s="88" t="s">
        <v>498</v>
      </c>
      <c r="G120" s="88" t="s">
        <v>499</v>
      </c>
      <c r="H120" s="87" t="s">
        <v>448</v>
      </c>
      <c r="I120" s="89">
        <v>1</v>
      </c>
      <c r="J120" s="88" t="s">
        <v>508</v>
      </c>
      <c r="K120" s="102"/>
      <c r="L120" s="91" t="s">
        <v>483</v>
      </c>
      <c r="M120" s="89" t="s">
        <v>381</v>
      </c>
      <c r="N120" s="90">
        <v>0.1</v>
      </c>
      <c r="O120" s="27">
        <f>IFERROR(+VLOOKUP(M120,D.sign_Lista_Data[[RESPONSABLE]:[SOFTWARE 
VALOR HORA]],3,FALSE),"0")</f>
        <v>20263.424518743668</v>
      </c>
      <c r="P120" s="3">
        <f t="shared" si="4"/>
        <v>2026.3424518743668</v>
      </c>
      <c r="Q120" s="11">
        <f>IFERROR(+VLOOKUP(M120,D.sign_Lista_Data[[RESPONSABLE]:[SOFTWARE 
VALOR HORA]],5,FALSE)*D.sign_Data[[#This Row],[TIEMPO (HORAS)]],0)</f>
        <v>422.15467747382638</v>
      </c>
      <c r="R120" s="42">
        <f>IFERROR(+VLOOKUP(M120,D.sign_Lista_Data[[RESPONSABLE]:[SOFTWARE 
VALOR HORA]],8,FALSE)*D.sign_Data[[#This Row],[TIEMPO (HORAS)]],0)</f>
        <v>341.08548871439837</v>
      </c>
      <c r="S120" s="99">
        <v>0</v>
      </c>
      <c r="T120" s="99">
        <v>0</v>
      </c>
      <c r="U120" s="3">
        <f t="shared" si="5"/>
        <v>2789.5826180625913</v>
      </c>
      <c r="V120" s="100">
        <f>D.sign_Data[[#This Row],[TIEMPO (HORAS)]]*Gastos_Operativos[[#Totals],[GASTOS HORA]]</f>
        <v>2778.9477072310401</v>
      </c>
      <c r="W120" s="3">
        <f>+D.sign_Data[[#This Row],[COSTO 
DIRECTO ($COP)]]+D.sign_Data[[#This Row],[PRORRATEO GASTOS ($COP)]]</f>
        <v>5568.5303252936319</v>
      </c>
      <c r="X120" s="101">
        <v>0.05</v>
      </c>
      <c r="Y120" s="15">
        <f>+D.sign_Data[[#This Row],[COSTOS OPERACIONALES ($COP)]]*D.sign_Data[[#This Row],[DESFASE (%)]]</f>
        <v>278.4265162646816</v>
      </c>
      <c r="Z120" s="101">
        <v>0.3</v>
      </c>
      <c r="AA120" s="15">
        <f>+((D.sign_Data[[#This Row],[COSTOS OPERACIONALES ($COP)]]/(100%-D.sign_Data[[#This Row],[UTILIDAD (%)]])))-D.sign_Data[[#This Row],[COSTOS OPERACIONALES ($COP)]]</f>
        <v>2386.5129965544138</v>
      </c>
      <c r="AB120" s="3">
        <f>+D.sign_Data[[#This Row],[COSTOS OPERACIONALES ($COP)]]+D.sign_Data[[#This Row],[DESFASE ($COP)]]+D.sign_Data[[#This Row],[UTILIDAD ($COP)]]</f>
        <v>8233.4698381127273</v>
      </c>
      <c r="AC120" s="101">
        <v>0.05</v>
      </c>
      <c r="AD120" s="15">
        <f>+D.sign_Data[[#This Row],[VALOR NETO ($COP)]]/(100%-D.sign_Data[[#This Row],[MARGEN DE NEGOCIACIÓN (%)]])-D.sign_Data[[#This Row],[VALOR NETO ($COP)]]</f>
        <v>433.34051779540641</v>
      </c>
      <c r="AE120" s="15">
        <f>+(D.sign_Data[[#This Row],[VALOR NETO ($COP)]]+D.sign_Data[[#This Row],[NEGOCIACIÓN ($COP)]])*1%</f>
        <v>86.668103559081345</v>
      </c>
      <c r="AF120" s="15">
        <f>+(D.sign_Data[[#This Row],[VALOR NETO ($COP)]]+D.sign_Data[[#This Row],[NEGOCIACIÓN ($COP)]])*1%</f>
        <v>86.668103559081345</v>
      </c>
      <c r="AG120" s="3">
        <f>+D.sign_Data[[#This Row],[VALOR NETO ($COP)]]+D.sign_Data[[#This Row],[NEGOCIACIÓN ($COP)]]+D.sign_Data[[#This Row],[ICA ($COP)]]+D.sign_Data[[#This Row],[4 * 1000 ($COP)]]</f>
        <v>8840.1465630262956</v>
      </c>
    </row>
    <row r="121" spans="1:33" ht="60" hidden="1" customHeight="1" x14ac:dyDescent="0.25">
      <c r="A121" s="14"/>
      <c r="B121" s="87" t="s">
        <v>442</v>
      </c>
      <c r="C121" s="182" t="s">
        <v>509</v>
      </c>
      <c r="D121" s="189" t="str">
        <f>VLOOKUP(D.sign_Data[[#This Row],[CÓDIGO]],Descripciones[[CÓDIGO]:[NOMBRE DE SERVICIO]],3,FALSE)</f>
        <v>D1. Parcelaciones y Condominios</v>
      </c>
      <c r="E121" s="87" t="s">
        <v>420</v>
      </c>
      <c r="F121" s="88" t="s">
        <v>510</v>
      </c>
      <c r="G121" s="88" t="s">
        <v>510</v>
      </c>
      <c r="H121" s="87" t="s">
        <v>429</v>
      </c>
      <c r="I121" s="89">
        <v>1</v>
      </c>
      <c r="J121" s="88" t="s">
        <v>511</v>
      </c>
      <c r="K121" s="102"/>
      <c r="L121" s="88" t="s">
        <v>512</v>
      </c>
      <c r="M121" s="89" t="s">
        <v>381</v>
      </c>
      <c r="N121" s="90">
        <v>5</v>
      </c>
      <c r="O121" s="27">
        <f>IFERROR(+VLOOKUP(M121,D.sign_Lista_Data[[RESPONSABLE]:[SOFTWARE 
VALOR HORA]],3,FALSE),"0")</f>
        <v>20263.424518743668</v>
      </c>
      <c r="P121" s="3">
        <f t="shared" si="4"/>
        <v>101317.12259371835</v>
      </c>
      <c r="Q121" s="11">
        <f>IFERROR(+VLOOKUP(M121,D.sign_Lista_Data[[RESPONSABLE]:[SOFTWARE 
VALOR HORA]],5,FALSE)*D.sign_Data[[#This Row],[TIEMPO (HORAS)]],0)</f>
        <v>21107.733873691319</v>
      </c>
      <c r="R121" s="42">
        <f>IFERROR(+VLOOKUP(M121,D.sign_Lista_Data[[RESPONSABLE]:[SOFTWARE 
VALOR HORA]],8,FALSE)*D.sign_Data[[#This Row],[TIEMPO (HORAS)]],0)</f>
        <v>17054.274435719919</v>
      </c>
      <c r="S121" s="99">
        <v>0</v>
      </c>
      <c r="T121" s="99">
        <v>0</v>
      </c>
      <c r="U121" s="3">
        <f t="shared" si="5"/>
        <v>139479.13090312958</v>
      </c>
      <c r="V121" s="100">
        <f>D.sign_Data[[#This Row],[TIEMPO (HORAS)]]*Gastos_Operativos[[#Totals],[GASTOS HORA]]</f>
        <v>138947.38536155201</v>
      </c>
      <c r="W121" s="3">
        <f>+D.sign_Data[[#This Row],[COSTO 
DIRECTO ($COP)]]+D.sign_Data[[#This Row],[PRORRATEO GASTOS ($COP)]]</f>
        <v>278426.51626468159</v>
      </c>
      <c r="X121" s="101">
        <v>0.15</v>
      </c>
      <c r="Y121" s="15">
        <f>+D.sign_Data[[#This Row],[COSTOS OPERACIONALES ($COP)]]*D.sign_Data[[#This Row],[DESFASE (%)]]</f>
        <v>41763.977439702234</v>
      </c>
      <c r="Z121" s="101">
        <v>0.2</v>
      </c>
      <c r="AA121" s="15">
        <f>+((D.sign_Data[[#This Row],[COSTOS OPERACIONALES ($COP)]]/(100%-D.sign_Data[[#This Row],[UTILIDAD (%)]])))-D.sign_Data[[#This Row],[COSTOS OPERACIONALES ($COP)]]</f>
        <v>69606.629066170368</v>
      </c>
      <c r="AB121" s="3">
        <f>+D.sign_Data[[#This Row],[COSTOS OPERACIONALES ($COP)]]+D.sign_Data[[#This Row],[DESFASE ($COP)]]+D.sign_Data[[#This Row],[UTILIDAD ($COP)]]</f>
        <v>389797.12277055421</v>
      </c>
      <c r="AC121" s="101">
        <v>0.05</v>
      </c>
      <c r="AD121" s="15">
        <f>+D.sign_Data[[#This Row],[VALOR NETO ($COP)]]/(100%-D.sign_Data[[#This Row],[MARGEN DE NEGOCIACIÓN (%)]])-D.sign_Data[[#This Row],[VALOR NETO ($COP)]]</f>
        <v>20515.638040555525</v>
      </c>
      <c r="AE121" s="15">
        <f>+(D.sign_Data[[#This Row],[VALOR NETO ($COP)]]+D.sign_Data[[#This Row],[NEGOCIACIÓN ($COP)]])*1%</f>
        <v>4103.1276081110973</v>
      </c>
      <c r="AF121" s="15">
        <f>+(D.sign_Data[[#This Row],[VALOR NETO ($COP)]]+D.sign_Data[[#This Row],[NEGOCIACIÓN ($COP)]])*1%</f>
        <v>4103.1276081110973</v>
      </c>
      <c r="AG121" s="3">
        <f>+D.sign_Data[[#This Row],[VALOR NETO ($COP)]]+D.sign_Data[[#This Row],[NEGOCIACIÓN ($COP)]]+D.sign_Data[[#This Row],[ICA ($COP)]]+D.sign_Data[[#This Row],[4 * 1000 ($COP)]]</f>
        <v>418519.01602733188</v>
      </c>
    </row>
    <row r="122" spans="1:33" ht="60" hidden="1" customHeight="1" x14ac:dyDescent="0.25">
      <c r="A122" s="14"/>
      <c r="B122" s="87" t="s">
        <v>442</v>
      </c>
      <c r="C122" s="182" t="s">
        <v>509</v>
      </c>
      <c r="D122" s="189" t="str">
        <f>VLOOKUP(D.sign_Data[[#This Row],[CÓDIGO]],Descripciones[[CÓDIGO]:[NOMBRE DE SERVICIO]],3,FALSE)</f>
        <v>D1. Parcelaciones y Condominios</v>
      </c>
      <c r="E122" s="87" t="s">
        <v>420</v>
      </c>
      <c r="F122" s="88" t="s">
        <v>510</v>
      </c>
      <c r="G122" s="88" t="s">
        <v>510</v>
      </c>
      <c r="H122" s="87" t="s">
        <v>429</v>
      </c>
      <c r="I122" s="89">
        <v>1</v>
      </c>
      <c r="J122" s="88" t="s">
        <v>511</v>
      </c>
      <c r="K122" s="102"/>
      <c r="L122" s="88" t="s">
        <v>513</v>
      </c>
      <c r="M122" s="89" t="s">
        <v>381</v>
      </c>
      <c r="N122" s="90">
        <v>5</v>
      </c>
      <c r="O122" s="27">
        <f>IFERROR(+VLOOKUP(M122,D.sign_Lista_Data[[RESPONSABLE]:[SOFTWARE 
VALOR HORA]],3,FALSE),"0")</f>
        <v>20263.424518743668</v>
      </c>
      <c r="P122" s="3">
        <f t="shared" si="4"/>
        <v>101317.12259371835</v>
      </c>
      <c r="Q122" s="11">
        <f>IFERROR(+VLOOKUP(M122,D.sign_Lista_Data[[RESPONSABLE]:[SOFTWARE 
VALOR HORA]],5,FALSE)*D.sign_Data[[#This Row],[TIEMPO (HORAS)]],0)</f>
        <v>21107.733873691319</v>
      </c>
      <c r="R122" s="42">
        <f>IFERROR(+VLOOKUP(M122,D.sign_Lista_Data[[RESPONSABLE]:[SOFTWARE 
VALOR HORA]],8,FALSE)*D.sign_Data[[#This Row],[TIEMPO (HORAS)]],0)</f>
        <v>17054.274435719919</v>
      </c>
      <c r="S122" s="99">
        <v>0</v>
      </c>
      <c r="T122" s="99">
        <v>0</v>
      </c>
      <c r="U122" s="3">
        <f t="shared" si="5"/>
        <v>139479.13090312958</v>
      </c>
      <c r="V122" s="100">
        <f>D.sign_Data[[#This Row],[TIEMPO (HORAS)]]*Gastos_Operativos[[#Totals],[GASTOS HORA]]</f>
        <v>138947.38536155201</v>
      </c>
      <c r="W122" s="3">
        <f>+D.sign_Data[[#This Row],[COSTO 
DIRECTO ($COP)]]+D.sign_Data[[#This Row],[PRORRATEO GASTOS ($COP)]]</f>
        <v>278426.51626468159</v>
      </c>
      <c r="X122" s="101">
        <v>0.15</v>
      </c>
      <c r="Y122" s="15">
        <f>+D.sign_Data[[#This Row],[COSTOS OPERACIONALES ($COP)]]*D.sign_Data[[#This Row],[DESFASE (%)]]</f>
        <v>41763.977439702234</v>
      </c>
      <c r="Z122" s="101">
        <v>0.2</v>
      </c>
      <c r="AA122" s="15">
        <f>+((D.sign_Data[[#This Row],[COSTOS OPERACIONALES ($COP)]]/(100%-D.sign_Data[[#This Row],[UTILIDAD (%)]])))-D.sign_Data[[#This Row],[COSTOS OPERACIONALES ($COP)]]</f>
        <v>69606.629066170368</v>
      </c>
      <c r="AB122" s="3">
        <f>+D.sign_Data[[#This Row],[COSTOS OPERACIONALES ($COP)]]+D.sign_Data[[#This Row],[DESFASE ($COP)]]+D.sign_Data[[#This Row],[UTILIDAD ($COP)]]</f>
        <v>389797.12277055421</v>
      </c>
      <c r="AC122" s="101">
        <v>0.05</v>
      </c>
      <c r="AD122" s="15">
        <f>+D.sign_Data[[#This Row],[VALOR NETO ($COP)]]/(100%-D.sign_Data[[#This Row],[MARGEN DE NEGOCIACIÓN (%)]])-D.sign_Data[[#This Row],[VALOR NETO ($COP)]]</f>
        <v>20515.638040555525</v>
      </c>
      <c r="AE122" s="15">
        <f>+(D.sign_Data[[#This Row],[VALOR NETO ($COP)]]+D.sign_Data[[#This Row],[NEGOCIACIÓN ($COP)]])*1%</f>
        <v>4103.1276081110973</v>
      </c>
      <c r="AF122" s="15">
        <f>+(D.sign_Data[[#This Row],[VALOR NETO ($COP)]]+D.sign_Data[[#This Row],[NEGOCIACIÓN ($COP)]])*1%</f>
        <v>4103.1276081110973</v>
      </c>
      <c r="AG122" s="3">
        <f>+D.sign_Data[[#This Row],[VALOR NETO ($COP)]]+D.sign_Data[[#This Row],[NEGOCIACIÓN ($COP)]]+D.sign_Data[[#This Row],[ICA ($COP)]]+D.sign_Data[[#This Row],[4 * 1000 ($COP)]]</f>
        <v>418519.01602733188</v>
      </c>
    </row>
    <row r="123" spans="1:33" ht="60" hidden="1" customHeight="1" x14ac:dyDescent="0.25">
      <c r="A123" s="14"/>
      <c r="B123" s="87" t="s">
        <v>442</v>
      </c>
      <c r="C123" s="182" t="s">
        <v>509</v>
      </c>
      <c r="D123" s="189" t="str">
        <f>VLOOKUP(D.sign_Data[[#This Row],[CÓDIGO]],Descripciones[[CÓDIGO]:[NOMBRE DE SERVICIO]],3,FALSE)</f>
        <v>D1. Parcelaciones y Condominios</v>
      </c>
      <c r="E123" s="87" t="s">
        <v>420</v>
      </c>
      <c r="F123" s="88" t="s">
        <v>510</v>
      </c>
      <c r="G123" s="88" t="s">
        <v>510</v>
      </c>
      <c r="H123" s="87" t="s">
        <v>429</v>
      </c>
      <c r="I123" s="89">
        <v>1</v>
      </c>
      <c r="J123" s="88" t="s">
        <v>511</v>
      </c>
      <c r="K123" s="102"/>
      <c r="L123" s="88" t="s">
        <v>514</v>
      </c>
      <c r="M123" s="89" t="s">
        <v>381</v>
      </c>
      <c r="N123" s="90">
        <v>9.4</v>
      </c>
      <c r="O123" s="27">
        <f>IFERROR(+VLOOKUP(M123,D.sign_Lista_Data[[RESPONSABLE]:[SOFTWARE 
VALOR HORA]],3,FALSE),"0")</f>
        <v>20263.424518743668</v>
      </c>
      <c r="P123" s="3">
        <f t="shared" si="4"/>
        <v>190476.19047619047</v>
      </c>
      <c r="Q123" s="11">
        <f>IFERROR(+VLOOKUP(M123,D.sign_Lista_Data[[RESPONSABLE]:[SOFTWARE 
VALOR HORA]],5,FALSE)*D.sign_Data[[#This Row],[TIEMPO (HORAS)]],0)</f>
        <v>39682.539682539682</v>
      </c>
      <c r="R123" s="42">
        <f>IFERROR(+VLOOKUP(M123,D.sign_Lista_Data[[RESPONSABLE]:[SOFTWARE 
VALOR HORA]],8,FALSE)*D.sign_Data[[#This Row],[TIEMPO (HORAS)]],0)</f>
        <v>32062.035939153444</v>
      </c>
      <c r="S123" s="99">
        <v>0</v>
      </c>
      <c r="T123" s="99">
        <v>0</v>
      </c>
      <c r="U123" s="3">
        <f t="shared" si="5"/>
        <v>262220.76609788358</v>
      </c>
      <c r="V123" s="100">
        <f>D.sign_Data[[#This Row],[TIEMPO (HORAS)]]*Gastos_Operativos[[#Totals],[GASTOS HORA]]</f>
        <v>261221.08447971777</v>
      </c>
      <c r="W123" s="3">
        <f>+D.sign_Data[[#This Row],[COSTO 
DIRECTO ($COP)]]+D.sign_Data[[#This Row],[PRORRATEO GASTOS ($COP)]]</f>
        <v>523441.85057760135</v>
      </c>
      <c r="X123" s="101">
        <v>0.15</v>
      </c>
      <c r="Y123" s="15">
        <f>+D.sign_Data[[#This Row],[COSTOS OPERACIONALES ($COP)]]*D.sign_Data[[#This Row],[DESFASE (%)]]</f>
        <v>78516.277586640193</v>
      </c>
      <c r="Z123" s="101">
        <v>0.2</v>
      </c>
      <c r="AA123" s="15">
        <f>+((D.sign_Data[[#This Row],[COSTOS OPERACIONALES ($COP)]]/(100%-D.sign_Data[[#This Row],[UTILIDAD (%)]])))-D.sign_Data[[#This Row],[COSTOS OPERACIONALES ($COP)]]</f>
        <v>130860.46264440031</v>
      </c>
      <c r="AB123" s="3">
        <f>+D.sign_Data[[#This Row],[COSTOS OPERACIONALES ($COP)]]+D.sign_Data[[#This Row],[DESFASE ($COP)]]+D.sign_Data[[#This Row],[UTILIDAD ($COP)]]</f>
        <v>732818.59080864186</v>
      </c>
      <c r="AC123" s="101">
        <v>0.05</v>
      </c>
      <c r="AD123" s="15">
        <f>+D.sign_Data[[#This Row],[VALOR NETO ($COP)]]/(100%-D.sign_Data[[#This Row],[MARGEN DE NEGOCIACIÓN (%)]])-D.sign_Data[[#This Row],[VALOR NETO ($COP)]]</f>
        <v>38569.399516244303</v>
      </c>
      <c r="AE123" s="15">
        <f>+(D.sign_Data[[#This Row],[VALOR NETO ($COP)]]+D.sign_Data[[#This Row],[NEGOCIACIÓN ($COP)]])*1%</f>
        <v>7713.8799032488614</v>
      </c>
      <c r="AF123" s="15">
        <f>+(D.sign_Data[[#This Row],[VALOR NETO ($COP)]]+D.sign_Data[[#This Row],[NEGOCIACIÓN ($COP)]])*1%</f>
        <v>7713.8799032488614</v>
      </c>
      <c r="AG123" s="3">
        <f>+D.sign_Data[[#This Row],[VALOR NETO ($COP)]]+D.sign_Data[[#This Row],[NEGOCIACIÓN ($COP)]]+D.sign_Data[[#This Row],[ICA ($COP)]]+D.sign_Data[[#This Row],[4 * 1000 ($COP)]]</f>
        <v>786815.75013138389</v>
      </c>
    </row>
    <row r="124" spans="1:33" ht="60" hidden="1" customHeight="1" x14ac:dyDescent="0.25">
      <c r="A124" s="14"/>
      <c r="B124" s="87" t="s">
        <v>442</v>
      </c>
      <c r="C124" s="182" t="s">
        <v>509</v>
      </c>
      <c r="D124" s="189" t="str">
        <f>VLOOKUP(D.sign_Data[[#This Row],[CÓDIGO]],Descripciones[[CÓDIGO]:[NOMBRE DE SERVICIO]],3,FALSE)</f>
        <v>D1. Parcelaciones y Condominios</v>
      </c>
      <c r="E124" s="87" t="s">
        <v>420</v>
      </c>
      <c r="F124" s="88" t="s">
        <v>510</v>
      </c>
      <c r="G124" s="88" t="s">
        <v>510</v>
      </c>
      <c r="H124" s="87" t="s">
        <v>429</v>
      </c>
      <c r="I124" s="89">
        <v>1</v>
      </c>
      <c r="J124" s="88" t="s">
        <v>511</v>
      </c>
      <c r="K124" s="102"/>
      <c r="L124" s="88" t="s">
        <v>515</v>
      </c>
      <c r="M124" s="89" t="s">
        <v>381</v>
      </c>
      <c r="N124" s="90">
        <v>5</v>
      </c>
      <c r="O124" s="27">
        <f>IFERROR(+VLOOKUP(M124,D.sign_Lista_Data[[RESPONSABLE]:[SOFTWARE 
VALOR HORA]],3,FALSE),"0")</f>
        <v>20263.424518743668</v>
      </c>
      <c r="P124" s="3">
        <f t="shared" si="4"/>
        <v>101317.12259371835</v>
      </c>
      <c r="Q124" s="11">
        <f>IFERROR(+VLOOKUP(M124,D.sign_Lista_Data[[RESPONSABLE]:[SOFTWARE 
VALOR HORA]],5,FALSE)*D.sign_Data[[#This Row],[TIEMPO (HORAS)]],0)</f>
        <v>21107.733873691319</v>
      </c>
      <c r="R124" s="42">
        <f>IFERROR(+VLOOKUP(M124,D.sign_Lista_Data[[RESPONSABLE]:[SOFTWARE 
VALOR HORA]],8,FALSE)*D.sign_Data[[#This Row],[TIEMPO (HORAS)]],0)</f>
        <v>17054.274435719919</v>
      </c>
      <c r="S124" s="99">
        <v>0</v>
      </c>
      <c r="T124" s="99">
        <v>0</v>
      </c>
      <c r="U124" s="3">
        <f t="shared" si="5"/>
        <v>139479.13090312958</v>
      </c>
      <c r="V124" s="100">
        <f>D.sign_Data[[#This Row],[TIEMPO (HORAS)]]*Gastos_Operativos[[#Totals],[GASTOS HORA]]</f>
        <v>138947.38536155201</v>
      </c>
      <c r="W124" s="3">
        <f>+D.sign_Data[[#This Row],[COSTO 
DIRECTO ($COP)]]+D.sign_Data[[#This Row],[PRORRATEO GASTOS ($COP)]]</f>
        <v>278426.51626468159</v>
      </c>
      <c r="X124" s="101">
        <v>0.15</v>
      </c>
      <c r="Y124" s="15">
        <f>+D.sign_Data[[#This Row],[COSTOS OPERACIONALES ($COP)]]*D.sign_Data[[#This Row],[DESFASE (%)]]</f>
        <v>41763.977439702234</v>
      </c>
      <c r="Z124" s="101">
        <v>0.2</v>
      </c>
      <c r="AA124" s="15">
        <f>+((D.sign_Data[[#This Row],[COSTOS OPERACIONALES ($COP)]]/(100%-D.sign_Data[[#This Row],[UTILIDAD (%)]])))-D.sign_Data[[#This Row],[COSTOS OPERACIONALES ($COP)]]</f>
        <v>69606.629066170368</v>
      </c>
      <c r="AB124" s="3">
        <f>+D.sign_Data[[#This Row],[COSTOS OPERACIONALES ($COP)]]+D.sign_Data[[#This Row],[DESFASE ($COP)]]+D.sign_Data[[#This Row],[UTILIDAD ($COP)]]</f>
        <v>389797.12277055421</v>
      </c>
      <c r="AC124" s="101">
        <v>0.05</v>
      </c>
      <c r="AD124" s="15">
        <f>+D.sign_Data[[#This Row],[VALOR NETO ($COP)]]/(100%-D.sign_Data[[#This Row],[MARGEN DE NEGOCIACIÓN (%)]])-D.sign_Data[[#This Row],[VALOR NETO ($COP)]]</f>
        <v>20515.638040555525</v>
      </c>
      <c r="AE124" s="15">
        <f>+(D.sign_Data[[#This Row],[VALOR NETO ($COP)]]+D.sign_Data[[#This Row],[NEGOCIACIÓN ($COP)]])*1%</f>
        <v>4103.1276081110973</v>
      </c>
      <c r="AF124" s="15">
        <f>+(D.sign_Data[[#This Row],[VALOR NETO ($COP)]]+D.sign_Data[[#This Row],[NEGOCIACIÓN ($COP)]])*1%</f>
        <v>4103.1276081110973</v>
      </c>
      <c r="AG124" s="3">
        <f>+D.sign_Data[[#This Row],[VALOR NETO ($COP)]]+D.sign_Data[[#This Row],[NEGOCIACIÓN ($COP)]]+D.sign_Data[[#This Row],[ICA ($COP)]]+D.sign_Data[[#This Row],[4 * 1000 ($COP)]]</f>
        <v>418519.01602733188</v>
      </c>
    </row>
    <row r="125" spans="1:33" ht="60" hidden="1" customHeight="1" x14ac:dyDescent="0.25">
      <c r="A125" s="14"/>
      <c r="B125" s="87" t="s">
        <v>442</v>
      </c>
      <c r="C125" s="182" t="s">
        <v>509</v>
      </c>
      <c r="D125" s="189" t="str">
        <f>VLOOKUP(D.sign_Data[[#This Row],[CÓDIGO]],Descripciones[[CÓDIGO]:[NOMBRE DE SERVICIO]],3,FALSE)</f>
        <v>D1. Parcelaciones y Condominios</v>
      </c>
      <c r="E125" s="87" t="s">
        <v>420</v>
      </c>
      <c r="F125" s="88" t="s">
        <v>510</v>
      </c>
      <c r="G125" s="88" t="s">
        <v>510</v>
      </c>
      <c r="H125" s="87" t="s">
        <v>429</v>
      </c>
      <c r="I125" s="89">
        <v>1</v>
      </c>
      <c r="J125" s="88" t="s">
        <v>511</v>
      </c>
      <c r="K125" s="102"/>
      <c r="L125" s="88" t="s">
        <v>516</v>
      </c>
      <c r="M125" s="89" t="s">
        <v>381</v>
      </c>
      <c r="N125" s="90">
        <v>9.4</v>
      </c>
      <c r="O125" s="27">
        <f>IFERROR(+VLOOKUP(M125,D.sign_Lista_Data[[RESPONSABLE]:[SOFTWARE 
VALOR HORA]],3,FALSE),"0")</f>
        <v>20263.424518743668</v>
      </c>
      <c r="P125" s="3">
        <f t="shared" si="4"/>
        <v>190476.19047619047</v>
      </c>
      <c r="Q125" s="11">
        <f>IFERROR(+VLOOKUP(M125,D.sign_Lista_Data[[RESPONSABLE]:[SOFTWARE 
VALOR HORA]],5,FALSE)*D.sign_Data[[#This Row],[TIEMPO (HORAS)]],0)</f>
        <v>39682.539682539682</v>
      </c>
      <c r="R125" s="42">
        <f>IFERROR(+VLOOKUP(M125,D.sign_Lista_Data[[RESPONSABLE]:[SOFTWARE 
VALOR HORA]],8,FALSE)*D.sign_Data[[#This Row],[TIEMPO (HORAS)]],0)</f>
        <v>32062.035939153444</v>
      </c>
      <c r="S125" s="99">
        <v>0</v>
      </c>
      <c r="T125" s="99">
        <v>0</v>
      </c>
      <c r="U125" s="3">
        <f t="shared" si="5"/>
        <v>262220.76609788358</v>
      </c>
      <c r="V125" s="100">
        <f>D.sign_Data[[#This Row],[TIEMPO (HORAS)]]*Gastos_Operativos[[#Totals],[GASTOS HORA]]</f>
        <v>261221.08447971777</v>
      </c>
      <c r="W125" s="3">
        <f>+D.sign_Data[[#This Row],[COSTO 
DIRECTO ($COP)]]+D.sign_Data[[#This Row],[PRORRATEO GASTOS ($COP)]]</f>
        <v>523441.85057760135</v>
      </c>
      <c r="X125" s="101">
        <v>0.15</v>
      </c>
      <c r="Y125" s="15">
        <f>+D.sign_Data[[#This Row],[COSTOS OPERACIONALES ($COP)]]*D.sign_Data[[#This Row],[DESFASE (%)]]</f>
        <v>78516.277586640193</v>
      </c>
      <c r="Z125" s="101">
        <v>0.2</v>
      </c>
      <c r="AA125" s="15">
        <f>+((D.sign_Data[[#This Row],[COSTOS OPERACIONALES ($COP)]]/(100%-D.sign_Data[[#This Row],[UTILIDAD (%)]])))-D.sign_Data[[#This Row],[COSTOS OPERACIONALES ($COP)]]</f>
        <v>130860.46264440031</v>
      </c>
      <c r="AB125" s="3">
        <f>+D.sign_Data[[#This Row],[COSTOS OPERACIONALES ($COP)]]+D.sign_Data[[#This Row],[DESFASE ($COP)]]+D.sign_Data[[#This Row],[UTILIDAD ($COP)]]</f>
        <v>732818.59080864186</v>
      </c>
      <c r="AC125" s="101">
        <v>0.05</v>
      </c>
      <c r="AD125" s="15">
        <f>+D.sign_Data[[#This Row],[VALOR NETO ($COP)]]/(100%-D.sign_Data[[#This Row],[MARGEN DE NEGOCIACIÓN (%)]])-D.sign_Data[[#This Row],[VALOR NETO ($COP)]]</f>
        <v>38569.399516244303</v>
      </c>
      <c r="AE125" s="15">
        <f>+(D.sign_Data[[#This Row],[VALOR NETO ($COP)]]+D.sign_Data[[#This Row],[NEGOCIACIÓN ($COP)]])*1%</f>
        <v>7713.8799032488614</v>
      </c>
      <c r="AF125" s="15">
        <f>+(D.sign_Data[[#This Row],[VALOR NETO ($COP)]]+D.sign_Data[[#This Row],[NEGOCIACIÓN ($COP)]])*1%</f>
        <v>7713.8799032488614</v>
      </c>
      <c r="AG125" s="3">
        <f>+D.sign_Data[[#This Row],[VALOR NETO ($COP)]]+D.sign_Data[[#This Row],[NEGOCIACIÓN ($COP)]]+D.sign_Data[[#This Row],[ICA ($COP)]]+D.sign_Data[[#This Row],[4 * 1000 ($COP)]]</f>
        <v>786815.75013138389</v>
      </c>
    </row>
    <row r="126" spans="1:33" ht="60" hidden="1" customHeight="1" x14ac:dyDescent="0.25">
      <c r="A126" s="14"/>
      <c r="B126" s="87" t="s">
        <v>442</v>
      </c>
      <c r="C126" s="182" t="s">
        <v>509</v>
      </c>
      <c r="D126" s="189" t="str">
        <f>VLOOKUP(D.sign_Data[[#This Row],[CÓDIGO]],Descripciones[[CÓDIGO]:[NOMBRE DE SERVICIO]],3,FALSE)</f>
        <v>D1. Parcelaciones y Condominios</v>
      </c>
      <c r="E126" s="87" t="s">
        <v>420</v>
      </c>
      <c r="F126" s="88" t="s">
        <v>510</v>
      </c>
      <c r="G126" s="88" t="s">
        <v>510</v>
      </c>
      <c r="H126" s="87" t="s">
        <v>429</v>
      </c>
      <c r="I126" s="89">
        <v>1</v>
      </c>
      <c r="J126" s="88" t="s">
        <v>517</v>
      </c>
      <c r="K126" s="102"/>
      <c r="L126" s="88" t="s">
        <v>518</v>
      </c>
      <c r="M126" s="89" t="s">
        <v>381</v>
      </c>
      <c r="N126" s="90">
        <v>9.4</v>
      </c>
      <c r="O126" s="27">
        <f>IFERROR(+VLOOKUP(M126,D.sign_Lista_Data[[RESPONSABLE]:[SOFTWARE 
VALOR HORA]],3,FALSE),"0")</f>
        <v>20263.424518743668</v>
      </c>
      <c r="P126" s="3">
        <f t="shared" si="4"/>
        <v>190476.19047619047</v>
      </c>
      <c r="Q126" s="11">
        <f>IFERROR(+VLOOKUP(M126,D.sign_Lista_Data[[RESPONSABLE]:[SOFTWARE 
VALOR HORA]],5,FALSE)*D.sign_Data[[#This Row],[TIEMPO (HORAS)]],0)</f>
        <v>39682.539682539682</v>
      </c>
      <c r="R126" s="42">
        <f>IFERROR(+VLOOKUP(M126,D.sign_Lista_Data[[RESPONSABLE]:[SOFTWARE 
VALOR HORA]],8,FALSE)*D.sign_Data[[#This Row],[TIEMPO (HORAS)]],0)</f>
        <v>32062.035939153444</v>
      </c>
      <c r="S126" s="99">
        <v>0</v>
      </c>
      <c r="T126" s="99">
        <v>0</v>
      </c>
      <c r="U126" s="3">
        <f t="shared" si="5"/>
        <v>262220.76609788358</v>
      </c>
      <c r="V126" s="100">
        <f>D.sign_Data[[#This Row],[TIEMPO (HORAS)]]*Gastos_Operativos[[#Totals],[GASTOS HORA]]</f>
        <v>261221.08447971777</v>
      </c>
      <c r="W126" s="3">
        <f>+D.sign_Data[[#This Row],[COSTO 
DIRECTO ($COP)]]+D.sign_Data[[#This Row],[PRORRATEO GASTOS ($COP)]]</f>
        <v>523441.85057760135</v>
      </c>
      <c r="X126" s="101">
        <v>0.15</v>
      </c>
      <c r="Y126" s="15">
        <f>+D.sign_Data[[#This Row],[COSTOS OPERACIONALES ($COP)]]*D.sign_Data[[#This Row],[DESFASE (%)]]</f>
        <v>78516.277586640193</v>
      </c>
      <c r="Z126" s="101">
        <v>0.2</v>
      </c>
      <c r="AA126" s="15">
        <f>+((D.sign_Data[[#This Row],[COSTOS OPERACIONALES ($COP)]]/(100%-D.sign_Data[[#This Row],[UTILIDAD (%)]])))-D.sign_Data[[#This Row],[COSTOS OPERACIONALES ($COP)]]</f>
        <v>130860.46264440031</v>
      </c>
      <c r="AB126" s="3">
        <f>+D.sign_Data[[#This Row],[COSTOS OPERACIONALES ($COP)]]+D.sign_Data[[#This Row],[DESFASE ($COP)]]+D.sign_Data[[#This Row],[UTILIDAD ($COP)]]</f>
        <v>732818.59080864186</v>
      </c>
      <c r="AC126" s="101">
        <v>0.05</v>
      </c>
      <c r="AD126" s="15">
        <f>+D.sign_Data[[#This Row],[VALOR NETO ($COP)]]/(100%-D.sign_Data[[#This Row],[MARGEN DE NEGOCIACIÓN (%)]])-D.sign_Data[[#This Row],[VALOR NETO ($COP)]]</f>
        <v>38569.399516244303</v>
      </c>
      <c r="AE126" s="15">
        <f>+(D.sign_Data[[#This Row],[VALOR NETO ($COP)]]+D.sign_Data[[#This Row],[NEGOCIACIÓN ($COP)]])*1%</f>
        <v>7713.8799032488614</v>
      </c>
      <c r="AF126" s="15">
        <f>+(D.sign_Data[[#This Row],[VALOR NETO ($COP)]]+D.sign_Data[[#This Row],[NEGOCIACIÓN ($COP)]])*1%</f>
        <v>7713.8799032488614</v>
      </c>
      <c r="AG126" s="3">
        <f>+D.sign_Data[[#This Row],[VALOR NETO ($COP)]]+D.sign_Data[[#This Row],[NEGOCIACIÓN ($COP)]]+D.sign_Data[[#This Row],[ICA ($COP)]]+D.sign_Data[[#This Row],[4 * 1000 ($COP)]]</f>
        <v>786815.75013138389</v>
      </c>
    </row>
    <row r="127" spans="1:33" ht="60" hidden="1" customHeight="1" x14ac:dyDescent="0.25">
      <c r="A127" s="14"/>
      <c r="B127" s="87" t="s">
        <v>442</v>
      </c>
      <c r="C127" s="182" t="s">
        <v>509</v>
      </c>
      <c r="D127" s="189" t="str">
        <f>VLOOKUP(D.sign_Data[[#This Row],[CÓDIGO]],Descripciones[[CÓDIGO]:[NOMBRE DE SERVICIO]],3,FALSE)</f>
        <v>D1. Parcelaciones y Condominios</v>
      </c>
      <c r="E127" s="87" t="s">
        <v>420</v>
      </c>
      <c r="F127" s="88" t="s">
        <v>510</v>
      </c>
      <c r="G127" s="88" t="s">
        <v>510</v>
      </c>
      <c r="H127" s="87" t="s">
        <v>429</v>
      </c>
      <c r="I127" s="89">
        <v>1</v>
      </c>
      <c r="J127" s="88" t="s">
        <v>511</v>
      </c>
      <c r="K127" s="102"/>
      <c r="L127" s="88" t="s">
        <v>519</v>
      </c>
      <c r="M127" s="89" t="s">
        <v>381</v>
      </c>
      <c r="N127" s="90">
        <v>1</v>
      </c>
      <c r="O127" s="27">
        <f>IFERROR(+VLOOKUP(M127,D.sign_Lista_Data[[RESPONSABLE]:[SOFTWARE 
VALOR HORA]],3,FALSE),"0")</f>
        <v>20263.424518743668</v>
      </c>
      <c r="P127" s="3">
        <f t="shared" si="4"/>
        <v>20263.424518743668</v>
      </c>
      <c r="Q127" s="11">
        <f>IFERROR(+VLOOKUP(M127,D.sign_Lista_Data[[RESPONSABLE]:[SOFTWARE 
VALOR HORA]],5,FALSE)*D.sign_Data[[#This Row],[TIEMPO (HORAS)]],0)</f>
        <v>4221.5467747382636</v>
      </c>
      <c r="R127" s="42">
        <f>IFERROR(+VLOOKUP(M127,D.sign_Lista_Data[[RESPONSABLE]:[SOFTWARE 
VALOR HORA]],8,FALSE)*D.sign_Data[[#This Row],[TIEMPO (HORAS)]],0)</f>
        <v>3410.8548871439834</v>
      </c>
      <c r="S127" s="99">
        <v>0</v>
      </c>
      <c r="T127" s="99">
        <v>0</v>
      </c>
      <c r="U127" s="3">
        <f t="shared" si="5"/>
        <v>27895.826180625918</v>
      </c>
      <c r="V127" s="100">
        <f>D.sign_Data[[#This Row],[TIEMPO (HORAS)]]*Gastos_Operativos[[#Totals],[GASTOS HORA]]</f>
        <v>27789.477072310401</v>
      </c>
      <c r="W127" s="3">
        <f>+D.sign_Data[[#This Row],[COSTO 
DIRECTO ($COP)]]+D.sign_Data[[#This Row],[PRORRATEO GASTOS ($COP)]]</f>
        <v>55685.303252936319</v>
      </c>
      <c r="X127" s="101">
        <v>0.15</v>
      </c>
      <c r="Y127" s="15">
        <f>+D.sign_Data[[#This Row],[COSTOS OPERACIONALES ($COP)]]*D.sign_Data[[#This Row],[DESFASE (%)]]</f>
        <v>8352.7954879404479</v>
      </c>
      <c r="Z127" s="101">
        <v>0.2</v>
      </c>
      <c r="AA127" s="15">
        <f>+((D.sign_Data[[#This Row],[COSTOS OPERACIONALES ($COP)]]/(100%-D.sign_Data[[#This Row],[UTILIDAD (%)]])))-D.sign_Data[[#This Row],[COSTOS OPERACIONALES ($COP)]]</f>
        <v>13921.325813234078</v>
      </c>
      <c r="AB127" s="3">
        <f>+D.sign_Data[[#This Row],[COSTOS OPERACIONALES ($COP)]]+D.sign_Data[[#This Row],[DESFASE ($COP)]]+D.sign_Data[[#This Row],[UTILIDAD ($COP)]]</f>
        <v>77959.424554110854</v>
      </c>
      <c r="AC127" s="101">
        <v>0.05</v>
      </c>
      <c r="AD127" s="15">
        <f>+D.sign_Data[[#This Row],[VALOR NETO ($COP)]]/(100%-D.sign_Data[[#This Row],[MARGEN DE NEGOCIACIÓN (%)]])-D.sign_Data[[#This Row],[VALOR NETO ($COP)]]</f>
        <v>4103.1276081110991</v>
      </c>
      <c r="AE127" s="15">
        <f>+(D.sign_Data[[#This Row],[VALOR NETO ($COP)]]+D.sign_Data[[#This Row],[NEGOCIACIÓN ($COP)]])*1%</f>
        <v>820.62552162221959</v>
      </c>
      <c r="AF127" s="15">
        <f>+(D.sign_Data[[#This Row],[VALOR NETO ($COP)]]+D.sign_Data[[#This Row],[NEGOCIACIÓN ($COP)]])*1%</f>
        <v>820.62552162221959</v>
      </c>
      <c r="AG127" s="3">
        <f>+D.sign_Data[[#This Row],[VALOR NETO ($COP)]]+D.sign_Data[[#This Row],[NEGOCIACIÓN ($COP)]]+D.sign_Data[[#This Row],[ICA ($COP)]]+D.sign_Data[[#This Row],[4 * 1000 ($COP)]]</f>
        <v>83703.803205466393</v>
      </c>
    </row>
    <row r="128" spans="1:33" ht="60" hidden="1" customHeight="1" x14ac:dyDescent="0.25">
      <c r="A128" s="14"/>
      <c r="B128" s="87" t="s">
        <v>442</v>
      </c>
      <c r="C128" s="182" t="s">
        <v>520</v>
      </c>
      <c r="D128" s="189" t="str">
        <f>VLOOKUP(D.sign_Data[[#This Row],[CÓDIGO]],Descripciones[[CÓDIGO]:[NOMBRE DE SERVICIO]],3,FALSE)</f>
        <v>D1. Parcelaciones y Condominios</v>
      </c>
      <c r="E128" s="87" t="s">
        <v>467</v>
      </c>
      <c r="F128" s="88" t="s">
        <v>521</v>
      </c>
      <c r="G128" s="88" t="s">
        <v>521</v>
      </c>
      <c r="H128" s="87" t="s">
        <v>448</v>
      </c>
      <c r="I128" s="89">
        <v>1</v>
      </c>
      <c r="J128" s="88" t="s">
        <v>522</v>
      </c>
      <c r="K128" s="102"/>
      <c r="L128" s="91" t="s">
        <v>523</v>
      </c>
      <c r="M128" s="89" t="s">
        <v>381</v>
      </c>
      <c r="N128" s="90">
        <v>4</v>
      </c>
      <c r="O128" s="27">
        <f>IFERROR(+VLOOKUP(M128,D.sign_Lista_Data[[RESPONSABLE]:[SOFTWARE 
VALOR HORA]],3,FALSE),"0")</f>
        <v>20263.424518743668</v>
      </c>
      <c r="P128" s="3">
        <f t="shared" si="4"/>
        <v>81053.698074974673</v>
      </c>
      <c r="Q128" s="11">
        <f>IFERROR(+VLOOKUP(M128,D.sign_Lista_Data[[RESPONSABLE]:[SOFTWARE 
VALOR HORA]],5,FALSE)*D.sign_Data[[#This Row],[TIEMPO (HORAS)]],0)</f>
        <v>16886.187098953054</v>
      </c>
      <c r="R128" s="11">
        <f>IFERROR(+VLOOKUP(M128,D.sign_Lista_Data[[RESPONSABLE]:[SOFTWARE 
VALOR HORA]],8,FALSE)*D.sign_Data[[#This Row],[TIEMPO (HORAS)]],0)</f>
        <v>13643.419548575934</v>
      </c>
      <c r="S128" s="99"/>
      <c r="T128" s="99"/>
      <c r="U128" s="3">
        <f t="shared" si="5"/>
        <v>111583.30472250367</v>
      </c>
      <c r="V128" s="100">
        <f>D.sign_Data[[#This Row],[TIEMPO (HORAS)]]*Gastos_Operativos[[#Totals],[GASTOS HORA]]</f>
        <v>111157.9082892416</v>
      </c>
      <c r="W128" s="3">
        <f>+D.sign_Data[[#This Row],[COSTO 
DIRECTO ($COP)]]+D.sign_Data[[#This Row],[PRORRATEO GASTOS ($COP)]]</f>
        <v>222741.21301174528</v>
      </c>
      <c r="X128" s="101"/>
      <c r="Y128" s="15">
        <f>+D.sign_Data[[#This Row],[COSTOS OPERACIONALES ($COP)]]*D.sign_Data[[#This Row],[DESFASE (%)]]</f>
        <v>0</v>
      </c>
      <c r="Z128" s="101">
        <v>0.3</v>
      </c>
      <c r="AA128" s="15">
        <f>+((D.sign_Data[[#This Row],[COSTOS OPERACIONALES ($COP)]]/(100%-D.sign_Data[[#This Row],[UTILIDAD (%)]])))-D.sign_Data[[#This Row],[COSTOS OPERACIONALES ($COP)]]</f>
        <v>95460.519862176589</v>
      </c>
      <c r="AB128" s="3">
        <f>+D.sign_Data[[#This Row],[COSTOS OPERACIONALES ($COP)]]+D.sign_Data[[#This Row],[DESFASE ($COP)]]+D.sign_Data[[#This Row],[UTILIDAD ($COP)]]</f>
        <v>318201.73287392186</v>
      </c>
      <c r="AC128" s="101"/>
      <c r="AD128" s="15">
        <f>+D.sign_Data[[#This Row],[VALOR NETO ($COP)]]/(100%-D.sign_Data[[#This Row],[MARGEN DE NEGOCIACIÓN (%)]])-D.sign_Data[[#This Row],[VALOR NETO ($COP)]]</f>
        <v>0</v>
      </c>
      <c r="AE128" s="15">
        <f>+(D.sign_Data[[#This Row],[VALOR NETO ($COP)]]+D.sign_Data[[#This Row],[NEGOCIACIÓN ($COP)]])*1%</f>
        <v>3182.0173287392186</v>
      </c>
      <c r="AF128" s="15">
        <f>+(D.sign_Data[[#This Row],[VALOR NETO ($COP)]]+D.sign_Data[[#This Row],[NEGOCIACIÓN ($COP)]])*1%</f>
        <v>3182.0173287392186</v>
      </c>
      <c r="AG128" s="3">
        <f>+D.sign_Data[[#This Row],[VALOR NETO ($COP)]]+D.sign_Data[[#This Row],[NEGOCIACIÓN ($COP)]]+D.sign_Data[[#This Row],[ICA ($COP)]]+D.sign_Data[[#This Row],[4 * 1000 ($COP)]]</f>
        <v>324565.76753140031</v>
      </c>
    </row>
    <row r="129" spans="1:33" ht="60" hidden="1" customHeight="1" x14ac:dyDescent="0.25">
      <c r="A129" s="14"/>
      <c r="B129" s="87" t="s">
        <v>442</v>
      </c>
      <c r="C129" s="182" t="s">
        <v>520</v>
      </c>
      <c r="D129" s="189" t="str">
        <f>VLOOKUP(D.sign_Data[[#This Row],[CÓDIGO]],Descripciones[[CÓDIGO]:[NOMBRE DE SERVICIO]],3,FALSE)</f>
        <v>D1. Parcelaciones y Condominios</v>
      </c>
      <c r="E129" s="87" t="s">
        <v>467</v>
      </c>
      <c r="F129" s="88" t="s">
        <v>521</v>
      </c>
      <c r="G129" s="88" t="s">
        <v>521</v>
      </c>
      <c r="H129" s="87" t="s">
        <v>448</v>
      </c>
      <c r="I129" s="89">
        <v>1</v>
      </c>
      <c r="J129" s="88" t="s">
        <v>522</v>
      </c>
      <c r="K129" s="102"/>
      <c r="L129" s="88" t="s">
        <v>524</v>
      </c>
      <c r="M129" s="89" t="s">
        <v>381</v>
      </c>
      <c r="N129" s="90">
        <v>1</v>
      </c>
      <c r="O129" s="27">
        <f>IFERROR(+VLOOKUP(M129,D.sign_Lista_Data[[RESPONSABLE]:[SOFTWARE 
VALOR HORA]],3,FALSE),"0")</f>
        <v>20263.424518743668</v>
      </c>
      <c r="P129" s="3">
        <f t="shared" si="4"/>
        <v>20263.424518743668</v>
      </c>
      <c r="Q129" s="11">
        <f>IFERROR(+VLOOKUP(M129,D.sign_Lista_Data[[RESPONSABLE]:[SOFTWARE 
VALOR HORA]],5,FALSE)*D.sign_Data[[#This Row],[TIEMPO (HORAS)]],0)</f>
        <v>4221.5467747382636</v>
      </c>
      <c r="R129" s="11">
        <f>IFERROR(+VLOOKUP(M129,D.sign_Lista_Data[[RESPONSABLE]:[SOFTWARE 
VALOR HORA]],8,FALSE)*D.sign_Data[[#This Row],[TIEMPO (HORAS)]],0)</f>
        <v>3410.8548871439834</v>
      </c>
      <c r="S129" s="99"/>
      <c r="T129" s="99"/>
      <c r="U129" s="3">
        <f t="shared" si="5"/>
        <v>27895.826180625918</v>
      </c>
      <c r="V129" s="100">
        <f>D.sign_Data[[#This Row],[TIEMPO (HORAS)]]*Gastos_Operativos[[#Totals],[GASTOS HORA]]</f>
        <v>27789.477072310401</v>
      </c>
      <c r="W129" s="3">
        <f>+D.sign_Data[[#This Row],[COSTO 
DIRECTO ($COP)]]+D.sign_Data[[#This Row],[PRORRATEO GASTOS ($COP)]]</f>
        <v>55685.303252936319</v>
      </c>
      <c r="X129" s="101"/>
      <c r="Y129" s="15">
        <f>+D.sign_Data[[#This Row],[COSTOS OPERACIONALES ($COP)]]*D.sign_Data[[#This Row],[DESFASE (%)]]</f>
        <v>0</v>
      </c>
      <c r="Z129" s="101">
        <v>0.3</v>
      </c>
      <c r="AA129" s="15">
        <f>+((D.sign_Data[[#This Row],[COSTOS OPERACIONALES ($COP)]]/(100%-D.sign_Data[[#This Row],[UTILIDAD (%)]])))-D.sign_Data[[#This Row],[COSTOS OPERACIONALES ($COP)]]</f>
        <v>23865.129965544147</v>
      </c>
      <c r="AB129" s="3">
        <f>+D.sign_Data[[#This Row],[COSTOS OPERACIONALES ($COP)]]+D.sign_Data[[#This Row],[DESFASE ($COP)]]+D.sign_Data[[#This Row],[UTILIDAD ($COP)]]</f>
        <v>79550.433218480466</v>
      </c>
      <c r="AC129" s="101"/>
      <c r="AD129" s="15">
        <f>+D.sign_Data[[#This Row],[VALOR NETO ($COP)]]/(100%-D.sign_Data[[#This Row],[MARGEN DE NEGOCIACIÓN (%)]])-D.sign_Data[[#This Row],[VALOR NETO ($COP)]]</f>
        <v>0</v>
      </c>
      <c r="AE129" s="15">
        <f>+(D.sign_Data[[#This Row],[VALOR NETO ($COP)]]+D.sign_Data[[#This Row],[NEGOCIACIÓN ($COP)]])*1%</f>
        <v>795.50433218480464</v>
      </c>
      <c r="AF129" s="15">
        <f>+(D.sign_Data[[#This Row],[VALOR NETO ($COP)]]+D.sign_Data[[#This Row],[NEGOCIACIÓN ($COP)]])*1%</f>
        <v>795.50433218480464</v>
      </c>
      <c r="AG129" s="3">
        <f>+D.sign_Data[[#This Row],[VALOR NETO ($COP)]]+D.sign_Data[[#This Row],[NEGOCIACIÓN ($COP)]]+D.sign_Data[[#This Row],[ICA ($COP)]]+D.sign_Data[[#This Row],[4 * 1000 ($COP)]]</f>
        <v>81141.441882850078</v>
      </c>
    </row>
    <row r="130" spans="1:33" ht="60" hidden="1" customHeight="1" x14ac:dyDescent="0.25">
      <c r="A130" s="14"/>
      <c r="B130" s="87" t="s">
        <v>442</v>
      </c>
      <c r="C130" s="182" t="s">
        <v>520</v>
      </c>
      <c r="D130" s="189" t="str">
        <f>VLOOKUP(D.sign_Data[[#This Row],[CÓDIGO]],Descripciones[[CÓDIGO]:[NOMBRE DE SERVICIO]],3,FALSE)</f>
        <v>D1. Parcelaciones y Condominios</v>
      </c>
      <c r="E130" s="87" t="s">
        <v>467</v>
      </c>
      <c r="F130" s="88" t="s">
        <v>521</v>
      </c>
      <c r="G130" s="88" t="s">
        <v>521</v>
      </c>
      <c r="H130" s="87" t="s">
        <v>448</v>
      </c>
      <c r="I130" s="89">
        <v>1</v>
      </c>
      <c r="J130" s="88" t="s">
        <v>522</v>
      </c>
      <c r="K130" s="102"/>
      <c r="L130" s="88" t="s">
        <v>525</v>
      </c>
      <c r="M130" s="89" t="s">
        <v>381</v>
      </c>
      <c r="N130" s="90">
        <v>2</v>
      </c>
      <c r="O130" s="27">
        <f>IFERROR(+VLOOKUP(M130,D.sign_Lista_Data[[RESPONSABLE]:[SOFTWARE 
VALOR HORA]],3,FALSE),"0")</f>
        <v>20263.424518743668</v>
      </c>
      <c r="P130" s="3">
        <f t="shared" si="4"/>
        <v>40526.849037487336</v>
      </c>
      <c r="Q130" s="11">
        <f>IFERROR(+VLOOKUP(M130,D.sign_Lista_Data[[RESPONSABLE]:[SOFTWARE 
VALOR HORA]],5,FALSE)*D.sign_Data[[#This Row],[TIEMPO (HORAS)]],0)</f>
        <v>8443.0935494765272</v>
      </c>
      <c r="R130" s="11">
        <f>IFERROR(+VLOOKUP(M130,D.sign_Lista_Data[[RESPONSABLE]:[SOFTWARE 
VALOR HORA]],8,FALSE)*D.sign_Data[[#This Row],[TIEMPO (HORAS)]],0)</f>
        <v>6821.7097742879669</v>
      </c>
      <c r="S130" s="99"/>
      <c r="T130" s="99"/>
      <c r="U130" s="3">
        <f t="shared" si="5"/>
        <v>55791.652361251836</v>
      </c>
      <c r="V130" s="100">
        <f>D.sign_Data[[#This Row],[TIEMPO (HORAS)]]*Gastos_Operativos[[#Totals],[GASTOS HORA]]</f>
        <v>55578.954144620802</v>
      </c>
      <c r="W130" s="3">
        <f>+D.sign_Data[[#This Row],[COSTO 
DIRECTO ($COP)]]+D.sign_Data[[#This Row],[PRORRATEO GASTOS ($COP)]]</f>
        <v>111370.60650587264</v>
      </c>
      <c r="X130" s="101"/>
      <c r="Y130" s="15">
        <f>+D.sign_Data[[#This Row],[COSTOS OPERACIONALES ($COP)]]*D.sign_Data[[#This Row],[DESFASE (%)]]</f>
        <v>0</v>
      </c>
      <c r="Z130" s="101">
        <v>0.3</v>
      </c>
      <c r="AA130" s="15">
        <f>+((D.sign_Data[[#This Row],[COSTOS OPERACIONALES ($COP)]]/(100%-D.sign_Data[[#This Row],[UTILIDAD (%)]])))-D.sign_Data[[#This Row],[COSTOS OPERACIONALES ($COP)]]</f>
        <v>47730.259931088294</v>
      </c>
      <c r="AB130" s="3">
        <f>+D.sign_Data[[#This Row],[COSTOS OPERACIONALES ($COP)]]+D.sign_Data[[#This Row],[DESFASE ($COP)]]+D.sign_Data[[#This Row],[UTILIDAD ($COP)]]</f>
        <v>159100.86643696093</v>
      </c>
      <c r="AC130" s="101"/>
      <c r="AD130" s="15">
        <f>+D.sign_Data[[#This Row],[VALOR NETO ($COP)]]/(100%-D.sign_Data[[#This Row],[MARGEN DE NEGOCIACIÓN (%)]])-D.sign_Data[[#This Row],[VALOR NETO ($COP)]]</f>
        <v>0</v>
      </c>
      <c r="AE130" s="15">
        <f>+(D.sign_Data[[#This Row],[VALOR NETO ($COP)]]+D.sign_Data[[#This Row],[NEGOCIACIÓN ($COP)]])*1%</f>
        <v>1591.0086643696093</v>
      </c>
      <c r="AF130" s="15">
        <f>+(D.sign_Data[[#This Row],[VALOR NETO ($COP)]]+D.sign_Data[[#This Row],[NEGOCIACIÓN ($COP)]])*1%</f>
        <v>1591.0086643696093</v>
      </c>
      <c r="AG130" s="3">
        <f>+D.sign_Data[[#This Row],[VALOR NETO ($COP)]]+D.sign_Data[[#This Row],[NEGOCIACIÓN ($COP)]]+D.sign_Data[[#This Row],[ICA ($COP)]]+D.sign_Data[[#This Row],[4 * 1000 ($COP)]]</f>
        <v>162282.88376570016</v>
      </c>
    </row>
    <row r="131" spans="1:33" ht="60" hidden="1" customHeight="1" x14ac:dyDescent="0.25">
      <c r="A131" s="14"/>
      <c r="B131" s="87" t="s">
        <v>442</v>
      </c>
      <c r="C131" s="182" t="s">
        <v>520</v>
      </c>
      <c r="D131" s="189" t="str">
        <f>VLOOKUP(D.sign_Data[[#This Row],[CÓDIGO]],Descripciones[[CÓDIGO]:[NOMBRE DE SERVICIO]],3,FALSE)</f>
        <v>D1. Parcelaciones y Condominios</v>
      </c>
      <c r="E131" s="87" t="s">
        <v>467</v>
      </c>
      <c r="F131" s="88" t="s">
        <v>521</v>
      </c>
      <c r="G131" s="88" t="s">
        <v>521</v>
      </c>
      <c r="H131" s="87" t="s">
        <v>448</v>
      </c>
      <c r="I131" s="89">
        <v>1</v>
      </c>
      <c r="J131" s="88" t="s">
        <v>511</v>
      </c>
      <c r="K131" s="102"/>
      <c r="L131" s="91" t="s">
        <v>526</v>
      </c>
      <c r="M131" s="89" t="s">
        <v>381</v>
      </c>
      <c r="N131" s="90">
        <v>0.3</v>
      </c>
      <c r="O131" s="27">
        <f>IFERROR(+VLOOKUP(M131,D.sign_Lista_Data[[RESPONSABLE]:[SOFTWARE 
VALOR HORA]],3,FALSE),"0")</f>
        <v>20263.424518743668</v>
      </c>
      <c r="P131" s="3">
        <f t="shared" si="4"/>
        <v>6079.0273556231004</v>
      </c>
      <c r="Q131" s="11">
        <f>IFERROR(+VLOOKUP(M131,D.sign_Lista_Data[[RESPONSABLE]:[SOFTWARE 
VALOR HORA]],5,FALSE)*D.sign_Data[[#This Row],[TIEMPO (HORAS)]],0)</f>
        <v>1266.464032421479</v>
      </c>
      <c r="R131" s="11">
        <f>IFERROR(+VLOOKUP(M131,D.sign_Lista_Data[[RESPONSABLE]:[SOFTWARE 
VALOR HORA]],8,FALSE)*D.sign_Data[[#This Row],[TIEMPO (HORAS)]],0)</f>
        <v>1023.256466143195</v>
      </c>
      <c r="S131" s="99"/>
      <c r="T131" s="99"/>
      <c r="U131" s="3">
        <f t="shared" si="5"/>
        <v>8368.7478541877736</v>
      </c>
      <c r="V131" s="100">
        <f>D.sign_Data[[#This Row],[TIEMPO (HORAS)]]*Gastos_Operativos[[#Totals],[GASTOS HORA]]</f>
        <v>8336.8431216931203</v>
      </c>
      <c r="W131" s="3">
        <f>+D.sign_Data[[#This Row],[COSTO 
DIRECTO ($COP)]]+D.sign_Data[[#This Row],[PRORRATEO GASTOS ($COP)]]</f>
        <v>16705.590975880892</v>
      </c>
      <c r="X131" s="101"/>
      <c r="Y131" s="15">
        <f>+D.sign_Data[[#This Row],[COSTOS OPERACIONALES ($COP)]]*D.sign_Data[[#This Row],[DESFASE (%)]]</f>
        <v>0</v>
      </c>
      <c r="Z131" s="101">
        <v>0.3</v>
      </c>
      <c r="AA131" s="15">
        <f>+((D.sign_Data[[#This Row],[COSTOS OPERACIONALES ($COP)]]/(100%-D.sign_Data[[#This Row],[UTILIDAD (%)]])))-D.sign_Data[[#This Row],[COSTOS OPERACIONALES ($COP)]]</f>
        <v>7159.5389896632405</v>
      </c>
      <c r="AB131" s="3">
        <f>+D.sign_Data[[#This Row],[COSTOS OPERACIONALES ($COP)]]+D.sign_Data[[#This Row],[DESFASE ($COP)]]+D.sign_Data[[#This Row],[UTILIDAD ($COP)]]</f>
        <v>23865.129965544133</v>
      </c>
      <c r="AC131" s="101"/>
      <c r="AD131" s="15">
        <f>+D.sign_Data[[#This Row],[VALOR NETO ($COP)]]/(100%-D.sign_Data[[#This Row],[MARGEN DE NEGOCIACIÓN (%)]])-D.sign_Data[[#This Row],[VALOR NETO ($COP)]]</f>
        <v>0</v>
      </c>
      <c r="AE131" s="15">
        <f>+(D.sign_Data[[#This Row],[VALOR NETO ($COP)]]+D.sign_Data[[#This Row],[NEGOCIACIÓN ($COP)]])*1%</f>
        <v>238.65129965544133</v>
      </c>
      <c r="AF131" s="15">
        <f>+(D.sign_Data[[#This Row],[VALOR NETO ($COP)]]+D.sign_Data[[#This Row],[NEGOCIACIÓN ($COP)]])*1%</f>
        <v>238.65129965544133</v>
      </c>
      <c r="AG131" s="3">
        <f>+D.sign_Data[[#This Row],[VALOR NETO ($COP)]]+D.sign_Data[[#This Row],[NEGOCIACIÓN ($COP)]]+D.sign_Data[[#This Row],[ICA ($COP)]]+D.sign_Data[[#This Row],[4 * 1000 ($COP)]]</f>
        <v>24342.432564855015</v>
      </c>
    </row>
    <row r="132" spans="1:33" ht="60" hidden="1" customHeight="1" x14ac:dyDescent="0.25">
      <c r="A132" s="14"/>
      <c r="B132" s="87" t="s">
        <v>442</v>
      </c>
      <c r="C132" s="182" t="s">
        <v>520</v>
      </c>
      <c r="D132" s="189" t="str">
        <f>VLOOKUP(D.sign_Data[[#This Row],[CÓDIGO]],Descripciones[[CÓDIGO]:[NOMBRE DE SERVICIO]],3,FALSE)</f>
        <v>D1. Parcelaciones y Condominios</v>
      </c>
      <c r="E132" s="87" t="s">
        <v>467</v>
      </c>
      <c r="F132" s="88" t="s">
        <v>521</v>
      </c>
      <c r="G132" s="88" t="s">
        <v>521</v>
      </c>
      <c r="H132" s="87" t="s">
        <v>448</v>
      </c>
      <c r="I132" s="89">
        <v>1</v>
      </c>
      <c r="J132" s="88" t="s">
        <v>511</v>
      </c>
      <c r="K132" s="102"/>
      <c r="L132" s="91" t="s">
        <v>514</v>
      </c>
      <c r="M132" s="89" t="s">
        <v>381</v>
      </c>
      <c r="N132" s="90">
        <v>4</v>
      </c>
      <c r="O132" s="27">
        <f>IFERROR(+VLOOKUP(M132,D.sign_Lista_Data[[RESPONSABLE]:[SOFTWARE 
VALOR HORA]],3,FALSE),"0")</f>
        <v>20263.424518743668</v>
      </c>
      <c r="P132" s="3">
        <f t="shared" si="4"/>
        <v>81053.698074974673</v>
      </c>
      <c r="Q132" s="11">
        <f>IFERROR(+VLOOKUP(M132,D.sign_Lista_Data[[RESPONSABLE]:[SOFTWARE 
VALOR HORA]],5,FALSE)*D.sign_Data[[#This Row],[TIEMPO (HORAS)]],0)</f>
        <v>16886.187098953054</v>
      </c>
      <c r="R132" s="11">
        <f>IFERROR(+VLOOKUP(M132,D.sign_Lista_Data[[RESPONSABLE]:[SOFTWARE 
VALOR HORA]],8,FALSE)*D.sign_Data[[#This Row],[TIEMPO (HORAS)]],0)</f>
        <v>13643.419548575934</v>
      </c>
      <c r="S132" s="99"/>
      <c r="T132" s="99"/>
      <c r="U132" s="3">
        <f t="shared" si="5"/>
        <v>111583.30472250367</v>
      </c>
      <c r="V132" s="100">
        <f>D.sign_Data[[#This Row],[TIEMPO (HORAS)]]*Gastos_Operativos[[#Totals],[GASTOS HORA]]</f>
        <v>111157.9082892416</v>
      </c>
      <c r="W132" s="3">
        <f>+D.sign_Data[[#This Row],[COSTO 
DIRECTO ($COP)]]+D.sign_Data[[#This Row],[PRORRATEO GASTOS ($COP)]]</f>
        <v>222741.21301174528</v>
      </c>
      <c r="X132" s="101"/>
      <c r="Y132" s="15">
        <f>+D.sign_Data[[#This Row],[COSTOS OPERACIONALES ($COP)]]*D.sign_Data[[#This Row],[DESFASE (%)]]</f>
        <v>0</v>
      </c>
      <c r="Z132" s="101">
        <v>0.3</v>
      </c>
      <c r="AA132" s="15">
        <f>+((D.sign_Data[[#This Row],[COSTOS OPERACIONALES ($COP)]]/(100%-D.sign_Data[[#This Row],[UTILIDAD (%)]])))-D.sign_Data[[#This Row],[COSTOS OPERACIONALES ($COP)]]</f>
        <v>95460.519862176589</v>
      </c>
      <c r="AB132" s="3">
        <f>+D.sign_Data[[#This Row],[COSTOS OPERACIONALES ($COP)]]+D.sign_Data[[#This Row],[DESFASE ($COP)]]+D.sign_Data[[#This Row],[UTILIDAD ($COP)]]</f>
        <v>318201.73287392186</v>
      </c>
      <c r="AC132" s="101"/>
      <c r="AD132" s="15">
        <f>+D.sign_Data[[#This Row],[VALOR NETO ($COP)]]/(100%-D.sign_Data[[#This Row],[MARGEN DE NEGOCIACIÓN (%)]])-D.sign_Data[[#This Row],[VALOR NETO ($COP)]]</f>
        <v>0</v>
      </c>
      <c r="AE132" s="15">
        <f>+(D.sign_Data[[#This Row],[VALOR NETO ($COP)]]+D.sign_Data[[#This Row],[NEGOCIACIÓN ($COP)]])*1%</f>
        <v>3182.0173287392186</v>
      </c>
      <c r="AF132" s="15">
        <f>+(D.sign_Data[[#This Row],[VALOR NETO ($COP)]]+D.sign_Data[[#This Row],[NEGOCIACIÓN ($COP)]])*1%</f>
        <v>3182.0173287392186</v>
      </c>
      <c r="AG132" s="3">
        <f>+D.sign_Data[[#This Row],[VALOR NETO ($COP)]]+D.sign_Data[[#This Row],[NEGOCIACIÓN ($COP)]]+D.sign_Data[[#This Row],[ICA ($COP)]]+D.sign_Data[[#This Row],[4 * 1000 ($COP)]]</f>
        <v>324565.76753140031</v>
      </c>
    </row>
    <row r="133" spans="1:33" ht="60" hidden="1" customHeight="1" x14ac:dyDescent="0.25">
      <c r="A133" s="14"/>
      <c r="B133" s="87" t="s">
        <v>442</v>
      </c>
      <c r="C133" s="182" t="s">
        <v>520</v>
      </c>
      <c r="D133" s="189" t="str">
        <f>VLOOKUP(D.sign_Data[[#This Row],[CÓDIGO]],Descripciones[[CÓDIGO]:[NOMBRE DE SERVICIO]],3,FALSE)</f>
        <v>D1. Parcelaciones y Condominios</v>
      </c>
      <c r="E133" s="87" t="s">
        <v>467</v>
      </c>
      <c r="F133" s="88" t="s">
        <v>521</v>
      </c>
      <c r="G133" s="88" t="s">
        <v>521</v>
      </c>
      <c r="H133" s="87" t="s">
        <v>448</v>
      </c>
      <c r="I133" s="89">
        <v>1</v>
      </c>
      <c r="J133" s="88" t="s">
        <v>511</v>
      </c>
      <c r="K133" s="102"/>
      <c r="L133" s="88" t="s">
        <v>527</v>
      </c>
      <c r="M133" s="89" t="s">
        <v>381</v>
      </c>
      <c r="N133" s="90">
        <v>3</v>
      </c>
      <c r="O133" s="27">
        <f>IFERROR(+VLOOKUP(M133,D.sign_Lista_Data[[RESPONSABLE]:[SOFTWARE 
VALOR HORA]],3,FALSE),"0")</f>
        <v>20263.424518743668</v>
      </c>
      <c r="P133" s="3">
        <f t="shared" si="4"/>
        <v>60790.273556231004</v>
      </c>
      <c r="Q133" s="11">
        <f>IFERROR(+VLOOKUP(M133,D.sign_Lista_Data[[RESPONSABLE]:[SOFTWARE 
VALOR HORA]],5,FALSE)*D.sign_Data[[#This Row],[TIEMPO (HORAS)]],0)</f>
        <v>12664.64032421479</v>
      </c>
      <c r="R133" s="11">
        <f>IFERROR(+VLOOKUP(M133,D.sign_Lista_Data[[RESPONSABLE]:[SOFTWARE 
VALOR HORA]],8,FALSE)*D.sign_Data[[#This Row],[TIEMPO (HORAS)]],0)</f>
        <v>10232.56466143195</v>
      </c>
      <c r="S133" s="99"/>
      <c r="T133" s="99"/>
      <c r="U133" s="3">
        <f t="shared" si="5"/>
        <v>83687.478541877746</v>
      </c>
      <c r="V133" s="100">
        <f>D.sign_Data[[#This Row],[TIEMPO (HORAS)]]*Gastos_Operativos[[#Totals],[GASTOS HORA]]</f>
        <v>83368.431216931203</v>
      </c>
      <c r="W133" s="3">
        <f>+D.sign_Data[[#This Row],[COSTO 
DIRECTO ($COP)]]+D.sign_Data[[#This Row],[PRORRATEO GASTOS ($COP)]]</f>
        <v>167055.90975880896</v>
      </c>
      <c r="X133" s="101"/>
      <c r="Y133" s="15">
        <f>+D.sign_Data[[#This Row],[COSTOS OPERACIONALES ($COP)]]*D.sign_Data[[#This Row],[DESFASE (%)]]</f>
        <v>0</v>
      </c>
      <c r="Z133" s="101">
        <v>0.3</v>
      </c>
      <c r="AA133" s="15">
        <f>+((D.sign_Data[[#This Row],[COSTOS OPERACIONALES ($COP)]]/(100%-D.sign_Data[[#This Row],[UTILIDAD (%)]])))-D.sign_Data[[#This Row],[COSTOS OPERACIONALES ($COP)]]</f>
        <v>71595.389896632434</v>
      </c>
      <c r="AB133" s="3">
        <f>+D.sign_Data[[#This Row],[COSTOS OPERACIONALES ($COP)]]+D.sign_Data[[#This Row],[DESFASE ($COP)]]+D.sign_Data[[#This Row],[UTILIDAD ($COP)]]</f>
        <v>238651.2996554414</v>
      </c>
      <c r="AC133" s="101"/>
      <c r="AD133" s="15">
        <f>+D.sign_Data[[#This Row],[VALOR NETO ($COP)]]/(100%-D.sign_Data[[#This Row],[MARGEN DE NEGOCIACIÓN (%)]])-D.sign_Data[[#This Row],[VALOR NETO ($COP)]]</f>
        <v>0</v>
      </c>
      <c r="AE133" s="15">
        <f>+(D.sign_Data[[#This Row],[VALOR NETO ($COP)]]+D.sign_Data[[#This Row],[NEGOCIACIÓN ($COP)]])*1%</f>
        <v>2386.5129965544143</v>
      </c>
      <c r="AF133" s="15">
        <f>+(D.sign_Data[[#This Row],[VALOR NETO ($COP)]]+D.sign_Data[[#This Row],[NEGOCIACIÓN ($COP)]])*1%</f>
        <v>2386.5129965544143</v>
      </c>
      <c r="AG133" s="3">
        <f>+D.sign_Data[[#This Row],[VALOR NETO ($COP)]]+D.sign_Data[[#This Row],[NEGOCIACIÓN ($COP)]]+D.sign_Data[[#This Row],[ICA ($COP)]]+D.sign_Data[[#This Row],[4 * 1000 ($COP)]]</f>
        <v>243424.32564855021</v>
      </c>
    </row>
    <row r="134" spans="1:33" ht="60" hidden="1" customHeight="1" x14ac:dyDescent="0.25">
      <c r="A134" s="14"/>
      <c r="B134" s="87" t="s">
        <v>442</v>
      </c>
      <c r="C134" s="182" t="s">
        <v>520</v>
      </c>
      <c r="D134" s="189" t="str">
        <f>VLOOKUP(D.sign_Data[[#This Row],[CÓDIGO]],Descripciones[[CÓDIGO]:[NOMBRE DE SERVICIO]],3,FALSE)</f>
        <v>D1. Parcelaciones y Condominios</v>
      </c>
      <c r="E134" s="87" t="s">
        <v>467</v>
      </c>
      <c r="F134" s="88" t="s">
        <v>521</v>
      </c>
      <c r="G134" s="88" t="s">
        <v>521</v>
      </c>
      <c r="H134" s="87" t="s">
        <v>448</v>
      </c>
      <c r="I134" s="89">
        <v>1</v>
      </c>
      <c r="J134" s="88" t="s">
        <v>528</v>
      </c>
      <c r="K134" s="102"/>
      <c r="L134" s="88" t="s">
        <v>516</v>
      </c>
      <c r="M134" s="89" t="s">
        <v>381</v>
      </c>
      <c r="N134" s="90">
        <v>9.4</v>
      </c>
      <c r="O134" s="27">
        <f>IFERROR(+VLOOKUP(M134,D.sign_Lista_Data[[RESPONSABLE]:[SOFTWARE 
VALOR HORA]],3,FALSE),"0")</f>
        <v>20263.424518743668</v>
      </c>
      <c r="P134" s="3">
        <f t="shared" si="4"/>
        <v>190476.19047619047</v>
      </c>
      <c r="Q134" s="11">
        <f>IFERROR(+VLOOKUP(M134,D.sign_Lista_Data[[RESPONSABLE]:[SOFTWARE 
VALOR HORA]],5,FALSE)*D.sign_Data[[#This Row],[TIEMPO (HORAS)]],0)</f>
        <v>39682.539682539682</v>
      </c>
      <c r="R134" s="11">
        <f>IFERROR(+VLOOKUP(M134,D.sign_Lista_Data[[RESPONSABLE]:[SOFTWARE 
VALOR HORA]],8,FALSE)*D.sign_Data[[#This Row],[TIEMPO (HORAS)]],0)</f>
        <v>32062.035939153444</v>
      </c>
      <c r="S134" s="99"/>
      <c r="T134" s="99"/>
      <c r="U134" s="3">
        <f t="shared" si="5"/>
        <v>262220.76609788358</v>
      </c>
      <c r="V134" s="100">
        <f>D.sign_Data[[#This Row],[TIEMPO (HORAS)]]*Gastos_Operativos[[#Totals],[GASTOS HORA]]</f>
        <v>261221.08447971777</v>
      </c>
      <c r="W134" s="3">
        <f>+D.sign_Data[[#This Row],[COSTO 
DIRECTO ($COP)]]+D.sign_Data[[#This Row],[PRORRATEO GASTOS ($COP)]]</f>
        <v>523441.85057760135</v>
      </c>
      <c r="X134" s="101"/>
      <c r="Y134" s="15">
        <f>+D.sign_Data[[#This Row],[COSTOS OPERACIONALES ($COP)]]*D.sign_Data[[#This Row],[DESFASE (%)]]</f>
        <v>0</v>
      </c>
      <c r="Z134" s="101">
        <v>0.3</v>
      </c>
      <c r="AA134" s="15">
        <f>+((D.sign_Data[[#This Row],[COSTOS OPERACIONALES ($COP)]]/(100%-D.sign_Data[[#This Row],[UTILIDAD (%)]])))-D.sign_Data[[#This Row],[COSTOS OPERACIONALES ($COP)]]</f>
        <v>224332.22167611495</v>
      </c>
      <c r="AB134" s="3">
        <f>+D.sign_Data[[#This Row],[COSTOS OPERACIONALES ($COP)]]+D.sign_Data[[#This Row],[DESFASE ($COP)]]+D.sign_Data[[#This Row],[UTILIDAD ($COP)]]</f>
        <v>747774.07225371629</v>
      </c>
      <c r="AC134" s="101"/>
      <c r="AD134" s="15">
        <f>+D.sign_Data[[#This Row],[VALOR NETO ($COP)]]/(100%-D.sign_Data[[#This Row],[MARGEN DE NEGOCIACIÓN (%)]])-D.sign_Data[[#This Row],[VALOR NETO ($COP)]]</f>
        <v>0</v>
      </c>
      <c r="AE134" s="15">
        <f>+(D.sign_Data[[#This Row],[VALOR NETO ($COP)]]+D.sign_Data[[#This Row],[NEGOCIACIÓN ($COP)]])*1%</f>
        <v>7477.7407225371635</v>
      </c>
      <c r="AF134" s="15">
        <f>+(D.sign_Data[[#This Row],[VALOR NETO ($COP)]]+D.sign_Data[[#This Row],[NEGOCIACIÓN ($COP)]])*1%</f>
        <v>7477.7407225371635</v>
      </c>
      <c r="AG134" s="3">
        <f>+D.sign_Data[[#This Row],[VALOR NETO ($COP)]]+D.sign_Data[[#This Row],[NEGOCIACIÓN ($COP)]]+D.sign_Data[[#This Row],[ICA ($COP)]]+D.sign_Data[[#This Row],[4 * 1000 ($COP)]]</f>
        <v>762729.55369879061</v>
      </c>
    </row>
    <row r="135" spans="1:33" ht="60" hidden="1" customHeight="1" x14ac:dyDescent="0.25">
      <c r="A135" s="14"/>
      <c r="B135" s="87" t="s">
        <v>442</v>
      </c>
      <c r="C135" s="182" t="s">
        <v>520</v>
      </c>
      <c r="D135" s="189" t="str">
        <f>VLOOKUP(D.sign_Data[[#This Row],[CÓDIGO]],Descripciones[[CÓDIGO]:[NOMBRE DE SERVICIO]],3,FALSE)</f>
        <v>D1. Parcelaciones y Condominios</v>
      </c>
      <c r="E135" s="87" t="s">
        <v>467</v>
      </c>
      <c r="F135" s="88" t="s">
        <v>521</v>
      </c>
      <c r="G135" s="88" t="s">
        <v>521</v>
      </c>
      <c r="H135" s="87" t="s">
        <v>448</v>
      </c>
      <c r="I135" s="89">
        <v>1</v>
      </c>
      <c r="J135" s="88" t="s">
        <v>529</v>
      </c>
      <c r="K135" s="102"/>
      <c r="L135" s="88" t="s">
        <v>518</v>
      </c>
      <c r="M135" s="89" t="s">
        <v>381</v>
      </c>
      <c r="N135" s="90">
        <v>9.4</v>
      </c>
      <c r="O135" s="27">
        <f>IFERROR(+VLOOKUP(M135,D.sign_Lista_Data[[RESPONSABLE]:[SOFTWARE 
VALOR HORA]],3,FALSE),"0")</f>
        <v>20263.424518743668</v>
      </c>
      <c r="P135" s="3">
        <f t="shared" si="4"/>
        <v>190476.19047619047</v>
      </c>
      <c r="Q135" s="11">
        <f>IFERROR(+VLOOKUP(M135,D.sign_Lista_Data[[RESPONSABLE]:[SOFTWARE 
VALOR HORA]],5,FALSE)*D.sign_Data[[#This Row],[TIEMPO (HORAS)]],0)</f>
        <v>39682.539682539682</v>
      </c>
      <c r="R135" s="11">
        <f>IFERROR(+VLOOKUP(M135,D.sign_Lista_Data[[RESPONSABLE]:[SOFTWARE 
VALOR HORA]],8,FALSE)*D.sign_Data[[#This Row],[TIEMPO (HORAS)]],0)</f>
        <v>32062.035939153444</v>
      </c>
      <c r="S135" s="99"/>
      <c r="T135" s="99"/>
      <c r="U135" s="3">
        <f t="shared" si="5"/>
        <v>262220.76609788358</v>
      </c>
      <c r="V135" s="100">
        <f>D.sign_Data[[#This Row],[TIEMPO (HORAS)]]*Gastos_Operativos[[#Totals],[GASTOS HORA]]</f>
        <v>261221.08447971777</v>
      </c>
      <c r="W135" s="3">
        <f>+D.sign_Data[[#This Row],[COSTO 
DIRECTO ($COP)]]+D.sign_Data[[#This Row],[PRORRATEO GASTOS ($COP)]]</f>
        <v>523441.85057760135</v>
      </c>
      <c r="X135" s="101"/>
      <c r="Y135" s="15">
        <f>+D.sign_Data[[#This Row],[COSTOS OPERACIONALES ($COP)]]*D.sign_Data[[#This Row],[DESFASE (%)]]</f>
        <v>0</v>
      </c>
      <c r="Z135" s="101">
        <v>0.3</v>
      </c>
      <c r="AA135" s="15">
        <f>+((D.sign_Data[[#This Row],[COSTOS OPERACIONALES ($COP)]]/(100%-D.sign_Data[[#This Row],[UTILIDAD (%)]])))-D.sign_Data[[#This Row],[COSTOS OPERACIONALES ($COP)]]</f>
        <v>224332.22167611495</v>
      </c>
      <c r="AB135" s="3">
        <f>+D.sign_Data[[#This Row],[COSTOS OPERACIONALES ($COP)]]+D.sign_Data[[#This Row],[DESFASE ($COP)]]+D.sign_Data[[#This Row],[UTILIDAD ($COP)]]</f>
        <v>747774.07225371629</v>
      </c>
      <c r="AC135" s="101"/>
      <c r="AD135" s="15">
        <f>+D.sign_Data[[#This Row],[VALOR NETO ($COP)]]/(100%-D.sign_Data[[#This Row],[MARGEN DE NEGOCIACIÓN (%)]])-D.sign_Data[[#This Row],[VALOR NETO ($COP)]]</f>
        <v>0</v>
      </c>
      <c r="AE135" s="15">
        <f>+(D.sign_Data[[#This Row],[VALOR NETO ($COP)]]+D.sign_Data[[#This Row],[NEGOCIACIÓN ($COP)]])*1%</f>
        <v>7477.7407225371635</v>
      </c>
      <c r="AF135" s="15">
        <f>+(D.sign_Data[[#This Row],[VALOR NETO ($COP)]]+D.sign_Data[[#This Row],[NEGOCIACIÓN ($COP)]])*1%</f>
        <v>7477.7407225371635</v>
      </c>
      <c r="AG135" s="3">
        <f>+D.sign_Data[[#This Row],[VALOR NETO ($COP)]]+D.sign_Data[[#This Row],[NEGOCIACIÓN ($COP)]]+D.sign_Data[[#This Row],[ICA ($COP)]]+D.sign_Data[[#This Row],[4 * 1000 ($COP)]]</f>
        <v>762729.55369879061</v>
      </c>
    </row>
    <row r="136" spans="1:33" ht="60" hidden="1" customHeight="1" x14ac:dyDescent="0.25">
      <c r="A136" s="14"/>
      <c r="B136" s="87" t="s">
        <v>442</v>
      </c>
      <c r="C136" s="182" t="s">
        <v>520</v>
      </c>
      <c r="D136" s="189" t="str">
        <f>VLOOKUP(D.sign_Data[[#This Row],[CÓDIGO]],Descripciones[[CÓDIGO]:[NOMBRE DE SERVICIO]],3,FALSE)</f>
        <v>D1. Parcelaciones y Condominios</v>
      </c>
      <c r="E136" s="87" t="s">
        <v>467</v>
      </c>
      <c r="F136" s="88" t="s">
        <v>521</v>
      </c>
      <c r="G136" s="88" t="s">
        <v>521</v>
      </c>
      <c r="H136" s="87" t="s">
        <v>448</v>
      </c>
      <c r="I136" s="89">
        <v>1</v>
      </c>
      <c r="J136" s="88" t="s">
        <v>530</v>
      </c>
      <c r="K136" s="102"/>
      <c r="L136" s="88" t="s">
        <v>519</v>
      </c>
      <c r="M136" s="89" t="s">
        <v>381</v>
      </c>
      <c r="N136" s="90">
        <v>0.3</v>
      </c>
      <c r="O136" s="27">
        <f>IFERROR(+VLOOKUP(M136,D.sign_Lista_Data[[RESPONSABLE]:[SOFTWARE 
VALOR HORA]],3,FALSE),"0")</f>
        <v>20263.424518743668</v>
      </c>
      <c r="P136" s="3">
        <f t="shared" si="4"/>
        <v>6079.0273556231004</v>
      </c>
      <c r="Q136" s="11">
        <f>IFERROR(+VLOOKUP(M136,D.sign_Lista_Data[[RESPONSABLE]:[SOFTWARE 
VALOR HORA]],5,FALSE)*D.sign_Data[[#This Row],[TIEMPO (HORAS)]],0)</f>
        <v>1266.464032421479</v>
      </c>
      <c r="R136" s="11">
        <f>IFERROR(+VLOOKUP(M136,D.sign_Lista_Data[[RESPONSABLE]:[SOFTWARE 
VALOR HORA]],8,FALSE)*D.sign_Data[[#This Row],[TIEMPO (HORAS)]],0)</f>
        <v>1023.256466143195</v>
      </c>
      <c r="S136" s="99"/>
      <c r="T136" s="99"/>
      <c r="U136" s="3">
        <f t="shared" si="5"/>
        <v>8368.7478541877736</v>
      </c>
      <c r="V136" s="100">
        <f>D.sign_Data[[#This Row],[TIEMPO (HORAS)]]*Gastos_Operativos[[#Totals],[GASTOS HORA]]</f>
        <v>8336.8431216931203</v>
      </c>
      <c r="W136" s="3">
        <f>+D.sign_Data[[#This Row],[COSTO 
DIRECTO ($COP)]]+D.sign_Data[[#This Row],[PRORRATEO GASTOS ($COP)]]</f>
        <v>16705.590975880892</v>
      </c>
      <c r="X136" s="101"/>
      <c r="Y136" s="15">
        <f>+D.sign_Data[[#This Row],[COSTOS OPERACIONALES ($COP)]]*D.sign_Data[[#This Row],[DESFASE (%)]]</f>
        <v>0</v>
      </c>
      <c r="Z136" s="101">
        <v>0.3</v>
      </c>
      <c r="AA136" s="15">
        <f>+((D.sign_Data[[#This Row],[COSTOS OPERACIONALES ($COP)]]/(100%-D.sign_Data[[#This Row],[UTILIDAD (%)]])))-D.sign_Data[[#This Row],[COSTOS OPERACIONALES ($COP)]]</f>
        <v>7159.5389896632405</v>
      </c>
      <c r="AB136" s="3">
        <f>+D.sign_Data[[#This Row],[COSTOS OPERACIONALES ($COP)]]+D.sign_Data[[#This Row],[DESFASE ($COP)]]+D.sign_Data[[#This Row],[UTILIDAD ($COP)]]</f>
        <v>23865.129965544133</v>
      </c>
      <c r="AC136" s="101"/>
      <c r="AD136" s="15">
        <f>+D.sign_Data[[#This Row],[VALOR NETO ($COP)]]/(100%-D.sign_Data[[#This Row],[MARGEN DE NEGOCIACIÓN (%)]])-D.sign_Data[[#This Row],[VALOR NETO ($COP)]]</f>
        <v>0</v>
      </c>
      <c r="AE136" s="15">
        <f>+(D.sign_Data[[#This Row],[VALOR NETO ($COP)]]+D.sign_Data[[#This Row],[NEGOCIACIÓN ($COP)]])*1%</f>
        <v>238.65129965544133</v>
      </c>
      <c r="AF136" s="15">
        <f>+(D.sign_Data[[#This Row],[VALOR NETO ($COP)]]+D.sign_Data[[#This Row],[NEGOCIACIÓN ($COP)]])*1%</f>
        <v>238.65129965544133</v>
      </c>
      <c r="AG136" s="3">
        <f>+D.sign_Data[[#This Row],[VALOR NETO ($COP)]]+D.sign_Data[[#This Row],[NEGOCIACIÓN ($COP)]]+D.sign_Data[[#This Row],[ICA ($COP)]]+D.sign_Data[[#This Row],[4 * 1000 ($COP)]]</f>
        <v>24342.432564855015</v>
      </c>
    </row>
    <row r="137" spans="1:33" ht="60" hidden="1" customHeight="1" x14ac:dyDescent="0.25">
      <c r="A137" s="14"/>
      <c r="B137" s="87" t="s">
        <v>442</v>
      </c>
      <c r="C137" s="182" t="s">
        <v>531</v>
      </c>
      <c r="D137" s="189" t="str">
        <f>VLOOKUP(D.sign_Data[[#This Row],[CÓDIGO]],Descripciones[[CÓDIGO]:[NOMBRE DE SERVICIO]],3,FALSE)</f>
        <v>D1. Parcelaciones y Condominios</v>
      </c>
      <c r="E137" s="87" t="s">
        <v>497</v>
      </c>
      <c r="F137" s="88" t="s">
        <v>532</v>
      </c>
      <c r="G137" s="88" t="s">
        <v>533</v>
      </c>
      <c r="H137" s="87" t="s">
        <v>448</v>
      </c>
      <c r="I137" s="89">
        <v>1</v>
      </c>
      <c r="J137" s="88" t="s">
        <v>522</v>
      </c>
      <c r="K137" s="102"/>
      <c r="L137" s="91" t="s">
        <v>523</v>
      </c>
      <c r="M137" s="89" t="s">
        <v>381</v>
      </c>
      <c r="N137" s="90">
        <v>4</v>
      </c>
      <c r="O137" s="27">
        <f>IFERROR(+VLOOKUP(M137,D.sign_Lista_Data[[RESPONSABLE]:[SOFTWARE 
VALOR HORA]],3,FALSE),"0")</f>
        <v>20263.424518743668</v>
      </c>
      <c r="P137" s="3">
        <f t="shared" si="4"/>
        <v>81053.698074974673</v>
      </c>
      <c r="Q137" s="11">
        <f>IFERROR(+VLOOKUP(M137,D.sign_Lista_Data[[RESPONSABLE]:[SOFTWARE 
VALOR HORA]],5,FALSE)*D.sign_Data[[#This Row],[TIEMPO (HORAS)]],0)</f>
        <v>16886.187098953054</v>
      </c>
      <c r="R137" s="42">
        <f>IFERROR(+VLOOKUP(M137,D.sign_Lista_Data[[RESPONSABLE]:[SOFTWARE 
VALOR HORA]],8,FALSE)*D.sign_Data[[#This Row],[TIEMPO (HORAS)]],0)</f>
        <v>13643.419548575934</v>
      </c>
      <c r="S137" s="99">
        <v>0</v>
      </c>
      <c r="T137" s="99">
        <v>0</v>
      </c>
      <c r="U137" s="3">
        <f t="shared" si="5"/>
        <v>111583.30472250367</v>
      </c>
      <c r="V137" s="100">
        <f>D.sign_Data[[#This Row],[TIEMPO (HORAS)]]*Gastos_Operativos[[#Totals],[GASTOS HORA]]</f>
        <v>111157.9082892416</v>
      </c>
      <c r="W137" s="3">
        <f>+D.sign_Data[[#This Row],[COSTO 
DIRECTO ($COP)]]+D.sign_Data[[#This Row],[PRORRATEO GASTOS ($COP)]]</f>
        <v>222741.21301174528</v>
      </c>
      <c r="X137" s="101">
        <v>0.05</v>
      </c>
      <c r="Y137" s="15">
        <f>+D.sign_Data[[#This Row],[COSTOS OPERACIONALES ($COP)]]*D.sign_Data[[#This Row],[DESFASE (%)]]</f>
        <v>11137.060650587264</v>
      </c>
      <c r="Z137" s="101">
        <v>0.15</v>
      </c>
      <c r="AA137" s="15">
        <f>+((D.sign_Data[[#This Row],[COSTOS OPERACIONALES ($COP)]]/(100%-D.sign_Data[[#This Row],[UTILIDAD (%)]])))-D.sign_Data[[#This Row],[COSTOS OPERACIONALES ($COP)]]</f>
        <v>39307.272884425649</v>
      </c>
      <c r="AB137" s="3">
        <f>+D.sign_Data[[#This Row],[COSTOS OPERACIONALES ($COP)]]+D.sign_Data[[#This Row],[DESFASE ($COP)]]+D.sign_Data[[#This Row],[UTILIDAD ($COP)]]</f>
        <v>273185.54654675815</v>
      </c>
      <c r="AC137" s="101">
        <v>0.05</v>
      </c>
      <c r="AD137" s="15">
        <f>+D.sign_Data[[#This Row],[VALOR NETO ($COP)]]/(100%-D.sign_Data[[#This Row],[MARGEN DE NEGOCIACIÓN (%)]])-D.sign_Data[[#This Row],[VALOR NETO ($COP)]]</f>
        <v>14378.186660355714</v>
      </c>
      <c r="AE137" s="15">
        <f>+(D.sign_Data[[#This Row],[VALOR NETO ($COP)]]+D.sign_Data[[#This Row],[NEGOCIACIÓN ($COP)]])*1%</f>
        <v>2875.6373320711386</v>
      </c>
      <c r="AF137" s="15">
        <f>+(D.sign_Data[[#This Row],[VALOR NETO ($COP)]]+D.sign_Data[[#This Row],[NEGOCIACIÓN ($COP)]])*1%</f>
        <v>2875.6373320711386</v>
      </c>
      <c r="AG137" s="3">
        <f>+D.sign_Data[[#This Row],[VALOR NETO ($COP)]]+D.sign_Data[[#This Row],[NEGOCIACIÓN ($COP)]]+D.sign_Data[[#This Row],[ICA ($COP)]]+D.sign_Data[[#This Row],[4 * 1000 ($COP)]]</f>
        <v>293315.00787125615</v>
      </c>
    </row>
    <row r="138" spans="1:33" ht="60" hidden="1" customHeight="1" x14ac:dyDescent="0.25">
      <c r="A138" s="14"/>
      <c r="B138" s="87" t="s">
        <v>442</v>
      </c>
      <c r="C138" s="182" t="s">
        <v>531</v>
      </c>
      <c r="D138" s="189" t="str">
        <f>VLOOKUP(D.sign_Data[[#This Row],[CÓDIGO]],Descripciones[[CÓDIGO]:[NOMBRE DE SERVICIO]],3,FALSE)</f>
        <v>D1. Parcelaciones y Condominios</v>
      </c>
      <c r="E138" s="87" t="s">
        <v>497</v>
      </c>
      <c r="F138" s="88" t="s">
        <v>532</v>
      </c>
      <c r="G138" s="88" t="s">
        <v>533</v>
      </c>
      <c r="H138" s="87" t="s">
        <v>448</v>
      </c>
      <c r="I138" s="89">
        <v>1</v>
      </c>
      <c r="J138" s="88" t="s">
        <v>522</v>
      </c>
      <c r="K138" s="102"/>
      <c r="L138" s="88" t="s">
        <v>524</v>
      </c>
      <c r="M138" s="89" t="s">
        <v>381</v>
      </c>
      <c r="N138" s="90">
        <v>1</v>
      </c>
      <c r="O138" s="27">
        <f>IFERROR(+VLOOKUP(M138,D.sign_Lista_Data[[RESPONSABLE]:[SOFTWARE 
VALOR HORA]],3,FALSE),"0")</f>
        <v>20263.424518743668</v>
      </c>
      <c r="P138" s="3">
        <f t="shared" si="4"/>
        <v>20263.424518743668</v>
      </c>
      <c r="Q138" s="11">
        <f>IFERROR(+VLOOKUP(M138,D.sign_Lista_Data[[RESPONSABLE]:[SOFTWARE 
VALOR HORA]],5,FALSE)*D.sign_Data[[#This Row],[TIEMPO (HORAS)]],0)</f>
        <v>4221.5467747382636</v>
      </c>
      <c r="R138" s="42">
        <f>IFERROR(+VLOOKUP(M138,D.sign_Lista_Data[[RESPONSABLE]:[SOFTWARE 
VALOR HORA]],8,FALSE)*D.sign_Data[[#This Row],[TIEMPO (HORAS)]],0)</f>
        <v>3410.8548871439834</v>
      </c>
      <c r="S138" s="99">
        <v>0</v>
      </c>
      <c r="T138" s="99"/>
      <c r="U138" s="3">
        <f t="shared" si="5"/>
        <v>27895.826180625918</v>
      </c>
      <c r="V138" s="100">
        <f>D.sign_Data[[#This Row],[TIEMPO (HORAS)]]*Gastos_Operativos[[#Totals],[GASTOS HORA]]</f>
        <v>27789.477072310401</v>
      </c>
      <c r="W138" s="3">
        <f>+D.sign_Data[[#This Row],[COSTO 
DIRECTO ($COP)]]+D.sign_Data[[#This Row],[PRORRATEO GASTOS ($COP)]]</f>
        <v>55685.303252936319</v>
      </c>
      <c r="X138" s="101">
        <v>0.05</v>
      </c>
      <c r="Y138" s="15">
        <f>+D.sign_Data[[#This Row],[COSTOS OPERACIONALES ($COP)]]*D.sign_Data[[#This Row],[DESFASE (%)]]</f>
        <v>2784.265162646816</v>
      </c>
      <c r="Z138" s="101">
        <v>0.15</v>
      </c>
      <c r="AA138" s="15">
        <f>+((D.sign_Data[[#This Row],[COSTOS OPERACIONALES ($COP)]]/(100%-D.sign_Data[[#This Row],[UTILIDAD (%)]])))-D.sign_Data[[#This Row],[COSTOS OPERACIONALES ($COP)]]</f>
        <v>9826.8182211064122</v>
      </c>
      <c r="AB138" s="3">
        <f>+D.sign_Data[[#This Row],[COSTOS OPERACIONALES ($COP)]]+D.sign_Data[[#This Row],[DESFASE ($COP)]]+D.sign_Data[[#This Row],[UTILIDAD ($COP)]]</f>
        <v>68296.386636689538</v>
      </c>
      <c r="AC138" s="101">
        <v>0.05</v>
      </c>
      <c r="AD138" s="15">
        <f>+D.sign_Data[[#This Row],[VALOR NETO ($COP)]]/(100%-D.sign_Data[[#This Row],[MARGEN DE NEGOCIACIÓN (%)]])-D.sign_Data[[#This Row],[VALOR NETO ($COP)]]</f>
        <v>3594.5466650889284</v>
      </c>
      <c r="AE138" s="15">
        <f>+(D.sign_Data[[#This Row],[VALOR NETO ($COP)]]+D.sign_Data[[#This Row],[NEGOCIACIÓN ($COP)]])*1%</f>
        <v>718.90933301778466</v>
      </c>
      <c r="AF138" s="15">
        <f>+(D.sign_Data[[#This Row],[VALOR NETO ($COP)]]+D.sign_Data[[#This Row],[NEGOCIACIÓN ($COP)]])*1%</f>
        <v>718.90933301778466</v>
      </c>
      <c r="AG138" s="3">
        <f>+D.sign_Data[[#This Row],[VALOR NETO ($COP)]]+D.sign_Data[[#This Row],[NEGOCIACIÓN ($COP)]]+D.sign_Data[[#This Row],[ICA ($COP)]]+D.sign_Data[[#This Row],[4 * 1000 ($COP)]]</f>
        <v>73328.751967814038</v>
      </c>
    </row>
    <row r="139" spans="1:33" ht="60" hidden="1" customHeight="1" x14ac:dyDescent="0.25">
      <c r="A139" s="14"/>
      <c r="B139" s="87" t="s">
        <v>442</v>
      </c>
      <c r="C139" s="182" t="s">
        <v>531</v>
      </c>
      <c r="D139" s="189" t="str">
        <f>VLOOKUP(D.sign_Data[[#This Row],[CÓDIGO]],Descripciones[[CÓDIGO]:[NOMBRE DE SERVICIO]],3,FALSE)</f>
        <v>D1. Parcelaciones y Condominios</v>
      </c>
      <c r="E139" s="87" t="s">
        <v>497</v>
      </c>
      <c r="F139" s="88" t="s">
        <v>532</v>
      </c>
      <c r="G139" s="88" t="s">
        <v>533</v>
      </c>
      <c r="H139" s="87" t="s">
        <v>448</v>
      </c>
      <c r="I139" s="89">
        <v>1</v>
      </c>
      <c r="J139" s="88" t="s">
        <v>522</v>
      </c>
      <c r="K139" s="102"/>
      <c r="L139" s="88" t="s">
        <v>525</v>
      </c>
      <c r="M139" s="89" t="s">
        <v>381</v>
      </c>
      <c r="N139" s="90">
        <v>2</v>
      </c>
      <c r="O139" s="27">
        <f>IFERROR(+VLOOKUP(M139,D.sign_Lista_Data[[RESPONSABLE]:[SOFTWARE 
VALOR HORA]],3,FALSE),"0")</f>
        <v>20263.424518743668</v>
      </c>
      <c r="P139" s="3">
        <f t="shared" si="4"/>
        <v>40526.849037487336</v>
      </c>
      <c r="Q139" s="11">
        <f>IFERROR(+VLOOKUP(M139,D.sign_Lista_Data[[RESPONSABLE]:[SOFTWARE 
VALOR HORA]],5,FALSE)*D.sign_Data[[#This Row],[TIEMPO (HORAS)]],0)</f>
        <v>8443.0935494765272</v>
      </c>
      <c r="R139" s="42">
        <f>IFERROR(+VLOOKUP(M139,D.sign_Lista_Data[[RESPONSABLE]:[SOFTWARE 
VALOR HORA]],8,FALSE)*D.sign_Data[[#This Row],[TIEMPO (HORAS)]],0)</f>
        <v>6821.7097742879669</v>
      </c>
      <c r="S139" s="99">
        <v>0</v>
      </c>
      <c r="T139" s="99">
        <v>0</v>
      </c>
      <c r="U139" s="3">
        <f t="shared" si="5"/>
        <v>55791.652361251836</v>
      </c>
      <c r="V139" s="100">
        <f>D.sign_Data[[#This Row],[TIEMPO (HORAS)]]*Gastos_Operativos[[#Totals],[GASTOS HORA]]</f>
        <v>55578.954144620802</v>
      </c>
      <c r="W139" s="3">
        <f>+D.sign_Data[[#This Row],[COSTO 
DIRECTO ($COP)]]+D.sign_Data[[#This Row],[PRORRATEO GASTOS ($COP)]]</f>
        <v>111370.60650587264</v>
      </c>
      <c r="X139" s="101">
        <v>0.05</v>
      </c>
      <c r="Y139" s="15">
        <f>+D.sign_Data[[#This Row],[COSTOS OPERACIONALES ($COP)]]*D.sign_Data[[#This Row],[DESFASE (%)]]</f>
        <v>5568.5303252936319</v>
      </c>
      <c r="Z139" s="101">
        <v>0.15</v>
      </c>
      <c r="AA139" s="15">
        <f>+((D.sign_Data[[#This Row],[COSTOS OPERACIONALES ($COP)]]/(100%-D.sign_Data[[#This Row],[UTILIDAD (%)]])))-D.sign_Data[[#This Row],[COSTOS OPERACIONALES ($COP)]]</f>
        <v>19653.636442212824</v>
      </c>
      <c r="AB139" s="3">
        <f>+D.sign_Data[[#This Row],[COSTOS OPERACIONALES ($COP)]]+D.sign_Data[[#This Row],[DESFASE ($COP)]]+D.sign_Data[[#This Row],[UTILIDAD ($COP)]]</f>
        <v>136592.77327337908</v>
      </c>
      <c r="AC139" s="101">
        <v>0.05</v>
      </c>
      <c r="AD139" s="15">
        <f>+D.sign_Data[[#This Row],[VALOR NETO ($COP)]]/(100%-D.sign_Data[[#This Row],[MARGEN DE NEGOCIACIÓN (%)]])-D.sign_Data[[#This Row],[VALOR NETO ($COP)]]</f>
        <v>7189.0933301778568</v>
      </c>
      <c r="AE139" s="15">
        <f>+(D.sign_Data[[#This Row],[VALOR NETO ($COP)]]+D.sign_Data[[#This Row],[NEGOCIACIÓN ($COP)]])*1%</f>
        <v>1437.8186660355693</v>
      </c>
      <c r="AF139" s="15">
        <f>+(D.sign_Data[[#This Row],[VALOR NETO ($COP)]]+D.sign_Data[[#This Row],[NEGOCIACIÓN ($COP)]])*1%</f>
        <v>1437.8186660355693</v>
      </c>
      <c r="AG139" s="3">
        <f>+D.sign_Data[[#This Row],[VALOR NETO ($COP)]]+D.sign_Data[[#This Row],[NEGOCIACIÓN ($COP)]]+D.sign_Data[[#This Row],[ICA ($COP)]]+D.sign_Data[[#This Row],[4 * 1000 ($COP)]]</f>
        <v>146657.50393562808</v>
      </c>
    </row>
    <row r="140" spans="1:33" ht="60" hidden="1" customHeight="1" x14ac:dyDescent="0.25">
      <c r="A140" s="14"/>
      <c r="B140" s="87" t="s">
        <v>442</v>
      </c>
      <c r="C140" s="182" t="s">
        <v>531</v>
      </c>
      <c r="D140" s="189" t="str">
        <f>VLOOKUP(D.sign_Data[[#This Row],[CÓDIGO]],Descripciones[[CÓDIGO]:[NOMBRE DE SERVICIO]],3,FALSE)</f>
        <v>D1. Parcelaciones y Condominios</v>
      </c>
      <c r="E140" s="87" t="s">
        <v>497</v>
      </c>
      <c r="F140" s="88" t="s">
        <v>532</v>
      </c>
      <c r="G140" s="88" t="s">
        <v>533</v>
      </c>
      <c r="H140" s="87" t="s">
        <v>448</v>
      </c>
      <c r="I140" s="89">
        <v>1</v>
      </c>
      <c r="J140" s="88" t="s">
        <v>511</v>
      </c>
      <c r="K140" s="102"/>
      <c r="L140" s="91" t="s">
        <v>526</v>
      </c>
      <c r="M140" s="89" t="s">
        <v>381</v>
      </c>
      <c r="N140" s="90">
        <v>0.3</v>
      </c>
      <c r="O140" s="27">
        <f>IFERROR(+VLOOKUP(M140,D.sign_Lista_Data[[RESPONSABLE]:[SOFTWARE 
VALOR HORA]],3,FALSE),"0")</f>
        <v>20263.424518743668</v>
      </c>
      <c r="P140" s="3">
        <f t="shared" si="4"/>
        <v>6079.0273556231004</v>
      </c>
      <c r="Q140" s="11">
        <f>IFERROR(+VLOOKUP(M140,D.sign_Lista_Data[[RESPONSABLE]:[SOFTWARE 
VALOR HORA]],5,FALSE)*D.sign_Data[[#This Row],[TIEMPO (HORAS)]],0)</f>
        <v>1266.464032421479</v>
      </c>
      <c r="R140" s="42">
        <f>IFERROR(+VLOOKUP(M140,D.sign_Lista_Data[[RESPONSABLE]:[SOFTWARE 
VALOR HORA]],8,FALSE)*D.sign_Data[[#This Row],[TIEMPO (HORAS)]],0)</f>
        <v>1023.256466143195</v>
      </c>
      <c r="S140" s="99">
        <v>0</v>
      </c>
      <c r="T140" s="99">
        <v>0</v>
      </c>
      <c r="U140" s="3">
        <f t="shared" si="5"/>
        <v>8368.7478541877736</v>
      </c>
      <c r="V140" s="100">
        <f>D.sign_Data[[#This Row],[TIEMPO (HORAS)]]*Gastos_Operativos[[#Totals],[GASTOS HORA]]</f>
        <v>8336.8431216931203</v>
      </c>
      <c r="W140" s="3">
        <f>+D.sign_Data[[#This Row],[COSTO 
DIRECTO ($COP)]]+D.sign_Data[[#This Row],[PRORRATEO GASTOS ($COP)]]</f>
        <v>16705.590975880892</v>
      </c>
      <c r="X140" s="101">
        <v>0.05</v>
      </c>
      <c r="Y140" s="15">
        <f>+D.sign_Data[[#This Row],[COSTOS OPERACIONALES ($COP)]]*D.sign_Data[[#This Row],[DESFASE (%)]]</f>
        <v>835.27954879404467</v>
      </c>
      <c r="Z140" s="101">
        <v>0.15</v>
      </c>
      <c r="AA140" s="15">
        <f>+((D.sign_Data[[#This Row],[COSTOS OPERACIONALES ($COP)]]/(100%-D.sign_Data[[#This Row],[UTILIDAD (%)]])))-D.sign_Data[[#This Row],[COSTOS OPERACIONALES ($COP)]]</f>
        <v>2948.0454663319215</v>
      </c>
      <c r="AB140" s="3">
        <f>+D.sign_Data[[#This Row],[COSTOS OPERACIONALES ($COP)]]+D.sign_Data[[#This Row],[DESFASE ($COP)]]+D.sign_Data[[#This Row],[UTILIDAD ($COP)]]</f>
        <v>20488.915991006859</v>
      </c>
      <c r="AC140" s="101">
        <v>0.05</v>
      </c>
      <c r="AD140" s="15">
        <f>+D.sign_Data[[#This Row],[VALOR NETO ($COP)]]/(100%-D.sign_Data[[#This Row],[MARGEN DE NEGOCIACIÓN (%)]])-D.sign_Data[[#This Row],[VALOR NETO ($COP)]]</f>
        <v>1078.3639995266785</v>
      </c>
      <c r="AE140" s="15">
        <f>+(D.sign_Data[[#This Row],[VALOR NETO ($COP)]]+D.sign_Data[[#This Row],[NEGOCIACIÓN ($COP)]])*1%</f>
        <v>215.67279990533538</v>
      </c>
      <c r="AF140" s="15">
        <f>+(D.sign_Data[[#This Row],[VALOR NETO ($COP)]]+D.sign_Data[[#This Row],[NEGOCIACIÓN ($COP)]])*1%</f>
        <v>215.67279990533538</v>
      </c>
      <c r="AG140" s="3">
        <f>+D.sign_Data[[#This Row],[VALOR NETO ($COP)]]+D.sign_Data[[#This Row],[NEGOCIACIÓN ($COP)]]+D.sign_Data[[#This Row],[ICA ($COP)]]+D.sign_Data[[#This Row],[4 * 1000 ($COP)]]</f>
        <v>21998.625590344211</v>
      </c>
    </row>
    <row r="141" spans="1:33" ht="60" hidden="1" customHeight="1" x14ac:dyDescent="0.25">
      <c r="A141" s="14"/>
      <c r="B141" s="87" t="s">
        <v>442</v>
      </c>
      <c r="C141" s="182" t="s">
        <v>531</v>
      </c>
      <c r="D141" s="189" t="str">
        <f>VLOOKUP(D.sign_Data[[#This Row],[CÓDIGO]],Descripciones[[CÓDIGO]:[NOMBRE DE SERVICIO]],3,FALSE)</f>
        <v>D1. Parcelaciones y Condominios</v>
      </c>
      <c r="E141" s="87" t="s">
        <v>497</v>
      </c>
      <c r="F141" s="88" t="s">
        <v>532</v>
      </c>
      <c r="G141" s="88" t="s">
        <v>533</v>
      </c>
      <c r="H141" s="87" t="s">
        <v>448</v>
      </c>
      <c r="I141" s="89">
        <v>1</v>
      </c>
      <c r="J141" s="88" t="s">
        <v>511</v>
      </c>
      <c r="K141" s="102"/>
      <c r="L141" s="91" t="s">
        <v>514</v>
      </c>
      <c r="M141" s="89" t="s">
        <v>381</v>
      </c>
      <c r="N141" s="90">
        <v>4</v>
      </c>
      <c r="O141" s="27">
        <f>IFERROR(+VLOOKUP(M141,D.sign_Lista_Data[[RESPONSABLE]:[SOFTWARE 
VALOR HORA]],3,FALSE),"0")</f>
        <v>20263.424518743668</v>
      </c>
      <c r="P141" s="3">
        <f t="shared" si="4"/>
        <v>81053.698074974673</v>
      </c>
      <c r="Q141" s="11">
        <f>IFERROR(+VLOOKUP(M141,D.sign_Lista_Data[[RESPONSABLE]:[SOFTWARE 
VALOR HORA]],5,FALSE)*D.sign_Data[[#This Row],[TIEMPO (HORAS)]],0)</f>
        <v>16886.187098953054</v>
      </c>
      <c r="R141" s="42">
        <f>IFERROR(+VLOOKUP(M141,D.sign_Lista_Data[[RESPONSABLE]:[SOFTWARE 
VALOR HORA]],8,FALSE)*D.sign_Data[[#This Row],[TIEMPO (HORAS)]],0)</f>
        <v>13643.419548575934</v>
      </c>
      <c r="S141" s="99">
        <v>0</v>
      </c>
      <c r="T141" s="99">
        <v>0</v>
      </c>
      <c r="U141" s="3">
        <f t="shared" si="5"/>
        <v>111583.30472250367</v>
      </c>
      <c r="V141" s="100">
        <f>D.sign_Data[[#This Row],[TIEMPO (HORAS)]]*Gastos_Operativos[[#Totals],[GASTOS HORA]]</f>
        <v>111157.9082892416</v>
      </c>
      <c r="W141" s="3">
        <f>+D.sign_Data[[#This Row],[COSTO 
DIRECTO ($COP)]]+D.sign_Data[[#This Row],[PRORRATEO GASTOS ($COP)]]</f>
        <v>222741.21301174528</v>
      </c>
      <c r="X141" s="101">
        <v>0.05</v>
      </c>
      <c r="Y141" s="15">
        <f>+D.sign_Data[[#This Row],[COSTOS OPERACIONALES ($COP)]]*D.sign_Data[[#This Row],[DESFASE (%)]]</f>
        <v>11137.060650587264</v>
      </c>
      <c r="Z141" s="101">
        <v>0.15</v>
      </c>
      <c r="AA141" s="15">
        <f>+((D.sign_Data[[#This Row],[COSTOS OPERACIONALES ($COP)]]/(100%-D.sign_Data[[#This Row],[UTILIDAD (%)]])))-D.sign_Data[[#This Row],[COSTOS OPERACIONALES ($COP)]]</f>
        <v>39307.272884425649</v>
      </c>
      <c r="AB141" s="3">
        <f>+D.sign_Data[[#This Row],[COSTOS OPERACIONALES ($COP)]]+D.sign_Data[[#This Row],[DESFASE ($COP)]]+D.sign_Data[[#This Row],[UTILIDAD ($COP)]]</f>
        <v>273185.54654675815</v>
      </c>
      <c r="AC141" s="101">
        <v>0.05</v>
      </c>
      <c r="AD141" s="15">
        <f>+D.sign_Data[[#This Row],[VALOR NETO ($COP)]]/(100%-D.sign_Data[[#This Row],[MARGEN DE NEGOCIACIÓN (%)]])-D.sign_Data[[#This Row],[VALOR NETO ($COP)]]</f>
        <v>14378.186660355714</v>
      </c>
      <c r="AE141" s="15">
        <f>+(D.sign_Data[[#This Row],[VALOR NETO ($COP)]]+D.sign_Data[[#This Row],[NEGOCIACIÓN ($COP)]])*1%</f>
        <v>2875.6373320711386</v>
      </c>
      <c r="AF141" s="15">
        <f>+(D.sign_Data[[#This Row],[VALOR NETO ($COP)]]+D.sign_Data[[#This Row],[NEGOCIACIÓN ($COP)]])*1%</f>
        <v>2875.6373320711386</v>
      </c>
      <c r="AG141" s="3">
        <f>+D.sign_Data[[#This Row],[VALOR NETO ($COP)]]+D.sign_Data[[#This Row],[NEGOCIACIÓN ($COP)]]+D.sign_Data[[#This Row],[ICA ($COP)]]+D.sign_Data[[#This Row],[4 * 1000 ($COP)]]</f>
        <v>293315.00787125615</v>
      </c>
    </row>
    <row r="142" spans="1:33" ht="60" hidden="1" customHeight="1" x14ac:dyDescent="0.25">
      <c r="A142" s="14"/>
      <c r="B142" s="87" t="s">
        <v>442</v>
      </c>
      <c r="C142" s="182" t="s">
        <v>531</v>
      </c>
      <c r="D142" s="189" t="str">
        <f>VLOOKUP(D.sign_Data[[#This Row],[CÓDIGO]],Descripciones[[CÓDIGO]:[NOMBRE DE SERVICIO]],3,FALSE)</f>
        <v>D1. Parcelaciones y Condominios</v>
      </c>
      <c r="E142" s="87" t="s">
        <v>497</v>
      </c>
      <c r="F142" s="88" t="s">
        <v>532</v>
      </c>
      <c r="G142" s="88" t="s">
        <v>533</v>
      </c>
      <c r="H142" s="87" t="s">
        <v>448</v>
      </c>
      <c r="I142" s="89">
        <v>1</v>
      </c>
      <c r="J142" s="88" t="s">
        <v>511</v>
      </c>
      <c r="K142" s="102"/>
      <c r="L142" s="88" t="s">
        <v>527</v>
      </c>
      <c r="M142" s="89" t="s">
        <v>381</v>
      </c>
      <c r="N142" s="90">
        <v>1</v>
      </c>
      <c r="O142" s="27">
        <f>IFERROR(+VLOOKUP(M142,D.sign_Lista_Data[[RESPONSABLE]:[SOFTWARE 
VALOR HORA]],3,FALSE),"0")</f>
        <v>20263.424518743668</v>
      </c>
      <c r="P142" s="3">
        <f t="shared" si="4"/>
        <v>20263.424518743668</v>
      </c>
      <c r="Q142" s="11">
        <f>IFERROR(+VLOOKUP(M142,D.sign_Lista_Data[[RESPONSABLE]:[SOFTWARE 
VALOR HORA]],5,FALSE)*D.sign_Data[[#This Row],[TIEMPO (HORAS)]],0)</f>
        <v>4221.5467747382636</v>
      </c>
      <c r="R142" s="42">
        <f>IFERROR(+VLOOKUP(M142,D.sign_Lista_Data[[RESPONSABLE]:[SOFTWARE 
VALOR HORA]],8,FALSE)*D.sign_Data[[#This Row],[TIEMPO (HORAS)]],0)</f>
        <v>3410.8548871439834</v>
      </c>
      <c r="S142" s="99">
        <v>0</v>
      </c>
      <c r="T142" s="99">
        <v>0</v>
      </c>
      <c r="U142" s="3">
        <f t="shared" si="5"/>
        <v>27895.826180625918</v>
      </c>
      <c r="V142" s="100">
        <f>D.sign_Data[[#This Row],[TIEMPO (HORAS)]]*Gastos_Operativos[[#Totals],[GASTOS HORA]]</f>
        <v>27789.477072310401</v>
      </c>
      <c r="W142" s="3">
        <f>+D.sign_Data[[#This Row],[COSTO 
DIRECTO ($COP)]]+D.sign_Data[[#This Row],[PRORRATEO GASTOS ($COP)]]</f>
        <v>55685.303252936319</v>
      </c>
      <c r="X142" s="101">
        <v>0.05</v>
      </c>
      <c r="Y142" s="15">
        <f>+D.sign_Data[[#This Row],[COSTOS OPERACIONALES ($COP)]]*D.sign_Data[[#This Row],[DESFASE (%)]]</f>
        <v>2784.265162646816</v>
      </c>
      <c r="Z142" s="101">
        <v>0.15</v>
      </c>
      <c r="AA142" s="15">
        <f>+((D.sign_Data[[#This Row],[COSTOS OPERACIONALES ($COP)]]/(100%-D.sign_Data[[#This Row],[UTILIDAD (%)]])))-D.sign_Data[[#This Row],[COSTOS OPERACIONALES ($COP)]]</f>
        <v>9826.8182211064122</v>
      </c>
      <c r="AB142" s="3">
        <f>+D.sign_Data[[#This Row],[COSTOS OPERACIONALES ($COP)]]+D.sign_Data[[#This Row],[DESFASE ($COP)]]+D.sign_Data[[#This Row],[UTILIDAD ($COP)]]</f>
        <v>68296.386636689538</v>
      </c>
      <c r="AC142" s="101">
        <v>0.05</v>
      </c>
      <c r="AD142" s="15">
        <f>+D.sign_Data[[#This Row],[VALOR NETO ($COP)]]/(100%-D.sign_Data[[#This Row],[MARGEN DE NEGOCIACIÓN (%)]])-D.sign_Data[[#This Row],[VALOR NETO ($COP)]]</f>
        <v>3594.5466650889284</v>
      </c>
      <c r="AE142" s="15">
        <f>+(D.sign_Data[[#This Row],[VALOR NETO ($COP)]]+D.sign_Data[[#This Row],[NEGOCIACIÓN ($COP)]])*1%</f>
        <v>718.90933301778466</v>
      </c>
      <c r="AF142" s="15">
        <f>+(D.sign_Data[[#This Row],[VALOR NETO ($COP)]]+D.sign_Data[[#This Row],[NEGOCIACIÓN ($COP)]])*1%</f>
        <v>718.90933301778466</v>
      </c>
      <c r="AG142" s="3">
        <f>+D.sign_Data[[#This Row],[VALOR NETO ($COP)]]+D.sign_Data[[#This Row],[NEGOCIACIÓN ($COP)]]+D.sign_Data[[#This Row],[ICA ($COP)]]+D.sign_Data[[#This Row],[4 * 1000 ($COP)]]</f>
        <v>73328.751967814038</v>
      </c>
    </row>
    <row r="143" spans="1:33" ht="60" hidden="1" customHeight="1" x14ac:dyDescent="0.25">
      <c r="A143" s="14"/>
      <c r="B143" s="87" t="s">
        <v>442</v>
      </c>
      <c r="C143" s="182" t="s">
        <v>531</v>
      </c>
      <c r="D143" s="189" t="str">
        <f>VLOOKUP(D.sign_Data[[#This Row],[CÓDIGO]],Descripciones[[CÓDIGO]:[NOMBRE DE SERVICIO]],3,FALSE)</f>
        <v>D1. Parcelaciones y Condominios</v>
      </c>
      <c r="E143" s="87" t="s">
        <v>497</v>
      </c>
      <c r="F143" s="88" t="s">
        <v>532</v>
      </c>
      <c r="G143" s="88" t="s">
        <v>533</v>
      </c>
      <c r="H143" s="87" t="s">
        <v>448</v>
      </c>
      <c r="I143" s="89">
        <v>1</v>
      </c>
      <c r="J143" s="88" t="s">
        <v>511</v>
      </c>
      <c r="K143" s="102"/>
      <c r="L143" s="88" t="s">
        <v>516</v>
      </c>
      <c r="M143" s="89" t="s">
        <v>381</v>
      </c>
      <c r="N143" s="90">
        <v>9.4</v>
      </c>
      <c r="O143" s="27">
        <f>IFERROR(+VLOOKUP(M143,D.sign_Lista_Data[[RESPONSABLE]:[SOFTWARE 
VALOR HORA]],3,FALSE),"0")</f>
        <v>20263.424518743668</v>
      </c>
      <c r="P143" s="3">
        <f t="shared" si="4"/>
        <v>190476.19047619047</v>
      </c>
      <c r="Q143" s="11">
        <f>IFERROR(+VLOOKUP(M143,D.sign_Lista_Data[[RESPONSABLE]:[SOFTWARE 
VALOR HORA]],5,FALSE)*D.sign_Data[[#This Row],[TIEMPO (HORAS)]],0)</f>
        <v>39682.539682539682</v>
      </c>
      <c r="R143" s="42">
        <f>IFERROR(+VLOOKUP(M143,D.sign_Lista_Data[[RESPONSABLE]:[SOFTWARE 
VALOR HORA]],8,FALSE)*D.sign_Data[[#This Row],[TIEMPO (HORAS)]],0)</f>
        <v>32062.035939153444</v>
      </c>
      <c r="S143" s="99">
        <v>0</v>
      </c>
      <c r="T143" s="99">
        <v>0</v>
      </c>
      <c r="U143" s="3">
        <f t="shared" si="5"/>
        <v>262220.76609788358</v>
      </c>
      <c r="V143" s="100">
        <f>D.sign_Data[[#This Row],[TIEMPO (HORAS)]]*Gastos_Operativos[[#Totals],[GASTOS HORA]]</f>
        <v>261221.08447971777</v>
      </c>
      <c r="W143" s="3">
        <f>+D.sign_Data[[#This Row],[COSTO 
DIRECTO ($COP)]]+D.sign_Data[[#This Row],[PRORRATEO GASTOS ($COP)]]</f>
        <v>523441.85057760135</v>
      </c>
      <c r="X143" s="101">
        <v>0.05</v>
      </c>
      <c r="Y143" s="15">
        <f>+D.sign_Data[[#This Row],[COSTOS OPERACIONALES ($COP)]]*D.sign_Data[[#This Row],[DESFASE (%)]]</f>
        <v>26172.092528880068</v>
      </c>
      <c r="Z143" s="101">
        <v>0.15</v>
      </c>
      <c r="AA143" s="15">
        <f>+((D.sign_Data[[#This Row],[COSTOS OPERACIONALES ($COP)]]/(100%-D.sign_Data[[#This Row],[UTILIDAD (%)]])))-D.sign_Data[[#This Row],[COSTOS OPERACIONALES ($COP)]]</f>
        <v>92372.091278400272</v>
      </c>
      <c r="AB143" s="3">
        <f>+D.sign_Data[[#This Row],[COSTOS OPERACIONALES ($COP)]]+D.sign_Data[[#This Row],[DESFASE ($COP)]]+D.sign_Data[[#This Row],[UTILIDAD ($COP)]]</f>
        <v>641986.03438488173</v>
      </c>
      <c r="AC143" s="101">
        <v>0.05</v>
      </c>
      <c r="AD143" s="15">
        <f>+D.sign_Data[[#This Row],[VALOR NETO ($COP)]]/(100%-D.sign_Data[[#This Row],[MARGEN DE NEGOCIACIÓN (%)]])-D.sign_Data[[#This Row],[VALOR NETO ($COP)]]</f>
        <v>33788.738651835942</v>
      </c>
      <c r="AE143" s="15">
        <f>+(D.sign_Data[[#This Row],[VALOR NETO ($COP)]]+D.sign_Data[[#This Row],[NEGOCIACIÓN ($COP)]])*1%</f>
        <v>6757.7477303671767</v>
      </c>
      <c r="AF143" s="15">
        <f>+(D.sign_Data[[#This Row],[VALOR NETO ($COP)]]+D.sign_Data[[#This Row],[NEGOCIACIÓN ($COP)]])*1%</f>
        <v>6757.7477303671767</v>
      </c>
      <c r="AG143" s="3">
        <f>+D.sign_Data[[#This Row],[VALOR NETO ($COP)]]+D.sign_Data[[#This Row],[NEGOCIACIÓN ($COP)]]+D.sign_Data[[#This Row],[ICA ($COP)]]+D.sign_Data[[#This Row],[4 * 1000 ($COP)]]</f>
        <v>689290.26849745191</v>
      </c>
    </row>
    <row r="144" spans="1:33" ht="60" hidden="1" customHeight="1" x14ac:dyDescent="0.25">
      <c r="A144" s="14"/>
      <c r="B144" s="87" t="s">
        <v>442</v>
      </c>
      <c r="C144" s="182" t="s">
        <v>531</v>
      </c>
      <c r="D144" s="189" t="str">
        <f>VLOOKUP(D.sign_Data[[#This Row],[CÓDIGO]],Descripciones[[CÓDIGO]:[NOMBRE DE SERVICIO]],3,FALSE)</f>
        <v>D1. Parcelaciones y Condominios</v>
      </c>
      <c r="E144" s="87" t="s">
        <v>497</v>
      </c>
      <c r="F144" s="88" t="s">
        <v>532</v>
      </c>
      <c r="G144" s="88" t="s">
        <v>533</v>
      </c>
      <c r="H144" s="87" t="s">
        <v>448</v>
      </c>
      <c r="I144" s="89">
        <v>1</v>
      </c>
      <c r="J144" s="88" t="s">
        <v>511</v>
      </c>
      <c r="K144" s="102"/>
      <c r="L144" s="88" t="s">
        <v>518</v>
      </c>
      <c r="M144" s="89" t="s">
        <v>381</v>
      </c>
      <c r="N144" s="90">
        <v>9.4</v>
      </c>
      <c r="O144" s="27">
        <f>IFERROR(+VLOOKUP(M144,D.sign_Lista_Data[[RESPONSABLE]:[SOFTWARE 
VALOR HORA]],3,FALSE),"0")</f>
        <v>20263.424518743668</v>
      </c>
      <c r="P144" s="3">
        <f t="shared" si="4"/>
        <v>190476.19047619047</v>
      </c>
      <c r="Q144" s="11">
        <f>IFERROR(+VLOOKUP(M144,D.sign_Lista_Data[[RESPONSABLE]:[SOFTWARE 
VALOR HORA]],5,FALSE)*D.sign_Data[[#This Row],[TIEMPO (HORAS)]],0)</f>
        <v>39682.539682539682</v>
      </c>
      <c r="R144" s="42">
        <f>IFERROR(+VLOOKUP(M144,D.sign_Lista_Data[[RESPONSABLE]:[SOFTWARE 
VALOR HORA]],8,FALSE)*D.sign_Data[[#This Row],[TIEMPO (HORAS)]],0)</f>
        <v>32062.035939153444</v>
      </c>
      <c r="S144" s="99">
        <v>0</v>
      </c>
      <c r="T144" s="99">
        <v>0</v>
      </c>
      <c r="U144" s="3">
        <f t="shared" si="5"/>
        <v>262220.76609788358</v>
      </c>
      <c r="V144" s="100">
        <f>D.sign_Data[[#This Row],[TIEMPO (HORAS)]]*Gastos_Operativos[[#Totals],[GASTOS HORA]]</f>
        <v>261221.08447971777</v>
      </c>
      <c r="W144" s="3">
        <f>+D.sign_Data[[#This Row],[COSTO 
DIRECTO ($COP)]]+D.sign_Data[[#This Row],[PRORRATEO GASTOS ($COP)]]</f>
        <v>523441.85057760135</v>
      </c>
      <c r="X144" s="101">
        <v>0.05</v>
      </c>
      <c r="Y144" s="15">
        <f>+D.sign_Data[[#This Row],[COSTOS OPERACIONALES ($COP)]]*D.sign_Data[[#This Row],[DESFASE (%)]]</f>
        <v>26172.092528880068</v>
      </c>
      <c r="Z144" s="101">
        <v>0.15</v>
      </c>
      <c r="AA144" s="15">
        <f>+((D.sign_Data[[#This Row],[COSTOS OPERACIONALES ($COP)]]/(100%-D.sign_Data[[#This Row],[UTILIDAD (%)]])))-D.sign_Data[[#This Row],[COSTOS OPERACIONALES ($COP)]]</f>
        <v>92372.091278400272</v>
      </c>
      <c r="AB144" s="3">
        <f>+D.sign_Data[[#This Row],[COSTOS OPERACIONALES ($COP)]]+D.sign_Data[[#This Row],[DESFASE ($COP)]]+D.sign_Data[[#This Row],[UTILIDAD ($COP)]]</f>
        <v>641986.03438488173</v>
      </c>
      <c r="AC144" s="101">
        <v>0.05</v>
      </c>
      <c r="AD144" s="15">
        <f>+D.sign_Data[[#This Row],[VALOR NETO ($COP)]]/(100%-D.sign_Data[[#This Row],[MARGEN DE NEGOCIACIÓN (%)]])-D.sign_Data[[#This Row],[VALOR NETO ($COP)]]</f>
        <v>33788.738651835942</v>
      </c>
      <c r="AE144" s="15">
        <f>+(D.sign_Data[[#This Row],[VALOR NETO ($COP)]]+D.sign_Data[[#This Row],[NEGOCIACIÓN ($COP)]])*1%</f>
        <v>6757.7477303671767</v>
      </c>
      <c r="AF144" s="15">
        <f>+(D.sign_Data[[#This Row],[VALOR NETO ($COP)]]+D.sign_Data[[#This Row],[NEGOCIACIÓN ($COP)]])*1%</f>
        <v>6757.7477303671767</v>
      </c>
      <c r="AG144" s="3">
        <f>+D.sign_Data[[#This Row],[VALOR NETO ($COP)]]+D.sign_Data[[#This Row],[NEGOCIACIÓN ($COP)]]+D.sign_Data[[#This Row],[ICA ($COP)]]+D.sign_Data[[#This Row],[4 * 1000 ($COP)]]</f>
        <v>689290.26849745191</v>
      </c>
    </row>
    <row r="145" spans="1:33" ht="60" hidden="1" customHeight="1" x14ac:dyDescent="0.25">
      <c r="A145" s="14"/>
      <c r="B145" s="87" t="s">
        <v>442</v>
      </c>
      <c r="C145" s="182" t="s">
        <v>531</v>
      </c>
      <c r="D145" s="189" t="str">
        <f>VLOOKUP(D.sign_Data[[#This Row],[CÓDIGO]],Descripciones[[CÓDIGO]:[NOMBRE DE SERVICIO]],3,FALSE)</f>
        <v>D1. Parcelaciones y Condominios</v>
      </c>
      <c r="E145" s="87" t="s">
        <v>497</v>
      </c>
      <c r="F145" s="88" t="s">
        <v>532</v>
      </c>
      <c r="G145" s="88" t="s">
        <v>533</v>
      </c>
      <c r="H145" s="87" t="s">
        <v>448</v>
      </c>
      <c r="I145" s="89">
        <v>1</v>
      </c>
      <c r="J145" s="88" t="s">
        <v>511</v>
      </c>
      <c r="K145" s="102"/>
      <c r="L145" s="88" t="s">
        <v>519</v>
      </c>
      <c r="M145" s="89" t="s">
        <v>381</v>
      </c>
      <c r="N145" s="90">
        <v>0.3</v>
      </c>
      <c r="O145" s="27">
        <f>IFERROR(+VLOOKUP(M145,D.sign_Lista_Data[[RESPONSABLE]:[SOFTWARE 
VALOR HORA]],3,FALSE),"0")</f>
        <v>20263.424518743668</v>
      </c>
      <c r="P145" s="3">
        <f t="shared" si="4"/>
        <v>6079.0273556231004</v>
      </c>
      <c r="Q145" s="11">
        <f>IFERROR(+VLOOKUP(M145,D.sign_Lista_Data[[RESPONSABLE]:[SOFTWARE 
VALOR HORA]],5,FALSE)*D.sign_Data[[#This Row],[TIEMPO (HORAS)]],0)</f>
        <v>1266.464032421479</v>
      </c>
      <c r="R145" s="42">
        <f>IFERROR(+VLOOKUP(M145,D.sign_Lista_Data[[RESPONSABLE]:[SOFTWARE 
VALOR HORA]],8,FALSE)*D.sign_Data[[#This Row],[TIEMPO (HORAS)]],0)</f>
        <v>1023.256466143195</v>
      </c>
      <c r="S145" s="99">
        <v>0</v>
      </c>
      <c r="T145" s="99">
        <v>0</v>
      </c>
      <c r="U145" s="3">
        <f t="shared" si="5"/>
        <v>8368.7478541877736</v>
      </c>
      <c r="V145" s="100">
        <f>D.sign_Data[[#This Row],[TIEMPO (HORAS)]]*Gastos_Operativos[[#Totals],[GASTOS HORA]]</f>
        <v>8336.8431216931203</v>
      </c>
      <c r="W145" s="3">
        <f>+D.sign_Data[[#This Row],[COSTO 
DIRECTO ($COP)]]+D.sign_Data[[#This Row],[PRORRATEO GASTOS ($COP)]]</f>
        <v>16705.590975880892</v>
      </c>
      <c r="X145" s="101">
        <v>0.05</v>
      </c>
      <c r="Y145" s="15">
        <f>+D.sign_Data[[#This Row],[COSTOS OPERACIONALES ($COP)]]*D.sign_Data[[#This Row],[DESFASE (%)]]</f>
        <v>835.27954879404467</v>
      </c>
      <c r="Z145" s="101">
        <v>0.15</v>
      </c>
      <c r="AA145" s="15">
        <f>+((D.sign_Data[[#This Row],[COSTOS OPERACIONALES ($COP)]]/(100%-D.sign_Data[[#This Row],[UTILIDAD (%)]])))-D.sign_Data[[#This Row],[COSTOS OPERACIONALES ($COP)]]</f>
        <v>2948.0454663319215</v>
      </c>
      <c r="AB145" s="3">
        <f>+D.sign_Data[[#This Row],[COSTOS OPERACIONALES ($COP)]]+D.sign_Data[[#This Row],[DESFASE ($COP)]]+D.sign_Data[[#This Row],[UTILIDAD ($COP)]]</f>
        <v>20488.915991006859</v>
      </c>
      <c r="AC145" s="101">
        <v>0.05</v>
      </c>
      <c r="AD145" s="15">
        <f>+D.sign_Data[[#This Row],[VALOR NETO ($COP)]]/(100%-D.sign_Data[[#This Row],[MARGEN DE NEGOCIACIÓN (%)]])-D.sign_Data[[#This Row],[VALOR NETO ($COP)]]</f>
        <v>1078.3639995266785</v>
      </c>
      <c r="AE145" s="15">
        <f>+(D.sign_Data[[#This Row],[VALOR NETO ($COP)]]+D.sign_Data[[#This Row],[NEGOCIACIÓN ($COP)]])*1%</f>
        <v>215.67279990533538</v>
      </c>
      <c r="AF145" s="15">
        <f>+(D.sign_Data[[#This Row],[VALOR NETO ($COP)]]+D.sign_Data[[#This Row],[NEGOCIACIÓN ($COP)]])*1%</f>
        <v>215.67279990533538</v>
      </c>
      <c r="AG145" s="3">
        <f>+D.sign_Data[[#This Row],[VALOR NETO ($COP)]]+D.sign_Data[[#This Row],[NEGOCIACIÓN ($COP)]]+D.sign_Data[[#This Row],[ICA ($COP)]]+D.sign_Data[[#This Row],[4 * 1000 ($COP)]]</f>
        <v>21998.625590344211</v>
      </c>
    </row>
    <row r="146" spans="1:33" ht="60" hidden="1" customHeight="1" x14ac:dyDescent="0.25">
      <c r="A146" s="14"/>
      <c r="B146" s="87" t="s">
        <v>493</v>
      </c>
      <c r="C146" s="182" t="s">
        <v>534</v>
      </c>
      <c r="D146" s="189" t="str">
        <f>VLOOKUP(D.sign_Data[[#This Row],[CÓDIGO]],Descripciones[[CÓDIGO]:[NOMBRE DE SERVICIO]],3,FALSE)</f>
        <v>D1. Parcelaciones y Condominios</v>
      </c>
      <c r="E146" s="87" t="s">
        <v>420</v>
      </c>
      <c r="F146" s="88" t="s">
        <v>535</v>
      </c>
      <c r="G146" s="88" t="s">
        <v>536</v>
      </c>
      <c r="H146" s="104" t="s">
        <v>537</v>
      </c>
      <c r="I146" s="89">
        <v>1</v>
      </c>
      <c r="J146" s="88" t="s">
        <v>538</v>
      </c>
      <c r="K146" s="102"/>
      <c r="L146" s="88" t="s">
        <v>539</v>
      </c>
      <c r="M146" s="89" t="s">
        <v>381</v>
      </c>
      <c r="N146" s="90">
        <v>0.5</v>
      </c>
      <c r="O146" s="27">
        <f>IFERROR(+VLOOKUP(M146,D.sign_Lista_Data[[RESPONSABLE]:[SOFTWARE 
VALOR HORA]],3,FALSE),"0")</f>
        <v>20263.424518743668</v>
      </c>
      <c r="P146" s="3">
        <f t="shared" si="4"/>
        <v>10131.712259371834</v>
      </c>
      <c r="Q146" s="11">
        <f>IFERROR(+VLOOKUP(M146,D.sign_Lista_Data[[RESPONSABLE]:[SOFTWARE 
VALOR HORA]],5,FALSE)*D.sign_Data[[#This Row],[TIEMPO (HORAS)]],0)</f>
        <v>2110.7733873691318</v>
      </c>
      <c r="R146" s="42">
        <f>IFERROR(+VLOOKUP(M146,D.sign_Lista_Data[[RESPONSABLE]:[SOFTWARE 
VALOR HORA]],8,FALSE)*D.sign_Data[[#This Row],[TIEMPO (HORAS)]],0)</f>
        <v>1705.4274435719917</v>
      </c>
      <c r="S146" s="99">
        <v>0</v>
      </c>
      <c r="T146" s="99">
        <v>0</v>
      </c>
      <c r="U146" s="3">
        <f t="shared" si="5"/>
        <v>13947.913090312959</v>
      </c>
      <c r="V146" s="100">
        <f>D.sign_Data[[#This Row],[TIEMPO (HORAS)]]*Gastos_Operativos[[#Totals],[GASTOS HORA]]</f>
        <v>13894.738536155201</v>
      </c>
      <c r="W146" s="3">
        <f>+D.sign_Data[[#This Row],[COSTO 
DIRECTO ($COP)]]+D.sign_Data[[#This Row],[PRORRATEO GASTOS ($COP)]]</f>
        <v>27842.65162646816</v>
      </c>
      <c r="X146" s="101">
        <v>0.1</v>
      </c>
      <c r="Y146" s="15">
        <f>+D.sign_Data[[#This Row],[COSTOS OPERACIONALES ($COP)]]*D.sign_Data[[#This Row],[DESFASE (%)]]</f>
        <v>2784.265162646816</v>
      </c>
      <c r="Z146" s="101">
        <v>0.3</v>
      </c>
      <c r="AA146" s="15">
        <f>+((D.sign_Data[[#This Row],[COSTOS OPERACIONALES ($COP)]]/(100%-D.sign_Data[[#This Row],[UTILIDAD (%)]])))-D.sign_Data[[#This Row],[COSTOS OPERACIONALES ($COP)]]</f>
        <v>11932.564982772074</v>
      </c>
      <c r="AB146" s="3">
        <f>+D.sign_Data[[#This Row],[COSTOS OPERACIONALES ($COP)]]+D.sign_Data[[#This Row],[DESFASE ($COP)]]+D.sign_Data[[#This Row],[UTILIDAD ($COP)]]</f>
        <v>42559.481771887047</v>
      </c>
      <c r="AC146" s="101">
        <v>0.05</v>
      </c>
      <c r="AD146" s="15">
        <f>+D.sign_Data[[#This Row],[VALOR NETO ($COP)]]/(100%-D.sign_Data[[#This Row],[MARGEN DE NEGOCIACIÓN (%)]])-D.sign_Data[[#This Row],[VALOR NETO ($COP)]]</f>
        <v>2239.9727248361596</v>
      </c>
      <c r="AE146" s="15">
        <f>+(D.sign_Data[[#This Row],[VALOR NETO ($COP)]]+D.sign_Data[[#This Row],[NEGOCIACIÓN ($COP)]])*1%</f>
        <v>447.99454496723206</v>
      </c>
      <c r="AF146" s="15">
        <f>+(D.sign_Data[[#This Row],[VALOR NETO ($COP)]]+D.sign_Data[[#This Row],[NEGOCIACIÓN ($COP)]])*1%</f>
        <v>447.99454496723206</v>
      </c>
      <c r="AG146" s="3">
        <f>+D.sign_Data[[#This Row],[VALOR NETO ($COP)]]+D.sign_Data[[#This Row],[NEGOCIACIÓN ($COP)]]+D.sign_Data[[#This Row],[ICA ($COP)]]+D.sign_Data[[#This Row],[4 * 1000 ($COP)]]</f>
        <v>45695.443586657668</v>
      </c>
    </row>
    <row r="147" spans="1:33" ht="60" hidden="1" customHeight="1" x14ac:dyDescent="0.25">
      <c r="A147" s="14"/>
      <c r="B147" s="87" t="s">
        <v>493</v>
      </c>
      <c r="C147" s="182" t="s">
        <v>534</v>
      </c>
      <c r="D147" s="189" t="str">
        <f>VLOOKUP(D.sign_Data[[#This Row],[CÓDIGO]],Descripciones[[CÓDIGO]:[NOMBRE DE SERVICIO]],3,FALSE)</f>
        <v>D1. Parcelaciones y Condominios</v>
      </c>
      <c r="E147" s="87" t="s">
        <v>420</v>
      </c>
      <c r="F147" s="88" t="s">
        <v>535</v>
      </c>
      <c r="G147" s="88" t="s">
        <v>536</v>
      </c>
      <c r="H147" s="104" t="s">
        <v>537</v>
      </c>
      <c r="I147" s="89">
        <v>1</v>
      </c>
      <c r="J147" s="88" t="s">
        <v>538</v>
      </c>
      <c r="K147" s="102"/>
      <c r="L147" s="88" t="s">
        <v>540</v>
      </c>
      <c r="M147" s="89" t="s">
        <v>381</v>
      </c>
      <c r="N147" s="90">
        <v>0.1</v>
      </c>
      <c r="O147" s="27">
        <f>IFERROR(+VLOOKUP(M147,D.sign_Lista_Data[[RESPONSABLE]:[SOFTWARE 
VALOR HORA]],3,FALSE),"0")</f>
        <v>20263.424518743668</v>
      </c>
      <c r="P147" s="3">
        <f t="shared" si="4"/>
        <v>2026.3424518743668</v>
      </c>
      <c r="Q147" s="11">
        <f>IFERROR(+VLOOKUP(M147,D.sign_Lista_Data[[RESPONSABLE]:[SOFTWARE 
VALOR HORA]],5,FALSE)*D.sign_Data[[#This Row],[TIEMPO (HORAS)]],0)</f>
        <v>422.15467747382638</v>
      </c>
      <c r="R147" s="42">
        <f>IFERROR(+VLOOKUP(M147,D.sign_Lista_Data[[RESPONSABLE]:[SOFTWARE 
VALOR HORA]],8,FALSE)*D.sign_Data[[#This Row],[TIEMPO (HORAS)]],0)</f>
        <v>341.08548871439837</v>
      </c>
      <c r="S147" s="99">
        <v>0</v>
      </c>
      <c r="T147" s="99">
        <v>0</v>
      </c>
      <c r="U147" s="3">
        <f t="shared" si="5"/>
        <v>2789.5826180625913</v>
      </c>
      <c r="V147" s="100">
        <f>D.sign_Data[[#This Row],[TIEMPO (HORAS)]]*Gastos_Operativos[[#Totals],[GASTOS HORA]]</f>
        <v>2778.9477072310401</v>
      </c>
      <c r="W147" s="3">
        <f>+D.sign_Data[[#This Row],[COSTO 
DIRECTO ($COP)]]+D.sign_Data[[#This Row],[PRORRATEO GASTOS ($COP)]]</f>
        <v>5568.5303252936319</v>
      </c>
      <c r="X147" s="101">
        <v>0.1</v>
      </c>
      <c r="Y147" s="15">
        <f>+D.sign_Data[[#This Row],[COSTOS OPERACIONALES ($COP)]]*D.sign_Data[[#This Row],[DESFASE (%)]]</f>
        <v>556.85303252936319</v>
      </c>
      <c r="Z147" s="101">
        <v>0.3</v>
      </c>
      <c r="AA147" s="15">
        <f>+((D.sign_Data[[#This Row],[COSTOS OPERACIONALES ($COP)]]/(100%-D.sign_Data[[#This Row],[UTILIDAD (%)]])))-D.sign_Data[[#This Row],[COSTOS OPERACIONALES ($COP)]]</f>
        <v>2386.5129965544138</v>
      </c>
      <c r="AB147" s="3">
        <f>+D.sign_Data[[#This Row],[COSTOS OPERACIONALES ($COP)]]+D.sign_Data[[#This Row],[DESFASE ($COP)]]+D.sign_Data[[#This Row],[UTILIDAD ($COP)]]</f>
        <v>8511.896354377408</v>
      </c>
      <c r="AC147" s="101">
        <v>0.05</v>
      </c>
      <c r="AD147" s="15">
        <f>+D.sign_Data[[#This Row],[VALOR NETO ($COP)]]/(100%-D.sign_Data[[#This Row],[MARGEN DE NEGOCIACIÓN (%)]])-D.sign_Data[[#This Row],[VALOR NETO ($COP)]]</f>
        <v>447.99454496723229</v>
      </c>
      <c r="AE147" s="15">
        <f>+(D.sign_Data[[#This Row],[VALOR NETO ($COP)]]+D.sign_Data[[#This Row],[NEGOCIACIÓN ($COP)]])*1%</f>
        <v>89.5989089934464</v>
      </c>
      <c r="AF147" s="15">
        <f>+(D.sign_Data[[#This Row],[VALOR NETO ($COP)]]+D.sign_Data[[#This Row],[NEGOCIACIÓN ($COP)]])*1%</f>
        <v>89.5989089934464</v>
      </c>
      <c r="AG147" s="3">
        <f>+D.sign_Data[[#This Row],[VALOR NETO ($COP)]]+D.sign_Data[[#This Row],[NEGOCIACIÓN ($COP)]]+D.sign_Data[[#This Row],[ICA ($COP)]]+D.sign_Data[[#This Row],[4 * 1000 ($COP)]]</f>
        <v>9139.0887173315332</v>
      </c>
    </row>
    <row r="148" spans="1:33" ht="60" hidden="1" customHeight="1" x14ac:dyDescent="0.25">
      <c r="A148" s="14"/>
      <c r="B148" s="87" t="s">
        <v>493</v>
      </c>
      <c r="C148" s="182" t="s">
        <v>534</v>
      </c>
      <c r="D148" s="189" t="str">
        <f>VLOOKUP(D.sign_Data[[#This Row],[CÓDIGO]],Descripciones[[CÓDIGO]:[NOMBRE DE SERVICIO]],3,FALSE)</f>
        <v>D1. Parcelaciones y Condominios</v>
      </c>
      <c r="E148" s="87" t="s">
        <v>420</v>
      </c>
      <c r="F148" s="88" t="s">
        <v>535</v>
      </c>
      <c r="G148" s="88" t="s">
        <v>536</v>
      </c>
      <c r="H148" s="104" t="s">
        <v>537</v>
      </c>
      <c r="I148" s="89">
        <v>1</v>
      </c>
      <c r="J148" s="88" t="s">
        <v>541</v>
      </c>
      <c r="K148" s="102"/>
      <c r="L148" s="88" t="s">
        <v>542</v>
      </c>
      <c r="M148" s="89" t="s">
        <v>381</v>
      </c>
      <c r="N148" s="90">
        <v>9.6</v>
      </c>
      <c r="O148" s="27">
        <f>IFERROR(+VLOOKUP(M148,D.sign_Lista_Data[[RESPONSABLE]:[SOFTWARE 
VALOR HORA]],3,FALSE),"0")</f>
        <v>20263.424518743668</v>
      </c>
      <c r="P148" s="3">
        <f t="shared" si="4"/>
        <v>194528.87537993921</v>
      </c>
      <c r="Q148" s="11">
        <f>IFERROR(+VLOOKUP(M148,D.sign_Lista_Data[[RESPONSABLE]:[SOFTWARE 
VALOR HORA]],5,FALSE)*D.sign_Data[[#This Row],[TIEMPO (HORAS)]],0)</f>
        <v>40526.849037487329</v>
      </c>
      <c r="R148" s="42">
        <f>IFERROR(+VLOOKUP(M148,D.sign_Lista_Data[[RESPONSABLE]:[SOFTWARE 
VALOR HORA]],8,FALSE)*D.sign_Data[[#This Row],[TIEMPO (HORAS)]],0)</f>
        <v>32744.20691658224</v>
      </c>
      <c r="S148" s="99">
        <v>0</v>
      </c>
      <c r="T148" s="99">
        <v>0</v>
      </c>
      <c r="U148" s="3">
        <f t="shared" si="5"/>
        <v>267799.93133400875</v>
      </c>
      <c r="V148" s="100">
        <f>D.sign_Data[[#This Row],[TIEMPO (HORAS)]]*Gastos_Operativos[[#Totals],[GASTOS HORA]]</f>
        <v>266778.97989417985</v>
      </c>
      <c r="W148" s="3">
        <f>+D.sign_Data[[#This Row],[COSTO 
DIRECTO ($COP)]]+D.sign_Data[[#This Row],[PRORRATEO GASTOS ($COP)]]</f>
        <v>534578.91122818855</v>
      </c>
      <c r="X148" s="101">
        <v>0.1</v>
      </c>
      <c r="Y148" s="15">
        <f>+D.sign_Data[[#This Row],[COSTOS OPERACIONALES ($COP)]]*D.sign_Data[[#This Row],[DESFASE (%)]]</f>
        <v>53457.891122818859</v>
      </c>
      <c r="Z148" s="101">
        <v>0.3</v>
      </c>
      <c r="AA148" s="15">
        <f>+((D.sign_Data[[#This Row],[COSTOS OPERACIONALES ($COP)]]/(100%-D.sign_Data[[#This Row],[UTILIDAD (%)]])))-D.sign_Data[[#This Row],[COSTOS OPERACIONALES ($COP)]]</f>
        <v>229105.2476692237</v>
      </c>
      <c r="AB148" s="3">
        <f>+D.sign_Data[[#This Row],[COSTOS OPERACIONALES ($COP)]]+D.sign_Data[[#This Row],[DESFASE ($COP)]]+D.sign_Data[[#This Row],[UTILIDAD ($COP)]]</f>
        <v>817142.05002023105</v>
      </c>
      <c r="AC148" s="101">
        <v>0.05</v>
      </c>
      <c r="AD148" s="15">
        <f>+D.sign_Data[[#This Row],[VALOR NETO ($COP)]]/(100%-D.sign_Data[[#This Row],[MARGEN DE NEGOCIACIÓN (%)]])-D.sign_Data[[#This Row],[VALOR NETO ($COP)]]</f>
        <v>43007.476316854358</v>
      </c>
      <c r="AE148" s="15">
        <f>+(D.sign_Data[[#This Row],[VALOR NETO ($COP)]]+D.sign_Data[[#This Row],[NEGOCIACIÓN ($COP)]])*1%</f>
        <v>8601.4952633708544</v>
      </c>
      <c r="AF148" s="15">
        <f>+(D.sign_Data[[#This Row],[VALOR NETO ($COP)]]+D.sign_Data[[#This Row],[NEGOCIACIÓN ($COP)]])*1%</f>
        <v>8601.4952633708544</v>
      </c>
      <c r="AG148" s="3">
        <f>+D.sign_Data[[#This Row],[VALOR NETO ($COP)]]+D.sign_Data[[#This Row],[NEGOCIACIÓN ($COP)]]+D.sign_Data[[#This Row],[ICA ($COP)]]+D.sign_Data[[#This Row],[4 * 1000 ($COP)]]</f>
        <v>877352.51686382701</v>
      </c>
    </row>
    <row r="149" spans="1:33" ht="60" hidden="1" customHeight="1" x14ac:dyDescent="0.25">
      <c r="A149" s="14"/>
      <c r="B149" s="87" t="s">
        <v>493</v>
      </c>
      <c r="C149" s="182" t="s">
        <v>534</v>
      </c>
      <c r="D149" s="189" t="str">
        <f>VLOOKUP(D.sign_Data[[#This Row],[CÓDIGO]],Descripciones[[CÓDIGO]:[NOMBRE DE SERVICIO]],3,FALSE)</f>
        <v>D1. Parcelaciones y Condominios</v>
      </c>
      <c r="E149" s="87" t="s">
        <v>420</v>
      </c>
      <c r="F149" s="88" t="s">
        <v>535</v>
      </c>
      <c r="G149" s="88" t="s">
        <v>536</v>
      </c>
      <c r="H149" s="104" t="s">
        <v>537</v>
      </c>
      <c r="I149" s="89">
        <v>1</v>
      </c>
      <c r="J149" s="88" t="s">
        <v>541</v>
      </c>
      <c r="K149" s="102"/>
      <c r="L149" s="88" t="s">
        <v>543</v>
      </c>
      <c r="M149" s="89" t="s">
        <v>381</v>
      </c>
      <c r="N149" s="90">
        <v>9.6</v>
      </c>
      <c r="O149" s="27">
        <f>IFERROR(+VLOOKUP(M149,D.sign_Lista_Data[[RESPONSABLE]:[SOFTWARE 
VALOR HORA]],3,FALSE),"0")</f>
        <v>20263.424518743668</v>
      </c>
      <c r="P149" s="3">
        <f t="shared" si="4"/>
        <v>194528.87537993921</v>
      </c>
      <c r="Q149" s="11">
        <f>IFERROR(+VLOOKUP(M149,D.sign_Lista_Data[[RESPONSABLE]:[SOFTWARE 
VALOR HORA]],5,FALSE)*D.sign_Data[[#This Row],[TIEMPO (HORAS)]],0)</f>
        <v>40526.849037487329</v>
      </c>
      <c r="R149" s="42">
        <f>IFERROR(+VLOOKUP(M149,D.sign_Lista_Data[[RESPONSABLE]:[SOFTWARE 
VALOR HORA]],8,FALSE)*D.sign_Data[[#This Row],[TIEMPO (HORAS)]],0)</f>
        <v>32744.20691658224</v>
      </c>
      <c r="S149" s="99">
        <v>0</v>
      </c>
      <c r="T149" s="99">
        <v>0</v>
      </c>
      <c r="U149" s="3">
        <f t="shared" si="5"/>
        <v>267799.93133400875</v>
      </c>
      <c r="V149" s="100">
        <f>D.sign_Data[[#This Row],[TIEMPO (HORAS)]]*Gastos_Operativos[[#Totals],[GASTOS HORA]]</f>
        <v>266778.97989417985</v>
      </c>
      <c r="W149" s="3">
        <f>+D.sign_Data[[#This Row],[COSTO 
DIRECTO ($COP)]]+D.sign_Data[[#This Row],[PRORRATEO GASTOS ($COP)]]</f>
        <v>534578.91122818855</v>
      </c>
      <c r="X149" s="101">
        <v>0.1</v>
      </c>
      <c r="Y149" s="15">
        <f>+D.sign_Data[[#This Row],[COSTOS OPERACIONALES ($COP)]]*D.sign_Data[[#This Row],[DESFASE (%)]]</f>
        <v>53457.891122818859</v>
      </c>
      <c r="Z149" s="101">
        <v>0.3</v>
      </c>
      <c r="AA149" s="15">
        <f>+((D.sign_Data[[#This Row],[COSTOS OPERACIONALES ($COP)]]/(100%-D.sign_Data[[#This Row],[UTILIDAD (%)]])))-D.sign_Data[[#This Row],[COSTOS OPERACIONALES ($COP)]]</f>
        <v>229105.2476692237</v>
      </c>
      <c r="AB149" s="3">
        <f>+D.sign_Data[[#This Row],[COSTOS OPERACIONALES ($COP)]]+D.sign_Data[[#This Row],[DESFASE ($COP)]]+D.sign_Data[[#This Row],[UTILIDAD ($COP)]]</f>
        <v>817142.05002023105</v>
      </c>
      <c r="AC149" s="101">
        <v>0.05</v>
      </c>
      <c r="AD149" s="15">
        <f>+D.sign_Data[[#This Row],[VALOR NETO ($COP)]]/(100%-D.sign_Data[[#This Row],[MARGEN DE NEGOCIACIÓN (%)]])-D.sign_Data[[#This Row],[VALOR NETO ($COP)]]</f>
        <v>43007.476316854358</v>
      </c>
      <c r="AE149" s="15">
        <f>+(D.sign_Data[[#This Row],[VALOR NETO ($COP)]]+D.sign_Data[[#This Row],[NEGOCIACIÓN ($COP)]])*1%</f>
        <v>8601.4952633708544</v>
      </c>
      <c r="AF149" s="15">
        <f>+(D.sign_Data[[#This Row],[VALOR NETO ($COP)]]+D.sign_Data[[#This Row],[NEGOCIACIÓN ($COP)]])*1%</f>
        <v>8601.4952633708544</v>
      </c>
      <c r="AG149" s="3">
        <f>+D.sign_Data[[#This Row],[VALOR NETO ($COP)]]+D.sign_Data[[#This Row],[NEGOCIACIÓN ($COP)]]+D.sign_Data[[#This Row],[ICA ($COP)]]+D.sign_Data[[#This Row],[4 * 1000 ($COP)]]</f>
        <v>877352.51686382701</v>
      </c>
    </row>
    <row r="150" spans="1:33" ht="60" hidden="1" customHeight="1" x14ac:dyDescent="0.25">
      <c r="A150" s="14"/>
      <c r="B150" s="87" t="s">
        <v>493</v>
      </c>
      <c r="C150" s="182" t="s">
        <v>534</v>
      </c>
      <c r="D150" s="189" t="str">
        <f>VLOOKUP(D.sign_Data[[#This Row],[CÓDIGO]],Descripciones[[CÓDIGO]:[NOMBRE DE SERVICIO]],3,FALSE)</f>
        <v>D1. Parcelaciones y Condominios</v>
      </c>
      <c r="E150" s="87" t="s">
        <v>420</v>
      </c>
      <c r="F150" s="88" t="s">
        <v>535</v>
      </c>
      <c r="G150" s="88" t="s">
        <v>536</v>
      </c>
      <c r="H150" s="104" t="s">
        <v>537</v>
      </c>
      <c r="I150" s="89">
        <v>1</v>
      </c>
      <c r="J150" s="88" t="s">
        <v>541</v>
      </c>
      <c r="K150" s="102"/>
      <c r="L150" s="88" t="s">
        <v>544</v>
      </c>
      <c r="M150" s="89" t="s">
        <v>381</v>
      </c>
      <c r="N150" s="90">
        <v>9.6</v>
      </c>
      <c r="O150" s="27">
        <f>IFERROR(+VLOOKUP(M150,D.sign_Lista_Data[[RESPONSABLE]:[SOFTWARE 
VALOR HORA]],3,FALSE),"0")</f>
        <v>20263.424518743668</v>
      </c>
      <c r="P150" s="3">
        <f t="shared" si="4"/>
        <v>194528.87537993921</v>
      </c>
      <c r="Q150" s="11">
        <f>IFERROR(+VLOOKUP(M150,D.sign_Lista_Data[[RESPONSABLE]:[SOFTWARE 
VALOR HORA]],5,FALSE)*D.sign_Data[[#This Row],[TIEMPO (HORAS)]],0)</f>
        <v>40526.849037487329</v>
      </c>
      <c r="R150" s="42">
        <f>IFERROR(+VLOOKUP(M150,D.sign_Lista_Data[[RESPONSABLE]:[SOFTWARE 
VALOR HORA]],8,FALSE)*D.sign_Data[[#This Row],[TIEMPO (HORAS)]],0)</f>
        <v>32744.20691658224</v>
      </c>
      <c r="S150" s="99">
        <v>0</v>
      </c>
      <c r="T150" s="99">
        <v>0</v>
      </c>
      <c r="U150" s="3">
        <f t="shared" si="5"/>
        <v>267799.93133400875</v>
      </c>
      <c r="V150" s="100">
        <f>D.sign_Data[[#This Row],[TIEMPO (HORAS)]]*Gastos_Operativos[[#Totals],[GASTOS HORA]]</f>
        <v>266778.97989417985</v>
      </c>
      <c r="W150" s="3">
        <f>+D.sign_Data[[#This Row],[COSTO 
DIRECTO ($COP)]]+D.sign_Data[[#This Row],[PRORRATEO GASTOS ($COP)]]</f>
        <v>534578.91122818855</v>
      </c>
      <c r="X150" s="101">
        <v>0.1</v>
      </c>
      <c r="Y150" s="15">
        <f>+D.sign_Data[[#This Row],[COSTOS OPERACIONALES ($COP)]]*D.sign_Data[[#This Row],[DESFASE (%)]]</f>
        <v>53457.891122818859</v>
      </c>
      <c r="Z150" s="101">
        <v>0.3</v>
      </c>
      <c r="AA150" s="15">
        <f>+((D.sign_Data[[#This Row],[COSTOS OPERACIONALES ($COP)]]/(100%-D.sign_Data[[#This Row],[UTILIDAD (%)]])))-D.sign_Data[[#This Row],[COSTOS OPERACIONALES ($COP)]]</f>
        <v>229105.2476692237</v>
      </c>
      <c r="AB150" s="3">
        <f>+D.sign_Data[[#This Row],[COSTOS OPERACIONALES ($COP)]]+D.sign_Data[[#This Row],[DESFASE ($COP)]]+D.sign_Data[[#This Row],[UTILIDAD ($COP)]]</f>
        <v>817142.05002023105</v>
      </c>
      <c r="AC150" s="101">
        <v>0.05</v>
      </c>
      <c r="AD150" s="15">
        <f>+D.sign_Data[[#This Row],[VALOR NETO ($COP)]]/(100%-D.sign_Data[[#This Row],[MARGEN DE NEGOCIACIÓN (%)]])-D.sign_Data[[#This Row],[VALOR NETO ($COP)]]</f>
        <v>43007.476316854358</v>
      </c>
      <c r="AE150" s="15">
        <f>+(D.sign_Data[[#This Row],[VALOR NETO ($COP)]]+D.sign_Data[[#This Row],[NEGOCIACIÓN ($COP)]])*1%</f>
        <v>8601.4952633708544</v>
      </c>
      <c r="AF150" s="15">
        <f>+(D.sign_Data[[#This Row],[VALOR NETO ($COP)]]+D.sign_Data[[#This Row],[NEGOCIACIÓN ($COP)]])*1%</f>
        <v>8601.4952633708544</v>
      </c>
      <c r="AG150" s="3">
        <f>+D.sign_Data[[#This Row],[VALOR NETO ($COP)]]+D.sign_Data[[#This Row],[NEGOCIACIÓN ($COP)]]+D.sign_Data[[#This Row],[ICA ($COP)]]+D.sign_Data[[#This Row],[4 * 1000 ($COP)]]</f>
        <v>877352.51686382701</v>
      </c>
    </row>
    <row r="151" spans="1:33" ht="60" hidden="1" customHeight="1" x14ac:dyDescent="0.25">
      <c r="A151" s="14"/>
      <c r="B151" s="87" t="s">
        <v>493</v>
      </c>
      <c r="C151" s="182" t="s">
        <v>534</v>
      </c>
      <c r="D151" s="189" t="str">
        <f>VLOOKUP(D.sign_Data[[#This Row],[CÓDIGO]],Descripciones[[CÓDIGO]:[NOMBRE DE SERVICIO]],3,FALSE)</f>
        <v>D1. Parcelaciones y Condominios</v>
      </c>
      <c r="E151" s="87" t="s">
        <v>420</v>
      </c>
      <c r="F151" s="88" t="s">
        <v>535</v>
      </c>
      <c r="G151" s="88" t="s">
        <v>536</v>
      </c>
      <c r="H151" s="104" t="s">
        <v>537</v>
      </c>
      <c r="I151" s="89">
        <v>1</v>
      </c>
      <c r="J151" s="88" t="s">
        <v>541</v>
      </c>
      <c r="K151" s="102"/>
      <c r="L151" s="88" t="s">
        <v>545</v>
      </c>
      <c r="M151" s="89" t="s">
        <v>381</v>
      </c>
      <c r="N151" s="90">
        <v>9.6</v>
      </c>
      <c r="O151" s="27">
        <f>IFERROR(+VLOOKUP(M151,D.sign_Lista_Data[[RESPONSABLE]:[SOFTWARE 
VALOR HORA]],3,FALSE),"0")</f>
        <v>20263.424518743668</v>
      </c>
      <c r="P151" s="3">
        <f t="shared" si="4"/>
        <v>194528.87537993921</v>
      </c>
      <c r="Q151" s="11">
        <f>IFERROR(+VLOOKUP(M151,D.sign_Lista_Data[[RESPONSABLE]:[SOFTWARE 
VALOR HORA]],5,FALSE)*D.sign_Data[[#This Row],[TIEMPO (HORAS)]],0)</f>
        <v>40526.849037487329</v>
      </c>
      <c r="R151" s="42">
        <f>IFERROR(+VLOOKUP(M151,D.sign_Lista_Data[[RESPONSABLE]:[SOFTWARE 
VALOR HORA]],8,FALSE)*D.sign_Data[[#This Row],[TIEMPO (HORAS)]],0)</f>
        <v>32744.20691658224</v>
      </c>
      <c r="S151" s="99">
        <v>0</v>
      </c>
      <c r="T151" s="99">
        <v>0</v>
      </c>
      <c r="U151" s="3">
        <f t="shared" si="5"/>
        <v>267799.93133400875</v>
      </c>
      <c r="V151" s="100">
        <f>D.sign_Data[[#This Row],[TIEMPO (HORAS)]]*Gastos_Operativos[[#Totals],[GASTOS HORA]]</f>
        <v>266778.97989417985</v>
      </c>
      <c r="W151" s="3">
        <f>+D.sign_Data[[#This Row],[COSTO 
DIRECTO ($COP)]]+D.sign_Data[[#This Row],[PRORRATEO GASTOS ($COP)]]</f>
        <v>534578.91122818855</v>
      </c>
      <c r="X151" s="101">
        <v>0.1</v>
      </c>
      <c r="Y151" s="15">
        <f>+D.sign_Data[[#This Row],[COSTOS OPERACIONALES ($COP)]]*D.sign_Data[[#This Row],[DESFASE (%)]]</f>
        <v>53457.891122818859</v>
      </c>
      <c r="Z151" s="101">
        <v>0.3</v>
      </c>
      <c r="AA151" s="15">
        <f>+((D.sign_Data[[#This Row],[COSTOS OPERACIONALES ($COP)]]/(100%-D.sign_Data[[#This Row],[UTILIDAD (%)]])))-D.sign_Data[[#This Row],[COSTOS OPERACIONALES ($COP)]]</f>
        <v>229105.2476692237</v>
      </c>
      <c r="AB151" s="3">
        <f>+D.sign_Data[[#This Row],[COSTOS OPERACIONALES ($COP)]]+D.sign_Data[[#This Row],[DESFASE ($COP)]]+D.sign_Data[[#This Row],[UTILIDAD ($COP)]]</f>
        <v>817142.05002023105</v>
      </c>
      <c r="AC151" s="101">
        <v>0.05</v>
      </c>
      <c r="AD151" s="15">
        <f>+D.sign_Data[[#This Row],[VALOR NETO ($COP)]]/(100%-D.sign_Data[[#This Row],[MARGEN DE NEGOCIACIÓN (%)]])-D.sign_Data[[#This Row],[VALOR NETO ($COP)]]</f>
        <v>43007.476316854358</v>
      </c>
      <c r="AE151" s="15">
        <f>+(D.sign_Data[[#This Row],[VALOR NETO ($COP)]]+D.sign_Data[[#This Row],[NEGOCIACIÓN ($COP)]])*1%</f>
        <v>8601.4952633708544</v>
      </c>
      <c r="AF151" s="15">
        <f>+(D.sign_Data[[#This Row],[VALOR NETO ($COP)]]+D.sign_Data[[#This Row],[NEGOCIACIÓN ($COP)]])*1%</f>
        <v>8601.4952633708544</v>
      </c>
      <c r="AG151" s="3">
        <f>+D.sign_Data[[#This Row],[VALOR NETO ($COP)]]+D.sign_Data[[#This Row],[NEGOCIACIÓN ($COP)]]+D.sign_Data[[#This Row],[ICA ($COP)]]+D.sign_Data[[#This Row],[4 * 1000 ($COP)]]</f>
        <v>877352.51686382701</v>
      </c>
    </row>
    <row r="152" spans="1:33" ht="60" hidden="1" customHeight="1" x14ac:dyDescent="0.25">
      <c r="A152" s="14"/>
      <c r="B152" s="87" t="s">
        <v>493</v>
      </c>
      <c r="C152" s="182" t="s">
        <v>534</v>
      </c>
      <c r="D152" s="189" t="str">
        <f>VLOOKUP(D.sign_Data[[#This Row],[CÓDIGO]],Descripciones[[CÓDIGO]:[NOMBRE DE SERVICIO]],3,FALSE)</f>
        <v>D1. Parcelaciones y Condominios</v>
      </c>
      <c r="E152" s="87" t="s">
        <v>420</v>
      </c>
      <c r="F152" s="88" t="s">
        <v>535</v>
      </c>
      <c r="G152" s="88" t="s">
        <v>536</v>
      </c>
      <c r="H152" s="104" t="s">
        <v>537</v>
      </c>
      <c r="I152" s="89">
        <v>1</v>
      </c>
      <c r="J152" s="88" t="s">
        <v>541</v>
      </c>
      <c r="K152" s="102"/>
      <c r="L152" s="88" t="s">
        <v>546</v>
      </c>
      <c r="M152" s="89" t="s">
        <v>381</v>
      </c>
      <c r="N152" s="90">
        <v>9.6</v>
      </c>
      <c r="O152" s="27">
        <f>IFERROR(+VLOOKUP(M152,D.sign_Lista_Data[[RESPONSABLE]:[SOFTWARE 
VALOR HORA]],3,FALSE),"0")</f>
        <v>20263.424518743668</v>
      </c>
      <c r="P152" s="3">
        <f t="shared" si="4"/>
        <v>194528.87537993921</v>
      </c>
      <c r="Q152" s="11">
        <f>IFERROR(+VLOOKUP(M152,D.sign_Lista_Data[[RESPONSABLE]:[SOFTWARE 
VALOR HORA]],5,FALSE)*D.sign_Data[[#This Row],[TIEMPO (HORAS)]],0)</f>
        <v>40526.849037487329</v>
      </c>
      <c r="R152" s="42">
        <f>IFERROR(+VLOOKUP(M152,D.sign_Lista_Data[[RESPONSABLE]:[SOFTWARE 
VALOR HORA]],8,FALSE)*D.sign_Data[[#This Row],[TIEMPO (HORAS)]],0)</f>
        <v>32744.20691658224</v>
      </c>
      <c r="S152" s="99">
        <v>0</v>
      </c>
      <c r="T152" s="99">
        <v>0</v>
      </c>
      <c r="U152" s="3">
        <f t="shared" si="5"/>
        <v>267799.93133400875</v>
      </c>
      <c r="V152" s="100">
        <f>D.sign_Data[[#This Row],[TIEMPO (HORAS)]]*Gastos_Operativos[[#Totals],[GASTOS HORA]]</f>
        <v>266778.97989417985</v>
      </c>
      <c r="W152" s="3">
        <f>+D.sign_Data[[#This Row],[COSTO 
DIRECTO ($COP)]]+D.sign_Data[[#This Row],[PRORRATEO GASTOS ($COP)]]</f>
        <v>534578.91122818855</v>
      </c>
      <c r="X152" s="101">
        <v>0.1</v>
      </c>
      <c r="Y152" s="15">
        <f>+D.sign_Data[[#This Row],[COSTOS OPERACIONALES ($COP)]]*D.sign_Data[[#This Row],[DESFASE (%)]]</f>
        <v>53457.891122818859</v>
      </c>
      <c r="Z152" s="101">
        <v>0.3</v>
      </c>
      <c r="AA152" s="15">
        <f>+((D.sign_Data[[#This Row],[COSTOS OPERACIONALES ($COP)]]/(100%-D.sign_Data[[#This Row],[UTILIDAD (%)]])))-D.sign_Data[[#This Row],[COSTOS OPERACIONALES ($COP)]]</f>
        <v>229105.2476692237</v>
      </c>
      <c r="AB152" s="3">
        <f>+D.sign_Data[[#This Row],[COSTOS OPERACIONALES ($COP)]]+D.sign_Data[[#This Row],[DESFASE ($COP)]]+D.sign_Data[[#This Row],[UTILIDAD ($COP)]]</f>
        <v>817142.05002023105</v>
      </c>
      <c r="AC152" s="101">
        <v>0.05</v>
      </c>
      <c r="AD152" s="15">
        <f>+D.sign_Data[[#This Row],[VALOR NETO ($COP)]]/(100%-D.sign_Data[[#This Row],[MARGEN DE NEGOCIACIÓN (%)]])-D.sign_Data[[#This Row],[VALOR NETO ($COP)]]</f>
        <v>43007.476316854358</v>
      </c>
      <c r="AE152" s="15">
        <f>+(D.sign_Data[[#This Row],[VALOR NETO ($COP)]]+D.sign_Data[[#This Row],[NEGOCIACIÓN ($COP)]])*1%</f>
        <v>8601.4952633708544</v>
      </c>
      <c r="AF152" s="15">
        <f>+(D.sign_Data[[#This Row],[VALOR NETO ($COP)]]+D.sign_Data[[#This Row],[NEGOCIACIÓN ($COP)]])*1%</f>
        <v>8601.4952633708544</v>
      </c>
      <c r="AG152" s="3">
        <f>+D.sign_Data[[#This Row],[VALOR NETO ($COP)]]+D.sign_Data[[#This Row],[NEGOCIACIÓN ($COP)]]+D.sign_Data[[#This Row],[ICA ($COP)]]+D.sign_Data[[#This Row],[4 * 1000 ($COP)]]</f>
        <v>877352.51686382701</v>
      </c>
    </row>
    <row r="153" spans="1:33" ht="60" hidden="1" customHeight="1" x14ac:dyDescent="0.25">
      <c r="A153" s="14"/>
      <c r="B153" s="87" t="s">
        <v>493</v>
      </c>
      <c r="C153" s="182" t="s">
        <v>534</v>
      </c>
      <c r="D153" s="189" t="str">
        <f>VLOOKUP(D.sign_Data[[#This Row],[CÓDIGO]],Descripciones[[CÓDIGO]:[NOMBRE DE SERVICIO]],3,FALSE)</f>
        <v>D1. Parcelaciones y Condominios</v>
      </c>
      <c r="E153" s="87" t="s">
        <v>420</v>
      </c>
      <c r="F153" s="88" t="s">
        <v>535</v>
      </c>
      <c r="G153" s="88" t="s">
        <v>536</v>
      </c>
      <c r="H153" s="104" t="s">
        <v>537</v>
      </c>
      <c r="I153" s="89">
        <v>1</v>
      </c>
      <c r="J153" s="88" t="s">
        <v>541</v>
      </c>
      <c r="K153" s="102"/>
      <c r="L153" s="88" t="s">
        <v>547</v>
      </c>
      <c r="M153" s="89" t="s">
        <v>381</v>
      </c>
      <c r="N153" s="90">
        <v>9.6</v>
      </c>
      <c r="O153" s="27">
        <f>IFERROR(+VLOOKUP(M153,D.sign_Lista_Data[[RESPONSABLE]:[SOFTWARE 
VALOR HORA]],3,FALSE),"0")</f>
        <v>20263.424518743668</v>
      </c>
      <c r="P153" s="3">
        <f t="shared" si="4"/>
        <v>194528.87537993921</v>
      </c>
      <c r="Q153" s="11">
        <f>IFERROR(+VLOOKUP(M153,D.sign_Lista_Data[[RESPONSABLE]:[SOFTWARE 
VALOR HORA]],5,FALSE)*D.sign_Data[[#This Row],[TIEMPO (HORAS)]],0)</f>
        <v>40526.849037487329</v>
      </c>
      <c r="R153" s="42">
        <f>IFERROR(+VLOOKUP(M153,D.sign_Lista_Data[[RESPONSABLE]:[SOFTWARE 
VALOR HORA]],8,FALSE)*D.sign_Data[[#This Row],[TIEMPO (HORAS)]],0)</f>
        <v>32744.20691658224</v>
      </c>
      <c r="S153" s="99">
        <v>0</v>
      </c>
      <c r="T153" s="99">
        <v>0</v>
      </c>
      <c r="U153" s="3">
        <f t="shared" si="5"/>
        <v>267799.93133400875</v>
      </c>
      <c r="V153" s="100">
        <f>D.sign_Data[[#This Row],[TIEMPO (HORAS)]]*Gastos_Operativos[[#Totals],[GASTOS HORA]]</f>
        <v>266778.97989417985</v>
      </c>
      <c r="W153" s="3">
        <f>+D.sign_Data[[#This Row],[COSTO 
DIRECTO ($COP)]]+D.sign_Data[[#This Row],[PRORRATEO GASTOS ($COP)]]</f>
        <v>534578.91122818855</v>
      </c>
      <c r="X153" s="101">
        <v>0.1</v>
      </c>
      <c r="Y153" s="15">
        <f>+D.sign_Data[[#This Row],[COSTOS OPERACIONALES ($COP)]]*D.sign_Data[[#This Row],[DESFASE (%)]]</f>
        <v>53457.891122818859</v>
      </c>
      <c r="Z153" s="101">
        <v>0.3</v>
      </c>
      <c r="AA153" s="15">
        <f>+((D.sign_Data[[#This Row],[COSTOS OPERACIONALES ($COP)]]/(100%-D.sign_Data[[#This Row],[UTILIDAD (%)]])))-D.sign_Data[[#This Row],[COSTOS OPERACIONALES ($COP)]]</f>
        <v>229105.2476692237</v>
      </c>
      <c r="AB153" s="3">
        <f>+D.sign_Data[[#This Row],[COSTOS OPERACIONALES ($COP)]]+D.sign_Data[[#This Row],[DESFASE ($COP)]]+D.sign_Data[[#This Row],[UTILIDAD ($COP)]]</f>
        <v>817142.05002023105</v>
      </c>
      <c r="AC153" s="101">
        <v>0.05</v>
      </c>
      <c r="AD153" s="15">
        <f>+D.sign_Data[[#This Row],[VALOR NETO ($COP)]]/(100%-D.sign_Data[[#This Row],[MARGEN DE NEGOCIACIÓN (%)]])-D.sign_Data[[#This Row],[VALOR NETO ($COP)]]</f>
        <v>43007.476316854358</v>
      </c>
      <c r="AE153" s="15">
        <f>+(D.sign_Data[[#This Row],[VALOR NETO ($COP)]]+D.sign_Data[[#This Row],[NEGOCIACIÓN ($COP)]])*1%</f>
        <v>8601.4952633708544</v>
      </c>
      <c r="AF153" s="15">
        <f>+(D.sign_Data[[#This Row],[VALOR NETO ($COP)]]+D.sign_Data[[#This Row],[NEGOCIACIÓN ($COP)]])*1%</f>
        <v>8601.4952633708544</v>
      </c>
      <c r="AG153" s="3">
        <f>+D.sign_Data[[#This Row],[VALOR NETO ($COP)]]+D.sign_Data[[#This Row],[NEGOCIACIÓN ($COP)]]+D.sign_Data[[#This Row],[ICA ($COP)]]+D.sign_Data[[#This Row],[4 * 1000 ($COP)]]</f>
        <v>877352.51686382701</v>
      </c>
    </row>
    <row r="154" spans="1:33" ht="60" hidden="1" customHeight="1" x14ac:dyDescent="0.25">
      <c r="A154" s="14"/>
      <c r="B154" s="87" t="s">
        <v>493</v>
      </c>
      <c r="C154" s="182" t="s">
        <v>534</v>
      </c>
      <c r="D154" s="189" t="str">
        <f>VLOOKUP(D.sign_Data[[#This Row],[CÓDIGO]],Descripciones[[CÓDIGO]:[NOMBRE DE SERVICIO]],3,FALSE)</f>
        <v>D1. Parcelaciones y Condominios</v>
      </c>
      <c r="E154" s="87" t="s">
        <v>420</v>
      </c>
      <c r="F154" s="88" t="s">
        <v>535</v>
      </c>
      <c r="G154" s="88" t="s">
        <v>536</v>
      </c>
      <c r="H154" s="104" t="s">
        <v>537</v>
      </c>
      <c r="I154" s="89">
        <v>1</v>
      </c>
      <c r="J154" s="88" t="s">
        <v>548</v>
      </c>
      <c r="K154" s="102"/>
      <c r="L154" s="88" t="s">
        <v>549</v>
      </c>
      <c r="M154" s="89" t="s">
        <v>381</v>
      </c>
      <c r="N154" s="90">
        <v>9.6</v>
      </c>
      <c r="O154" s="27">
        <f>IFERROR(+VLOOKUP(M154,D.sign_Lista_Data[[RESPONSABLE]:[SOFTWARE 
VALOR HORA]],3,FALSE),"0")</f>
        <v>20263.424518743668</v>
      </c>
      <c r="P154" s="3">
        <f t="shared" si="4"/>
        <v>194528.87537993921</v>
      </c>
      <c r="Q154" s="11">
        <f>IFERROR(+VLOOKUP(M154,D.sign_Lista_Data[[RESPONSABLE]:[SOFTWARE 
VALOR HORA]],5,FALSE)*D.sign_Data[[#This Row],[TIEMPO (HORAS)]],0)</f>
        <v>40526.849037487329</v>
      </c>
      <c r="R154" s="11">
        <f>IFERROR(+VLOOKUP(M154,D.sign_Lista_Data[[RESPONSABLE]:[SOFTWARE 
VALOR HORA]],8,FALSE)*D.sign_Data[[#This Row],[TIEMPO (HORAS)]],0)</f>
        <v>32744.20691658224</v>
      </c>
      <c r="S154" s="99">
        <v>0</v>
      </c>
      <c r="T154" s="99">
        <v>0</v>
      </c>
      <c r="U154" s="3">
        <f t="shared" si="5"/>
        <v>267799.93133400875</v>
      </c>
      <c r="V154" s="100">
        <f>D.sign_Data[[#This Row],[TIEMPO (HORAS)]]*Gastos_Operativos[[#Totals],[GASTOS HORA]]</f>
        <v>266778.97989417985</v>
      </c>
      <c r="W154" s="3">
        <f>+D.sign_Data[[#This Row],[COSTO 
DIRECTO ($COP)]]+D.sign_Data[[#This Row],[PRORRATEO GASTOS ($COP)]]</f>
        <v>534578.91122818855</v>
      </c>
      <c r="X154" s="101">
        <v>0.1</v>
      </c>
      <c r="Y154" s="15">
        <f>+D.sign_Data[[#This Row],[COSTOS OPERACIONALES ($COP)]]*D.sign_Data[[#This Row],[DESFASE (%)]]</f>
        <v>53457.891122818859</v>
      </c>
      <c r="Z154" s="101">
        <v>0.3</v>
      </c>
      <c r="AA154" s="15">
        <f>+((D.sign_Data[[#This Row],[COSTOS OPERACIONALES ($COP)]]/(100%-D.sign_Data[[#This Row],[UTILIDAD (%)]])))-D.sign_Data[[#This Row],[COSTOS OPERACIONALES ($COP)]]</f>
        <v>229105.2476692237</v>
      </c>
      <c r="AB154" s="3">
        <f>+D.sign_Data[[#This Row],[COSTOS OPERACIONALES ($COP)]]+D.sign_Data[[#This Row],[DESFASE ($COP)]]+D.sign_Data[[#This Row],[UTILIDAD ($COP)]]</f>
        <v>817142.05002023105</v>
      </c>
      <c r="AC154" s="101">
        <v>0.05</v>
      </c>
      <c r="AD154" s="15">
        <f>+D.sign_Data[[#This Row],[VALOR NETO ($COP)]]/(100%-D.sign_Data[[#This Row],[MARGEN DE NEGOCIACIÓN (%)]])-D.sign_Data[[#This Row],[VALOR NETO ($COP)]]</f>
        <v>43007.476316854358</v>
      </c>
      <c r="AE154" s="15">
        <f>+(D.sign_Data[[#This Row],[VALOR NETO ($COP)]]+D.sign_Data[[#This Row],[NEGOCIACIÓN ($COP)]])*1%</f>
        <v>8601.4952633708544</v>
      </c>
      <c r="AF154" s="15">
        <f>+(D.sign_Data[[#This Row],[VALOR NETO ($COP)]]+D.sign_Data[[#This Row],[NEGOCIACIÓN ($COP)]])*1%</f>
        <v>8601.4952633708544</v>
      </c>
      <c r="AG154" s="3">
        <f>+D.sign_Data[[#This Row],[VALOR NETO ($COP)]]+D.sign_Data[[#This Row],[NEGOCIACIÓN ($COP)]]+D.sign_Data[[#This Row],[ICA ($COP)]]+D.sign_Data[[#This Row],[4 * 1000 ($COP)]]</f>
        <v>877352.51686382701</v>
      </c>
    </row>
    <row r="155" spans="1:33" ht="60" hidden="1" customHeight="1" x14ac:dyDescent="0.25">
      <c r="A155" s="14"/>
      <c r="B155" s="87" t="s">
        <v>493</v>
      </c>
      <c r="C155" s="182" t="s">
        <v>550</v>
      </c>
      <c r="D155" s="189" t="str">
        <f>VLOOKUP(D.sign_Data[[#This Row],[CÓDIGO]],Descripciones[[CÓDIGO]:[NOMBRE DE SERVICIO]],3,FALSE)</f>
        <v>D1. Parcelaciones y Condominios</v>
      </c>
      <c r="E155" s="87" t="s">
        <v>497</v>
      </c>
      <c r="F155" s="88" t="s">
        <v>551</v>
      </c>
      <c r="G155" s="88" t="s">
        <v>536</v>
      </c>
      <c r="H155" s="104" t="s">
        <v>552</v>
      </c>
      <c r="I155" s="89">
        <v>1</v>
      </c>
      <c r="J155" s="88" t="s">
        <v>538</v>
      </c>
      <c r="K155" s="102"/>
      <c r="L155" s="88" t="s">
        <v>553</v>
      </c>
      <c r="M155" s="89" t="s">
        <v>381</v>
      </c>
      <c r="N155" s="90">
        <v>0.2</v>
      </c>
      <c r="O155" s="27">
        <f>IFERROR(+VLOOKUP(M155,D.sign_Lista_Data[[RESPONSABLE]:[SOFTWARE 
VALOR HORA]],3,FALSE),"0")</f>
        <v>20263.424518743668</v>
      </c>
      <c r="P155" s="3">
        <f t="shared" si="4"/>
        <v>4052.6849037487336</v>
      </c>
      <c r="Q155" s="11">
        <f>IFERROR(+VLOOKUP(M155,D.sign_Lista_Data[[RESPONSABLE]:[SOFTWARE 
VALOR HORA]],5,FALSE)*D.sign_Data[[#This Row],[TIEMPO (HORAS)]],0)</f>
        <v>844.30935494765276</v>
      </c>
      <c r="R155" s="42">
        <f>IFERROR(+VLOOKUP(M155,D.sign_Lista_Data[[RESPONSABLE]:[SOFTWARE 
VALOR HORA]],8,FALSE)*D.sign_Data[[#This Row],[TIEMPO (HORAS)]],0)</f>
        <v>682.17097742879673</v>
      </c>
      <c r="S155" s="99">
        <v>0</v>
      </c>
      <c r="T155" s="99">
        <v>0</v>
      </c>
      <c r="U155" s="3">
        <f t="shared" si="5"/>
        <v>5579.1652361251827</v>
      </c>
      <c r="V155" s="100">
        <f>D.sign_Data[[#This Row],[TIEMPO (HORAS)]]*Gastos_Operativos[[#Totals],[GASTOS HORA]]</f>
        <v>5557.8954144620802</v>
      </c>
      <c r="W155" s="3">
        <f>+D.sign_Data[[#This Row],[COSTO 
DIRECTO ($COP)]]+D.sign_Data[[#This Row],[PRORRATEO GASTOS ($COP)]]</f>
        <v>11137.060650587264</v>
      </c>
      <c r="X155" s="101">
        <v>0.1</v>
      </c>
      <c r="Y155" s="15">
        <f>+D.sign_Data[[#This Row],[COSTOS OPERACIONALES ($COP)]]*D.sign_Data[[#This Row],[DESFASE (%)]]</f>
        <v>1113.7060650587264</v>
      </c>
      <c r="Z155" s="101">
        <v>0.2</v>
      </c>
      <c r="AA155" s="15">
        <f>+((D.sign_Data[[#This Row],[COSTOS OPERACIONALES ($COP)]]/(100%-D.sign_Data[[#This Row],[UTILIDAD (%)]])))-D.sign_Data[[#This Row],[COSTOS OPERACIONALES ($COP)]]</f>
        <v>2784.265162646816</v>
      </c>
      <c r="AB155" s="3">
        <f>+D.sign_Data[[#This Row],[COSTOS OPERACIONALES ($COP)]]+D.sign_Data[[#This Row],[DESFASE ($COP)]]+D.sign_Data[[#This Row],[UTILIDAD ($COP)]]</f>
        <v>15035.031878292806</v>
      </c>
      <c r="AC155" s="101">
        <v>0.05</v>
      </c>
      <c r="AD155" s="15">
        <f>+D.sign_Data[[#This Row],[VALOR NETO ($COP)]]/(100%-D.sign_Data[[#This Row],[MARGEN DE NEGOCIACIÓN (%)]])-D.sign_Data[[#This Row],[VALOR NETO ($COP)]]</f>
        <v>791.31746727856989</v>
      </c>
      <c r="AE155" s="15">
        <f>+(D.sign_Data[[#This Row],[VALOR NETO ($COP)]]+D.sign_Data[[#This Row],[NEGOCIACIÓN ($COP)]])*1%</f>
        <v>158.26349345571376</v>
      </c>
      <c r="AF155" s="15">
        <f>+(D.sign_Data[[#This Row],[VALOR NETO ($COP)]]+D.sign_Data[[#This Row],[NEGOCIACIÓN ($COP)]])*1%</f>
        <v>158.26349345571376</v>
      </c>
      <c r="AG155" s="3">
        <f>+D.sign_Data[[#This Row],[VALOR NETO ($COP)]]+D.sign_Data[[#This Row],[NEGOCIACIÓN ($COP)]]+D.sign_Data[[#This Row],[ICA ($COP)]]+D.sign_Data[[#This Row],[4 * 1000 ($COP)]]</f>
        <v>16142.876332482803</v>
      </c>
    </row>
    <row r="156" spans="1:33" ht="60" hidden="1" customHeight="1" x14ac:dyDescent="0.25">
      <c r="A156" s="14"/>
      <c r="B156" s="87" t="s">
        <v>493</v>
      </c>
      <c r="C156" s="182" t="s">
        <v>550</v>
      </c>
      <c r="D156" s="189" t="str">
        <f>VLOOKUP(D.sign_Data[[#This Row],[CÓDIGO]],Descripciones[[CÓDIGO]:[NOMBRE DE SERVICIO]],3,FALSE)</f>
        <v>D1. Parcelaciones y Condominios</v>
      </c>
      <c r="E156" s="87" t="s">
        <v>497</v>
      </c>
      <c r="F156" s="88" t="s">
        <v>551</v>
      </c>
      <c r="G156" s="88" t="s">
        <v>536</v>
      </c>
      <c r="H156" s="104" t="s">
        <v>552</v>
      </c>
      <c r="I156" s="89">
        <v>1</v>
      </c>
      <c r="J156" s="88" t="s">
        <v>538</v>
      </c>
      <c r="K156" s="102"/>
      <c r="L156" s="88" t="s">
        <v>540</v>
      </c>
      <c r="M156" s="89" t="s">
        <v>381</v>
      </c>
      <c r="N156" s="90">
        <v>0.2</v>
      </c>
      <c r="O156" s="27">
        <f>IFERROR(+VLOOKUP(M156,D.sign_Lista_Data[[RESPONSABLE]:[SOFTWARE 
VALOR HORA]],3,FALSE),"0")</f>
        <v>20263.424518743668</v>
      </c>
      <c r="P156" s="3">
        <f t="shared" si="4"/>
        <v>4052.6849037487336</v>
      </c>
      <c r="Q156" s="11">
        <f>IFERROR(+VLOOKUP(M156,D.sign_Lista_Data[[RESPONSABLE]:[SOFTWARE 
VALOR HORA]],5,FALSE)*D.sign_Data[[#This Row],[TIEMPO (HORAS)]],0)</f>
        <v>844.30935494765276</v>
      </c>
      <c r="R156" s="42">
        <f>IFERROR(+VLOOKUP(M156,D.sign_Lista_Data[[RESPONSABLE]:[SOFTWARE 
VALOR HORA]],8,FALSE)*D.sign_Data[[#This Row],[TIEMPO (HORAS)]],0)</f>
        <v>682.17097742879673</v>
      </c>
      <c r="S156" s="99">
        <v>0</v>
      </c>
      <c r="T156" s="99">
        <v>0</v>
      </c>
      <c r="U156" s="3">
        <f t="shared" si="5"/>
        <v>5579.1652361251827</v>
      </c>
      <c r="V156" s="100">
        <f>D.sign_Data[[#This Row],[TIEMPO (HORAS)]]*Gastos_Operativos[[#Totals],[GASTOS HORA]]</f>
        <v>5557.8954144620802</v>
      </c>
      <c r="W156" s="3">
        <f>+D.sign_Data[[#This Row],[COSTO 
DIRECTO ($COP)]]+D.sign_Data[[#This Row],[PRORRATEO GASTOS ($COP)]]</f>
        <v>11137.060650587264</v>
      </c>
      <c r="X156" s="101">
        <v>0.1</v>
      </c>
      <c r="Y156" s="15">
        <f>+D.sign_Data[[#This Row],[COSTOS OPERACIONALES ($COP)]]*D.sign_Data[[#This Row],[DESFASE (%)]]</f>
        <v>1113.7060650587264</v>
      </c>
      <c r="Z156" s="101">
        <v>0.2</v>
      </c>
      <c r="AA156" s="15">
        <f>+((D.sign_Data[[#This Row],[COSTOS OPERACIONALES ($COP)]]/(100%-D.sign_Data[[#This Row],[UTILIDAD (%)]])))-D.sign_Data[[#This Row],[COSTOS OPERACIONALES ($COP)]]</f>
        <v>2784.265162646816</v>
      </c>
      <c r="AB156" s="3">
        <f>+D.sign_Data[[#This Row],[COSTOS OPERACIONALES ($COP)]]+D.sign_Data[[#This Row],[DESFASE ($COP)]]+D.sign_Data[[#This Row],[UTILIDAD ($COP)]]</f>
        <v>15035.031878292806</v>
      </c>
      <c r="AC156" s="101">
        <v>0.05</v>
      </c>
      <c r="AD156" s="15">
        <f>+D.sign_Data[[#This Row],[VALOR NETO ($COP)]]/(100%-D.sign_Data[[#This Row],[MARGEN DE NEGOCIACIÓN (%)]])-D.sign_Data[[#This Row],[VALOR NETO ($COP)]]</f>
        <v>791.31746727856989</v>
      </c>
      <c r="AE156" s="15">
        <f>+(D.sign_Data[[#This Row],[VALOR NETO ($COP)]]+D.sign_Data[[#This Row],[NEGOCIACIÓN ($COP)]])*1%</f>
        <v>158.26349345571376</v>
      </c>
      <c r="AF156" s="15">
        <f>+(D.sign_Data[[#This Row],[VALOR NETO ($COP)]]+D.sign_Data[[#This Row],[NEGOCIACIÓN ($COP)]])*1%</f>
        <v>158.26349345571376</v>
      </c>
      <c r="AG156" s="3">
        <f>+D.sign_Data[[#This Row],[VALOR NETO ($COP)]]+D.sign_Data[[#This Row],[NEGOCIACIÓN ($COP)]]+D.sign_Data[[#This Row],[ICA ($COP)]]+D.sign_Data[[#This Row],[4 * 1000 ($COP)]]</f>
        <v>16142.876332482803</v>
      </c>
    </row>
    <row r="157" spans="1:33" ht="60" hidden="1" customHeight="1" x14ac:dyDescent="0.25">
      <c r="A157" s="14"/>
      <c r="B157" s="87" t="s">
        <v>493</v>
      </c>
      <c r="C157" s="182" t="s">
        <v>550</v>
      </c>
      <c r="D157" s="189" t="str">
        <f>VLOOKUP(D.sign_Data[[#This Row],[CÓDIGO]],Descripciones[[CÓDIGO]:[NOMBRE DE SERVICIO]],3,FALSE)</f>
        <v>D1. Parcelaciones y Condominios</v>
      </c>
      <c r="E157" s="87" t="s">
        <v>497</v>
      </c>
      <c r="F157" s="88" t="s">
        <v>551</v>
      </c>
      <c r="G157" s="88" t="s">
        <v>536</v>
      </c>
      <c r="H157" s="104" t="s">
        <v>552</v>
      </c>
      <c r="I157" s="89">
        <v>1</v>
      </c>
      <c r="J157" s="88" t="s">
        <v>541</v>
      </c>
      <c r="K157" s="102"/>
      <c r="L157" s="88" t="s">
        <v>554</v>
      </c>
      <c r="M157" s="89" t="s">
        <v>381</v>
      </c>
      <c r="N157" s="90">
        <v>4</v>
      </c>
      <c r="O157" s="27">
        <f>IFERROR(+VLOOKUP(M157,D.sign_Lista_Data[[RESPONSABLE]:[SOFTWARE 
VALOR HORA]],3,FALSE),"0")</f>
        <v>20263.424518743668</v>
      </c>
      <c r="P157" s="3">
        <f t="shared" ref="P157:P220" si="6">+O157*N157</f>
        <v>81053.698074974673</v>
      </c>
      <c r="Q157" s="11">
        <f>IFERROR(+VLOOKUP(M157,D.sign_Lista_Data[[RESPONSABLE]:[SOFTWARE 
VALOR HORA]],5,FALSE)*D.sign_Data[[#This Row],[TIEMPO (HORAS)]],0)</f>
        <v>16886.187098953054</v>
      </c>
      <c r="R157" s="42">
        <f>IFERROR(+VLOOKUP(M157,D.sign_Lista_Data[[RESPONSABLE]:[SOFTWARE 
VALOR HORA]],8,FALSE)*D.sign_Data[[#This Row],[TIEMPO (HORAS)]],0)</f>
        <v>13643.419548575934</v>
      </c>
      <c r="S157" s="99">
        <v>0</v>
      </c>
      <c r="T157" s="99">
        <v>0</v>
      </c>
      <c r="U157" s="3">
        <f t="shared" ref="U157:U220" si="7">SUM(P157:T157)</f>
        <v>111583.30472250367</v>
      </c>
      <c r="V157" s="100">
        <f>D.sign_Data[[#This Row],[TIEMPO (HORAS)]]*Gastos_Operativos[[#Totals],[GASTOS HORA]]</f>
        <v>111157.9082892416</v>
      </c>
      <c r="W157" s="3">
        <f>+D.sign_Data[[#This Row],[COSTO 
DIRECTO ($COP)]]+D.sign_Data[[#This Row],[PRORRATEO GASTOS ($COP)]]</f>
        <v>222741.21301174528</v>
      </c>
      <c r="X157" s="101">
        <v>0.1</v>
      </c>
      <c r="Y157" s="15">
        <f>+D.sign_Data[[#This Row],[COSTOS OPERACIONALES ($COP)]]*D.sign_Data[[#This Row],[DESFASE (%)]]</f>
        <v>22274.121301174528</v>
      </c>
      <c r="Z157" s="101">
        <v>0.2</v>
      </c>
      <c r="AA157" s="15">
        <f>+((D.sign_Data[[#This Row],[COSTOS OPERACIONALES ($COP)]]/(100%-D.sign_Data[[#This Row],[UTILIDAD (%)]])))-D.sign_Data[[#This Row],[COSTOS OPERACIONALES ($COP)]]</f>
        <v>55685.303252936312</v>
      </c>
      <c r="AB157" s="3">
        <f>+D.sign_Data[[#This Row],[COSTOS OPERACIONALES ($COP)]]+D.sign_Data[[#This Row],[DESFASE ($COP)]]+D.sign_Data[[#This Row],[UTILIDAD ($COP)]]</f>
        <v>300700.6375658561</v>
      </c>
      <c r="AC157" s="101">
        <v>0.05</v>
      </c>
      <c r="AD157" s="15">
        <f>+D.sign_Data[[#This Row],[VALOR NETO ($COP)]]/(100%-D.sign_Data[[#This Row],[MARGEN DE NEGOCIACIÓN (%)]])-D.sign_Data[[#This Row],[VALOR NETO ($COP)]]</f>
        <v>15826.349345571361</v>
      </c>
      <c r="AE157" s="15">
        <f>+(D.sign_Data[[#This Row],[VALOR NETO ($COP)]]+D.sign_Data[[#This Row],[NEGOCIACIÓN ($COP)]])*1%</f>
        <v>3165.2698691142746</v>
      </c>
      <c r="AF157" s="15">
        <f>+(D.sign_Data[[#This Row],[VALOR NETO ($COP)]]+D.sign_Data[[#This Row],[NEGOCIACIÓN ($COP)]])*1%</f>
        <v>3165.2698691142746</v>
      </c>
      <c r="AG157" s="3">
        <f>+D.sign_Data[[#This Row],[VALOR NETO ($COP)]]+D.sign_Data[[#This Row],[NEGOCIACIÓN ($COP)]]+D.sign_Data[[#This Row],[ICA ($COP)]]+D.sign_Data[[#This Row],[4 * 1000 ($COP)]]</f>
        <v>322857.52664965601</v>
      </c>
    </row>
    <row r="158" spans="1:33" ht="60" hidden="1" customHeight="1" x14ac:dyDescent="0.25">
      <c r="A158" s="14"/>
      <c r="B158" s="87" t="s">
        <v>493</v>
      </c>
      <c r="C158" s="182" t="s">
        <v>550</v>
      </c>
      <c r="D158" s="189" t="str">
        <f>VLOOKUP(D.sign_Data[[#This Row],[CÓDIGO]],Descripciones[[CÓDIGO]:[NOMBRE DE SERVICIO]],3,FALSE)</f>
        <v>D1. Parcelaciones y Condominios</v>
      </c>
      <c r="E158" s="87" t="s">
        <v>497</v>
      </c>
      <c r="F158" s="88" t="s">
        <v>551</v>
      </c>
      <c r="G158" s="88" t="s">
        <v>536</v>
      </c>
      <c r="H158" s="104" t="s">
        <v>552</v>
      </c>
      <c r="I158" s="89">
        <v>1</v>
      </c>
      <c r="J158" s="88" t="s">
        <v>541</v>
      </c>
      <c r="K158" s="102"/>
      <c r="L158" s="88" t="s">
        <v>555</v>
      </c>
      <c r="M158" s="89" t="s">
        <v>381</v>
      </c>
      <c r="N158" s="90">
        <v>10</v>
      </c>
      <c r="O158" s="27">
        <f>IFERROR(+VLOOKUP(M158,D.sign_Lista_Data[[RESPONSABLE]:[SOFTWARE 
VALOR HORA]],3,FALSE),"0")</f>
        <v>20263.424518743668</v>
      </c>
      <c r="P158" s="3">
        <f t="shared" si="6"/>
        <v>202634.2451874367</v>
      </c>
      <c r="Q158" s="11">
        <f>IFERROR(+VLOOKUP(M158,D.sign_Lista_Data[[RESPONSABLE]:[SOFTWARE 
VALOR HORA]],5,FALSE)*D.sign_Data[[#This Row],[TIEMPO (HORAS)]],0)</f>
        <v>42215.467747382638</v>
      </c>
      <c r="R158" s="42">
        <f>IFERROR(+VLOOKUP(M158,D.sign_Lista_Data[[RESPONSABLE]:[SOFTWARE 
VALOR HORA]],8,FALSE)*D.sign_Data[[#This Row],[TIEMPO (HORAS)]],0)</f>
        <v>34108.548871439838</v>
      </c>
      <c r="S158" s="99">
        <v>0</v>
      </c>
      <c r="T158" s="99">
        <v>0</v>
      </c>
      <c r="U158" s="3">
        <f t="shared" si="7"/>
        <v>278958.26180625916</v>
      </c>
      <c r="V158" s="100">
        <f>D.sign_Data[[#This Row],[TIEMPO (HORAS)]]*Gastos_Operativos[[#Totals],[GASTOS HORA]]</f>
        <v>277894.77072310401</v>
      </c>
      <c r="W158" s="3">
        <f>+D.sign_Data[[#This Row],[COSTO 
DIRECTO ($COP)]]+D.sign_Data[[#This Row],[PRORRATEO GASTOS ($COP)]]</f>
        <v>556853.03252936318</v>
      </c>
      <c r="X158" s="101">
        <v>0.1</v>
      </c>
      <c r="Y158" s="15">
        <f>+D.sign_Data[[#This Row],[COSTOS OPERACIONALES ($COP)]]*D.sign_Data[[#This Row],[DESFASE (%)]]</f>
        <v>55685.303252936319</v>
      </c>
      <c r="Z158" s="101">
        <v>0.2</v>
      </c>
      <c r="AA158" s="15">
        <f>+((D.sign_Data[[#This Row],[COSTOS OPERACIONALES ($COP)]]/(100%-D.sign_Data[[#This Row],[UTILIDAD (%)]])))-D.sign_Data[[#This Row],[COSTOS OPERACIONALES ($COP)]]</f>
        <v>139213.25813234074</v>
      </c>
      <c r="AB158" s="3">
        <f>+D.sign_Data[[#This Row],[COSTOS OPERACIONALES ($COP)]]+D.sign_Data[[#This Row],[DESFASE ($COP)]]+D.sign_Data[[#This Row],[UTILIDAD ($COP)]]</f>
        <v>751751.59391464025</v>
      </c>
      <c r="AC158" s="101">
        <v>0.05</v>
      </c>
      <c r="AD158" s="15">
        <f>+D.sign_Data[[#This Row],[VALOR NETO ($COP)]]/(100%-D.sign_Data[[#This Row],[MARGEN DE NEGOCIACIÓN (%)]])-D.sign_Data[[#This Row],[VALOR NETO ($COP)]]</f>
        <v>39565.87336392852</v>
      </c>
      <c r="AE158" s="15">
        <f>+(D.sign_Data[[#This Row],[VALOR NETO ($COP)]]+D.sign_Data[[#This Row],[NEGOCIACIÓN ($COP)]])*1%</f>
        <v>7913.174672785688</v>
      </c>
      <c r="AF158" s="15">
        <f>+(D.sign_Data[[#This Row],[VALOR NETO ($COP)]]+D.sign_Data[[#This Row],[NEGOCIACIÓN ($COP)]])*1%</f>
        <v>7913.174672785688</v>
      </c>
      <c r="AG158" s="3">
        <f>+D.sign_Data[[#This Row],[VALOR NETO ($COP)]]+D.sign_Data[[#This Row],[NEGOCIACIÓN ($COP)]]+D.sign_Data[[#This Row],[ICA ($COP)]]+D.sign_Data[[#This Row],[4 * 1000 ($COP)]]</f>
        <v>807143.81662414013</v>
      </c>
    </row>
    <row r="159" spans="1:33" ht="60" hidden="1" customHeight="1" x14ac:dyDescent="0.25">
      <c r="A159" s="14"/>
      <c r="B159" s="87" t="s">
        <v>493</v>
      </c>
      <c r="C159" s="182" t="s">
        <v>550</v>
      </c>
      <c r="D159" s="189" t="str">
        <f>VLOOKUP(D.sign_Data[[#This Row],[CÓDIGO]],Descripciones[[CÓDIGO]:[NOMBRE DE SERVICIO]],3,FALSE)</f>
        <v>D1. Parcelaciones y Condominios</v>
      </c>
      <c r="E159" s="87" t="s">
        <v>497</v>
      </c>
      <c r="F159" s="88" t="s">
        <v>551</v>
      </c>
      <c r="G159" s="88" t="s">
        <v>536</v>
      </c>
      <c r="H159" s="104" t="s">
        <v>552</v>
      </c>
      <c r="I159" s="89">
        <v>1</v>
      </c>
      <c r="J159" s="88" t="s">
        <v>541</v>
      </c>
      <c r="K159" s="102"/>
      <c r="L159" s="88" t="s">
        <v>556</v>
      </c>
      <c r="M159" s="89" t="s">
        <v>381</v>
      </c>
      <c r="N159" s="90">
        <v>10</v>
      </c>
      <c r="O159" s="27">
        <f>IFERROR(+VLOOKUP(M159,D.sign_Lista_Data[[RESPONSABLE]:[SOFTWARE 
VALOR HORA]],3,FALSE),"0")</f>
        <v>20263.424518743668</v>
      </c>
      <c r="P159" s="3">
        <f t="shared" si="6"/>
        <v>202634.2451874367</v>
      </c>
      <c r="Q159" s="11">
        <f>IFERROR(+VLOOKUP(M159,D.sign_Lista_Data[[RESPONSABLE]:[SOFTWARE 
VALOR HORA]],5,FALSE)*D.sign_Data[[#This Row],[TIEMPO (HORAS)]],0)</f>
        <v>42215.467747382638</v>
      </c>
      <c r="R159" s="42">
        <f>IFERROR(+VLOOKUP(M159,D.sign_Lista_Data[[RESPONSABLE]:[SOFTWARE 
VALOR HORA]],8,FALSE)*D.sign_Data[[#This Row],[TIEMPO (HORAS)]],0)</f>
        <v>34108.548871439838</v>
      </c>
      <c r="S159" s="99">
        <v>0</v>
      </c>
      <c r="T159" s="99">
        <v>0</v>
      </c>
      <c r="U159" s="3">
        <f t="shared" si="7"/>
        <v>278958.26180625916</v>
      </c>
      <c r="V159" s="100">
        <f>D.sign_Data[[#This Row],[TIEMPO (HORAS)]]*Gastos_Operativos[[#Totals],[GASTOS HORA]]</f>
        <v>277894.77072310401</v>
      </c>
      <c r="W159" s="3">
        <f>+D.sign_Data[[#This Row],[COSTO 
DIRECTO ($COP)]]+D.sign_Data[[#This Row],[PRORRATEO GASTOS ($COP)]]</f>
        <v>556853.03252936318</v>
      </c>
      <c r="X159" s="101">
        <v>0.1</v>
      </c>
      <c r="Y159" s="15">
        <f>+D.sign_Data[[#This Row],[COSTOS OPERACIONALES ($COP)]]*D.sign_Data[[#This Row],[DESFASE (%)]]</f>
        <v>55685.303252936319</v>
      </c>
      <c r="Z159" s="101">
        <v>0.2</v>
      </c>
      <c r="AA159" s="15">
        <f>+((D.sign_Data[[#This Row],[COSTOS OPERACIONALES ($COP)]]/(100%-D.sign_Data[[#This Row],[UTILIDAD (%)]])))-D.sign_Data[[#This Row],[COSTOS OPERACIONALES ($COP)]]</f>
        <v>139213.25813234074</v>
      </c>
      <c r="AB159" s="3">
        <f>+D.sign_Data[[#This Row],[COSTOS OPERACIONALES ($COP)]]+D.sign_Data[[#This Row],[DESFASE ($COP)]]+D.sign_Data[[#This Row],[UTILIDAD ($COP)]]</f>
        <v>751751.59391464025</v>
      </c>
      <c r="AC159" s="101">
        <v>0.05</v>
      </c>
      <c r="AD159" s="15">
        <f>+D.sign_Data[[#This Row],[VALOR NETO ($COP)]]/(100%-D.sign_Data[[#This Row],[MARGEN DE NEGOCIACIÓN (%)]])-D.sign_Data[[#This Row],[VALOR NETO ($COP)]]</f>
        <v>39565.87336392852</v>
      </c>
      <c r="AE159" s="15">
        <f>+(D.sign_Data[[#This Row],[VALOR NETO ($COP)]]+D.sign_Data[[#This Row],[NEGOCIACIÓN ($COP)]])*1%</f>
        <v>7913.174672785688</v>
      </c>
      <c r="AF159" s="15">
        <f>+(D.sign_Data[[#This Row],[VALOR NETO ($COP)]]+D.sign_Data[[#This Row],[NEGOCIACIÓN ($COP)]])*1%</f>
        <v>7913.174672785688</v>
      </c>
      <c r="AG159" s="3">
        <f>+D.sign_Data[[#This Row],[VALOR NETO ($COP)]]+D.sign_Data[[#This Row],[NEGOCIACIÓN ($COP)]]+D.sign_Data[[#This Row],[ICA ($COP)]]+D.sign_Data[[#This Row],[4 * 1000 ($COP)]]</f>
        <v>807143.81662414013</v>
      </c>
    </row>
    <row r="160" spans="1:33" ht="60" hidden="1" customHeight="1" x14ac:dyDescent="0.25">
      <c r="A160" s="14"/>
      <c r="B160" s="87" t="s">
        <v>493</v>
      </c>
      <c r="C160" s="182" t="s">
        <v>550</v>
      </c>
      <c r="D160" s="189" t="str">
        <f>VLOOKUP(D.sign_Data[[#This Row],[CÓDIGO]],Descripciones[[CÓDIGO]:[NOMBRE DE SERVICIO]],3,FALSE)</f>
        <v>D1. Parcelaciones y Condominios</v>
      </c>
      <c r="E160" s="87" t="s">
        <v>497</v>
      </c>
      <c r="F160" s="88" t="s">
        <v>551</v>
      </c>
      <c r="G160" s="88" t="s">
        <v>536</v>
      </c>
      <c r="H160" s="104" t="s">
        <v>552</v>
      </c>
      <c r="I160" s="89">
        <v>1</v>
      </c>
      <c r="J160" s="88" t="s">
        <v>541</v>
      </c>
      <c r="K160" s="102"/>
      <c r="L160" s="88" t="s">
        <v>557</v>
      </c>
      <c r="M160" s="89" t="s">
        <v>381</v>
      </c>
      <c r="N160" s="90">
        <v>10</v>
      </c>
      <c r="O160" s="27">
        <f>IFERROR(+VLOOKUP(M160,D.sign_Lista_Data[[RESPONSABLE]:[SOFTWARE 
VALOR HORA]],3,FALSE),"0")</f>
        <v>20263.424518743668</v>
      </c>
      <c r="P160" s="3">
        <f t="shared" si="6"/>
        <v>202634.2451874367</v>
      </c>
      <c r="Q160" s="11">
        <f>IFERROR(+VLOOKUP(M160,D.sign_Lista_Data[[RESPONSABLE]:[SOFTWARE 
VALOR HORA]],5,FALSE)*D.sign_Data[[#This Row],[TIEMPO (HORAS)]],0)</f>
        <v>42215.467747382638</v>
      </c>
      <c r="R160" s="42">
        <f>IFERROR(+VLOOKUP(M160,D.sign_Lista_Data[[RESPONSABLE]:[SOFTWARE 
VALOR HORA]],8,FALSE)*D.sign_Data[[#This Row],[TIEMPO (HORAS)]],0)</f>
        <v>34108.548871439838</v>
      </c>
      <c r="S160" s="99">
        <v>0</v>
      </c>
      <c r="T160" s="99">
        <v>0</v>
      </c>
      <c r="U160" s="3">
        <f t="shared" si="7"/>
        <v>278958.26180625916</v>
      </c>
      <c r="V160" s="100">
        <f>D.sign_Data[[#This Row],[TIEMPO (HORAS)]]*Gastos_Operativos[[#Totals],[GASTOS HORA]]</f>
        <v>277894.77072310401</v>
      </c>
      <c r="W160" s="3">
        <f>+D.sign_Data[[#This Row],[COSTO 
DIRECTO ($COP)]]+D.sign_Data[[#This Row],[PRORRATEO GASTOS ($COP)]]</f>
        <v>556853.03252936318</v>
      </c>
      <c r="X160" s="101">
        <v>0.1</v>
      </c>
      <c r="Y160" s="15">
        <f>+D.sign_Data[[#This Row],[COSTOS OPERACIONALES ($COP)]]*D.sign_Data[[#This Row],[DESFASE (%)]]</f>
        <v>55685.303252936319</v>
      </c>
      <c r="Z160" s="101">
        <v>0.2</v>
      </c>
      <c r="AA160" s="15">
        <f>+((D.sign_Data[[#This Row],[COSTOS OPERACIONALES ($COP)]]/(100%-D.sign_Data[[#This Row],[UTILIDAD (%)]])))-D.sign_Data[[#This Row],[COSTOS OPERACIONALES ($COP)]]</f>
        <v>139213.25813234074</v>
      </c>
      <c r="AB160" s="3">
        <f>+D.sign_Data[[#This Row],[COSTOS OPERACIONALES ($COP)]]+D.sign_Data[[#This Row],[DESFASE ($COP)]]+D.sign_Data[[#This Row],[UTILIDAD ($COP)]]</f>
        <v>751751.59391464025</v>
      </c>
      <c r="AC160" s="101">
        <v>0.05</v>
      </c>
      <c r="AD160" s="15">
        <f>+D.sign_Data[[#This Row],[VALOR NETO ($COP)]]/(100%-D.sign_Data[[#This Row],[MARGEN DE NEGOCIACIÓN (%)]])-D.sign_Data[[#This Row],[VALOR NETO ($COP)]]</f>
        <v>39565.87336392852</v>
      </c>
      <c r="AE160" s="15">
        <f>+(D.sign_Data[[#This Row],[VALOR NETO ($COP)]]+D.sign_Data[[#This Row],[NEGOCIACIÓN ($COP)]])*1%</f>
        <v>7913.174672785688</v>
      </c>
      <c r="AF160" s="15">
        <f>+(D.sign_Data[[#This Row],[VALOR NETO ($COP)]]+D.sign_Data[[#This Row],[NEGOCIACIÓN ($COP)]])*1%</f>
        <v>7913.174672785688</v>
      </c>
      <c r="AG160" s="3">
        <f>+D.sign_Data[[#This Row],[VALOR NETO ($COP)]]+D.sign_Data[[#This Row],[NEGOCIACIÓN ($COP)]]+D.sign_Data[[#This Row],[ICA ($COP)]]+D.sign_Data[[#This Row],[4 * 1000 ($COP)]]</f>
        <v>807143.81662414013</v>
      </c>
    </row>
    <row r="161" spans="1:33" ht="60" hidden="1" customHeight="1" x14ac:dyDescent="0.25">
      <c r="A161" s="14"/>
      <c r="B161" s="87" t="s">
        <v>493</v>
      </c>
      <c r="C161" s="182" t="s">
        <v>550</v>
      </c>
      <c r="D161" s="189" t="str">
        <f>VLOOKUP(D.sign_Data[[#This Row],[CÓDIGO]],Descripciones[[CÓDIGO]:[NOMBRE DE SERVICIO]],3,FALSE)</f>
        <v>D1. Parcelaciones y Condominios</v>
      </c>
      <c r="E161" s="87" t="s">
        <v>497</v>
      </c>
      <c r="F161" s="88" t="s">
        <v>551</v>
      </c>
      <c r="G161" s="88" t="s">
        <v>536</v>
      </c>
      <c r="H161" s="104" t="s">
        <v>552</v>
      </c>
      <c r="I161" s="89">
        <v>1</v>
      </c>
      <c r="J161" s="88" t="s">
        <v>541</v>
      </c>
      <c r="K161" s="102"/>
      <c r="L161" s="88" t="s">
        <v>558</v>
      </c>
      <c r="M161" s="89" t="s">
        <v>381</v>
      </c>
      <c r="N161" s="90">
        <v>10</v>
      </c>
      <c r="O161" s="27">
        <f>IFERROR(+VLOOKUP(M161,D.sign_Lista_Data[[RESPONSABLE]:[SOFTWARE 
VALOR HORA]],3,FALSE),"0")</f>
        <v>20263.424518743668</v>
      </c>
      <c r="P161" s="3">
        <f t="shared" si="6"/>
        <v>202634.2451874367</v>
      </c>
      <c r="Q161" s="11">
        <f>IFERROR(+VLOOKUP(M161,D.sign_Lista_Data[[RESPONSABLE]:[SOFTWARE 
VALOR HORA]],5,FALSE)*D.sign_Data[[#This Row],[TIEMPO (HORAS)]],0)</f>
        <v>42215.467747382638</v>
      </c>
      <c r="R161" s="42">
        <f>IFERROR(+VLOOKUP(M161,D.sign_Lista_Data[[RESPONSABLE]:[SOFTWARE 
VALOR HORA]],8,FALSE)*D.sign_Data[[#This Row],[TIEMPO (HORAS)]],0)</f>
        <v>34108.548871439838</v>
      </c>
      <c r="S161" s="99">
        <v>0</v>
      </c>
      <c r="T161" s="99">
        <v>0</v>
      </c>
      <c r="U161" s="3">
        <f t="shared" si="7"/>
        <v>278958.26180625916</v>
      </c>
      <c r="V161" s="100">
        <f>D.sign_Data[[#This Row],[TIEMPO (HORAS)]]*Gastos_Operativos[[#Totals],[GASTOS HORA]]</f>
        <v>277894.77072310401</v>
      </c>
      <c r="W161" s="3">
        <f>+D.sign_Data[[#This Row],[COSTO 
DIRECTO ($COP)]]+D.sign_Data[[#This Row],[PRORRATEO GASTOS ($COP)]]</f>
        <v>556853.03252936318</v>
      </c>
      <c r="X161" s="101">
        <v>0.1</v>
      </c>
      <c r="Y161" s="15">
        <f>+D.sign_Data[[#This Row],[COSTOS OPERACIONALES ($COP)]]*D.sign_Data[[#This Row],[DESFASE (%)]]</f>
        <v>55685.303252936319</v>
      </c>
      <c r="Z161" s="101">
        <v>0.2</v>
      </c>
      <c r="AA161" s="15">
        <f>+((D.sign_Data[[#This Row],[COSTOS OPERACIONALES ($COP)]]/(100%-D.sign_Data[[#This Row],[UTILIDAD (%)]])))-D.sign_Data[[#This Row],[COSTOS OPERACIONALES ($COP)]]</f>
        <v>139213.25813234074</v>
      </c>
      <c r="AB161" s="3">
        <f>+D.sign_Data[[#This Row],[COSTOS OPERACIONALES ($COP)]]+D.sign_Data[[#This Row],[DESFASE ($COP)]]+D.sign_Data[[#This Row],[UTILIDAD ($COP)]]</f>
        <v>751751.59391464025</v>
      </c>
      <c r="AC161" s="101">
        <v>0.05</v>
      </c>
      <c r="AD161" s="15">
        <f>+D.sign_Data[[#This Row],[VALOR NETO ($COP)]]/(100%-D.sign_Data[[#This Row],[MARGEN DE NEGOCIACIÓN (%)]])-D.sign_Data[[#This Row],[VALOR NETO ($COP)]]</f>
        <v>39565.87336392852</v>
      </c>
      <c r="AE161" s="15">
        <f>+(D.sign_Data[[#This Row],[VALOR NETO ($COP)]]+D.sign_Data[[#This Row],[NEGOCIACIÓN ($COP)]])*1%</f>
        <v>7913.174672785688</v>
      </c>
      <c r="AF161" s="15">
        <f>+(D.sign_Data[[#This Row],[VALOR NETO ($COP)]]+D.sign_Data[[#This Row],[NEGOCIACIÓN ($COP)]])*1%</f>
        <v>7913.174672785688</v>
      </c>
      <c r="AG161" s="3">
        <f>+D.sign_Data[[#This Row],[VALOR NETO ($COP)]]+D.sign_Data[[#This Row],[NEGOCIACIÓN ($COP)]]+D.sign_Data[[#This Row],[ICA ($COP)]]+D.sign_Data[[#This Row],[4 * 1000 ($COP)]]</f>
        <v>807143.81662414013</v>
      </c>
    </row>
    <row r="162" spans="1:33" ht="60" hidden="1" customHeight="1" x14ac:dyDescent="0.25">
      <c r="A162" s="14"/>
      <c r="B162" s="87" t="s">
        <v>493</v>
      </c>
      <c r="C162" s="182" t="s">
        <v>550</v>
      </c>
      <c r="D162" s="189" t="str">
        <f>VLOOKUP(D.sign_Data[[#This Row],[CÓDIGO]],Descripciones[[CÓDIGO]:[NOMBRE DE SERVICIO]],3,FALSE)</f>
        <v>D1. Parcelaciones y Condominios</v>
      </c>
      <c r="E162" s="87" t="s">
        <v>497</v>
      </c>
      <c r="F162" s="88" t="s">
        <v>551</v>
      </c>
      <c r="G162" s="88" t="s">
        <v>536</v>
      </c>
      <c r="H162" s="104" t="s">
        <v>552</v>
      </c>
      <c r="I162" s="89">
        <v>1</v>
      </c>
      <c r="J162" s="88" t="s">
        <v>541</v>
      </c>
      <c r="K162" s="102"/>
      <c r="L162" s="88" t="s">
        <v>559</v>
      </c>
      <c r="M162" s="89" t="s">
        <v>381</v>
      </c>
      <c r="N162" s="90">
        <v>10</v>
      </c>
      <c r="O162" s="27">
        <f>IFERROR(+VLOOKUP(M162,D.sign_Lista_Data[[RESPONSABLE]:[SOFTWARE 
VALOR HORA]],3,FALSE),"0")</f>
        <v>20263.424518743668</v>
      </c>
      <c r="P162" s="3">
        <f t="shared" si="6"/>
        <v>202634.2451874367</v>
      </c>
      <c r="Q162" s="11">
        <f>IFERROR(+VLOOKUP(M162,D.sign_Lista_Data[[RESPONSABLE]:[SOFTWARE 
VALOR HORA]],5,FALSE)*D.sign_Data[[#This Row],[TIEMPO (HORAS)]],0)</f>
        <v>42215.467747382638</v>
      </c>
      <c r="R162" s="42">
        <f>IFERROR(+VLOOKUP(M162,D.sign_Lista_Data[[RESPONSABLE]:[SOFTWARE 
VALOR HORA]],8,FALSE)*D.sign_Data[[#This Row],[TIEMPO (HORAS)]],0)</f>
        <v>34108.548871439838</v>
      </c>
      <c r="S162" s="99">
        <v>0</v>
      </c>
      <c r="T162" s="99">
        <v>0</v>
      </c>
      <c r="U162" s="3">
        <f t="shared" si="7"/>
        <v>278958.26180625916</v>
      </c>
      <c r="V162" s="100">
        <f>D.sign_Data[[#This Row],[TIEMPO (HORAS)]]*Gastos_Operativos[[#Totals],[GASTOS HORA]]</f>
        <v>277894.77072310401</v>
      </c>
      <c r="W162" s="3">
        <f>+D.sign_Data[[#This Row],[COSTO 
DIRECTO ($COP)]]+D.sign_Data[[#This Row],[PRORRATEO GASTOS ($COP)]]</f>
        <v>556853.03252936318</v>
      </c>
      <c r="X162" s="101">
        <v>0.1</v>
      </c>
      <c r="Y162" s="15">
        <f>+D.sign_Data[[#This Row],[COSTOS OPERACIONALES ($COP)]]*D.sign_Data[[#This Row],[DESFASE (%)]]</f>
        <v>55685.303252936319</v>
      </c>
      <c r="Z162" s="101">
        <v>0.2</v>
      </c>
      <c r="AA162" s="15">
        <f>+((D.sign_Data[[#This Row],[COSTOS OPERACIONALES ($COP)]]/(100%-D.sign_Data[[#This Row],[UTILIDAD (%)]])))-D.sign_Data[[#This Row],[COSTOS OPERACIONALES ($COP)]]</f>
        <v>139213.25813234074</v>
      </c>
      <c r="AB162" s="3">
        <f>+D.sign_Data[[#This Row],[COSTOS OPERACIONALES ($COP)]]+D.sign_Data[[#This Row],[DESFASE ($COP)]]+D.sign_Data[[#This Row],[UTILIDAD ($COP)]]</f>
        <v>751751.59391464025</v>
      </c>
      <c r="AC162" s="101">
        <v>0.05</v>
      </c>
      <c r="AD162" s="15">
        <f>+D.sign_Data[[#This Row],[VALOR NETO ($COP)]]/(100%-D.sign_Data[[#This Row],[MARGEN DE NEGOCIACIÓN (%)]])-D.sign_Data[[#This Row],[VALOR NETO ($COP)]]</f>
        <v>39565.87336392852</v>
      </c>
      <c r="AE162" s="15">
        <f>+(D.sign_Data[[#This Row],[VALOR NETO ($COP)]]+D.sign_Data[[#This Row],[NEGOCIACIÓN ($COP)]])*1%</f>
        <v>7913.174672785688</v>
      </c>
      <c r="AF162" s="15">
        <f>+(D.sign_Data[[#This Row],[VALOR NETO ($COP)]]+D.sign_Data[[#This Row],[NEGOCIACIÓN ($COP)]])*1%</f>
        <v>7913.174672785688</v>
      </c>
      <c r="AG162" s="3">
        <f>+D.sign_Data[[#This Row],[VALOR NETO ($COP)]]+D.sign_Data[[#This Row],[NEGOCIACIÓN ($COP)]]+D.sign_Data[[#This Row],[ICA ($COP)]]+D.sign_Data[[#This Row],[4 * 1000 ($COP)]]</f>
        <v>807143.81662414013</v>
      </c>
    </row>
    <row r="163" spans="1:33" ht="60" hidden="1" customHeight="1" x14ac:dyDescent="0.25">
      <c r="A163" s="14"/>
      <c r="B163" s="87" t="s">
        <v>493</v>
      </c>
      <c r="C163" s="182" t="s">
        <v>550</v>
      </c>
      <c r="D163" s="189" t="str">
        <f>VLOOKUP(D.sign_Data[[#This Row],[CÓDIGO]],Descripciones[[CÓDIGO]:[NOMBRE DE SERVICIO]],3,FALSE)</f>
        <v>D1. Parcelaciones y Condominios</v>
      </c>
      <c r="E163" s="87" t="s">
        <v>497</v>
      </c>
      <c r="F163" s="88" t="s">
        <v>551</v>
      </c>
      <c r="G163" s="88" t="s">
        <v>536</v>
      </c>
      <c r="H163" s="104" t="s">
        <v>552</v>
      </c>
      <c r="I163" s="89">
        <v>1</v>
      </c>
      <c r="J163" s="88" t="s">
        <v>541</v>
      </c>
      <c r="K163" s="102"/>
      <c r="L163" s="88" t="s">
        <v>560</v>
      </c>
      <c r="M163" s="89" t="s">
        <v>381</v>
      </c>
      <c r="N163" s="90">
        <v>9.4</v>
      </c>
      <c r="O163" s="27">
        <f>IFERROR(+VLOOKUP(M163,D.sign_Lista_Data[[RESPONSABLE]:[SOFTWARE 
VALOR HORA]],3,FALSE),"0")</f>
        <v>20263.424518743668</v>
      </c>
      <c r="P163" s="3">
        <f t="shared" si="6"/>
        <v>190476.19047619047</v>
      </c>
      <c r="Q163" s="11">
        <f>IFERROR(+VLOOKUP(M163,D.sign_Lista_Data[[RESPONSABLE]:[SOFTWARE 
VALOR HORA]],5,FALSE)*D.sign_Data[[#This Row],[TIEMPO (HORAS)]],0)</f>
        <v>39682.539682539682</v>
      </c>
      <c r="R163" s="42">
        <f>IFERROR(+VLOOKUP(M163,D.sign_Lista_Data[[RESPONSABLE]:[SOFTWARE 
VALOR HORA]],8,FALSE)*D.sign_Data[[#This Row],[TIEMPO (HORAS)]],0)</f>
        <v>32062.035939153444</v>
      </c>
      <c r="S163" s="99">
        <v>0</v>
      </c>
      <c r="T163" s="99">
        <v>0</v>
      </c>
      <c r="U163" s="3">
        <f t="shared" si="7"/>
        <v>262220.76609788358</v>
      </c>
      <c r="V163" s="100">
        <f>D.sign_Data[[#This Row],[TIEMPO (HORAS)]]*Gastos_Operativos[[#Totals],[GASTOS HORA]]</f>
        <v>261221.08447971777</v>
      </c>
      <c r="W163" s="3">
        <f>+D.sign_Data[[#This Row],[COSTO 
DIRECTO ($COP)]]+D.sign_Data[[#This Row],[PRORRATEO GASTOS ($COP)]]</f>
        <v>523441.85057760135</v>
      </c>
      <c r="X163" s="101">
        <v>0.1</v>
      </c>
      <c r="Y163" s="15">
        <f>+D.sign_Data[[#This Row],[COSTOS OPERACIONALES ($COP)]]*D.sign_Data[[#This Row],[DESFASE (%)]]</f>
        <v>52344.185057760136</v>
      </c>
      <c r="Z163" s="101">
        <v>0.2</v>
      </c>
      <c r="AA163" s="15">
        <f>+((D.sign_Data[[#This Row],[COSTOS OPERACIONALES ($COP)]]/(100%-D.sign_Data[[#This Row],[UTILIDAD (%)]])))-D.sign_Data[[#This Row],[COSTOS OPERACIONALES ($COP)]]</f>
        <v>130860.46264440031</v>
      </c>
      <c r="AB163" s="3">
        <f>+D.sign_Data[[#This Row],[COSTOS OPERACIONALES ($COP)]]+D.sign_Data[[#This Row],[DESFASE ($COP)]]+D.sign_Data[[#This Row],[UTILIDAD ($COP)]]</f>
        <v>706646.49827976176</v>
      </c>
      <c r="AC163" s="101">
        <v>0.05</v>
      </c>
      <c r="AD163" s="15">
        <f>+D.sign_Data[[#This Row],[VALOR NETO ($COP)]]/(100%-D.sign_Data[[#This Row],[MARGEN DE NEGOCIACIÓN (%)]])-D.sign_Data[[#This Row],[VALOR NETO ($COP)]]</f>
        <v>37191.920962092816</v>
      </c>
      <c r="AE163" s="15">
        <f>+(D.sign_Data[[#This Row],[VALOR NETO ($COP)]]+D.sign_Data[[#This Row],[NEGOCIACIÓN ($COP)]])*1%</f>
        <v>7438.3841924185463</v>
      </c>
      <c r="AF163" s="15">
        <f>+(D.sign_Data[[#This Row],[VALOR NETO ($COP)]]+D.sign_Data[[#This Row],[NEGOCIACIÓN ($COP)]])*1%</f>
        <v>7438.3841924185463</v>
      </c>
      <c r="AG163" s="3">
        <f>+D.sign_Data[[#This Row],[VALOR NETO ($COP)]]+D.sign_Data[[#This Row],[NEGOCIACIÓN ($COP)]]+D.sign_Data[[#This Row],[ICA ($COP)]]+D.sign_Data[[#This Row],[4 * 1000 ($COP)]]</f>
        <v>758715.18762669165</v>
      </c>
    </row>
    <row r="164" spans="1:33" ht="60" hidden="1" customHeight="1" x14ac:dyDescent="0.25">
      <c r="A164" s="14"/>
      <c r="B164" s="87" t="s">
        <v>493</v>
      </c>
      <c r="C164" s="182" t="s">
        <v>550</v>
      </c>
      <c r="D164" s="189" t="str">
        <f>VLOOKUP(D.sign_Data[[#This Row],[CÓDIGO]],Descripciones[[CÓDIGO]:[NOMBRE DE SERVICIO]],3,FALSE)</f>
        <v>D1. Parcelaciones y Condominios</v>
      </c>
      <c r="E164" s="87" t="s">
        <v>497</v>
      </c>
      <c r="F164" s="88" t="s">
        <v>551</v>
      </c>
      <c r="G164" s="88" t="s">
        <v>536</v>
      </c>
      <c r="H164" s="104" t="s">
        <v>552</v>
      </c>
      <c r="I164" s="89">
        <v>1</v>
      </c>
      <c r="J164" s="88" t="s">
        <v>541</v>
      </c>
      <c r="K164" s="102"/>
      <c r="L164" s="88" t="s">
        <v>561</v>
      </c>
      <c r="M164" s="89" t="s">
        <v>381</v>
      </c>
      <c r="N164" s="90">
        <v>6</v>
      </c>
      <c r="O164" s="27">
        <f>IFERROR(+VLOOKUP(M164,D.sign_Lista_Data[[RESPONSABLE]:[SOFTWARE 
VALOR HORA]],3,FALSE),"0")</f>
        <v>20263.424518743668</v>
      </c>
      <c r="P164" s="3">
        <f t="shared" si="6"/>
        <v>121580.54711246201</v>
      </c>
      <c r="Q164" s="11">
        <f>IFERROR(+VLOOKUP(M164,D.sign_Lista_Data[[RESPONSABLE]:[SOFTWARE 
VALOR HORA]],5,FALSE)*D.sign_Data[[#This Row],[TIEMPO (HORAS)]],0)</f>
        <v>25329.28064842958</v>
      </c>
      <c r="R164" s="42">
        <f>IFERROR(+VLOOKUP(M164,D.sign_Lista_Data[[RESPONSABLE]:[SOFTWARE 
VALOR HORA]],8,FALSE)*D.sign_Data[[#This Row],[TIEMPO (HORAS)]],0)</f>
        <v>20465.129322863901</v>
      </c>
      <c r="S164" s="99">
        <v>0</v>
      </c>
      <c r="T164" s="99">
        <v>0</v>
      </c>
      <c r="U164" s="3">
        <f t="shared" si="7"/>
        <v>167374.95708375549</v>
      </c>
      <c r="V164" s="100">
        <f>D.sign_Data[[#This Row],[TIEMPO (HORAS)]]*Gastos_Operativos[[#Totals],[GASTOS HORA]]</f>
        <v>166736.86243386241</v>
      </c>
      <c r="W164" s="3">
        <f>+D.sign_Data[[#This Row],[COSTO 
DIRECTO ($COP)]]+D.sign_Data[[#This Row],[PRORRATEO GASTOS ($COP)]]</f>
        <v>334111.81951761793</v>
      </c>
      <c r="X164" s="101">
        <v>0.1</v>
      </c>
      <c r="Y164" s="15">
        <f>+D.sign_Data[[#This Row],[COSTOS OPERACIONALES ($COP)]]*D.sign_Data[[#This Row],[DESFASE (%)]]</f>
        <v>33411.181951761791</v>
      </c>
      <c r="Z164" s="101">
        <v>0.2</v>
      </c>
      <c r="AA164" s="15">
        <f>+((D.sign_Data[[#This Row],[COSTOS OPERACIONALES ($COP)]]/(100%-D.sign_Data[[#This Row],[UTILIDAD (%)]])))-D.sign_Data[[#This Row],[COSTOS OPERACIONALES ($COP)]]</f>
        <v>83527.954879404453</v>
      </c>
      <c r="AB164" s="3">
        <f>+D.sign_Data[[#This Row],[COSTOS OPERACIONALES ($COP)]]+D.sign_Data[[#This Row],[DESFASE ($COP)]]+D.sign_Data[[#This Row],[UTILIDAD ($COP)]]</f>
        <v>451050.95634878415</v>
      </c>
      <c r="AC164" s="101">
        <v>0.05</v>
      </c>
      <c r="AD164" s="15">
        <f>+D.sign_Data[[#This Row],[VALOR NETO ($COP)]]/(100%-D.sign_Data[[#This Row],[MARGEN DE NEGOCIACIÓN (%)]])-D.sign_Data[[#This Row],[VALOR NETO ($COP)]]</f>
        <v>23739.5240183571</v>
      </c>
      <c r="AE164" s="15">
        <f>+(D.sign_Data[[#This Row],[VALOR NETO ($COP)]]+D.sign_Data[[#This Row],[NEGOCIACIÓN ($COP)]])*1%</f>
        <v>4747.904803671413</v>
      </c>
      <c r="AF164" s="15">
        <f>+(D.sign_Data[[#This Row],[VALOR NETO ($COP)]]+D.sign_Data[[#This Row],[NEGOCIACIÓN ($COP)]])*1%</f>
        <v>4747.904803671413</v>
      </c>
      <c r="AG164" s="3">
        <f>+D.sign_Data[[#This Row],[VALOR NETO ($COP)]]+D.sign_Data[[#This Row],[NEGOCIACIÓN ($COP)]]+D.sign_Data[[#This Row],[ICA ($COP)]]+D.sign_Data[[#This Row],[4 * 1000 ($COP)]]</f>
        <v>484286.28997448407</v>
      </c>
    </row>
    <row r="165" spans="1:33" ht="60" hidden="1" customHeight="1" x14ac:dyDescent="0.25">
      <c r="A165" s="14"/>
      <c r="B165" s="87" t="s">
        <v>493</v>
      </c>
      <c r="C165" s="182" t="s">
        <v>550</v>
      </c>
      <c r="D165" s="189" t="str">
        <f>VLOOKUP(D.sign_Data[[#This Row],[CÓDIGO]],Descripciones[[CÓDIGO]:[NOMBRE DE SERVICIO]],3,FALSE)</f>
        <v>D1. Parcelaciones y Condominios</v>
      </c>
      <c r="E165" s="87" t="s">
        <v>497</v>
      </c>
      <c r="F165" s="88" t="s">
        <v>551</v>
      </c>
      <c r="G165" s="88" t="s">
        <v>536</v>
      </c>
      <c r="H165" s="104" t="s">
        <v>552</v>
      </c>
      <c r="I165" s="89">
        <v>1</v>
      </c>
      <c r="J165" s="88" t="s">
        <v>541</v>
      </c>
      <c r="K165" s="102"/>
      <c r="L165" s="88" t="s">
        <v>547</v>
      </c>
      <c r="M165" s="89" t="s">
        <v>381</v>
      </c>
      <c r="N165" s="90">
        <v>9.4</v>
      </c>
      <c r="O165" s="27">
        <f>IFERROR(+VLOOKUP(M165,D.sign_Lista_Data[[RESPONSABLE]:[SOFTWARE 
VALOR HORA]],3,FALSE),"0")</f>
        <v>20263.424518743668</v>
      </c>
      <c r="P165" s="3">
        <f t="shared" si="6"/>
        <v>190476.19047619047</v>
      </c>
      <c r="Q165" s="11">
        <f>IFERROR(+VLOOKUP(M165,D.sign_Lista_Data[[RESPONSABLE]:[SOFTWARE 
VALOR HORA]],5,FALSE)*D.sign_Data[[#This Row],[TIEMPO (HORAS)]],0)</f>
        <v>39682.539682539682</v>
      </c>
      <c r="R165" s="42">
        <f>IFERROR(+VLOOKUP(M165,D.sign_Lista_Data[[RESPONSABLE]:[SOFTWARE 
VALOR HORA]],8,FALSE)*D.sign_Data[[#This Row],[TIEMPO (HORAS)]],0)</f>
        <v>32062.035939153444</v>
      </c>
      <c r="S165" s="99"/>
      <c r="T165" s="99"/>
      <c r="U165" s="3">
        <f t="shared" si="7"/>
        <v>262220.76609788358</v>
      </c>
      <c r="V165" s="100">
        <f>D.sign_Data[[#This Row],[TIEMPO (HORAS)]]*Gastos_Operativos[[#Totals],[GASTOS HORA]]</f>
        <v>261221.08447971777</v>
      </c>
      <c r="W165" s="3">
        <f>+D.sign_Data[[#This Row],[COSTO 
DIRECTO ($COP)]]+D.sign_Data[[#This Row],[PRORRATEO GASTOS ($COP)]]</f>
        <v>523441.85057760135</v>
      </c>
      <c r="X165" s="101">
        <v>0.1</v>
      </c>
      <c r="Y165" s="15">
        <f>+D.sign_Data[[#This Row],[COSTOS OPERACIONALES ($COP)]]*D.sign_Data[[#This Row],[DESFASE (%)]]</f>
        <v>52344.185057760136</v>
      </c>
      <c r="Z165" s="101">
        <v>0.2</v>
      </c>
      <c r="AA165" s="15">
        <f>+((D.sign_Data[[#This Row],[COSTOS OPERACIONALES ($COP)]]/(100%-D.sign_Data[[#This Row],[UTILIDAD (%)]])))-D.sign_Data[[#This Row],[COSTOS OPERACIONALES ($COP)]]</f>
        <v>130860.46264440031</v>
      </c>
      <c r="AB165" s="3">
        <f>+D.sign_Data[[#This Row],[COSTOS OPERACIONALES ($COP)]]+D.sign_Data[[#This Row],[DESFASE ($COP)]]+D.sign_Data[[#This Row],[UTILIDAD ($COP)]]</f>
        <v>706646.49827976176</v>
      </c>
      <c r="AC165" s="101"/>
      <c r="AD165" s="15">
        <f>+D.sign_Data[[#This Row],[VALOR NETO ($COP)]]/(100%-D.sign_Data[[#This Row],[MARGEN DE NEGOCIACIÓN (%)]])-D.sign_Data[[#This Row],[VALOR NETO ($COP)]]</f>
        <v>0</v>
      </c>
      <c r="AE165" s="15">
        <f>+(D.sign_Data[[#This Row],[VALOR NETO ($COP)]]+D.sign_Data[[#This Row],[NEGOCIACIÓN ($COP)]])*1%</f>
        <v>7066.4649827976173</v>
      </c>
      <c r="AF165" s="15">
        <f>+(D.sign_Data[[#This Row],[VALOR NETO ($COP)]]+D.sign_Data[[#This Row],[NEGOCIACIÓN ($COP)]])*1%</f>
        <v>7066.4649827976173</v>
      </c>
      <c r="AG165" s="3">
        <f>+D.sign_Data[[#This Row],[VALOR NETO ($COP)]]+D.sign_Data[[#This Row],[NEGOCIACIÓN ($COP)]]+D.sign_Data[[#This Row],[ICA ($COP)]]+D.sign_Data[[#This Row],[4 * 1000 ($COP)]]</f>
        <v>720779.428245357</v>
      </c>
    </row>
    <row r="166" spans="1:33" ht="60" hidden="1" customHeight="1" x14ac:dyDescent="0.25">
      <c r="A166" s="14"/>
      <c r="B166" s="87" t="s">
        <v>493</v>
      </c>
      <c r="C166" s="182" t="s">
        <v>550</v>
      </c>
      <c r="D166" s="189" t="str">
        <f>VLOOKUP(D.sign_Data[[#This Row],[CÓDIGO]],Descripciones[[CÓDIGO]:[NOMBRE DE SERVICIO]],3,FALSE)</f>
        <v>D1. Parcelaciones y Condominios</v>
      </c>
      <c r="E166" s="87" t="s">
        <v>497</v>
      </c>
      <c r="F166" s="88" t="s">
        <v>551</v>
      </c>
      <c r="G166" s="88" t="s">
        <v>536</v>
      </c>
      <c r="H166" s="104" t="s">
        <v>552</v>
      </c>
      <c r="I166" s="89">
        <v>1</v>
      </c>
      <c r="J166" s="88" t="s">
        <v>541</v>
      </c>
      <c r="K166" s="102"/>
      <c r="L166" s="88" t="s">
        <v>562</v>
      </c>
      <c r="M166" s="89" t="s">
        <v>381</v>
      </c>
      <c r="N166" s="90">
        <v>9.6</v>
      </c>
      <c r="O166" s="27">
        <f>IFERROR(+VLOOKUP(M166,D.sign_Lista_Data[[RESPONSABLE]:[SOFTWARE 
VALOR HORA]],3,FALSE),"0")</f>
        <v>20263.424518743668</v>
      </c>
      <c r="P166" s="3">
        <f t="shared" si="6"/>
        <v>194528.87537993921</v>
      </c>
      <c r="Q166" s="11">
        <f>IFERROR(+VLOOKUP(M166,D.sign_Lista_Data[[RESPONSABLE]:[SOFTWARE 
VALOR HORA]],5,FALSE)*D.sign_Data[[#This Row],[TIEMPO (HORAS)]],0)</f>
        <v>40526.849037487329</v>
      </c>
      <c r="R166" s="11">
        <f>IFERROR(+VLOOKUP(M166,D.sign_Lista_Data[[RESPONSABLE]:[SOFTWARE 
VALOR HORA]],8,FALSE)*D.sign_Data[[#This Row],[TIEMPO (HORAS)]],0)</f>
        <v>32744.20691658224</v>
      </c>
      <c r="S166" s="99"/>
      <c r="T166" s="99"/>
      <c r="U166" s="3">
        <f t="shared" si="7"/>
        <v>267799.93133400875</v>
      </c>
      <c r="V166" s="100">
        <f>D.sign_Data[[#This Row],[TIEMPO (HORAS)]]*Gastos_Operativos[[#Totals],[GASTOS HORA]]</f>
        <v>266778.97989417985</v>
      </c>
      <c r="W166" s="3">
        <f>+D.sign_Data[[#This Row],[COSTO 
DIRECTO ($COP)]]+D.sign_Data[[#This Row],[PRORRATEO GASTOS ($COP)]]</f>
        <v>534578.91122818855</v>
      </c>
      <c r="X166" s="101">
        <v>0.1</v>
      </c>
      <c r="Y166" s="15">
        <f>+D.sign_Data[[#This Row],[COSTOS OPERACIONALES ($COP)]]*D.sign_Data[[#This Row],[DESFASE (%)]]</f>
        <v>53457.891122818859</v>
      </c>
      <c r="Z166" s="101">
        <v>0.2</v>
      </c>
      <c r="AA166" s="15">
        <f>+((D.sign_Data[[#This Row],[COSTOS OPERACIONALES ($COP)]]/(100%-D.sign_Data[[#This Row],[UTILIDAD (%)]])))-D.sign_Data[[#This Row],[COSTOS OPERACIONALES ($COP)]]</f>
        <v>133644.72780704708</v>
      </c>
      <c r="AB166" s="3">
        <f>+D.sign_Data[[#This Row],[COSTOS OPERACIONALES ($COP)]]+D.sign_Data[[#This Row],[DESFASE ($COP)]]+D.sign_Data[[#This Row],[UTILIDAD ($COP)]]</f>
        <v>721681.53015805443</v>
      </c>
      <c r="AC166" s="101"/>
      <c r="AD166" s="15">
        <f>+D.sign_Data[[#This Row],[VALOR NETO ($COP)]]/(100%-D.sign_Data[[#This Row],[MARGEN DE NEGOCIACIÓN (%)]])-D.sign_Data[[#This Row],[VALOR NETO ($COP)]]</f>
        <v>0</v>
      </c>
      <c r="AE166" s="15">
        <f>+(D.sign_Data[[#This Row],[VALOR NETO ($COP)]]+D.sign_Data[[#This Row],[NEGOCIACIÓN ($COP)]])*1%</f>
        <v>7216.8153015805447</v>
      </c>
      <c r="AF166" s="15">
        <f>+(D.sign_Data[[#This Row],[VALOR NETO ($COP)]]+D.sign_Data[[#This Row],[NEGOCIACIÓN ($COP)]])*1%</f>
        <v>7216.8153015805447</v>
      </c>
      <c r="AG166" s="3">
        <f>+D.sign_Data[[#This Row],[VALOR NETO ($COP)]]+D.sign_Data[[#This Row],[NEGOCIACIÓN ($COP)]]+D.sign_Data[[#This Row],[ICA ($COP)]]+D.sign_Data[[#This Row],[4 * 1000 ($COP)]]</f>
        <v>736115.16076121561</v>
      </c>
    </row>
    <row r="167" spans="1:33" ht="60" hidden="1" customHeight="1" x14ac:dyDescent="0.25">
      <c r="A167" s="14"/>
      <c r="B167" s="87" t="s">
        <v>493</v>
      </c>
      <c r="C167" s="182" t="s">
        <v>563</v>
      </c>
      <c r="D167" s="189" t="str">
        <f>VLOOKUP(D.sign_Data[[#This Row],[CÓDIGO]],Descripciones[[CÓDIGO]:[NOMBRE DE SERVICIO]],3,FALSE)</f>
        <v>D1. Parcelaciones y Condominios</v>
      </c>
      <c r="E167" s="87" t="s">
        <v>420</v>
      </c>
      <c r="F167" s="88" t="s">
        <v>564</v>
      </c>
      <c r="G167" s="88" t="s">
        <v>565</v>
      </c>
      <c r="H167" s="104" t="s">
        <v>537</v>
      </c>
      <c r="I167" s="89">
        <v>1</v>
      </c>
      <c r="J167" s="88" t="s">
        <v>566</v>
      </c>
      <c r="K167" s="102"/>
      <c r="L167" s="88" t="s">
        <v>567</v>
      </c>
      <c r="M167" s="89" t="s">
        <v>381</v>
      </c>
      <c r="N167" s="90">
        <v>9.6</v>
      </c>
      <c r="O167" s="27">
        <f>IFERROR(+VLOOKUP(M167,D.sign_Lista_Data[[RESPONSABLE]:[SOFTWARE 
VALOR HORA]],3,FALSE),"0")</f>
        <v>20263.424518743668</v>
      </c>
      <c r="P167" s="3">
        <f t="shared" si="6"/>
        <v>194528.87537993921</v>
      </c>
      <c r="Q167" s="11">
        <f>IFERROR(+VLOOKUP(M167,D.sign_Lista_Data[[RESPONSABLE]:[SOFTWARE 
VALOR HORA]],5,FALSE)*D.sign_Data[[#This Row],[TIEMPO (HORAS)]],0)</f>
        <v>40526.849037487329</v>
      </c>
      <c r="R167" s="11">
        <f>IFERROR(+VLOOKUP(M167,D.sign_Lista_Data[[RESPONSABLE]:[SOFTWARE 
VALOR HORA]],8,FALSE)*D.sign_Data[[#This Row],[TIEMPO (HORAS)]],0)</f>
        <v>32744.20691658224</v>
      </c>
      <c r="S167" s="99">
        <v>0</v>
      </c>
      <c r="T167" s="99" t="s">
        <v>568</v>
      </c>
      <c r="U167" s="3">
        <f t="shared" si="7"/>
        <v>267799.93133400875</v>
      </c>
      <c r="V167" s="100">
        <f>D.sign_Data[[#This Row],[TIEMPO (HORAS)]]*Gastos_Operativos[[#Totals],[GASTOS HORA]]</f>
        <v>266778.97989417985</v>
      </c>
      <c r="W167" s="3">
        <f>+D.sign_Data[[#This Row],[COSTO 
DIRECTO ($COP)]]+D.sign_Data[[#This Row],[PRORRATEO GASTOS ($COP)]]</f>
        <v>534578.91122818855</v>
      </c>
      <c r="X167" s="101">
        <v>0.1</v>
      </c>
      <c r="Y167" s="15">
        <f>+D.sign_Data[[#This Row],[COSTOS OPERACIONALES ($COP)]]*D.sign_Data[[#This Row],[DESFASE (%)]]</f>
        <v>53457.891122818859</v>
      </c>
      <c r="Z167" s="101">
        <v>0.3</v>
      </c>
      <c r="AA167" s="15">
        <f>+((D.sign_Data[[#This Row],[COSTOS OPERACIONALES ($COP)]]/(100%-D.sign_Data[[#This Row],[UTILIDAD (%)]])))-D.sign_Data[[#This Row],[COSTOS OPERACIONALES ($COP)]]</f>
        <v>229105.2476692237</v>
      </c>
      <c r="AB167" s="3">
        <f>+D.sign_Data[[#This Row],[COSTOS OPERACIONALES ($COP)]]+D.sign_Data[[#This Row],[DESFASE ($COP)]]+D.sign_Data[[#This Row],[UTILIDAD ($COP)]]</f>
        <v>817142.05002023105</v>
      </c>
      <c r="AC167" s="101">
        <v>0.05</v>
      </c>
      <c r="AD167" s="15">
        <f>+D.sign_Data[[#This Row],[VALOR NETO ($COP)]]/(100%-D.sign_Data[[#This Row],[MARGEN DE NEGOCIACIÓN (%)]])-D.sign_Data[[#This Row],[VALOR NETO ($COP)]]</f>
        <v>43007.476316854358</v>
      </c>
      <c r="AE167" s="15">
        <f>+(D.sign_Data[[#This Row],[VALOR NETO ($COP)]]+D.sign_Data[[#This Row],[NEGOCIACIÓN ($COP)]])*1%</f>
        <v>8601.4952633708544</v>
      </c>
      <c r="AF167" s="15">
        <f>+(D.sign_Data[[#This Row],[VALOR NETO ($COP)]]+D.sign_Data[[#This Row],[NEGOCIACIÓN ($COP)]])*1%</f>
        <v>8601.4952633708544</v>
      </c>
      <c r="AG167" s="3">
        <f>+D.sign_Data[[#This Row],[VALOR NETO ($COP)]]+D.sign_Data[[#This Row],[NEGOCIACIÓN ($COP)]]+D.sign_Data[[#This Row],[ICA ($COP)]]+D.sign_Data[[#This Row],[4 * 1000 ($COP)]]</f>
        <v>877352.51686382701</v>
      </c>
    </row>
    <row r="168" spans="1:33" ht="60" hidden="1" customHeight="1" x14ac:dyDescent="0.25">
      <c r="A168" s="14"/>
      <c r="B168" s="87" t="s">
        <v>493</v>
      </c>
      <c r="C168" s="182" t="s">
        <v>563</v>
      </c>
      <c r="D168" s="189" t="str">
        <f>VLOOKUP(D.sign_Data[[#This Row],[CÓDIGO]],Descripciones[[CÓDIGO]:[NOMBRE DE SERVICIO]],3,FALSE)</f>
        <v>D1. Parcelaciones y Condominios</v>
      </c>
      <c r="E168" s="87" t="s">
        <v>420</v>
      </c>
      <c r="F168" s="88" t="s">
        <v>564</v>
      </c>
      <c r="G168" s="88" t="s">
        <v>565</v>
      </c>
      <c r="H168" s="104" t="s">
        <v>537</v>
      </c>
      <c r="I168" s="89">
        <v>1</v>
      </c>
      <c r="J168" s="88" t="s">
        <v>566</v>
      </c>
      <c r="K168" s="102"/>
      <c r="L168" s="88" t="s">
        <v>569</v>
      </c>
      <c r="M168" s="89" t="s">
        <v>381</v>
      </c>
      <c r="N168" s="90">
        <v>5</v>
      </c>
      <c r="O168" s="27">
        <f>IFERROR(+VLOOKUP(M168,D.sign_Lista_Data[[RESPONSABLE]:[SOFTWARE 
VALOR HORA]],3,FALSE),"0")</f>
        <v>20263.424518743668</v>
      </c>
      <c r="P168" s="3">
        <f t="shared" si="6"/>
        <v>101317.12259371835</v>
      </c>
      <c r="Q168" s="11">
        <f>IFERROR(+VLOOKUP(M168,D.sign_Lista_Data[[RESPONSABLE]:[SOFTWARE 
VALOR HORA]],5,FALSE)*D.sign_Data[[#This Row],[TIEMPO (HORAS)]],0)</f>
        <v>21107.733873691319</v>
      </c>
      <c r="R168" s="11">
        <f>IFERROR(+VLOOKUP(M168,D.sign_Lista_Data[[RESPONSABLE]:[SOFTWARE 
VALOR HORA]],8,FALSE)*D.sign_Data[[#This Row],[TIEMPO (HORAS)]],0)</f>
        <v>17054.274435719919</v>
      </c>
      <c r="S168" s="99">
        <v>0</v>
      </c>
      <c r="T168" s="99" t="s">
        <v>568</v>
      </c>
      <c r="U168" s="3">
        <f t="shared" si="7"/>
        <v>139479.13090312958</v>
      </c>
      <c r="V168" s="100">
        <f>D.sign_Data[[#This Row],[TIEMPO (HORAS)]]*Gastos_Operativos[[#Totals],[GASTOS HORA]]</f>
        <v>138947.38536155201</v>
      </c>
      <c r="W168" s="3">
        <f>+D.sign_Data[[#This Row],[COSTO 
DIRECTO ($COP)]]+D.sign_Data[[#This Row],[PRORRATEO GASTOS ($COP)]]</f>
        <v>278426.51626468159</v>
      </c>
      <c r="X168" s="101">
        <v>0.1</v>
      </c>
      <c r="Y168" s="15">
        <f>+D.sign_Data[[#This Row],[COSTOS OPERACIONALES ($COP)]]*D.sign_Data[[#This Row],[DESFASE (%)]]</f>
        <v>27842.65162646816</v>
      </c>
      <c r="Z168" s="101">
        <v>0.3</v>
      </c>
      <c r="AA168" s="15">
        <f>+((D.sign_Data[[#This Row],[COSTOS OPERACIONALES ($COP)]]/(100%-D.sign_Data[[#This Row],[UTILIDAD (%)]])))-D.sign_Data[[#This Row],[COSTOS OPERACIONALES ($COP)]]</f>
        <v>119325.64982772071</v>
      </c>
      <c r="AB168" s="3">
        <f>+D.sign_Data[[#This Row],[COSTOS OPERACIONALES ($COP)]]+D.sign_Data[[#This Row],[DESFASE ($COP)]]+D.sign_Data[[#This Row],[UTILIDAD ($COP)]]</f>
        <v>425594.81771887047</v>
      </c>
      <c r="AC168" s="101">
        <v>0.05</v>
      </c>
      <c r="AD168" s="15">
        <f>+D.sign_Data[[#This Row],[VALOR NETO ($COP)]]/(100%-D.sign_Data[[#This Row],[MARGEN DE NEGOCIACIÓN (%)]])-D.sign_Data[[#This Row],[VALOR NETO ($COP)]]</f>
        <v>22399.727248361625</v>
      </c>
      <c r="AE168" s="15">
        <f>+(D.sign_Data[[#This Row],[VALOR NETO ($COP)]]+D.sign_Data[[#This Row],[NEGOCIACIÓN ($COP)]])*1%</f>
        <v>4479.945449672321</v>
      </c>
      <c r="AF168" s="15">
        <f>+(D.sign_Data[[#This Row],[VALOR NETO ($COP)]]+D.sign_Data[[#This Row],[NEGOCIACIÓN ($COP)]])*1%</f>
        <v>4479.945449672321</v>
      </c>
      <c r="AG168" s="3">
        <f>+D.sign_Data[[#This Row],[VALOR NETO ($COP)]]+D.sign_Data[[#This Row],[NEGOCIACIÓN ($COP)]]+D.sign_Data[[#This Row],[ICA ($COP)]]+D.sign_Data[[#This Row],[4 * 1000 ($COP)]]</f>
        <v>456954.43586657679</v>
      </c>
    </row>
    <row r="169" spans="1:33" ht="60" hidden="1" customHeight="1" x14ac:dyDescent="0.25">
      <c r="A169" s="14"/>
      <c r="B169" s="87" t="s">
        <v>493</v>
      </c>
      <c r="C169" s="182" t="s">
        <v>563</v>
      </c>
      <c r="D169" s="189" t="str">
        <f>VLOOKUP(D.sign_Data[[#This Row],[CÓDIGO]],Descripciones[[CÓDIGO]:[NOMBRE DE SERVICIO]],3,FALSE)</f>
        <v>D1. Parcelaciones y Condominios</v>
      </c>
      <c r="E169" s="87" t="s">
        <v>420</v>
      </c>
      <c r="F169" s="88" t="s">
        <v>564</v>
      </c>
      <c r="G169" s="88" t="s">
        <v>565</v>
      </c>
      <c r="H169" s="104" t="s">
        <v>537</v>
      </c>
      <c r="I169" s="89">
        <v>1</v>
      </c>
      <c r="J169" s="88" t="s">
        <v>566</v>
      </c>
      <c r="K169" s="102"/>
      <c r="L169" s="88" t="s">
        <v>570</v>
      </c>
      <c r="M169" s="89" t="s">
        <v>381</v>
      </c>
      <c r="N169" s="90">
        <v>20</v>
      </c>
      <c r="O169" s="27">
        <f>IFERROR(+VLOOKUP(M169,D.sign_Lista_Data[[RESPONSABLE]:[SOFTWARE 
VALOR HORA]],3,FALSE),"0")</f>
        <v>20263.424518743668</v>
      </c>
      <c r="P169" s="3">
        <f t="shared" si="6"/>
        <v>405268.49037487339</v>
      </c>
      <c r="Q169" s="11">
        <f>IFERROR(+VLOOKUP(M169,D.sign_Lista_Data[[RESPONSABLE]:[SOFTWARE 
VALOR HORA]],5,FALSE)*D.sign_Data[[#This Row],[TIEMPO (HORAS)]],0)</f>
        <v>84430.935494765276</v>
      </c>
      <c r="R169" s="11">
        <f>IFERROR(+VLOOKUP(M169,D.sign_Lista_Data[[RESPONSABLE]:[SOFTWARE 
VALOR HORA]],8,FALSE)*D.sign_Data[[#This Row],[TIEMPO (HORAS)]],0)</f>
        <v>68217.097742879676</v>
      </c>
      <c r="S169" s="99">
        <v>0</v>
      </c>
      <c r="T169" s="99" t="s">
        <v>568</v>
      </c>
      <c r="U169" s="3">
        <f t="shared" si="7"/>
        <v>557916.52361251833</v>
      </c>
      <c r="V169" s="100">
        <f>D.sign_Data[[#This Row],[TIEMPO (HORAS)]]*Gastos_Operativos[[#Totals],[GASTOS HORA]]</f>
        <v>555789.54144620802</v>
      </c>
      <c r="W169" s="3">
        <f>+D.sign_Data[[#This Row],[COSTO 
DIRECTO ($COP)]]+D.sign_Data[[#This Row],[PRORRATEO GASTOS ($COP)]]</f>
        <v>1113706.0650587264</v>
      </c>
      <c r="X169" s="101">
        <v>0.1</v>
      </c>
      <c r="Y169" s="15">
        <f>+D.sign_Data[[#This Row],[COSTOS OPERACIONALES ($COP)]]*D.sign_Data[[#This Row],[DESFASE (%)]]</f>
        <v>111370.60650587264</v>
      </c>
      <c r="Z169" s="101">
        <v>0.3</v>
      </c>
      <c r="AA169" s="15">
        <f>+((D.sign_Data[[#This Row],[COSTOS OPERACIONALES ($COP)]]/(100%-D.sign_Data[[#This Row],[UTILIDAD (%)]])))-D.sign_Data[[#This Row],[COSTOS OPERACIONALES ($COP)]]</f>
        <v>477302.59931088286</v>
      </c>
      <c r="AB169" s="3">
        <f>+D.sign_Data[[#This Row],[COSTOS OPERACIONALES ($COP)]]+D.sign_Data[[#This Row],[DESFASE ($COP)]]+D.sign_Data[[#This Row],[UTILIDAD ($COP)]]</f>
        <v>1702379.2708754819</v>
      </c>
      <c r="AC169" s="101">
        <v>0.05</v>
      </c>
      <c r="AD169" s="15">
        <f>+D.sign_Data[[#This Row],[VALOR NETO ($COP)]]/(100%-D.sign_Data[[#This Row],[MARGEN DE NEGOCIACIÓN (%)]])-D.sign_Data[[#This Row],[VALOR NETO ($COP)]]</f>
        <v>89598.908993446501</v>
      </c>
      <c r="AE169" s="15">
        <f>+(D.sign_Data[[#This Row],[VALOR NETO ($COP)]]+D.sign_Data[[#This Row],[NEGOCIACIÓN ($COP)]])*1%</f>
        <v>17919.781798689284</v>
      </c>
      <c r="AF169" s="15">
        <f>+(D.sign_Data[[#This Row],[VALOR NETO ($COP)]]+D.sign_Data[[#This Row],[NEGOCIACIÓN ($COP)]])*1%</f>
        <v>17919.781798689284</v>
      </c>
      <c r="AG169" s="3">
        <f>+D.sign_Data[[#This Row],[VALOR NETO ($COP)]]+D.sign_Data[[#This Row],[NEGOCIACIÓN ($COP)]]+D.sign_Data[[#This Row],[ICA ($COP)]]+D.sign_Data[[#This Row],[4 * 1000 ($COP)]]</f>
        <v>1827817.7434663072</v>
      </c>
    </row>
    <row r="170" spans="1:33" ht="60" hidden="1" customHeight="1" x14ac:dyDescent="0.25">
      <c r="A170" s="14"/>
      <c r="B170" s="87" t="s">
        <v>493</v>
      </c>
      <c r="C170" s="182" t="s">
        <v>563</v>
      </c>
      <c r="D170" s="189" t="str">
        <f>VLOOKUP(D.sign_Data[[#This Row],[CÓDIGO]],Descripciones[[CÓDIGO]:[NOMBRE DE SERVICIO]],3,FALSE)</f>
        <v>D1. Parcelaciones y Condominios</v>
      </c>
      <c r="E170" s="87" t="s">
        <v>420</v>
      </c>
      <c r="F170" s="88" t="s">
        <v>564</v>
      </c>
      <c r="G170" s="88" t="s">
        <v>565</v>
      </c>
      <c r="H170" s="104" t="s">
        <v>537</v>
      </c>
      <c r="I170" s="89">
        <v>1</v>
      </c>
      <c r="J170" s="88" t="s">
        <v>566</v>
      </c>
      <c r="K170" s="102"/>
      <c r="L170" s="88" t="s">
        <v>571</v>
      </c>
      <c r="M170" s="89" t="s">
        <v>381</v>
      </c>
      <c r="N170" s="90">
        <v>10</v>
      </c>
      <c r="O170" s="27">
        <f>IFERROR(+VLOOKUP(M170,D.sign_Lista_Data[[RESPONSABLE]:[SOFTWARE 
VALOR HORA]],3,FALSE),"0")</f>
        <v>20263.424518743668</v>
      </c>
      <c r="P170" s="3">
        <f t="shared" si="6"/>
        <v>202634.2451874367</v>
      </c>
      <c r="Q170" s="11">
        <f>IFERROR(+VLOOKUP(M170,D.sign_Lista_Data[[RESPONSABLE]:[SOFTWARE 
VALOR HORA]],5,FALSE)*D.sign_Data[[#This Row],[TIEMPO (HORAS)]],0)</f>
        <v>42215.467747382638</v>
      </c>
      <c r="R170" s="11">
        <f>IFERROR(+VLOOKUP(M170,D.sign_Lista_Data[[RESPONSABLE]:[SOFTWARE 
VALOR HORA]],8,FALSE)*D.sign_Data[[#This Row],[TIEMPO (HORAS)]],0)</f>
        <v>34108.548871439838</v>
      </c>
      <c r="S170" s="99">
        <v>0</v>
      </c>
      <c r="T170" s="99" t="s">
        <v>568</v>
      </c>
      <c r="U170" s="3">
        <f t="shared" si="7"/>
        <v>278958.26180625916</v>
      </c>
      <c r="V170" s="100">
        <f>D.sign_Data[[#This Row],[TIEMPO (HORAS)]]*Gastos_Operativos[[#Totals],[GASTOS HORA]]</f>
        <v>277894.77072310401</v>
      </c>
      <c r="W170" s="3">
        <f>+D.sign_Data[[#This Row],[COSTO 
DIRECTO ($COP)]]+D.sign_Data[[#This Row],[PRORRATEO GASTOS ($COP)]]</f>
        <v>556853.03252936318</v>
      </c>
      <c r="X170" s="101">
        <v>0.1</v>
      </c>
      <c r="Y170" s="15">
        <f>+D.sign_Data[[#This Row],[COSTOS OPERACIONALES ($COP)]]*D.sign_Data[[#This Row],[DESFASE (%)]]</f>
        <v>55685.303252936319</v>
      </c>
      <c r="Z170" s="101">
        <v>0.3</v>
      </c>
      <c r="AA170" s="15">
        <f>+((D.sign_Data[[#This Row],[COSTOS OPERACIONALES ($COP)]]/(100%-D.sign_Data[[#This Row],[UTILIDAD (%)]])))-D.sign_Data[[#This Row],[COSTOS OPERACIONALES ($COP)]]</f>
        <v>238651.29965544143</v>
      </c>
      <c r="AB170" s="3">
        <f>+D.sign_Data[[#This Row],[COSTOS OPERACIONALES ($COP)]]+D.sign_Data[[#This Row],[DESFASE ($COP)]]+D.sign_Data[[#This Row],[UTILIDAD ($COP)]]</f>
        <v>851189.63543774094</v>
      </c>
      <c r="AC170" s="101">
        <v>0.05</v>
      </c>
      <c r="AD170" s="15">
        <f>+D.sign_Data[[#This Row],[VALOR NETO ($COP)]]/(100%-D.sign_Data[[#This Row],[MARGEN DE NEGOCIACIÓN (%)]])-D.sign_Data[[#This Row],[VALOR NETO ($COP)]]</f>
        <v>44799.45449672325</v>
      </c>
      <c r="AE170" s="15">
        <f>+(D.sign_Data[[#This Row],[VALOR NETO ($COP)]]+D.sign_Data[[#This Row],[NEGOCIACIÓN ($COP)]])*1%</f>
        <v>8959.8908993446421</v>
      </c>
      <c r="AF170" s="15">
        <f>+(D.sign_Data[[#This Row],[VALOR NETO ($COP)]]+D.sign_Data[[#This Row],[NEGOCIACIÓN ($COP)]])*1%</f>
        <v>8959.8908993446421</v>
      </c>
      <c r="AG170" s="3">
        <f>+D.sign_Data[[#This Row],[VALOR NETO ($COP)]]+D.sign_Data[[#This Row],[NEGOCIACIÓN ($COP)]]+D.sign_Data[[#This Row],[ICA ($COP)]]+D.sign_Data[[#This Row],[4 * 1000 ($COP)]]</f>
        <v>913908.87173315359</v>
      </c>
    </row>
    <row r="171" spans="1:33" ht="60" hidden="1" customHeight="1" x14ac:dyDescent="0.25">
      <c r="A171" s="14"/>
      <c r="B171" s="87" t="s">
        <v>493</v>
      </c>
      <c r="C171" s="182" t="s">
        <v>563</v>
      </c>
      <c r="D171" s="189" t="str">
        <f>VLOOKUP(D.sign_Data[[#This Row],[CÓDIGO]],Descripciones[[CÓDIGO]:[NOMBRE DE SERVICIO]],3,FALSE)</f>
        <v>D1. Parcelaciones y Condominios</v>
      </c>
      <c r="E171" s="87" t="s">
        <v>420</v>
      </c>
      <c r="F171" s="88" t="s">
        <v>564</v>
      </c>
      <c r="G171" s="88" t="s">
        <v>565</v>
      </c>
      <c r="H171" s="104" t="s">
        <v>537</v>
      </c>
      <c r="I171" s="89">
        <v>1</v>
      </c>
      <c r="J171" s="88" t="s">
        <v>566</v>
      </c>
      <c r="K171" s="102"/>
      <c r="L171" s="88" t="s">
        <v>572</v>
      </c>
      <c r="M171" s="89" t="s">
        <v>381</v>
      </c>
      <c r="N171" s="90">
        <v>0.1</v>
      </c>
      <c r="O171" s="27">
        <f>IFERROR(+VLOOKUP(M171,D.sign_Lista_Data[[RESPONSABLE]:[SOFTWARE 
VALOR HORA]],3,FALSE),"0")</f>
        <v>20263.424518743668</v>
      </c>
      <c r="P171" s="3">
        <f t="shared" si="6"/>
        <v>2026.3424518743668</v>
      </c>
      <c r="Q171" s="11">
        <f>IFERROR(+VLOOKUP(M171,D.sign_Lista_Data[[RESPONSABLE]:[SOFTWARE 
VALOR HORA]],5,FALSE)*D.sign_Data[[#This Row],[TIEMPO (HORAS)]],0)</f>
        <v>422.15467747382638</v>
      </c>
      <c r="R171" s="11">
        <f>IFERROR(+VLOOKUP(M171,D.sign_Lista_Data[[RESPONSABLE]:[SOFTWARE 
VALOR HORA]],8,FALSE)*D.sign_Data[[#This Row],[TIEMPO (HORAS)]],0)</f>
        <v>341.08548871439837</v>
      </c>
      <c r="S171" s="99">
        <v>0</v>
      </c>
      <c r="T171" s="99" t="s">
        <v>568</v>
      </c>
      <c r="U171" s="3">
        <f t="shared" si="7"/>
        <v>2789.5826180625913</v>
      </c>
      <c r="V171" s="100">
        <f>D.sign_Data[[#This Row],[TIEMPO (HORAS)]]*Gastos_Operativos[[#Totals],[GASTOS HORA]]</f>
        <v>2778.9477072310401</v>
      </c>
      <c r="W171" s="3">
        <f>+D.sign_Data[[#This Row],[COSTO 
DIRECTO ($COP)]]+D.sign_Data[[#This Row],[PRORRATEO GASTOS ($COP)]]</f>
        <v>5568.5303252936319</v>
      </c>
      <c r="X171" s="101">
        <v>0.1</v>
      </c>
      <c r="Y171" s="15">
        <f>+D.sign_Data[[#This Row],[COSTOS OPERACIONALES ($COP)]]*D.sign_Data[[#This Row],[DESFASE (%)]]</f>
        <v>556.85303252936319</v>
      </c>
      <c r="Z171" s="101">
        <v>0.3</v>
      </c>
      <c r="AA171" s="15">
        <f>+((D.sign_Data[[#This Row],[COSTOS OPERACIONALES ($COP)]]/(100%-D.sign_Data[[#This Row],[UTILIDAD (%)]])))-D.sign_Data[[#This Row],[COSTOS OPERACIONALES ($COP)]]</f>
        <v>2386.5129965544138</v>
      </c>
      <c r="AB171" s="3">
        <f>+D.sign_Data[[#This Row],[COSTOS OPERACIONALES ($COP)]]+D.sign_Data[[#This Row],[DESFASE ($COP)]]+D.sign_Data[[#This Row],[UTILIDAD ($COP)]]</f>
        <v>8511.896354377408</v>
      </c>
      <c r="AC171" s="101">
        <v>0.05</v>
      </c>
      <c r="AD171" s="15">
        <f>+D.sign_Data[[#This Row],[VALOR NETO ($COP)]]/(100%-D.sign_Data[[#This Row],[MARGEN DE NEGOCIACIÓN (%)]])-D.sign_Data[[#This Row],[VALOR NETO ($COP)]]</f>
        <v>447.99454496723229</v>
      </c>
      <c r="AE171" s="15">
        <f>+(D.sign_Data[[#This Row],[VALOR NETO ($COP)]]+D.sign_Data[[#This Row],[NEGOCIACIÓN ($COP)]])*1%</f>
        <v>89.5989089934464</v>
      </c>
      <c r="AF171" s="15">
        <f>+(D.sign_Data[[#This Row],[VALOR NETO ($COP)]]+D.sign_Data[[#This Row],[NEGOCIACIÓN ($COP)]])*1%</f>
        <v>89.5989089934464</v>
      </c>
      <c r="AG171" s="3">
        <f>+D.sign_Data[[#This Row],[VALOR NETO ($COP)]]+D.sign_Data[[#This Row],[NEGOCIACIÓN ($COP)]]+D.sign_Data[[#This Row],[ICA ($COP)]]+D.sign_Data[[#This Row],[4 * 1000 ($COP)]]</f>
        <v>9139.0887173315332</v>
      </c>
    </row>
    <row r="172" spans="1:33" ht="60" hidden="1" customHeight="1" x14ac:dyDescent="0.25">
      <c r="A172" s="14"/>
      <c r="B172" s="87" t="s">
        <v>493</v>
      </c>
      <c r="C172" s="182" t="s">
        <v>563</v>
      </c>
      <c r="D172" s="189" t="str">
        <f>VLOOKUP(D.sign_Data[[#This Row],[CÓDIGO]],Descripciones[[CÓDIGO]:[NOMBRE DE SERVICIO]],3,FALSE)</f>
        <v>D1. Parcelaciones y Condominios</v>
      </c>
      <c r="E172" s="87" t="s">
        <v>420</v>
      </c>
      <c r="F172" s="88" t="s">
        <v>564</v>
      </c>
      <c r="G172" s="88" t="s">
        <v>573</v>
      </c>
      <c r="H172" s="104" t="s">
        <v>537</v>
      </c>
      <c r="I172" s="89">
        <v>1</v>
      </c>
      <c r="J172" s="88" t="s">
        <v>574</v>
      </c>
      <c r="K172" s="102"/>
      <c r="L172" s="88" t="s">
        <v>575</v>
      </c>
      <c r="M172" s="89" t="s">
        <v>381</v>
      </c>
      <c r="N172" s="90">
        <v>9.1999999999999993</v>
      </c>
      <c r="O172" s="27">
        <f>IFERROR(+VLOOKUP(M172,D.sign_Lista_Data[[RESPONSABLE]:[SOFTWARE 
VALOR HORA]],3,FALSE),"0")</f>
        <v>20263.424518743668</v>
      </c>
      <c r="P172" s="3">
        <f t="shared" si="6"/>
        <v>186423.50557244173</v>
      </c>
      <c r="Q172" s="11">
        <f>IFERROR(+VLOOKUP(M172,D.sign_Lista_Data[[RESPONSABLE]:[SOFTWARE 
VALOR HORA]],5,FALSE)*D.sign_Data[[#This Row],[TIEMPO (HORAS)]],0)</f>
        <v>38838.23032759202</v>
      </c>
      <c r="R172" s="11">
        <f>IFERROR(+VLOOKUP(M172,D.sign_Lista_Data[[RESPONSABLE]:[SOFTWARE 
VALOR HORA]],8,FALSE)*D.sign_Data[[#This Row],[TIEMPO (HORAS)]],0)</f>
        <v>31379.864961724645</v>
      </c>
      <c r="S172" s="99">
        <v>0</v>
      </c>
      <c r="T172" s="99" t="s">
        <v>568</v>
      </c>
      <c r="U172" s="3">
        <f t="shared" si="7"/>
        <v>256641.6008617584</v>
      </c>
      <c r="V172" s="100">
        <f>D.sign_Data[[#This Row],[TIEMPO (HORAS)]]*Gastos_Operativos[[#Totals],[GASTOS HORA]]</f>
        <v>255663.18906525566</v>
      </c>
      <c r="W172" s="3">
        <f>+D.sign_Data[[#This Row],[COSTO 
DIRECTO ($COP)]]+D.sign_Data[[#This Row],[PRORRATEO GASTOS ($COP)]]</f>
        <v>512304.78992701403</v>
      </c>
      <c r="X172" s="101">
        <v>0.1</v>
      </c>
      <c r="Y172" s="15">
        <f>+D.sign_Data[[#This Row],[COSTOS OPERACIONALES ($COP)]]*D.sign_Data[[#This Row],[DESFASE (%)]]</f>
        <v>51230.478992701406</v>
      </c>
      <c r="Z172" s="101">
        <v>0.3</v>
      </c>
      <c r="AA172" s="15">
        <f>+((D.sign_Data[[#This Row],[COSTOS OPERACIONALES ($COP)]]/(100%-D.sign_Data[[#This Row],[UTILIDAD (%)]])))-D.sign_Data[[#This Row],[COSTOS OPERACIONALES ($COP)]]</f>
        <v>219559.19568300608</v>
      </c>
      <c r="AB172" s="3">
        <f>+D.sign_Data[[#This Row],[COSTOS OPERACIONALES ($COP)]]+D.sign_Data[[#This Row],[DESFASE ($COP)]]+D.sign_Data[[#This Row],[UTILIDAD ($COP)]]</f>
        <v>783094.46460272151</v>
      </c>
      <c r="AC172" s="101">
        <v>0.05</v>
      </c>
      <c r="AD172" s="15">
        <f>+D.sign_Data[[#This Row],[VALOR NETO ($COP)]]/(100%-D.sign_Data[[#This Row],[MARGEN DE NEGOCIACIÓN (%)]])-D.sign_Data[[#This Row],[VALOR NETO ($COP)]]</f>
        <v>41215.498136985349</v>
      </c>
      <c r="AE172" s="15">
        <f>+(D.sign_Data[[#This Row],[VALOR NETO ($COP)]]+D.sign_Data[[#This Row],[NEGOCIACIÓN ($COP)]])*1%</f>
        <v>8243.0996273970686</v>
      </c>
      <c r="AF172" s="15">
        <f>+(D.sign_Data[[#This Row],[VALOR NETO ($COP)]]+D.sign_Data[[#This Row],[NEGOCIACIÓN ($COP)]])*1%</f>
        <v>8243.0996273970686</v>
      </c>
      <c r="AG172" s="3">
        <f>+D.sign_Data[[#This Row],[VALOR NETO ($COP)]]+D.sign_Data[[#This Row],[NEGOCIACIÓN ($COP)]]+D.sign_Data[[#This Row],[ICA ($COP)]]+D.sign_Data[[#This Row],[4 * 1000 ($COP)]]</f>
        <v>840796.1619945009</v>
      </c>
    </row>
    <row r="173" spans="1:33" ht="60" hidden="1" customHeight="1" x14ac:dyDescent="0.25">
      <c r="A173" s="14"/>
      <c r="B173" s="87" t="s">
        <v>493</v>
      </c>
      <c r="C173" s="182" t="s">
        <v>563</v>
      </c>
      <c r="D173" s="189" t="str">
        <f>VLOOKUP(D.sign_Data[[#This Row],[CÓDIGO]],Descripciones[[CÓDIGO]:[NOMBRE DE SERVICIO]],3,FALSE)</f>
        <v>D1. Parcelaciones y Condominios</v>
      </c>
      <c r="E173" s="87" t="s">
        <v>420</v>
      </c>
      <c r="F173" s="88" t="s">
        <v>564</v>
      </c>
      <c r="G173" s="88" t="s">
        <v>573</v>
      </c>
      <c r="H173" s="104" t="s">
        <v>537</v>
      </c>
      <c r="I173" s="89">
        <v>1</v>
      </c>
      <c r="J173" s="88" t="s">
        <v>574</v>
      </c>
      <c r="K173" s="102"/>
      <c r="L173" s="88" t="s">
        <v>576</v>
      </c>
      <c r="M173" s="89" t="s">
        <v>381</v>
      </c>
      <c r="N173" s="90">
        <v>3</v>
      </c>
      <c r="O173" s="27">
        <f>IFERROR(+VLOOKUP(M173,D.sign_Lista_Data[[RESPONSABLE]:[SOFTWARE 
VALOR HORA]],3,FALSE),"0")</f>
        <v>20263.424518743668</v>
      </c>
      <c r="P173" s="3">
        <f t="shared" si="6"/>
        <v>60790.273556231004</v>
      </c>
      <c r="Q173" s="11">
        <f>IFERROR(+VLOOKUP(M173,D.sign_Lista_Data[[RESPONSABLE]:[SOFTWARE 
VALOR HORA]],5,FALSE)*D.sign_Data[[#This Row],[TIEMPO (HORAS)]],0)</f>
        <v>12664.64032421479</v>
      </c>
      <c r="R173" s="11">
        <f>IFERROR(+VLOOKUP(M173,D.sign_Lista_Data[[RESPONSABLE]:[SOFTWARE 
VALOR HORA]],8,FALSE)*D.sign_Data[[#This Row],[TIEMPO (HORAS)]],0)</f>
        <v>10232.56466143195</v>
      </c>
      <c r="S173" s="99">
        <v>0</v>
      </c>
      <c r="T173" s="99" t="s">
        <v>568</v>
      </c>
      <c r="U173" s="3">
        <f t="shared" si="7"/>
        <v>83687.478541877746</v>
      </c>
      <c r="V173" s="100">
        <f>D.sign_Data[[#This Row],[TIEMPO (HORAS)]]*Gastos_Operativos[[#Totals],[GASTOS HORA]]</f>
        <v>83368.431216931203</v>
      </c>
      <c r="W173" s="3">
        <f>+D.sign_Data[[#This Row],[COSTO 
DIRECTO ($COP)]]+D.sign_Data[[#This Row],[PRORRATEO GASTOS ($COP)]]</f>
        <v>167055.90975880896</v>
      </c>
      <c r="X173" s="101">
        <v>0.1</v>
      </c>
      <c r="Y173" s="15">
        <f>+D.sign_Data[[#This Row],[COSTOS OPERACIONALES ($COP)]]*D.sign_Data[[#This Row],[DESFASE (%)]]</f>
        <v>16705.590975880896</v>
      </c>
      <c r="Z173" s="101">
        <v>0.3</v>
      </c>
      <c r="AA173" s="15">
        <f>+((D.sign_Data[[#This Row],[COSTOS OPERACIONALES ($COP)]]/(100%-D.sign_Data[[#This Row],[UTILIDAD (%)]])))-D.sign_Data[[#This Row],[COSTOS OPERACIONALES ($COP)]]</f>
        <v>71595.389896632434</v>
      </c>
      <c r="AB173" s="3">
        <f>+D.sign_Data[[#This Row],[COSTOS OPERACIONALES ($COP)]]+D.sign_Data[[#This Row],[DESFASE ($COP)]]+D.sign_Data[[#This Row],[UTILIDAD ($COP)]]</f>
        <v>255356.89063132228</v>
      </c>
      <c r="AC173" s="101">
        <v>0.05</v>
      </c>
      <c r="AD173" s="15">
        <f>+D.sign_Data[[#This Row],[VALOR NETO ($COP)]]/(100%-D.sign_Data[[#This Row],[MARGEN DE NEGOCIACIÓN (%)]])-D.sign_Data[[#This Row],[VALOR NETO ($COP)]]</f>
        <v>13439.836349016987</v>
      </c>
      <c r="AE173" s="15">
        <f>+(D.sign_Data[[#This Row],[VALOR NETO ($COP)]]+D.sign_Data[[#This Row],[NEGOCIACIÓN ($COP)]])*1%</f>
        <v>2687.9672698033928</v>
      </c>
      <c r="AF173" s="15">
        <f>+(D.sign_Data[[#This Row],[VALOR NETO ($COP)]]+D.sign_Data[[#This Row],[NEGOCIACIÓN ($COP)]])*1%</f>
        <v>2687.9672698033928</v>
      </c>
      <c r="AG173" s="3">
        <f>+D.sign_Data[[#This Row],[VALOR NETO ($COP)]]+D.sign_Data[[#This Row],[NEGOCIACIÓN ($COP)]]+D.sign_Data[[#This Row],[ICA ($COP)]]+D.sign_Data[[#This Row],[4 * 1000 ($COP)]]</f>
        <v>274172.66151994606</v>
      </c>
    </row>
    <row r="174" spans="1:33" ht="60" hidden="1" customHeight="1" x14ac:dyDescent="0.25">
      <c r="A174" s="14"/>
      <c r="B174" s="87" t="s">
        <v>493</v>
      </c>
      <c r="C174" s="182" t="s">
        <v>563</v>
      </c>
      <c r="D174" s="189" t="str">
        <f>VLOOKUP(D.sign_Data[[#This Row],[CÓDIGO]],Descripciones[[CÓDIGO]:[NOMBRE DE SERVICIO]],3,FALSE)</f>
        <v>D1. Parcelaciones y Condominios</v>
      </c>
      <c r="E174" s="87" t="s">
        <v>420</v>
      </c>
      <c r="F174" s="88" t="s">
        <v>564</v>
      </c>
      <c r="G174" s="88" t="s">
        <v>573</v>
      </c>
      <c r="H174" s="104" t="s">
        <v>537</v>
      </c>
      <c r="I174" s="89">
        <v>1</v>
      </c>
      <c r="J174" s="88" t="s">
        <v>574</v>
      </c>
      <c r="K174" s="102"/>
      <c r="L174" s="88" t="s">
        <v>577</v>
      </c>
      <c r="M174" s="89" t="s">
        <v>381</v>
      </c>
      <c r="N174" s="90">
        <v>0.5</v>
      </c>
      <c r="O174" s="27">
        <f>IFERROR(+VLOOKUP(M174,D.sign_Lista_Data[[RESPONSABLE]:[SOFTWARE 
VALOR HORA]],3,FALSE),"0")</f>
        <v>20263.424518743668</v>
      </c>
      <c r="P174" s="3">
        <f t="shared" si="6"/>
        <v>10131.712259371834</v>
      </c>
      <c r="Q174" s="11">
        <f>IFERROR(+VLOOKUP(M174,D.sign_Lista_Data[[RESPONSABLE]:[SOFTWARE 
VALOR HORA]],5,FALSE)*D.sign_Data[[#This Row],[TIEMPO (HORAS)]],0)</f>
        <v>2110.7733873691318</v>
      </c>
      <c r="R174" s="11">
        <f>IFERROR(+VLOOKUP(M174,D.sign_Lista_Data[[RESPONSABLE]:[SOFTWARE 
VALOR HORA]],8,FALSE)*D.sign_Data[[#This Row],[TIEMPO (HORAS)]],0)</f>
        <v>1705.4274435719917</v>
      </c>
      <c r="S174" s="99">
        <v>0</v>
      </c>
      <c r="T174" s="99" t="s">
        <v>568</v>
      </c>
      <c r="U174" s="3">
        <f t="shared" si="7"/>
        <v>13947.913090312959</v>
      </c>
      <c r="V174" s="100">
        <f>D.sign_Data[[#This Row],[TIEMPO (HORAS)]]*Gastos_Operativos[[#Totals],[GASTOS HORA]]</f>
        <v>13894.738536155201</v>
      </c>
      <c r="W174" s="3">
        <f>+D.sign_Data[[#This Row],[COSTO 
DIRECTO ($COP)]]+D.sign_Data[[#This Row],[PRORRATEO GASTOS ($COP)]]</f>
        <v>27842.65162646816</v>
      </c>
      <c r="X174" s="101">
        <v>0.1</v>
      </c>
      <c r="Y174" s="15">
        <f>+D.sign_Data[[#This Row],[COSTOS OPERACIONALES ($COP)]]*D.sign_Data[[#This Row],[DESFASE (%)]]</f>
        <v>2784.265162646816</v>
      </c>
      <c r="Z174" s="101">
        <v>0.3</v>
      </c>
      <c r="AA174" s="15">
        <f>+((D.sign_Data[[#This Row],[COSTOS OPERACIONALES ($COP)]]/(100%-D.sign_Data[[#This Row],[UTILIDAD (%)]])))-D.sign_Data[[#This Row],[COSTOS OPERACIONALES ($COP)]]</f>
        <v>11932.564982772074</v>
      </c>
      <c r="AB174" s="3">
        <f>+D.sign_Data[[#This Row],[COSTOS OPERACIONALES ($COP)]]+D.sign_Data[[#This Row],[DESFASE ($COP)]]+D.sign_Data[[#This Row],[UTILIDAD ($COP)]]</f>
        <v>42559.481771887047</v>
      </c>
      <c r="AC174" s="101">
        <v>0.05</v>
      </c>
      <c r="AD174" s="15">
        <f>+D.sign_Data[[#This Row],[VALOR NETO ($COP)]]/(100%-D.sign_Data[[#This Row],[MARGEN DE NEGOCIACIÓN (%)]])-D.sign_Data[[#This Row],[VALOR NETO ($COP)]]</f>
        <v>2239.9727248361596</v>
      </c>
      <c r="AE174" s="15">
        <f>+(D.sign_Data[[#This Row],[VALOR NETO ($COP)]]+D.sign_Data[[#This Row],[NEGOCIACIÓN ($COP)]])*1%</f>
        <v>447.99454496723206</v>
      </c>
      <c r="AF174" s="15">
        <f>+(D.sign_Data[[#This Row],[VALOR NETO ($COP)]]+D.sign_Data[[#This Row],[NEGOCIACIÓN ($COP)]])*1%</f>
        <v>447.99454496723206</v>
      </c>
      <c r="AG174" s="3">
        <f>+D.sign_Data[[#This Row],[VALOR NETO ($COP)]]+D.sign_Data[[#This Row],[NEGOCIACIÓN ($COP)]]+D.sign_Data[[#This Row],[ICA ($COP)]]+D.sign_Data[[#This Row],[4 * 1000 ($COP)]]</f>
        <v>45695.443586657668</v>
      </c>
    </row>
    <row r="175" spans="1:33" ht="60" hidden="1" customHeight="1" x14ac:dyDescent="0.25">
      <c r="A175" s="14"/>
      <c r="B175" s="87" t="s">
        <v>493</v>
      </c>
      <c r="C175" s="182" t="s">
        <v>563</v>
      </c>
      <c r="D175" s="189" t="str">
        <f>VLOOKUP(D.sign_Data[[#This Row],[CÓDIGO]],Descripciones[[CÓDIGO]:[NOMBRE DE SERVICIO]],3,FALSE)</f>
        <v>D1. Parcelaciones y Condominios</v>
      </c>
      <c r="E175" s="87" t="s">
        <v>420</v>
      </c>
      <c r="F175" s="88" t="s">
        <v>564</v>
      </c>
      <c r="G175" s="88" t="s">
        <v>573</v>
      </c>
      <c r="H175" s="104" t="s">
        <v>537</v>
      </c>
      <c r="I175" s="89">
        <v>1</v>
      </c>
      <c r="J175" s="88" t="s">
        <v>574</v>
      </c>
      <c r="K175" s="102"/>
      <c r="L175" s="88" t="s">
        <v>578</v>
      </c>
      <c r="M175" s="89" t="s">
        <v>381</v>
      </c>
      <c r="N175" s="90">
        <v>9.1999999999999993</v>
      </c>
      <c r="O175" s="27">
        <f>IFERROR(+VLOOKUP(M175,D.sign_Lista_Data[[RESPONSABLE]:[SOFTWARE 
VALOR HORA]],3,FALSE),"0")</f>
        <v>20263.424518743668</v>
      </c>
      <c r="P175" s="3">
        <f t="shared" si="6"/>
        <v>186423.50557244173</v>
      </c>
      <c r="Q175" s="11">
        <f>IFERROR(+VLOOKUP(M175,D.sign_Lista_Data[[RESPONSABLE]:[SOFTWARE 
VALOR HORA]],5,FALSE)*D.sign_Data[[#This Row],[TIEMPO (HORAS)]],0)</f>
        <v>38838.23032759202</v>
      </c>
      <c r="R175" s="11">
        <f>IFERROR(+VLOOKUP(M175,D.sign_Lista_Data[[RESPONSABLE]:[SOFTWARE 
VALOR HORA]],8,FALSE)*D.sign_Data[[#This Row],[TIEMPO (HORAS)]],0)</f>
        <v>31379.864961724645</v>
      </c>
      <c r="S175" s="99">
        <v>0</v>
      </c>
      <c r="T175" s="99" t="s">
        <v>568</v>
      </c>
      <c r="U175" s="3">
        <f t="shared" si="7"/>
        <v>256641.6008617584</v>
      </c>
      <c r="V175" s="100">
        <f>D.sign_Data[[#This Row],[TIEMPO (HORAS)]]*Gastos_Operativos[[#Totals],[GASTOS HORA]]</f>
        <v>255663.18906525566</v>
      </c>
      <c r="W175" s="3">
        <f>+D.sign_Data[[#This Row],[COSTO 
DIRECTO ($COP)]]+D.sign_Data[[#This Row],[PRORRATEO GASTOS ($COP)]]</f>
        <v>512304.78992701403</v>
      </c>
      <c r="X175" s="101">
        <v>0.1</v>
      </c>
      <c r="Y175" s="15">
        <f>+D.sign_Data[[#This Row],[COSTOS OPERACIONALES ($COP)]]*D.sign_Data[[#This Row],[DESFASE (%)]]</f>
        <v>51230.478992701406</v>
      </c>
      <c r="Z175" s="101">
        <v>0.3</v>
      </c>
      <c r="AA175" s="15">
        <f>+((D.sign_Data[[#This Row],[COSTOS OPERACIONALES ($COP)]]/(100%-D.sign_Data[[#This Row],[UTILIDAD (%)]])))-D.sign_Data[[#This Row],[COSTOS OPERACIONALES ($COP)]]</f>
        <v>219559.19568300608</v>
      </c>
      <c r="AB175" s="3">
        <f>+D.sign_Data[[#This Row],[COSTOS OPERACIONALES ($COP)]]+D.sign_Data[[#This Row],[DESFASE ($COP)]]+D.sign_Data[[#This Row],[UTILIDAD ($COP)]]</f>
        <v>783094.46460272151</v>
      </c>
      <c r="AC175" s="101">
        <v>0.05</v>
      </c>
      <c r="AD175" s="15">
        <f>+D.sign_Data[[#This Row],[VALOR NETO ($COP)]]/(100%-D.sign_Data[[#This Row],[MARGEN DE NEGOCIACIÓN (%)]])-D.sign_Data[[#This Row],[VALOR NETO ($COP)]]</f>
        <v>41215.498136985349</v>
      </c>
      <c r="AE175" s="15">
        <f>+(D.sign_Data[[#This Row],[VALOR NETO ($COP)]]+D.sign_Data[[#This Row],[NEGOCIACIÓN ($COP)]])*1%</f>
        <v>8243.0996273970686</v>
      </c>
      <c r="AF175" s="15">
        <f>+(D.sign_Data[[#This Row],[VALOR NETO ($COP)]]+D.sign_Data[[#This Row],[NEGOCIACIÓN ($COP)]])*1%</f>
        <v>8243.0996273970686</v>
      </c>
      <c r="AG175" s="3">
        <f>+D.sign_Data[[#This Row],[VALOR NETO ($COP)]]+D.sign_Data[[#This Row],[NEGOCIACIÓN ($COP)]]+D.sign_Data[[#This Row],[ICA ($COP)]]+D.sign_Data[[#This Row],[4 * 1000 ($COP)]]</f>
        <v>840796.1619945009</v>
      </c>
    </row>
    <row r="176" spans="1:33" ht="60" hidden="1" customHeight="1" x14ac:dyDescent="0.25">
      <c r="A176" s="14"/>
      <c r="B176" s="87" t="s">
        <v>493</v>
      </c>
      <c r="C176" s="182" t="s">
        <v>563</v>
      </c>
      <c r="D176" s="189" t="str">
        <f>VLOOKUP(D.sign_Data[[#This Row],[CÓDIGO]],Descripciones[[CÓDIGO]:[NOMBRE DE SERVICIO]],3,FALSE)</f>
        <v>D1. Parcelaciones y Condominios</v>
      </c>
      <c r="E176" s="87" t="s">
        <v>420</v>
      </c>
      <c r="F176" s="88" t="s">
        <v>564</v>
      </c>
      <c r="G176" s="88" t="s">
        <v>573</v>
      </c>
      <c r="H176" s="104" t="s">
        <v>537</v>
      </c>
      <c r="I176" s="89">
        <v>1</v>
      </c>
      <c r="J176" s="88" t="s">
        <v>574</v>
      </c>
      <c r="K176" s="102"/>
      <c r="L176" s="88" t="s">
        <v>579</v>
      </c>
      <c r="M176" s="89" t="s">
        <v>381</v>
      </c>
      <c r="N176" s="90">
        <v>2</v>
      </c>
      <c r="O176" s="27">
        <f>IFERROR(+VLOOKUP(M176,D.sign_Lista_Data[[RESPONSABLE]:[SOFTWARE 
VALOR HORA]],3,FALSE),"0")</f>
        <v>20263.424518743668</v>
      </c>
      <c r="P176" s="3">
        <f t="shared" si="6"/>
        <v>40526.849037487336</v>
      </c>
      <c r="Q176" s="11">
        <f>IFERROR(+VLOOKUP(M176,D.sign_Lista_Data[[RESPONSABLE]:[SOFTWARE 
VALOR HORA]],5,FALSE)*D.sign_Data[[#This Row],[TIEMPO (HORAS)]],0)</f>
        <v>8443.0935494765272</v>
      </c>
      <c r="R176" s="11">
        <f>IFERROR(+VLOOKUP(M176,D.sign_Lista_Data[[RESPONSABLE]:[SOFTWARE 
VALOR HORA]],8,FALSE)*D.sign_Data[[#This Row],[TIEMPO (HORAS)]],0)</f>
        <v>6821.7097742879669</v>
      </c>
      <c r="S176" s="99">
        <v>0</v>
      </c>
      <c r="T176" s="99" t="s">
        <v>568</v>
      </c>
      <c r="U176" s="3">
        <f t="shared" si="7"/>
        <v>55791.652361251836</v>
      </c>
      <c r="V176" s="100">
        <f>D.sign_Data[[#This Row],[TIEMPO (HORAS)]]*Gastos_Operativos[[#Totals],[GASTOS HORA]]</f>
        <v>55578.954144620802</v>
      </c>
      <c r="W176" s="3">
        <f>+D.sign_Data[[#This Row],[COSTO 
DIRECTO ($COP)]]+D.sign_Data[[#This Row],[PRORRATEO GASTOS ($COP)]]</f>
        <v>111370.60650587264</v>
      </c>
      <c r="X176" s="101">
        <v>0.1</v>
      </c>
      <c r="Y176" s="15">
        <f>+D.sign_Data[[#This Row],[COSTOS OPERACIONALES ($COP)]]*D.sign_Data[[#This Row],[DESFASE (%)]]</f>
        <v>11137.060650587264</v>
      </c>
      <c r="Z176" s="101">
        <v>0.3</v>
      </c>
      <c r="AA176" s="15">
        <f>+((D.sign_Data[[#This Row],[COSTOS OPERACIONALES ($COP)]]/(100%-D.sign_Data[[#This Row],[UTILIDAD (%)]])))-D.sign_Data[[#This Row],[COSTOS OPERACIONALES ($COP)]]</f>
        <v>47730.259931088294</v>
      </c>
      <c r="AB176" s="3">
        <f>+D.sign_Data[[#This Row],[COSTOS OPERACIONALES ($COP)]]+D.sign_Data[[#This Row],[DESFASE ($COP)]]+D.sign_Data[[#This Row],[UTILIDAD ($COP)]]</f>
        <v>170237.92708754819</v>
      </c>
      <c r="AC176" s="101">
        <v>0.05</v>
      </c>
      <c r="AD176" s="15">
        <f>+D.sign_Data[[#This Row],[VALOR NETO ($COP)]]/(100%-D.sign_Data[[#This Row],[MARGEN DE NEGOCIACIÓN (%)]])-D.sign_Data[[#This Row],[VALOR NETO ($COP)]]</f>
        <v>8959.8908993446385</v>
      </c>
      <c r="AE176" s="15">
        <f>+(D.sign_Data[[#This Row],[VALOR NETO ($COP)]]+D.sign_Data[[#This Row],[NEGOCIACIÓN ($COP)]])*1%</f>
        <v>1791.9781798689282</v>
      </c>
      <c r="AF176" s="15">
        <f>+(D.sign_Data[[#This Row],[VALOR NETO ($COP)]]+D.sign_Data[[#This Row],[NEGOCIACIÓN ($COP)]])*1%</f>
        <v>1791.9781798689282</v>
      </c>
      <c r="AG176" s="3">
        <f>+D.sign_Data[[#This Row],[VALOR NETO ($COP)]]+D.sign_Data[[#This Row],[NEGOCIACIÓN ($COP)]]+D.sign_Data[[#This Row],[ICA ($COP)]]+D.sign_Data[[#This Row],[4 * 1000 ($COP)]]</f>
        <v>182781.77434663067</v>
      </c>
    </row>
    <row r="177" spans="1:33" ht="60" hidden="1" customHeight="1" x14ac:dyDescent="0.25">
      <c r="A177" s="14"/>
      <c r="B177" s="87" t="s">
        <v>493</v>
      </c>
      <c r="C177" s="182" t="s">
        <v>563</v>
      </c>
      <c r="D177" s="189" t="str">
        <f>VLOOKUP(D.sign_Data[[#This Row],[CÓDIGO]],Descripciones[[CÓDIGO]:[NOMBRE DE SERVICIO]],3,FALSE)</f>
        <v>D1. Parcelaciones y Condominios</v>
      </c>
      <c r="E177" s="87" t="s">
        <v>420</v>
      </c>
      <c r="F177" s="88" t="s">
        <v>564</v>
      </c>
      <c r="G177" s="88" t="s">
        <v>573</v>
      </c>
      <c r="H177" s="104" t="s">
        <v>537</v>
      </c>
      <c r="I177" s="89">
        <v>1</v>
      </c>
      <c r="J177" s="88" t="s">
        <v>574</v>
      </c>
      <c r="K177" s="102"/>
      <c r="L177" s="88" t="s">
        <v>570</v>
      </c>
      <c r="M177" s="89" t="s">
        <v>381</v>
      </c>
      <c r="N177" s="90">
        <v>1</v>
      </c>
      <c r="O177" s="27">
        <f>IFERROR(+VLOOKUP(M177,D.sign_Lista_Data[[RESPONSABLE]:[SOFTWARE 
VALOR HORA]],3,FALSE),"0")</f>
        <v>20263.424518743668</v>
      </c>
      <c r="P177" s="3">
        <f t="shared" si="6"/>
        <v>20263.424518743668</v>
      </c>
      <c r="Q177" s="11">
        <f>IFERROR(+VLOOKUP(M177,D.sign_Lista_Data[[RESPONSABLE]:[SOFTWARE 
VALOR HORA]],5,FALSE)*D.sign_Data[[#This Row],[TIEMPO (HORAS)]],0)</f>
        <v>4221.5467747382636</v>
      </c>
      <c r="R177" s="11">
        <f>IFERROR(+VLOOKUP(M177,D.sign_Lista_Data[[RESPONSABLE]:[SOFTWARE 
VALOR HORA]],8,FALSE)*D.sign_Data[[#This Row],[TIEMPO (HORAS)]],0)</f>
        <v>3410.8548871439834</v>
      </c>
      <c r="S177" s="99">
        <v>0</v>
      </c>
      <c r="T177" s="99" t="s">
        <v>568</v>
      </c>
      <c r="U177" s="3">
        <f t="shared" si="7"/>
        <v>27895.826180625918</v>
      </c>
      <c r="V177" s="100">
        <f>D.sign_Data[[#This Row],[TIEMPO (HORAS)]]*Gastos_Operativos[[#Totals],[GASTOS HORA]]</f>
        <v>27789.477072310401</v>
      </c>
      <c r="W177" s="3">
        <f>+D.sign_Data[[#This Row],[COSTO 
DIRECTO ($COP)]]+D.sign_Data[[#This Row],[PRORRATEO GASTOS ($COP)]]</f>
        <v>55685.303252936319</v>
      </c>
      <c r="X177" s="101">
        <v>0.1</v>
      </c>
      <c r="Y177" s="15">
        <f>+D.sign_Data[[#This Row],[COSTOS OPERACIONALES ($COP)]]*D.sign_Data[[#This Row],[DESFASE (%)]]</f>
        <v>5568.5303252936319</v>
      </c>
      <c r="Z177" s="101">
        <v>0.3</v>
      </c>
      <c r="AA177" s="15">
        <f>+((D.sign_Data[[#This Row],[COSTOS OPERACIONALES ($COP)]]/(100%-D.sign_Data[[#This Row],[UTILIDAD (%)]])))-D.sign_Data[[#This Row],[COSTOS OPERACIONALES ($COP)]]</f>
        <v>23865.129965544147</v>
      </c>
      <c r="AB177" s="3">
        <f>+D.sign_Data[[#This Row],[COSTOS OPERACIONALES ($COP)]]+D.sign_Data[[#This Row],[DESFASE ($COP)]]+D.sign_Data[[#This Row],[UTILIDAD ($COP)]]</f>
        <v>85118.963543774094</v>
      </c>
      <c r="AC177" s="101">
        <v>0.05</v>
      </c>
      <c r="AD177" s="15">
        <f>+D.sign_Data[[#This Row],[VALOR NETO ($COP)]]/(100%-D.sign_Data[[#This Row],[MARGEN DE NEGOCIACIÓN (%)]])-D.sign_Data[[#This Row],[VALOR NETO ($COP)]]</f>
        <v>4479.9454496723192</v>
      </c>
      <c r="AE177" s="15">
        <f>+(D.sign_Data[[#This Row],[VALOR NETO ($COP)]]+D.sign_Data[[#This Row],[NEGOCIACIÓN ($COP)]])*1%</f>
        <v>895.98908993446412</v>
      </c>
      <c r="AF177" s="15">
        <f>+(D.sign_Data[[#This Row],[VALOR NETO ($COP)]]+D.sign_Data[[#This Row],[NEGOCIACIÓN ($COP)]])*1%</f>
        <v>895.98908993446412</v>
      </c>
      <c r="AG177" s="3">
        <f>+D.sign_Data[[#This Row],[VALOR NETO ($COP)]]+D.sign_Data[[#This Row],[NEGOCIACIÓN ($COP)]]+D.sign_Data[[#This Row],[ICA ($COP)]]+D.sign_Data[[#This Row],[4 * 1000 ($COP)]]</f>
        <v>91390.887173315336</v>
      </c>
    </row>
    <row r="178" spans="1:33" ht="60" hidden="1" customHeight="1" x14ac:dyDescent="0.25">
      <c r="A178" s="14"/>
      <c r="B178" s="87" t="s">
        <v>493</v>
      </c>
      <c r="C178" s="182" t="s">
        <v>563</v>
      </c>
      <c r="D178" s="189" t="str">
        <f>VLOOKUP(D.sign_Data[[#This Row],[CÓDIGO]],Descripciones[[CÓDIGO]:[NOMBRE DE SERVICIO]],3,FALSE)</f>
        <v>D1. Parcelaciones y Condominios</v>
      </c>
      <c r="E178" s="87" t="s">
        <v>420</v>
      </c>
      <c r="F178" s="88" t="s">
        <v>564</v>
      </c>
      <c r="G178" s="88" t="s">
        <v>573</v>
      </c>
      <c r="H178" s="104" t="s">
        <v>537</v>
      </c>
      <c r="I178" s="89">
        <v>1</v>
      </c>
      <c r="J178" s="88" t="s">
        <v>574</v>
      </c>
      <c r="K178" s="102"/>
      <c r="L178" s="88" t="s">
        <v>483</v>
      </c>
      <c r="M178" s="89" t="s">
        <v>381</v>
      </c>
      <c r="N178" s="90">
        <v>0.1</v>
      </c>
      <c r="O178" s="27">
        <f>IFERROR(+VLOOKUP(M178,D.sign_Lista_Data[[RESPONSABLE]:[SOFTWARE 
VALOR HORA]],3,FALSE),"0")</f>
        <v>20263.424518743668</v>
      </c>
      <c r="P178" s="3">
        <f t="shared" si="6"/>
        <v>2026.3424518743668</v>
      </c>
      <c r="Q178" s="11">
        <f>IFERROR(+VLOOKUP(M178,D.sign_Lista_Data[[RESPONSABLE]:[SOFTWARE 
VALOR HORA]],5,FALSE)*D.sign_Data[[#This Row],[TIEMPO (HORAS)]],0)</f>
        <v>422.15467747382638</v>
      </c>
      <c r="R178" s="11">
        <f>IFERROR(+VLOOKUP(M178,D.sign_Lista_Data[[RESPONSABLE]:[SOFTWARE 
VALOR HORA]],8,FALSE)*D.sign_Data[[#This Row],[TIEMPO (HORAS)]],0)</f>
        <v>341.08548871439837</v>
      </c>
      <c r="S178" s="99">
        <v>0</v>
      </c>
      <c r="T178" s="99" t="s">
        <v>568</v>
      </c>
      <c r="U178" s="3">
        <f t="shared" si="7"/>
        <v>2789.5826180625913</v>
      </c>
      <c r="V178" s="100">
        <f>D.sign_Data[[#This Row],[TIEMPO (HORAS)]]*Gastos_Operativos[[#Totals],[GASTOS HORA]]</f>
        <v>2778.9477072310401</v>
      </c>
      <c r="W178" s="3">
        <f>+D.sign_Data[[#This Row],[COSTO 
DIRECTO ($COP)]]+D.sign_Data[[#This Row],[PRORRATEO GASTOS ($COP)]]</f>
        <v>5568.5303252936319</v>
      </c>
      <c r="X178" s="101">
        <v>0.1</v>
      </c>
      <c r="Y178" s="15">
        <f>+D.sign_Data[[#This Row],[COSTOS OPERACIONALES ($COP)]]*D.sign_Data[[#This Row],[DESFASE (%)]]</f>
        <v>556.85303252936319</v>
      </c>
      <c r="Z178" s="101">
        <v>0.3</v>
      </c>
      <c r="AA178" s="15">
        <f>+((D.sign_Data[[#This Row],[COSTOS OPERACIONALES ($COP)]]/(100%-D.sign_Data[[#This Row],[UTILIDAD (%)]])))-D.sign_Data[[#This Row],[COSTOS OPERACIONALES ($COP)]]</f>
        <v>2386.5129965544138</v>
      </c>
      <c r="AB178" s="3">
        <f>+D.sign_Data[[#This Row],[COSTOS OPERACIONALES ($COP)]]+D.sign_Data[[#This Row],[DESFASE ($COP)]]+D.sign_Data[[#This Row],[UTILIDAD ($COP)]]</f>
        <v>8511.896354377408</v>
      </c>
      <c r="AC178" s="101">
        <v>0.05</v>
      </c>
      <c r="AD178" s="15">
        <f>+D.sign_Data[[#This Row],[VALOR NETO ($COP)]]/(100%-D.sign_Data[[#This Row],[MARGEN DE NEGOCIACIÓN (%)]])-D.sign_Data[[#This Row],[VALOR NETO ($COP)]]</f>
        <v>447.99454496723229</v>
      </c>
      <c r="AE178" s="15">
        <f>+(D.sign_Data[[#This Row],[VALOR NETO ($COP)]]+D.sign_Data[[#This Row],[NEGOCIACIÓN ($COP)]])*1%</f>
        <v>89.5989089934464</v>
      </c>
      <c r="AF178" s="15">
        <f>+(D.sign_Data[[#This Row],[VALOR NETO ($COP)]]+D.sign_Data[[#This Row],[NEGOCIACIÓN ($COP)]])*1%</f>
        <v>89.5989089934464</v>
      </c>
      <c r="AG178" s="3">
        <f>+D.sign_Data[[#This Row],[VALOR NETO ($COP)]]+D.sign_Data[[#This Row],[NEGOCIACIÓN ($COP)]]+D.sign_Data[[#This Row],[ICA ($COP)]]+D.sign_Data[[#This Row],[4 * 1000 ($COP)]]</f>
        <v>9139.0887173315332</v>
      </c>
    </row>
    <row r="179" spans="1:33" ht="60" hidden="1" customHeight="1" x14ac:dyDescent="0.25">
      <c r="A179" s="14"/>
      <c r="B179" s="87" t="s">
        <v>493</v>
      </c>
      <c r="C179" s="182" t="s">
        <v>563</v>
      </c>
      <c r="D179" s="189" t="str">
        <f>VLOOKUP(D.sign_Data[[#This Row],[CÓDIGO]],Descripciones[[CÓDIGO]:[NOMBRE DE SERVICIO]],3,FALSE)</f>
        <v>D1. Parcelaciones y Condominios</v>
      </c>
      <c r="E179" s="87" t="s">
        <v>420</v>
      </c>
      <c r="F179" s="88" t="s">
        <v>564</v>
      </c>
      <c r="G179" s="88" t="s">
        <v>573</v>
      </c>
      <c r="H179" s="104" t="s">
        <v>537</v>
      </c>
      <c r="I179" s="89">
        <v>1</v>
      </c>
      <c r="J179" s="88" t="s">
        <v>574</v>
      </c>
      <c r="K179" s="102"/>
      <c r="L179" s="88" t="s">
        <v>572</v>
      </c>
      <c r="M179" s="89" t="s">
        <v>381</v>
      </c>
      <c r="N179" s="90">
        <v>0.1</v>
      </c>
      <c r="O179" s="27">
        <f>IFERROR(+VLOOKUP(M179,D.sign_Lista_Data[[RESPONSABLE]:[SOFTWARE 
VALOR HORA]],3,FALSE),"0")</f>
        <v>20263.424518743668</v>
      </c>
      <c r="P179" s="3">
        <f t="shared" si="6"/>
        <v>2026.3424518743668</v>
      </c>
      <c r="Q179" s="11">
        <f>IFERROR(+VLOOKUP(M179,D.sign_Lista_Data[[RESPONSABLE]:[SOFTWARE 
VALOR HORA]],5,FALSE)*D.sign_Data[[#This Row],[TIEMPO (HORAS)]],0)</f>
        <v>422.15467747382638</v>
      </c>
      <c r="R179" s="11">
        <f>IFERROR(+VLOOKUP(M179,D.sign_Lista_Data[[RESPONSABLE]:[SOFTWARE 
VALOR HORA]],8,FALSE)*D.sign_Data[[#This Row],[TIEMPO (HORAS)]],0)</f>
        <v>341.08548871439837</v>
      </c>
      <c r="S179" s="99">
        <v>0</v>
      </c>
      <c r="T179" s="99" t="s">
        <v>568</v>
      </c>
      <c r="U179" s="3">
        <f t="shared" si="7"/>
        <v>2789.5826180625913</v>
      </c>
      <c r="V179" s="100">
        <f>D.sign_Data[[#This Row],[TIEMPO (HORAS)]]*Gastos_Operativos[[#Totals],[GASTOS HORA]]</f>
        <v>2778.9477072310401</v>
      </c>
      <c r="W179" s="3">
        <f>+D.sign_Data[[#This Row],[COSTO 
DIRECTO ($COP)]]+D.sign_Data[[#This Row],[PRORRATEO GASTOS ($COP)]]</f>
        <v>5568.5303252936319</v>
      </c>
      <c r="X179" s="101">
        <v>0.1</v>
      </c>
      <c r="Y179" s="15">
        <f>+D.sign_Data[[#This Row],[COSTOS OPERACIONALES ($COP)]]*D.sign_Data[[#This Row],[DESFASE (%)]]</f>
        <v>556.85303252936319</v>
      </c>
      <c r="Z179" s="101">
        <v>0.3</v>
      </c>
      <c r="AA179" s="15">
        <f>+((D.sign_Data[[#This Row],[COSTOS OPERACIONALES ($COP)]]/(100%-D.sign_Data[[#This Row],[UTILIDAD (%)]])))-D.sign_Data[[#This Row],[COSTOS OPERACIONALES ($COP)]]</f>
        <v>2386.5129965544138</v>
      </c>
      <c r="AB179" s="3">
        <f>+D.sign_Data[[#This Row],[COSTOS OPERACIONALES ($COP)]]+D.sign_Data[[#This Row],[DESFASE ($COP)]]+D.sign_Data[[#This Row],[UTILIDAD ($COP)]]</f>
        <v>8511.896354377408</v>
      </c>
      <c r="AC179" s="101">
        <v>0.05</v>
      </c>
      <c r="AD179" s="15">
        <f>+D.sign_Data[[#This Row],[VALOR NETO ($COP)]]/(100%-D.sign_Data[[#This Row],[MARGEN DE NEGOCIACIÓN (%)]])-D.sign_Data[[#This Row],[VALOR NETO ($COP)]]</f>
        <v>447.99454496723229</v>
      </c>
      <c r="AE179" s="15">
        <f>+(D.sign_Data[[#This Row],[VALOR NETO ($COP)]]+D.sign_Data[[#This Row],[NEGOCIACIÓN ($COP)]])*1%</f>
        <v>89.5989089934464</v>
      </c>
      <c r="AF179" s="15">
        <f>+(D.sign_Data[[#This Row],[VALOR NETO ($COP)]]+D.sign_Data[[#This Row],[NEGOCIACIÓN ($COP)]])*1%</f>
        <v>89.5989089934464</v>
      </c>
      <c r="AG179" s="3">
        <f>+D.sign_Data[[#This Row],[VALOR NETO ($COP)]]+D.sign_Data[[#This Row],[NEGOCIACIÓN ($COP)]]+D.sign_Data[[#This Row],[ICA ($COP)]]+D.sign_Data[[#This Row],[4 * 1000 ($COP)]]</f>
        <v>9139.0887173315332</v>
      </c>
    </row>
    <row r="180" spans="1:33" ht="60" hidden="1" customHeight="1" x14ac:dyDescent="0.25">
      <c r="A180" s="14"/>
      <c r="B180" s="87" t="s">
        <v>493</v>
      </c>
      <c r="C180" s="182" t="s">
        <v>563</v>
      </c>
      <c r="D180" s="189" t="str">
        <f>VLOOKUP(D.sign_Data[[#This Row],[CÓDIGO]],Descripciones[[CÓDIGO]:[NOMBRE DE SERVICIO]],3,FALSE)</f>
        <v>D1. Parcelaciones y Condominios</v>
      </c>
      <c r="E180" s="87" t="s">
        <v>420</v>
      </c>
      <c r="F180" s="88" t="s">
        <v>564</v>
      </c>
      <c r="G180" s="88" t="s">
        <v>580</v>
      </c>
      <c r="H180" s="104" t="s">
        <v>537</v>
      </c>
      <c r="I180" s="89">
        <v>1</v>
      </c>
      <c r="J180" s="88" t="s">
        <v>581</v>
      </c>
      <c r="K180" s="102"/>
      <c r="L180" s="88" t="s">
        <v>575</v>
      </c>
      <c r="M180" s="89" t="s">
        <v>381</v>
      </c>
      <c r="N180" s="90">
        <v>9.1999999999999993</v>
      </c>
      <c r="O180" s="27">
        <f>IFERROR(+VLOOKUP(M180,D.sign_Lista_Data[[RESPONSABLE]:[SOFTWARE 
VALOR HORA]],3,FALSE),"0")</f>
        <v>20263.424518743668</v>
      </c>
      <c r="P180" s="3">
        <f t="shared" si="6"/>
        <v>186423.50557244173</v>
      </c>
      <c r="Q180" s="11">
        <f>IFERROR(+VLOOKUP(M180,D.sign_Lista_Data[[RESPONSABLE]:[SOFTWARE 
VALOR HORA]],5,FALSE)*D.sign_Data[[#This Row],[TIEMPO (HORAS)]],0)</f>
        <v>38838.23032759202</v>
      </c>
      <c r="R180" s="11">
        <f>IFERROR(+VLOOKUP(M180,D.sign_Lista_Data[[RESPONSABLE]:[SOFTWARE 
VALOR HORA]],8,FALSE)*D.sign_Data[[#This Row],[TIEMPO (HORAS)]],0)</f>
        <v>31379.864961724645</v>
      </c>
      <c r="S180" s="99">
        <v>0</v>
      </c>
      <c r="T180" s="99" t="s">
        <v>568</v>
      </c>
      <c r="U180" s="3">
        <f t="shared" si="7"/>
        <v>256641.6008617584</v>
      </c>
      <c r="V180" s="100">
        <f>D.sign_Data[[#This Row],[TIEMPO (HORAS)]]*Gastos_Operativos[[#Totals],[GASTOS HORA]]</f>
        <v>255663.18906525566</v>
      </c>
      <c r="W180" s="3">
        <f>+D.sign_Data[[#This Row],[COSTO 
DIRECTO ($COP)]]+D.sign_Data[[#This Row],[PRORRATEO GASTOS ($COP)]]</f>
        <v>512304.78992701403</v>
      </c>
      <c r="X180" s="101">
        <v>0.1</v>
      </c>
      <c r="Y180" s="15">
        <f>+D.sign_Data[[#This Row],[COSTOS OPERACIONALES ($COP)]]*D.sign_Data[[#This Row],[DESFASE (%)]]</f>
        <v>51230.478992701406</v>
      </c>
      <c r="Z180" s="101">
        <v>0.3</v>
      </c>
      <c r="AA180" s="15">
        <f>+((D.sign_Data[[#This Row],[COSTOS OPERACIONALES ($COP)]]/(100%-D.sign_Data[[#This Row],[UTILIDAD (%)]])))-D.sign_Data[[#This Row],[COSTOS OPERACIONALES ($COP)]]</f>
        <v>219559.19568300608</v>
      </c>
      <c r="AB180" s="3">
        <f>+D.sign_Data[[#This Row],[COSTOS OPERACIONALES ($COP)]]+D.sign_Data[[#This Row],[DESFASE ($COP)]]+D.sign_Data[[#This Row],[UTILIDAD ($COP)]]</f>
        <v>783094.46460272151</v>
      </c>
      <c r="AC180" s="101">
        <v>0.05</v>
      </c>
      <c r="AD180" s="15">
        <f>+D.sign_Data[[#This Row],[VALOR NETO ($COP)]]/(100%-D.sign_Data[[#This Row],[MARGEN DE NEGOCIACIÓN (%)]])-D.sign_Data[[#This Row],[VALOR NETO ($COP)]]</f>
        <v>41215.498136985349</v>
      </c>
      <c r="AE180" s="15">
        <f>+(D.sign_Data[[#This Row],[VALOR NETO ($COP)]]+D.sign_Data[[#This Row],[NEGOCIACIÓN ($COP)]])*1%</f>
        <v>8243.0996273970686</v>
      </c>
      <c r="AF180" s="15">
        <f>+(D.sign_Data[[#This Row],[VALOR NETO ($COP)]]+D.sign_Data[[#This Row],[NEGOCIACIÓN ($COP)]])*1%</f>
        <v>8243.0996273970686</v>
      </c>
      <c r="AG180" s="3">
        <f>+D.sign_Data[[#This Row],[VALOR NETO ($COP)]]+D.sign_Data[[#This Row],[NEGOCIACIÓN ($COP)]]+D.sign_Data[[#This Row],[ICA ($COP)]]+D.sign_Data[[#This Row],[4 * 1000 ($COP)]]</f>
        <v>840796.1619945009</v>
      </c>
    </row>
    <row r="181" spans="1:33" ht="60" hidden="1" customHeight="1" x14ac:dyDescent="0.25">
      <c r="A181" s="14"/>
      <c r="B181" s="87" t="s">
        <v>493</v>
      </c>
      <c r="C181" s="182" t="s">
        <v>563</v>
      </c>
      <c r="D181" s="189" t="str">
        <f>VLOOKUP(D.sign_Data[[#This Row],[CÓDIGO]],Descripciones[[CÓDIGO]:[NOMBRE DE SERVICIO]],3,FALSE)</f>
        <v>D1. Parcelaciones y Condominios</v>
      </c>
      <c r="E181" s="87" t="s">
        <v>420</v>
      </c>
      <c r="F181" s="88" t="s">
        <v>564</v>
      </c>
      <c r="G181" s="88" t="s">
        <v>580</v>
      </c>
      <c r="H181" s="104" t="s">
        <v>537</v>
      </c>
      <c r="I181" s="89">
        <v>1</v>
      </c>
      <c r="J181" s="88" t="s">
        <v>581</v>
      </c>
      <c r="K181" s="102"/>
      <c r="L181" s="88" t="s">
        <v>576</v>
      </c>
      <c r="M181" s="89" t="s">
        <v>381</v>
      </c>
      <c r="N181" s="90">
        <v>3</v>
      </c>
      <c r="O181" s="27">
        <f>IFERROR(+VLOOKUP(M181,D.sign_Lista_Data[[RESPONSABLE]:[SOFTWARE 
VALOR HORA]],3,FALSE),"0")</f>
        <v>20263.424518743668</v>
      </c>
      <c r="P181" s="3">
        <f t="shared" si="6"/>
        <v>60790.273556231004</v>
      </c>
      <c r="Q181" s="11">
        <f>IFERROR(+VLOOKUP(M181,D.sign_Lista_Data[[RESPONSABLE]:[SOFTWARE 
VALOR HORA]],5,FALSE)*D.sign_Data[[#This Row],[TIEMPO (HORAS)]],0)</f>
        <v>12664.64032421479</v>
      </c>
      <c r="R181" s="11">
        <f>IFERROR(+VLOOKUP(M181,D.sign_Lista_Data[[RESPONSABLE]:[SOFTWARE 
VALOR HORA]],8,FALSE)*D.sign_Data[[#This Row],[TIEMPO (HORAS)]],0)</f>
        <v>10232.56466143195</v>
      </c>
      <c r="S181" s="99">
        <v>0</v>
      </c>
      <c r="T181" s="99" t="s">
        <v>568</v>
      </c>
      <c r="U181" s="3">
        <f t="shared" si="7"/>
        <v>83687.478541877746</v>
      </c>
      <c r="V181" s="100">
        <f>D.sign_Data[[#This Row],[TIEMPO (HORAS)]]*Gastos_Operativos[[#Totals],[GASTOS HORA]]</f>
        <v>83368.431216931203</v>
      </c>
      <c r="W181" s="3">
        <f>+D.sign_Data[[#This Row],[COSTO 
DIRECTO ($COP)]]+D.sign_Data[[#This Row],[PRORRATEO GASTOS ($COP)]]</f>
        <v>167055.90975880896</v>
      </c>
      <c r="X181" s="101">
        <v>0.1</v>
      </c>
      <c r="Y181" s="15">
        <f>+D.sign_Data[[#This Row],[COSTOS OPERACIONALES ($COP)]]*D.sign_Data[[#This Row],[DESFASE (%)]]</f>
        <v>16705.590975880896</v>
      </c>
      <c r="Z181" s="101">
        <v>0.3</v>
      </c>
      <c r="AA181" s="15">
        <f>+((D.sign_Data[[#This Row],[COSTOS OPERACIONALES ($COP)]]/(100%-D.sign_Data[[#This Row],[UTILIDAD (%)]])))-D.sign_Data[[#This Row],[COSTOS OPERACIONALES ($COP)]]</f>
        <v>71595.389896632434</v>
      </c>
      <c r="AB181" s="3">
        <f>+D.sign_Data[[#This Row],[COSTOS OPERACIONALES ($COP)]]+D.sign_Data[[#This Row],[DESFASE ($COP)]]+D.sign_Data[[#This Row],[UTILIDAD ($COP)]]</f>
        <v>255356.89063132228</v>
      </c>
      <c r="AC181" s="101">
        <v>0.05</v>
      </c>
      <c r="AD181" s="15">
        <f>+D.sign_Data[[#This Row],[VALOR NETO ($COP)]]/(100%-D.sign_Data[[#This Row],[MARGEN DE NEGOCIACIÓN (%)]])-D.sign_Data[[#This Row],[VALOR NETO ($COP)]]</f>
        <v>13439.836349016987</v>
      </c>
      <c r="AE181" s="15">
        <f>+(D.sign_Data[[#This Row],[VALOR NETO ($COP)]]+D.sign_Data[[#This Row],[NEGOCIACIÓN ($COP)]])*1%</f>
        <v>2687.9672698033928</v>
      </c>
      <c r="AF181" s="15">
        <f>+(D.sign_Data[[#This Row],[VALOR NETO ($COP)]]+D.sign_Data[[#This Row],[NEGOCIACIÓN ($COP)]])*1%</f>
        <v>2687.9672698033928</v>
      </c>
      <c r="AG181" s="3">
        <f>+D.sign_Data[[#This Row],[VALOR NETO ($COP)]]+D.sign_Data[[#This Row],[NEGOCIACIÓN ($COP)]]+D.sign_Data[[#This Row],[ICA ($COP)]]+D.sign_Data[[#This Row],[4 * 1000 ($COP)]]</f>
        <v>274172.66151994606</v>
      </c>
    </row>
    <row r="182" spans="1:33" ht="60" hidden="1" customHeight="1" x14ac:dyDescent="0.25">
      <c r="A182" s="14"/>
      <c r="B182" s="87" t="s">
        <v>493</v>
      </c>
      <c r="C182" s="182" t="s">
        <v>563</v>
      </c>
      <c r="D182" s="189" t="str">
        <f>VLOOKUP(D.sign_Data[[#This Row],[CÓDIGO]],Descripciones[[CÓDIGO]:[NOMBRE DE SERVICIO]],3,FALSE)</f>
        <v>D1. Parcelaciones y Condominios</v>
      </c>
      <c r="E182" s="87" t="s">
        <v>420</v>
      </c>
      <c r="F182" s="88" t="s">
        <v>564</v>
      </c>
      <c r="G182" s="88" t="s">
        <v>580</v>
      </c>
      <c r="H182" s="104" t="s">
        <v>537</v>
      </c>
      <c r="I182" s="89">
        <v>1</v>
      </c>
      <c r="J182" s="88" t="s">
        <v>581</v>
      </c>
      <c r="K182" s="102"/>
      <c r="L182" s="88" t="s">
        <v>577</v>
      </c>
      <c r="M182" s="89" t="s">
        <v>381</v>
      </c>
      <c r="N182" s="90">
        <v>0.5</v>
      </c>
      <c r="O182" s="27">
        <f>IFERROR(+VLOOKUP(M182,D.sign_Lista_Data[[RESPONSABLE]:[SOFTWARE 
VALOR HORA]],3,FALSE),"0")</f>
        <v>20263.424518743668</v>
      </c>
      <c r="P182" s="3">
        <f t="shared" si="6"/>
        <v>10131.712259371834</v>
      </c>
      <c r="Q182" s="11">
        <f>IFERROR(+VLOOKUP(M182,D.sign_Lista_Data[[RESPONSABLE]:[SOFTWARE 
VALOR HORA]],5,FALSE)*D.sign_Data[[#This Row],[TIEMPO (HORAS)]],0)</f>
        <v>2110.7733873691318</v>
      </c>
      <c r="R182" s="11">
        <f>IFERROR(+VLOOKUP(M182,D.sign_Lista_Data[[RESPONSABLE]:[SOFTWARE 
VALOR HORA]],8,FALSE)*D.sign_Data[[#This Row],[TIEMPO (HORAS)]],0)</f>
        <v>1705.4274435719917</v>
      </c>
      <c r="S182" s="99">
        <v>0</v>
      </c>
      <c r="T182" s="99" t="s">
        <v>568</v>
      </c>
      <c r="U182" s="3">
        <f t="shared" si="7"/>
        <v>13947.913090312959</v>
      </c>
      <c r="V182" s="100">
        <f>D.sign_Data[[#This Row],[TIEMPO (HORAS)]]*Gastos_Operativos[[#Totals],[GASTOS HORA]]</f>
        <v>13894.738536155201</v>
      </c>
      <c r="W182" s="3">
        <f>+D.sign_Data[[#This Row],[COSTO 
DIRECTO ($COP)]]+D.sign_Data[[#This Row],[PRORRATEO GASTOS ($COP)]]</f>
        <v>27842.65162646816</v>
      </c>
      <c r="X182" s="101">
        <v>0.1</v>
      </c>
      <c r="Y182" s="15">
        <f>+D.sign_Data[[#This Row],[COSTOS OPERACIONALES ($COP)]]*D.sign_Data[[#This Row],[DESFASE (%)]]</f>
        <v>2784.265162646816</v>
      </c>
      <c r="Z182" s="101">
        <v>0.3</v>
      </c>
      <c r="AA182" s="15">
        <f>+((D.sign_Data[[#This Row],[COSTOS OPERACIONALES ($COP)]]/(100%-D.sign_Data[[#This Row],[UTILIDAD (%)]])))-D.sign_Data[[#This Row],[COSTOS OPERACIONALES ($COP)]]</f>
        <v>11932.564982772074</v>
      </c>
      <c r="AB182" s="3">
        <f>+D.sign_Data[[#This Row],[COSTOS OPERACIONALES ($COP)]]+D.sign_Data[[#This Row],[DESFASE ($COP)]]+D.sign_Data[[#This Row],[UTILIDAD ($COP)]]</f>
        <v>42559.481771887047</v>
      </c>
      <c r="AC182" s="101">
        <v>0.05</v>
      </c>
      <c r="AD182" s="15">
        <f>+D.sign_Data[[#This Row],[VALOR NETO ($COP)]]/(100%-D.sign_Data[[#This Row],[MARGEN DE NEGOCIACIÓN (%)]])-D.sign_Data[[#This Row],[VALOR NETO ($COP)]]</f>
        <v>2239.9727248361596</v>
      </c>
      <c r="AE182" s="15">
        <f>+(D.sign_Data[[#This Row],[VALOR NETO ($COP)]]+D.sign_Data[[#This Row],[NEGOCIACIÓN ($COP)]])*1%</f>
        <v>447.99454496723206</v>
      </c>
      <c r="AF182" s="15">
        <f>+(D.sign_Data[[#This Row],[VALOR NETO ($COP)]]+D.sign_Data[[#This Row],[NEGOCIACIÓN ($COP)]])*1%</f>
        <v>447.99454496723206</v>
      </c>
      <c r="AG182" s="3">
        <f>+D.sign_Data[[#This Row],[VALOR NETO ($COP)]]+D.sign_Data[[#This Row],[NEGOCIACIÓN ($COP)]]+D.sign_Data[[#This Row],[ICA ($COP)]]+D.sign_Data[[#This Row],[4 * 1000 ($COP)]]</f>
        <v>45695.443586657668</v>
      </c>
    </row>
    <row r="183" spans="1:33" ht="60" hidden="1" customHeight="1" x14ac:dyDescent="0.25">
      <c r="A183" s="14"/>
      <c r="B183" s="87" t="s">
        <v>493</v>
      </c>
      <c r="C183" s="182" t="s">
        <v>563</v>
      </c>
      <c r="D183" s="189" t="str">
        <f>VLOOKUP(D.sign_Data[[#This Row],[CÓDIGO]],Descripciones[[CÓDIGO]:[NOMBRE DE SERVICIO]],3,FALSE)</f>
        <v>D1. Parcelaciones y Condominios</v>
      </c>
      <c r="E183" s="87" t="s">
        <v>420</v>
      </c>
      <c r="F183" s="88" t="s">
        <v>564</v>
      </c>
      <c r="G183" s="88" t="s">
        <v>580</v>
      </c>
      <c r="H183" s="104" t="s">
        <v>537</v>
      </c>
      <c r="I183" s="89">
        <v>1</v>
      </c>
      <c r="J183" s="88" t="s">
        <v>581</v>
      </c>
      <c r="K183" s="102"/>
      <c r="L183" s="88" t="s">
        <v>578</v>
      </c>
      <c r="M183" s="89" t="s">
        <v>381</v>
      </c>
      <c r="N183" s="90">
        <v>9.1999999999999993</v>
      </c>
      <c r="O183" s="27">
        <f>IFERROR(+VLOOKUP(M183,D.sign_Lista_Data[[RESPONSABLE]:[SOFTWARE 
VALOR HORA]],3,FALSE),"0")</f>
        <v>20263.424518743668</v>
      </c>
      <c r="P183" s="3">
        <f t="shared" si="6"/>
        <v>186423.50557244173</v>
      </c>
      <c r="Q183" s="11">
        <f>IFERROR(+VLOOKUP(M183,D.sign_Lista_Data[[RESPONSABLE]:[SOFTWARE 
VALOR HORA]],5,FALSE)*D.sign_Data[[#This Row],[TIEMPO (HORAS)]],0)</f>
        <v>38838.23032759202</v>
      </c>
      <c r="R183" s="11">
        <f>IFERROR(+VLOOKUP(M183,D.sign_Lista_Data[[RESPONSABLE]:[SOFTWARE 
VALOR HORA]],8,FALSE)*D.sign_Data[[#This Row],[TIEMPO (HORAS)]],0)</f>
        <v>31379.864961724645</v>
      </c>
      <c r="S183" s="99">
        <v>0</v>
      </c>
      <c r="T183" s="99" t="s">
        <v>568</v>
      </c>
      <c r="U183" s="3">
        <f t="shared" si="7"/>
        <v>256641.6008617584</v>
      </c>
      <c r="V183" s="100">
        <f>D.sign_Data[[#This Row],[TIEMPO (HORAS)]]*Gastos_Operativos[[#Totals],[GASTOS HORA]]</f>
        <v>255663.18906525566</v>
      </c>
      <c r="W183" s="3">
        <f>+D.sign_Data[[#This Row],[COSTO 
DIRECTO ($COP)]]+D.sign_Data[[#This Row],[PRORRATEO GASTOS ($COP)]]</f>
        <v>512304.78992701403</v>
      </c>
      <c r="X183" s="101">
        <v>0.1</v>
      </c>
      <c r="Y183" s="15">
        <f>+D.sign_Data[[#This Row],[COSTOS OPERACIONALES ($COP)]]*D.sign_Data[[#This Row],[DESFASE (%)]]</f>
        <v>51230.478992701406</v>
      </c>
      <c r="Z183" s="101">
        <v>0.3</v>
      </c>
      <c r="AA183" s="15">
        <f>+((D.sign_Data[[#This Row],[COSTOS OPERACIONALES ($COP)]]/(100%-D.sign_Data[[#This Row],[UTILIDAD (%)]])))-D.sign_Data[[#This Row],[COSTOS OPERACIONALES ($COP)]]</f>
        <v>219559.19568300608</v>
      </c>
      <c r="AB183" s="3">
        <f>+D.sign_Data[[#This Row],[COSTOS OPERACIONALES ($COP)]]+D.sign_Data[[#This Row],[DESFASE ($COP)]]+D.sign_Data[[#This Row],[UTILIDAD ($COP)]]</f>
        <v>783094.46460272151</v>
      </c>
      <c r="AC183" s="101">
        <v>0.05</v>
      </c>
      <c r="AD183" s="15">
        <f>+D.sign_Data[[#This Row],[VALOR NETO ($COP)]]/(100%-D.sign_Data[[#This Row],[MARGEN DE NEGOCIACIÓN (%)]])-D.sign_Data[[#This Row],[VALOR NETO ($COP)]]</f>
        <v>41215.498136985349</v>
      </c>
      <c r="AE183" s="15">
        <f>+(D.sign_Data[[#This Row],[VALOR NETO ($COP)]]+D.sign_Data[[#This Row],[NEGOCIACIÓN ($COP)]])*1%</f>
        <v>8243.0996273970686</v>
      </c>
      <c r="AF183" s="15">
        <f>+(D.sign_Data[[#This Row],[VALOR NETO ($COP)]]+D.sign_Data[[#This Row],[NEGOCIACIÓN ($COP)]])*1%</f>
        <v>8243.0996273970686</v>
      </c>
      <c r="AG183" s="3">
        <f>+D.sign_Data[[#This Row],[VALOR NETO ($COP)]]+D.sign_Data[[#This Row],[NEGOCIACIÓN ($COP)]]+D.sign_Data[[#This Row],[ICA ($COP)]]+D.sign_Data[[#This Row],[4 * 1000 ($COP)]]</f>
        <v>840796.1619945009</v>
      </c>
    </row>
    <row r="184" spans="1:33" ht="60" hidden="1" customHeight="1" x14ac:dyDescent="0.25">
      <c r="A184" s="14"/>
      <c r="B184" s="87" t="s">
        <v>493</v>
      </c>
      <c r="C184" s="182" t="s">
        <v>563</v>
      </c>
      <c r="D184" s="189" t="str">
        <f>VLOOKUP(D.sign_Data[[#This Row],[CÓDIGO]],Descripciones[[CÓDIGO]:[NOMBRE DE SERVICIO]],3,FALSE)</f>
        <v>D1. Parcelaciones y Condominios</v>
      </c>
      <c r="E184" s="87" t="s">
        <v>420</v>
      </c>
      <c r="F184" s="88" t="s">
        <v>564</v>
      </c>
      <c r="G184" s="88" t="s">
        <v>580</v>
      </c>
      <c r="H184" s="104" t="s">
        <v>537</v>
      </c>
      <c r="I184" s="89">
        <v>1</v>
      </c>
      <c r="J184" s="88" t="s">
        <v>581</v>
      </c>
      <c r="K184" s="102"/>
      <c r="L184" s="88" t="s">
        <v>579</v>
      </c>
      <c r="M184" s="89" t="s">
        <v>381</v>
      </c>
      <c r="N184" s="90">
        <v>2</v>
      </c>
      <c r="O184" s="27">
        <f>IFERROR(+VLOOKUP(M184,D.sign_Lista_Data[[RESPONSABLE]:[SOFTWARE 
VALOR HORA]],3,FALSE),"0")</f>
        <v>20263.424518743668</v>
      </c>
      <c r="P184" s="3">
        <f t="shared" si="6"/>
        <v>40526.849037487336</v>
      </c>
      <c r="Q184" s="11">
        <f>IFERROR(+VLOOKUP(M184,D.sign_Lista_Data[[RESPONSABLE]:[SOFTWARE 
VALOR HORA]],5,FALSE)*D.sign_Data[[#This Row],[TIEMPO (HORAS)]],0)</f>
        <v>8443.0935494765272</v>
      </c>
      <c r="R184" s="11">
        <f>IFERROR(+VLOOKUP(M184,D.sign_Lista_Data[[RESPONSABLE]:[SOFTWARE 
VALOR HORA]],8,FALSE)*D.sign_Data[[#This Row],[TIEMPO (HORAS)]],0)</f>
        <v>6821.7097742879669</v>
      </c>
      <c r="S184" s="99">
        <v>0</v>
      </c>
      <c r="T184" s="99" t="s">
        <v>568</v>
      </c>
      <c r="U184" s="3">
        <f t="shared" si="7"/>
        <v>55791.652361251836</v>
      </c>
      <c r="V184" s="100">
        <f>D.sign_Data[[#This Row],[TIEMPO (HORAS)]]*Gastos_Operativos[[#Totals],[GASTOS HORA]]</f>
        <v>55578.954144620802</v>
      </c>
      <c r="W184" s="3">
        <f>+D.sign_Data[[#This Row],[COSTO 
DIRECTO ($COP)]]+D.sign_Data[[#This Row],[PRORRATEO GASTOS ($COP)]]</f>
        <v>111370.60650587264</v>
      </c>
      <c r="X184" s="101">
        <v>0.1</v>
      </c>
      <c r="Y184" s="15">
        <f>+D.sign_Data[[#This Row],[COSTOS OPERACIONALES ($COP)]]*D.sign_Data[[#This Row],[DESFASE (%)]]</f>
        <v>11137.060650587264</v>
      </c>
      <c r="Z184" s="101">
        <v>0.3</v>
      </c>
      <c r="AA184" s="15">
        <f>+((D.sign_Data[[#This Row],[COSTOS OPERACIONALES ($COP)]]/(100%-D.sign_Data[[#This Row],[UTILIDAD (%)]])))-D.sign_Data[[#This Row],[COSTOS OPERACIONALES ($COP)]]</f>
        <v>47730.259931088294</v>
      </c>
      <c r="AB184" s="3">
        <f>+D.sign_Data[[#This Row],[COSTOS OPERACIONALES ($COP)]]+D.sign_Data[[#This Row],[DESFASE ($COP)]]+D.sign_Data[[#This Row],[UTILIDAD ($COP)]]</f>
        <v>170237.92708754819</v>
      </c>
      <c r="AC184" s="101">
        <v>0.05</v>
      </c>
      <c r="AD184" s="15">
        <f>+D.sign_Data[[#This Row],[VALOR NETO ($COP)]]/(100%-D.sign_Data[[#This Row],[MARGEN DE NEGOCIACIÓN (%)]])-D.sign_Data[[#This Row],[VALOR NETO ($COP)]]</f>
        <v>8959.8908993446385</v>
      </c>
      <c r="AE184" s="15">
        <f>+(D.sign_Data[[#This Row],[VALOR NETO ($COP)]]+D.sign_Data[[#This Row],[NEGOCIACIÓN ($COP)]])*1%</f>
        <v>1791.9781798689282</v>
      </c>
      <c r="AF184" s="15">
        <f>+(D.sign_Data[[#This Row],[VALOR NETO ($COP)]]+D.sign_Data[[#This Row],[NEGOCIACIÓN ($COP)]])*1%</f>
        <v>1791.9781798689282</v>
      </c>
      <c r="AG184" s="3">
        <f>+D.sign_Data[[#This Row],[VALOR NETO ($COP)]]+D.sign_Data[[#This Row],[NEGOCIACIÓN ($COP)]]+D.sign_Data[[#This Row],[ICA ($COP)]]+D.sign_Data[[#This Row],[4 * 1000 ($COP)]]</f>
        <v>182781.77434663067</v>
      </c>
    </row>
    <row r="185" spans="1:33" ht="60" hidden="1" customHeight="1" x14ac:dyDescent="0.25">
      <c r="A185" s="14"/>
      <c r="B185" s="87" t="s">
        <v>493</v>
      </c>
      <c r="C185" s="182" t="s">
        <v>563</v>
      </c>
      <c r="D185" s="189" t="str">
        <f>VLOOKUP(D.sign_Data[[#This Row],[CÓDIGO]],Descripciones[[CÓDIGO]:[NOMBRE DE SERVICIO]],3,FALSE)</f>
        <v>D1. Parcelaciones y Condominios</v>
      </c>
      <c r="E185" s="87" t="s">
        <v>420</v>
      </c>
      <c r="F185" s="88" t="s">
        <v>564</v>
      </c>
      <c r="G185" s="88" t="s">
        <v>580</v>
      </c>
      <c r="H185" s="104" t="s">
        <v>537</v>
      </c>
      <c r="I185" s="89">
        <v>1</v>
      </c>
      <c r="J185" s="88" t="s">
        <v>581</v>
      </c>
      <c r="K185" s="102"/>
      <c r="L185" s="88" t="s">
        <v>570</v>
      </c>
      <c r="M185" s="89" t="s">
        <v>381</v>
      </c>
      <c r="N185" s="90">
        <v>1</v>
      </c>
      <c r="O185" s="27">
        <f>IFERROR(+VLOOKUP(M185,D.sign_Lista_Data[[RESPONSABLE]:[SOFTWARE 
VALOR HORA]],3,FALSE),"0")</f>
        <v>20263.424518743668</v>
      </c>
      <c r="P185" s="3">
        <f t="shared" si="6"/>
        <v>20263.424518743668</v>
      </c>
      <c r="Q185" s="11">
        <f>IFERROR(+VLOOKUP(M185,D.sign_Lista_Data[[RESPONSABLE]:[SOFTWARE 
VALOR HORA]],5,FALSE)*D.sign_Data[[#This Row],[TIEMPO (HORAS)]],0)</f>
        <v>4221.5467747382636</v>
      </c>
      <c r="R185" s="11">
        <f>IFERROR(+VLOOKUP(M185,D.sign_Lista_Data[[RESPONSABLE]:[SOFTWARE 
VALOR HORA]],8,FALSE)*D.sign_Data[[#This Row],[TIEMPO (HORAS)]],0)</f>
        <v>3410.8548871439834</v>
      </c>
      <c r="S185" s="99">
        <v>0</v>
      </c>
      <c r="T185" s="99" t="s">
        <v>568</v>
      </c>
      <c r="U185" s="3">
        <f t="shared" si="7"/>
        <v>27895.826180625918</v>
      </c>
      <c r="V185" s="100">
        <f>D.sign_Data[[#This Row],[TIEMPO (HORAS)]]*Gastos_Operativos[[#Totals],[GASTOS HORA]]</f>
        <v>27789.477072310401</v>
      </c>
      <c r="W185" s="3">
        <f>+D.sign_Data[[#This Row],[COSTO 
DIRECTO ($COP)]]+D.sign_Data[[#This Row],[PRORRATEO GASTOS ($COP)]]</f>
        <v>55685.303252936319</v>
      </c>
      <c r="X185" s="101">
        <v>0.1</v>
      </c>
      <c r="Y185" s="15">
        <f>+D.sign_Data[[#This Row],[COSTOS OPERACIONALES ($COP)]]*D.sign_Data[[#This Row],[DESFASE (%)]]</f>
        <v>5568.5303252936319</v>
      </c>
      <c r="Z185" s="101">
        <v>0.3</v>
      </c>
      <c r="AA185" s="15">
        <f>+((D.sign_Data[[#This Row],[COSTOS OPERACIONALES ($COP)]]/(100%-D.sign_Data[[#This Row],[UTILIDAD (%)]])))-D.sign_Data[[#This Row],[COSTOS OPERACIONALES ($COP)]]</f>
        <v>23865.129965544147</v>
      </c>
      <c r="AB185" s="3">
        <f>+D.sign_Data[[#This Row],[COSTOS OPERACIONALES ($COP)]]+D.sign_Data[[#This Row],[DESFASE ($COP)]]+D.sign_Data[[#This Row],[UTILIDAD ($COP)]]</f>
        <v>85118.963543774094</v>
      </c>
      <c r="AC185" s="101">
        <v>0.05</v>
      </c>
      <c r="AD185" s="15">
        <f>+D.sign_Data[[#This Row],[VALOR NETO ($COP)]]/(100%-D.sign_Data[[#This Row],[MARGEN DE NEGOCIACIÓN (%)]])-D.sign_Data[[#This Row],[VALOR NETO ($COP)]]</f>
        <v>4479.9454496723192</v>
      </c>
      <c r="AE185" s="15">
        <f>+(D.sign_Data[[#This Row],[VALOR NETO ($COP)]]+D.sign_Data[[#This Row],[NEGOCIACIÓN ($COP)]])*1%</f>
        <v>895.98908993446412</v>
      </c>
      <c r="AF185" s="15">
        <f>+(D.sign_Data[[#This Row],[VALOR NETO ($COP)]]+D.sign_Data[[#This Row],[NEGOCIACIÓN ($COP)]])*1%</f>
        <v>895.98908993446412</v>
      </c>
      <c r="AG185" s="3">
        <f>+D.sign_Data[[#This Row],[VALOR NETO ($COP)]]+D.sign_Data[[#This Row],[NEGOCIACIÓN ($COP)]]+D.sign_Data[[#This Row],[ICA ($COP)]]+D.sign_Data[[#This Row],[4 * 1000 ($COP)]]</f>
        <v>91390.887173315336</v>
      </c>
    </row>
    <row r="186" spans="1:33" ht="60" hidden="1" customHeight="1" x14ac:dyDescent="0.25">
      <c r="A186" s="14"/>
      <c r="B186" s="87" t="s">
        <v>493</v>
      </c>
      <c r="C186" s="182" t="s">
        <v>563</v>
      </c>
      <c r="D186" s="189" t="str">
        <f>VLOOKUP(D.sign_Data[[#This Row],[CÓDIGO]],Descripciones[[CÓDIGO]:[NOMBRE DE SERVICIO]],3,FALSE)</f>
        <v>D1. Parcelaciones y Condominios</v>
      </c>
      <c r="E186" s="87" t="s">
        <v>420</v>
      </c>
      <c r="F186" s="88" t="s">
        <v>564</v>
      </c>
      <c r="G186" s="88" t="s">
        <v>580</v>
      </c>
      <c r="H186" s="104" t="s">
        <v>537</v>
      </c>
      <c r="I186" s="89">
        <v>1</v>
      </c>
      <c r="J186" s="88" t="s">
        <v>581</v>
      </c>
      <c r="K186" s="102"/>
      <c r="L186" s="88" t="s">
        <v>483</v>
      </c>
      <c r="M186" s="89" t="s">
        <v>381</v>
      </c>
      <c r="N186" s="90">
        <v>0.1</v>
      </c>
      <c r="O186" s="27">
        <f>IFERROR(+VLOOKUP(M186,D.sign_Lista_Data[[RESPONSABLE]:[SOFTWARE 
VALOR HORA]],3,FALSE),"0")</f>
        <v>20263.424518743668</v>
      </c>
      <c r="P186" s="3">
        <f t="shared" si="6"/>
        <v>2026.3424518743668</v>
      </c>
      <c r="Q186" s="11">
        <f>IFERROR(+VLOOKUP(M186,D.sign_Lista_Data[[RESPONSABLE]:[SOFTWARE 
VALOR HORA]],5,FALSE)*D.sign_Data[[#This Row],[TIEMPO (HORAS)]],0)</f>
        <v>422.15467747382638</v>
      </c>
      <c r="R186" s="11">
        <f>IFERROR(+VLOOKUP(M186,D.sign_Lista_Data[[RESPONSABLE]:[SOFTWARE 
VALOR HORA]],8,FALSE)*D.sign_Data[[#This Row],[TIEMPO (HORAS)]],0)</f>
        <v>341.08548871439837</v>
      </c>
      <c r="S186" s="99">
        <v>0</v>
      </c>
      <c r="T186" s="99" t="s">
        <v>568</v>
      </c>
      <c r="U186" s="3">
        <f t="shared" si="7"/>
        <v>2789.5826180625913</v>
      </c>
      <c r="V186" s="100">
        <f>D.sign_Data[[#This Row],[TIEMPO (HORAS)]]*Gastos_Operativos[[#Totals],[GASTOS HORA]]</f>
        <v>2778.9477072310401</v>
      </c>
      <c r="W186" s="3">
        <f>+D.sign_Data[[#This Row],[COSTO 
DIRECTO ($COP)]]+D.sign_Data[[#This Row],[PRORRATEO GASTOS ($COP)]]</f>
        <v>5568.5303252936319</v>
      </c>
      <c r="X186" s="101">
        <v>0.1</v>
      </c>
      <c r="Y186" s="15">
        <f>+D.sign_Data[[#This Row],[COSTOS OPERACIONALES ($COP)]]*D.sign_Data[[#This Row],[DESFASE (%)]]</f>
        <v>556.85303252936319</v>
      </c>
      <c r="Z186" s="101">
        <v>0.3</v>
      </c>
      <c r="AA186" s="15">
        <f>+((D.sign_Data[[#This Row],[COSTOS OPERACIONALES ($COP)]]/(100%-D.sign_Data[[#This Row],[UTILIDAD (%)]])))-D.sign_Data[[#This Row],[COSTOS OPERACIONALES ($COP)]]</f>
        <v>2386.5129965544138</v>
      </c>
      <c r="AB186" s="3">
        <f>+D.sign_Data[[#This Row],[COSTOS OPERACIONALES ($COP)]]+D.sign_Data[[#This Row],[DESFASE ($COP)]]+D.sign_Data[[#This Row],[UTILIDAD ($COP)]]</f>
        <v>8511.896354377408</v>
      </c>
      <c r="AC186" s="101">
        <v>0.05</v>
      </c>
      <c r="AD186" s="15">
        <f>+D.sign_Data[[#This Row],[VALOR NETO ($COP)]]/(100%-D.sign_Data[[#This Row],[MARGEN DE NEGOCIACIÓN (%)]])-D.sign_Data[[#This Row],[VALOR NETO ($COP)]]</f>
        <v>447.99454496723229</v>
      </c>
      <c r="AE186" s="15">
        <f>+(D.sign_Data[[#This Row],[VALOR NETO ($COP)]]+D.sign_Data[[#This Row],[NEGOCIACIÓN ($COP)]])*1%</f>
        <v>89.5989089934464</v>
      </c>
      <c r="AF186" s="15">
        <f>+(D.sign_Data[[#This Row],[VALOR NETO ($COP)]]+D.sign_Data[[#This Row],[NEGOCIACIÓN ($COP)]])*1%</f>
        <v>89.5989089934464</v>
      </c>
      <c r="AG186" s="3">
        <f>+D.sign_Data[[#This Row],[VALOR NETO ($COP)]]+D.sign_Data[[#This Row],[NEGOCIACIÓN ($COP)]]+D.sign_Data[[#This Row],[ICA ($COP)]]+D.sign_Data[[#This Row],[4 * 1000 ($COP)]]</f>
        <v>9139.0887173315332</v>
      </c>
    </row>
    <row r="187" spans="1:33" ht="60" hidden="1" customHeight="1" x14ac:dyDescent="0.25">
      <c r="A187" s="14"/>
      <c r="B187" s="87" t="s">
        <v>493</v>
      </c>
      <c r="C187" s="182" t="s">
        <v>563</v>
      </c>
      <c r="D187" s="189" t="str">
        <f>VLOOKUP(D.sign_Data[[#This Row],[CÓDIGO]],Descripciones[[CÓDIGO]:[NOMBRE DE SERVICIO]],3,FALSE)</f>
        <v>D1. Parcelaciones y Condominios</v>
      </c>
      <c r="E187" s="87" t="s">
        <v>420</v>
      </c>
      <c r="F187" s="88" t="s">
        <v>564</v>
      </c>
      <c r="G187" s="88" t="s">
        <v>580</v>
      </c>
      <c r="H187" s="104" t="s">
        <v>537</v>
      </c>
      <c r="I187" s="89">
        <v>1</v>
      </c>
      <c r="J187" s="88" t="s">
        <v>581</v>
      </c>
      <c r="K187" s="102"/>
      <c r="L187" s="88" t="s">
        <v>572</v>
      </c>
      <c r="M187" s="89" t="s">
        <v>381</v>
      </c>
      <c r="N187" s="90">
        <v>0.1</v>
      </c>
      <c r="O187" s="27">
        <f>IFERROR(+VLOOKUP(M187,D.sign_Lista_Data[[RESPONSABLE]:[SOFTWARE 
VALOR HORA]],3,FALSE),"0")</f>
        <v>20263.424518743668</v>
      </c>
      <c r="P187" s="3">
        <f t="shared" si="6"/>
        <v>2026.3424518743668</v>
      </c>
      <c r="Q187" s="11">
        <f>IFERROR(+VLOOKUP(M187,D.sign_Lista_Data[[RESPONSABLE]:[SOFTWARE 
VALOR HORA]],5,FALSE)*D.sign_Data[[#This Row],[TIEMPO (HORAS)]],0)</f>
        <v>422.15467747382638</v>
      </c>
      <c r="R187" s="11">
        <f>IFERROR(+VLOOKUP(M187,D.sign_Lista_Data[[RESPONSABLE]:[SOFTWARE 
VALOR HORA]],8,FALSE)*D.sign_Data[[#This Row],[TIEMPO (HORAS)]],0)</f>
        <v>341.08548871439837</v>
      </c>
      <c r="S187" s="99">
        <v>0</v>
      </c>
      <c r="T187" s="99" t="s">
        <v>568</v>
      </c>
      <c r="U187" s="3">
        <f t="shared" si="7"/>
        <v>2789.5826180625913</v>
      </c>
      <c r="V187" s="100">
        <f>D.sign_Data[[#This Row],[TIEMPO (HORAS)]]*Gastos_Operativos[[#Totals],[GASTOS HORA]]</f>
        <v>2778.9477072310401</v>
      </c>
      <c r="W187" s="3">
        <f>+D.sign_Data[[#This Row],[COSTO 
DIRECTO ($COP)]]+D.sign_Data[[#This Row],[PRORRATEO GASTOS ($COP)]]</f>
        <v>5568.5303252936319</v>
      </c>
      <c r="X187" s="101">
        <v>0.1</v>
      </c>
      <c r="Y187" s="15">
        <f>+D.sign_Data[[#This Row],[COSTOS OPERACIONALES ($COP)]]*D.sign_Data[[#This Row],[DESFASE (%)]]</f>
        <v>556.85303252936319</v>
      </c>
      <c r="Z187" s="101">
        <v>0.3</v>
      </c>
      <c r="AA187" s="15">
        <f>+((D.sign_Data[[#This Row],[COSTOS OPERACIONALES ($COP)]]/(100%-D.sign_Data[[#This Row],[UTILIDAD (%)]])))-D.sign_Data[[#This Row],[COSTOS OPERACIONALES ($COP)]]</f>
        <v>2386.5129965544138</v>
      </c>
      <c r="AB187" s="3">
        <f>+D.sign_Data[[#This Row],[COSTOS OPERACIONALES ($COP)]]+D.sign_Data[[#This Row],[DESFASE ($COP)]]+D.sign_Data[[#This Row],[UTILIDAD ($COP)]]</f>
        <v>8511.896354377408</v>
      </c>
      <c r="AC187" s="101">
        <v>0.05</v>
      </c>
      <c r="AD187" s="15">
        <f>+D.sign_Data[[#This Row],[VALOR NETO ($COP)]]/(100%-D.sign_Data[[#This Row],[MARGEN DE NEGOCIACIÓN (%)]])-D.sign_Data[[#This Row],[VALOR NETO ($COP)]]</f>
        <v>447.99454496723229</v>
      </c>
      <c r="AE187" s="15">
        <f>+(D.sign_Data[[#This Row],[VALOR NETO ($COP)]]+D.sign_Data[[#This Row],[NEGOCIACIÓN ($COP)]])*1%</f>
        <v>89.5989089934464</v>
      </c>
      <c r="AF187" s="15">
        <f>+(D.sign_Data[[#This Row],[VALOR NETO ($COP)]]+D.sign_Data[[#This Row],[NEGOCIACIÓN ($COP)]])*1%</f>
        <v>89.5989089934464</v>
      </c>
      <c r="AG187" s="3">
        <f>+D.sign_Data[[#This Row],[VALOR NETO ($COP)]]+D.sign_Data[[#This Row],[NEGOCIACIÓN ($COP)]]+D.sign_Data[[#This Row],[ICA ($COP)]]+D.sign_Data[[#This Row],[4 * 1000 ($COP)]]</f>
        <v>9139.0887173315332</v>
      </c>
    </row>
    <row r="188" spans="1:33" ht="60" hidden="1" customHeight="1" x14ac:dyDescent="0.25">
      <c r="A188" s="14"/>
      <c r="B188" s="87" t="s">
        <v>493</v>
      </c>
      <c r="C188" s="182" t="s">
        <v>563</v>
      </c>
      <c r="D188" s="189" t="str">
        <f>VLOOKUP(D.sign_Data[[#This Row],[CÓDIGO]],Descripciones[[CÓDIGO]:[NOMBRE DE SERVICIO]],3,FALSE)</f>
        <v>D1. Parcelaciones y Condominios</v>
      </c>
      <c r="E188" s="87" t="s">
        <v>420</v>
      </c>
      <c r="F188" s="88" t="s">
        <v>564</v>
      </c>
      <c r="G188" s="88" t="s">
        <v>582</v>
      </c>
      <c r="H188" s="104" t="s">
        <v>537</v>
      </c>
      <c r="I188" s="89">
        <v>1</v>
      </c>
      <c r="J188" s="88" t="s">
        <v>583</v>
      </c>
      <c r="K188" s="102"/>
      <c r="L188" s="88" t="s">
        <v>584</v>
      </c>
      <c r="M188" s="89" t="s">
        <v>381</v>
      </c>
      <c r="N188" s="90">
        <v>4</v>
      </c>
      <c r="O188" s="27">
        <f>IFERROR(+VLOOKUP(M188,D.sign_Lista_Data[[RESPONSABLE]:[SOFTWARE 
VALOR HORA]],3,FALSE),"0")</f>
        <v>20263.424518743668</v>
      </c>
      <c r="P188" s="3">
        <f t="shared" si="6"/>
        <v>81053.698074974673</v>
      </c>
      <c r="Q188" s="11">
        <f>IFERROR(+VLOOKUP(M188,D.sign_Lista_Data[[RESPONSABLE]:[SOFTWARE 
VALOR HORA]],5,FALSE)*D.sign_Data[[#This Row],[TIEMPO (HORAS)]],0)</f>
        <v>16886.187098953054</v>
      </c>
      <c r="R188" s="11">
        <f>IFERROR(+VLOOKUP(M188,D.sign_Lista_Data[[RESPONSABLE]:[SOFTWARE 
VALOR HORA]],8,FALSE)*D.sign_Data[[#This Row],[TIEMPO (HORAS)]],0)</f>
        <v>13643.419548575934</v>
      </c>
      <c r="S188" s="99">
        <v>0</v>
      </c>
      <c r="T188" s="99" t="s">
        <v>568</v>
      </c>
      <c r="U188" s="3">
        <f t="shared" si="7"/>
        <v>111583.30472250367</v>
      </c>
      <c r="V188" s="100">
        <f>D.sign_Data[[#This Row],[TIEMPO (HORAS)]]*Gastos_Operativos[[#Totals],[GASTOS HORA]]</f>
        <v>111157.9082892416</v>
      </c>
      <c r="W188" s="3">
        <f>+D.sign_Data[[#This Row],[COSTO 
DIRECTO ($COP)]]+D.sign_Data[[#This Row],[PRORRATEO GASTOS ($COP)]]</f>
        <v>222741.21301174528</v>
      </c>
      <c r="X188" s="101">
        <v>0.1</v>
      </c>
      <c r="Y188" s="15">
        <f>+D.sign_Data[[#This Row],[COSTOS OPERACIONALES ($COP)]]*D.sign_Data[[#This Row],[DESFASE (%)]]</f>
        <v>22274.121301174528</v>
      </c>
      <c r="Z188" s="101">
        <v>0.3</v>
      </c>
      <c r="AA188" s="15">
        <f>+((D.sign_Data[[#This Row],[COSTOS OPERACIONALES ($COP)]]/(100%-D.sign_Data[[#This Row],[UTILIDAD (%)]])))-D.sign_Data[[#This Row],[COSTOS OPERACIONALES ($COP)]]</f>
        <v>95460.519862176589</v>
      </c>
      <c r="AB188" s="3">
        <f>+D.sign_Data[[#This Row],[COSTOS OPERACIONALES ($COP)]]+D.sign_Data[[#This Row],[DESFASE ($COP)]]+D.sign_Data[[#This Row],[UTILIDAD ($COP)]]</f>
        <v>340475.85417509638</v>
      </c>
      <c r="AC188" s="101">
        <v>0.05</v>
      </c>
      <c r="AD188" s="15">
        <f>+D.sign_Data[[#This Row],[VALOR NETO ($COP)]]/(100%-D.sign_Data[[#This Row],[MARGEN DE NEGOCIACIÓN (%)]])-D.sign_Data[[#This Row],[VALOR NETO ($COP)]]</f>
        <v>17919.781798689277</v>
      </c>
      <c r="AE188" s="15">
        <f>+(D.sign_Data[[#This Row],[VALOR NETO ($COP)]]+D.sign_Data[[#This Row],[NEGOCIACIÓN ($COP)]])*1%</f>
        <v>3583.9563597378565</v>
      </c>
      <c r="AF188" s="15">
        <f>+(D.sign_Data[[#This Row],[VALOR NETO ($COP)]]+D.sign_Data[[#This Row],[NEGOCIACIÓN ($COP)]])*1%</f>
        <v>3583.9563597378565</v>
      </c>
      <c r="AG188" s="3">
        <f>+D.sign_Data[[#This Row],[VALOR NETO ($COP)]]+D.sign_Data[[#This Row],[NEGOCIACIÓN ($COP)]]+D.sign_Data[[#This Row],[ICA ($COP)]]+D.sign_Data[[#This Row],[4 * 1000 ($COP)]]</f>
        <v>365563.54869326134</v>
      </c>
    </row>
    <row r="189" spans="1:33" ht="60" hidden="1" customHeight="1" x14ac:dyDescent="0.25">
      <c r="A189" s="14"/>
      <c r="B189" s="87" t="s">
        <v>493</v>
      </c>
      <c r="C189" s="182" t="s">
        <v>563</v>
      </c>
      <c r="D189" s="189" t="str">
        <f>VLOOKUP(D.sign_Data[[#This Row],[CÓDIGO]],Descripciones[[CÓDIGO]:[NOMBRE DE SERVICIO]],3,FALSE)</f>
        <v>D1. Parcelaciones y Condominios</v>
      </c>
      <c r="E189" s="87" t="s">
        <v>420</v>
      </c>
      <c r="F189" s="88" t="s">
        <v>564</v>
      </c>
      <c r="G189" s="88" t="s">
        <v>582</v>
      </c>
      <c r="H189" s="104" t="s">
        <v>537</v>
      </c>
      <c r="I189" s="89">
        <v>1</v>
      </c>
      <c r="J189" s="88" t="s">
        <v>583</v>
      </c>
      <c r="K189" s="102"/>
      <c r="L189" s="88" t="s">
        <v>585</v>
      </c>
      <c r="M189" s="89" t="s">
        <v>381</v>
      </c>
      <c r="N189" s="90">
        <v>20</v>
      </c>
      <c r="O189" s="27">
        <f>IFERROR(+VLOOKUP(M189,D.sign_Lista_Data[[RESPONSABLE]:[SOFTWARE 
VALOR HORA]],3,FALSE),"0")</f>
        <v>20263.424518743668</v>
      </c>
      <c r="P189" s="3">
        <f t="shared" si="6"/>
        <v>405268.49037487339</v>
      </c>
      <c r="Q189" s="11">
        <f>IFERROR(+VLOOKUP(M189,D.sign_Lista_Data[[RESPONSABLE]:[SOFTWARE 
VALOR HORA]],5,FALSE)*D.sign_Data[[#This Row],[TIEMPO (HORAS)]],0)</f>
        <v>84430.935494765276</v>
      </c>
      <c r="R189" s="11">
        <f>IFERROR(+VLOOKUP(M189,D.sign_Lista_Data[[RESPONSABLE]:[SOFTWARE 
VALOR HORA]],8,FALSE)*D.sign_Data[[#This Row],[TIEMPO (HORAS)]],0)</f>
        <v>68217.097742879676</v>
      </c>
      <c r="S189" s="99">
        <v>0</v>
      </c>
      <c r="T189" s="99" t="s">
        <v>568</v>
      </c>
      <c r="U189" s="3">
        <f t="shared" si="7"/>
        <v>557916.52361251833</v>
      </c>
      <c r="V189" s="100">
        <f>D.sign_Data[[#This Row],[TIEMPO (HORAS)]]*Gastos_Operativos[[#Totals],[GASTOS HORA]]</f>
        <v>555789.54144620802</v>
      </c>
      <c r="W189" s="3">
        <f>+D.sign_Data[[#This Row],[COSTO 
DIRECTO ($COP)]]+D.sign_Data[[#This Row],[PRORRATEO GASTOS ($COP)]]</f>
        <v>1113706.0650587264</v>
      </c>
      <c r="X189" s="101">
        <v>0.1</v>
      </c>
      <c r="Y189" s="15">
        <f>+D.sign_Data[[#This Row],[COSTOS OPERACIONALES ($COP)]]*D.sign_Data[[#This Row],[DESFASE (%)]]</f>
        <v>111370.60650587264</v>
      </c>
      <c r="Z189" s="101">
        <v>0.3</v>
      </c>
      <c r="AA189" s="15">
        <f>+((D.sign_Data[[#This Row],[COSTOS OPERACIONALES ($COP)]]/(100%-D.sign_Data[[#This Row],[UTILIDAD (%)]])))-D.sign_Data[[#This Row],[COSTOS OPERACIONALES ($COP)]]</f>
        <v>477302.59931088286</v>
      </c>
      <c r="AB189" s="3">
        <f>+D.sign_Data[[#This Row],[COSTOS OPERACIONALES ($COP)]]+D.sign_Data[[#This Row],[DESFASE ($COP)]]+D.sign_Data[[#This Row],[UTILIDAD ($COP)]]</f>
        <v>1702379.2708754819</v>
      </c>
      <c r="AC189" s="101">
        <v>0.05</v>
      </c>
      <c r="AD189" s="15">
        <f>+D.sign_Data[[#This Row],[VALOR NETO ($COP)]]/(100%-D.sign_Data[[#This Row],[MARGEN DE NEGOCIACIÓN (%)]])-D.sign_Data[[#This Row],[VALOR NETO ($COP)]]</f>
        <v>89598.908993446501</v>
      </c>
      <c r="AE189" s="15">
        <f>+(D.sign_Data[[#This Row],[VALOR NETO ($COP)]]+D.sign_Data[[#This Row],[NEGOCIACIÓN ($COP)]])*1%</f>
        <v>17919.781798689284</v>
      </c>
      <c r="AF189" s="15">
        <f>+(D.sign_Data[[#This Row],[VALOR NETO ($COP)]]+D.sign_Data[[#This Row],[NEGOCIACIÓN ($COP)]])*1%</f>
        <v>17919.781798689284</v>
      </c>
      <c r="AG189" s="3">
        <f>+D.sign_Data[[#This Row],[VALOR NETO ($COP)]]+D.sign_Data[[#This Row],[NEGOCIACIÓN ($COP)]]+D.sign_Data[[#This Row],[ICA ($COP)]]+D.sign_Data[[#This Row],[4 * 1000 ($COP)]]</f>
        <v>1827817.7434663072</v>
      </c>
    </row>
    <row r="190" spans="1:33" ht="60" hidden="1" customHeight="1" x14ac:dyDescent="0.25">
      <c r="A190" s="14"/>
      <c r="B190" s="87" t="s">
        <v>493</v>
      </c>
      <c r="C190" s="182" t="s">
        <v>563</v>
      </c>
      <c r="D190" s="189" t="str">
        <f>VLOOKUP(D.sign_Data[[#This Row],[CÓDIGO]],Descripciones[[CÓDIGO]:[NOMBRE DE SERVICIO]],3,FALSE)</f>
        <v>D1. Parcelaciones y Condominios</v>
      </c>
      <c r="E190" s="87" t="s">
        <v>420</v>
      </c>
      <c r="F190" s="88" t="s">
        <v>564</v>
      </c>
      <c r="G190" s="88" t="s">
        <v>582</v>
      </c>
      <c r="H190" s="104" t="s">
        <v>537</v>
      </c>
      <c r="I190" s="89">
        <v>1</v>
      </c>
      <c r="J190" s="88" t="s">
        <v>583</v>
      </c>
      <c r="K190" s="102"/>
      <c r="L190" s="88" t="s">
        <v>586</v>
      </c>
      <c r="M190" s="89" t="s">
        <v>381</v>
      </c>
      <c r="N190" s="90">
        <v>0.5</v>
      </c>
      <c r="O190" s="27">
        <f>IFERROR(+VLOOKUP(M190,D.sign_Lista_Data[[RESPONSABLE]:[SOFTWARE 
VALOR HORA]],3,FALSE),"0")</f>
        <v>20263.424518743668</v>
      </c>
      <c r="P190" s="3">
        <f t="shared" si="6"/>
        <v>10131.712259371834</v>
      </c>
      <c r="Q190" s="11">
        <f>IFERROR(+VLOOKUP(M190,D.sign_Lista_Data[[RESPONSABLE]:[SOFTWARE 
VALOR HORA]],5,FALSE)*D.sign_Data[[#This Row],[TIEMPO (HORAS)]],0)</f>
        <v>2110.7733873691318</v>
      </c>
      <c r="R190" s="11">
        <f>IFERROR(+VLOOKUP(M190,D.sign_Lista_Data[[RESPONSABLE]:[SOFTWARE 
VALOR HORA]],8,FALSE)*D.sign_Data[[#This Row],[TIEMPO (HORAS)]],0)</f>
        <v>1705.4274435719917</v>
      </c>
      <c r="S190" s="99">
        <v>0</v>
      </c>
      <c r="T190" s="99" t="s">
        <v>568</v>
      </c>
      <c r="U190" s="3">
        <f t="shared" si="7"/>
        <v>13947.913090312959</v>
      </c>
      <c r="V190" s="100">
        <f>D.sign_Data[[#This Row],[TIEMPO (HORAS)]]*Gastos_Operativos[[#Totals],[GASTOS HORA]]</f>
        <v>13894.738536155201</v>
      </c>
      <c r="W190" s="3">
        <f>+D.sign_Data[[#This Row],[COSTO 
DIRECTO ($COP)]]+D.sign_Data[[#This Row],[PRORRATEO GASTOS ($COP)]]</f>
        <v>27842.65162646816</v>
      </c>
      <c r="X190" s="101">
        <v>0.1</v>
      </c>
      <c r="Y190" s="15">
        <f>+D.sign_Data[[#This Row],[COSTOS OPERACIONALES ($COP)]]*D.sign_Data[[#This Row],[DESFASE (%)]]</f>
        <v>2784.265162646816</v>
      </c>
      <c r="Z190" s="101">
        <v>0.3</v>
      </c>
      <c r="AA190" s="15">
        <f>+((D.sign_Data[[#This Row],[COSTOS OPERACIONALES ($COP)]]/(100%-D.sign_Data[[#This Row],[UTILIDAD (%)]])))-D.sign_Data[[#This Row],[COSTOS OPERACIONALES ($COP)]]</f>
        <v>11932.564982772074</v>
      </c>
      <c r="AB190" s="3">
        <f>+D.sign_Data[[#This Row],[COSTOS OPERACIONALES ($COP)]]+D.sign_Data[[#This Row],[DESFASE ($COP)]]+D.sign_Data[[#This Row],[UTILIDAD ($COP)]]</f>
        <v>42559.481771887047</v>
      </c>
      <c r="AC190" s="101">
        <v>0.05</v>
      </c>
      <c r="AD190" s="15">
        <f>+D.sign_Data[[#This Row],[VALOR NETO ($COP)]]/(100%-D.sign_Data[[#This Row],[MARGEN DE NEGOCIACIÓN (%)]])-D.sign_Data[[#This Row],[VALOR NETO ($COP)]]</f>
        <v>2239.9727248361596</v>
      </c>
      <c r="AE190" s="15">
        <f>+(D.sign_Data[[#This Row],[VALOR NETO ($COP)]]+D.sign_Data[[#This Row],[NEGOCIACIÓN ($COP)]])*1%</f>
        <v>447.99454496723206</v>
      </c>
      <c r="AF190" s="15">
        <f>+(D.sign_Data[[#This Row],[VALOR NETO ($COP)]]+D.sign_Data[[#This Row],[NEGOCIACIÓN ($COP)]])*1%</f>
        <v>447.99454496723206</v>
      </c>
      <c r="AG190" s="3">
        <f>+D.sign_Data[[#This Row],[VALOR NETO ($COP)]]+D.sign_Data[[#This Row],[NEGOCIACIÓN ($COP)]]+D.sign_Data[[#This Row],[ICA ($COP)]]+D.sign_Data[[#This Row],[4 * 1000 ($COP)]]</f>
        <v>45695.443586657668</v>
      </c>
    </row>
    <row r="191" spans="1:33" ht="60" hidden="1" customHeight="1" x14ac:dyDescent="0.25">
      <c r="A191" s="14"/>
      <c r="B191" s="87" t="s">
        <v>493</v>
      </c>
      <c r="C191" s="182" t="s">
        <v>563</v>
      </c>
      <c r="D191" s="189" t="str">
        <f>VLOOKUP(D.sign_Data[[#This Row],[CÓDIGO]],Descripciones[[CÓDIGO]:[NOMBRE DE SERVICIO]],3,FALSE)</f>
        <v>D1. Parcelaciones y Condominios</v>
      </c>
      <c r="E191" s="87" t="s">
        <v>420</v>
      </c>
      <c r="F191" s="88" t="s">
        <v>564</v>
      </c>
      <c r="G191" s="88" t="s">
        <v>582</v>
      </c>
      <c r="H191" s="104" t="s">
        <v>537</v>
      </c>
      <c r="I191" s="89">
        <v>1</v>
      </c>
      <c r="J191" s="88" t="s">
        <v>583</v>
      </c>
      <c r="K191" s="102"/>
      <c r="L191" s="88" t="s">
        <v>570</v>
      </c>
      <c r="M191" s="89" t="s">
        <v>381</v>
      </c>
      <c r="N191" s="90">
        <v>1</v>
      </c>
      <c r="O191" s="27">
        <f>IFERROR(+VLOOKUP(M191,D.sign_Lista_Data[[RESPONSABLE]:[SOFTWARE 
VALOR HORA]],3,FALSE),"0")</f>
        <v>20263.424518743668</v>
      </c>
      <c r="P191" s="3">
        <f t="shared" si="6"/>
        <v>20263.424518743668</v>
      </c>
      <c r="Q191" s="11">
        <f>IFERROR(+VLOOKUP(M191,D.sign_Lista_Data[[RESPONSABLE]:[SOFTWARE 
VALOR HORA]],5,FALSE)*D.sign_Data[[#This Row],[TIEMPO (HORAS)]],0)</f>
        <v>4221.5467747382636</v>
      </c>
      <c r="R191" s="11">
        <f>IFERROR(+VLOOKUP(M191,D.sign_Lista_Data[[RESPONSABLE]:[SOFTWARE 
VALOR HORA]],8,FALSE)*D.sign_Data[[#This Row],[TIEMPO (HORAS)]],0)</f>
        <v>3410.8548871439834</v>
      </c>
      <c r="S191" s="99">
        <v>0</v>
      </c>
      <c r="T191" s="99" t="s">
        <v>568</v>
      </c>
      <c r="U191" s="3">
        <f t="shared" si="7"/>
        <v>27895.826180625918</v>
      </c>
      <c r="V191" s="100">
        <f>D.sign_Data[[#This Row],[TIEMPO (HORAS)]]*Gastos_Operativos[[#Totals],[GASTOS HORA]]</f>
        <v>27789.477072310401</v>
      </c>
      <c r="W191" s="3">
        <f>+D.sign_Data[[#This Row],[COSTO 
DIRECTO ($COP)]]+D.sign_Data[[#This Row],[PRORRATEO GASTOS ($COP)]]</f>
        <v>55685.303252936319</v>
      </c>
      <c r="X191" s="101">
        <v>0.1</v>
      </c>
      <c r="Y191" s="15">
        <f>+D.sign_Data[[#This Row],[COSTOS OPERACIONALES ($COP)]]*D.sign_Data[[#This Row],[DESFASE (%)]]</f>
        <v>5568.5303252936319</v>
      </c>
      <c r="Z191" s="101">
        <v>0.3</v>
      </c>
      <c r="AA191" s="15">
        <f>+((D.sign_Data[[#This Row],[COSTOS OPERACIONALES ($COP)]]/(100%-D.sign_Data[[#This Row],[UTILIDAD (%)]])))-D.sign_Data[[#This Row],[COSTOS OPERACIONALES ($COP)]]</f>
        <v>23865.129965544147</v>
      </c>
      <c r="AB191" s="3">
        <f>+D.sign_Data[[#This Row],[COSTOS OPERACIONALES ($COP)]]+D.sign_Data[[#This Row],[DESFASE ($COP)]]+D.sign_Data[[#This Row],[UTILIDAD ($COP)]]</f>
        <v>85118.963543774094</v>
      </c>
      <c r="AC191" s="101">
        <v>0.05</v>
      </c>
      <c r="AD191" s="15">
        <f>+D.sign_Data[[#This Row],[VALOR NETO ($COP)]]/(100%-D.sign_Data[[#This Row],[MARGEN DE NEGOCIACIÓN (%)]])-D.sign_Data[[#This Row],[VALOR NETO ($COP)]]</f>
        <v>4479.9454496723192</v>
      </c>
      <c r="AE191" s="15">
        <f>+(D.sign_Data[[#This Row],[VALOR NETO ($COP)]]+D.sign_Data[[#This Row],[NEGOCIACIÓN ($COP)]])*1%</f>
        <v>895.98908993446412</v>
      </c>
      <c r="AF191" s="15">
        <f>+(D.sign_Data[[#This Row],[VALOR NETO ($COP)]]+D.sign_Data[[#This Row],[NEGOCIACIÓN ($COP)]])*1%</f>
        <v>895.98908993446412</v>
      </c>
      <c r="AG191" s="3">
        <f>+D.sign_Data[[#This Row],[VALOR NETO ($COP)]]+D.sign_Data[[#This Row],[NEGOCIACIÓN ($COP)]]+D.sign_Data[[#This Row],[ICA ($COP)]]+D.sign_Data[[#This Row],[4 * 1000 ($COP)]]</f>
        <v>91390.887173315336</v>
      </c>
    </row>
    <row r="192" spans="1:33" ht="60" hidden="1" customHeight="1" x14ac:dyDescent="0.25">
      <c r="A192" s="14"/>
      <c r="B192" s="87" t="s">
        <v>493</v>
      </c>
      <c r="C192" s="182" t="s">
        <v>563</v>
      </c>
      <c r="D192" s="189" t="str">
        <f>VLOOKUP(D.sign_Data[[#This Row],[CÓDIGO]],Descripciones[[CÓDIGO]:[NOMBRE DE SERVICIO]],3,FALSE)</f>
        <v>D1. Parcelaciones y Condominios</v>
      </c>
      <c r="E192" s="87" t="s">
        <v>420</v>
      </c>
      <c r="F192" s="88" t="s">
        <v>564</v>
      </c>
      <c r="G192" s="88" t="s">
        <v>582</v>
      </c>
      <c r="H192" s="104" t="s">
        <v>537</v>
      </c>
      <c r="I192" s="89">
        <v>1</v>
      </c>
      <c r="J192" s="88" t="s">
        <v>583</v>
      </c>
      <c r="K192" s="102"/>
      <c r="L192" s="88" t="s">
        <v>571</v>
      </c>
      <c r="M192" s="89" t="s">
        <v>381</v>
      </c>
      <c r="N192" s="90">
        <v>0.1</v>
      </c>
      <c r="O192" s="27">
        <f>IFERROR(+VLOOKUP(M192,D.sign_Lista_Data[[RESPONSABLE]:[SOFTWARE 
VALOR HORA]],3,FALSE),"0")</f>
        <v>20263.424518743668</v>
      </c>
      <c r="P192" s="3">
        <f t="shared" si="6"/>
        <v>2026.3424518743668</v>
      </c>
      <c r="Q192" s="11">
        <f>IFERROR(+VLOOKUP(M192,D.sign_Lista_Data[[RESPONSABLE]:[SOFTWARE 
VALOR HORA]],5,FALSE)*D.sign_Data[[#This Row],[TIEMPO (HORAS)]],0)</f>
        <v>422.15467747382638</v>
      </c>
      <c r="R192" s="11">
        <f>IFERROR(+VLOOKUP(M192,D.sign_Lista_Data[[RESPONSABLE]:[SOFTWARE 
VALOR HORA]],8,FALSE)*D.sign_Data[[#This Row],[TIEMPO (HORAS)]],0)</f>
        <v>341.08548871439837</v>
      </c>
      <c r="S192" s="99">
        <v>0</v>
      </c>
      <c r="T192" s="99" t="s">
        <v>568</v>
      </c>
      <c r="U192" s="3">
        <f t="shared" si="7"/>
        <v>2789.5826180625913</v>
      </c>
      <c r="V192" s="100">
        <f>D.sign_Data[[#This Row],[TIEMPO (HORAS)]]*Gastos_Operativos[[#Totals],[GASTOS HORA]]</f>
        <v>2778.9477072310401</v>
      </c>
      <c r="W192" s="3">
        <f>+D.sign_Data[[#This Row],[COSTO 
DIRECTO ($COP)]]+D.sign_Data[[#This Row],[PRORRATEO GASTOS ($COP)]]</f>
        <v>5568.5303252936319</v>
      </c>
      <c r="X192" s="101">
        <v>0.1</v>
      </c>
      <c r="Y192" s="15">
        <f>+D.sign_Data[[#This Row],[COSTOS OPERACIONALES ($COP)]]*D.sign_Data[[#This Row],[DESFASE (%)]]</f>
        <v>556.85303252936319</v>
      </c>
      <c r="Z192" s="101">
        <v>0.3</v>
      </c>
      <c r="AA192" s="15">
        <f>+((D.sign_Data[[#This Row],[COSTOS OPERACIONALES ($COP)]]/(100%-D.sign_Data[[#This Row],[UTILIDAD (%)]])))-D.sign_Data[[#This Row],[COSTOS OPERACIONALES ($COP)]]</f>
        <v>2386.5129965544138</v>
      </c>
      <c r="AB192" s="3">
        <f>+D.sign_Data[[#This Row],[COSTOS OPERACIONALES ($COP)]]+D.sign_Data[[#This Row],[DESFASE ($COP)]]+D.sign_Data[[#This Row],[UTILIDAD ($COP)]]</f>
        <v>8511.896354377408</v>
      </c>
      <c r="AC192" s="101">
        <v>0.05</v>
      </c>
      <c r="AD192" s="15">
        <f>+D.sign_Data[[#This Row],[VALOR NETO ($COP)]]/(100%-D.sign_Data[[#This Row],[MARGEN DE NEGOCIACIÓN (%)]])-D.sign_Data[[#This Row],[VALOR NETO ($COP)]]</f>
        <v>447.99454496723229</v>
      </c>
      <c r="AE192" s="15">
        <f>+(D.sign_Data[[#This Row],[VALOR NETO ($COP)]]+D.sign_Data[[#This Row],[NEGOCIACIÓN ($COP)]])*1%</f>
        <v>89.5989089934464</v>
      </c>
      <c r="AF192" s="15">
        <f>+(D.sign_Data[[#This Row],[VALOR NETO ($COP)]]+D.sign_Data[[#This Row],[NEGOCIACIÓN ($COP)]])*1%</f>
        <v>89.5989089934464</v>
      </c>
      <c r="AG192" s="3">
        <f>+D.sign_Data[[#This Row],[VALOR NETO ($COP)]]+D.sign_Data[[#This Row],[NEGOCIACIÓN ($COP)]]+D.sign_Data[[#This Row],[ICA ($COP)]]+D.sign_Data[[#This Row],[4 * 1000 ($COP)]]</f>
        <v>9139.0887173315332</v>
      </c>
    </row>
    <row r="193" spans="1:33" ht="60" hidden="1" customHeight="1" x14ac:dyDescent="0.25">
      <c r="A193" s="14"/>
      <c r="B193" s="87" t="s">
        <v>493</v>
      </c>
      <c r="C193" s="182" t="s">
        <v>563</v>
      </c>
      <c r="D193" s="189" t="str">
        <f>VLOOKUP(D.sign_Data[[#This Row],[CÓDIGO]],Descripciones[[CÓDIGO]:[NOMBRE DE SERVICIO]],3,FALSE)</f>
        <v>D1. Parcelaciones y Condominios</v>
      </c>
      <c r="E193" s="87" t="s">
        <v>420</v>
      </c>
      <c r="F193" s="88" t="s">
        <v>564</v>
      </c>
      <c r="G193" s="88" t="s">
        <v>582</v>
      </c>
      <c r="H193" s="104" t="s">
        <v>537</v>
      </c>
      <c r="I193" s="89">
        <v>1</v>
      </c>
      <c r="J193" s="88" t="s">
        <v>583</v>
      </c>
      <c r="K193" s="102"/>
      <c r="L193" s="88" t="s">
        <v>579</v>
      </c>
      <c r="M193" s="89" t="s">
        <v>381</v>
      </c>
      <c r="N193" s="90">
        <v>2</v>
      </c>
      <c r="O193" s="27">
        <f>IFERROR(+VLOOKUP(M193,D.sign_Lista_Data[[RESPONSABLE]:[SOFTWARE 
VALOR HORA]],3,FALSE),"0")</f>
        <v>20263.424518743668</v>
      </c>
      <c r="P193" s="3">
        <f t="shared" si="6"/>
        <v>40526.849037487336</v>
      </c>
      <c r="Q193" s="11">
        <f>IFERROR(+VLOOKUP(M193,D.sign_Lista_Data[[RESPONSABLE]:[SOFTWARE 
VALOR HORA]],5,FALSE)*D.sign_Data[[#This Row],[TIEMPO (HORAS)]],0)</f>
        <v>8443.0935494765272</v>
      </c>
      <c r="R193" s="11">
        <f>IFERROR(+VLOOKUP(M193,D.sign_Lista_Data[[RESPONSABLE]:[SOFTWARE 
VALOR HORA]],8,FALSE)*D.sign_Data[[#This Row],[TIEMPO (HORAS)]],0)</f>
        <v>6821.7097742879669</v>
      </c>
      <c r="S193" s="99">
        <v>0</v>
      </c>
      <c r="T193" s="99" t="s">
        <v>568</v>
      </c>
      <c r="U193" s="3">
        <f t="shared" si="7"/>
        <v>55791.652361251836</v>
      </c>
      <c r="V193" s="100">
        <f>D.sign_Data[[#This Row],[TIEMPO (HORAS)]]*Gastos_Operativos[[#Totals],[GASTOS HORA]]</f>
        <v>55578.954144620802</v>
      </c>
      <c r="W193" s="3">
        <f>+D.sign_Data[[#This Row],[COSTO 
DIRECTO ($COP)]]+D.sign_Data[[#This Row],[PRORRATEO GASTOS ($COP)]]</f>
        <v>111370.60650587264</v>
      </c>
      <c r="X193" s="101">
        <v>0.1</v>
      </c>
      <c r="Y193" s="15">
        <f>+D.sign_Data[[#This Row],[COSTOS OPERACIONALES ($COP)]]*D.sign_Data[[#This Row],[DESFASE (%)]]</f>
        <v>11137.060650587264</v>
      </c>
      <c r="Z193" s="101">
        <v>0.3</v>
      </c>
      <c r="AA193" s="15">
        <f>+((D.sign_Data[[#This Row],[COSTOS OPERACIONALES ($COP)]]/(100%-D.sign_Data[[#This Row],[UTILIDAD (%)]])))-D.sign_Data[[#This Row],[COSTOS OPERACIONALES ($COP)]]</f>
        <v>47730.259931088294</v>
      </c>
      <c r="AB193" s="3">
        <f>+D.sign_Data[[#This Row],[COSTOS OPERACIONALES ($COP)]]+D.sign_Data[[#This Row],[DESFASE ($COP)]]+D.sign_Data[[#This Row],[UTILIDAD ($COP)]]</f>
        <v>170237.92708754819</v>
      </c>
      <c r="AC193" s="101">
        <v>0.05</v>
      </c>
      <c r="AD193" s="15">
        <f>+D.sign_Data[[#This Row],[VALOR NETO ($COP)]]/(100%-D.sign_Data[[#This Row],[MARGEN DE NEGOCIACIÓN (%)]])-D.sign_Data[[#This Row],[VALOR NETO ($COP)]]</f>
        <v>8959.8908993446385</v>
      </c>
      <c r="AE193" s="15">
        <f>+(D.sign_Data[[#This Row],[VALOR NETO ($COP)]]+D.sign_Data[[#This Row],[NEGOCIACIÓN ($COP)]])*1%</f>
        <v>1791.9781798689282</v>
      </c>
      <c r="AF193" s="15">
        <f>+(D.sign_Data[[#This Row],[VALOR NETO ($COP)]]+D.sign_Data[[#This Row],[NEGOCIACIÓN ($COP)]])*1%</f>
        <v>1791.9781798689282</v>
      </c>
      <c r="AG193" s="3">
        <f>+D.sign_Data[[#This Row],[VALOR NETO ($COP)]]+D.sign_Data[[#This Row],[NEGOCIACIÓN ($COP)]]+D.sign_Data[[#This Row],[ICA ($COP)]]+D.sign_Data[[#This Row],[4 * 1000 ($COP)]]</f>
        <v>182781.77434663067</v>
      </c>
    </row>
    <row r="194" spans="1:33" ht="60" hidden="1" customHeight="1" x14ac:dyDescent="0.25">
      <c r="A194" s="14"/>
      <c r="B194" s="87" t="s">
        <v>493</v>
      </c>
      <c r="C194" s="182" t="s">
        <v>563</v>
      </c>
      <c r="D194" s="189" t="str">
        <f>VLOOKUP(D.sign_Data[[#This Row],[CÓDIGO]],Descripciones[[CÓDIGO]:[NOMBRE DE SERVICIO]],3,FALSE)</f>
        <v>D1. Parcelaciones y Condominios</v>
      </c>
      <c r="E194" s="87" t="s">
        <v>420</v>
      </c>
      <c r="F194" s="88" t="s">
        <v>564</v>
      </c>
      <c r="G194" s="88" t="s">
        <v>582</v>
      </c>
      <c r="H194" s="104" t="s">
        <v>537</v>
      </c>
      <c r="I194" s="89">
        <v>1</v>
      </c>
      <c r="J194" s="88" t="s">
        <v>583</v>
      </c>
      <c r="K194" s="102"/>
      <c r="L194" s="88" t="s">
        <v>572</v>
      </c>
      <c r="M194" s="89" t="s">
        <v>381</v>
      </c>
      <c r="N194" s="90">
        <v>0.5</v>
      </c>
      <c r="O194" s="27">
        <f>IFERROR(+VLOOKUP(M194,D.sign_Lista_Data[[RESPONSABLE]:[SOFTWARE 
VALOR HORA]],3,FALSE),"0")</f>
        <v>20263.424518743668</v>
      </c>
      <c r="P194" s="3">
        <f t="shared" si="6"/>
        <v>10131.712259371834</v>
      </c>
      <c r="Q194" s="11">
        <f>IFERROR(+VLOOKUP(M194,D.sign_Lista_Data[[RESPONSABLE]:[SOFTWARE 
VALOR HORA]],5,FALSE)*D.sign_Data[[#This Row],[TIEMPO (HORAS)]],0)</f>
        <v>2110.7733873691318</v>
      </c>
      <c r="R194" s="11">
        <f>IFERROR(+VLOOKUP(M194,D.sign_Lista_Data[[RESPONSABLE]:[SOFTWARE 
VALOR HORA]],8,FALSE)*D.sign_Data[[#This Row],[TIEMPO (HORAS)]],0)</f>
        <v>1705.4274435719917</v>
      </c>
      <c r="S194" s="99">
        <v>0</v>
      </c>
      <c r="T194" s="99" t="s">
        <v>568</v>
      </c>
      <c r="U194" s="3">
        <f t="shared" si="7"/>
        <v>13947.913090312959</v>
      </c>
      <c r="V194" s="100">
        <f>D.sign_Data[[#This Row],[TIEMPO (HORAS)]]*Gastos_Operativos[[#Totals],[GASTOS HORA]]</f>
        <v>13894.738536155201</v>
      </c>
      <c r="W194" s="3">
        <f>+D.sign_Data[[#This Row],[COSTO 
DIRECTO ($COP)]]+D.sign_Data[[#This Row],[PRORRATEO GASTOS ($COP)]]</f>
        <v>27842.65162646816</v>
      </c>
      <c r="X194" s="101">
        <v>0.1</v>
      </c>
      <c r="Y194" s="15">
        <f>+D.sign_Data[[#This Row],[COSTOS OPERACIONALES ($COP)]]*D.sign_Data[[#This Row],[DESFASE (%)]]</f>
        <v>2784.265162646816</v>
      </c>
      <c r="Z194" s="101">
        <v>0.3</v>
      </c>
      <c r="AA194" s="15">
        <f>+((D.sign_Data[[#This Row],[COSTOS OPERACIONALES ($COP)]]/(100%-D.sign_Data[[#This Row],[UTILIDAD (%)]])))-D.sign_Data[[#This Row],[COSTOS OPERACIONALES ($COP)]]</f>
        <v>11932.564982772074</v>
      </c>
      <c r="AB194" s="3">
        <f>+D.sign_Data[[#This Row],[COSTOS OPERACIONALES ($COP)]]+D.sign_Data[[#This Row],[DESFASE ($COP)]]+D.sign_Data[[#This Row],[UTILIDAD ($COP)]]</f>
        <v>42559.481771887047</v>
      </c>
      <c r="AC194" s="101">
        <v>0.05</v>
      </c>
      <c r="AD194" s="15">
        <f>+D.sign_Data[[#This Row],[VALOR NETO ($COP)]]/(100%-D.sign_Data[[#This Row],[MARGEN DE NEGOCIACIÓN (%)]])-D.sign_Data[[#This Row],[VALOR NETO ($COP)]]</f>
        <v>2239.9727248361596</v>
      </c>
      <c r="AE194" s="15">
        <f>+(D.sign_Data[[#This Row],[VALOR NETO ($COP)]]+D.sign_Data[[#This Row],[NEGOCIACIÓN ($COP)]])*1%</f>
        <v>447.99454496723206</v>
      </c>
      <c r="AF194" s="15">
        <f>+(D.sign_Data[[#This Row],[VALOR NETO ($COP)]]+D.sign_Data[[#This Row],[NEGOCIACIÓN ($COP)]])*1%</f>
        <v>447.99454496723206</v>
      </c>
      <c r="AG194" s="3">
        <f>+D.sign_Data[[#This Row],[VALOR NETO ($COP)]]+D.sign_Data[[#This Row],[NEGOCIACIÓN ($COP)]]+D.sign_Data[[#This Row],[ICA ($COP)]]+D.sign_Data[[#This Row],[4 * 1000 ($COP)]]</f>
        <v>45695.443586657668</v>
      </c>
    </row>
    <row r="195" spans="1:33" ht="60" hidden="1" customHeight="1" x14ac:dyDescent="0.25">
      <c r="A195" s="14"/>
      <c r="B195" s="87" t="s">
        <v>493</v>
      </c>
      <c r="C195" s="182" t="s">
        <v>563</v>
      </c>
      <c r="D195" s="189" t="str">
        <f>VLOOKUP(D.sign_Data[[#This Row],[CÓDIGO]],Descripciones[[CÓDIGO]:[NOMBRE DE SERVICIO]],3,FALSE)</f>
        <v>D1. Parcelaciones y Condominios</v>
      </c>
      <c r="E195" s="87" t="s">
        <v>420</v>
      </c>
      <c r="F195" s="88" t="s">
        <v>564</v>
      </c>
      <c r="G195" s="88" t="s">
        <v>587</v>
      </c>
      <c r="H195" s="104" t="s">
        <v>537</v>
      </c>
      <c r="I195" s="89">
        <v>1</v>
      </c>
      <c r="J195" s="88" t="s">
        <v>588</v>
      </c>
      <c r="K195" s="102"/>
      <c r="L195" s="88" t="s">
        <v>589</v>
      </c>
      <c r="M195" s="89" t="s">
        <v>381</v>
      </c>
      <c r="N195" s="90">
        <v>1</v>
      </c>
      <c r="O195" s="27">
        <f>IFERROR(+VLOOKUP(M195,D.sign_Lista_Data[[RESPONSABLE]:[SOFTWARE 
VALOR HORA]],3,FALSE),"0")</f>
        <v>20263.424518743668</v>
      </c>
      <c r="P195" s="3">
        <f t="shared" si="6"/>
        <v>20263.424518743668</v>
      </c>
      <c r="Q195" s="11">
        <f>IFERROR(+VLOOKUP(M195,D.sign_Lista_Data[[RESPONSABLE]:[SOFTWARE 
VALOR HORA]],5,FALSE)*D.sign_Data[[#This Row],[TIEMPO (HORAS)]],0)</f>
        <v>4221.5467747382636</v>
      </c>
      <c r="R195" s="11">
        <f>IFERROR(+VLOOKUP(M195,D.sign_Lista_Data[[RESPONSABLE]:[SOFTWARE 
VALOR HORA]],8,FALSE)*D.sign_Data[[#This Row],[TIEMPO (HORAS)]],0)</f>
        <v>3410.8548871439834</v>
      </c>
      <c r="S195" s="99">
        <v>0</v>
      </c>
      <c r="T195" s="99" t="s">
        <v>568</v>
      </c>
      <c r="U195" s="3">
        <f t="shared" si="7"/>
        <v>27895.826180625918</v>
      </c>
      <c r="V195" s="100">
        <f>D.sign_Data[[#This Row],[TIEMPO (HORAS)]]*Gastos_Operativos[[#Totals],[GASTOS HORA]]</f>
        <v>27789.477072310401</v>
      </c>
      <c r="W195" s="3">
        <f>+D.sign_Data[[#This Row],[COSTO 
DIRECTO ($COP)]]+D.sign_Data[[#This Row],[PRORRATEO GASTOS ($COP)]]</f>
        <v>55685.303252936319</v>
      </c>
      <c r="X195" s="101">
        <v>0.1</v>
      </c>
      <c r="Y195" s="15">
        <f>+D.sign_Data[[#This Row],[COSTOS OPERACIONALES ($COP)]]*D.sign_Data[[#This Row],[DESFASE (%)]]</f>
        <v>5568.5303252936319</v>
      </c>
      <c r="Z195" s="101">
        <v>0.3</v>
      </c>
      <c r="AA195" s="15">
        <f>+((D.sign_Data[[#This Row],[COSTOS OPERACIONALES ($COP)]]/(100%-D.sign_Data[[#This Row],[UTILIDAD (%)]])))-D.sign_Data[[#This Row],[COSTOS OPERACIONALES ($COP)]]</f>
        <v>23865.129965544147</v>
      </c>
      <c r="AB195" s="3">
        <f>+D.sign_Data[[#This Row],[COSTOS OPERACIONALES ($COP)]]+D.sign_Data[[#This Row],[DESFASE ($COP)]]+D.sign_Data[[#This Row],[UTILIDAD ($COP)]]</f>
        <v>85118.963543774094</v>
      </c>
      <c r="AC195" s="101">
        <v>0.05</v>
      </c>
      <c r="AD195" s="15">
        <f>+D.sign_Data[[#This Row],[VALOR NETO ($COP)]]/(100%-D.sign_Data[[#This Row],[MARGEN DE NEGOCIACIÓN (%)]])-D.sign_Data[[#This Row],[VALOR NETO ($COP)]]</f>
        <v>4479.9454496723192</v>
      </c>
      <c r="AE195" s="15">
        <f>+(D.sign_Data[[#This Row],[VALOR NETO ($COP)]]+D.sign_Data[[#This Row],[NEGOCIACIÓN ($COP)]])*1%</f>
        <v>895.98908993446412</v>
      </c>
      <c r="AF195" s="15">
        <f>+(D.sign_Data[[#This Row],[VALOR NETO ($COP)]]+D.sign_Data[[#This Row],[NEGOCIACIÓN ($COP)]])*1%</f>
        <v>895.98908993446412</v>
      </c>
      <c r="AG195" s="3">
        <f>+D.sign_Data[[#This Row],[VALOR NETO ($COP)]]+D.sign_Data[[#This Row],[NEGOCIACIÓN ($COP)]]+D.sign_Data[[#This Row],[ICA ($COP)]]+D.sign_Data[[#This Row],[4 * 1000 ($COP)]]</f>
        <v>91390.887173315336</v>
      </c>
    </row>
    <row r="196" spans="1:33" ht="60" hidden="1" customHeight="1" x14ac:dyDescent="0.25">
      <c r="A196" s="14"/>
      <c r="B196" s="87" t="s">
        <v>493</v>
      </c>
      <c r="C196" s="182" t="s">
        <v>563</v>
      </c>
      <c r="D196" s="189" t="str">
        <f>VLOOKUP(D.sign_Data[[#This Row],[CÓDIGO]],Descripciones[[CÓDIGO]:[NOMBRE DE SERVICIO]],3,FALSE)</f>
        <v>D1. Parcelaciones y Condominios</v>
      </c>
      <c r="E196" s="87" t="s">
        <v>420</v>
      </c>
      <c r="F196" s="88" t="s">
        <v>564</v>
      </c>
      <c r="G196" s="88" t="s">
        <v>587</v>
      </c>
      <c r="H196" s="104" t="s">
        <v>537</v>
      </c>
      <c r="I196" s="89">
        <v>1</v>
      </c>
      <c r="J196" s="88" t="s">
        <v>588</v>
      </c>
      <c r="K196" s="102"/>
      <c r="L196" s="88" t="s">
        <v>575</v>
      </c>
      <c r="M196" s="89" t="s">
        <v>381</v>
      </c>
      <c r="N196" s="90">
        <v>1</v>
      </c>
      <c r="O196" s="27">
        <f>IFERROR(+VLOOKUP(M196,D.sign_Lista_Data[[RESPONSABLE]:[SOFTWARE 
VALOR HORA]],3,FALSE),"0")</f>
        <v>20263.424518743668</v>
      </c>
      <c r="P196" s="3">
        <f t="shared" si="6"/>
        <v>20263.424518743668</v>
      </c>
      <c r="Q196" s="11">
        <f>IFERROR(+VLOOKUP(M196,D.sign_Lista_Data[[RESPONSABLE]:[SOFTWARE 
VALOR HORA]],5,FALSE)*D.sign_Data[[#This Row],[TIEMPO (HORAS)]],0)</f>
        <v>4221.5467747382636</v>
      </c>
      <c r="R196" s="11">
        <f>IFERROR(+VLOOKUP(M196,D.sign_Lista_Data[[RESPONSABLE]:[SOFTWARE 
VALOR HORA]],8,FALSE)*D.sign_Data[[#This Row],[TIEMPO (HORAS)]],0)</f>
        <v>3410.8548871439834</v>
      </c>
      <c r="S196" s="99">
        <v>0</v>
      </c>
      <c r="T196" s="99" t="s">
        <v>568</v>
      </c>
      <c r="U196" s="3">
        <f t="shared" si="7"/>
        <v>27895.826180625918</v>
      </c>
      <c r="V196" s="100">
        <f>D.sign_Data[[#This Row],[TIEMPO (HORAS)]]*Gastos_Operativos[[#Totals],[GASTOS HORA]]</f>
        <v>27789.477072310401</v>
      </c>
      <c r="W196" s="3">
        <f>+D.sign_Data[[#This Row],[COSTO 
DIRECTO ($COP)]]+D.sign_Data[[#This Row],[PRORRATEO GASTOS ($COP)]]</f>
        <v>55685.303252936319</v>
      </c>
      <c r="X196" s="101">
        <v>0.1</v>
      </c>
      <c r="Y196" s="15">
        <f>+D.sign_Data[[#This Row],[COSTOS OPERACIONALES ($COP)]]*D.sign_Data[[#This Row],[DESFASE (%)]]</f>
        <v>5568.5303252936319</v>
      </c>
      <c r="Z196" s="101">
        <v>0.3</v>
      </c>
      <c r="AA196" s="15">
        <f>+((D.sign_Data[[#This Row],[COSTOS OPERACIONALES ($COP)]]/(100%-D.sign_Data[[#This Row],[UTILIDAD (%)]])))-D.sign_Data[[#This Row],[COSTOS OPERACIONALES ($COP)]]</f>
        <v>23865.129965544147</v>
      </c>
      <c r="AB196" s="3">
        <f>+D.sign_Data[[#This Row],[COSTOS OPERACIONALES ($COP)]]+D.sign_Data[[#This Row],[DESFASE ($COP)]]+D.sign_Data[[#This Row],[UTILIDAD ($COP)]]</f>
        <v>85118.963543774094</v>
      </c>
      <c r="AC196" s="101">
        <v>0.05</v>
      </c>
      <c r="AD196" s="15">
        <f>+D.sign_Data[[#This Row],[VALOR NETO ($COP)]]/(100%-D.sign_Data[[#This Row],[MARGEN DE NEGOCIACIÓN (%)]])-D.sign_Data[[#This Row],[VALOR NETO ($COP)]]</f>
        <v>4479.9454496723192</v>
      </c>
      <c r="AE196" s="15">
        <f>+(D.sign_Data[[#This Row],[VALOR NETO ($COP)]]+D.sign_Data[[#This Row],[NEGOCIACIÓN ($COP)]])*1%</f>
        <v>895.98908993446412</v>
      </c>
      <c r="AF196" s="15">
        <f>+(D.sign_Data[[#This Row],[VALOR NETO ($COP)]]+D.sign_Data[[#This Row],[NEGOCIACIÓN ($COP)]])*1%</f>
        <v>895.98908993446412</v>
      </c>
      <c r="AG196" s="3">
        <f>+D.sign_Data[[#This Row],[VALOR NETO ($COP)]]+D.sign_Data[[#This Row],[NEGOCIACIÓN ($COP)]]+D.sign_Data[[#This Row],[ICA ($COP)]]+D.sign_Data[[#This Row],[4 * 1000 ($COP)]]</f>
        <v>91390.887173315336</v>
      </c>
    </row>
    <row r="197" spans="1:33" ht="60" hidden="1" customHeight="1" x14ac:dyDescent="0.25">
      <c r="A197" s="14"/>
      <c r="B197" s="87" t="s">
        <v>493</v>
      </c>
      <c r="C197" s="182" t="s">
        <v>563</v>
      </c>
      <c r="D197" s="189" t="str">
        <f>VLOOKUP(D.sign_Data[[#This Row],[CÓDIGO]],Descripciones[[CÓDIGO]:[NOMBRE DE SERVICIO]],3,FALSE)</f>
        <v>D1. Parcelaciones y Condominios</v>
      </c>
      <c r="E197" s="87" t="s">
        <v>420</v>
      </c>
      <c r="F197" s="88" t="s">
        <v>564</v>
      </c>
      <c r="G197" s="88" t="s">
        <v>587</v>
      </c>
      <c r="H197" s="104" t="s">
        <v>537</v>
      </c>
      <c r="I197" s="89">
        <v>1</v>
      </c>
      <c r="J197" s="88" t="s">
        <v>588</v>
      </c>
      <c r="K197" s="102"/>
      <c r="L197" s="88" t="s">
        <v>590</v>
      </c>
      <c r="M197" s="89" t="s">
        <v>381</v>
      </c>
      <c r="N197" s="90">
        <v>3</v>
      </c>
      <c r="O197" s="27">
        <f>IFERROR(+VLOOKUP(M197,D.sign_Lista_Data[[RESPONSABLE]:[SOFTWARE 
VALOR HORA]],3,FALSE),"0")</f>
        <v>20263.424518743668</v>
      </c>
      <c r="P197" s="3">
        <f t="shared" si="6"/>
        <v>60790.273556231004</v>
      </c>
      <c r="Q197" s="11">
        <f>IFERROR(+VLOOKUP(M197,D.sign_Lista_Data[[RESPONSABLE]:[SOFTWARE 
VALOR HORA]],5,FALSE)*D.sign_Data[[#This Row],[TIEMPO (HORAS)]],0)</f>
        <v>12664.64032421479</v>
      </c>
      <c r="R197" s="11">
        <f>IFERROR(+VLOOKUP(M197,D.sign_Lista_Data[[RESPONSABLE]:[SOFTWARE 
VALOR HORA]],8,FALSE)*D.sign_Data[[#This Row],[TIEMPO (HORAS)]],0)</f>
        <v>10232.56466143195</v>
      </c>
      <c r="S197" s="99">
        <v>0</v>
      </c>
      <c r="T197" s="99" t="s">
        <v>568</v>
      </c>
      <c r="U197" s="3">
        <f t="shared" si="7"/>
        <v>83687.478541877746</v>
      </c>
      <c r="V197" s="100">
        <f>D.sign_Data[[#This Row],[TIEMPO (HORAS)]]*Gastos_Operativos[[#Totals],[GASTOS HORA]]</f>
        <v>83368.431216931203</v>
      </c>
      <c r="W197" s="3">
        <f>+D.sign_Data[[#This Row],[COSTO 
DIRECTO ($COP)]]+D.sign_Data[[#This Row],[PRORRATEO GASTOS ($COP)]]</f>
        <v>167055.90975880896</v>
      </c>
      <c r="X197" s="101">
        <v>0.1</v>
      </c>
      <c r="Y197" s="15">
        <f>+D.sign_Data[[#This Row],[COSTOS OPERACIONALES ($COP)]]*D.sign_Data[[#This Row],[DESFASE (%)]]</f>
        <v>16705.590975880896</v>
      </c>
      <c r="Z197" s="101">
        <v>0.3</v>
      </c>
      <c r="AA197" s="15">
        <f>+((D.sign_Data[[#This Row],[COSTOS OPERACIONALES ($COP)]]/(100%-D.sign_Data[[#This Row],[UTILIDAD (%)]])))-D.sign_Data[[#This Row],[COSTOS OPERACIONALES ($COP)]]</f>
        <v>71595.389896632434</v>
      </c>
      <c r="AB197" s="3">
        <f>+D.sign_Data[[#This Row],[COSTOS OPERACIONALES ($COP)]]+D.sign_Data[[#This Row],[DESFASE ($COP)]]+D.sign_Data[[#This Row],[UTILIDAD ($COP)]]</f>
        <v>255356.89063132228</v>
      </c>
      <c r="AC197" s="101">
        <v>0.05</v>
      </c>
      <c r="AD197" s="15">
        <f>+D.sign_Data[[#This Row],[VALOR NETO ($COP)]]/(100%-D.sign_Data[[#This Row],[MARGEN DE NEGOCIACIÓN (%)]])-D.sign_Data[[#This Row],[VALOR NETO ($COP)]]</f>
        <v>13439.836349016987</v>
      </c>
      <c r="AE197" s="15">
        <f>+(D.sign_Data[[#This Row],[VALOR NETO ($COP)]]+D.sign_Data[[#This Row],[NEGOCIACIÓN ($COP)]])*1%</f>
        <v>2687.9672698033928</v>
      </c>
      <c r="AF197" s="15">
        <f>+(D.sign_Data[[#This Row],[VALOR NETO ($COP)]]+D.sign_Data[[#This Row],[NEGOCIACIÓN ($COP)]])*1%</f>
        <v>2687.9672698033928</v>
      </c>
      <c r="AG197" s="3">
        <f>+D.sign_Data[[#This Row],[VALOR NETO ($COP)]]+D.sign_Data[[#This Row],[NEGOCIACIÓN ($COP)]]+D.sign_Data[[#This Row],[ICA ($COP)]]+D.sign_Data[[#This Row],[4 * 1000 ($COP)]]</f>
        <v>274172.66151994606</v>
      </c>
    </row>
    <row r="198" spans="1:33" ht="60" hidden="1" customHeight="1" x14ac:dyDescent="0.25">
      <c r="A198" s="14"/>
      <c r="B198" s="87" t="s">
        <v>493</v>
      </c>
      <c r="C198" s="182" t="s">
        <v>563</v>
      </c>
      <c r="D198" s="189" t="str">
        <f>VLOOKUP(D.sign_Data[[#This Row],[CÓDIGO]],Descripciones[[CÓDIGO]:[NOMBRE DE SERVICIO]],3,FALSE)</f>
        <v>D1. Parcelaciones y Condominios</v>
      </c>
      <c r="E198" s="87" t="s">
        <v>420</v>
      </c>
      <c r="F198" s="88" t="s">
        <v>564</v>
      </c>
      <c r="G198" s="88" t="s">
        <v>587</v>
      </c>
      <c r="H198" s="104" t="s">
        <v>537</v>
      </c>
      <c r="I198" s="89">
        <v>1</v>
      </c>
      <c r="J198" s="88" t="s">
        <v>588</v>
      </c>
      <c r="K198" s="102"/>
      <c r="L198" s="88" t="s">
        <v>591</v>
      </c>
      <c r="M198" s="89" t="s">
        <v>381</v>
      </c>
      <c r="N198" s="90">
        <v>3</v>
      </c>
      <c r="O198" s="27">
        <f>IFERROR(+VLOOKUP(M198,D.sign_Lista_Data[[RESPONSABLE]:[SOFTWARE 
VALOR HORA]],3,FALSE),"0")</f>
        <v>20263.424518743668</v>
      </c>
      <c r="P198" s="3">
        <f t="shared" si="6"/>
        <v>60790.273556231004</v>
      </c>
      <c r="Q198" s="11">
        <f>IFERROR(+VLOOKUP(M198,D.sign_Lista_Data[[RESPONSABLE]:[SOFTWARE 
VALOR HORA]],5,FALSE)*D.sign_Data[[#This Row],[TIEMPO (HORAS)]],0)</f>
        <v>12664.64032421479</v>
      </c>
      <c r="R198" s="11">
        <f>IFERROR(+VLOOKUP(M198,D.sign_Lista_Data[[RESPONSABLE]:[SOFTWARE 
VALOR HORA]],8,FALSE)*D.sign_Data[[#This Row],[TIEMPO (HORAS)]],0)</f>
        <v>10232.56466143195</v>
      </c>
      <c r="S198" s="99">
        <v>0</v>
      </c>
      <c r="T198" s="99" t="s">
        <v>568</v>
      </c>
      <c r="U198" s="3">
        <f t="shared" si="7"/>
        <v>83687.478541877746</v>
      </c>
      <c r="V198" s="100">
        <f>D.sign_Data[[#This Row],[TIEMPO (HORAS)]]*Gastos_Operativos[[#Totals],[GASTOS HORA]]</f>
        <v>83368.431216931203</v>
      </c>
      <c r="W198" s="3">
        <f>+D.sign_Data[[#This Row],[COSTO 
DIRECTO ($COP)]]+D.sign_Data[[#This Row],[PRORRATEO GASTOS ($COP)]]</f>
        <v>167055.90975880896</v>
      </c>
      <c r="X198" s="101">
        <v>0.1</v>
      </c>
      <c r="Y198" s="15">
        <f>+D.sign_Data[[#This Row],[COSTOS OPERACIONALES ($COP)]]*D.sign_Data[[#This Row],[DESFASE (%)]]</f>
        <v>16705.590975880896</v>
      </c>
      <c r="Z198" s="101">
        <v>0.3</v>
      </c>
      <c r="AA198" s="15">
        <f>+((D.sign_Data[[#This Row],[COSTOS OPERACIONALES ($COP)]]/(100%-D.sign_Data[[#This Row],[UTILIDAD (%)]])))-D.sign_Data[[#This Row],[COSTOS OPERACIONALES ($COP)]]</f>
        <v>71595.389896632434</v>
      </c>
      <c r="AB198" s="3">
        <f>+D.sign_Data[[#This Row],[COSTOS OPERACIONALES ($COP)]]+D.sign_Data[[#This Row],[DESFASE ($COP)]]+D.sign_Data[[#This Row],[UTILIDAD ($COP)]]</f>
        <v>255356.89063132228</v>
      </c>
      <c r="AC198" s="101">
        <v>0.05</v>
      </c>
      <c r="AD198" s="15">
        <f>+D.sign_Data[[#This Row],[VALOR NETO ($COP)]]/(100%-D.sign_Data[[#This Row],[MARGEN DE NEGOCIACIÓN (%)]])-D.sign_Data[[#This Row],[VALOR NETO ($COP)]]</f>
        <v>13439.836349016987</v>
      </c>
      <c r="AE198" s="15">
        <f>+(D.sign_Data[[#This Row],[VALOR NETO ($COP)]]+D.sign_Data[[#This Row],[NEGOCIACIÓN ($COP)]])*1%</f>
        <v>2687.9672698033928</v>
      </c>
      <c r="AF198" s="15">
        <f>+(D.sign_Data[[#This Row],[VALOR NETO ($COP)]]+D.sign_Data[[#This Row],[NEGOCIACIÓN ($COP)]])*1%</f>
        <v>2687.9672698033928</v>
      </c>
      <c r="AG198" s="3">
        <f>+D.sign_Data[[#This Row],[VALOR NETO ($COP)]]+D.sign_Data[[#This Row],[NEGOCIACIÓN ($COP)]]+D.sign_Data[[#This Row],[ICA ($COP)]]+D.sign_Data[[#This Row],[4 * 1000 ($COP)]]</f>
        <v>274172.66151994606</v>
      </c>
    </row>
    <row r="199" spans="1:33" ht="60" hidden="1" customHeight="1" x14ac:dyDescent="0.25">
      <c r="A199" s="14"/>
      <c r="B199" s="87" t="s">
        <v>493</v>
      </c>
      <c r="C199" s="182" t="s">
        <v>563</v>
      </c>
      <c r="D199" s="189" t="str">
        <f>VLOOKUP(D.sign_Data[[#This Row],[CÓDIGO]],Descripciones[[CÓDIGO]:[NOMBRE DE SERVICIO]],3,FALSE)</f>
        <v>D1. Parcelaciones y Condominios</v>
      </c>
      <c r="E199" s="87" t="s">
        <v>420</v>
      </c>
      <c r="F199" s="88" t="s">
        <v>564</v>
      </c>
      <c r="G199" s="88" t="s">
        <v>587</v>
      </c>
      <c r="H199" s="104" t="s">
        <v>537</v>
      </c>
      <c r="I199" s="89">
        <v>1</v>
      </c>
      <c r="J199" s="88" t="s">
        <v>588</v>
      </c>
      <c r="K199" s="102"/>
      <c r="L199" s="88" t="s">
        <v>570</v>
      </c>
      <c r="M199" s="89" t="s">
        <v>381</v>
      </c>
      <c r="N199" s="90">
        <v>5</v>
      </c>
      <c r="O199" s="27">
        <f>IFERROR(+VLOOKUP(M199,D.sign_Lista_Data[[RESPONSABLE]:[SOFTWARE 
VALOR HORA]],3,FALSE),"0")</f>
        <v>20263.424518743668</v>
      </c>
      <c r="P199" s="3">
        <f t="shared" si="6"/>
        <v>101317.12259371835</v>
      </c>
      <c r="Q199" s="11">
        <f>IFERROR(+VLOOKUP(M199,D.sign_Lista_Data[[RESPONSABLE]:[SOFTWARE 
VALOR HORA]],5,FALSE)*D.sign_Data[[#This Row],[TIEMPO (HORAS)]],0)</f>
        <v>21107.733873691319</v>
      </c>
      <c r="R199" s="11">
        <f>IFERROR(+VLOOKUP(M199,D.sign_Lista_Data[[RESPONSABLE]:[SOFTWARE 
VALOR HORA]],8,FALSE)*D.sign_Data[[#This Row],[TIEMPO (HORAS)]],0)</f>
        <v>17054.274435719919</v>
      </c>
      <c r="S199" s="99">
        <v>0</v>
      </c>
      <c r="T199" s="99" t="s">
        <v>568</v>
      </c>
      <c r="U199" s="3">
        <f t="shared" si="7"/>
        <v>139479.13090312958</v>
      </c>
      <c r="V199" s="100">
        <f>D.sign_Data[[#This Row],[TIEMPO (HORAS)]]*Gastos_Operativos[[#Totals],[GASTOS HORA]]</f>
        <v>138947.38536155201</v>
      </c>
      <c r="W199" s="3">
        <f>+D.sign_Data[[#This Row],[COSTO 
DIRECTO ($COP)]]+D.sign_Data[[#This Row],[PRORRATEO GASTOS ($COP)]]</f>
        <v>278426.51626468159</v>
      </c>
      <c r="X199" s="101">
        <v>0.1</v>
      </c>
      <c r="Y199" s="15">
        <f>+D.sign_Data[[#This Row],[COSTOS OPERACIONALES ($COP)]]*D.sign_Data[[#This Row],[DESFASE (%)]]</f>
        <v>27842.65162646816</v>
      </c>
      <c r="Z199" s="101">
        <v>0.3</v>
      </c>
      <c r="AA199" s="15">
        <f>+((D.sign_Data[[#This Row],[COSTOS OPERACIONALES ($COP)]]/(100%-D.sign_Data[[#This Row],[UTILIDAD (%)]])))-D.sign_Data[[#This Row],[COSTOS OPERACIONALES ($COP)]]</f>
        <v>119325.64982772071</v>
      </c>
      <c r="AB199" s="3">
        <f>+D.sign_Data[[#This Row],[COSTOS OPERACIONALES ($COP)]]+D.sign_Data[[#This Row],[DESFASE ($COP)]]+D.sign_Data[[#This Row],[UTILIDAD ($COP)]]</f>
        <v>425594.81771887047</v>
      </c>
      <c r="AC199" s="101">
        <v>0.05</v>
      </c>
      <c r="AD199" s="15">
        <f>+D.sign_Data[[#This Row],[VALOR NETO ($COP)]]/(100%-D.sign_Data[[#This Row],[MARGEN DE NEGOCIACIÓN (%)]])-D.sign_Data[[#This Row],[VALOR NETO ($COP)]]</f>
        <v>22399.727248361625</v>
      </c>
      <c r="AE199" s="15">
        <f>+(D.sign_Data[[#This Row],[VALOR NETO ($COP)]]+D.sign_Data[[#This Row],[NEGOCIACIÓN ($COP)]])*1%</f>
        <v>4479.945449672321</v>
      </c>
      <c r="AF199" s="15">
        <f>+(D.sign_Data[[#This Row],[VALOR NETO ($COP)]]+D.sign_Data[[#This Row],[NEGOCIACIÓN ($COP)]])*1%</f>
        <v>4479.945449672321</v>
      </c>
      <c r="AG199" s="3">
        <f>+D.sign_Data[[#This Row],[VALOR NETO ($COP)]]+D.sign_Data[[#This Row],[NEGOCIACIÓN ($COP)]]+D.sign_Data[[#This Row],[ICA ($COP)]]+D.sign_Data[[#This Row],[4 * 1000 ($COP)]]</f>
        <v>456954.43586657679</v>
      </c>
    </row>
    <row r="200" spans="1:33" ht="60" hidden="1" customHeight="1" x14ac:dyDescent="0.25">
      <c r="A200" s="14"/>
      <c r="B200" s="87" t="s">
        <v>493</v>
      </c>
      <c r="C200" s="182" t="s">
        <v>563</v>
      </c>
      <c r="D200" s="189" t="str">
        <f>VLOOKUP(D.sign_Data[[#This Row],[CÓDIGO]],Descripciones[[CÓDIGO]:[NOMBRE DE SERVICIO]],3,FALSE)</f>
        <v>D1. Parcelaciones y Condominios</v>
      </c>
      <c r="E200" s="87" t="s">
        <v>420</v>
      </c>
      <c r="F200" s="88" t="s">
        <v>564</v>
      </c>
      <c r="G200" s="88" t="s">
        <v>587</v>
      </c>
      <c r="H200" s="104" t="s">
        <v>537</v>
      </c>
      <c r="I200" s="89">
        <v>1</v>
      </c>
      <c r="J200" s="88" t="s">
        <v>588</v>
      </c>
      <c r="K200" s="102"/>
      <c r="L200" s="88" t="s">
        <v>571</v>
      </c>
      <c r="M200" s="89" t="s">
        <v>381</v>
      </c>
      <c r="N200" s="90">
        <v>5</v>
      </c>
      <c r="O200" s="27">
        <f>IFERROR(+VLOOKUP(M200,D.sign_Lista_Data[[RESPONSABLE]:[SOFTWARE 
VALOR HORA]],3,FALSE),"0")</f>
        <v>20263.424518743668</v>
      </c>
      <c r="P200" s="3">
        <f t="shared" si="6"/>
        <v>101317.12259371835</v>
      </c>
      <c r="Q200" s="11">
        <f>IFERROR(+VLOOKUP(M200,D.sign_Lista_Data[[RESPONSABLE]:[SOFTWARE 
VALOR HORA]],5,FALSE)*D.sign_Data[[#This Row],[TIEMPO (HORAS)]],0)</f>
        <v>21107.733873691319</v>
      </c>
      <c r="R200" s="11">
        <f>IFERROR(+VLOOKUP(M200,D.sign_Lista_Data[[RESPONSABLE]:[SOFTWARE 
VALOR HORA]],8,FALSE)*D.sign_Data[[#This Row],[TIEMPO (HORAS)]],0)</f>
        <v>17054.274435719919</v>
      </c>
      <c r="S200" s="99">
        <v>0</v>
      </c>
      <c r="T200" s="99" t="s">
        <v>568</v>
      </c>
      <c r="U200" s="3">
        <f t="shared" si="7"/>
        <v>139479.13090312958</v>
      </c>
      <c r="V200" s="100">
        <f>D.sign_Data[[#This Row],[TIEMPO (HORAS)]]*Gastos_Operativos[[#Totals],[GASTOS HORA]]</f>
        <v>138947.38536155201</v>
      </c>
      <c r="W200" s="3">
        <f>+D.sign_Data[[#This Row],[COSTO 
DIRECTO ($COP)]]+D.sign_Data[[#This Row],[PRORRATEO GASTOS ($COP)]]</f>
        <v>278426.51626468159</v>
      </c>
      <c r="X200" s="101">
        <v>0.1</v>
      </c>
      <c r="Y200" s="15">
        <f>+D.sign_Data[[#This Row],[COSTOS OPERACIONALES ($COP)]]*D.sign_Data[[#This Row],[DESFASE (%)]]</f>
        <v>27842.65162646816</v>
      </c>
      <c r="Z200" s="101">
        <v>0.3</v>
      </c>
      <c r="AA200" s="15">
        <f>+((D.sign_Data[[#This Row],[COSTOS OPERACIONALES ($COP)]]/(100%-D.sign_Data[[#This Row],[UTILIDAD (%)]])))-D.sign_Data[[#This Row],[COSTOS OPERACIONALES ($COP)]]</f>
        <v>119325.64982772071</v>
      </c>
      <c r="AB200" s="3">
        <f>+D.sign_Data[[#This Row],[COSTOS OPERACIONALES ($COP)]]+D.sign_Data[[#This Row],[DESFASE ($COP)]]+D.sign_Data[[#This Row],[UTILIDAD ($COP)]]</f>
        <v>425594.81771887047</v>
      </c>
      <c r="AC200" s="101">
        <v>0.05</v>
      </c>
      <c r="AD200" s="15">
        <f>+D.sign_Data[[#This Row],[VALOR NETO ($COP)]]/(100%-D.sign_Data[[#This Row],[MARGEN DE NEGOCIACIÓN (%)]])-D.sign_Data[[#This Row],[VALOR NETO ($COP)]]</f>
        <v>22399.727248361625</v>
      </c>
      <c r="AE200" s="15">
        <f>+(D.sign_Data[[#This Row],[VALOR NETO ($COP)]]+D.sign_Data[[#This Row],[NEGOCIACIÓN ($COP)]])*1%</f>
        <v>4479.945449672321</v>
      </c>
      <c r="AF200" s="15">
        <f>+(D.sign_Data[[#This Row],[VALOR NETO ($COP)]]+D.sign_Data[[#This Row],[NEGOCIACIÓN ($COP)]])*1%</f>
        <v>4479.945449672321</v>
      </c>
      <c r="AG200" s="3">
        <f>+D.sign_Data[[#This Row],[VALOR NETO ($COP)]]+D.sign_Data[[#This Row],[NEGOCIACIÓN ($COP)]]+D.sign_Data[[#This Row],[ICA ($COP)]]+D.sign_Data[[#This Row],[4 * 1000 ($COP)]]</f>
        <v>456954.43586657679</v>
      </c>
    </row>
    <row r="201" spans="1:33" ht="60" hidden="1" customHeight="1" x14ac:dyDescent="0.25">
      <c r="A201" s="14"/>
      <c r="B201" s="87" t="s">
        <v>493</v>
      </c>
      <c r="C201" s="182" t="s">
        <v>563</v>
      </c>
      <c r="D201" s="189" t="str">
        <f>VLOOKUP(D.sign_Data[[#This Row],[CÓDIGO]],Descripciones[[CÓDIGO]:[NOMBRE DE SERVICIO]],3,FALSE)</f>
        <v>D1. Parcelaciones y Condominios</v>
      </c>
      <c r="E201" s="87" t="s">
        <v>420</v>
      </c>
      <c r="F201" s="88" t="s">
        <v>564</v>
      </c>
      <c r="G201" s="88" t="s">
        <v>587</v>
      </c>
      <c r="H201" s="104" t="s">
        <v>537</v>
      </c>
      <c r="I201" s="89">
        <v>1</v>
      </c>
      <c r="J201" s="88" t="s">
        <v>588</v>
      </c>
      <c r="K201" s="102"/>
      <c r="L201" s="88" t="s">
        <v>579</v>
      </c>
      <c r="M201" s="89" t="s">
        <v>381</v>
      </c>
      <c r="N201" s="90">
        <v>4</v>
      </c>
      <c r="O201" s="27">
        <f>IFERROR(+VLOOKUP(M201,D.sign_Lista_Data[[RESPONSABLE]:[SOFTWARE 
VALOR HORA]],3,FALSE),"0")</f>
        <v>20263.424518743668</v>
      </c>
      <c r="P201" s="3">
        <f t="shared" si="6"/>
        <v>81053.698074974673</v>
      </c>
      <c r="Q201" s="11">
        <f>IFERROR(+VLOOKUP(M201,D.sign_Lista_Data[[RESPONSABLE]:[SOFTWARE 
VALOR HORA]],5,FALSE)*D.sign_Data[[#This Row],[TIEMPO (HORAS)]],0)</f>
        <v>16886.187098953054</v>
      </c>
      <c r="R201" s="11">
        <f>IFERROR(+VLOOKUP(M201,D.sign_Lista_Data[[RESPONSABLE]:[SOFTWARE 
VALOR HORA]],8,FALSE)*D.sign_Data[[#This Row],[TIEMPO (HORAS)]],0)</f>
        <v>13643.419548575934</v>
      </c>
      <c r="S201" s="99">
        <v>0</v>
      </c>
      <c r="T201" s="99" t="s">
        <v>568</v>
      </c>
      <c r="U201" s="3">
        <f t="shared" si="7"/>
        <v>111583.30472250367</v>
      </c>
      <c r="V201" s="100">
        <f>D.sign_Data[[#This Row],[TIEMPO (HORAS)]]*Gastos_Operativos[[#Totals],[GASTOS HORA]]</f>
        <v>111157.9082892416</v>
      </c>
      <c r="W201" s="3">
        <f>+D.sign_Data[[#This Row],[COSTO 
DIRECTO ($COP)]]+D.sign_Data[[#This Row],[PRORRATEO GASTOS ($COP)]]</f>
        <v>222741.21301174528</v>
      </c>
      <c r="X201" s="101">
        <v>0.1</v>
      </c>
      <c r="Y201" s="15">
        <f>+D.sign_Data[[#This Row],[COSTOS OPERACIONALES ($COP)]]*D.sign_Data[[#This Row],[DESFASE (%)]]</f>
        <v>22274.121301174528</v>
      </c>
      <c r="Z201" s="101">
        <v>0.3</v>
      </c>
      <c r="AA201" s="15">
        <f>+((D.sign_Data[[#This Row],[COSTOS OPERACIONALES ($COP)]]/(100%-D.sign_Data[[#This Row],[UTILIDAD (%)]])))-D.sign_Data[[#This Row],[COSTOS OPERACIONALES ($COP)]]</f>
        <v>95460.519862176589</v>
      </c>
      <c r="AB201" s="3">
        <f>+D.sign_Data[[#This Row],[COSTOS OPERACIONALES ($COP)]]+D.sign_Data[[#This Row],[DESFASE ($COP)]]+D.sign_Data[[#This Row],[UTILIDAD ($COP)]]</f>
        <v>340475.85417509638</v>
      </c>
      <c r="AC201" s="101">
        <v>0.05</v>
      </c>
      <c r="AD201" s="15">
        <f>+D.sign_Data[[#This Row],[VALOR NETO ($COP)]]/(100%-D.sign_Data[[#This Row],[MARGEN DE NEGOCIACIÓN (%)]])-D.sign_Data[[#This Row],[VALOR NETO ($COP)]]</f>
        <v>17919.781798689277</v>
      </c>
      <c r="AE201" s="15">
        <f>+(D.sign_Data[[#This Row],[VALOR NETO ($COP)]]+D.sign_Data[[#This Row],[NEGOCIACIÓN ($COP)]])*1%</f>
        <v>3583.9563597378565</v>
      </c>
      <c r="AF201" s="15">
        <f>+(D.sign_Data[[#This Row],[VALOR NETO ($COP)]]+D.sign_Data[[#This Row],[NEGOCIACIÓN ($COP)]])*1%</f>
        <v>3583.9563597378565</v>
      </c>
      <c r="AG201" s="3">
        <f>+D.sign_Data[[#This Row],[VALOR NETO ($COP)]]+D.sign_Data[[#This Row],[NEGOCIACIÓN ($COP)]]+D.sign_Data[[#This Row],[ICA ($COP)]]+D.sign_Data[[#This Row],[4 * 1000 ($COP)]]</f>
        <v>365563.54869326134</v>
      </c>
    </row>
    <row r="202" spans="1:33" ht="60" hidden="1" customHeight="1" x14ac:dyDescent="0.25">
      <c r="A202" s="14"/>
      <c r="B202" s="87" t="s">
        <v>493</v>
      </c>
      <c r="C202" s="182" t="s">
        <v>563</v>
      </c>
      <c r="D202" s="189" t="str">
        <f>VLOOKUP(D.sign_Data[[#This Row],[CÓDIGO]],Descripciones[[CÓDIGO]:[NOMBRE DE SERVICIO]],3,FALSE)</f>
        <v>D1. Parcelaciones y Condominios</v>
      </c>
      <c r="E202" s="87" t="s">
        <v>420</v>
      </c>
      <c r="F202" s="88" t="s">
        <v>564</v>
      </c>
      <c r="G202" s="88" t="s">
        <v>592</v>
      </c>
      <c r="H202" s="104" t="s">
        <v>537</v>
      </c>
      <c r="I202" s="89">
        <v>1</v>
      </c>
      <c r="J202" s="88" t="s">
        <v>588</v>
      </c>
      <c r="K202" s="102"/>
      <c r="L202" s="88" t="s">
        <v>572</v>
      </c>
      <c r="M202" s="89" t="s">
        <v>381</v>
      </c>
      <c r="N202" s="90">
        <v>0.5</v>
      </c>
      <c r="O202" s="27">
        <f>IFERROR(+VLOOKUP(M202,D.sign_Lista_Data[[RESPONSABLE]:[SOFTWARE 
VALOR HORA]],3,FALSE),"0")</f>
        <v>20263.424518743668</v>
      </c>
      <c r="P202" s="3">
        <f t="shared" si="6"/>
        <v>10131.712259371834</v>
      </c>
      <c r="Q202" s="11">
        <f>IFERROR(+VLOOKUP(M202,D.sign_Lista_Data[[RESPONSABLE]:[SOFTWARE 
VALOR HORA]],5,FALSE)*D.sign_Data[[#This Row],[TIEMPO (HORAS)]],0)</f>
        <v>2110.7733873691318</v>
      </c>
      <c r="R202" s="11">
        <f>IFERROR(+VLOOKUP(M202,D.sign_Lista_Data[[RESPONSABLE]:[SOFTWARE 
VALOR HORA]],8,FALSE)*D.sign_Data[[#This Row],[TIEMPO (HORAS)]],0)</f>
        <v>1705.4274435719917</v>
      </c>
      <c r="S202" s="99">
        <v>0</v>
      </c>
      <c r="T202" s="99" t="s">
        <v>568</v>
      </c>
      <c r="U202" s="3">
        <f t="shared" si="7"/>
        <v>13947.913090312959</v>
      </c>
      <c r="V202" s="100">
        <f>D.sign_Data[[#This Row],[TIEMPO (HORAS)]]*Gastos_Operativos[[#Totals],[GASTOS HORA]]</f>
        <v>13894.738536155201</v>
      </c>
      <c r="W202" s="3">
        <f>+D.sign_Data[[#This Row],[COSTO 
DIRECTO ($COP)]]+D.sign_Data[[#This Row],[PRORRATEO GASTOS ($COP)]]</f>
        <v>27842.65162646816</v>
      </c>
      <c r="X202" s="101">
        <v>0.1</v>
      </c>
      <c r="Y202" s="15">
        <f>+D.sign_Data[[#This Row],[COSTOS OPERACIONALES ($COP)]]*D.sign_Data[[#This Row],[DESFASE (%)]]</f>
        <v>2784.265162646816</v>
      </c>
      <c r="Z202" s="101">
        <v>0.3</v>
      </c>
      <c r="AA202" s="15">
        <f>+((D.sign_Data[[#This Row],[COSTOS OPERACIONALES ($COP)]]/(100%-D.sign_Data[[#This Row],[UTILIDAD (%)]])))-D.sign_Data[[#This Row],[COSTOS OPERACIONALES ($COP)]]</f>
        <v>11932.564982772074</v>
      </c>
      <c r="AB202" s="3">
        <f>+D.sign_Data[[#This Row],[COSTOS OPERACIONALES ($COP)]]+D.sign_Data[[#This Row],[DESFASE ($COP)]]+D.sign_Data[[#This Row],[UTILIDAD ($COP)]]</f>
        <v>42559.481771887047</v>
      </c>
      <c r="AC202" s="101">
        <v>0.05</v>
      </c>
      <c r="AD202" s="15">
        <f>+D.sign_Data[[#This Row],[VALOR NETO ($COP)]]/(100%-D.sign_Data[[#This Row],[MARGEN DE NEGOCIACIÓN (%)]])-D.sign_Data[[#This Row],[VALOR NETO ($COP)]]</f>
        <v>2239.9727248361596</v>
      </c>
      <c r="AE202" s="15">
        <f>+(D.sign_Data[[#This Row],[VALOR NETO ($COP)]]+D.sign_Data[[#This Row],[NEGOCIACIÓN ($COP)]])*1%</f>
        <v>447.99454496723206</v>
      </c>
      <c r="AF202" s="15">
        <f>+(D.sign_Data[[#This Row],[VALOR NETO ($COP)]]+D.sign_Data[[#This Row],[NEGOCIACIÓN ($COP)]])*1%</f>
        <v>447.99454496723206</v>
      </c>
      <c r="AG202" s="3">
        <f>+D.sign_Data[[#This Row],[VALOR NETO ($COP)]]+D.sign_Data[[#This Row],[NEGOCIACIÓN ($COP)]]+D.sign_Data[[#This Row],[ICA ($COP)]]+D.sign_Data[[#This Row],[4 * 1000 ($COP)]]</f>
        <v>45695.443586657668</v>
      </c>
    </row>
    <row r="203" spans="1:33" ht="60" hidden="1" customHeight="1" x14ac:dyDescent="0.25">
      <c r="A203" s="14"/>
      <c r="B203" s="87" t="s">
        <v>493</v>
      </c>
      <c r="C203" s="182" t="s">
        <v>563</v>
      </c>
      <c r="D203" s="189" t="str">
        <f>VLOOKUP(D.sign_Data[[#This Row],[CÓDIGO]],Descripciones[[CÓDIGO]:[NOMBRE DE SERVICIO]],3,FALSE)</f>
        <v>D1. Parcelaciones y Condominios</v>
      </c>
      <c r="E203" s="87" t="s">
        <v>420</v>
      </c>
      <c r="F203" s="88" t="s">
        <v>564</v>
      </c>
      <c r="G203" s="88" t="s">
        <v>587</v>
      </c>
      <c r="H203" s="104" t="s">
        <v>537</v>
      </c>
      <c r="I203" s="89">
        <v>1</v>
      </c>
      <c r="J203" s="88" t="s">
        <v>593</v>
      </c>
      <c r="K203" s="102"/>
      <c r="L203" s="88" t="s">
        <v>575</v>
      </c>
      <c r="M203" s="89" t="s">
        <v>381</v>
      </c>
      <c r="N203" s="90">
        <v>0.2</v>
      </c>
      <c r="O203" s="27">
        <f>IFERROR(+VLOOKUP(M203,D.sign_Lista_Data[[RESPONSABLE]:[SOFTWARE 
VALOR HORA]],3,FALSE),"0")</f>
        <v>20263.424518743668</v>
      </c>
      <c r="P203" s="3">
        <f t="shared" si="6"/>
        <v>4052.6849037487336</v>
      </c>
      <c r="Q203" s="11">
        <f>IFERROR(+VLOOKUP(M203,D.sign_Lista_Data[[RESPONSABLE]:[SOFTWARE 
VALOR HORA]],5,FALSE)*D.sign_Data[[#This Row],[TIEMPO (HORAS)]],0)</f>
        <v>844.30935494765276</v>
      </c>
      <c r="R203" s="11">
        <f>IFERROR(+VLOOKUP(M203,D.sign_Lista_Data[[RESPONSABLE]:[SOFTWARE 
VALOR HORA]],8,FALSE)*D.sign_Data[[#This Row],[TIEMPO (HORAS)]],0)</f>
        <v>682.17097742879673</v>
      </c>
      <c r="S203" s="99">
        <v>0</v>
      </c>
      <c r="T203" s="99" t="s">
        <v>568</v>
      </c>
      <c r="U203" s="3">
        <f t="shared" si="7"/>
        <v>5579.1652361251827</v>
      </c>
      <c r="V203" s="100">
        <f>D.sign_Data[[#This Row],[TIEMPO (HORAS)]]*Gastos_Operativos[[#Totals],[GASTOS HORA]]</f>
        <v>5557.8954144620802</v>
      </c>
      <c r="W203" s="3">
        <f>+D.sign_Data[[#This Row],[COSTO 
DIRECTO ($COP)]]+D.sign_Data[[#This Row],[PRORRATEO GASTOS ($COP)]]</f>
        <v>11137.060650587264</v>
      </c>
      <c r="X203" s="101">
        <v>0.1</v>
      </c>
      <c r="Y203" s="15">
        <f>+D.sign_Data[[#This Row],[COSTOS OPERACIONALES ($COP)]]*D.sign_Data[[#This Row],[DESFASE (%)]]</f>
        <v>1113.7060650587264</v>
      </c>
      <c r="Z203" s="101">
        <v>0.3</v>
      </c>
      <c r="AA203" s="15">
        <f>+((D.sign_Data[[#This Row],[COSTOS OPERACIONALES ($COP)]]/(100%-D.sign_Data[[#This Row],[UTILIDAD (%)]])))-D.sign_Data[[#This Row],[COSTOS OPERACIONALES ($COP)]]</f>
        <v>4773.0259931088276</v>
      </c>
      <c r="AB203" s="3">
        <f>+D.sign_Data[[#This Row],[COSTOS OPERACIONALES ($COP)]]+D.sign_Data[[#This Row],[DESFASE ($COP)]]+D.sign_Data[[#This Row],[UTILIDAD ($COP)]]</f>
        <v>17023.792708754816</v>
      </c>
      <c r="AC203" s="101">
        <v>0.05</v>
      </c>
      <c r="AD203" s="15">
        <f>+D.sign_Data[[#This Row],[VALOR NETO ($COP)]]/(100%-D.sign_Data[[#This Row],[MARGEN DE NEGOCIACIÓN (%)]])-D.sign_Data[[#This Row],[VALOR NETO ($COP)]]</f>
        <v>895.98908993446457</v>
      </c>
      <c r="AE203" s="15">
        <f>+(D.sign_Data[[#This Row],[VALOR NETO ($COP)]]+D.sign_Data[[#This Row],[NEGOCIACIÓN ($COP)]])*1%</f>
        <v>179.1978179868928</v>
      </c>
      <c r="AF203" s="15">
        <f>+(D.sign_Data[[#This Row],[VALOR NETO ($COP)]]+D.sign_Data[[#This Row],[NEGOCIACIÓN ($COP)]])*1%</f>
        <v>179.1978179868928</v>
      </c>
      <c r="AG203" s="3">
        <f>+D.sign_Data[[#This Row],[VALOR NETO ($COP)]]+D.sign_Data[[#This Row],[NEGOCIACIÓN ($COP)]]+D.sign_Data[[#This Row],[ICA ($COP)]]+D.sign_Data[[#This Row],[4 * 1000 ($COP)]]</f>
        <v>18278.177434663066</v>
      </c>
    </row>
    <row r="204" spans="1:33" ht="60" hidden="1" customHeight="1" x14ac:dyDescent="0.25">
      <c r="A204" s="14"/>
      <c r="B204" s="87" t="s">
        <v>493</v>
      </c>
      <c r="C204" s="182" t="s">
        <v>563</v>
      </c>
      <c r="D204" s="189" t="str">
        <f>VLOOKUP(D.sign_Data[[#This Row],[CÓDIGO]],Descripciones[[CÓDIGO]:[NOMBRE DE SERVICIO]],3,FALSE)</f>
        <v>D1. Parcelaciones y Condominios</v>
      </c>
      <c r="E204" s="87" t="s">
        <v>420</v>
      </c>
      <c r="F204" s="88" t="s">
        <v>564</v>
      </c>
      <c r="G204" s="88" t="s">
        <v>587</v>
      </c>
      <c r="H204" s="104" t="s">
        <v>537</v>
      </c>
      <c r="I204" s="89">
        <v>1</v>
      </c>
      <c r="J204" s="88" t="s">
        <v>593</v>
      </c>
      <c r="K204" s="102"/>
      <c r="L204" s="88" t="s">
        <v>594</v>
      </c>
      <c r="M204" s="89" t="s">
        <v>381</v>
      </c>
      <c r="N204" s="90">
        <v>4</v>
      </c>
      <c r="O204" s="27">
        <f>IFERROR(+VLOOKUP(M204,D.sign_Lista_Data[[RESPONSABLE]:[SOFTWARE 
VALOR HORA]],3,FALSE),"0")</f>
        <v>20263.424518743668</v>
      </c>
      <c r="P204" s="3">
        <f t="shared" si="6"/>
        <v>81053.698074974673</v>
      </c>
      <c r="Q204" s="11">
        <f>IFERROR(+VLOOKUP(M204,D.sign_Lista_Data[[RESPONSABLE]:[SOFTWARE 
VALOR HORA]],5,FALSE)*D.sign_Data[[#This Row],[TIEMPO (HORAS)]],0)</f>
        <v>16886.187098953054</v>
      </c>
      <c r="R204" s="11">
        <f>IFERROR(+VLOOKUP(M204,D.sign_Lista_Data[[RESPONSABLE]:[SOFTWARE 
VALOR HORA]],8,FALSE)*D.sign_Data[[#This Row],[TIEMPO (HORAS)]],0)</f>
        <v>13643.419548575934</v>
      </c>
      <c r="S204" s="99">
        <v>0</v>
      </c>
      <c r="T204" s="99" t="s">
        <v>568</v>
      </c>
      <c r="U204" s="3">
        <f t="shared" si="7"/>
        <v>111583.30472250367</v>
      </c>
      <c r="V204" s="100">
        <f>D.sign_Data[[#This Row],[TIEMPO (HORAS)]]*Gastos_Operativos[[#Totals],[GASTOS HORA]]</f>
        <v>111157.9082892416</v>
      </c>
      <c r="W204" s="3">
        <f>+D.sign_Data[[#This Row],[COSTO 
DIRECTO ($COP)]]+D.sign_Data[[#This Row],[PRORRATEO GASTOS ($COP)]]</f>
        <v>222741.21301174528</v>
      </c>
      <c r="X204" s="101">
        <v>0.1</v>
      </c>
      <c r="Y204" s="15">
        <f>+D.sign_Data[[#This Row],[COSTOS OPERACIONALES ($COP)]]*D.sign_Data[[#This Row],[DESFASE (%)]]</f>
        <v>22274.121301174528</v>
      </c>
      <c r="Z204" s="101">
        <v>0.3</v>
      </c>
      <c r="AA204" s="15">
        <f>+((D.sign_Data[[#This Row],[COSTOS OPERACIONALES ($COP)]]/(100%-D.sign_Data[[#This Row],[UTILIDAD (%)]])))-D.sign_Data[[#This Row],[COSTOS OPERACIONALES ($COP)]]</f>
        <v>95460.519862176589</v>
      </c>
      <c r="AB204" s="3">
        <f>+D.sign_Data[[#This Row],[COSTOS OPERACIONALES ($COP)]]+D.sign_Data[[#This Row],[DESFASE ($COP)]]+D.sign_Data[[#This Row],[UTILIDAD ($COP)]]</f>
        <v>340475.85417509638</v>
      </c>
      <c r="AC204" s="101">
        <v>0.05</v>
      </c>
      <c r="AD204" s="15">
        <f>+D.sign_Data[[#This Row],[VALOR NETO ($COP)]]/(100%-D.sign_Data[[#This Row],[MARGEN DE NEGOCIACIÓN (%)]])-D.sign_Data[[#This Row],[VALOR NETO ($COP)]]</f>
        <v>17919.781798689277</v>
      </c>
      <c r="AE204" s="15">
        <f>+(D.sign_Data[[#This Row],[VALOR NETO ($COP)]]+D.sign_Data[[#This Row],[NEGOCIACIÓN ($COP)]])*1%</f>
        <v>3583.9563597378565</v>
      </c>
      <c r="AF204" s="15">
        <f>+(D.sign_Data[[#This Row],[VALOR NETO ($COP)]]+D.sign_Data[[#This Row],[NEGOCIACIÓN ($COP)]])*1%</f>
        <v>3583.9563597378565</v>
      </c>
      <c r="AG204" s="3">
        <f>+D.sign_Data[[#This Row],[VALOR NETO ($COP)]]+D.sign_Data[[#This Row],[NEGOCIACIÓN ($COP)]]+D.sign_Data[[#This Row],[ICA ($COP)]]+D.sign_Data[[#This Row],[4 * 1000 ($COP)]]</f>
        <v>365563.54869326134</v>
      </c>
    </row>
    <row r="205" spans="1:33" ht="60" hidden="1" customHeight="1" x14ac:dyDescent="0.25">
      <c r="A205" s="14"/>
      <c r="B205" s="87" t="s">
        <v>493</v>
      </c>
      <c r="C205" s="182" t="s">
        <v>563</v>
      </c>
      <c r="D205" s="189" t="str">
        <f>VLOOKUP(D.sign_Data[[#This Row],[CÓDIGO]],Descripciones[[CÓDIGO]:[NOMBRE DE SERVICIO]],3,FALSE)</f>
        <v>D1. Parcelaciones y Condominios</v>
      </c>
      <c r="E205" s="87" t="s">
        <v>420</v>
      </c>
      <c r="F205" s="88" t="s">
        <v>564</v>
      </c>
      <c r="G205" s="88" t="s">
        <v>587</v>
      </c>
      <c r="H205" s="104" t="s">
        <v>537</v>
      </c>
      <c r="I205" s="89">
        <v>1</v>
      </c>
      <c r="J205" s="88" t="s">
        <v>593</v>
      </c>
      <c r="K205" s="102"/>
      <c r="L205" s="88" t="s">
        <v>577</v>
      </c>
      <c r="M205" s="89" t="s">
        <v>381</v>
      </c>
      <c r="N205" s="90">
        <v>1</v>
      </c>
      <c r="O205" s="27">
        <f>IFERROR(+VLOOKUP(M205,D.sign_Lista_Data[[RESPONSABLE]:[SOFTWARE 
VALOR HORA]],3,FALSE),"0")</f>
        <v>20263.424518743668</v>
      </c>
      <c r="P205" s="3">
        <f t="shared" si="6"/>
        <v>20263.424518743668</v>
      </c>
      <c r="Q205" s="11">
        <f>IFERROR(+VLOOKUP(M205,D.sign_Lista_Data[[RESPONSABLE]:[SOFTWARE 
VALOR HORA]],5,FALSE)*D.sign_Data[[#This Row],[TIEMPO (HORAS)]],0)</f>
        <v>4221.5467747382636</v>
      </c>
      <c r="R205" s="11">
        <f>IFERROR(+VLOOKUP(M205,D.sign_Lista_Data[[RESPONSABLE]:[SOFTWARE 
VALOR HORA]],8,FALSE)*D.sign_Data[[#This Row],[TIEMPO (HORAS)]],0)</f>
        <v>3410.8548871439834</v>
      </c>
      <c r="S205" s="99">
        <v>0</v>
      </c>
      <c r="T205" s="99" t="s">
        <v>568</v>
      </c>
      <c r="U205" s="3">
        <f t="shared" si="7"/>
        <v>27895.826180625918</v>
      </c>
      <c r="V205" s="100">
        <f>D.sign_Data[[#This Row],[TIEMPO (HORAS)]]*Gastos_Operativos[[#Totals],[GASTOS HORA]]</f>
        <v>27789.477072310401</v>
      </c>
      <c r="W205" s="3">
        <f>+D.sign_Data[[#This Row],[COSTO 
DIRECTO ($COP)]]+D.sign_Data[[#This Row],[PRORRATEO GASTOS ($COP)]]</f>
        <v>55685.303252936319</v>
      </c>
      <c r="X205" s="101">
        <v>0.1</v>
      </c>
      <c r="Y205" s="15">
        <f>+D.sign_Data[[#This Row],[COSTOS OPERACIONALES ($COP)]]*D.sign_Data[[#This Row],[DESFASE (%)]]</f>
        <v>5568.5303252936319</v>
      </c>
      <c r="Z205" s="101">
        <v>0.3</v>
      </c>
      <c r="AA205" s="15">
        <f>+((D.sign_Data[[#This Row],[COSTOS OPERACIONALES ($COP)]]/(100%-D.sign_Data[[#This Row],[UTILIDAD (%)]])))-D.sign_Data[[#This Row],[COSTOS OPERACIONALES ($COP)]]</f>
        <v>23865.129965544147</v>
      </c>
      <c r="AB205" s="3">
        <f>+D.sign_Data[[#This Row],[COSTOS OPERACIONALES ($COP)]]+D.sign_Data[[#This Row],[DESFASE ($COP)]]+D.sign_Data[[#This Row],[UTILIDAD ($COP)]]</f>
        <v>85118.963543774094</v>
      </c>
      <c r="AC205" s="101">
        <v>0.05</v>
      </c>
      <c r="AD205" s="15">
        <f>+D.sign_Data[[#This Row],[VALOR NETO ($COP)]]/(100%-D.sign_Data[[#This Row],[MARGEN DE NEGOCIACIÓN (%)]])-D.sign_Data[[#This Row],[VALOR NETO ($COP)]]</f>
        <v>4479.9454496723192</v>
      </c>
      <c r="AE205" s="15">
        <f>+(D.sign_Data[[#This Row],[VALOR NETO ($COP)]]+D.sign_Data[[#This Row],[NEGOCIACIÓN ($COP)]])*1%</f>
        <v>895.98908993446412</v>
      </c>
      <c r="AF205" s="15">
        <f>+(D.sign_Data[[#This Row],[VALOR NETO ($COP)]]+D.sign_Data[[#This Row],[NEGOCIACIÓN ($COP)]])*1%</f>
        <v>895.98908993446412</v>
      </c>
      <c r="AG205" s="3">
        <f>+D.sign_Data[[#This Row],[VALOR NETO ($COP)]]+D.sign_Data[[#This Row],[NEGOCIACIÓN ($COP)]]+D.sign_Data[[#This Row],[ICA ($COP)]]+D.sign_Data[[#This Row],[4 * 1000 ($COP)]]</f>
        <v>91390.887173315336</v>
      </c>
    </row>
    <row r="206" spans="1:33" ht="60" hidden="1" customHeight="1" x14ac:dyDescent="0.25">
      <c r="A206" s="14"/>
      <c r="B206" s="87" t="s">
        <v>493</v>
      </c>
      <c r="C206" s="182" t="s">
        <v>563</v>
      </c>
      <c r="D206" s="189" t="str">
        <f>VLOOKUP(D.sign_Data[[#This Row],[CÓDIGO]],Descripciones[[CÓDIGO]:[NOMBRE DE SERVICIO]],3,FALSE)</f>
        <v>D1. Parcelaciones y Condominios</v>
      </c>
      <c r="E206" s="87" t="s">
        <v>420</v>
      </c>
      <c r="F206" s="88" t="s">
        <v>564</v>
      </c>
      <c r="G206" s="88" t="s">
        <v>587</v>
      </c>
      <c r="H206" s="104" t="s">
        <v>537</v>
      </c>
      <c r="I206" s="89">
        <v>1</v>
      </c>
      <c r="J206" s="88" t="s">
        <v>593</v>
      </c>
      <c r="K206" s="102"/>
      <c r="L206" s="88" t="s">
        <v>595</v>
      </c>
      <c r="M206" s="89" t="s">
        <v>381</v>
      </c>
      <c r="N206" s="180">
        <v>1</v>
      </c>
      <c r="O206" s="27">
        <f>IFERROR(+VLOOKUP(M206,D.sign_Lista_Data[[RESPONSABLE]:[SOFTWARE 
VALOR HORA]],3,FALSE),"0")</f>
        <v>20263.424518743668</v>
      </c>
      <c r="P206" s="3">
        <f t="shared" si="6"/>
        <v>20263.424518743668</v>
      </c>
      <c r="Q206" s="11">
        <f>IFERROR(+VLOOKUP(M206,D.sign_Lista_Data[[RESPONSABLE]:[SOFTWARE 
VALOR HORA]],5,FALSE)*D.sign_Data[[#This Row],[TIEMPO (HORAS)]],0)</f>
        <v>4221.5467747382636</v>
      </c>
      <c r="R206" s="11">
        <f>IFERROR(+VLOOKUP(M206,D.sign_Lista_Data[[RESPONSABLE]:[SOFTWARE 
VALOR HORA]],8,FALSE)*D.sign_Data[[#This Row],[TIEMPO (HORAS)]],0)</f>
        <v>3410.8548871439834</v>
      </c>
      <c r="S206" s="99">
        <v>0</v>
      </c>
      <c r="T206" s="99" t="s">
        <v>568</v>
      </c>
      <c r="U206" s="3">
        <f t="shared" si="7"/>
        <v>27895.826180625918</v>
      </c>
      <c r="V206" s="100">
        <f>D.sign_Data[[#This Row],[TIEMPO (HORAS)]]*Gastos_Operativos[[#Totals],[GASTOS HORA]]</f>
        <v>27789.477072310401</v>
      </c>
      <c r="W206" s="3">
        <f>+D.sign_Data[[#This Row],[COSTO 
DIRECTO ($COP)]]+D.sign_Data[[#This Row],[PRORRATEO GASTOS ($COP)]]</f>
        <v>55685.303252936319</v>
      </c>
      <c r="X206" s="101">
        <v>0.1</v>
      </c>
      <c r="Y206" s="15">
        <f>+D.sign_Data[[#This Row],[COSTOS OPERACIONALES ($COP)]]*D.sign_Data[[#This Row],[DESFASE (%)]]</f>
        <v>5568.5303252936319</v>
      </c>
      <c r="Z206" s="101">
        <v>0.3</v>
      </c>
      <c r="AA206" s="15">
        <f>+((D.sign_Data[[#This Row],[COSTOS OPERACIONALES ($COP)]]/(100%-D.sign_Data[[#This Row],[UTILIDAD (%)]])))-D.sign_Data[[#This Row],[COSTOS OPERACIONALES ($COP)]]</f>
        <v>23865.129965544147</v>
      </c>
      <c r="AB206" s="3">
        <f>+D.sign_Data[[#This Row],[COSTOS OPERACIONALES ($COP)]]+D.sign_Data[[#This Row],[DESFASE ($COP)]]+D.sign_Data[[#This Row],[UTILIDAD ($COP)]]</f>
        <v>85118.963543774094</v>
      </c>
      <c r="AC206" s="101">
        <v>0.05</v>
      </c>
      <c r="AD206" s="15">
        <f>+D.sign_Data[[#This Row],[VALOR NETO ($COP)]]/(100%-D.sign_Data[[#This Row],[MARGEN DE NEGOCIACIÓN (%)]])-D.sign_Data[[#This Row],[VALOR NETO ($COP)]]</f>
        <v>4479.9454496723192</v>
      </c>
      <c r="AE206" s="15">
        <f>+(D.sign_Data[[#This Row],[VALOR NETO ($COP)]]+D.sign_Data[[#This Row],[NEGOCIACIÓN ($COP)]])*1%</f>
        <v>895.98908993446412</v>
      </c>
      <c r="AF206" s="15">
        <f>+(D.sign_Data[[#This Row],[VALOR NETO ($COP)]]+D.sign_Data[[#This Row],[NEGOCIACIÓN ($COP)]])*1%</f>
        <v>895.98908993446412</v>
      </c>
      <c r="AG206" s="3">
        <f>+D.sign_Data[[#This Row],[VALOR NETO ($COP)]]+D.sign_Data[[#This Row],[NEGOCIACIÓN ($COP)]]+D.sign_Data[[#This Row],[ICA ($COP)]]+D.sign_Data[[#This Row],[4 * 1000 ($COP)]]</f>
        <v>91390.887173315336</v>
      </c>
    </row>
    <row r="207" spans="1:33" ht="60" hidden="1" customHeight="1" x14ac:dyDescent="0.25">
      <c r="A207" s="14"/>
      <c r="B207" s="87" t="s">
        <v>493</v>
      </c>
      <c r="C207" s="182" t="s">
        <v>563</v>
      </c>
      <c r="D207" s="189" t="str">
        <f>VLOOKUP(D.sign_Data[[#This Row],[CÓDIGO]],Descripciones[[CÓDIGO]:[NOMBRE DE SERVICIO]],3,FALSE)</f>
        <v>D1. Parcelaciones y Condominios</v>
      </c>
      <c r="E207" s="87" t="s">
        <v>420</v>
      </c>
      <c r="F207" s="88" t="s">
        <v>564</v>
      </c>
      <c r="G207" s="88" t="s">
        <v>587</v>
      </c>
      <c r="H207" s="104" t="s">
        <v>537</v>
      </c>
      <c r="I207" s="89">
        <v>1</v>
      </c>
      <c r="J207" s="88" t="s">
        <v>593</v>
      </c>
      <c r="K207" s="102"/>
      <c r="L207" s="88" t="s">
        <v>596</v>
      </c>
      <c r="M207" s="89" t="s">
        <v>381</v>
      </c>
      <c r="N207" s="180">
        <v>5</v>
      </c>
      <c r="O207" s="27">
        <f>IFERROR(+VLOOKUP(M207,D.sign_Lista_Data[[RESPONSABLE]:[SOFTWARE 
VALOR HORA]],3,FALSE),"0")</f>
        <v>20263.424518743668</v>
      </c>
      <c r="P207" s="3">
        <f t="shared" si="6"/>
        <v>101317.12259371835</v>
      </c>
      <c r="Q207" s="11">
        <f>IFERROR(+VLOOKUP(M207,D.sign_Lista_Data[[RESPONSABLE]:[SOFTWARE 
VALOR HORA]],5,FALSE)*D.sign_Data[[#This Row],[TIEMPO (HORAS)]],0)</f>
        <v>21107.733873691319</v>
      </c>
      <c r="R207" s="11">
        <f>IFERROR(+VLOOKUP(M207,D.sign_Lista_Data[[RESPONSABLE]:[SOFTWARE 
VALOR HORA]],8,FALSE)*D.sign_Data[[#This Row],[TIEMPO (HORAS)]],0)</f>
        <v>17054.274435719919</v>
      </c>
      <c r="S207" s="99">
        <v>0</v>
      </c>
      <c r="T207" s="99" t="s">
        <v>568</v>
      </c>
      <c r="U207" s="3">
        <f t="shared" si="7"/>
        <v>139479.13090312958</v>
      </c>
      <c r="V207" s="100">
        <f>D.sign_Data[[#This Row],[TIEMPO (HORAS)]]*Gastos_Operativos[[#Totals],[GASTOS HORA]]</f>
        <v>138947.38536155201</v>
      </c>
      <c r="W207" s="3">
        <f>+D.sign_Data[[#This Row],[COSTO 
DIRECTO ($COP)]]+D.sign_Data[[#This Row],[PRORRATEO GASTOS ($COP)]]</f>
        <v>278426.51626468159</v>
      </c>
      <c r="X207" s="101">
        <v>0.1</v>
      </c>
      <c r="Y207" s="15">
        <f>+D.sign_Data[[#This Row],[COSTOS OPERACIONALES ($COP)]]*D.sign_Data[[#This Row],[DESFASE (%)]]</f>
        <v>27842.65162646816</v>
      </c>
      <c r="Z207" s="101">
        <v>0.3</v>
      </c>
      <c r="AA207" s="15">
        <f>+((D.sign_Data[[#This Row],[COSTOS OPERACIONALES ($COP)]]/(100%-D.sign_Data[[#This Row],[UTILIDAD (%)]])))-D.sign_Data[[#This Row],[COSTOS OPERACIONALES ($COP)]]</f>
        <v>119325.64982772071</v>
      </c>
      <c r="AB207" s="3">
        <f>+D.sign_Data[[#This Row],[COSTOS OPERACIONALES ($COP)]]+D.sign_Data[[#This Row],[DESFASE ($COP)]]+D.sign_Data[[#This Row],[UTILIDAD ($COP)]]</f>
        <v>425594.81771887047</v>
      </c>
      <c r="AC207" s="101">
        <v>0.05</v>
      </c>
      <c r="AD207" s="15">
        <f>+D.sign_Data[[#This Row],[VALOR NETO ($COP)]]/(100%-D.sign_Data[[#This Row],[MARGEN DE NEGOCIACIÓN (%)]])-D.sign_Data[[#This Row],[VALOR NETO ($COP)]]</f>
        <v>22399.727248361625</v>
      </c>
      <c r="AE207" s="15">
        <f>+(D.sign_Data[[#This Row],[VALOR NETO ($COP)]]+D.sign_Data[[#This Row],[NEGOCIACIÓN ($COP)]])*1%</f>
        <v>4479.945449672321</v>
      </c>
      <c r="AF207" s="15">
        <f>+(D.sign_Data[[#This Row],[VALOR NETO ($COP)]]+D.sign_Data[[#This Row],[NEGOCIACIÓN ($COP)]])*1%</f>
        <v>4479.945449672321</v>
      </c>
      <c r="AG207" s="3">
        <f>+D.sign_Data[[#This Row],[VALOR NETO ($COP)]]+D.sign_Data[[#This Row],[NEGOCIACIÓN ($COP)]]+D.sign_Data[[#This Row],[ICA ($COP)]]+D.sign_Data[[#This Row],[4 * 1000 ($COP)]]</f>
        <v>456954.43586657679</v>
      </c>
    </row>
    <row r="208" spans="1:33" ht="60" hidden="1" customHeight="1" x14ac:dyDescent="0.25">
      <c r="A208" s="14"/>
      <c r="B208" s="87" t="s">
        <v>493</v>
      </c>
      <c r="C208" s="182" t="s">
        <v>563</v>
      </c>
      <c r="D208" s="189" t="str">
        <f>VLOOKUP(D.sign_Data[[#This Row],[CÓDIGO]],Descripciones[[CÓDIGO]:[NOMBRE DE SERVICIO]],3,FALSE)</f>
        <v>D1. Parcelaciones y Condominios</v>
      </c>
      <c r="E208" s="87" t="s">
        <v>420</v>
      </c>
      <c r="F208" s="88" t="s">
        <v>564</v>
      </c>
      <c r="G208" s="88" t="s">
        <v>587</v>
      </c>
      <c r="H208" s="104" t="s">
        <v>537</v>
      </c>
      <c r="I208" s="89">
        <v>1</v>
      </c>
      <c r="J208" s="88" t="s">
        <v>593</v>
      </c>
      <c r="K208" s="102"/>
      <c r="L208" s="88" t="s">
        <v>579</v>
      </c>
      <c r="M208" s="89" t="s">
        <v>381</v>
      </c>
      <c r="N208" s="180">
        <v>2</v>
      </c>
      <c r="O208" s="27">
        <f>IFERROR(+VLOOKUP(M208,D.sign_Lista_Data[[RESPONSABLE]:[SOFTWARE 
VALOR HORA]],3,FALSE),"0")</f>
        <v>20263.424518743668</v>
      </c>
      <c r="P208" s="3">
        <f t="shared" si="6"/>
        <v>40526.849037487336</v>
      </c>
      <c r="Q208" s="11">
        <f>IFERROR(+VLOOKUP(M208,D.sign_Lista_Data[[RESPONSABLE]:[SOFTWARE 
VALOR HORA]],5,FALSE)*D.sign_Data[[#This Row],[TIEMPO (HORAS)]],0)</f>
        <v>8443.0935494765272</v>
      </c>
      <c r="R208" s="11">
        <f>IFERROR(+VLOOKUP(M208,D.sign_Lista_Data[[RESPONSABLE]:[SOFTWARE 
VALOR HORA]],8,FALSE)*D.sign_Data[[#This Row],[TIEMPO (HORAS)]],0)</f>
        <v>6821.7097742879669</v>
      </c>
      <c r="S208" s="99">
        <v>0</v>
      </c>
      <c r="T208" s="99" t="s">
        <v>568</v>
      </c>
      <c r="U208" s="3">
        <f t="shared" si="7"/>
        <v>55791.652361251836</v>
      </c>
      <c r="V208" s="100">
        <f>D.sign_Data[[#This Row],[TIEMPO (HORAS)]]*Gastos_Operativos[[#Totals],[GASTOS HORA]]</f>
        <v>55578.954144620802</v>
      </c>
      <c r="W208" s="3">
        <f>+D.sign_Data[[#This Row],[COSTO 
DIRECTO ($COP)]]+D.sign_Data[[#This Row],[PRORRATEO GASTOS ($COP)]]</f>
        <v>111370.60650587264</v>
      </c>
      <c r="X208" s="101">
        <v>0.1</v>
      </c>
      <c r="Y208" s="15">
        <f>+D.sign_Data[[#This Row],[COSTOS OPERACIONALES ($COP)]]*D.sign_Data[[#This Row],[DESFASE (%)]]</f>
        <v>11137.060650587264</v>
      </c>
      <c r="Z208" s="101">
        <v>0.3</v>
      </c>
      <c r="AA208" s="15">
        <f>+((D.sign_Data[[#This Row],[COSTOS OPERACIONALES ($COP)]]/(100%-D.sign_Data[[#This Row],[UTILIDAD (%)]])))-D.sign_Data[[#This Row],[COSTOS OPERACIONALES ($COP)]]</f>
        <v>47730.259931088294</v>
      </c>
      <c r="AB208" s="3">
        <f>+D.sign_Data[[#This Row],[COSTOS OPERACIONALES ($COP)]]+D.sign_Data[[#This Row],[DESFASE ($COP)]]+D.sign_Data[[#This Row],[UTILIDAD ($COP)]]</f>
        <v>170237.92708754819</v>
      </c>
      <c r="AC208" s="101">
        <v>0.05</v>
      </c>
      <c r="AD208" s="15">
        <f>+D.sign_Data[[#This Row],[VALOR NETO ($COP)]]/(100%-D.sign_Data[[#This Row],[MARGEN DE NEGOCIACIÓN (%)]])-D.sign_Data[[#This Row],[VALOR NETO ($COP)]]</f>
        <v>8959.8908993446385</v>
      </c>
      <c r="AE208" s="15">
        <f>+(D.sign_Data[[#This Row],[VALOR NETO ($COP)]]+D.sign_Data[[#This Row],[NEGOCIACIÓN ($COP)]])*1%</f>
        <v>1791.9781798689282</v>
      </c>
      <c r="AF208" s="15">
        <f>+(D.sign_Data[[#This Row],[VALOR NETO ($COP)]]+D.sign_Data[[#This Row],[NEGOCIACIÓN ($COP)]])*1%</f>
        <v>1791.9781798689282</v>
      </c>
      <c r="AG208" s="3">
        <f>+D.sign_Data[[#This Row],[VALOR NETO ($COP)]]+D.sign_Data[[#This Row],[NEGOCIACIÓN ($COP)]]+D.sign_Data[[#This Row],[ICA ($COP)]]+D.sign_Data[[#This Row],[4 * 1000 ($COP)]]</f>
        <v>182781.77434663067</v>
      </c>
    </row>
    <row r="209" spans="1:33" ht="60" hidden="1" customHeight="1" x14ac:dyDescent="0.25">
      <c r="A209" s="14"/>
      <c r="B209" s="87" t="s">
        <v>493</v>
      </c>
      <c r="C209" s="182" t="s">
        <v>563</v>
      </c>
      <c r="D209" s="189" t="str">
        <f>VLOOKUP(D.sign_Data[[#This Row],[CÓDIGO]],Descripciones[[CÓDIGO]:[NOMBRE DE SERVICIO]],3,FALSE)</f>
        <v>D1. Parcelaciones y Condominios</v>
      </c>
      <c r="E209" s="87" t="s">
        <v>420</v>
      </c>
      <c r="F209" s="88" t="s">
        <v>564</v>
      </c>
      <c r="G209" s="88" t="s">
        <v>587</v>
      </c>
      <c r="H209" s="104" t="s">
        <v>537</v>
      </c>
      <c r="I209" s="89">
        <v>1</v>
      </c>
      <c r="J209" s="88" t="s">
        <v>593</v>
      </c>
      <c r="K209" s="102"/>
      <c r="L209" s="88" t="s">
        <v>570</v>
      </c>
      <c r="M209" s="89" t="s">
        <v>381</v>
      </c>
      <c r="N209" s="180">
        <v>1</v>
      </c>
      <c r="O209" s="27">
        <f>IFERROR(+VLOOKUP(M209,D.sign_Lista_Data[[RESPONSABLE]:[SOFTWARE 
VALOR HORA]],3,FALSE),"0")</f>
        <v>20263.424518743668</v>
      </c>
      <c r="P209" s="3">
        <f t="shared" si="6"/>
        <v>20263.424518743668</v>
      </c>
      <c r="Q209" s="11">
        <f>IFERROR(+VLOOKUP(M209,D.sign_Lista_Data[[RESPONSABLE]:[SOFTWARE 
VALOR HORA]],5,FALSE)*D.sign_Data[[#This Row],[TIEMPO (HORAS)]],0)</f>
        <v>4221.5467747382636</v>
      </c>
      <c r="R209" s="11">
        <f>IFERROR(+VLOOKUP(M209,D.sign_Lista_Data[[RESPONSABLE]:[SOFTWARE 
VALOR HORA]],8,FALSE)*D.sign_Data[[#This Row],[TIEMPO (HORAS)]],0)</f>
        <v>3410.8548871439834</v>
      </c>
      <c r="S209" s="99">
        <v>0</v>
      </c>
      <c r="T209" s="99" t="s">
        <v>568</v>
      </c>
      <c r="U209" s="3">
        <f t="shared" si="7"/>
        <v>27895.826180625918</v>
      </c>
      <c r="V209" s="100">
        <f>D.sign_Data[[#This Row],[TIEMPO (HORAS)]]*Gastos_Operativos[[#Totals],[GASTOS HORA]]</f>
        <v>27789.477072310401</v>
      </c>
      <c r="W209" s="3">
        <f>+D.sign_Data[[#This Row],[COSTO 
DIRECTO ($COP)]]+D.sign_Data[[#This Row],[PRORRATEO GASTOS ($COP)]]</f>
        <v>55685.303252936319</v>
      </c>
      <c r="X209" s="101">
        <v>0.1</v>
      </c>
      <c r="Y209" s="15">
        <f>+D.sign_Data[[#This Row],[COSTOS OPERACIONALES ($COP)]]*D.sign_Data[[#This Row],[DESFASE (%)]]</f>
        <v>5568.5303252936319</v>
      </c>
      <c r="Z209" s="101">
        <v>0.3</v>
      </c>
      <c r="AA209" s="15">
        <f>+((D.sign_Data[[#This Row],[COSTOS OPERACIONALES ($COP)]]/(100%-D.sign_Data[[#This Row],[UTILIDAD (%)]])))-D.sign_Data[[#This Row],[COSTOS OPERACIONALES ($COP)]]</f>
        <v>23865.129965544147</v>
      </c>
      <c r="AB209" s="3">
        <f>+D.sign_Data[[#This Row],[COSTOS OPERACIONALES ($COP)]]+D.sign_Data[[#This Row],[DESFASE ($COP)]]+D.sign_Data[[#This Row],[UTILIDAD ($COP)]]</f>
        <v>85118.963543774094</v>
      </c>
      <c r="AC209" s="101">
        <v>0.05</v>
      </c>
      <c r="AD209" s="15">
        <f>+D.sign_Data[[#This Row],[VALOR NETO ($COP)]]/(100%-D.sign_Data[[#This Row],[MARGEN DE NEGOCIACIÓN (%)]])-D.sign_Data[[#This Row],[VALOR NETO ($COP)]]</f>
        <v>4479.9454496723192</v>
      </c>
      <c r="AE209" s="15">
        <f>+(D.sign_Data[[#This Row],[VALOR NETO ($COP)]]+D.sign_Data[[#This Row],[NEGOCIACIÓN ($COP)]])*1%</f>
        <v>895.98908993446412</v>
      </c>
      <c r="AF209" s="15">
        <f>+(D.sign_Data[[#This Row],[VALOR NETO ($COP)]]+D.sign_Data[[#This Row],[NEGOCIACIÓN ($COP)]])*1%</f>
        <v>895.98908993446412</v>
      </c>
      <c r="AG209" s="3">
        <f>+D.sign_Data[[#This Row],[VALOR NETO ($COP)]]+D.sign_Data[[#This Row],[NEGOCIACIÓN ($COP)]]+D.sign_Data[[#This Row],[ICA ($COP)]]+D.sign_Data[[#This Row],[4 * 1000 ($COP)]]</f>
        <v>91390.887173315336</v>
      </c>
    </row>
    <row r="210" spans="1:33" ht="60" hidden="1" customHeight="1" x14ac:dyDescent="0.25">
      <c r="A210" s="14"/>
      <c r="B210" s="87" t="s">
        <v>493</v>
      </c>
      <c r="C210" s="182" t="s">
        <v>563</v>
      </c>
      <c r="D210" s="189" t="str">
        <f>VLOOKUP(D.sign_Data[[#This Row],[CÓDIGO]],Descripciones[[CÓDIGO]:[NOMBRE DE SERVICIO]],3,FALSE)</f>
        <v>D1. Parcelaciones y Condominios</v>
      </c>
      <c r="E210" s="87" t="s">
        <v>420</v>
      </c>
      <c r="F210" s="88" t="s">
        <v>564</v>
      </c>
      <c r="G210" s="88" t="s">
        <v>587</v>
      </c>
      <c r="H210" s="104" t="s">
        <v>537</v>
      </c>
      <c r="I210" s="89">
        <v>1</v>
      </c>
      <c r="J210" s="88" t="s">
        <v>593</v>
      </c>
      <c r="K210" s="102"/>
      <c r="L210" s="88" t="s">
        <v>483</v>
      </c>
      <c r="M210" s="89" t="s">
        <v>381</v>
      </c>
      <c r="N210" s="180">
        <v>0.1</v>
      </c>
      <c r="O210" s="27">
        <f>IFERROR(+VLOOKUP(M210,D.sign_Lista_Data[[RESPONSABLE]:[SOFTWARE 
VALOR HORA]],3,FALSE),"0")</f>
        <v>20263.424518743668</v>
      </c>
      <c r="P210" s="3">
        <f t="shared" si="6"/>
        <v>2026.3424518743668</v>
      </c>
      <c r="Q210" s="11">
        <f>IFERROR(+VLOOKUP(M210,D.sign_Lista_Data[[RESPONSABLE]:[SOFTWARE 
VALOR HORA]],5,FALSE)*D.sign_Data[[#This Row],[TIEMPO (HORAS)]],0)</f>
        <v>422.15467747382638</v>
      </c>
      <c r="R210" s="11">
        <f>IFERROR(+VLOOKUP(M210,D.sign_Lista_Data[[RESPONSABLE]:[SOFTWARE 
VALOR HORA]],8,FALSE)*D.sign_Data[[#This Row],[TIEMPO (HORAS)]],0)</f>
        <v>341.08548871439837</v>
      </c>
      <c r="S210" s="99">
        <v>0</v>
      </c>
      <c r="T210" s="99" t="s">
        <v>568</v>
      </c>
      <c r="U210" s="3">
        <f t="shared" si="7"/>
        <v>2789.5826180625913</v>
      </c>
      <c r="V210" s="100">
        <f>D.sign_Data[[#This Row],[TIEMPO (HORAS)]]*Gastos_Operativos[[#Totals],[GASTOS HORA]]</f>
        <v>2778.9477072310401</v>
      </c>
      <c r="W210" s="3">
        <f>+D.sign_Data[[#This Row],[COSTO 
DIRECTO ($COP)]]+D.sign_Data[[#This Row],[PRORRATEO GASTOS ($COP)]]</f>
        <v>5568.5303252936319</v>
      </c>
      <c r="X210" s="101">
        <v>0.1</v>
      </c>
      <c r="Y210" s="15">
        <f>+D.sign_Data[[#This Row],[COSTOS OPERACIONALES ($COP)]]*D.sign_Data[[#This Row],[DESFASE (%)]]</f>
        <v>556.85303252936319</v>
      </c>
      <c r="Z210" s="101">
        <v>0.3</v>
      </c>
      <c r="AA210" s="15">
        <f>+((D.sign_Data[[#This Row],[COSTOS OPERACIONALES ($COP)]]/(100%-D.sign_Data[[#This Row],[UTILIDAD (%)]])))-D.sign_Data[[#This Row],[COSTOS OPERACIONALES ($COP)]]</f>
        <v>2386.5129965544138</v>
      </c>
      <c r="AB210" s="3">
        <f>+D.sign_Data[[#This Row],[COSTOS OPERACIONALES ($COP)]]+D.sign_Data[[#This Row],[DESFASE ($COP)]]+D.sign_Data[[#This Row],[UTILIDAD ($COP)]]</f>
        <v>8511.896354377408</v>
      </c>
      <c r="AC210" s="101">
        <v>0.05</v>
      </c>
      <c r="AD210" s="15">
        <f>+D.sign_Data[[#This Row],[VALOR NETO ($COP)]]/(100%-D.sign_Data[[#This Row],[MARGEN DE NEGOCIACIÓN (%)]])-D.sign_Data[[#This Row],[VALOR NETO ($COP)]]</f>
        <v>447.99454496723229</v>
      </c>
      <c r="AE210" s="15">
        <f>+(D.sign_Data[[#This Row],[VALOR NETO ($COP)]]+D.sign_Data[[#This Row],[NEGOCIACIÓN ($COP)]])*1%</f>
        <v>89.5989089934464</v>
      </c>
      <c r="AF210" s="15">
        <f>+(D.sign_Data[[#This Row],[VALOR NETO ($COP)]]+D.sign_Data[[#This Row],[NEGOCIACIÓN ($COP)]])*1%</f>
        <v>89.5989089934464</v>
      </c>
      <c r="AG210" s="3">
        <f>+D.sign_Data[[#This Row],[VALOR NETO ($COP)]]+D.sign_Data[[#This Row],[NEGOCIACIÓN ($COP)]]+D.sign_Data[[#This Row],[ICA ($COP)]]+D.sign_Data[[#This Row],[4 * 1000 ($COP)]]</f>
        <v>9139.0887173315332</v>
      </c>
    </row>
    <row r="211" spans="1:33" ht="60" hidden="1" customHeight="1" x14ac:dyDescent="0.25">
      <c r="A211" s="14"/>
      <c r="B211" s="87" t="s">
        <v>493</v>
      </c>
      <c r="C211" s="182" t="s">
        <v>563</v>
      </c>
      <c r="D211" s="189" t="str">
        <f>VLOOKUP(D.sign_Data[[#This Row],[CÓDIGO]],Descripciones[[CÓDIGO]:[NOMBRE DE SERVICIO]],3,FALSE)</f>
        <v>D1. Parcelaciones y Condominios</v>
      </c>
      <c r="E211" s="87" t="s">
        <v>420</v>
      </c>
      <c r="F211" s="88" t="s">
        <v>564</v>
      </c>
      <c r="G211" s="88" t="s">
        <v>587</v>
      </c>
      <c r="H211" s="104" t="s">
        <v>537</v>
      </c>
      <c r="I211" s="89">
        <v>1</v>
      </c>
      <c r="J211" s="88" t="s">
        <v>593</v>
      </c>
      <c r="K211" s="102"/>
      <c r="L211" s="88" t="s">
        <v>572</v>
      </c>
      <c r="M211" s="89" t="s">
        <v>381</v>
      </c>
      <c r="N211" s="180">
        <v>0.1</v>
      </c>
      <c r="O211" s="27">
        <f>IFERROR(+VLOOKUP(M211,D.sign_Lista_Data[[RESPONSABLE]:[SOFTWARE 
VALOR HORA]],3,FALSE),"0")</f>
        <v>20263.424518743668</v>
      </c>
      <c r="P211" s="3">
        <f t="shared" si="6"/>
        <v>2026.3424518743668</v>
      </c>
      <c r="Q211" s="11">
        <f>IFERROR(+VLOOKUP(M211,D.sign_Lista_Data[[RESPONSABLE]:[SOFTWARE 
VALOR HORA]],5,FALSE)*D.sign_Data[[#This Row],[TIEMPO (HORAS)]],0)</f>
        <v>422.15467747382638</v>
      </c>
      <c r="R211" s="11">
        <f>IFERROR(+VLOOKUP(M211,D.sign_Lista_Data[[RESPONSABLE]:[SOFTWARE 
VALOR HORA]],8,FALSE)*D.sign_Data[[#This Row],[TIEMPO (HORAS)]],0)</f>
        <v>341.08548871439837</v>
      </c>
      <c r="S211" s="99">
        <v>0</v>
      </c>
      <c r="T211" s="99" t="s">
        <v>568</v>
      </c>
      <c r="U211" s="3">
        <f t="shared" si="7"/>
        <v>2789.5826180625913</v>
      </c>
      <c r="V211" s="100">
        <f>D.sign_Data[[#This Row],[TIEMPO (HORAS)]]*Gastos_Operativos[[#Totals],[GASTOS HORA]]</f>
        <v>2778.9477072310401</v>
      </c>
      <c r="W211" s="3">
        <f>+D.sign_Data[[#This Row],[COSTO 
DIRECTO ($COP)]]+D.sign_Data[[#This Row],[PRORRATEO GASTOS ($COP)]]</f>
        <v>5568.5303252936319</v>
      </c>
      <c r="X211" s="101">
        <v>0.1</v>
      </c>
      <c r="Y211" s="15">
        <f>+D.sign_Data[[#This Row],[COSTOS OPERACIONALES ($COP)]]*D.sign_Data[[#This Row],[DESFASE (%)]]</f>
        <v>556.85303252936319</v>
      </c>
      <c r="Z211" s="101">
        <v>0.3</v>
      </c>
      <c r="AA211" s="15">
        <f>+((D.sign_Data[[#This Row],[COSTOS OPERACIONALES ($COP)]]/(100%-D.sign_Data[[#This Row],[UTILIDAD (%)]])))-D.sign_Data[[#This Row],[COSTOS OPERACIONALES ($COP)]]</f>
        <v>2386.5129965544138</v>
      </c>
      <c r="AB211" s="3">
        <f>+D.sign_Data[[#This Row],[COSTOS OPERACIONALES ($COP)]]+D.sign_Data[[#This Row],[DESFASE ($COP)]]+D.sign_Data[[#This Row],[UTILIDAD ($COP)]]</f>
        <v>8511.896354377408</v>
      </c>
      <c r="AC211" s="101">
        <v>0.05</v>
      </c>
      <c r="AD211" s="15">
        <f>+D.sign_Data[[#This Row],[VALOR NETO ($COP)]]/(100%-D.sign_Data[[#This Row],[MARGEN DE NEGOCIACIÓN (%)]])-D.sign_Data[[#This Row],[VALOR NETO ($COP)]]</f>
        <v>447.99454496723229</v>
      </c>
      <c r="AE211" s="15">
        <f>+(D.sign_Data[[#This Row],[VALOR NETO ($COP)]]+D.sign_Data[[#This Row],[NEGOCIACIÓN ($COP)]])*1%</f>
        <v>89.5989089934464</v>
      </c>
      <c r="AF211" s="15">
        <f>+(D.sign_Data[[#This Row],[VALOR NETO ($COP)]]+D.sign_Data[[#This Row],[NEGOCIACIÓN ($COP)]])*1%</f>
        <v>89.5989089934464</v>
      </c>
      <c r="AG211" s="3">
        <f>+D.sign_Data[[#This Row],[VALOR NETO ($COP)]]+D.sign_Data[[#This Row],[NEGOCIACIÓN ($COP)]]+D.sign_Data[[#This Row],[ICA ($COP)]]+D.sign_Data[[#This Row],[4 * 1000 ($COP)]]</f>
        <v>9139.0887173315332</v>
      </c>
    </row>
    <row r="212" spans="1:33" ht="60" hidden="1" customHeight="1" x14ac:dyDescent="0.25">
      <c r="A212" s="14"/>
      <c r="B212" s="87" t="s">
        <v>493</v>
      </c>
      <c r="C212" s="182" t="s">
        <v>563</v>
      </c>
      <c r="D212" s="189" t="str">
        <f>VLOOKUP(D.sign_Data[[#This Row],[CÓDIGO]],Descripciones[[CÓDIGO]:[NOMBRE DE SERVICIO]],3,FALSE)</f>
        <v>D1. Parcelaciones y Condominios</v>
      </c>
      <c r="E212" s="87" t="s">
        <v>420</v>
      </c>
      <c r="F212" s="88" t="s">
        <v>564</v>
      </c>
      <c r="G212" s="88" t="s">
        <v>597</v>
      </c>
      <c r="H212" s="104" t="s">
        <v>537</v>
      </c>
      <c r="I212" s="89">
        <v>1</v>
      </c>
      <c r="J212" s="88" t="s">
        <v>598</v>
      </c>
      <c r="K212" s="102"/>
      <c r="L212" s="88" t="s">
        <v>599</v>
      </c>
      <c r="M212" s="89" t="s">
        <v>381</v>
      </c>
      <c r="N212" s="90">
        <v>1</v>
      </c>
      <c r="O212" s="27">
        <f>IFERROR(+VLOOKUP(M212,D.sign_Lista_Data[[RESPONSABLE]:[SOFTWARE 
VALOR HORA]],3,FALSE),"0")</f>
        <v>20263.424518743668</v>
      </c>
      <c r="P212" s="3">
        <f t="shared" si="6"/>
        <v>20263.424518743668</v>
      </c>
      <c r="Q212" s="11">
        <f>IFERROR(+VLOOKUP(M212,D.sign_Lista_Data[[RESPONSABLE]:[SOFTWARE 
VALOR HORA]],5,FALSE)*D.sign_Data[[#This Row],[TIEMPO (HORAS)]],0)</f>
        <v>4221.5467747382636</v>
      </c>
      <c r="R212" s="11">
        <f>IFERROR(+VLOOKUP(M212,D.sign_Lista_Data[[RESPONSABLE]:[SOFTWARE 
VALOR HORA]],8,FALSE)*D.sign_Data[[#This Row],[TIEMPO (HORAS)]],0)</f>
        <v>3410.8548871439834</v>
      </c>
      <c r="S212" s="99">
        <v>0</v>
      </c>
      <c r="T212" s="99" t="s">
        <v>568</v>
      </c>
      <c r="U212" s="3">
        <f t="shared" si="7"/>
        <v>27895.826180625918</v>
      </c>
      <c r="V212" s="100">
        <f>D.sign_Data[[#This Row],[TIEMPO (HORAS)]]*Gastos_Operativos[[#Totals],[GASTOS HORA]]</f>
        <v>27789.477072310401</v>
      </c>
      <c r="W212" s="3">
        <f>+D.sign_Data[[#This Row],[COSTO 
DIRECTO ($COP)]]+D.sign_Data[[#This Row],[PRORRATEO GASTOS ($COP)]]</f>
        <v>55685.303252936319</v>
      </c>
      <c r="X212" s="101">
        <v>0.1</v>
      </c>
      <c r="Y212" s="15">
        <f>+D.sign_Data[[#This Row],[COSTOS OPERACIONALES ($COP)]]*D.sign_Data[[#This Row],[DESFASE (%)]]</f>
        <v>5568.5303252936319</v>
      </c>
      <c r="Z212" s="101">
        <v>0.3</v>
      </c>
      <c r="AA212" s="15">
        <f>+((D.sign_Data[[#This Row],[COSTOS OPERACIONALES ($COP)]]/(100%-D.sign_Data[[#This Row],[UTILIDAD (%)]])))-D.sign_Data[[#This Row],[COSTOS OPERACIONALES ($COP)]]</f>
        <v>23865.129965544147</v>
      </c>
      <c r="AB212" s="3">
        <f>+D.sign_Data[[#This Row],[COSTOS OPERACIONALES ($COP)]]+D.sign_Data[[#This Row],[DESFASE ($COP)]]+D.sign_Data[[#This Row],[UTILIDAD ($COP)]]</f>
        <v>85118.963543774094</v>
      </c>
      <c r="AC212" s="101">
        <v>0.05</v>
      </c>
      <c r="AD212" s="15">
        <f>+D.sign_Data[[#This Row],[VALOR NETO ($COP)]]/(100%-D.sign_Data[[#This Row],[MARGEN DE NEGOCIACIÓN (%)]])-D.sign_Data[[#This Row],[VALOR NETO ($COP)]]</f>
        <v>4479.9454496723192</v>
      </c>
      <c r="AE212" s="15">
        <f>+(D.sign_Data[[#This Row],[VALOR NETO ($COP)]]+D.sign_Data[[#This Row],[NEGOCIACIÓN ($COP)]])*1%</f>
        <v>895.98908993446412</v>
      </c>
      <c r="AF212" s="15">
        <f>+(D.sign_Data[[#This Row],[VALOR NETO ($COP)]]+D.sign_Data[[#This Row],[NEGOCIACIÓN ($COP)]])*1%</f>
        <v>895.98908993446412</v>
      </c>
      <c r="AG212" s="3">
        <f>+D.sign_Data[[#This Row],[VALOR NETO ($COP)]]+D.sign_Data[[#This Row],[NEGOCIACIÓN ($COP)]]+D.sign_Data[[#This Row],[ICA ($COP)]]+D.sign_Data[[#This Row],[4 * 1000 ($COP)]]</f>
        <v>91390.887173315336</v>
      </c>
    </row>
    <row r="213" spans="1:33" ht="60" hidden="1" customHeight="1" x14ac:dyDescent="0.25">
      <c r="A213" s="14"/>
      <c r="B213" s="87" t="s">
        <v>493</v>
      </c>
      <c r="C213" s="182" t="s">
        <v>563</v>
      </c>
      <c r="D213" s="189" t="str">
        <f>VLOOKUP(D.sign_Data[[#This Row],[CÓDIGO]],Descripciones[[CÓDIGO]:[NOMBRE DE SERVICIO]],3,FALSE)</f>
        <v>D1. Parcelaciones y Condominios</v>
      </c>
      <c r="E213" s="87" t="s">
        <v>420</v>
      </c>
      <c r="F213" s="88" t="s">
        <v>564</v>
      </c>
      <c r="G213" s="88" t="s">
        <v>597</v>
      </c>
      <c r="H213" s="104" t="s">
        <v>537</v>
      </c>
      <c r="I213" s="89">
        <v>1</v>
      </c>
      <c r="J213" s="88" t="s">
        <v>598</v>
      </c>
      <c r="K213" s="102"/>
      <c r="L213" s="88" t="s">
        <v>600</v>
      </c>
      <c r="M213" s="89" t="s">
        <v>381</v>
      </c>
      <c r="N213" s="90">
        <v>10</v>
      </c>
      <c r="O213" s="27">
        <f>IFERROR(+VLOOKUP(M213,D.sign_Lista_Data[[RESPONSABLE]:[SOFTWARE 
VALOR HORA]],3,FALSE),"0")</f>
        <v>20263.424518743668</v>
      </c>
      <c r="P213" s="3">
        <f t="shared" si="6"/>
        <v>202634.2451874367</v>
      </c>
      <c r="Q213" s="11">
        <f>IFERROR(+VLOOKUP(M213,D.sign_Lista_Data[[RESPONSABLE]:[SOFTWARE 
VALOR HORA]],5,FALSE)*D.sign_Data[[#This Row],[TIEMPO (HORAS)]],0)</f>
        <v>42215.467747382638</v>
      </c>
      <c r="R213" s="11">
        <f>IFERROR(+VLOOKUP(M213,D.sign_Lista_Data[[RESPONSABLE]:[SOFTWARE 
VALOR HORA]],8,FALSE)*D.sign_Data[[#This Row],[TIEMPO (HORAS)]],0)</f>
        <v>34108.548871439838</v>
      </c>
      <c r="S213" s="99">
        <v>0</v>
      </c>
      <c r="T213" s="99" t="s">
        <v>568</v>
      </c>
      <c r="U213" s="3">
        <f t="shared" si="7"/>
        <v>278958.26180625916</v>
      </c>
      <c r="V213" s="100">
        <f>D.sign_Data[[#This Row],[TIEMPO (HORAS)]]*Gastos_Operativos[[#Totals],[GASTOS HORA]]</f>
        <v>277894.77072310401</v>
      </c>
      <c r="W213" s="3">
        <f>+D.sign_Data[[#This Row],[COSTO 
DIRECTO ($COP)]]+D.sign_Data[[#This Row],[PRORRATEO GASTOS ($COP)]]</f>
        <v>556853.03252936318</v>
      </c>
      <c r="X213" s="101">
        <v>0.1</v>
      </c>
      <c r="Y213" s="15">
        <f>+D.sign_Data[[#This Row],[COSTOS OPERACIONALES ($COP)]]*D.sign_Data[[#This Row],[DESFASE (%)]]</f>
        <v>55685.303252936319</v>
      </c>
      <c r="Z213" s="101">
        <v>0.3</v>
      </c>
      <c r="AA213" s="15">
        <f>+((D.sign_Data[[#This Row],[COSTOS OPERACIONALES ($COP)]]/(100%-D.sign_Data[[#This Row],[UTILIDAD (%)]])))-D.sign_Data[[#This Row],[COSTOS OPERACIONALES ($COP)]]</f>
        <v>238651.29965544143</v>
      </c>
      <c r="AB213" s="3">
        <f>+D.sign_Data[[#This Row],[COSTOS OPERACIONALES ($COP)]]+D.sign_Data[[#This Row],[DESFASE ($COP)]]+D.sign_Data[[#This Row],[UTILIDAD ($COP)]]</f>
        <v>851189.63543774094</v>
      </c>
      <c r="AC213" s="101">
        <v>0.05</v>
      </c>
      <c r="AD213" s="15">
        <f>+D.sign_Data[[#This Row],[VALOR NETO ($COP)]]/(100%-D.sign_Data[[#This Row],[MARGEN DE NEGOCIACIÓN (%)]])-D.sign_Data[[#This Row],[VALOR NETO ($COP)]]</f>
        <v>44799.45449672325</v>
      </c>
      <c r="AE213" s="15">
        <f>+(D.sign_Data[[#This Row],[VALOR NETO ($COP)]]+D.sign_Data[[#This Row],[NEGOCIACIÓN ($COP)]])*1%</f>
        <v>8959.8908993446421</v>
      </c>
      <c r="AF213" s="15">
        <f>+(D.sign_Data[[#This Row],[VALOR NETO ($COP)]]+D.sign_Data[[#This Row],[NEGOCIACIÓN ($COP)]])*1%</f>
        <v>8959.8908993446421</v>
      </c>
      <c r="AG213" s="3">
        <f>+D.sign_Data[[#This Row],[VALOR NETO ($COP)]]+D.sign_Data[[#This Row],[NEGOCIACIÓN ($COP)]]+D.sign_Data[[#This Row],[ICA ($COP)]]+D.sign_Data[[#This Row],[4 * 1000 ($COP)]]</f>
        <v>913908.87173315359</v>
      </c>
    </row>
    <row r="214" spans="1:33" ht="60" hidden="1" customHeight="1" x14ac:dyDescent="0.25">
      <c r="A214" s="14"/>
      <c r="B214" s="87" t="s">
        <v>493</v>
      </c>
      <c r="C214" s="182" t="s">
        <v>601</v>
      </c>
      <c r="D214" s="189" t="str">
        <f>VLOOKUP(D.sign_Data[[#This Row],[CÓDIGO]],Descripciones[[CÓDIGO]:[NOMBRE DE SERVICIO]],3,FALSE)</f>
        <v>D1. Parcelaciones y Condominios</v>
      </c>
      <c r="E214" s="87" t="s">
        <v>497</v>
      </c>
      <c r="F214" s="88" t="s">
        <v>602</v>
      </c>
      <c r="G214" s="88" t="s">
        <v>565</v>
      </c>
      <c r="H214" s="104" t="s">
        <v>552</v>
      </c>
      <c r="I214" s="89">
        <v>1</v>
      </c>
      <c r="J214" s="88" t="s">
        <v>603</v>
      </c>
      <c r="K214" s="102"/>
      <c r="L214" s="88" t="s">
        <v>567</v>
      </c>
      <c r="M214" s="89" t="s">
        <v>381</v>
      </c>
      <c r="N214" s="90">
        <v>0.2</v>
      </c>
      <c r="O214" s="27">
        <f>IFERROR(+VLOOKUP(M214,D.sign_Lista_Data[[RESPONSABLE]:[SOFTWARE 
VALOR HORA]],3,FALSE),"0")</f>
        <v>20263.424518743668</v>
      </c>
      <c r="P214" s="3">
        <f t="shared" si="6"/>
        <v>4052.6849037487336</v>
      </c>
      <c r="Q214" s="11">
        <f>IFERROR(+VLOOKUP(M214,D.sign_Lista_Data[[RESPONSABLE]:[SOFTWARE 
VALOR HORA]],5,FALSE)*D.sign_Data[[#This Row],[TIEMPO (HORAS)]],0)</f>
        <v>844.30935494765276</v>
      </c>
      <c r="R214" s="42">
        <f>IFERROR(+VLOOKUP(M214,D.sign_Lista_Data[[RESPONSABLE]:[SOFTWARE 
VALOR HORA]],8,FALSE)*D.sign_Data[[#This Row],[TIEMPO (HORAS)]],0)</f>
        <v>682.17097742879673</v>
      </c>
      <c r="S214" s="99">
        <v>0</v>
      </c>
      <c r="T214" s="99">
        <v>0</v>
      </c>
      <c r="U214" s="3">
        <f t="shared" si="7"/>
        <v>5579.1652361251827</v>
      </c>
      <c r="V214" s="100">
        <f>D.sign_Data[[#This Row],[TIEMPO (HORAS)]]*Gastos_Operativos[[#Totals],[GASTOS HORA]]</f>
        <v>5557.8954144620802</v>
      </c>
      <c r="W214" s="3">
        <f>+D.sign_Data[[#This Row],[COSTO 
DIRECTO ($COP)]]+D.sign_Data[[#This Row],[PRORRATEO GASTOS ($COP)]]</f>
        <v>11137.060650587264</v>
      </c>
      <c r="X214" s="101">
        <v>0.1</v>
      </c>
      <c r="Y214" s="15">
        <f>+D.sign_Data[[#This Row],[COSTOS OPERACIONALES ($COP)]]*D.sign_Data[[#This Row],[DESFASE (%)]]</f>
        <v>1113.7060650587264</v>
      </c>
      <c r="Z214" s="101">
        <v>0.2</v>
      </c>
      <c r="AA214" s="15">
        <f>+((D.sign_Data[[#This Row],[COSTOS OPERACIONALES ($COP)]]/(100%-D.sign_Data[[#This Row],[UTILIDAD (%)]])))-D.sign_Data[[#This Row],[COSTOS OPERACIONALES ($COP)]]</f>
        <v>2784.265162646816</v>
      </c>
      <c r="AB214" s="3">
        <f>+D.sign_Data[[#This Row],[COSTOS OPERACIONALES ($COP)]]+D.sign_Data[[#This Row],[DESFASE ($COP)]]+D.sign_Data[[#This Row],[UTILIDAD ($COP)]]</f>
        <v>15035.031878292806</v>
      </c>
      <c r="AC214" s="101">
        <v>0.05</v>
      </c>
      <c r="AD214" s="15">
        <f>+D.sign_Data[[#This Row],[VALOR NETO ($COP)]]/(100%-D.sign_Data[[#This Row],[MARGEN DE NEGOCIACIÓN (%)]])-D.sign_Data[[#This Row],[VALOR NETO ($COP)]]</f>
        <v>791.31746727856989</v>
      </c>
      <c r="AE214" s="15">
        <f>+(D.sign_Data[[#This Row],[VALOR NETO ($COP)]]+D.sign_Data[[#This Row],[NEGOCIACIÓN ($COP)]])*1%</f>
        <v>158.26349345571376</v>
      </c>
      <c r="AF214" s="15">
        <f>+(D.sign_Data[[#This Row],[VALOR NETO ($COP)]]+D.sign_Data[[#This Row],[NEGOCIACIÓN ($COP)]])*1%</f>
        <v>158.26349345571376</v>
      </c>
      <c r="AG214" s="3">
        <f>+D.sign_Data[[#This Row],[VALOR NETO ($COP)]]+D.sign_Data[[#This Row],[NEGOCIACIÓN ($COP)]]+D.sign_Data[[#This Row],[ICA ($COP)]]+D.sign_Data[[#This Row],[4 * 1000 ($COP)]]</f>
        <v>16142.876332482803</v>
      </c>
    </row>
    <row r="215" spans="1:33" ht="60" hidden="1" customHeight="1" x14ac:dyDescent="0.25">
      <c r="A215" s="14"/>
      <c r="B215" s="87" t="s">
        <v>493</v>
      </c>
      <c r="C215" s="182" t="s">
        <v>601</v>
      </c>
      <c r="D215" s="189" t="str">
        <f>VLOOKUP(D.sign_Data[[#This Row],[CÓDIGO]],Descripciones[[CÓDIGO]:[NOMBRE DE SERVICIO]],3,FALSE)</f>
        <v>D1. Parcelaciones y Condominios</v>
      </c>
      <c r="E215" s="87" t="s">
        <v>497</v>
      </c>
      <c r="F215" s="88" t="s">
        <v>602</v>
      </c>
      <c r="G215" s="88" t="s">
        <v>565</v>
      </c>
      <c r="H215" s="104" t="s">
        <v>552</v>
      </c>
      <c r="I215" s="89">
        <v>1</v>
      </c>
      <c r="J215" s="88" t="s">
        <v>603</v>
      </c>
      <c r="K215" s="102"/>
      <c r="L215" s="88" t="s">
        <v>604</v>
      </c>
      <c r="M215" s="89" t="s">
        <v>381</v>
      </c>
      <c r="N215" s="90">
        <v>0.1</v>
      </c>
      <c r="O215" s="27">
        <f>IFERROR(+VLOOKUP(M215,D.sign_Lista_Data[[RESPONSABLE]:[SOFTWARE 
VALOR HORA]],3,FALSE),"0")</f>
        <v>20263.424518743668</v>
      </c>
      <c r="P215" s="3">
        <f t="shared" si="6"/>
        <v>2026.3424518743668</v>
      </c>
      <c r="Q215" s="11">
        <f>IFERROR(+VLOOKUP(M215,D.sign_Lista_Data[[RESPONSABLE]:[SOFTWARE 
VALOR HORA]],5,FALSE)*D.sign_Data[[#This Row],[TIEMPO (HORAS)]],0)</f>
        <v>422.15467747382638</v>
      </c>
      <c r="R215" s="42">
        <f>IFERROR(+VLOOKUP(M215,D.sign_Lista_Data[[RESPONSABLE]:[SOFTWARE 
VALOR HORA]],8,FALSE)*D.sign_Data[[#This Row],[TIEMPO (HORAS)]],0)</f>
        <v>341.08548871439837</v>
      </c>
      <c r="S215" s="99">
        <v>0</v>
      </c>
      <c r="T215" s="99">
        <v>0</v>
      </c>
      <c r="U215" s="3">
        <f t="shared" si="7"/>
        <v>2789.5826180625913</v>
      </c>
      <c r="V215" s="100">
        <f>D.sign_Data[[#This Row],[TIEMPO (HORAS)]]*Gastos_Operativos[[#Totals],[GASTOS HORA]]</f>
        <v>2778.9477072310401</v>
      </c>
      <c r="W215" s="3">
        <f>+D.sign_Data[[#This Row],[COSTO 
DIRECTO ($COP)]]+D.sign_Data[[#This Row],[PRORRATEO GASTOS ($COP)]]</f>
        <v>5568.5303252936319</v>
      </c>
      <c r="X215" s="101">
        <v>0.1</v>
      </c>
      <c r="Y215" s="15">
        <f>+D.sign_Data[[#This Row],[COSTOS OPERACIONALES ($COP)]]*D.sign_Data[[#This Row],[DESFASE (%)]]</f>
        <v>556.85303252936319</v>
      </c>
      <c r="Z215" s="101">
        <v>0.2</v>
      </c>
      <c r="AA215" s="15">
        <f>+((D.sign_Data[[#This Row],[COSTOS OPERACIONALES ($COP)]]/(100%-D.sign_Data[[#This Row],[UTILIDAD (%)]])))-D.sign_Data[[#This Row],[COSTOS OPERACIONALES ($COP)]]</f>
        <v>1392.132581323408</v>
      </c>
      <c r="AB215" s="3">
        <f>+D.sign_Data[[#This Row],[COSTOS OPERACIONALES ($COP)]]+D.sign_Data[[#This Row],[DESFASE ($COP)]]+D.sign_Data[[#This Row],[UTILIDAD ($COP)]]</f>
        <v>7517.5159391464031</v>
      </c>
      <c r="AC215" s="101">
        <v>0.05</v>
      </c>
      <c r="AD215" s="15">
        <f>+D.sign_Data[[#This Row],[VALOR NETO ($COP)]]/(100%-D.sign_Data[[#This Row],[MARGEN DE NEGOCIACIÓN (%)]])-D.sign_Data[[#This Row],[VALOR NETO ($COP)]]</f>
        <v>395.65873363928495</v>
      </c>
      <c r="AE215" s="15">
        <f>+(D.sign_Data[[#This Row],[VALOR NETO ($COP)]]+D.sign_Data[[#This Row],[NEGOCIACIÓN ($COP)]])*1%</f>
        <v>79.131746727856878</v>
      </c>
      <c r="AF215" s="15">
        <f>+(D.sign_Data[[#This Row],[VALOR NETO ($COP)]]+D.sign_Data[[#This Row],[NEGOCIACIÓN ($COP)]])*1%</f>
        <v>79.131746727856878</v>
      </c>
      <c r="AG215" s="3">
        <f>+D.sign_Data[[#This Row],[VALOR NETO ($COP)]]+D.sign_Data[[#This Row],[NEGOCIACIÓN ($COP)]]+D.sign_Data[[#This Row],[ICA ($COP)]]+D.sign_Data[[#This Row],[4 * 1000 ($COP)]]</f>
        <v>8071.4381662414016</v>
      </c>
    </row>
    <row r="216" spans="1:33" ht="60" hidden="1" customHeight="1" x14ac:dyDescent="0.25">
      <c r="A216" s="14"/>
      <c r="B216" s="87" t="s">
        <v>493</v>
      </c>
      <c r="C216" s="182" t="s">
        <v>601</v>
      </c>
      <c r="D216" s="189" t="str">
        <f>VLOOKUP(D.sign_Data[[#This Row],[CÓDIGO]],Descripciones[[CÓDIGO]:[NOMBRE DE SERVICIO]],3,FALSE)</f>
        <v>D1. Parcelaciones y Condominios</v>
      </c>
      <c r="E216" s="87" t="s">
        <v>497</v>
      </c>
      <c r="F216" s="88" t="s">
        <v>602</v>
      </c>
      <c r="G216" s="88" t="s">
        <v>565</v>
      </c>
      <c r="H216" s="104" t="s">
        <v>552</v>
      </c>
      <c r="I216" s="89">
        <v>1</v>
      </c>
      <c r="J216" s="88" t="s">
        <v>603</v>
      </c>
      <c r="K216" s="102"/>
      <c r="L216" s="88" t="s">
        <v>570</v>
      </c>
      <c r="M216" s="89" t="s">
        <v>381</v>
      </c>
      <c r="N216" s="90">
        <v>0.5</v>
      </c>
      <c r="O216" s="27">
        <f>IFERROR(+VLOOKUP(M216,D.sign_Lista_Data[[RESPONSABLE]:[SOFTWARE 
VALOR HORA]],3,FALSE),"0")</f>
        <v>20263.424518743668</v>
      </c>
      <c r="P216" s="3">
        <f t="shared" si="6"/>
        <v>10131.712259371834</v>
      </c>
      <c r="Q216" s="11">
        <f>IFERROR(+VLOOKUP(M216,D.sign_Lista_Data[[RESPONSABLE]:[SOFTWARE 
VALOR HORA]],5,FALSE)*D.sign_Data[[#This Row],[TIEMPO (HORAS)]],0)</f>
        <v>2110.7733873691318</v>
      </c>
      <c r="R216" s="42">
        <f>IFERROR(+VLOOKUP(M216,D.sign_Lista_Data[[RESPONSABLE]:[SOFTWARE 
VALOR HORA]],8,FALSE)*D.sign_Data[[#This Row],[TIEMPO (HORAS)]],0)</f>
        <v>1705.4274435719917</v>
      </c>
      <c r="S216" s="99">
        <v>0</v>
      </c>
      <c r="T216" s="99">
        <v>0</v>
      </c>
      <c r="U216" s="3">
        <f t="shared" si="7"/>
        <v>13947.913090312959</v>
      </c>
      <c r="V216" s="100">
        <f>D.sign_Data[[#This Row],[TIEMPO (HORAS)]]*Gastos_Operativos[[#Totals],[GASTOS HORA]]</f>
        <v>13894.738536155201</v>
      </c>
      <c r="W216" s="3">
        <f>+D.sign_Data[[#This Row],[COSTO 
DIRECTO ($COP)]]+D.sign_Data[[#This Row],[PRORRATEO GASTOS ($COP)]]</f>
        <v>27842.65162646816</v>
      </c>
      <c r="X216" s="101">
        <v>0.1</v>
      </c>
      <c r="Y216" s="15">
        <f>+D.sign_Data[[#This Row],[COSTOS OPERACIONALES ($COP)]]*D.sign_Data[[#This Row],[DESFASE (%)]]</f>
        <v>2784.265162646816</v>
      </c>
      <c r="Z216" s="101">
        <v>0.2</v>
      </c>
      <c r="AA216" s="15">
        <f>+((D.sign_Data[[#This Row],[COSTOS OPERACIONALES ($COP)]]/(100%-D.sign_Data[[#This Row],[UTILIDAD (%)]])))-D.sign_Data[[#This Row],[COSTOS OPERACIONALES ($COP)]]</f>
        <v>6960.662906617039</v>
      </c>
      <c r="AB216" s="3">
        <f>+D.sign_Data[[#This Row],[COSTOS OPERACIONALES ($COP)]]+D.sign_Data[[#This Row],[DESFASE ($COP)]]+D.sign_Data[[#This Row],[UTILIDAD ($COP)]]</f>
        <v>37587.579695732013</v>
      </c>
      <c r="AC216" s="101">
        <v>0.05</v>
      </c>
      <c r="AD216" s="15">
        <f>+D.sign_Data[[#This Row],[VALOR NETO ($COP)]]/(100%-D.sign_Data[[#This Row],[MARGEN DE NEGOCIACIÓN (%)]])-D.sign_Data[[#This Row],[VALOR NETO ($COP)]]</f>
        <v>1978.2936681964202</v>
      </c>
      <c r="AE216" s="15">
        <f>+(D.sign_Data[[#This Row],[VALOR NETO ($COP)]]+D.sign_Data[[#This Row],[NEGOCIACIÓN ($COP)]])*1%</f>
        <v>395.65873363928432</v>
      </c>
      <c r="AF216" s="15">
        <f>+(D.sign_Data[[#This Row],[VALOR NETO ($COP)]]+D.sign_Data[[#This Row],[NEGOCIACIÓN ($COP)]])*1%</f>
        <v>395.65873363928432</v>
      </c>
      <c r="AG216" s="3">
        <f>+D.sign_Data[[#This Row],[VALOR NETO ($COP)]]+D.sign_Data[[#This Row],[NEGOCIACIÓN ($COP)]]+D.sign_Data[[#This Row],[ICA ($COP)]]+D.sign_Data[[#This Row],[4 * 1000 ($COP)]]</f>
        <v>40357.190831207001</v>
      </c>
    </row>
    <row r="217" spans="1:33" ht="60" hidden="1" customHeight="1" x14ac:dyDescent="0.25">
      <c r="A217" s="14"/>
      <c r="B217" s="87" t="s">
        <v>493</v>
      </c>
      <c r="C217" s="182" t="s">
        <v>601</v>
      </c>
      <c r="D217" s="189" t="str">
        <f>VLOOKUP(D.sign_Data[[#This Row],[CÓDIGO]],Descripciones[[CÓDIGO]:[NOMBRE DE SERVICIO]],3,FALSE)</f>
        <v>D1. Parcelaciones y Condominios</v>
      </c>
      <c r="E217" s="87" t="s">
        <v>497</v>
      </c>
      <c r="F217" s="88" t="s">
        <v>602</v>
      </c>
      <c r="G217" s="88" t="s">
        <v>565</v>
      </c>
      <c r="H217" s="104" t="s">
        <v>552</v>
      </c>
      <c r="I217" s="89">
        <v>1</v>
      </c>
      <c r="J217" s="88" t="s">
        <v>603</v>
      </c>
      <c r="K217" s="102"/>
      <c r="L217" s="88" t="s">
        <v>571</v>
      </c>
      <c r="M217" s="89" t="s">
        <v>381</v>
      </c>
      <c r="N217" s="90">
        <v>0.1</v>
      </c>
      <c r="O217" s="27">
        <f>IFERROR(+VLOOKUP(M217,D.sign_Lista_Data[[RESPONSABLE]:[SOFTWARE 
VALOR HORA]],3,FALSE),"0")</f>
        <v>20263.424518743668</v>
      </c>
      <c r="P217" s="3">
        <f t="shared" si="6"/>
        <v>2026.3424518743668</v>
      </c>
      <c r="Q217" s="11">
        <f>IFERROR(+VLOOKUP(M217,D.sign_Lista_Data[[RESPONSABLE]:[SOFTWARE 
VALOR HORA]],5,FALSE)*D.sign_Data[[#This Row],[TIEMPO (HORAS)]],0)</f>
        <v>422.15467747382638</v>
      </c>
      <c r="R217" s="42">
        <f>IFERROR(+VLOOKUP(M217,D.sign_Lista_Data[[RESPONSABLE]:[SOFTWARE 
VALOR HORA]],8,FALSE)*D.sign_Data[[#This Row],[TIEMPO (HORAS)]],0)</f>
        <v>341.08548871439837</v>
      </c>
      <c r="S217" s="99">
        <v>0</v>
      </c>
      <c r="T217" s="99">
        <v>0</v>
      </c>
      <c r="U217" s="3">
        <f t="shared" si="7"/>
        <v>2789.5826180625913</v>
      </c>
      <c r="V217" s="100">
        <f>D.sign_Data[[#This Row],[TIEMPO (HORAS)]]*Gastos_Operativos[[#Totals],[GASTOS HORA]]</f>
        <v>2778.9477072310401</v>
      </c>
      <c r="W217" s="3">
        <f>+D.sign_Data[[#This Row],[COSTO 
DIRECTO ($COP)]]+D.sign_Data[[#This Row],[PRORRATEO GASTOS ($COP)]]</f>
        <v>5568.5303252936319</v>
      </c>
      <c r="X217" s="101">
        <v>0.1</v>
      </c>
      <c r="Y217" s="15">
        <f>+D.sign_Data[[#This Row],[COSTOS OPERACIONALES ($COP)]]*D.sign_Data[[#This Row],[DESFASE (%)]]</f>
        <v>556.85303252936319</v>
      </c>
      <c r="Z217" s="101">
        <v>0.2</v>
      </c>
      <c r="AA217" s="15">
        <f>+((D.sign_Data[[#This Row],[COSTOS OPERACIONALES ($COP)]]/(100%-D.sign_Data[[#This Row],[UTILIDAD (%)]])))-D.sign_Data[[#This Row],[COSTOS OPERACIONALES ($COP)]]</f>
        <v>1392.132581323408</v>
      </c>
      <c r="AB217" s="3">
        <f>+D.sign_Data[[#This Row],[COSTOS OPERACIONALES ($COP)]]+D.sign_Data[[#This Row],[DESFASE ($COP)]]+D.sign_Data[[#This Row],[UTILIDAD ($COP)]]</f>
        <v>7517.5159391464031</v>
      </c>
      <c r="AC217" s="101">
        <v>0.05</v>
      </c>
      <c r="AD217" s="15">
        <f>+D.sign_Data[[#This Row],[VALOR NETO ($COP)]]/(100%-D.sign_Data[[#This Row],[MARGEN DE NEGOCIACIÓN (%)]])-D.sign_Data[[#This Row],[VALOR NETO ($COP)]]</f>
        <v>395.65873363928495</v>
      </c>
      <c r="AE217" s="15">
        <f>+(D.sign_Data[[#This Row],[VALOR NETO ($COP)]]+D.sign_Data[[#This Row],[NEGOCIACIÓN ($COP)]])*1%</f>
        <v>79.131746727856878</v>
      </c>
      <c r="AF217" s="15">
        <f>+(D.sign_Data[[#This Row],[VALOR NETO ($COP)]]+D.sign_Data[[#This Row],[NEGOCIACIÓN ($COP)]])*1%</f>
        <v>79.131746727856878</v>
      </c>
      <c r="AG217" s="3">
        <f>+D.sign_Data[[#This Row],[VALOR NETO ($COP)]]+D.sign_Data[[#This Row],[NEGOCIACIÓN ($COP)]]+D.sign_Data[[#This Row],[ICA ($COP)]]+D.sign_Data[[#This Row],[4 * 1000 ($COP)]]</f>
        <v>8071.4381662414016</v>
      </c>
    </row>
    <row r="218" spans="1:33" ht="60" hidden="1" customHeight="1" x14ac:dyDescent="0.25">
      <c r="A218" s="14"/>
      <c r="B218" s="87" t="s">
        <v>493</v>
      </c>
      <c r="C218" s="182" t="s">
        <v>601</v>
      </c>
      <c r="D218" s="189" t="str">
        <f>VLOOKUP(D.sign_Data[[#This Row],[CÓDIGO]],Descripciones[[CÓDIGO]:[NOMBRE DE SERVICIO]],3,FALSE)</f>
        <v>D1. Parcelaciones y Condominios</v>
      </c>
      <c r="E218" s="87" t="s">
        <v>497</v>
      </c>
      <c r="F218" s="88" t="s">
        <v>602</v>
      </c>
      <c r="G218" s="88" t="s">
        <v>565</v>
      </c>
      <c r="H218" s="104" t="s">
        <v>552</v>
      </c>
      <c r="I218" s="89">
        <v>1</v>
      </c>
      <c r="J218" s="88" t="s">
        <v>603</v>
      </c>
      <c r="K218" s="102"/>
      <c r="L218" s="88" t="s">
        <v>572</v>
      </c>
      <c r="M218" s="89" t="s">
        <v>381</v>
      </c>
      <c r="N218" s="90">
        <v>0.1</v>
      </c>
      <c r="O218" s="27">
        <f>IFERROR(+VLOOKUP(M218,D.sign_Lista_Data[[RESPONSABLE]:[SOFTWARE 
VALOR HORA]],3,FALSE),"0")</f>
        <v>20263.424518743668</v>
      </c>
      <c r="P218" s="3">
        <f t="shared" si="6"/>
        <v>2026.3424518743668</v>
      </c>
      <c r="Q218" s="11">
        <f>IFERROR(+VLOOKUP(M218,D.sign_Lista_Data[[RESPONSABLE]:[SOFTWARE 
VALOR HORA]],5,FALSE)*D.sign_Data[[#This Row],[TIEMPO (HORAS)]],0)</f>
        <v>422.15467747382638</v>
      </c>
      <c r="R218" s="42">
        <f>IFERROR(+VLOOKUP(M218,D.sign_Lista_Data[[RESPONSABLE]:[SOFTWARE 
VALOR HORA]],8,FALSE)*D.sign_Data[[#This Row],[TIEMPO (HORAS)]],0)</f>
        <v>341.08548871439837</v>
      </c>
      <c r="S218" s="99">
        <v>0</v>
      </c>
      <c r="T218" s="99">
        <v>0</v>
      </c>
      <c r="U218" s="3">
        <f t="shared" si="7"/>
        <v>2789.5826180625913</v>
      </c>
      <c r="V218" s="100">
        <f>D.sign_Data[[#This Row],[TIEMPO (HORAS)]]*Gastos_Operativos[[#Totals],[GASTOS HORA]]</f>
        <v>2778.9477072310401</v>
      </c>
      <c r="W218" s="3">
        <f>+D.sign_Data[[#This Row],[COSTO 
DIRECTO ($COP)]]+D.sign_Data[[#This Row],[PRORRATEO GASTOS ($COP)]]</f>
        <v>5568.5303252936319</v>
      </c>
      <c r="X218" s="101">
        <v>0.1</v>
      </c>
      <c r="Y218" s="15">
        <f>+D.sign_Data[[#This Row],[COSTOS OPERACIONALES ($COP)]]*D.sign_Data[[#This Row],[DESFASE (%)]]</f>
        <v>556.85303252936319</v>
      </c>
      <c r="Z218" s="101">
        <v>0.2</v>
      </c>
      <c r="AA218" s="15">
        <f>+((D.sign_Data[[#This Row],[COSTOS OPERACIONALES ($COP)]]/(100%-D.sign_Data[[#This Row],[UTILIDAD (%)]])))-D.sign_Data[[#This Row],[COSTOS OPERACIONALES ($COP)]]</f>
        <v>1392.132581323408</v>
      </c>
      <c r="AB218" s="3">
        <f>+D.sign_Data[[#This Row],[COSTOS OPERACIONALES ($COP)]]+D.sign_Data[[#This Row],[DESFASE ($COP)]]+D.sign_Data[[#This Row],[UTILIDAD ($COP)]]</f>
        <v>7517.5159391464031</v>
      </c>
      <c r="AC218" s="101">
        <v>0.05</v>
      </c>
      <c r="AD218" s="15">
        <f>+D.sign_Data[[#This Row],[VALOR NETO ($COP)]]/(100%-D.sign_Data[[#This Row],[MARGEN DE NEGOCIACIÓN (%)]])-D.sign_Data[[#This Row],[VALOR NETO ($COP)]]</f>
        <v>395.65873363928495</v>
      </c>
      <c r="AE218" s="15">
        <f>+(D.sign_Data[[#This Row],[VALOR NETO ($COP)]]+D.sign_Data[[#This Row],[NEGOCIACIÓN ($COP)]])*1%</f>
        <v>79.131746727856878</v>
      </c>
      <c r="AF218" s="15">
        <f>+(D.sign_Data[[#This Row],[VALOR NETO ($COP)]]+D.sign_Data[[#This Row],[NEGOCIACIÓN ($COP)]])*1%</f>
        <v>79.131746727856878</v>
      </c>
      <c r="AG218" s="3">
        <f>+D.sign_Data[[#This Row],[VALOR NETO ($COP)]]+D.sign_Data[[#This Row],[NEGOCIACIÓN ($COP)]]+D.sign_Data[[#This Row],[ICA ($COP)]]+D.sign_Data[[#This Row],[4 * 1000 ($COP)]]</f>
        <v>8071.4381662414016</v>
      </c>
    </row>
    <row r="219" spans="1:33" ht="60" hidden="1" customHeight="1" x14ac:dyDescent="0.25">
      <c r="A219" s="14"/>
      <c r="B219" s="87" t="s">
        <v>493</v>
      </c>
      <c r="C219" s="182" t="s">
        <v>601</v>
      </c>
      <c r="D219" s="189" t="str">
        <f>VLOOKUP(D.sign_Data[[#This Row],[CÓDIGO]],Descripciones[[CÓDIGO]:[NOMBRE DE SERVICIO]],3,FALSE)</f>
        <v>D1. Parcelaciones y Condominios</v>
      </c>
      <c r="E219" s="87" t="s">
        <v>497</v>
      </c>
      <c r="F219" s="88" t="s">
        <v>602</v>
      </c>
      <c r="G219" s="88" t="s">
        <v>573</v>
      </c>
      <c r="H219" s="104" t="s">
        <v>552</v>
      </c>
      <c r="I219" s="89">
        <v>1</v>
      </c>
      <c r="J219" s="88" t="s">
        <v>605</v>
      </c>
      <c r="K219" s="102"/>
      <c r="L219" s="88" t="s">
        <v>575</v>
      </c>
      <c r="M219" s="89" t="s">
        <v>381</v>
      </c>
      <c r="N219" s="90">
        <v>0.2</v>
      </c>
      <c r="O219" s="27">
        <f>IFERROR(+VLOOKUP(M219,D.sign_Lista_Data[[RESPONSABLE]:[SOFTWARE 
VALOR HORA]],3,FALSE),"0")</f>
        <v>20263.424518743668</v>
      </c>
      <c r="P219" s="3">
        <f t="shared" si="6"/>
        <v>4052.6849037487336</v>
      </c>
      <c r="Q219" s="11">
        <f>IFERROR(+VLOOKUP(M219,D.sign_Lista_Data[[RESPONSABLE]:[SOFTWARE 
VALOR HORA]],5,FALSE)*D.sign_Data[[#This Row],[TIEMPO (HORAS)]],0)</f>
        <v>844.30935494765276</v>
      </c>
      <c r="R219" s="42">
        <f>IFERROR(+VLOOKUP(M219,D.sign_Lista_Data[[RESPONSABLE]:[SOFTWARE 
VALOR HORA]],8,FALSE)*D.sign_Data[[#This Row],[TIEMPO (HORAS)]],0)</f>
        <v>682.17097742879673</v>
      </c>
      <c r="S219" s="99">
        <v>0</v>
      </c>
      <c r="T219" s="99">
        <v>0</v>
      </c>
      <c r="U219" s="3">
        <f t="shared" si="7"/>
        <v>5579.1652361251827</v>
      </c>
      <c r="V219" s="100">
        <f>D.sign_Data[[#This Row],[TIEMPO (HORAS)]]*Gastos_Operativos[[#Totals],[GASTOS HORA]]</f>
        <v>5557.8954144620802</v>
      </c>
      <c r="W219" s="3">
        <f>+D.sign_Data[[#This Row],[COSTO 
DIRECTO ($COP)]]+D.sign_Data[[#This Row],[PRORRATEO GASTOS ($COP)]]</f>
        <v>11137.060650587264</v>
      </c>
      <c r="X219" s="101">
        <v>0.1</v>
      </c>
      <c r="Y219" s="15">
        <f>+D.sign_Data[[#This Row],[COSTOS OPERACIONALES ($COP)]]*D.sign_Data[[#This Row],[DESFASE (%)]]</f>
        <v>1113.7060650587264</v>
      </c>
      <c r="Z219" s="101">
        <v>0.2</v>
      </c>
      <c r="AA219" s="15">
        <f>+((D.sign_Data[[#This Row],[COSTOS OPERACIONALES ($COP)]]/(100%-D.sign_Data[[#This Row],[UTILIDAD (%)]])))-D.sign_Data[[#This Row],[COSTOS OPERACIONALES ($COP)]]</f>
        <v>2784.265162646816</v>
      </c>
      <c r="AB219" s="3">
        <f>+D.sign_Data[[#This Row],[COSTOS OPERACIONALES ($COP)]]+D.sign_Data[[#This Row],[DESFASE ($COP)]]+D.sign_Data[[#This Row],[UTILIDAD ($COP)]]</f>
        <v>15035.031878292806</v>
      </c>
      <c r="AC219" s="101">
        <v>0.05</v>
      </c>
      <c r="AD219" s="15">
        <f>+D.sign_Data[[#This Row],[VALOR NETO ($COP)]]/(100%-D.sign_Data[[#This Row],[MARGEN DE NEGOCIACIÓN (%)]])-D.sign_Data[[#This Row],[VALOR NETO ($COP)]]</f>
        <v>791.31746727856989</v>
      </c>
      <c r="AE219" s="15">
        <f>+(D.sign_Data[[#This Row],[VALOR NETO ($COP)]]+D.sign_Data[[#This Row],[NEGOCIACIÓN ($COP)]])*1%</f>
        <v>158.26349345571376</v>
      </c>
      <c r="AF219" s="15">
        <f>+(D.sign_Data[[#This Row],[VALOR NETO ($COP)]]+D.sign_Data[[#This Row],[NEGOCIACIÓN ($COP)]])*1%</f>
        <v>158.26349345571376</v>
      </c>
      <c r="AG219" s="3">
        <f>+D.sign_Data[[#This Row],[VALOR NETO ($COP)]]+D.sign_Data[[#This Row],[NEGOCIACIÓN ($COP)]]+D.sign_Data[[#This Row],[ICA ($COP)]]+D.sign_Data[[#This Row],[4 * 1000 ($COP)]]</f>
        <v>16142.876332482803</v>
      </c>
    </row>
    <row r="220" spans="1:33" ht="60" hidden="1" customHeight="1" x14ac:dyDescent="0.25">
      <c r="A220" s="14"/>
      <c r="B220" s="87" t="s">
        <v>493</v>
      </c>
      <c r="C220" s="182" t="s">
        <v>601</v>
      </c>
      <c r="D220" s="189" t="str">
        <f>VLOOKUP(D.sign_Data[[#This Row],[CÓDIGO]],Descripciones[[CÓDIGO]:[NOMBRE DE SERVICIO]],3,FALSE)</f>
        <v>D1. Parcelaciones y Condominios</v>
      </c>
      <c r="E220" s="87" t="s">
        <v>497</v>
      </c>
      <c r="F220" s="88" t="s">
        <v>602</v>
      </c>
      <c r="G220" s="88" t="s">
        <v>573</v>
      </c>
      <c r="H220" s="104" t="s">
        <v>552</v>
      </c>
      <c r="I220" s="89">
        <v>1</v>
      </c>
      <c r="J220" s="88" t="s">
        <v>605</v>
      </c>
      <c r="K220" s="102"/>
      <c r="L220" s="88" t="s">
        <v>576</v>
      </c>
      <c r="M220" s="89" t="s">
        <v>381</v>
      </c>
      <c r="N220" s="90">
        <v>5</v>
      </c>
      <c r="O220" s="27">
        <f>IFERROR(+VLOOKUP(M220,D.sign_Lista_Data[[RESPONSABLE]:[SOFTWARE 
VALOR HORA]],3,FALSE),"0")</f>
        <v>20263.424518743668</v>
      </c>
      <c r="P220" s="3">
        <f t="shared" si="6"/>
        <v>101317.12259371835</v>
      </c>
      <c r="Q220" s="11">
        <f>IFERROR(+VLOOKUP(M220,D.sign_Lista_Data[[RESPONSABLE]:[SOFTWARE 
VALOR HORA]],5,FALSE)*D.sign_Data[[#This Row],[TIEMPO (HORAS)]],0)</f>
        <v>21107.733873691319</v>
      </c>
      <c r="R220" s="42">
        <f>IFERROR(+VLOOKUP(M220,D.sign_Lista_Data[[RESPONSABLE]:[SOFTWARE 
VALOR HORA]],8,FALSE)*D.sign_Data[[#This Row],[TIEMPO (HORAS)]],0)</f>
        <v>17054.274435719919</v>
      </c>
      <c r="S220" s="99">
        <v>0</v>
      </c>
      <c r="T220" s="99">
        <v>0</v>
      </c>
      <c r="U220" s="3">
        <f t="shared" si="7"/>
        <v>139479.13090312958</v>
      </c>
      <c r="V220" s="100">
        <f>D.sign_Data[[#This Row],[TIEMPO (HORAS)]]*Gastos_Operativos[[#Totals],[GASTOS HORA]]</f>
        <v>138947.38536155201</v>
      </c>
      <c r="W220" s="3">
        <f>+D.sign_Data[[#This Row],[COSTO 
DIRECTO ($COP)]]+D.sign_Data[[#This Row],[PRORRATEO GASTOS ($COP)]]</f>
        <v>278426.51626468159</v>
      </c>
      <c r="X220" s="101">
        <v>0.1</v>
      </c>
      <c r="Y220" s="15">
        <f>+D.sign_Data[[#This Row],[COSTOS OPERACIONALES ($COP)]]*D.sign_Data[[#This Row],[DESFASE (%)]]</f>
        <v>27842.65162646816</v>
      </c>
      <c r="Z220" s="101">
        <v>0.2</v>
      </c>
      <c r="AA220" s="15">
        <f>+((D.sign_Data[[#This Row],[COSTOS OPERACIONALES ($COP)]]/(100%-D.sign_Data[[#This Row],[UTILIDAD (%)]])))-D.sign_Data[[#This Row],[COSTOS OPERACIONALES ($COP)]]</f>
        <v>69606.629066170368</v>
      </c>
      <c r="AB220" s="3">
        <f>+D.sign_Data[[#This Row],[COSTOS OPERACIONALES ($COP)]]+D.sign_Data[[#This Row],[DESFASE ($COP)]]+D.sign_Data[[#This Row],[UTILIDAD ($COP)]]</f>
        <v>375875.79695732013</v>
      </c>
      <c r="AC220" s="101">
        <v>0.05</v>
      </c>
      <c r="AD220" s="15">
        <f>+D.sign_Data[[#This Row],[VALOR NETO ($COP)]]/(100%-D.sign_Data[[#This Row],[MARGEN DE NEGOCIACIÓN (%)]])-D.sign_Data[[#This Row],[VALOR NETO ($COP)]]</f>
        <v>19782.93668196426</v>
      </c>
      <c r="AE220" s="15">
        <f>+(D.sign_Data[[#This Row],[VALOR NETO ($COP)]]+D.sign_Data[[#This Row],[NEGOCIACIÓN ($COP)]])*1%</f>
        <v>3956.587336392844</v>
      </c>
      <c r="AF220" s="15">
        <f>+(D.sign_Data[[#This Row],[VALOR NETO ($COP)]]+D.sign_Data[[#This Row],[NEGOCIACIÓN ($COP)]])*1%</f>
        <v>3956.587336392844</v>
      </c>
      <c r="AG220" s="3">
        <f>+D.sign_Data[[#This Row],[VALOR NETO ($COP)]]+D.sign_Data[[#This Row],[NEGOCIACIÓN ($COP)]]+D.sign_Data[[#This Row],[ICA ($COP)]]+D.sign_Data[[#This Row],[4 * 1000 ($COP)]]</f>
        <v>403571.90831207007</v>
      </c>
    </row>
    <row r="221" spans="1:33" ht="60" hidden="1" customHeight="1" x14ac:dyDescent="0.25">
      <c r="A221" s="14"/>
      <c r="B221" s="87" t="s">
        <v>493</v>
      </c>
      <c r="C221" s="182" t="s">
        <v>601</v>
      </c>
      <c r="D221" s="189" t="str">
        <f>VLOOKUP(D.sign_Data[[#This Row],[CÓDIGO]],Descripciones[[CÓDIGO]:[NOMBRE DE SERVICIO]],3,FALSE)</f>
        <v>D1. Parcelaciones y Condominios</v>
      </c>
      <c r="E221" s="87" t="s">
        <v>497</v>
      </c>
      <c r="F221" s="88" t="s">
        <v>602</v>
      </c>
      <c r="G221" s="88" t="s">
        <v>573</v>
      </c>
      <c r="H221" s="104" t="s">
        <v>552</v>
      </c>
      <c r="I221" s="89">
        <v>1</v>
      </c>
      <c r="J221" s="88" t="s">
        <v>605</v>
      </c>
      <c r="K221" s="102"/>
      <c r="L221" s="88" t="s">
        <v>577</v>
      </c>
      <c r="M221" s="89" t="s">
        <v>381</v>
      </c>
      <c r="N221" s="90">
        <v>1</v>
      </c>
      <c r="O221" s="27">
        <f>IFERROR(+VLOOKUP(M221,D.sign_Lista_Data[[RESPONSABLE]:[SOFTWARE 
VALOR HORA]],3,FALSE),"0")</f>
        <v>20263.424518743668</v>
      </c>
      <c r="P221" s="3">
        <f t="shared" ref="P221:P284" si="8">+O221*N221</f>
        <v>20263.424518743668</v>
      </c>
      <c r="Q221" s="11">
        <f>IFERROR(+VLOOKUP(M221,D.sign_Lista_Data[[RESPONSABLE]:[SOFTWARE 
VALOR HORA]],5,FALSE)*D.sign_Data[[#This Row],[TIEMPO (HORAS)]],0)</f>
        <v>4221.5467747382636</v>
      </c>
      <c r="R221" s="42">
        <f>IFERROR(+VLOOKUP(M221,D.sign_Lista_Data[[RESPONSABLE]:[SOFTWARE 
VALOR HORA]],8,FALSE)*D.sign_Data[[#This Row],[TIEMPO (HORAS)]],0)</f>
        <v>3410.8548871439834</v>
      </c>
      <c r="S221" s="99">
        <v>0</v>
      </c>
      <c r="T221" s="99">
        <v>0</v>
      </c>
      <c r="U221" s="3">
        <f t="shared" ref="U221:U284" si="9">SUM(P221:T221)</f>
        <v>27895.826180625918</v>
      </c>
      <c r="V221" s="100">
        <f>D.sign_Data[[#This Row],[TIEMPO (HORAS)]]*Gastos_Operativos[[#Totals],[GASTOS HORA]]</f>
        <v>27789.477072310401</v>
      </c>
      <c r="W221" s="3">
        <f>+D.sign_Data[[#This Row],[COSTO 
DIRECTO ($COP)]]+D.sign_Data[[#This Row],[PRORRATEO GASTOS ($COP)]]</f>
        <v>55685.303252936319</v>
      </c>
      <c r="X221" s="101">
        <v>0.1</v>
      </c>
      <c r="Y221" s="15">
        <f>+D.sign_Data[[#This Row],[COSTOS OPERACIONALES ($COP)]]*D.sign_Data[[#This Row],[DESFASE (%)]]</f>
        <v>5568.5303252936319</v>
      </c>
      <c r="Z221" s="101">
        <v>0.2</v>
      </c>
      <c r="AA221" s="15">
        <f>+((D.sign_Data[[#This Row],[COSTOS OPERACIONALES ($COP)]]/(100%-D.sign_Data[[#This Row],[UTILIDAD (%)]])))-D.sign_Data[[#This Row],[COSTOS OPERACIONALES ($COP)]]</f>
        <v>13921.325813234078</v>
      </c>
      <c r="AB221" s="3">
        <f>+D.sign_Data[[#This Row],[COSTOS OPERACIONALES ($COP)]]+D.sign_Data[[#This Row],[DESFASE ($COP)]]+D.sign_Data[[#This Row],[UTILIDAD ($COP)]]</f>
        <v>75175.159391464025</v>
      </c>
      <c r="AC221" s="101">
        <v>0.05</v>
      </c>
      <c r="AD221" s="15">
        <f>+D.sign_Data[[#This Row],[VALOR NETO ($COP)]]/(100%-D.sign_Data[[#This Row],[MARGEN DE NEGOCIACIÓN (%)]])-D.sign_Data[[#This Row],[VALOR NETO ($COP)]]</f>
        <v>3956.5873363928404</v>
      </c>
      <c r="AE221" s="15">
        <f>+(D.sign_Data[[#This Row],[VALOR NETO ($COP)]]+D.sign_Data[[#This Row],[NEGOCIACIÓN ($COP)]])*1%</f>
        <v>791.31746727856864</v>
      </c>
      <c r="AF221" s="15">
        <f>+(D.sign_Data[[#This Row],[VALOR NETO ($COP)]]+D.sign_Data[[#This Row],[NEGOCIACIÓN ($COP)]])*1%</f>
        <v>791.31746727856864</v>
      </c>
      <c r="AG221" s="3">
        <f>+D.sign_Data[[#This Row],[VALOR NETO ($COP)]]+D.sign_Data[[#This Row],[NEGOCIACIÓN ($COP)]]+D.sign_Data[[#This Row],[ICA ($COP)]]+D.sign_Data[[#This Row],[4 * 1000 ($COP)]]</f>
        <v>80714.381662414002</v>
      </c>
    </row>
    <row r="222" spans="1:33" ht="60" hidden="1" customHeight="1" x14ac:dyDescent="0.25">
      <c r="A222" s="14"/>
      <c r="B222" s="87" t="s">
        <v>493</v>
      </c>
      <c r="C222" s="182" t="s">
        <v>601</v>
      </c>
      <c r="D222" s="189" t="str">
        <f>VLOOKUP(D.sign_Data[[#This Row],[CÓDIGO]],Descripciones[[CÓDIGO]:[NOMBRE DE SERVICIO]],3,FALSE)</f>
        <v>D1. Parcelaciones y Condominios</v>
      </c>
      <c r="E222" s="87" t="s">
        <v>497</v>
      </c>
      <c r="F222" s="88" t="s">
        <v>602</v>
      </c>
      <c r="G222" s="88" t="s">
        <v>573</v>
      </c>
      <c r="H222" s="104" t="s">
        <v>552</v>
      </c>
      <c r="I222" s="89">
        <v>1</v>
      </c>
      <c r="J222" s="88" t="s">
        <v>605</v>
      </c>
      <c r="K222" s="102"/>
      <c r="L222" s="88" t="s">
        <v>606</v>
      </c>
      <c r="M222" s="89" t="s">
        <v>381</v>
      </c>
      <c r="N222" s="90">
        <v>1</v>
      </c>
      <c r="O222" s="27">
        <f>IFERROR(+VLOOKUP(M222,D.sign_Lista_Data[[RESPONSABLE]:[SOFTWARE 
VALOR HORA]],3,FALSE),"0")</f>
        <v>20263.424518743668</v>
      </c>
      <c r="P222" s="3">
        <f t="shared" si="8"/>
        <v>20263.424518743668</v>
      </c>
      <c r="Q222" s="11">
        <f>IFERROR(+VLOOKUP(M222,D.sign_Lista_Data[[RESPONSABLE]:[SOFTWARE 
VALOR HORA]],5,FALSE)*D.sign_Data[[#This Row],[TIEMPO (HORAS)]],0)</f>
        <v>4221.5467747382636</v>
      </c>
      <c r="R222" s="42">
        <f>IFERROR(+VLOOKUP(M222,D.sign_Lista_Data[[RESPONSABLE]:[SOFTWARE 
VALOR HORA]],8,FALSE)*D.sign_Data[[#This Row],[TIEMPO (HORAS)]],0)</f>
        <v>3410.8548871439834</v>
      </c>
      <c r="S222" s="99">
        <v>0</v>
      </c>
      <c r="T222" s="99">
        <v>0</v>
      </c>
      <c r="U222" s="3">
        <f t="shared" si="9"/>
        <v>27895.826180625918</v>
      </c>
      <c r="V222" s="100">
        <f>D.sign_Data[[#This Row],[TIEMPO (HORAS)]]*Gastos_Operativos[[#Totals],[GASTOS HORA]]</f>
        <v>27789.477072310401</v>
      </c>
      <c r="W222" s="3">
        <f>+D.sign_Data[[#This Row],[COSTO 
DIRECTO ($COP)]]+D.sign_Data[[#This Row],[PRORRATEO GASTOS ($COP)]]</f>
        <v>55685.303252936319</v>
      </c>
      <c r="X222" s="101">
        <v>0.1</v>
      </c>
      <c r="Y222" s="15">
        <f>+D.sign_Data[[#This Row],[COSTOS OPERACIONALES ($COP)]]*D.sign_Data[[#This Row],[DESFASE (%)]]</f>
        <v>5568.5303252936319</v>
      </c>
      <c r="Z222" s="101">
        <v>0.2</v>
      </c>
      <c r="AA222" s="15">
        <f>+((D.sign_Data[[#This Row],[COSTOS OPERACIONALES ($COP)]]/(100%-D.sign_Data[[#This Row],[UTILIDAD (%)]])))-D.sign_Data[[#This Row],[COSTOS OPERACIONALES ($COP)]]</f>
        <v>13921.325813234078</v>
      </c>
      <c r="AB222" s="3">
        <f>+D.sign_Data[[#This Row],[COSTOS OPERACIONALES ($COP)]]+D.sign_Data[[#This Row],[DESFASE ($COP)]]+D.sign_Data[[#This Row],[UTILIDAD ($COP)]]</f>
        <v>75175.159391464025</v>
      </c>
      <c r="AC222" s="101">
        <v>0.05</v>
      </c>
      <c r="AD222" s="15">
        <f>+D.sign_Data[[#This Row],[VALOR NETO ($COP)]]/(100%-D.sign_Data[[#This Row],[MARGEN DE NEGOCIACIÓN (%)]])-D.sign_Data[[#This Row],[VALOR NETO ($COP)]]</f>
        <v>3956.5873363928404</v>
      </c>
      <c r="AE222" s="15">
        <f>+(D.sign_Data[[#This Row],[VALOR NETO ($COP)]]+D.sign_Data[[#This Row],[NEGOCIACIÓN ($COP)]])*1%</f>
        <v>791.31746727856864</v>
      </c>
      <c r="AF222" s="15">
        <f>+(D.sign_Data[[#This Row],[VALOR NETO ($COP)]]+D.sign_Data[[#This Row],[NEGOCIACIÓN ($COP)]])*1%</f>
        <v>791.31746727856864</v>
      </c>
      <c r="AG222" s="3">
        <f>+D.sign_Data[[#This Row],[VALOR NETO ($COP)]]+D.sign_Data[[#This Row],[NEGOCIACIÓN ($COP)]]+D.sign_Data[[#This Row],[ICA ($COP)]]+D.sign_Data[[#This Row],[4 * 1000 ($COP)]]</f>
        <v>80714.381662414002</v>
      </c>
    </row>
    <row r="223" spans="1:33" ht="60" hidden="1" customHeight="1" x14ac:dyDescent="0.25">
      <c r="A223" s="14"/>
      <c r="B223" s="87" t="s">
        <v>493</v>
      </c>
      <c r="C223" s="182" t="s">
        <v>601</v>
      </c>
      <c r="D223" s="189" t="str">
        <f>VLOOKUP(D.sign_Data[[#This Row],[CÓDIGO]],Descripciones[[CÓDIGO]:[NOMBRE DE SERVICIO]],3,FALSE)</f>
        <v>D1. Parcelaciones y Condominios</v>
      </c>
      <c r="E223" s="87" t="s">
        <v>497</v>
      </c>
      <c r="F223" s="88" t="s">
        <v>602</v>
      </c>
      <c r="G223" s="88" t="s">
        <v>573</v>
      </c>
      <c r="H223" s="104" t="s">
        <v>552</v>
      </c>
      <c r="I223" s="89">
        <v>1</v>
      </c>
      <c r="J223" s="88" t="s">
        <v>605</v>
      </c>
      <c r="K223" s="102"/>
      <c r="L223" s="88" t="s">
        <v>579</v>
      </c>
      <c r="M223" s="89" t="s">
        <v>381</v>
      </c>
      <c r="N223" s="90">
        <v>1</v>
      </c>
      <c r="O223" s="27">
        <f>IFERROR(+VLOOKUP(M223,D.sign_Lista_Data[[RESPONSABLE]:[SOFTWARE 
VALOR HORA]],3,FALSE),"0")</f>
        <v>20263.424518743668</v>
      </c>
      <c r="P223" s="3">
        <f t="shared" si="8"/>
        <v>20263.424518743668</v>
      </c>
      <c r="Q223" s="11">
        <f>IFERROR(+VLOOKUP(M223,D.sign_Lista_Data[[RESPONSABLE]:[SOFTWARE 
VALOR HORA]],5,FALSE)*D.sign_Data[[#This Row],[TIEMPO (HORAS)]],0)</f>
        <v>4221.5467747382636</v>
      </c>
      <c r="R223" s="42">
        <f>IFERROR(+VLOOKUP(M223,D.sign_Lista_Data[[RESPONSABLE]:[SOFTWARE 
VALOR HORA]],8,FALSE)*D.sign_Data[[#This Row],[TIEMPO (HORAS)]],0)</f>
        <v>3410.8548871439834</v>
      </c>
      <c r="S223" s="99">
        <v>0</v>
      </c>
      <c r="T223" s="99">
        <v>0</v>
      </c>
      <c r="U223" s="3">
        <f t="shared" si="9"/>
        <v>27895.826180625918</v>
      </c>
      <c r="V223" s="100">
        <f>D.sign_Data[[#This Row],[TIEMPO (HORAS)]]*Gastos_Operativos[[#Totals],[GASTOS HORA]]</f>
        <v>27789.477072310401</v>
      </c>
      <c r="W223" s="3">
        <f>+D.sign_Data[[#This Row],[COSTO 
DIRECTO ($COP)]]+D.sign_Data[[#This Row],[PRORRATEO GASTOS ($COP)]]</f>
        <v>55685.303252936319</v>
      </c>
      <c r="X223" s="101">
        <v>0.1</v>
      </c>
      <c r="Y223" s="15">
        <f>+D.sign_Data[[#This Row],[COSTOS OPERACIONALES ($COP)]]*D.sign_Data[[#This Row],[DESFASE (%)]]</f>
        <v>5568.5303252936319</v>
      </c>
      <c r="Z223" s="101">
        <v>0.2</v>
      </c>
      <c r="AA223" s="15">
        <f>+((D.sign_Data[[#This Row],[COSTOS OPERACIONALES ($COP)]]/(100%-D.sign_Data[[#This Row],[UTILIDAD (%)]])))-D.sign_Data[[#This Row],[COSTOS OPERACIONALES ($COP)]]</f>
        <v>13921.325813234078</v>
      </c>
      <c r="AB223" s="3">
        <f>+D.sign_Data[[#This Row],[COSTOS OPERACIONALES ($COP)]]+D.sign_Data[[#This Row],[DESFASE ($COP)]]+D.sign_Data[[#This Row],[UTILIDAD ($COP)]]</f>
        <v>75175.159391464025</v>
      </c>
      <c r="AC223" s="101">
        <v>0.05</v>
      </c>
      <c r="AD223" s="15">
        <f>+D.sign_Data[[#This Row],[VALOR NETO ($COP)]]/(100%-D.sign_Data[[#This Row],[MARGEN DE NEGOCIACIÓN (%)]])-D.sign_Data[[#This Row],[VALOR NETO ($COP)]]</f>
        <v>3956.5873363928404</v>
      </c>
      <c r="AE223" s="15">
        <f>+(D.sign_Data[[#This Row],[VALOR NETO ($COP)]]+D.sign_Data[[#This Row],[NEGOCIACIÓN ($COP)]])*1%</f>
        <v>791.31746727856864</v>
      </c>
      <c r="AF223" s="15">
        <f>+(D.sign_Data[[#This Row],[VALOR NETO ($COP)]]+D.sign_Data[[#This Row],[NEGOCIACIÓN ($COP)]])*1%</f>
        <v>791.31746727856864</v>
      </c>
      <c r="AG223" s="3">
        <f>+D.sign_Data[[#This Row],[VALOR NETO ($COP)]]+D.sign_Data[[#This Row],[NEGOCIACIÓN ($COP)]]+D.sign_Data[[#This Row],[ICA ($COP)]]+D.sign_Data[[#This Row],[4 * 1000 ($COP)]]</f>
        <v>80714.381662414002</v>
      </c>
    </row>
    <row r="224" spans="1:33" ht="60" hidden="1" customHeight="1" x14ac:dyDescent="0.25">
      <c r="A224" s="14"/>
      <c r="B224" s="87" t="s">
        <v>493</v>
      </c>
      <c r="C224" s="182" t="s">
        <v>601</v>
      </c>
      <c r="D224" s="189" t="str">
        <f>VLOOKUP(D.sign_Data[[#This Row],[CÓDIGO]],Descripciones[[CÓDIGO]:[NOMBRE DE SERVICIO]],3,FALSE)</f>
        <v>D1. Parcelaciones y Condominios</v>
      </c>
      <c r="E224" s="87" t="s">
        <v>497</v>
      </c>
      <c r="F224" s="88" t="s">
        <v>602</v>
      </c>
      <c r="G224" s="88" t="s">
        <v>573</v>
      </c>
      <c r="H224" s="104" t="s">
        <v>552</v>
      </c>
      <c r="I224" s="89">
        <v>1</v>
      </c>
      <c r="J224" s="88" t="s">
        <v>605</v>
      </c>
      <c r="K224" s="102"/>
      <c r="L224" s="88" t="s">
        <v>570</v>
      </c>
      <c r="M224" s="89" t="s">
        <v>381</v>
      </c>
      <c r="N224" s="90">
        <v>0.6</v>
      </c>
      <c r="O224" s="27">
        <f>IFERROR(+VLOOKUP(M224,D.sign_Lista_Data[[RESPONSABLE]:[SOFTWARE 
VALOR HORA]],3,FALSE),"0")</f>
        <v>20263.424518743668</v>
      </c>
      <c r="P224" s="3">
        <f t="shared" si="8"/>
        <v>12158.054711246201</v>
      </c>
      <c r="Q224" s="11">
        <f>IFERROR(+VLOOKUP(M224,D.sign_Lista_Data[[RESPONSABLE]:[SOFTWARE 
VALOR HORA]],5,FALSE)*D.sign_Data[[#This Row],[TIEMPO (HORAS)]],0)</f>
        <v>2532.9280648429581</v>
      </c>
      <c r="R224" s="42">
        <f>IFERROR(+VLOOKUP(M224,D.sign_Lista_Data[[RESPONSABLE]:[SOFTWARE 
VALOR HORA]],8,FALSE)*D.sign_Data[[#This Row],[TIEMPO (HORAS)]],0)</f>
        <v>2046.51293228639</v>
      </c>
      <c r="S224" s="99">
        <v>0</v>
      </c>
      <c r="T224" s="99">
        <v>0</v>
      </c>
      <c r="U224" s="3">
        <f t="shared" si="9"/>
        <v>16737.495708375547</v>
      </c>
      <c r="V224" s="100">
        <f>D.sign_Data[[#This Row],[TIEMPO (HORAS)]]*Gastos_Operativos[[#Totals],[GASTOS HORA]]</f>
        <v>16673.686243386241</v>
      </c>
      <c r="W224" s="3">
        <f>+D.sign_Data[[#This Row],[COSTO 
DIRECTO ($COP)]]+D.sign_Data[[#This Row],[PRORRATEO GASTOS ($COP)]]</f>
        <v>33411.181951761784</v>
      </c>
      <c r="X224" s="101">
        <v>0.1</v>
      </c>
      <c r="Y224" s="15">
        <f>+D.sign_Data[[#This Row],[COSTOS OPERACIONALES ($COP)]]*D.sign_Data[[#This Row],[DESFASE (%)]]</f>
        <v>3341.1181951761787</v>
      </c>
      <c r="Z224" s="101">
        <v>0.2</v>
      </c>
      <c r="AA224" s="15">
        <f>+((D.sign_Data[[#This Row],[COSTOS OPERACIONALES ($COP)]]/(100%-D.sign_Data[[#This Row],[UTILIDAD (%)]])))-D.sign_Data[[#This Row],[COSTOS OPERACIONALES ($COP)]]</f>
        <v>8352.7954879404424</v>
      </c>
      <c r="AB224" s="3">
        <f>+D.sign_Data[[#This Row],[COSTOS OPERACIONALES ($COP)]]+D.sign_Data[[#This Row],[DESFASE ($COP)]]+D.sign_Data[[#This Row],[UTILIDAD ($COP)]]</f>
        <v>45105.095634878402</v>
      </c>
      <c r="AC224" s="101">
        <v>0.05</v>
      </c>
      <c r="AD224" s="15">
        <f>+D.sign_Data[[#This Row],[VALOR NETO ($COP)]]/(100%-D.sign_Data[[#This Row],[MARGEN DE NEGOCIACIÓN (%)]])-D.sign_Data[[#This Row],[VALOR NETO ($COP)]]</f>
        <v>2373.9524018357042</v>
      </c>
      <c r="AE224" s="15">
        <f>+(D.sign_Data[[#This Row],[VALOR NETO ($COP)]]+D.sign_Data[[#This Row],[NEGOCIACIÓN ($COP)]])*1%</f>
        <v>474.79048036714107</v>
      </c>
      <c r="AF224" s="15">
        <f>+(D.sign_Data[[#This Row],[VALOR NETO ($COP)]]+D.sign_Data[[#This Row],[NEGOCIACIÓN ($COP)]])*1%</f>
        <v>474.79048036714107</v>
      </c>
      <c r="AG224" s="3">
        <f>+D.sign_Data[[#This Row],[VALOR NETO ($COP)]]+D.sign_Data[[#This Row],[NEGOCIACIÓN ($COP)]]+D.sign_Data[[#This Row],[ICA ($COP)]]+D.sign_Data[[#This Row],[4 * 1000 ($COP)]]</f>
        <v>48428.628997448388</v>
      </c>
    </row>
    <row r="225" spans="1:33" ht="60" hidden="1" customHeight="1" x14ac:dyDescent="0.25">
      <c r="A225" s="14"/>
      <c r="B225" s="87" t="s">
        <v>493</v>
      </c>
      <c r="C225" s="182" t="s">
        <v>601</v>
      </c>
      <c r="D225" s="189" t="str">
        <f>VLOOKUP(D.sign_Data[[#This Row],[CÓDIGO]],Descripciones[[CÓDIGO]:[NOMBRE DE SERVICIO]],3,FALSE)</f>
        <v>D1. Parcelaciones y Condominios</v>
      </c>
      <c r="E225" s="87" t="s">
        <v>497</v>
      </c>
      <c r="F225" s="88" t="s">
        <v>602</v>
      </c>
      <c r="G225" s="88" t="s">
        <v>573</v>
      </c>
      <c r="H225" s="104" t="s">
        <v>552</v>
      </c>
      <c r="I225" s="89">
        <v>1</v>
      </c>
      <c r="J225" s="88" t="s">
        <v>605</v>
      </c>
      <c r="K225" s="102"/>
      <c r="L225" s="88" t="s">
        <v>483</v>
      </c>
      <c r="M225" s="89" t="s">
        <v>381</v>
      </c>
      <c r="N225" s="90">
        <v>0.1</v>
      </c>
      <c r="O225" s="27">
        <f>IFERROR(+VLOOKUP(M225,D.sign_Lista_Data[[RESPONSABLE]:[SOFTWARE 
VALOR HORA]],3,FALSE),"0")</f>
        <v>20263.424518743668</v>
      </c>
      <c r="P225" s="3">
        <f t="shared" si="8"/>
        <v>2026.3424518743668</v>
      </c>
      <c r="Q225" s="11">
        <f>IFERROR(+VLOOKUP(M225,D.sign_Lista_Data[[RESPONSABLE]:[SOFTWARE 
VALOR HORA]],5,FALSE)*D.sign_Data[[#This Row],[TIEMPO (HORAS)]],0)</f>
        <v>422.15467747382638</v>
      </c>
      <c r="R225" s="42">
        <f>IFERROR(+VLOOKUP(M225,D.sign_Lista_Data[[RESPONSABLE]:[SOFTWARE 
VALOR HORA]],8,FALSE)*D.sign_Data[[#This Row],[TIEMPO (HORAS)]],0)</f>
        <v>341.08548871439837</v>
      </c>
      <c r="S225" s="99">
        <v>0</v>
      </c>
      <c r="T225" s="99">
        <v>0</v>
      </c>
      <c r="U225" s="3">
        <f t="shared" si="9"/>
        <v>2789.5826180625913</v>
      </c>
      <c r="V225" s="100">
        <f>D.sign_Data[[#This Row],[TIEMPO (HORAS)]]*Gastos_Operativos[[#Totals],[GASTOS HORA]]</f>
        <v>2778.9477072310401</v>
      </c>
      <c r="W225" s="3">
        <f>+D.sign_Data[[#This Row],[COSTO 
DIRECTO ($COP)]]+D.sign_Data[[#This Row],[PRORRATEO GASTOS ($COP)]]</f>
        <v>5568.5303252936319</v>
      </c>
      <c r="X225" s="101">
        <v>0.1</v>
      </c>
      <c r="Y225" s="15">
        <f>+D.sign_Data[[#This Row],[COSTOS OPERACIONALES ($COP)]]*D.sign_Data[[#This Row],[DESFASE (%)]]</f>
        <v>556.85303252936319</v>
      </c>
      <c r="Z225" s="101">
        <v>0.2</v>
      </c>
      <c r="AA225" s="15">
        <f>+((D.sign_Data[[#This Row],[COSTOS OPERACIONALES ($COP)]]/(100%-D.sign_Data[[#This Row],[UTILIDAD (%)]])))-D.sign_Data[[#This Row],[COSTOS OPERACIONALES ($COP)]]</f>
        <v>1392.132581323408</v>
      </c>
      <c r="AB225" s="3">
        <f>+D.sign_Data[[#This Row],[COSTOS OPERACIONALES ($COP)]]+D.sign_Data[[#This Row],[DESFASE ($COP)]]+D.sign_Data[[#This Row],[UTILIDAD ($COP)]]</f>
        <v>7517.5159391464031</v>
      </c>
      <c r="AC225" s="101">
        <v>0.05</v>
      </c>
      <c r="AD225" s="15">
        <f>+D.sign_Data[[#This Row],[VALOR NETO ($COP)]]/(100%-D.sign_Data[[#This Row],[MARGEN DE NEGOCIACIÓN (%)]])-D.sign_Data[[#This Row],[VALOR NETO ($COP)]]</f>
        <v>395.65873363928495</v>
      </c>
      <c r="AE225" s="15">
        <f>+(D.sign_Data[[#This Row],[VALOR NETO ($COP)]]+D.sign_Data[[#This Row],[NEGOCIACIÓN ($COP)]])*1%</f>
        <v>79.131746727856878</v>
      </c>
      <c r="AF225" s="15">
        <f>+(D.sign_Data[[#This Row],[VALOR NETO ($COP)]]+D.sign_Data[[#This Row],[NEGOCIACIÓN ($COP)]])*1%</f>
        <v>79.131746727856878</v>
      </c>
      <c r="AG225" s="3">
        <f>+D.sign_Data[[#This Row],[VALOR NETO ($COP)]]+D.sign_Data[[#This Row],[NEGOCIACIÓN ($COP)]]+D.sign_Data[[#This Row],[ICA ($COP)]]+D.sign_Data[[#This Row],[4 * 1000 ($COP)]]</f>
        <v>8071.4381662414016</v>
      </c>
    </row>
    <row r="226" spans="1:33" ht="60" hidden="1" customHeight="1" x14ac:dyDescent="0.25">
      <c r="A226" s="14"/>
      <c r="B226" s="87" t="s">
        <v>493</v>
      </c>
      <c r="C226" s="182" t="s">
        <v>601</v>
      </c>
      <c r="D226" s="189" t="str">
        <f>VLOOKUP(D.sign_Data[[#This Row],[CÓDIGO]],Descripciones[[CÓDIGO]:[NOMBRE DE SERVICIO]],3,FALSE)</f>
        <v>D1. Parcelaciones y Condominios</v>
      </c>
      <c r="E226" s="87" t="s">
        <v>497</v>
      </c>
      <c r="F226" s="88" t="s">
        <v>602</v>
      </c>
      <c r="G226" s="88" t="s">
        <v>573</v>
      </c>
      <c r="H226" s="104" t="s">
        <v>552</v>
      </c>
      <c r="I226" s="89">
        <v>1</v>
      </c>
      <c r="J226" s="88" t="s">
        <v>605</v>
      </c>
      <c r="K226" s="102"/>
      <c r="L226" s="88" t="s">
        <v>572</v>
      </c>
      <c r="M226" s="89" t="s">
        <v>381</v>
      </c>
      <c r="N226" s="90">
        <v>0.1</v>
      </c>
      <c r="O226" s="27">
        <f>IFERROR(+VLOOKUP(M226,D.sign_Lista_Data[[RESPONSABLE]:[SOFTWARE 
VALOR HORA]],3,FALSE),"0")</f>
        <v>20263.424518743668</v>
      </c>
      <c r="P226" s="3">
        <f t="shared" si="8"/>
        <v>2026.3424518743668</v>
      </c>
      <c r="Q226" s="11">
        <f>IFERROR(+VLOOKUP(M226,D.sign_Lista_Data[[RESPONSABLE]:[SOFTWARE 
VALOR HORA]],5,FALSE)*D.sign_Data[[#This Row],[TIEMPO (HORAS)]],0)</f>
        <v>422.15467747382638</v>
      </c>
      <c r="R226" s="42">
        <f>IFERROR(+VLOOKUP(M226,D.sign_Lista_Data[[RESPONSABLE]:[SOFTWARE 
VALOR HORA]],8,FALSE)*D.sign_Data[[#This Row],[TIEMPO (HORAS)]],0)</f>
        <v>341.08548871439837</v>
      </c>
      <c r="S226" s="99">
        <v>0</v>
      </c>
      <c r="T226" s="99">
        <v>0</v>
      </c>
      <c r="U226" s="3">
        <f t="shared" si="9"/>
        <v>2789.5826180625913</v>
      </c>
      <c r="V226" s="100">
        <f>D.sign_Data[[#This Row],[TIEMPO (HORAS)]]*Gastos_Operativos[[#Totals],[GASTOS HORA]]</f>
        <v>2778.9477072310401</v>
      </c>
      <c r="W226" s="3">
        <f>+D.sign_Data[[#This Row],[COSTO 
DIRECTO ($COP)]]+D.sign_Data[[#This Row],[PRORRATEO GASTOS ($COP)]]</f>
        <v>5568.5303252936319</v>
      </c>
      <c r="X226" s="101">
        <v>0.1</v>
      </c>
      <c r="Y226" s="15">
        <f>+D.sign_Data[[#This Row],[COSTOS OPERACIONALES ($COP)]]*D.sign_Data[[#This Row],[DESFASE (%)]]</f>
        <v>556.85303252936319</v>
      </c>
      <c r="Z226" s="101">
        <v>0.2</v>
      </c>
      <c r="AA226" s="15">
        <f>+((D.sign_Data[[#This Row],[COSTOS OPERACIONALES ($COP)]]/(100%-D.sign_Data[[#This Row],[UTILIDAD (%)]])))-D.sign_Data[[#This Row],[COSTOS OPERACIONALES ($COP)]]</f>
        <v>1392.132581323408</v>
      </c>
      <c r="AB226" s="3">
        <f>+D.sign_Data[[#This Row],[COSTOS OPERACIONALES ($COP)]]+D.sign_Data[[#This Row],[DESFASE ($COP)]]+D.sign_Data[[#This Row],[UTILIDAD ($COP)]]</f>
        <v>7517.5159391464031</v>
      </c>
      <c r="AC226" s="101">
        <v>0.05</v>
      </c>
      <c r="AD226" s="15">
        <f>+D.sign_Data[[#This Row],[VALOR NETO ($COP)]]/(100%-D.sign_Data[[#This Row],[MARGEN DE NEGOCIACIÓN (%)]])-D.sign_Data[[#This Row],[VALOR NETO ($COP)]]</f>
        <v>395.65873363928495</v>
      </c>
      <c r="AE226" s="15">
        <f>+(D.sign_Data[[#This Row],[VALOR NETO ($COP)]]+D.sign_Data[[#This Row],[NEGOCIACIÓN ($COP)]])*1%</f>
        <v>79.131746727856878</v>
      </c>
      <c r="AF226" s="15">
        <f>+(D.sign_Data[[#This Row],[VALOR NETO ($COP)]]+D.sign_Data[[#This Row],[NEGOCIACIÓN ($COP)]])*1%</f>
        <v>79.131746727856878</v>
      </c>
      <c r="AG226" s="3">
        <f>+D.sign_Data[[#This Row],[VALOR NETO ($COP)]]+D.sign_Data[[#This Row],[NEGOCIACIÓN ($COP)]]+D.sign_Data[[#This Row],[ICA ($COP)]]+D.sign_Data[[#This Row],[4 * 1000 ($COP)]]</f>
        <v>8071.4381662414016</v>
      </c>
    </row>
    <row r="227" spans="1:33" ht="60" hidden="1" customHeight="1" x14ac:dyDescent="0.25">
      <c r="A227" s="14"/>
      <c r="B227" s="87" t="s">
        <v>493</v>
      </c>
      <c r="C227" s="182" t="s">
        <v>601</v>
      </c>
      <c r="D227" s="189" t="str">
        <f>VLOOKUP(D.sign_Data[[#This Row],[CÓDIGO]],Descripciones[[CÓDIGO]:[NOMBRE DE SERVICIO]],3,FALSE)</f>
        <v>D1. Parcelaciones y Condominios</v>
      </c>
      <c r="E227" s="87" t="s">
        <v>497</v>
      </c>
      <c r="F227" s="88" t="s">
        <v>602</v>
      </c>
      <c r="G227" s="88" t="s">
        <v>580</v>
      </c>
      <c r="H227" s="104" t="s">
        <v>552</v>
      </c>
      <c r="I227" s="89">
        <v>1</v>
      </c>
      <c r="J227" s="88" t="s">
        <v>607</v>
      </c>
      <c r="K227" s="102"/>
      <c r="L227" s="88" t="s">
        <v>608</v>
      </c>
      <c r="M227" s="89" t="s">
        <v>381</v>
      </c>
      <c r="N227" s="90">
        <v>2</v>
      </c>
      <c r="O227" s="27">
        <f>IFERROR(+VLOOKUP(M227,D.sign_Lista_Data[[RESPONSABLE]:[SOFTWARE 
VALOR HORA]],3,FALSE),"0")</f>
        <v>20263.424518743668</v>
      </c>
      <c r="P227" s="3">
        <f t="shared" si="8"/>
        <v>40526.849037487336</v>
      </c>
      <c r="Q227" s="11">
        <f>IFERROR(+VLOOKUP(M227,D.sign_Lista_Data[[RESPONSABLE]:[SOFTWARE 
VALOR HORA]],5,FALSE)*D.sign_Data[[#This Row],[TIEMPO (HORAS)]],0)</f>
        <v>8443.0935494765272</v>
      </c>
      <c r="R227" s="42">
        <f>IFERROR(+VLOOKUP(M227,D.sign_Lista_Data[[RESPONSABLE]:[SOFTWARE 
VALOR HORA]],8,FALSE)*D.sign_Data[[#This Row],[TIEMPO (HORAS)]],0)</f>
        <v>6821.7097742879669</v>
      </c>
      <c r="S227" s="99">
        <v>0</v>
      </c>
      <c r="T227" s="99">
        <v>0</v>
      </c>
      <c r="U227" s="3">
        <f t="shared" si="9"/>
        <v>55791.652361251836</v>
      </c>
      <c r="V227" s="100">
        <f>D.sign_Data[[#This Row],[TIEMPO (HORAS)]]*Gastos_Operativos[[#Totals],[GASTOS HORA]]</f>
        <v>55578.954144620802</v>
      </c>
      <c r="W227" s="3">
        <f>+D.sign_Data[[#This Row],[COSTO 
DIRECTO ($COP)]]+D.sign_Data[[#This Row],[PRORRATEO GASTOS ($COP)]]</f>
        <v>111370.60650587264</v>
      </c>
      <c r="X227" s="101">
        <v>0.1</v>
      </c>
      <c r="Y227" s="15">
        <f>+D.sign_Data[[#This Row],[COSTOS OPERACIONALES ($COP)]]*D.sign_Data[[#This Row],[DESFASE (%)]]</f>
        <v>11137.060650587264</v>
      </c>
      <c r="Z227" s="101">
        <v>0.2</v>
      </c>
      <c r="AA227" s="15">
        <f>+((D.sign_Data[[#This Row],[COSTOS OPERACIONALES ($COP)]]/(100%-D.sign_Data[[#This Row],[UTILIDAD (%)]])))-D.sign_Data[[#This Row],[COSTOS OPERACIONALES ($COP)]]</f>
        <v>27842.651626468156</v>
      </c>
      <c r="AB227" s="3">
        <f>+D.sign_Data[[#This Row],[COSTOS OPERACIONALES ($COP)]]+D.sign_Data[[#This Row],[DESFASE ($COP)]]+D.sign_Data[[#This Row],[UTILIDAD ($COP)]]</f>
        <v>150350.31878292805</v>
      </c>
      <c r="AC227" s="101">
        <v>0.05</v>
      </c>
      <c r="AD227" s="15">
        <f>+D.sign_Data[[#This Row],[VALOR NETO ($COP)]]/(100%-D.sign_Data[[#This Row],[MARGEN DE NEGOCIACIÓN (%)]])-D.sign_Data[[#This Row],[VALOR NETO ($COP)]]</f>
        <v>7913.1746727856807</v>
      </c>
      <c r="AE227" s="15">
        <f>+(D.sign_Data[[#This Row],[VALOR NETO ($COP)]]+D.sign_Data[[#This Row],[NEGOCIACIÓN ($COP)]])*1%</f>
        <v>1582.6349345571373</v>
      </c>
      <c r="AF227" s="15">
        <f>+(D.sign_Data[[#This Row],[VALOR NETO ($COP)]]+D.sign_Data[[#This Row],[NEGOCIACIÓN ($COP)]])*1%</f>
        <v>1582.6349345571373</v>
      </c>
      <c r="AG227" s="3">
        <f>+D.sign_Data[[#This Row],[VALOR NETO ($COP)]]+D.sign_Data[[#This Row],[NEGOCIACIÓN ($COP)]]+D.sign_Data[[#This Row],[ICA ($COP)]]+D.sign_Data[[#This Row],[4 * 1000 ($COP)]]</f>
        <v>161428.763324828</v>
      </c>
    </row>
    <row r="228" spans="1:33" ht="60" hidden="1" customHeight="1" x14ac:dyDescent="0.25">
      <c r="A228" s="14"/>
      <c r="B228" s="87" t="s">
        <v>493</v>
      </c>
      <c r="C228" s="182" t="s">
        <v>601</v>
      </c>
      <c r="D228" s="189" t="str">
        <f>VLOOKUP(D.sign_Data[[#This Row],[CÓDIGO]],Descripciones[[CÓDIGO]:[NOMBRE DE SERVICIO]],3,FALSE)</f>
        <v>D1. Parcelaciones y Condominios</v>
      </c>
      <c r="E228" s="87" t="s">
        <v>497</v>
      </c>
      <c r="F228" s="88" t="s">
        <v>602</v>
      </c>
      <c r="G228" s="88" t="s">
        <v>580</v>
      </c>
      <c r="H228" s="104" t="s">
        <v>552</v>
      </c>
      <c r="I228" s="89">
        <v>1</v>
      </c>
      <c r="J228" s="88" t="s">
        <v>607</v>
      </c>
      <c r="K228" s="102"/>
      <c r="L228" s="88" t="s">
        <v>609</v>
      </c>
      <c r="M228" s="89" t="s">
        <v>381</v>
      </c>
      <c r="N228" s="90">
        <v>0.5</v>
      </c>
      <c r="O228" s="27">
        <f>IFERROR(+VLOOKUP(M228,D.sign_Lista_Data[[RESPONSABLE]:[SOFTWARE 
VALOR HORA]],3,FALSE),"0")</f>
        <v>20263.424518743668</v>
      </c>
      <c r="P228" s="3">
        <f t="shared" si="8"/>
        <v>10131.712259371834</v>
      </c>
      <c r="Q228" s="11">
        <f>IFERROR(+VLOOKUP(M228,D.sign_Lista_Data[[RESPONSABLE]:[SOFTWARE 
VALOR HORA]],5,FALSE)*D.sign_Data[[#This Row],[TIEMPO (HORAS)]],0)</f>
        <v>2110.7733873691318</v>
      </c>
      <c r="R228" s="42">
        <f>IFERROR(+VLOOKUP(M228,D.sign_Lista_Data[[RESPONSABLE]:[SOFTWARE 
VALOR HORA]],8,FALSE)*D.sign_Data[[#This Row],[TIEMPO (HORAS)]],0)</f>
        <v>1705.4274435719917</v>
      </c>
      <c r="S228" s="99">
        <v>0</v>
      </c>
      <c r="T228" s="99">
        <v>0</v>
      </c>
      <c r="U228" s="3">
        <f t="shared" si="9"/>
        <v>13947.913090312959</v>
      </c>
      <c r="V228" s="100">
        <f>D.sign_Data[[#This Row],[TIEMPO (HORAS)]]*Gastos_Operativos[[#Totals],[GASTOS HORA]]</f>
        <v>13894.738536155201</v>
      </c>
      <c r="W228" s="3">
        <f>+D.sign_Data[[#This Row],[COSTO 
DIRECTO ($COP)]]+D.sign_Data[[#This Row],[PRORRATEO GASTOS ($COP)]]</f>
        <v>27842.65162646816</v>
      </c>
      <c r="X228" s="101">
        <v>0.1</v>
      </c>
      <c r="Y228" s="15">
        <f>+D.sign_Data[[#This Row],[COSTOS OPERACIONALES ($COP)]]*D.sign_Data[[#This Row],[DESFASE (%)]]</f>
        <v>2784.265162646816</v>
      </c>
      <c r="Z228" s="101">
        <v>0.2</v>
      </c>
      <c r="AA228" s="15">
        <f>+((D.sign_Data[[#This Row],[COSTOS OPERACIONALES ($COP)]]/(100%-D.sign_Data[[#This Row],[UTILIDAD (%)]])))-D.sign_Data[[#This Row],[COSTOS OPERACIONALES ($COP)]]</f>
        <v>6960.662906617039</v>
      </c>
      <c r="AB228" s="3">
        <f>+D.sign_Data[[#This Row],[COSTOS OPERACIONALES ($COP)]]+D.sign_Data[[#This Row],[DESFASE ($COP)]]+D.sign_Data[[#This Row],[UTILIDAD ($COP)]]</f>
        <v>37587.579695732013</v>
      </c>
      <c r="AC228" s="101">
        <v>0.05</v>
      </c>
      <c r="AD228" s="15">
        <f>+D.sign_Data[[#This Row],[VALOR NETO ($COP)]]/(100%-D.sign_Data[[#This Row],[MARGEN DE NEGOCIACIÓN (%)]])-D.sign_Data[[#This Row],[VALOR NETO ($COP)]]</f>
        <v>1978.2936681964202</v>
      </c>
      <c r="AE228" s="15">
        <f>+(D.sign_Data[[#This Row],[VALOR NETO ($COP)]]+D.sign_Data[[#This Row],[NEGOCIACIÓN ($COP)]])*1%</f>
        <v>395.65873363928432</v>
      </c>
      <c r="AF228" s="15">
        <f>+(D.sign_Data[[#This Row],[VALOR NETO ($COP)]]+D.sign_Data[[#This Row],[NEGOCIACIÓN ($COP)]])*1%</f>
        <v>395.65873363928432</v>
      </c>
      <c r="AG228" s="3">
        <f>+D.sign_Data[[#This Row],[VALOR NETO ($COP)]]+D.sign_Data[[#This Row],[NEGOCIACIÓN ($COP)]]+D.sign_Data[[#This Row],[ICA ($COP)]]+D.sign_Data[[#This Row],[4 * 1000 ($COP)]]</f>
        <v>40357.190831207001</v>
      </c>
    </row>
    <row r="229" spans="1:33" ht="60" hidden="1" customHeight="1" x14ac:dyDescent="0.25">
      <c r="A229" s="14"/>
      <c r="B229" s="87" t="s">
        <v>493</v>
      </c>
      <c r="C229" s="182" t="s">
        <v>601</v>
      </c>
      <c r="D229" s="189" t="str">
        <f>VLOOKUP(D.sign_Data[[#This Row],[CÓDIGO]],Descripciones[[CÓDIGO]:[NOMBRE DE SERVICIO]],3,FALSE)</f>
        <v>D1. Parcelaciones y Condominios</v>
      </c>
      <c r="E229" s="87" t="s">
        <v>497</v>
      </c>
      <c r="F229" s="88" t="s">
        <v>602</v>
      </c>
      <c r="G229" s="88" t="s">
        <v>580</v>
      </c>
      <c r="H229" s="104" t="s">
        <v>552</v>
      </c>
      <c r="I229" s="89">
        <v>1</v>
      </c>
      <c r="J229" s="88" t="s">
        <v>607</v>
      </c>
      <c r="K229" s="102"/>
      <c r="L229" s="88" t="s">
        <v>610</v>
      </c>
      <c r="M229" s="89" t="s">
        <v>381</v>
      </c>
      <c r="N229" s="90">
        <v>1.5</v>
      </c>
      <c r="O229" s="27">
        <f>IFERROR(+VLOOKUP(M229,D.sign_Lista_Data[[RESPONSABLE]:[SOFTWARE 
VALOR HORA]],3,FALSE),"0")</f>
        <v>20263.424518743668</v>
      </c>
      <c r="P229" s="3">
        <f t="shared" si="8"/>
        <v>30395.136778115502</v>
      </c>
      <c r="Q229" s="11">
        <f>IFERROR(+VLOOKUP(M229,D.sign_Lista_Data[[RESPONSABLE]:[SOFTWARE 
VALOR HORA]],5,FALSE)*D.sign_Data[[#This Row],[TIEMPO (HORAS)]],0)</f>
        <v>6332.3201621073949</v>
      </c>
      <c r="R229" s="42">
        <f>IFERROR(+VLOOKUP(M229,D.sign_Lista_Data[[RESPONSABLE]:[SOFTWARE 
VALOR HORA]],8,FALSE)*D.sign_Data[[#This Row],[TIEMPO (HORAS)]],0)</f>
        <v>5116.2823307159751</v>
      </c>
      <c r="S229" s="99">
        <v>0</v>
      </c>
      <c r="T229" s="99">
        <v>0</v>
      </c>
      <c r="U229" s="3">
        <f t="shared" si="9"/>
        <v>41843.739270938873</v>
      </c>
      <c r="V229" s="100">
        <f>D.sign_Data[[#This Row],[TIEMPO (HORAS)]]*Gastos_Operativos[[#Totals],[GASTOS HORA]]</f>
        <v>41684.215608465602</v>
      </c>
      <c r="W229" s="3">
        <f>+D.sign_Data[[#This Row],[COSTO 
DIRECTO ($COP)]]+D.sign_Data[[#This Row],[PRORRATEO GASTOS ($COP)]]</f>
        <v>83527.954879404482</v>
      </c>
      <c r="X229" s="101">
        <v>0.1</v>
      </c>
      <c r="Y229" s="15">
        <f>+D.sign_Data[[#This Row],[COSTOS OPERACIONALES ($COP)]]*D.sign_Data[[#This Row],[DESFASE (%)]]</f>
        <v>8352.7954879404479</v>
      </c>
      <c r="Z229" s="101">
        <v>0.2</v>
      </c>
      <c r="AA229" s="15">
        <f>+((D.sign_Data[[#This Row],[COSTOS OPERACIONALES ($COP)]]/(100%-D.sign_Data[[#This Row],[UTILIDAD (%)]])))-D.sign_Data[[#This Row],[COSTOS OPERACIONALES ($COP)]]</f>
        <v>20881.988719851113</v>
      </c>
      <c r="AB229" s="3">
        <f>+D.sign_Data[[#This Row],[COSTOS OPERACIONALES ($COP)]]+D.sign_Data[[#This Row],[DESFASE ($COP)]]+D.sign_Data[[#This Row],[UTILIDAD ($COP)]]</f>
        <v>112762.73908719604</v>
      </c>
      <c r="AC229" s="101">
        <v>0.05</v>
      </c>
      <c r="AD229" s="15">
        <f>+D.sign_Data[[#This Row],[VALOR NETO ($COP)]]/(100%-D.sign_Data[[#This Row],[MARGEN DE NEGOCIACIÓN (%)]])-D.sign_Data[[#This Row],[VALOR NETO ($COP)]]</f>
        <v>5934.8810045892751</v>
      </c>
      <c r="AE229" s="15">
        <f>+(D.sign_Data[[#This Row],[VALOR NETO ($COP)]]+D.sign_Data[[#This Row],[NEGOCIACIÓN ($COP)]])*1%</f>
        <v>1186.9762009178532</v>
      </c>
      <c r="AF229" s="15">
        <f>+(D.sign_Data[[#This Row],[VALOR NETO ($COP)]]+D.sign_Data[[#This Row],[NEGOCIACIÓN ($COP)]])*1%</f>
        <v>1186.9762009178532</v>
      </c>
      <c r="AG229" s="3">
        <f>+D.sign_Data[[#This Row],[VALOR NETO ($COP)]]+D.sign_Data[[#This Row],[NEGOCIACIÓN ($COP)]]+D.sign_Data[[#This Row],[ICA ($COP)]]+D.sign_Data[[#This Row],[4 * 1000 ($COP)]]</f>
        <v>121071.57249362102</v>
      </c>
    </row>
    <row r="230" spans="1:33" ht="60" hidden="1" customHeight="1" x14ac:dyDescent="0.25">
      <c r="A230" s="14"/>
      <c r="B230" s="87" t="s">
        <v>493</v>
      </c>
      <c r="C230" s="182" t="s">
        <v>601</v>
      </c>
      <c r="D230" s="189" t="str">
        <f>VLOOKUP(D.sign_Data[[#This Row],[CÓDIGO]],Descripciones[[CÓDIGO]:[NOMBRE DE SERVICIO]],3,FALSE)</f>
        <v>D1. Parcelaciones y Condominios</v>
      </c>
      <c r="E230" s="87" t="s">
        <v>497</v>
      </c>
      <c r="F230" s="88" t="s">
        <v>602</v>
      </c>
      <c r="G230" s="88" t="s">
        <v>580</v>
      </c>
      <c r="H230" s="104" t="s">
        <v>552</v>
      </c>
      <c r="I230" s="89">
        <v>1</v>
      </c>
      <c r="J230" s="88" t="s">
        <v>607</v>
      </c>
      <c r="K230" s="102"/>
      <c r="L230" s="88" t="s">
        <v>611</v>
      </c>
      <c r="M230" s="89" t="s">
        <v>381</v>
      </c>
      <c r="N230" s="90">
        <v>2</v>
      </c>
      <c r="O230" s="27">
        <f>IFERROR(+VLOOKUP(M230,D.sign_Lista_Data[[RESPONSABLE]:[SOFTWARE 
VALOR HORA]],3,FALSE),"0")</f>
        <v>20263.424518743668</v>
      </c>
      <c r="P230" s="3">
        <f t="shared" si="8"/>
        <v>40526.849037487336</v>
      </c>
      <c r="Q230" s="11">
        <f>IFERROR(+VLOOKUP(M230,D.sign_Lista_Data[[RESPONSABLE]:[SOFTWARE 
VALOR HORA]],5,FALSE)*D.sign_Data[[#This Row],[TIEMPO (HORAS)]],0)</f>
        <v>8443.0935494765272</v>
      </c>
      <c r="R230" s="42">
        <f>IFERROR(+VLOOKUP(M230,D.sign_Lista_Data[[RESPONSABLE]:[SOFTWARE 
VALOR HORA]],8,FALSE)*D.sign_Data[[#This Row],[TIEMPO (HORAS)]],0)</f>
        <v>6821.7097742879669</v>
      </c>
      <c r="S230" s="99">
        <v>0</v>
      </c>
      <c r="T230" s="99">
        <v>0</v>
      </c>
      <c r="U230" s="3">
        <f t="shared" si="9"/>
        <v>55791.652361251836</v>
      </c>
      <c r="V230" s="100">
        <f>D.sign_Data[[#This Row],[TIEMPO (HORAS)]]*Gastos_Operativos[[#Totals],[GASTOS HORA]]</f>
        <v>55578.954144620802</v>
      </c>
      <c r="W230" s="3">
        <f>+D.sign_Data[[#This Row],[COSTO 
DIRECTO ($COP)]]+D.sign_Data[[#This Row],[PRORRATEO GASTOS ($COP)]]</f>
        <v>111370.60650587264</v>
      </c>
      <c r="X230" s="101">
        <v>0.1</v>
      </c>
      <c r="Y230" s="15">
        <f>+D.sign_Data[[#This Row],[COSTOS OPERACIONALES ($COP)]]*D.sign_Data[[#This Row],[DESFASE (%)]]</f>
        <v>11137.060650587264</v>
      </c>
      <c r="Z230" s="101">
        <v>0.2</v>
      </c>
      <c r="AA230" s="15">
        <f>+((D.sign_Data[[#This Row],[COSTOS OPERACIONALES ($COP)]]/(100%-D.sign_Data[[#This Row],[UTILIDAD (%)]])))-D.sign_Data[[#This Row],[COSTOS OPERACIONALES ($COP)]]</f>
        <v>27842.651626468156</v>
      </c>
      <c r="AB230" s="3">
        <f>+D.sign_Data[[#This Row],[COSTOS OPERACIONALES ($COP)]]+D.sign_Data[[#This Row],[DESFASE ($COP)]]+D.sign_Data[[#This Row],[UTILIDAD ($COP)]]</f>
        <v>150350.31878292805</v>
      </c>
      <c r="AC230" s="101">
        <v>0.05</v>
      </c>
      <c r="AD230" s="15">
        <f>+D.sign_Data[[#This Row],[VALOR NETO ($COP)]]/(100%-D.sign_Data[[#This Row],[MARGEN DE NEGOCIACIÓN (%)]])-D.sign_Data[[#This Row],[VALOR NETO ($COP)]]</f>
        <v>7913.1746727856807</v>
      </c>
      <c r="AE230" s="15">
        <f>+(D.sign_Data[[#This Row],[VALOR NETO ($COP)]]+D.sign_Data[[#This Row],[NEGOCIACIÓN ($COP)]])*1%</f>
        <v>1582.6349345571373</v>
      </c>
      <c r="AF230" s="15">
        <f>+(D.sign_Data[[#This Row],[VALOR NETO ($COP)]]+D.sign_Data[[#This Row],[NEGOCIACIÓN ($COP)]])*1%</f>
        <v>1582.6349345571373</v>
      </c>
      <c r="AG230" s="3">
        <f>+D.sign_Data[[#This Row],[VALOR NETO ($COP)]]+D.sign_Data[[#This Row],[NEGOCIACIÓN ($COP)]]+D.sign_Data[[#This Row],[ICA ($COP)]]+D.sign_Data[[#This Row],[4 * 1000 ($COP)]]</f>
        <v>161428.763324828</v>
      </c>
    </row>
    <row r="231" spans="1:33" ht="60" hidden="1" customHeight="1" x14ac:dyDescent="0.25">
      <c r="A231" s="14"/>
      <c r="B231" s="87" t="s">
        <v>493</v>
      </c>
      <c r="C231" s="182" t="s">
        <v>601</v>
      </c>
      <c r="D231" s="189" t="str">
        <f>VLOOKUP(D.sign_Data[[#This Row],[CÓDIGO]],Descripciones[[CÓDIGO]:[NOMBRE DE SERVICIO]],3,FALSE)</f>
        <v>D1. Parcelaciones y Condominios</v>
      </c>
      <c r="E231" s="87" t="s">
        <v>497</v>
      </c>
      <c r="F231" s="88" t="s">
        <v>602</v>
      </c>
      <c r="G231" s="88" t="s">
        <v>580</v>
      </c>
      <c r="H231" s="104" t="s">
        <v>552</v>
      </c>
      <c r="I231" s="89">
        <v>1</v>
      </c>
      <c r="J231" s="88" t="s">
        <v>607</v>
      </c>
      <c r="K231" s="102"/>
      <c r="L231" s="88" t="s">
        <v>612</v>
      </c>
      <c r="M231" s="89" t="s">
        <v>381</v>
      </c>
      <c r="N231" s="90">
        <v>2</v>
      </c>
      <c r="O231" s="27">
        <f>IFERROR(+VLOOKUP(M231,D.sign_Lista_Data[[RESPONSABLE]:[SOFTWARE 
VALOR HORA]],3,FALSE),"0")</f>
        <v>20263.424518743668</v>
      </c>
      <c r="P231" s="3">
        <f t="shared" si="8"/>
        <v>40526.849037487336</v>
      </c>
      <c r="Q231" s="11">
        <f>IFERROR(+VLOOKUP(M231,D.sign_Lista_Data[[RESPONSABLE]:[SOFTWARE 
VALOR HORA]],5,FALSE)*D.sign_Data[[#This Row],[TIEMPO (HORAS)]],0)</f>
        <v>8443.0935494765272</v>
      </c>
      <c r="R231" s="42">
        <f>IFERROR(+VLOOKUP(M231,D.sign_Lista_Data[[RESPONSABLE]:[SOFTWARE 
VALOR HORA]],8,FALSE)*D.sign_Data[[#This Row],[TIEMPO (HORAS)]],0)</f>
        <v>6821.7097742879669</v>
      </c>
      <c r="S231" s="99">
        <v>0</v>
      </c>
      <c r="T231" s="99">
        <v>0</v>
      </c>
      <c r="U231" s="3">
        <f t="shared" si="9"/>
        <v>55791.652361251836</v>
      </c>
      <c r="V231" s="100">
        <f>D.sign_Data[[#This Row],[TIEMPO (HORAS)]]*Gastos_Operativos[[#Totals],[GASTOS HORA]]</f>
        <v>55578.954144620802</v>
      </c>
      <c r="W231" s="3">
        <f>+D.sign_Data[[#This Row],[COSTO 
DIRECTO ($COP)]]+D.sign_Data[[#This Row],[PRORRATEO GASTOS ($COP)]]</f>
        <v>111370.60650587264</v>
      </c>
      <c r="X231" s="101">
        <v>0.1</v>
      </c>
      <c r="Y231" s="15">
        <f>+D.sign_Data[[#This Row],[COSTOS OPERACIONALES ($COP)]]*D.sign_Data[[#This Row],[DESFASE (%)]]</f>
        <v>11137.060650587264</v>
      </c>
      <c r="Z231" s="101">
        <v>0.2</v>
      </c>
      <c r="AA231" s="15">
        <f>+((D.sign_Data[[#This Row],[COSTOS OPERACIONALES ($COP)]]/(100%-D.sign_Data[[#This Row],[UTILIDAD (%)]])))-D.sign_Data[[#This Row],[COSTOS OPERACIONALES ($COP)]]</f>
        <v>27842.651626468156</v>
      </c>
      <c r="AB231" s="3">
        <f>+D.sign_Data[[#This Row],[COSTOS OPERACIONALES ($COP)]]+D.sign_Data[[#This Row],[DESFASE ($COP)]]+D.sign_Data[[#This Row],[UTILIDAD ($COP)]]</f>
        <v>150350.31878292805</v>
      </c>
      <c r="AC231" s="101">
        <v>0.05</v>
      </c>
      <c r="AD231" s="15">
        <f>+D.sign_Data[[#This Row],[VALOR NETO ($COP)]]/(100%-D.sign_Data[[#This Row],[MARGEN DE NEGOCIACIÓN (%)]])-D.sign_Data[[#This Row],[VALOR NETO ($COP)]]</f>
        <v>7913.1746727856807</v>
      </c>
      <c r="AE231" s="15">
        <f>+(D.sign_Data[[#This Row],[VALOR NETO ($COP)]]+D.sign_Data[[#This Row],[NEGOCIACIÓN ($COP)]])*1%</f>
        <v>1582.6349345571373</v>
      </c>
      <c r="AF231" s="15">
        <f>+(D.sign_Data[[#This Row],[VALOR NETO ($COP)]]+D.sign_Data[[#This Row],[NEGOCIACIÓN ($COP)]])*1%</f>
        <v>1582.6349345571373</v>
      </c>
      <c r="AG231" s="3">
        <f>+D.sign_Data[[#This Row],[VALOR NETO ($COP)]]+D.sign_Data[[#This Row],[NEGOCIACIÓN ($COP)]]+D.sign_Data[[#This Row],[ICA ($COP)]]+D.sign_Data[[#This Row],[4 * 1000 ($COP)]]</f>
        <v>161428.763324828</v>
      </c>
    </row>
    <row r="232" spans="1:33" ht="60" hidden="1" customHeight="1" x14ac:dyDescent="0.25">
      <c r="A232" s="14"/>
      <c r="B232" s="87" t="s">
        <v>493</v>
      </c>
      <c r="C232" s="182" t="s">
        <v>601</v>
      </c>
      <c r="D232" s="189" t="str">
        <f>VLOOKUP(D.sign_Data[[#This Row],[CÓDIGO]],Descripciones[[CÓDIGO]:[NOMBRE DE SERVICIO]],3,FALSE)</f>
        <v>D1. Parcelaciones y Condominios</v>
      </c>
      <c r="E232" s="87" t="s">
        <v>497</v>
      </c>
      <c r="F232" s="88" t="s">
        <v>602</v>
      </c>
      <c r="G232" s="88" t="s">
        <v>580</v>
      </c>
      <c r="H232" s="104" t="s">
        <v>552</v>
      </c>
      <c r="I232" s="89">
        <v>1</v>
      </c>
      <c r="J232" s="88" t="s">
        <v>607</v>
      </c>
      <c r="K232" s="102"/>
      <c r="L232" s="88" t="s">
        <v>613</v>
      </c>
      <c r="M232" s="89" t="s">
        <v>381</v>
      </c>
      <c r="N232" s="90">
        <v>0.5</v>
      </c>
      <c r="O232" s="27">
        <f>IFERROR(+VLOOKUP(M232,D.sign_Lista_Data[[RESPONSABLE]:[SOFTWARE 
VALOR HORA]],3,FALSE),"0")</f>
        <v>20263.424518743668</v>
      </c>
      <c r="P232" s="3">
        <f t="shared" si="8"/>
        <v>10131.712259371834</v>
      </c>
      <c r="Q232" s="11">
        <f>IFERROR(+VLOOKUP(M232,D.sign_Lista_Data[[RESPONSABLE]:[SOFTWARE 
VALOR HORA]],5,FALSE)*D.sign_Data[[#This Row],[TIEMPO (HORAS)]],0)</f>
        <v>2110.7733873691318</v>
      </c>
      <c r="R232" s="42">
        <f>IFERROR(+VLOOKUP(M232,D.sign_Lista_Data[[RESPONSABLE]:[SOFTWARE 
VALOR HORA]],8,FALSE)*D.sign_Data[[#This Row],[TIEMPO (HORAS)]],0)</f>
        <v>1705.4274435719917</v>
      </c>
      <c r="S232" s="99">
        <v>0</v>
      </c>
      <c r="T232" s="99">
        <v>0</v>
      </c>
      <c r="U232" s="3">
        <f t="shared" si="9"/>
        <v>13947.913090312959</v>
      </c>
      <c r="V232" s="100">
        <f>D.sign_Data[[#This Row],[TIEMPO (HORAS)]]*Gastos_Operativos[[#Totals],[GASTOS HORA]]</f>
        <v>13894.738536155201</v>
      </c>
      <c r="W232" s="3">
        <f>+D.sign_Data[[#This Row],[COSTO 
DIRECTO ($COP)]]+D.sign_Data[[#This Row],[PRORRATEO GASTOS ($COP)]]</f>
        <v>27842.65162646816</v>
      </c>
      <c r="X232" s="101">
        <v>0.1</v>
      </c>
      <c r="Y232" s="15">
        <f>+D.sign_Data[[#This Row],[COSTOS OPERACIONALES ($COP)]]*D.sign_Data[[#This Row],[DESFASE (%)]]</f>
        <v>2784.265162646816</v>
      </c>
      <c r="Z232" s="101">
        <v>0.2</v>
      </c>
      <c r="AA232" s="15">
        <f>+((D.sign_Data[[#This Row],[COSTOS OPERACIONALES ($COP)]]/(100%-D.sign_Data[[#This Row],[UTILIDAD (%)]])))-D.sign_Data[[#This Row],[COSTOS OPERACIONALES ($COP)]]</f>
        <v>6960.662906617039</v>
      </c>
      <c r="AB232" s="3">
        <f>+D.sign_Data[[#This Row],[COSTOS OPERACIONALES ($COP)]]+D.sign_Data[[#This Row],[DESFASE ($COP)]]+D.sign_Data[[#This Row],[UTILIDAD ($COP)]]</f>
        <v>37587.579695732013</v>
      </c>
      <c r="AC232" s="101">
        <v>0.05</v>
      </c>
      <c r="AD232" s="15">
        <f>+D.sign_Data[[#This Row],[VALOR NETO ($COP)]]/(100%-D.sign_Data[[#This Row],[MARGEN DE NEGOCIACIÓN (%)]])-D.sign_Data[[#This Row],[VALOR NETO ($COP)]]</f>
        <v>1978.2936681964202</v>
      </c>
      <c r="AE232" s="15">
        <f>+(D.sign_Data[[#This Row],[VALOR NETO ($COP)]]+D.sign_Data[[#This Row],[NEGOCIACIÓN ($COP)]])*1%</f>
        <v>395.65873363928432</v>
      </c>
      <c r="AF232" s="15">
        <f>+(D.sign_Data[[#This Row],[VALOR NETO ($COP)]]+D.sign_Data[[#This Row],[NEGOCIACIÓN ($COP)]])*1%</f>
        <v>395.65873363928432</v>
      </c>
      <c r="AG232" s="3">
        <f>+D.sign_Data[[#This Row],[VALOR NETO ($COP)]]+D.sign_Data[[#This Row],[NEGOCIACIÓN ($COP)]]+D.sign_Data[[#This Row],[ICA ($COP)]]+D.sign_Data[[#This Row],[4 * 1000 ($COP)]]</f>
        <v>40357.190831207001</v>
      </c>
    </row>
    <row r="233" spans="1:33" ht="60" hidden="1" customHeight="1" x14ac:dyDescent="0.25">
      <c r="A233" s="14"/>
      <c r="B233" s="87" t="s">
        <v>493</v>
      </c>
      <c r="C233" s="182" t="s">
        <v>601</v>
      </c>
      <c r="D233" s="189" t="str">
        <f>VLOOKUP(D.sign_Data[[#This Row],[CÓDIGO]],Descripciones[[CÓDIGO]:[NOMBRE DE SERVICIO]],3,FALSE)</f>
        <v>D1. Parcelaciones y Condominios</v>
      </c>
      <c r="E233" s="87" t="s">
        <v>497</v>
      </c>
      <c r="F233" s="88" t="s">
        <v>602</v>
      </c>
      <c r="G233" s="88" t="s">
        <v>580</v>
      </c>
      <c r="H233" s="104" t="s">
        <v>552</v>
      </c>
      <c r="I233" s="89">
        <v>1</v>
      </c>
      <c r="J233" s="88" t="s">
        <v>607</v>
      </c>
      <c r="K233" s="102"/>
      <c r="L233" s="88" t="s">
        <v>579</v>
      </c>
      <c r="M233" s="89" t="s">
        <v>381</v>
      </c>
      <c r="N233" s="90">
        <v>1</v>
      </c>
      <c r="O233" s="27">
        <f>IFERROR(+VLOOKUP(M233,D.sign_Lista_Data[[RESPONSABLE]:[SOFTWARE 
VALOR HORA]],3,FALSE),"0")</f>
        <v>20263.424518743668</v>
      </c>
      <c r="P233" s="3">
        <f t="shared" si="8"/>
        <v>20263.424518743668</v>
      </c>
      <c r="Q233" s="11">
        <f>IFERROR(+VLOOKUP(M233,D.sign_Lista_Data[[RESPONSABLE]:[SOFTWARE 
VALOR HORA]],5,FALSE)*D.sign_Data[[#This Row],[TIEMPO (HORAS)]],0)</f>
        <v>4221.5467747382636</v>
      </c>
      <c r="R233" s="42">
        <f>IFERROR(+VLOOKUP(M233,D.sign_Lista_Data[[RESPONSABLE]:[SOFTWARE 
VALOR HORA]],8,FALSE)*D.sign_Data[[#This Row],[TIEMPO (HORAS)]],0)</f>
        <v>3410.8548871439834</v>
      </c>
      <c r="S233" s="99">
        <v>0</v>
      </c>
      <c r="T233" s="99">
        <v>0</v>
      </c>
      <c r="U233" s="3">
        <f t="shared" si="9"/>
        <v>27895.826180625918</v>
      </c>
      <c r="V233" s="100">
        <f>D.sign_Data[[#This Row],[TIEMPO (HORAS)]]*Gastos_Operativos[[#Totals],[GASTOS HORA]]</f>
        <v>27789.477072310401</v>
      </c>
      <c r="W233" s="3">
        <f>+D.sign_Data[[#This Row],[COSTO 
DIRECTO ($COP)]]+D.sign_Data[[#This Row],[PRORRATEO GASTOS ($COP)]]</f>
        <v>55685.303252936319</v>
      </c>
      <c r="X233" s="101">
        <v>0.1</v>
      </c>
      <c r="Y233" s="15">
        <f>+D.sign_Data[[#This Row],[COSTOS OPERACIONALES ($COP)]]*D.sign_Data[[#This Row],[DESFASE (%)]]</f>
        <v>5568.5303252936319</v>
      </c>
      <c r="Z233" s="101">
        <v>0.2</v>
      </c>
      <c r="AA233" s="15">
        <f>+((D.sign_Data[[#This Row],[COSTOS OPERACIONALES ($COP)]]/(100%-D.sign_Data[[#This Row],[UTILIDAD (%)]])))-D.sign_Data[[#This Row],[COSTOS OPERACIONALES ($COP)]]</f>
        <v>13921.325813234078</v>
      </c>
      <c r="AB233" s="3">
        <f>+D.sign_Data[[#This Row],[COSTOS OPERACIONALES ($COP)]]+D.sign_Data[[#This Row],[DESFASE ($COP)]]+D.sign_Data[[#This Row],[UTILIDAD ($COP)]]</f>
        <v>75175.159391464025</v>
      </c>
      <c r="AC233" s="101">
        <v>0.05</v>
      </c>
      <c r="AD233" s="15">
        <f>+D.sign_Data[[#This Row],[VALOR NETO ($COP)]]/(100%-D.sign_Data[[#This Row],[MARGEN DE NEGOCIACIÓN (%)]])-D.sign_Data[[#This Row],[VALOR NETO ($COP)]]</f>
        <v>3956.5873363928404</v>
      </c>
      <c r="AE233" s="15">
        <f>+(D.sign_Data[[#This Row],[VALOR NETO ($COP)]]+D.sign_Data[[#This Row],[NEGOCIACIÓN ($COP)]])*1%</f>
        <v>791.31746727856864</v>
      </c>
      <c r="AF233" s="15">
        <f>+(D.sign_Data[[#This Row],[VALOR NETO ($COP)]]+D.sign_Data[[#This Row],[NEGOCIACIÓN ($COP)]])*1%</f>
        <v>791.31746727856864</v>
      </c>
      <c r="AG233" s="3">
        <f>+D.sign_Data[[#This Row],[VALOR NETO ($COP)]]+D.sign_Data[[#This Row],[NEGOCIACIÓN ($COP)]]+D.sign_Data[[#This Row],[ICA ($COP)]]+D.sign_Data[[#This Row],[4 * 1000 ($COP)]]</f>
        <v>80714.381662414002</v>
      </c>
    </row>
    <row r="234" spans="1:33" ht="60" hidden="1" customHeight="1" x14ac:dyDescent="0.25">
      <c r="A234" s="14"/>
      <c r="B234" s="87" t="s">
        <v>493</v>
      </c>
      <c r="C234" s="182" t="s">
        <v>601</v>
      </c>
      <c r="D234" s="189" t="str">
        <f>VLOOKUP(D.sign_Data[[#This Row],[CÓDIGO]],Descripciones[[CÓDIGO]:[NOMBRE DE SERVICIO]],3,FALSE)</f>
        <v>D1. Parcelaciones y Condominios</v>
      </c>
      <c r="E234" s="87" t="s">
        <v>497</v>
      </c>
      <c r="F234" s="88" t="s">
        <v>602</v>
      </c>
      <c r="G234" s="88" t="s">
        <v>580</v>
      </c>
      <c r="H234" s="104" t="s">
        <v>552</v>
      </c>
      <c r="I234" s="89">
        <v>1</v>
      </c>
      <c r="J234" s="88" t="s">
        <v>607</v>
      </c>
      <c r="K234" s="102"/>
      <c r="L234" s="88" t="s">
        <v>567</v>
      </c>
      <c r="M234" s="89" t="s">
        <v>381</v>
      </c>
      <c r="N234" s="90">
        <v>0.2</v>
      </c>
      <c r="O234" s="27">
        <f>IFERROR(+VLOOKUP(M234,D.sign_Lista_Data[[RESPONSABLE]:[SOFTWARE 
VALOR HORA]],3,FALSE),"0")</f>
        <v>20263.424518743668</v>
      </c>
      <c r="P234" s="3">
        <f t="shared" si="8"/>
        <v>4052.6849037487336</v>
      </c>
      <c r="Q234" s="11">
        <f>IFERROR(+VLOOKUP(M234,D.sign_Lista_Data[[RESPONSABLE]:[SOFTWARE 
VALOR HORA]],5,FALSE)*D.sign_Data[[#This Row],[TIEMPO (HORAS)]],0)</f>
        <v>844.30935494765276</v>
      </c>
      <c r="R234" s="42">
        <f>IFERROR(+VLOOKUP(M234,D.sign_Lista_Data[[RESPONSABLE]:[SOFTWARE 
VALOR HORA]],8,FALSE)*D.sign_Data[[#This Row],[TIEMPO (HORAS)]],0)</f>
        <v>682.17097742879673</v>
      </c>
      <c r="S234" s="99">
        <v>0</v>
      </c>
      <c r="T234" s="99">
        <v>0</v>
      </c>
      <c r="U234" s="3">
        <f t="shared" si="9"/>
        <v>5579.1652361251827</v>
      </c>
      <c r="V234" s="100">
        <f>D.sign_Data[[#This Row],[TIEMPO (HORAS)]]*Gastos_Operativos[[#Totals],[GASTOS HORA]]</f>
        <v>5557.8954144620802</v>
      </c>
      <c r="W234" s="3">
        <f>+D.sign_Data[[#This Row],[COSTO 
DIRECTO ($COP)]]+D.sign_Data[[#This Row],[PRORRATEO GASTOS ($COP)]]</f>
        <v>11137.060650587264</v>
      </c>
      <c r="X234" s="101">
        <v>0.1</v>
      </c>
      <c r="Y234" s="15">
        <f>+D.sign_Data[[#This Row],[COSTOS OPERACIONALES ($COP)]]*D.sign_Data[[#This Row],[DESFASE (%)]]</f>
        <v>1113.7060650587264</v>
      </c>
      <c r="Z234" s="101">
        <v>0.2</v>
      </c>
      <c r="AA234" s="15">
        <f>+((D.sign_Data[[#This Row],[COSTOS OPERACIONALES ($COP)]]/(100%-D.sign_Data[[#This Row],[UTILIDAD (%)]])))-D.sign_Data[[#This Row],[COSTOS OPERACIONALES ($COP)]]</f>
        <v>2784.265162646816</v>
      </c>
      <c r="AB234" s="3">
        <f>+D.sign_Data[[#This Row],[COSTOS OPERACIONALES ($COP)]]+D.sign_Data[[#This Row],[DESFASE ($COP)]]+D.sign_Data[[#This Row],[UTILIDAD ($COP)]]</f>
        <v>15035.031878292806</v>
      </c>
      <c r="AC234" s="101">
        <v>0.05</v>
      </c>
      <c r="AD234" s="15">
        <f>+D.sign_Data[[#This Row],[VALOR NETO ($COP)]]/(100%-D.sign_Data[[#This Row],[MARGEN DE NEGOCIACIÓN (%)]])-D.sign_Data[[#This Row],[VALOR NETO ($COP)]]</f>
        <v>791.31746727856989</v>
      </c>
      <c r="AE234" s="15">
        <f>+(D.sign_Data[[#This Row],[VALOR NETO ($COP)]]+D.sign_Data[[#This Row],[NEGOCIACIÓN ($COP)]])*1%</f>
        <v>158.26349345571376</v>
      </c>
      <c r="AF234" s="15">
        <f>+(D.sign_Data[[#This Row],[VALOR NETO ($COP)]]+D.sign_Data[[#This Row],[NEGOCIACIÓN ($COP)]])*1%</f>
        <v>158.26349345571376</v>
      </c>
      <c r="AG234" s="3">
        <f>+D.sign_Data[[#This Row],[VALOR NETO ($COP)]]+D.sign_Data[[#This Row],[NEGOCIACIÓN ($COP)]]+D.sign_Data[[#This Row],[ICA ($COP)]]+D.sign_Data[[#This Row],[4 * 1000 ($COP)]]</f>
        <v>16142.876332482803</v>
      </c>
    </row>
    <row r="235" spans="1:33" ht="60" hidden="1" customHeight="1" x14ac:dyDescent="0.25">
      <c r="A235" s="14"/>
      <c r="B235" s="87" t="s">
        <v>493</v>
      </c>
      <c r="C235" s="182" t="s">
        <v>601</v>
      </c>
      <c r="D235" s="189" t="str">
        <f>VLOOKUP(D.sign_Data[[#This Row],[CÓDIGO]],Descripciones[[CÓDIGO]:[NOMBRE DE SERVICIO]],3,FALSE)</f>
        <v>D1. Parcelaciones y Condominios</v>
      </c>
      <c r="E235" s="87" t="s">
        <v>497</v>
      </c>
      <c r="F235" s="88" t="s">
        <v>602</v>
      </c>
      <c r="G235" s="88" t="s">
        <v>580</v>
      </c>
      <c r="H235" s="104" t="s">
        <v>552</v>
      </c>
      <c r="I235" s="89">
        <v>1</v>
      </c>
      <c r="J235" s="88" t="s">
        <v>607</v>
      </c>
      <c r="K235" s="102"/>
      <c r="L235" s="88" t="s">
        <v>604</v>
      </c>
      <c r="M235" s="89" t="s">
        <v>381</v>
      </c>
      <c r="N235" s="90">
        <v>0.5</v>
      </c>
      <c r="O235" s="27">
        <f>IFERROR(+VLOOKUP(M235,D.sign_Lista_Data[[RESPONSABLE]:[SOFTWARE 
VALOR HORA]],3,FALSE),"0")</f>
        <v>20263.424518743668</v>
      </c>
      <c r="P235" s="3">
        <f t="shared" si="8"/>
        <v>10131.712259371834</v>
      </c>
      <c r="Q235" s="11">
        <f>IFERROR(+VLOOKUP(M235,D.sign_Lista_Data[[RESPONSABLE]:[SOFTWARE 
VALOR HORA]],5,FALSE)*D.sign_Data[[#This Row],[TIEMPO (HORAS)]],0)</f>
        <v>2110.7733873691318</v>
      </c>
      <c r="R235" s="42">
        <f>IFERROR(+VLOOKUP(M235,D.sign_Lista_Data[[RESPONSABLE]:[SOFTWARE 
VALOR HORA]],8,FALSE)*D.sign_Data[[#This Row],[TIEMPO (HORAS)]],0)</f>
        <v>1705.4274435719917</v>
      </c>
      <c r="S235" s="99">
        <v>0</v>
      </c>
      <c r="T235" s="99">
        <v>0</v>
      </c>
      <c r="U235" s="3">
        <f t="shared" si="9"/>
        <v>13947.913090312959</v>
      </c>
      <c r="V235" s="100">
        <f>D.sign_Data[[#This Row],[TIEMPO (HORAS)]]*Gastos_Operativos[[#Totals],[GASTOS HORA]]</f>
        <v>13894.738536155201</v>
      </c>
      <c r="W235" s="3">
        <f>+D.sign_Data[[#This Row],[COSTO 
DIRECTO ($COP)]]+D.sign_Data[[#This Row],[PRORRATEO GASTOS ($COP)]]</f>
        <v>27842.65162646816</v>
      </c>
      <c r="X235" s="101">
        <v>0.1</v>
      </c>
      <c r="Y235" s="15">
        <f>+D.sign_Data[[#This Row],[COSTOS OPERACIONALES ($COP)]]*D.sign_Data[[#This Row],[DESFASE (%)]]</f>
        <v>2784.265162646816</v>
      </c>
      <c r="Z235" s="101">
        <v>0.2</v>
      </c>
      <c r="AA235" s="15">
        <f>+((D.sign_Data[[#This Row],[COSTOS OPERACIONALES ($COP)]]/(100%-D.sign_Data[[#This Row],[UTILIDAD (%)]])))-D.sign_Data[[#This Row],[COSTOS OPERACIONALES ($COP)]]</f>
        <v>6960.662906617039</v>
      </c>
      <c r="AB235" s="3">
        <f>+D.sign_Data[[#This Row],[COSTOS OPERACIONALES ($COP)]]+D.sign_Data[[#This Row],[DESFASE ($COP)]]+D.sign_Data[[#This Row],[UTILIDAD ($COP)]]</f>
        <v>37587.579695732013</v>
      </c>
      <c r="AC235" s="101">
        <v>0.05</v>
      </c>
      <c r="AD235" s="15">
        <f>+D.sign_Data[[#This Row],[VALOR NETO ($COP)]]/(100%-D.sign_Data[[#This Row],[MARGEN DE NEGOCIACIÓN (%)]])-D.sign_Data[[#This Row],[VALOR NETO ($COP)]]</f>
        <v>1978.2936681964202</v>
      </c>
      <c r="AE235" s="15">
        <f>+(D.sign_Data[[#This Row],[VALOR NETO ($COP)]]+D.sign_Data[[#This Row],[NEGOCIACIÓN ($COP)]])*1%</f>
        <v>395.65873363928432</v>
      </c>
      <c r="AF235" s="15">
        <f>+(D.sign_Data[[#This Row],[VALOR NETO ($COP)]]+D.sign_Data[[#This Row],[NEGOCIACIÓN ($COP)]])*1%</f>
        <v>395.65873363928432</v>
      </c>
      <c r="AG235" s="3">
        <f>+D.sign_Data[[#This Row],[VALOR NETO ($COP)]]+D.sign_Data[[#This Row],[NEGOCIACIÓN ($COP)]]+D.sign_Data[[#This Row],[ICA ($COP)]]+D.sign_Data[[#This Row],[4 * 1000 ($COP)]]</f>
        <v>40357.190831207001</v>
      </c>
    </row>
    <row r="236" spans="1:33" ht="60" hidden="1" customHeight="1" x14ac:dyDescent="0.25">
      <c r="A236" s="14"/>
      <c r="B236" s="87" t="s">
        <v>493</v>
      </c>
      <c r="C236" s="182" t="s">
        <v>601</v>
      </c>
      <c r="D236" s="189" t="str">
        <f>VLOOKUP(D.sign_Data[[#This Row],[CÓDIGO]],Descripciones[[CÓDIGO]:[NOMBRE DE SERVICIO]],3,FALSE)</f>
        <v>D1. Parcelaciones y Condominios</v>
      </c>
      <c r="E236" s="87" t="s">
        <v>497</v>
      </c>
      <c r="F236" s="88" t="s">
        <v>602</v>
      </c>
      <c r="G236" s="88" t="s">
        <v>580</v>
      </c>
      <c r="H236" s="104" t="s">
        <v>552</v>
      </c>
      <c r="I236" s="89">
        <v>1</v>
      </c>
      <c r="J236" s="88" t="s">
        <v>607</v>
      </c>
      <c r="K236" s="102"/>
      <c r="L236" s="88" t="s">
        <v>570</v>
      </c>
      <c r="M236" s="89" t="s">
        <v>381</v>
      </c>
      <c r="N236" s="90">
        <v>1</v>
      </c>
      <c r="O236" s="27">
        <f>IFERROR(+VLOOKUP(M236,D.sign_Lista_Data[[RESPONSABLE]:[SOFTWARE 
VALOR HORA]],3,FALSE),"0")</f>
        <v>20263.424518743668</v>
      </c>
      <c r="P236" s="3">
        <f t="shared" si="8"/>
        <v>20263.424518743668</v>
      </c>
      <c r="Q236" s="11">
        <f>IFERROR(+VLOOKUP(M236,D.sign_Lista_Data[[RESPONSABLE]:[SOFTWARE 
VALOR HORA]],5,FALSE)*D.sign_Data[[#This Row],[TIEMPO (HORAS)]],0)</f>
        <v>4221.5467747382636</v>
      </c>
      <c r="R236" s="42">
        <f>IFERROR(+VLOOKUP(M236,D.sign_Lista_Data[[RESPONSABLE]:[SOFTWARE 
VALOR HORA]],8,FALSE)*D.sign_Data[[#This Row],[TIEMPO (HORAS)]],0)</f>
        <v>3410.8548871439834</v>
      </c>
      <c r="S236" s="99">
        <v>0</v>
      </c>
      <c r="T236" s="99">
        <v>0</v>
      </c>
      <c r="U236" s="3">
        <f t="shared" si="9"/>
        <v>27895.826180625918</v>
      </c>
      <c r="V236" s="100">
        <f>D.sign_Data[[#This Row],[TIEMPO (HORAS)]]*Gastos_Operativos[[#Totals],[GASTOS HORA]]</f>
        <v>27789.477072310401</v>
      </c>
      <c r="W236" s="3">
        <f>+D.sign_Data[[#This Row],[COSTO 
DIRECTO ($COP)]]+D.sign_Data[[#This Row],[PRORRATEO GASTOS ($COP)]]</f>
        <v>55685.303252936319</v>
      </c>
      <c r="X236" s="101">
        <v>0.1</v>
      </c>
      <c r="Y236" s="15">
        <f>+D.sign_Data[[#This Row],[COSTOS OPERACIONALES ($COP)]]*D.sign_Data[[#This Row],[DESFASE (%)]]</f>
        <v>5568.5303252936319</v>
      </c>
      <c r="Z236" s="101">
        <v>0.2</v>
      </c>
      <c r="AA236" s="15">
        <f>+((D.sign_Data[[#This Row],[COSTOS OPERACIONALES ($COP)]]/(100%-D.sign_Data[[#This Row],[UTILIDAD (%)]])))-D.sign_Data[[#This Row],[COSTOS OPERACIONALES ($COP)]]</f>
        <v>13921.325813234078</v>
      </c>
      <c r="AB236" s="3">
        <f>+D.sign_Data[[#This Row],[COSTOS OPERACIONALES ($COP)]]+D.sign_Data[[#This Row],[DESFASE ($COP)]]+D.sign_Data[[#This Row],[UTILIDAD ($COP)]]</f>
        <v>75175.159391464025</v>
      </c>
      <c r="AC236" s="101">
        <v>0.05</v>
      </c>
      <c r="AD236" s="15">
        <f>+D.sign_Data[[#This Row],[VALOR NETO ($COP)]]/(100%-D.sign_Data[[#This Row],[MARGEN DE NEGOCIACIÓN (%)]])-D.sign_Data[[#This Row],[VALOR NETO ($COP)]]</f>
        <v>3956.5873363928404</v>
      </c>
      <c r="AE236" s="15">
        <f>+(D.sign_Data[[#This Row],[VALOR NETO ($COP)]]+D.sign_Data[[#This Row],[NEGOCIACIÓN ($COP)]])*1%</f>
        <v>791.31746727856864</v>
      </c>
      <c r="AF236" s="15">
        <f>+(D.sign_Data[[#This Row],[VALOR NETO ($COP)]]+D.sign_Data[[#This Row],[NEGOCIACIÓN ($COP)]])*1%</f>
        <v>791.31746727856864</v>
      </c>
      <c r="AG236" s="3">
        <f>+D.sign_Data[[#This Row],[VALOR NETO ($COP)]]+D.sign_Data[[#This Row],[NEGOCIACIÓN ($COP)]]+D.sign_Data[[#This Row],[ICA ($COP)]]+D.sign_Data[[#This Row],[4 * 1000 ($COP)]]</f>
        <v>80714.381662414002</v>
      </c>
    </row>
    <row r="237" spans="1:33" ht="60" hidden="1" customHeight="1" x14ac:dyDescent="0.25">
      <c r="A237" s="14"/>
      <c r="B237" s="87" t="s">
        <v>493</v>
      </c>
      <c r="C237" s="182" t="s">
        <v>601</v>
      </c>
      <c r="D237" s="189" t="str">
        <f>VLOOKUP(D.sign_Data[[#This Row],[CÓDIGO]],Descripciones[[CÓDIGO]:[NOMBRE DE SERVICIO]],3,FALSE)</f>
        <v>D1. Parcelaciones y Condominios</v>
      </c>
      <c r="E237" s="87" t="s">
        <v>497</v>
      </c>
      <c r="F237" s="88" t="s">
        <v>602</v>
      </c>
      <c r="G237" s="88" t="s">
        <v>580</v>
      </c>
      <c r="H237" s="104" t="s">
        <v>552</v>
      </c>
      <c r="I237" s="89">
        <v>1</v>
      </c>
      <c r="J237" s="88" t="s">
        <v>607</v>
      </c>
      <c r="K237" s="102"/>
      <c r="L237" s="88" t="s">
        <v>571</v>
      </c>
      <c r="M237" s="89" t="s">
        <v>381</v>
      </c>
      <c r="N237" s="90">
        <v>0.1</v>
      </c>
      <c r="O237" s="27">
        <f>IFERROR(+VLOOKUP(M237,D.sign_Lista_Data[[RESPONSABLE]:[SOFTWARE 
VALOR HORA]],3,FALSE),"0")</f>
        <v>20263.424518743668</v>
      </c>
      <c r="P237" s="3">
        <f t="shared" si="8"/>
        <v>2026.3424518743668</v>
      </c>
      <c r="Q237" s="11">
        <f>IFERROR(+VLOOKUP(M237,D.sign_Lista_Data[[RESPONSABLE]:[SOFTWARE 
VALOR HORA]],5,FALSE)*D.sign_Data[[#This Row],[TIEMPO (HORAS)]],0)</f>
        <v>422.15467747382638</v>
      </c>
      <c r="R237" s="42">
        <f>IFERROR(+VLOOKUP(M237,D.sign_Lista_Data[[RESPONSABLE]:[SOFTWARE 
VALOR HORA]],8,FALSE)*D.sign_Data[[#This Row],[TIEMPO (HORAS)]],0)</f>
        <v>341.08548871439837</v>
      </c>
      <c r="S237" s="99">
        <v>0</v>
      </c>
      <c r="T237" s="99">
        <v>0</v>
      </c>
      <c r="U237" s="3">
        <f t="shared" si="9"/>
        <v>2789.5826180625913</v>
      </c>
      <c r="V237" s="100">
        <f>D.sign_Data[[#This Row],[TIEMPO (HORAS)]]*Gastos_Operativos[[#Totals],[GASTOS HORA]]</f>
        <v>2778.9477072310401</v>
      </c>
      <c r="W237" s="3">
        <f>+D.sign_Data[[#This Row],[COSTO 
DIRECTO ($COP)]]+D.sign_Data[[#This Row],[PRORRATEO GASTOS ($COP)]]</f>
        <v>5568.5303252936319</v>
      </c>
      <c r="X237" s="101">
        <v>0.1</v>
      </c>
      <c r="Y237" s="15">
        <f>+D.sign_Data[[#This Row],[COSTOS OPERACIONALES ($COP)]]*D.sign_Data[[#This Row],[DESFASE (%)]]</f>
        <v>556.85303252936319</v>
      </c>
      <c r="Z237" s="101">
        <v>0.2</v>
      </c>
      <c r="AA237" s="15">
        <f>+((D.sign_Data[[#This Row],[COSTOS OPERACIONALES ($COP)]]/(100%-D.sign_Data[[#This Row],[UTILIDAD (%)]])))-D.sign_Data[[#This Row],[COSTOS OPERACIONALES ($COP)]]</f>
        <v>1392.132581323408</v>
      </c>
      <c r="AB237" s="3">
        <f>+D.sign_Data[[#This Row],[COSTOS OPERACIONALES ($COP)]]+D.sign_Data[[#This Row],[DESFASE ($COP)]]+D.sign_Data[[#This Row],[UTILIDAD ($COP)]]</f>
        <v>7517.5159391464031</v>
      </c>
      <c r="AC237" s="101">
        <v>0.05</v>
      </c>
      <c r="AD237" s="15">
        <f>+D.sign_Data[[#This Row],[VALOR NETO ($COP)]]/(100%-D.sign_Data[[#This Row],[MARGEN DE NEGOCIACIÓN (%)]])-D.sign_Data[[#This Row],[VALOR NETO ($COP)]]</f>
        <v>395.65873363928495</v>
      </c>
      <c r="AE237" s="15">
        <f>+(D.sign_Data[[#This Row],[VALOR NETO ($COP)]]+D.sign_Data[[#This Row],[NEGOCIACIÓN ($COP)]])*1%</f>
        <v>79.131746727856878</v>
      </c>
      <c r="AF237" s="15">
        <f>+(D.sign_Data[[#This Row],[VALOR NETO ($COP)]]+D.sign_Data[[#This Row],[NEGOCIACIÓN ($COP)]])*1%</f>
        <v>79.131746727856878</v>
      </c>
      <c r="AG237" s="3">
        <f>+D.sign_Data[[#This Row],[VALOR NETO ($COP)]]+D.sign_Data[[#This Row],[NEGOCIACIÓN ($COP)]]+D.sign_Data[[#This Row],[ICA ($COP)]]+D.sign_Data[[#This Row],[4 * 1000 ($COP)]]</f>
        <v>8071.4381662414016</v>
      </c>
    </row>
    <row r="238" spans="1:33" ht="60" hidden="1" customHeight="1" x14ac:dyDescent="0.25">
      <c r="A238" s="14"/>
      <c r="B238" s="87" t="s">
        <v>493</v>
      </c>
      <c r="C238" s="182" t="s">
        <v>601</v>
      </c>
      <c r="D238" s="189" t="str">
        <f>VLOOKUP(D.sign_Data[[#This Row],[CÓDIGO]],Descripciones[[CÓDIGO]:[NOMBRE DE SERVICIO]],3,FALSE)</f>
        <v>D1. Parcelaciones y Condominios</v>
      </c>
      <c r="E238" s="87" t="s">
        <v>497</v>
      </c>
      <c r="F238" s="88" t="s">
        <v>602</v>
      </c>
      <c r="G238" s="88" t="s">
        <v>580</v>
      </c>
      <c r="H238" s="104" t="s">
        <v>552</v>
      </c>
      <c r="I238" s="89">
        <v>1</v>
      </c>
      <c r="J238" s="88" t="s">
        <v>607</v>
      </c>
      <c r="K238" s="102"/>
      <c r="L238" s="88" t="s">
        <v>572</v>
      </c>
      <c r="M238" s="89" t="s">
        <v>381</v>
      </c>
      <c r="N238" s="90">
        <v>0.1</v>
      </c>
      <c r="O238" s="27">
        <f>IFERROR(+VLOOKUP(M238,D.sign_Lista_Data[[RESPONSABLE]:[SOFTWARE 
VALOR HORA]],3,FALSE),"0")</f>
        <v>20263.424518743668</v>
      </c>
      <c r="P238" s="3">
        <f t="shared" si="8"/>
        <v>2026.3424518743668</v>
      </c>
      <c r="Q238" s="11">
        <f>IFERROR(+VLOOKUP(M238,D.sign_Lista_Data[[RESPONSABLE]:[SOFTWARE 
VALOR HORA]],5,FALSE)*D.sign_Data[[#This Row],[TIEMPO (HORAS)]],0)</f>
        <v>422.15467747382638</v>
      </c>
      <c r="R238" s="42">
        <f>IFERROR(+VLOOKUP(M238,D.sign_Lista_Data[[RESPONSABLE]:[SOFTWARE 
VALOR HORA]],8,FALSE)*D.sign_Data[[#This Row],[TIEMPO (HORAS)]],0)</f>
        <v>341.08548871439837</v>
      </c>
      <c r="S238" s="99">
        <v>0</v>
      </c>
      <c r="T238" s="99">
        <v>0</v>
      </c>
      <c r="U238" s="3">
        <f t="shared" si="9"/>
        <v>2789.5826180625913</v>
      </c>
      <c r="V238" s="100">
        <f>D.sign_Data[[#This Row],[TIEMPO (HORAS)]]*Gastos_Operativos[[#Totals],[GASTOS HORA]]</f>
        <v>2778.9477072310401</v>
      </c>
      <c r="W238" s="3">
        <f>+D.sign_Data[[#This Row],[COSTO 
DIRECTO ($COP)]]+D.sign_Data[[#This Row],[PRORRATEO GASTOS ($COP)]]</f>
        <v>5568.5303252936319</v>
      </c>
      <c r="X238" s="101">
        <v>0.1</v>
      </c>
      <c r="Y238" s="15">
        <f>+D.sign_Data[[#This Row],[COSTOS OPERACIONALES ($COP)]]*D.sign_Data[[#This Row],[DESFASE (%)]]</f>
        <v>556.85303252936319</v>
      </c>
      <c r="Z238" s="101">
        <v>0.2</v>
      </c>
      <c r="AA238" s="15">
        <f>+((D.sign_Data[[#This Row],[COSTOS OPERACIONALES ($COP)]]/(100%-D.sign_Data[[#This Row],[UTILIDAD (%)]])))-D.sign_Data[[#This Row],[COSTOS OPERACIONALES ($COP)]]</f>
        <v>1392.132581323408</v>
      </c>
      <c r="AB238" s="3">
        <f>+D.sign_Data[[#This Row],[COSTOS OPERACIONALES ($COP)]]+D.sign_Data[[#This Row],[DESFASE ($COP)]]+D.sign_Data[[#This Row],[UTILIDAD ($COP)]]</f>
        <v>7517.5159391464031</v>
      </c>
      <c r="AC238" s="101">
        <v>0.05</v>
      </c>
      <c r="AD238" s="15">
        <f>+D.sign_Data[[#This Row],[VALOR NETO ($COP)]]/(100%-D.sign_Data[[#This Row],[MARGEN DE NEGOCIACIÓN (%)]])-D.sign_Data[[#This Row],[VALOR NETO ($COP)]]</f>
        <v>395.65873363928495</v>
      </c>
      <c r="AE238" s="15">
        <f>+(D.sign_Data[[#This Row],[VALOR NETO ($COP)]]+D.sign_Data[[#This Row],[NEGOCIACIÓN ($COP)]])*1%</f>
        <v>79.131746727856878</v>
      </c>
      <c r="AF238" s="15">
        <f>+(D.sign_Data[[#This Row],[VALOR NETO ($COP)]]+D.sign_Data[[#This Row],[NEGOCIACIÓN ($COP)]])*1%</f>
        <v>79.131746727856878</v>
      </c>
      <c r="AG238" s="3">
        <f>+D.sign_Data[[#This Row],[VALOR NETO ($COP)]]+D.sign_Data[[#This Row],[NEGOCIACIÓN ($COP)]]+D.sign_Data[[#This Row],[ICA ($COP)]]+D.sign_Data[[#This Row],[4 * 1000 ($COP)]]</f>
        <v>8071.4381662414016</v>
      </c>
    </row>
    <row r="239" spans="1:33" ht="60" hidden="1" customHeight="1" x14ac:dyDescent="0.25">
      <c r="A239" s="14"/>
      <c r="B239" s="87" t="s">
        <v>493</v>
      </c>
      <c r="C239" s="182" t="s">
        <v>601</v>
      </c>
      <c r="D239" s="189" t="str">
        <f>VLOOKUP(D.sign_Data[[#This Row],[CÓDIGO]],Descripciones[[CÓDIGO]:[NOMBRE DE SERVICIO]],3,FALSE)</f>
        <v>D1. Parcelaciones y Condominios</v>
      </c>
      <c r="E239" s="87" t="s">
        <v>497</v>
      </c>
      <c r="F239" s="88" t="s">
        <v>602</v>
      </c>
      <c r="G239" s="88" t="s">
        <v>582</v>
      </c>
      <c r="H239" s="104" t="s">
        <v>552</v>
      </c>
      <c r="I239" s="89">
        <v>1</v>
      </c>
      <c r="J239" s="88" t="s">
        <v>614</v>
      </c>
      <c r="K239" s="102"/>
      <c r="L239" s="88" t="s">
        <v>584</v>
      </c>
      <c r="M239" s="89" t="s">
        <v>381</v>
      </c>
      <c r="N239" s="90">
        <v>1</v>
      </c>
      <c r="O239" s="27">
        <f>IFERROR(+VLOOKUP(M239,D.sign_Lista_Data[[RESPONSABLE]:[SOFTWARE 
VALOR HORA]],3,FALSE),"0")</f>
        <v>20263.424518743668</v>
      </c>
      <c r="P239" s="3">
        <f t="shared" si="8"/>
        <v>20263.424518743668</v>
      </c>
      <c r="Q239" s="11">
        <f>IFERROR(+VLOOKUP(M239,D.sign_Lista_Data[[RESPONSABLE]:[SOFTWARE 
VALOR HORA]],5,FALSE)*D.sign_Data[[#This Row],[TIEMPO (HORAS)]],0)</f>
        <v>4221.5467747382636</v>
      </c>
      <c r="R239" s="42">
        <f>IFERROR(+VLOOKUP(M239,D.sign_Lista_Data[[RESPONSABLE]:[SOFTWARE 
VALOR HORA]],8,FALSE)*D.sign_Data[[#This Row],[TIEMPO (HORAS)]],0)</f>
        <v>3410.8548871439834</v>
      </c>
      <c r="S239" s="99">
        <v>0</v>
      </c>
      <c r="T239" s="99">
        <v>0</v>
      </c>
      <c r="U239" s="3">
        <f t="shared" si="9"/>
        <v>27895.826180625918</v>
      </c>
      <c r="V239" s="100">
        <f>D.sign_Data[[#This Row],[TIEMPO (HORAS)]]*Gastos_Operativos[[#Totals],[GASTOS HORA]]</f>
        <v>27789.477072310401</v>
      </c>
      <c r="W239" s="3">
        <f>+D.sign_Data[[#This Row],[COSTO 
DIRECTO ($COP)]]+D.sign_Data[[#This Row],[PRORRATEO GASTOS ($COP)]]</f>
        <v>55685.303252936319</v>
      </c>
      <c r="X239" s="101">
        <v>0.1</v>
      </c>
      <c r="Y239" s="15">
        <f>+D.sign_Data[[#This Row],[COSTOS OPERACIONALES ($COP)]]*D.sign_Data[[#This Row],[DESFASE (%)]]</f>
        <v>5568.5303252936319</v>
      </c>
      <c r="Z239" s="101">
        <v>0.2</v>
      </c>
      <c r="AA239" s="15">
        <f>+((D.sign_Data[[#This Row],[COSTOS OPERACIONALES ($COP)]]/(100%-D.sign_Data[[#This Row],[UTILIDAD (%)]])))-D.sign_Data[[#This Row],[COSTOS OPERACIONALES ($COP)]]</f>
        <v>13921.325813234078</v>
      </c>
      <c r="AB239" s="3">
        <f>+D.sign_Data[[#This Row],[COSTOS OPERACIONALES ($COP)]]+D.sign_Data[[#This Row],[DESFASE ($COP)]]+D.sign_Data[[#This Row],[UTILIDAD ($COP)]]</f>
        <v>75175.159391464025</v>
      </c>
      <c r="AC239" s="101">
        <v>0.05</v>
      </c>
      <c r="AD239" s="15">
        <f>+D.sign_Data[[#This Row],[VALOR NETO ($COP)]]/(100%-D.sign_Data[[#This Row],[MARGEN DE NEGOCIACIÓN (%)]])-D.sign_Data[[#This Row],[VALOR NETO ($COP)]]</f>
        <v>3956.5873363928404</v>
      </c>
      <c r="AE239" s="15">
        <f>+(D.sign_Data[[#This Row],[VALOR NETO ($COP)]]+D.sign_Data[[#This Row],[NEGOCIACIÓN ($COP)]])*1%</f>
        <v>791.31746727856864</v>
      </c>
      <c r="AF239" s="15">
        <f>+(D.sign_Data[[#This Row],[VALOR NETO ($COP)]]+D.sign_Data[[#This Row],[NEGOCIACIÓN ($COP)]])*1%</f>
        <v>791.31746727856864</v>
      </c>
      <c r="AG239" s="3">
        <f>+D.sign_Data[[#This Row],[VALOR NETO ($COP)]]+D.sign_Data[[#This Row],[NEGOCIACIÓN ($COP)]]+D.sign_Data[[#This Row],[ICA ($COP)]]+D.sign_Data[[#This Row],[4 * 1000 ($COP)]]</f>
        <v>80714.381662414002</v>
      </c>
    </row>
    <row r="240" spans="1:33" ht="60" hidden="1" customHeight="1" x14ac:dyDescent="0.25">
      <c r="A240" s="14"/>
      <c r="B240" s="87" t="s">
        <v>493</v>
      </c>
      <c r="C240" s="182" t="s">
        <v>601</v>
      </c>
      <c r="D240" s="189" t="str">
        <f>VLOOKUP(D.sign_Data[[#This Row],[CÓDIGO]],Descripciones[[CÓDIGO]:[NOMBRE DE SERVICIO]],3,FALSE)</f>
        <v>D1. Parcelaciones y Condominios</v>
      </c>
      <c r="E240" s="87" t="s">
        <v>497</v>
      </c>
      <c r="F240" s="88" t="s">
        <v>602</v>
      </c>
      <c r="G240" s="88" t="s">
        <v>582</v>
      </c>
      <c r="H240" s="104" t="s">
        <v>552</v>
      </c>
      <c r="I240" s="89">
        <v>1</v>
      </c>
      <c r="J240" s="88" t="s">
        <v>614</v>
      </c>
      <c r="K240" s="102"/>
      <c r="L240" s="88" t="s">
        <v>575</v>
      </c>
      <c r="M240" s="89" t="s">
        <v>381</v>
      </c>
      <c r="N240" s="90">
        <v>0.2</v>
      </c>
      <c r="O240" s="27">
        <f>IFERROR(+VLOOKUP(M240,D.sign_Lista_Data[[RESPONSABLE]:[SOFTWARE 
VALOR HORA]],3,FALSE),"0")</f>
        <v>20263.424518743668</v>
      </c>
      <c r="P240" s="3">
        <f t="shared" si="8"/>
        <v>4052.6849037487336</v>
      </c>
      <c r="Q240" s="11">
        <f>IFERROR(+VLOOKUP(M240,D.sign_Lista_Data[[RESPONSABLE]:[SOFTWARE 
VALOR HORA]],5,FALSE)*D.sign_Data[[#This Row],[TIEMPO (HORAS)]],0)</f>
        <v>844.30935494765276</v>
      </c>
      <c r="R240" s="42">
        <f>IFERROR(+VLOOKUP(M240,D.sign_Lista_Data[[RESPONSABLE]:[SOFTWARE 
VALOR HORA]],8,FALSE)*D.sign_Data[[#This Row],[TIEMPO (HORAS)]],0)</f>
        <v>682.17097742879673</v>
      </c>
      <c r="S240" s="99">
        <v>0</v>
      </c>
      <c r="T240" s="99">
        <v>0</v>
      </c>
      <c r="U240" s="3">
        <f t="shared" si="9"/>
        <v>5579.1652361251827</v>
      </c>
      <c r="V240" s="100">
        <f>D.sign_Data[[#This Row],[TIEMPO (HORAS)]]*Gastos_Operativos[[#Totals],[GASTOS HORA]]</f>
        <v>5557.8954144620802</v>
      </c>
      <c r="W240" s="3">
        <f>+D.sign_Data[[#This Row],[COSTO 
DIRECTO ($COP)]]+D.sign_Data[[#This Row],[PRORRATEO GASTOS ($COP)]]</f>
        <v>11137.060650587264</v>
      </c>
      <c r="X240" s="101">
        <v>0.1</v>
      </c>
      <c r="Y240" s="15">
        <f>+D.sign_Data[[#This Row],[COSTOS OPERACIONALES ($COP)]]*D.sign_Data[[#This Row],[DESFASE (%)]]</f>
        <v>1113.7060650587264</v>
      </c>
      <c r="Z240" s="101">
        <v>0.2</v>
      </c>
      <c r="AA240" s="15">
        <f>+((D.sign_Data[[#This Row],[COSTOS OPERACIONALES ($COP)]]/(100%-D.sign_Data[[#This Row],[UTILIDAD (%)]])))-D.sign_Data[[#This Row],[COSTOS OPERACIONALES ($COP)]]</f>
        <v>2784.265162646816</v>
      </c>
      <c r="AB240" s="3">
        <f>+D.sign_Data[[#This Row],[COSTOS OPERACIONALES ($COP)]]+D.sign_Data[[#This Row],[DESFASE ($COP)]]+D.sign_Data[[#This Row],[UTILIDAD ($COP)]]</f>
        <v>15035.031878292806</v>
      </c>
      <c r="AC240" s="101">
        <v>0.05</v>
      </c>
      <c r="AD240" s="15">
        <f>+D.sign_Data[[#This Row],[VALOR NETO ($COP)]]/(100%-D.sign_Data[[#This Row],[MARGEN DE NEGOCIACIÓN (%)]])-D.sign_Data[[#This Row],[VALOR NETO ($COP)]]</f>
        <v>791.31746727856989</v>
      </c>
      <c r="AE240" s="15">
        <f>+(D.sign_Data[[#This Row],[VALOR NETO ($COP)]]+D.sign_Data[[#This Row],[NEGOCIACIÓN ($COP)]])*1%</f>
        <v>158.26349345571376</v>
      </c>
      <c r="AF240" s="15">
        <f>+(D.sign_Data[[#This Row],[VALOR NETO ($COP)]]+D.sign_Data[[#This Row],[NEGOCIACIÓN ($COP)]])*1%</f>
        <v>158.26349345571376</v>
      </c>
      <c r="AG240" s="3">
        <f>+D.sign_Data[[#This Row],[VALOR NETO ($COP)]]+D.sign_Data[[#This Row],[NEGOCIACIÓN ($COP)]]+D.sign_Data[[#This Row],[ICA ($COP)]]+D.sign_Data[[#This Row],[4 * 1000 ($COP)]]</f>
        <v>16142.876332482803</v>
      </c>
    </row>
    <row r="241" spans="1:33" ht="60" hidden="1" customHeight="1" x14ac:dyDescent="0.25">
      <c r="A241" s="14"/>
      <c r="B241" s="87" t="s">
        <v>493</v>
      </c>
      <c r="C241" s="182" t="s">
        <v>601</v>
      </c>
      <c r="D241" s="189" t="str">
        <f>VLOOKUP(D.sign_Data[[#This Row],[CÓDIGO]],Descripciones[[CÓDIGO]:[NOMBRE DE SERVICIO]],3,FALSE)</f>
        <v>D1. Parcelaciones y Condominios</v>
      </c>
      <c r="E241" s="87" t="s">
        <v>497</v>
      </c>
      <c r="F241" s="88" t="s">
        <v>602</v>
      </c>
      <c r="G241" s="88" t="s">
        <v>582</v>
      </c>
      <c r="H241" s="104" t="s">
        <v>552</v>
      </c>
      <c r="I241" s="89">
        <v>1</v>
      </c>
      <c r="J241" s="88" t="s">
        <v>614</v>
      </c>
      <c r="K241" s="102"/>
      <c r="L241" s="88" t="s">
        <v>604</v>
      </c>
      <c r="M241" s="89" t="s">
        <v>381</v>
      </c>
      <c r="N241" s="90">
        <v>0.5</v>
      </c>
      <c r="O241" s="27">
        <f>IFERROR(+VLOOKUP(M241,D.sign_Lista_Data[[RESPONSABLE]:[SOFTWARE 
VALOR HORA]],3,FALSE),"0")</f>
        <v>20263.424518743668</v>
      </c>
      <c r="P241" s="3">
        <f t="shared" si="8"/>
        <v>10131.712259371834</v>
      </c>
      <c r="Q241" s="11">
        <f>IFERROR(+VLOOKUP(M241,D.sign_Lista_Data[[RESPONSABLE]:[SOFTWARE 
VALOR HORA]],5,FALSE)*D.sign_Data[[#This Row],[TIEMPO (HORAS)]],0)</f>
        <v>2110.7733873691318</v>
      </c>
      <c r="R241" s="42">
        <f>IFERROR(+VLOOKUP(M241,D.sign_Lista_Data[[RESPONSABLE]:[SOFTWARE 
VALOR HORA]],8,FALSE)*D.sign_Data[[#This Row],[TIEMPO (HORAS)]],0)</f>
        <v>1705.4274435719917</v>
      </c>
      <c r="S241" s="99">
        <v>0</v>
      </c>
      <c r="T241" s="99">
        <v>0</v>
      </c>
      <c r="U241" s="3">
        <f t="shared" si="9"/>
        <v>13947.913090312959</v>
      </c>
      <c r="V241" s="100">
        <f>D.sign_Data[[#This Row],[TIEMPO (HORAS)]]*Gastos_Operativos[[#Totals],[GASTOS HORA]]</f>
        <v>13894.738536155201</v>
      </c>
      <c r="W241" s="3">
        <f>+D.sign_Data[[#This Row],[COSTO 
DIRECTO ($COP)]]+D.sign_Data[[#This Row],[PRORRATEO GASTOS ($COP)]]</f>
        <v>27842.65162646816</v>
      </c>
      <c r="X241" s="101">
        <v>0.1</v>
      </c>
      <c r="Y241" s="15">
        <f>+D.sign_Data[[#This Row],[COSTOS OPERACIONALES ($COP)]]*D.sign_Data[[#This Row],[DESFASE (%)]]</f>
        <v>2784.265162646816</v>
      </c>
      <c r="Z241" s="101">
        <v>0.2</v>
      </c>
      <c r="AA241" s="15">
        <f>+((D.sign_Data[[#This Row],[COSTOS OPERACIONALES ($COP)]]/(100%-D.sign_Data[[#This Row],[UTILIDAD (%)]])))-D.sign_Data[[#This Row],[COSTOS OPERACIONALES ($COP)]]</f>
        <v>6960.662906617039</v>
      </c>
      <c r="AB241" s="3">
        <f>+D.sign_Data[[#This Row],[COSTOS OPERACIONALES ($COP)]]+D.sign_Data[[#This Row],[DESFASE ($COP)]]+D.sign_Data[[#This Row],[UTILIDAD ($COP)]]</f>
        <v>37587.579695732013</v>
      </c>
      <c r="AC241" s="101">
        <v>0.05</v>
      </c>
      <c r="AD241" s="15">
        <f>+D.sign_Data[[#This Row],[VALOR NETO ($COP)]]/(100%-D.sign_Data[[#This Row],[MARGEN DE NEGOCIACIÓN (%)]])-D.sign_Data[[#This Row],[VALOR NETO ($COP)]]</f>
        <v>1978.2936681964202</v>
      </c>
      <c r="AE241" s="15">
        <f>+(D.sign_Data[[#This Row],[VALOR NETO ($COP)]]+D.sign_Data[[#This Row],[NEGOCIACIÓN ($COP)]])*1%</f>
        <v>395.65873363928432</v>
      </c>
      <c r="AF241" s="15">
        <f>+(D.sign_Data[[#This Row],[VALOR NETO ($COP)]]+D.sign_Data[[#This Row],[NEGOCIACIÓN ($COP)]])*1%</f>
        <v>395.65873363928432</v>
      </c>
      <c r="AG241" s="3">
        <f>+D.sign_Data[[#This Row],[VALOR NETO ($COP)]]+D.sign_Data[[#This Row],[NEGOCIACIÓN ($COP)]]+D.sign_Data[[#This Row],[ICA ($COP)]]+D.sign_Data[[#This Row],[4 * 1000 ($COP)]]</f>
        <v>40357.190831207001</v>
      </c>
    </row>
    <row r="242" spans="1:33" ht="60" hidden="1" customHeight="1" x14ac:dyDescent="0.25">
      <c r="A242" s="14"/>
      <c r="B242" s="87" t="s">
        <v>493</v>
      </c>
      <c r="C242" s="182" t="s">
        <v>601</v>
      </c>
      <c r="D242" s="189" t="str">
        <f>VLOOKUP(D.sign_Data[[#This Row],[CÓDIGO]],Descripciones[[CÓDIGO]:[NOMBRE DE SERVICIO]],3,FALSE)</f>
        <v>D1. Parcelaciones y Condominios</v>
      </c>
      <c r="E242" s="87" t="s">
        <v>497</v>
      </c>
      <c r="F242" s="88" t="s">
        <v>602</v>
      </c>
      <c r="G242" s="88" t="s">
        <v>582</v>
      </c>
      <c r="H242" s="104" t="s">
        <v>552</v>
      </c>
      <c r="I242" s="89">
        <v>1</v>
      </c>
      <c r="J242" s="88" t="s">
        <v>614</v>
      </c>
      <c r="K242" s="102"/>
      <c r="L242" s="88" t="s">
        <v>570</v>
      </c>
      <c r="M242" s="89" t="s">
        <v>381</v>
      </c>
      <c r="N242" s="90">
        <v>0.6</v>
      </c>
      <c r="O242" s="27">
        <f>IFERROR(+VLOOKUP(M242,D.sign_Lista_Data[[RESPONSABLE]:[SOFTWARE 
VALOR HORA]],3,FALSE),"0")</f>
        <v>20263.424518743668</v>
      </c>
      <c r="P242" s="3">
        <f t="shared" si="8"/>
        <v>12158.054711246201</v>
      </c>
      <c r="Q242" s="11">
        <f>IFERROR(+VLOOKUP(M242,D.sign_Lista_Data[[RESPONSABLE]:[SOFTWARE 
VALOR HORA]],5,FALSE)*D.sign_Data[[#This Row],[TIEMPO (HORAS)]],0)</f>
        <v>2532.9280648429581</v>
      </c>
      <c r="R242" s="42">
        <f>IFERROR(+VLOOKUP(M242,D.sign_Lista_Data[[RESPONSABLE]:[SOFTWARE 
VALOR HORA]],8,FALSE)*D.sign_Data[[#This Row],[TIEMPO (HORAS)]],0)</f>
        <v>2046.51293228639</v>
      </c>
      <c r="S242" s="99">
        <v>0</v>
      </c>
      <c r="T242" s="99">
        <v>0</v>
      </c>
      <c r="U242" s="3">
        <f t="shared" si="9"/>
        <v>16737.495708375547</v>
      </c>
      <c r="V242" s="100">
        <f>D.sign_Data[[#This Row],[TIEMPO (HORAS)]]*Gastos_Operativos[[#Totals],[GASTOS HORA]]</f>
        <v>16673.686243386241</v>
      </c>
      <c r="W242" s="3">
        <f>+D.sign_Data[[#This Row],[COSTO 
DIRECTO ($COP)]]+D.sign_Data[[#This Row],[PRORRATEO GASTOS ($COP)]]</f>
        <v>33411.181951761784</v>
      </c>
      <c r="X242" s="101">
        <v>0.1</v>
      </c>
      <c r="Y242" s="15">
        <f>+D.sign_Data[[#This Row],[COSTOS OPERACIONALES ($COP)]]*D.sign_Data[[#This Row],[DESFASE (%)]]</f>
        <v>3341.1181951761787</v>
      </c>
      <c r="Z242" s="101">
        <v>0.2</v>
      </c>
      <c r="AA242" s="15">
        <f>+((D.sign_Data[[#This Row],[COSTOS OPERACIONALES ($COP)]]/(100%-D.sign_Data[[#This Row],[UTILIDAD (%)]])))-D.sign_Data[[#This Row],[COSTOS OPERACIONALES ($COP)]]</f>
        <v>8352.7954879404424</v>
      </c>
      <c r="AB242" s="3">
        <f>+D.sign_Data[[#This Row],[COSTOS OPERACIONALES ($COP)]]+D.sign_Data[[#This Row],[DESFASE ($COP)]]+D.sign_Data[[#This Row],[UTILIDAD ($COP)]]</f>
        <v>45105.095634878402</v>
      </c>
      <c r="AC242" s="101">
        <v>0.05</v>
      </c>
      <c r="AD242" s="15">
        <f>+D.sign_Data[[#This Row],[VALOR NETO ($COP)]]/(100%-D.sign_Data[[#This Row],[MARGEN DE NEGOCIACIÓN (%)]])-D.sign_Data[[#This Row],[VALOR NETO ($COP)]]</f>
        <v>2373.9524018357042</v>
      </c>
      <c r="AE242" s="15">
        <f>+(D.sign_Data[[#This Row],[VALOR NETO ($COP)]]+D.sign_Data[[#This Row],[NEGOCIACIÓN ($COP)]])*1%</f>
        <v>474.79048036714107</v>
      </c>
      <c r="AF242" s="15">
        <f>+(D.sign_Data[[#This Row],[VALOR NETO ($COP)]]+D.sign_Data[[#This Row],[NEGOCIACIÓN ($COP)]])*1%</f>
        <v>474.79048036714107</v>
      </c>
      <c r="AG242" s="3">
        <f>+D.sign_Data[[#This Row],[VALOR NETO ($COP)]]+D.sign_Data[[#This Row],[NEGOCIACIÓN ($COP)]]+D.sign_Data[[#This Row],[ICA ($COP)]]+D.sign_Data[[#This Row],[4 * 1000 ($COP)]]</f>
        <v>48428.628997448388</v>
      </c>
    </row>
    <row r="243" spans="1:33" ht="60" hidden="1" customHeight="1" x14ac:dyDescent="0.25">
      <c r="A243" s="14"/>
      <c r="B243" s="87" t="s">
        <v>493</v>
      </c>
      <c r="C243" s="182" t="s">
        <v>601</v>
      </c>
      <c r="D243" s="189" t="str">
        <f>VLOOKUP(D.sign_Data[[#This Row],[CÓDIGO]],Descripciones[[CÓDIGO]:[NOMBRE DE SERVICIO]],3,FALSE)</f>
        <v>D1. Parcelaciones y Condominios</v>
      </c>
      <c r="E243" s="87" t="s">
        <v>497</v>
      </c>
      <c r="F243" s="88" t="s">
        <v>602</v>
      </c>
      <c r="G243" s="88" t="s">
        <v>582</v>
      </c>
      <c r="H243" s="104" t="s">
        <v>552</v>
      </c>
      <c r="I243" s="89">
        <v>1</v>
      </c>
      <c r="J243" s="88" t="s">
        <v>614</v>
      </c>
      <c r="K243" s="102"/>
      <c r="L243" s="88" t="s">
        <v>571</v>
      </c>
      <c r="M243" s="89" t="s">
        <v>381</v>
      </c>
      <c r="N243" s="90">
        <v>0.1</v>
      </c>
      <c r="O243" s="27">
        <f>IFERROR(+VLOOKUP(M243,D.sign_Lista_Data[[RESPONSABLE]:[SOFTWARE 
VALOR HORA]],3,FALSE),"0")</f>
        <v>20263.424518743668</v>
      </c>
      <c r="P243" s="3">
        <f t="shared" si="8"/>
        <v>2026.3424518743668</v>
      </c>
      <c r="Q243" s="11">
        <f>IFERROR(+VLOOKUP(M243,D.sign_Lista_Data[[RESPONSABLE]:[SOFTWARE 
VALOR HORA]],5,FALSE)*D.sign_Data[[#This Row],[TIEMPO (HORAS)]],0)</f>
        <v>422.15467747382638</v>
      </c>
      <c r="R243" s="42">
        <f>IFERROR(+VLOOKUP(M243,D.sign_Lista_Data[[RESPONSABLE]:[SOFTWARE 
VALOR HORA]],8,FALSE)*D.sign_Data[[#This Row],[TIEMPO (HORAS)]],0)</f>
        <v>341.08548871439837</v>
      </c>
      <c r="S243" s="99">
        <v>0</v>
      </c>
      <c r="T243" s="99">
        <v>0</v>
      </c>
      <c r="U243" s="3">
        <f t="shared" si="9"/>
        <v>2789.5826180625913</v>
      </c>
      <c r="V243" s="100">
        <f>D.sign_Data[[#This Row],[TIEMPO (HORAS)]]*Gastos_Operativos[[#Totals],[GASTOS HORA]]</f>
        <v>2778.9477072310401</v>
      </c>
      <c r="W243" s="3">
        <f>+D.sign_Data[[#This Row],[COSTO 
DIRECTO ($COP)]]+D.sign_Data[[#This Row],[PRORRATEO GASTOS ($COP)]]</f>
        <v>5568.5303252936319</v>
      </c>
      <c r="X243" s="101">
        <v>0.1</v>
      </c>
      <c r="Y243" s="15">
        <f>+D.sign_Data[[#This Row],[COSTOS OPERACIONALES ($COP)]]*D.sign_Data[[#This Row],[DESFASE (%)]]</f>
        <v>556.85303252936319</v>
      </c>
      <c r="Z243" s="101">
        <v>0.2</v>
      </c>
      <c r="AA243" s="15">
        <f>+((D.sign_Data[[#This Row],[COSTOS OPERACIONALES ($COP)]]/(100%-D.sign_Data[[#This Row],[UTILIDAD (%)]])))-D.sign_Data[[#This Row],[COSTOS OPERACIONALES ($COP)]]</f>
        <v>1392.132581323408</v>
      </c>
      <c r="AB243" s="3">
        <f>+D.sign_Data[[#This Row],[COSTOS OPERACIONALES ($COP)]]+D.sign_Data[[#This Row],[DESFASE ($COP)]]+D.sign_Data[[#This Row],[UTILIDAD ($COP)]]</f>
        <v>7517.5159391464031</v>
      </c>
      <c r="AC243" s="101">
        <v>0.05</v>
      </c>
      <c r="AD243" s="15">
        <f>+D.sign_Data[[#This Row],[VALOR NETO ($COP)]]/(100%-D.sign_Data[[#This Row],[MARGEN DE NEGOCIACIÓN (%)]])-D.sign_Data[[#This Row],[VALOR NETO ($COP)]]</f>
        <v>395.65873363928495</v>
      </c>
      <c r="AE243" s="15">
        <f>+(D.sign_Data[[#This Row],[VALOR NETO ($COP)]]+D.sign_Data[[#This Row],[NEGOCIACIÓN ($COP)]])*1%</f>
        <v>79.131746727856878</v>
      </c>
      <c r="AF243" s="15">
        <f>+(D.sign_Data[[#This Row],[VALOR NETO ($COP)]]+D.sign_Data[[#This Row],[NEGOCIACIÓN ($COP)]])*1%</f>
        <v>79.131746727856878</v>
      </c>
      <c r="AG243" s="3">
        <f>+D.sign_Data[[#This Row],[VALOR NETO ($COP)]]+D.sign_Data[[#This Row],[NEGOCIACIÓN ($COP)]]+D.sign_Data[[#This Row],[ICA ($COP)]]+D.sign_Data[[#This Row],[4 * 1000 ($COP)]]</f>
        <v>8071.4381662414016</v>
      </c>
    </row>
    <row r="244" spans="1:33" ht="60" hidden="1" customHeight="1" x14ac:dyDescent="0.25">
      <c r="A244" s="14"/>
      <c r="B244" s="87" t="s">
        <v>493</v>
      </c>
      <c r="C244" s="182" t="s">
        <v>601</v>
      </c>
      <c r="D244" s="189" t="str">
        <f>VLOOKUP(D.sign_Data[[#This Row],[CÓDIGO]],Descripciones[[CÓDIGO]:[NOMBRE DE SERVICIO]],3,FALSE)</f>
        <v>D1. Parcelaciones y Condominios</v>
      </c>
      <c r="E244" s="87" t="s">
        <v>497</v>
      </c>
      <c r="F244" s="88" t="s">
        <v>602</v>
      </c>
      <c r="G244" s="88" t="s">
        <v>582</v>
      </c>
      <c r="H244" s="104" t="s">
        <v>552</v>
      </c>
      <c r="I244" s="89">
        <v>1</v>
      </c>
      <c r="J244" s="88" t="s">
        <v>614</v>
      </c>
      <c r="K244" s="102"/>
      <c r="L244" s="88" t="s">
        <v>579</v>
      </c>
      <c r="M244" s="89" t="s">
        <v>381</v>
      </c>
      <c r="N244" s="90">
        <v>1</v>
      </c>
      <c r="O244" s="27">
        <f>IFERROR(+VLOOKUP(M244,D.sign_Lista_Data[[RESPONSABLE]:[SOFTWARE 
VALOR HORA]],3,FALSE),"0")</f>
        <v>20263.424518743668</v>
      </c>
      <c r="P244" s="3">
        <f t="shared" si="8"/>
        <v>20263.424518743668</v>
      </c>
      <c r="Q244" s="11">
        <f>IFERROR(+VLOOKUP(M244,D.sign_Lista_Data[[RESPONSABLE]:[SOFTWARE 
VALOR HORA]],5,FALSE)*D.sign_Data[[#This Row],[TIEMPO (HORAS)]],0)</f>
        <v>4221.5467747382636</v>
      </c>
      <c r="R244" s="42">
        <f>IFERROR(+VLOOKUP(M244,D.sign_Lista_Data[[RESPONSABLE]:[SOFTWARE 
VALOR HORA]],8,FALSE)*D.sign_Data[[#This Row],[TIEMPO (HORAS)]],0)</f>
        <v>3410.8548871439834</v>
      </c>
      <c r="S244" s="99">
        <v>0</v>
      </c>
      <c r="T244" s="99">
        <v>0</v>
      </c>
      <c r="U244" s="3">
        <f t="shared" si="9"/>
        <v>27895.826180625918</v>
      </c>
      <c r="V244" s="100">
        <f>D.sign_Data[[#This Row],[TIEMPO (HORAS)]]*Gastos_Operativos[[#Totals],[GASTOS HORA]]</f>
        <v>27789.477072310401</v>
      </c>
      <c r="W244" s="3">
        <f>+D.sign_Data[[#This Row],[COSTO 
DIRECTO ($COP)]]+D.sign_Data[[#This Row],[PRORRATEO GASTOS ($COP)]]</f>
        <v>55685.303252936319</v>
      </c>
      <c r="X244" s="101">
        <v>0.1</v>
      </c>
      <c r="Y244" s="15">
        <f>+D.sign_Data[[#This Row],[COSTOS OPERACIONALES ($COP)]]*D.sign_Data[[#This Row],[DESFASE (%)]]</f>
        <v>5568.5303252936319</v>
      </c>
      <c r="Z244" s="101">
        <v>0.2</v>
      </c>
      <c r="AA244" s="15">
        <f>+((D.sign_Data[[#This Row],[COSTOS OPERACIONALES ($COP)]]/(100%-D.sign_Data[[#This Row],[UTILIDAD (%)]])))-D.sign_Data[[#This Row],[COSTOS OPERACIONALES ($COP)]]</f>
        <v>13921.325813234078</v>
      </c>
      <c r="AB244" s="3">
        <f>+D.sign_Data[[#This Row],[COSTOS OPERACIONALES ($COP)]]+D.sign_Data[[#This Row],[DESFASE ($COP)]]+D.sign_Data[[#This Row],[UTILIDAD ($COP)]]</f>
        <v>75175.159391464025</v>
      </c>
      <c r="AC244" s="101">
        <v>0.05</v>
      </c>
      <c r="AD244" s="15">
        <f>+D.sign_Data[[#This Row],[VALOR NETO ($COP)]]/(100%-D.sign_Data[[#This Row],[MARGEN DE NEGOCIACIÓN (%)]])-D.sign_Data[[#This Row],[VALOR NETO ($COP)]]</f>
        <v>3956.5873363928404</v>
      </c>
      <c r="AE244" s="15">
        <f>+(D.sign_Data[[#This Row],[VALOR NETO ($COP)]]+D.sign_Data[[#This Row],[NEGOCIACIÓN ($COP)]])*1%</f>
        <v>791.31746727856864</v>
      </c>
      <c r="AF244" s="15">
        <f>+(D.sign_Data[[#This Row],[VALOR NETO ($COP)]]+D.sign_Data[[#This Row],[NEGOCIACIÓN ($COP)]])*1%</f>
        <v>791.31746727856864</v>
      </c>
      <c r="AG244" s="3">
        <f>+D.sign_Data[[#This Row],[VALOR NETO ($COP)]]+D.sign_Data[[#This Row],[NEGOCIACIÓN ($COP)]]+D.sign_Data[[#This Row],[ICA ($COP)]]+D.sign_Data[[#This Row],[4 * 1000 ($COP)]]</f>
        <v>80714.381662414002</v>
      </c>
    </row>
    <row r="245" spans="1:33" ht="60" hidden="1" customHeight="1" x14ac:dyDescent="0.25">
      <c r="A245" s="14"/>
      <c r="B245" s="87" t="s">
        <v>493</v>
      </c>
      <c r="C245" s="182" t="s">
        <v>601</v>
      </c>
      <c r="D245" s="189" t="str">
        <f>VLOOKUP(D.sign_Data[[#This Row],[CÓDIGO]],Descripciones[[CÓDIGO]:[NOMBRE DE SERVICIO]],3,FALSE)</f>
        <v>D1. Parcelaciones y Condominios</v>
      </c>
      <c r="E245" s="87" t="s">
        <v>497</v>
      </c>
      <c r="F245" s="88" t="s">
        <v>602</v>
      </c>
      <c r="G245" s="88" t="s">
        <v>582</v>
      </c>
      <c r="H245" s="104" t="s">
        <v>552</v>
      </c>
      <c r="I245" s="89">
        <v>1</v>
      </c>
      <c r="J245" s="88" t="s">
        <v>614</v>
      </c>
      <c r="K245" s="102"/>
      <c r="L245" s="88" t="s">
        <v>572</v>
      </c>
      <c r="M245" s="89" t="s">
        <v>381</v>
      </c>
      <c r="N245" s="90">
        <v>0.1</v>
      </c>
      <c r="O245" s="27">
        <f>IFERROR(+VLOOKUP(M245,D.sign_Lista_Data[[RESPONSABLE]:[SOFTWARE 
VALOR HORA]],3,FALSE),"0")</f>
        <v>20263.424518743668</v>
      </c>
      <c r="P245" s="3">
        <f t="shared" si="8"/>
        <v>2026.3424518743668</v>
      </c>
      <c r="Q245" s="11">
        <f>IFERROR(+VLOOKUP(M245,D.sign_Lista_Data[[RESPONSABLE]:[SOFTWARE 
VALOR HORA]],5,FALSE)*D.sign_Data[[#This Row],[TIEMPO (HORAS)]],0)</f>
        <v>422.15467747382638</v>
      </c>
      <c r="R245" s="42">
        <f>IFERROR(+VLOOKUP(M245,D.sign_Lista_Data[[RESPONSABLE]:[SOFTWARE 
VALOR HORA]],8,FALSE)*D.sign_Data[[#This Row],[TIEMPO (HORAS)]],0)</f>
        <v>341.08548871439837</v>
      </c>
      <c r="S245" s="99">
        <v>0</v>
      </c>
      <c r="T245" s="99">
        <v>0</v>
      </c>
      <c r="U245" s="3">
        <f t="shared" si="9"/>
        <v>2789.5826180625913</v>
      </c>
      <c r="V245" s="100">
        <f>D.sign_Data[[#This Row],[TIEMPO (HORAS)]]*Gastos_Operativos[[#Totals],[GASTOS HORA]]</f>
        <v>2778.9477072310401</v>
      </c>
      <c r="W245" s="3">
        <f>+D.sign_Data[[#This Row],[COSTO 
DIRECTO ($COP)]]+D.sign_Data[[#This Row],[PRORRATEO GASTOS ($COP)]]</f>
        <v>5568.5303252936319</v>
      </c>
      <c r="X245" s="101">
        <v>0.1</v>
      </c>
      <c r="Y245" s="15">
        <f>+D.sign_Data[[#This Row],[COSTOS OPERACIONALES ($COP)]]*D.sign_Data[[#This Row],[DESFASE (%)]]</f>
        <v>556.85303252936319</v>
      </c>
      <c r="Z245" s="101">
        <v>0.2</v>
      </c>
      <c r="AA245" s="15">
        <f>+((D.sign_Data[[#This Row],[COSTOS OPERACIONALES ($COP)]]/(100%-D.sign_Data[[#This Row],[UTILIDAD (%)]])))-D.sign_Data[[#This Row],[COSTOS OPERACIONALES ($COP)]]</f>
        <v>1392.132581323408</v>
      </c>
      <c r="AB245" s="3">
        <f>+D.sign_Data[[#This Row],[COSTOS OPERACIONALES ($COP)]]+D.sign_Data[[#This Row],[DESFASE ($COP)]]+D.sign_Data[[#This Row],[UTILIDAD ($COP)]]</f>
        <v>7517.5159391464031</v>
      </c>
      <c r="AC245" s="101">
        <v>0.05</v>
      </c>
      <c r="AD245" s="15">
        <f>+D.sign_Data[[#This Row],[VALOR NETO ($COP)]]/(100%-D.sign_Data[[#This Row],[MARGEN DE NEGOCIACIÓN (%)]])-D.sign_Data[[#This Row],[VALOR NETO ($COP)]]</f>
        <v>395.65873363928495</v>
      </c>
      <c r="AE245" s="15">
        <f>+(D.sign_Data[[#This Row],[VALOR NETO ($COP)]]+D.sign_Data[[#This Row],[NEGOCIACIÓN ($COP)]])*1%</f>
        <v>79.131746727856878</v>
      </c>
      <c r="AF245" s="15">
        <f>+(D.sign_Data[[#This Row],[VALOR NETO ($COP)]]+D.sign_Data[[#This Row],[NEGOCIACIÓN ($COP)]])*1%</f>
        <v>79.131746727856878</v>
      </c>
      <c r="AG245" s="3">
        <f>+D.sign_Data[[#This Row],[VALOR NETO ($COP)]]+D.sign_Data[[#This Row],[NEGOCIACIÓN ($COP)]]+D.sign_Data[[#This Row],[ICA ($COP)]]+D.sign_Data[[#This Row],[4 * 1000 ($COP)]]</f>
        <v>8071.4381662414016</v>
      </c>
    </row>
    <row r="246" spans="1:33" ht="60" hidden="1" customHeight="1" x14ac:dyDescent="0.25">
      <c r="A246" s="14"/>
      <c r="B246" s="87" t="s">
        <v>493</v>
      </c>
      <c r="C246" s="182" t="s">
        <v>601</v>
      </c>
      <c r="D246" s="189" t="str">
        <f>VLOOKUP(D.sign_Data[[#This Row],[CÓDIGO]],Descripciones[[CÓDIGO]:[NOMBRE DE SERVICIO]],3,FALSE)</f>
        <v>D1. Parcelaciones y Condominios</v>
      </c>
      <c r="E246" s="87" t="s">
        <v>497</v>
      </c>
      <c r="F246" s="88" t="s">
        <v>602</v>
      </c>
      <c r="G246" s="88" t="s">
        <v>587</v>
      </c>
      <c r="H246" s="104" t="s">
        <v>552</v>
      </c>
      <c r="I246" s="89">
        <v>1</v>
      </c>
      <c r="J246" s="88" t="s">
        <v>588</v>
      </c>
      <c r="K246" s="102"/>
      <c r="L246" s="88" t="s">
        <v>589</v>
      </c>
      <c r="M246" s="89" t="s">
        <v>381</v>
      </c>
      <c r="N246" s="90">
        <v>1</v>
      </c>
      <c r="O246" s="27">
        <f>IFERROR(+VLOOKUP(M246,D.sign_Lista_Data[[RESPONSABLE]:[SOFTWARE 
VALOR HORA]],3,FALSE),"0")</f>
        <v>20263.424518743668</v>
      </c>
      <c r="P246" s="3">
        <f t="shared" si="8"/>
        <v>20263.424518743668</v>
      </c>
      <c r="Q246" s="11">
        <f>IFERROR(+VLOOKUP(M246,D.sign_Lista_Data[[RESPONSABLE]:[SOFTWARE 
VALOR HORA]],5,FALSE)*D.sign_Data[[#This Row],[TIEMPO (HORAS)]],0)</f>
        <v>4221.5467747382636</v>
      </c>
      <c r="R246" s="42">
        <f>IFERROR(+VLOOKUP(M246,D.sign_Lista_Data[[RESPONSABLE]:[SOFTWARE 
VALOR HORA]],8,FALSE)*D.sign_Data[[#This Row],[TIEMPO (HORAS)]],0)</f>
        <v>3410.8548871439834</v>
      </c>
      <c r="S246" s="99">
        <v>0</v>
      </c>
      <c r="T246" s="99">
        <v>0</v>
      </c>
      <c r="U246" s="3">
        <f t="shared" si="9"/>
        <v>27895.826180625918</v>
      </c>
      <c r="V246" s="100">
        <f>D.sign_Data[[#This Row],[TIEMPO (HORAS)]]*Gastos_Operativos[[#Totals],[GASTOS HORA]]</f>
        <v>27789.477072310401</v>
      </c>
      <c r="W246" s="3">
        <f>+D.sign_Data[[#This Row],[COSTO 
DIRECTO ($COP)]]+D.sign_Data[[#This Row],[PRORRATEO GASTOS ($COP)]]</f>
        <v>55685.303252936319</v>
      </c>
      <c r="X246" s="101">
        <v>0.1</v>
      </c>
      <c r="Y246" s="15">
        <f>+D.sign_Data[[#This Row],[COSTOS OPERACIONALES ($COP)]]*D.sign_Data[[#This Row],[DESFASE (%)]]</f>
        <v>5568.5303252936319</v>
      </c>
      <c r="Z246" s="101">
        <v>0.2</v>
      </c>
      <c r="AA246" s="15">
        <f>+((D.sign_Data[[#This Row],[COSTOS OPERACIONALES ($COP)]]/(100%-D.sign_Data[[#This Row],[UTILIDAD (%)]])))-D.sign_Data[[#This Row],[COSTOS OPERACIONALES ($COP)]]</f>
        <v>13921.325813234078</v>
      </c>
      <c r="AB246" s="3">
        <f>+D.sign_Data[[#This Row],[COSTOS OPERACIONALES ($COP)]]+D.sign_Data[[#This Row],[DESFASE ($COP)]]+D.sign_Data[[#This Row],[UTILIDAD ($COP)]]</f>
        <v>75175.159391464025</v>
      </c>
      <c r="AC246" s="101">
        <v>0.05</v>
      </c>
      <c r="AD246" s="15">
        <f>+D.sign_Data[[#This Row],[VALOR NETO ($COP)]]/(100%-D.sign_Data[[#This Row],[MARGEN DE NEGOCIACIÓN (%)]])-D.sign_Data[[#This Row],[VALOR NETO ($COP)]]</f>
        <v>3956.5873363928404</v>
      </c>
      <c r="AE246" s="15">
        <f>+(D.sign_Data[[#This Row],[VALOR NETO ($COP)]]+D.sign_Data[[#This Row],[NEGOCIACIÓN ($COP)]])*1%</f>
        <v>791.31746727856864</v>
      </c>
      <c r="AF246" s="15">
        <f>+(D.sign_Data[[#This Row],[VALOR NETO ($COP)]]+D.sign_Data[[#This Row],[NEGOCIACIÓN ($COP)]])*1%</f>
        <v>791.31746727856864</v>
      </c>
      <c r="AG246" s="3">
        <f>+D.sign_Data[[#This Row],[VALOR NETO ($COP)]]+D.sign_Data[[#This Row],[NEGOCIACIÓN ($COP)]]+D.sign_Data[[#This Row],[ICA ($COP)]]+D.sign_Data[[#This Row],[4 * 1000 ($COP)]]</f>
        <v>80714.381662414002</v>
      </c>
    </row>
    <row r="247" spans="1:33" ht="60" hidden="1" customHeight="1" x14ac:dyDescent="0.25">
      <c r="A247" s="14"/>
      <c r="B247" s="87" t="s">
        <v>493</v>
      </c>
      <c r="C247" s="182" t="s">
        <v>601</v>
      </c>
      <c r="D247" s="189" t="str">
        <f>VLOOKUP(D.sign_Data[[#This Row],[CÓDIGO]],Descripciones[[CÓDIGO]:[NOMBRE DE SERVICIO]],3,FALSE)</f>
        <v>D1. Parcelaciones y Condominios</v>
      </c>
      <c r="E247" s="87" t="s">
        <v>497</v>
      </c>
      <c r="F247" s="88" t="s">
        <v>602</v>
      </c>
      <c r="G247" s="88" t="s">
        <v>587</v>
      </c>
      <c r="H247" s="104" t="s">
        <v>552</v>
      </c>
      <c r="I247" s="89">
        <v>1</v>
      </c>
      <c r="J247" s="88" t="s">
        <v>588</v>
      </c>
      <c r="K247" s="102"/>
      <c r="L247" s="88" t="s">
        <v>575</v>
      </c>
      <c r="M247" s="89" t="s">
        <v>381</v>
      </c>
      <c r="N247" s="90">
        <v>0.2</v>
      </c>
      <c r="O247" s="27">
        <f>IFERROR(+VLOOKUP(M247,D.sign_Lista_Data[[RESPONSABLE]:[SOFTWARE 
VALOR HORA]],3,FALSE),"0")</f>
        <v>20263.424518743668</v>
      </c>
      <c r="P247" s="3">
        <f t="shared" si="8"/>
        <v>4052.6849037487336</v>
      </c>
      <c r="Q247" s="11">
        <f>IFERROR(+VLOOKUP(M247,D.sign_Lista_Data[[RESPONSABLE]:[SOFTWARE 
VALOR HORA]],5,FALSE)*D.sign_Data[[#This Row],[TIEMPO (HORAS)]],0)</f>
        <v>844.30935494765276</v>
      </c>
      <c r="R247" s="42">
        <f>IFERROR(+VLOOKUP(M247,D.sign_Lista_Data[[RESPONSABLE]:[SOFTWARE 
VALOR HORA]],8,FALSE)*D.sign_Data[[#This Row],[TIEMPO (HORAS)]],0)</f>
        <v>682.17097742879673</v>
      </c>
      <c r="S247" s="99">
        <v>0</v>
      </c>
      <c r="T247" s="99">
        <v>0</v>
      </c>
      <c r="U247" s="3">
        <f t="shared" si="9"/>
        <v>5579.1652361251827</v>
      </c>
      <c r="V247" s="100">
        <f>D.sign_Data[[#This Row],[TIEMPO (HORAS)]]*Gastos_Operativos[[#Totals],[GASTOS HORA]]</f>
        <v>5557.8954144620802</v>
      </c>
      <c r="W247" s="3">
        <f>+D.sign_Data[[#This Row],[COSTO 
DIRECTO ($COP)]]+D.sign_Data[[#This Row],[PRORRATEO GASTOS ($COP)]]</f>
        <v>11137.060650587264</v>
      </c>
      <c r="X247" s="101">
        <v>0.1</v>
      </c>
      <c r="Y247" s="15">
        <f>+D.sign_Data[[#This Row],[COSTOS OPERACIONALES ($COP)]]*D.sign_Data[[#This Row],[DESFASE (%)]]</f>
        <v>1113.7060650587264</v>
      </c>
      <c r="Z247" s="101">
        <v>0.2</v>
      </c>
      <c r="AA247" s="15">
        <f>+((D.sign_Data[[#This Row],[COSTOS OPERACIONALES ($COP)]]/(100%-D.sign_Data[[#This Row],[UTILIDAD (%)]])))-D.sign_Data[[#This Row],[COSTOS OPERACIONALES ($COP)]]</f>
        <v>2784.265162646816</v>
      </c>
      <c r="AB247" s="3">
        <f>+D.sign_Data[[#This Row],[COSTOS OPERACIONALES ($COP)]]+D.sign_Data[[#This Row],[DESFASE ($COP)]]+D.sign_Data[[#This Row],[UTILIDAD ($COP)]]</f>
        <v>15035.031878292806</v>
      </c>
      <c r="AC247" s="101">
        <v>0.05</v>
      </c>
      <c r="AD247" s="15">
        <f>+D.sign_Data[[#This Row],[VALOR NETO ($COP)]]/(100%-D.sign_Data[[#This Row],[MARGEN DE NEGOCIACIÓN (%)]])-D.sign_Data[[#This Row],[VALOR NETO ($COP)]]</f>
        <v>791.31746727856989</v>
      </c>
      <c r="AE247" s="15">
        <f>+(D.sign_Data[[#This Row],[VALOR NETO ($COP)]]+D.sign_Data[[#This Row],[NEGOCIACIÓN ($COP)]])*1%</f>
        <v>158.26349345571376</v>
      </c>
      <c r="AF247" s="15">
        <f>+(D.sign_Data[[#This Row],[VALOR NETO ($COP)]]+D.sign_Data[[#This Row],[NEGOCIACIÓN ($COP)]])*1%</f>
        <v>158.26349345571376</v>
      </c>
      <c r="AG247" s="3">
        <f>+D.sign_Data[[#This Row],[VALOR NETO ($COP)]]+D.sign_Data[[#This Row],[NEGOCIACIÓN ($COP)]]+D.sign_Data[[#This Row],[ICA ($COP)]]+D.sign_Data[[#This Row],[4 * 1000 ($COP)]]</f>
        <v>16142.876332482803</v>
      </c>
    </row>
    <row r="248" spans="1:33" ht="60" hidden="1" customHeight="1" x14ac:dyDescent="0.25">
      <c r="A248" s="14"/>
      <c r="B248" s="87" t="s">
        <v>493</v>
      </c>
      <c r="C248" s="182" t="s">
        <v>601</v>
      </c>
      <c r="D248" s="189" t="str">
        <f>VLOOKUP(D.sign_Data[[#This Row],[CÓDIGO]],Descripciones[[CÓDIGO]:[NOMBRE DE SERVICIO]],3,FALSE)</f>
        <v>D1. Parcelaciones y Condominios</v>
      </c>
      <c r="E248" s="87" t="s">
        <v>497</v>
      </c>
      <c r="F248" s="88" t="s">
        <v>602</v>
      </c>
      <c r="G248" s="88" t="s">
        <v>587</v>
      </c>
      <c r="H248" s="104" t="s">
        <v>552</v>
      </c>
      <c r="I248" s="89">
        <v>1</v>
      </c>
      <c r="J248" s="88" t="s">
        <v>588</v>
      </c>
      <c r="K248" s="102"/>
      <c r="L248" s="88" t="s">
        <v>590</v>
      </c>
      <c r="M248" s="89" t="s">
        <v>381</v>
      </c>
      <c r="N248" s="90">
        <v>0.5</v>
      </c>
      <c r="O248" s="27">
        <f>IFERROR(+VLOOKUP(M248,D.sign_Lista_Data[[RESPONSABLE]:[SOFTWARE 
VALOR HORA]],3,FALSE),"0")</f>
        <v>20263.424518743668</v>
      </c>
      <c r="P248" s="3">
        <f t="shared" si="8"/>
        <v>10131.712259371834</v>
      </c>
      <c r="Q248" s="11">
        <f>IFERROR(+VLOOKUP(M248,D.sign_Lista_Data[[RESPONSABLE]:[SOFTWARE 
VALOR HORA]],5,FALSE)*D.sign_Data[[#This Row],[TIEMPO (HORAS)]],0)</f>
        <v>2110.7733873691318</v>
      </c>
      <c r="R248" s="42">
        <f>IFERROR(+VLOOKUP(M248,D.sign_Lista_Data[[RESPONSABLE]:[SOFTWARE 
VALOR HORA]],8,FALSE)*D.sign_Data[[#This Row],[TIEMPO (HORAS)]],0)</f>
        <v>1705.4274435719917</v>
      </c>
      <c r="S248" s="99">
        <v>0</v>
      </c>
      <c r="T248" s="99">
        <v>0</v>
      </c>
      <c r="U248" s="3">
        <f t="shared" si="9"/>
        <v>13947.913090312959</v>
      </c>
      <c r="V248" s="100">
        <f>D.sign_Data[[#This Row],[TIEMPO (HORAS)]]*Gastos_Operativos[[#Totals],[GASTOS HORA]]</f>
        <v>13894.738536155201</v>
      </c>
      <c r="W248" s="3">
        <f>+D.sign_Data[[#This Row],[COSTO 
DIRECTO ($COP)]]+D.sign_Data[[#This Row],[PRORRATEO GASTOS ($COP)]]</f>
        <v>27842.65162646816</v>
      </c>
      <c r="X248" s="101">
        <v>0.1</v>
      </c>
      <c r="Y248" s="15">
        <f>+D.sign_Data[[#This Row],[COSTOS OPERACIONALES ($COP)]]*D.sign_Data[[#This Row],[DESFASE (%)]]</f>
        <v>2784.265162646816</v>
      </c>
      <c r="Z248" s="101">
        <v>0.2</v>
      </c>
      <c r="AA248" s="15">
        <f>+((D.sign_Data[[#This Row],[COSTOS OPERACIONALES ($COP)]]/(100%-D.sign_Data[[#This Row],[UTILIDAD (%)]])))-D.sign_Data[[#This Row],[COSTOS OPERACIONALES ($COP)]]</f>
        <v>6960.662906617039</v>
      </c>
      <c r="AB248" s="3">
        <f>+D.sign_Data[[#This Row],[COSTOS OPERACIONALES ($COP)]]+D.sign_Data[[#This Row],[DESFASE ($COP)]]+D.sign_Data[[#This Row],[UTILIDAD ($COP)]]</f>
        <v>37587.579695732013</v>
      </c>
      <c r="AC248" s="101">
        <v>0.05</v>
      </c>
      <c r="AD248" s="15">
        <f>+D.sign_Data[[#This Row],[VALOR NETO ($COP)]]/(100%-D.sign_Data[[#This Row],[MARGEN DE NEGOCIACIÓN (%)]])-D.sign_Data[[#This Row],[VALOR NETO ($COP)]]</f>
        <v>1978.2936681964202</v>
      </c>
      <c r="AE248" s="15">
        <f>+(D.sign_Data[[#This Row],[VALOR NETO ($COP)]]+D.sign_Data[[#This Row],[NEGOCIACIÓN ($COP)]])*1%</f>
        <v>395.65873363928432</v>
      </c>
      <c r="AF248" s="15">
        <f>+(D.sign_Data[[#This Row],[VALOR NETO ($COP)]]+D.sign_Data[[#This Row],[NEGOCIACIÓN ($COP)]])*1%</f>
        <v>395.65873363928432</v>
      </c>
      <c r="AG248" s="3">
        <f>+D.sign_Data[[#This Row],[VALOR NETO ($COP)]]+D.sign_Data[[#This Row],[NEGOCIACIÓN ($COP)]]+D.sign_Data[[#This Row],[ICA ($COP)]]+D.sign_Data[[#This Row],[4 * 1000 ($COP)]]</f>
        <v>40357.190831207001</v>
      </c>
    </row>
    <row r="249" spans="1:33" ht="60" hidden="1" customHeight="1" x14ac:dyDescent="0.25">
      <c r="A249" s="14"/>
      <c r="B249" s="87" t="s">
        <v>493</v>
      </c>
      <c r="C249" s="182" t="s">
        <v>601</v>
      </c>
      <c r="D249" s="189" t="str">
        <f>VLOOKUP(D.sign_Data[[#This Row],[CÓDIGO]],Descripciones[[CÓDIGO]:[NOMBRE DE SERVICIO]],3,FALSE)</f>
        <v>D1. Parcelaciones y Condominios</v>
      </c>
      <c r="E249" s="87" t="s">
        <v>497</v>
      </c>
      <c r="F249" s="88" t="s">
        <v>602</v>
      </c>
      <c r="G249" s="88" t="s">
        <v>587</v>
      </c>
      <c r="H249" s="104" t="s">
        <v>552</v>
      </c>
      <c r="I249" s="89">
        <v>1</v>
      </c>
      <c r="J249" s="88" t="s">
        <v>588</v>
      </c>
      <c r="K249" s="102"/>
      <c r="L249" s="88" t="s">
        <v>591</v>
      </c>
      <c r="M249" s="89" t="s">
        <v>381</v>
      </c>
      <c r="N249" s="90">
        <v>1</v>
      </c>
      <c r="O249" s="27">
        <f>IFERROR(+VLOOKUP(M249,D.sign_Lista_Data[[RESPONSABLE]:[SOFTWARE 
VALOR HORA]],3,FALSE),"0")</f>
        <v>20263.424518743668</v>
      </c>
      <c r="P249" s="3">
        <f t="shared" si="8"/>
        <v>20263.424518743668</v>
      </c>
      <c r="Q249" s="11">
        <f>IFERROR(+VLOOKUP(M249,D.sign_Lista_Data[[RESPONSABLE]:[SOFTWARE 
VALOR HORA]],5,FALSE)*D.sign_Data[[#This Row],[TIEMPO (HORAS)]],0)</f>
        <v>4221.5467747382636</v>
      </c>
      <c r="R249" s="42">
        <f>IFERROR(+VLOOKUP(M249,D.sign_Lista_Data[[RESPONSABLE]:[SOFTWARE 
VALOR HORA]],8,FALSE)*D.sign_Data[[#This Row],[TIEMPO (HORAS)]],0)</f>
        <v>3410.8548871439834</v>
      </c>
      <c r="S249" s="99">
        <v>0</v>
      </c>
      <c r="T249" s="99">
        <v>0</v>
      </c>
      <c r="U249" s="3">
        <f t="shared" si="9"/>
        <v>27895.826180625918</v>
      </c>
      <c r="V249" s="100">
        <f>D.sign_Data[[#This Row],[TIEMPO (HORAS)]]*Gastos_Operativos[[#Totals],[GASTOS HORA]]</f>
        <v>27789.477072310401</v>
      </c>
      <c r="W249" s="3">
        <f>+D.sign_Data[[#This Row],[COSTO 
DIRECTO ($COP)]]+D.sign_Data[[#This Row],[PRORRATEO GASTOS ($COP)]]</f>
        <v>55685.303252936319</v>
      </c>
      <c r="X249" s="101">
        <v>0.1</v>
      </c>
      <c r="Y249" s="15">
        <f>+D.sign_Data[[#This Row],[COSTOS OPERACIONALES ($COP)]]*D.sign_Data[[#This Row],[DESFASE (%)]]</f>
        <v>5568.5303252936319</v>
      </c>
      <c r="Z249" s="101">
        <v>0.2</v>
      </c>
      <c r="AA249" s="15">
        <f>+((D.sign_Data[[#This Row],[COSTOS OPERACIONALES ($COP)]]/(100%-D.sign_Data[[#This Row],[UTILIDAD (%)]])))-D.sign_Data[[#This Row],[COSTOS OPERACIONALES ($COP)]]</f>
        <v>13921.325813234078</v>
      </c>
      <c r="AB249" s="3">
        <f>+D.sign_Data[[#This Row],[COSTOS OPERACIONALES ($COP)]]+D.sign_Data[[#This Row],[DESFASE ($COP)]]+D.sign_Data[[#This Row],[UTILIDAD ($COP)]]</f>
        <v>75175.159391464025</v>
      </c>
      <c r="AC249" s="101">
        <v>0.05</v>
      </c>
      <c r="AD249" s="15">
        <f>+D.sign_Data[[#This Row],[VALOR NETO ($COP)]]/(100%-D.sign_Data[[#This Row],[MARGEN DE NEGOCIACIÓN (%)]])-D.sign_Data[[#This Row],[VALOR NETO ($COP)]]</f>
        <v>3956.5873363928404</v>
      </c>
      <c r="AE249" s="15">
        <f>+(D.sign_Data[[#This Row],[VALOR NETO ($COP)]]+D.sign_Data[[#This Row],[NEGOCIACIÓN ($COP)]])*1%</f>
        <v>791.31746727856864</v>
      </c>
      <c r="AF249" s="15">
        <f>+(D.sign_Data[[#This Row],[VALOR NETO ($COP)]]+D.sign_Data[[#This Row],[NEGOCIACIÓN ($COP)]])*1%</f>
        <v>791.31746727856864</v>
      </c>
      <c r="AG249" s="3">
        <f>+D.sign_Data[[#This Row],[VALOR NETO ($COP)]]+D.sign_Data[[#This Row],[NEGOCIACIÓN ($COP)]]+D.sign_Data[[#This Row],[ICA ($COP)]]+D.sign_Data[[#This Row],[4 * 1000 ($COP)]]</f>
        <v>80714.381662414002</v>
      </c>
    </row>
    <row r="250" spans="1:33" ht="60" hidden="1" customHeight="1" x14ac:dyDescent="0.25">
      <c r="A250" s="14"/>
      <c r="B250" s="87" t="s">
        <v>493</v>
      </c>
      <c r="C250" s="182" t="s">
        <v>601</v>
      </c>
      <c r="D250" s="189" t="str">
        <f>VLOOKUP(D.sign_Data[[#This Row],[CÓDIGO]],Descripciones[[CÓDIGO]:[NOMBRE DE SERVICIO]],3,FALSE)</f>
        <v>D1. Parcelaciones y Condominios</v>
      </c>
      <c r="E250" s="87" t="s">
        <v>497</v>
      </c>
      <c r="F250" s="88" t="s">
        <v>602</v>
      </c>
      <c r="G250" s="88" t="s">
        <v>587</v>
      </c>
      <c r="H250" s="104" t="s">
        <v>552</v>
      </c>
      <c r="I250" s="89">
        <v>1</v>
      </c>
      <c r="J250" s="88" t="s">
        <v>588</v>
      </c>
      <c r="K250" s="102"/>
      <c r="L250" s="88" t="s">
        <v>570</v>
      </c>
      <c r="M250" s="89" t="s">
        <v>381</v>
      </c>
      <c r="N250" s="90">
        <v>1</v>
      </c>
      <c r="O250" s="27">
        <f>IFERROR(+VLOOKUP(M250,D.sign_Lista_Data[[RESPONSABLE]:[SOFTWARE 
VALOR HORA]],3,FALSE),"0")</f>
        <v>20263.424518743668</v>
      </c>
      <c r="P250" s="3">
        <f t="shared" si="8"/>
        <v>20263.424518743668</v>
      </c>
      <c r="Q250" s="11">
        <f>IFERROR(+VLOOKUP(M250,D.sign_Lista_Data[[RESPONSABLE]:[SOFTWARE 
VALOR HORA]],5,FALSE)*D.sign_Data[[#This Row],[TIEMPO (HORAS)]],0)</f>
        <v>4221.5467747382636</v>
      </c>
      <c r="R250" s="42">
        <f>IFERROR(+VLOOKUP(M250,D.sign_Lista_Data[[RESPONSABLE]:[SOFTWARE 
VALOR HORA]],8,FALSE)*D.sign_Data[[#This Row],[TIEMPO (HORAS)]],0)</f>
        <v>3410.8548871439834</v>
      </c>
      <c r="S250" s="99">
        <v>0</v>
      </c>
      <c r="T250" s="99">
        <v>0</v>
      </c>
      <c r="U250" s="3">
        <f t="shared" si="9"/>
        <v>27895.826180625918</v>
      </c>
      <c r="V250" s="100">
        <f>D.sign_Data[[#This Row],[TIEMPO (HORAS)]]*Gastos_Operativos[[#Totals],[GASTOS HORA]]</f>
        <v>27789.477072310401</v>
      </c>
      <c r="W250" s="3">
        <f>+D.sign_Data[[#This Row],[COSTO 
DIRECTO ($COP)]]+D.sign_Data[[#This Row],[PRORRATEO GASTOS ($COP)]]</f>
        <v>55685.303252936319</v>
      </c>
      <c r="X250" s="101">
        <v>0.1</v>
      </c>
      <c r="Y250" s="15">
        <f>+D.sign_Data[[#This Row],[COSTOS OPERACIONALES ($COP)]]*D.sign_Data[[#This Row],[DESFASE (%)]]</f>
        <v>5568.5303252936319</v>
      </c>
      <c r="Z250" s="101">
        <v>0.2</v>
      </c>
      <c r="AA250" s="15">
        <f>+((D.sign_Data[[#This Row],[COSTOS OPERACIONALES ($COP)]]/(100%-D.sign_Data[[#This Row],[UTILIDAD (%)]])))-D.sign_Data[[#This Row],[COSTOS OPERACIONALES ($COP)]]</f>
        <v>13921.325813234078</v>
      </c>
      <c r="AB250" s="3">
        <f>+D.sign_Data[[#This Row],[COSTOS OPERACIONALES ($COP)]]+D.sign_Data[[#This Row],[DESFASE ($COP)]]+D.sign_Data[[#This Row],[UTILIDAD ($COP)]]</f>
        <v>75175.159391464025</v>
      </c>
      <c r="AC250" s="101">
        <v>0.05</v>
      </c>
      <c r="AD250" s="15">
        <f>+D.sign_Data[[#This Row],[VALOR NETO ($COP)]]/(100%-D.sign_Data[[#This Row],[MARGEN DE NEGOCIACIÓN (%)]])-D.sign_Data[[#This Row],[VALOR NETO ($COP)]]</f>
        <v>3956.5873363928404</v>
      </c>
      <c r="AE250" s="15">
        <f>+(D.sign_Data[[#This Row],[VALOR NETO ($COP)]]+D.sign_Data[[#This Row],[NEGOCIACIÓN ($COP)]])*1%</f>
        <v>791.31746727856864</v>
      </c>
      <c r="AF250" s="15">
        <f>+(D.sign_Data[[#This Row],[VALOR NETO ($COP)]]+D.sign_Data[[#This Row],[NEGOCIACIÓN ($COP)]])*1%</f>
        <v>791.31746727856864</v>
      </c>
      <c r="AG250" s="3">
        <f>+D.sign_Data[[#This Row],[VALOR NETO ($COP)]]+D.sign_Data[[#This Row],[NEGOCIACIÓN ($COP)]]+D.sign_Data[[#This Row],[ICA ($COP)]]+D.sign_Data[[#This Row],[4 * 1000 ($COP)]]</f>
        <v>80714.381662414002</v>
      </c>
    </row>
    <row r="251" spans="1:33" ht="60" hidden="1" customHeight="1" x14ac:dyDescent="0.25">
      <c r="A251" s="14"/>
      <c r="B251" s="87" t="s">
        <v>493</v>
      </c>
      <c r="C251" s="182" t="s">
        <v>601</v>
      </c>
      <c r="D251" s="189" t="str">
        <f>VLOOKUP(D.sign_Data[[#This Row],[CÓDIGO]],Descripciones[[CÓDIGO]:[NOMBRE DE SERVICIO]],3,FALSE)</f>
        <v>D1. Parcelaciones y Condominios</v>
      </c>
      <c r="E251" s="87" t="s">
        <v>497</v>
      </c>
      <c r="F251" s="88" t="s">
        <v>602</v>
      </c>
      <c r="G251" s="88" t="s">
        <v>587</v>
      </c>
      <c r="H251" s="104" t="s">
        <v>552</v>
      </c>
      <c r="I251" s="89">
        <v>1</v>
      </c>
      <c r="J251" s="88" t="s">
        <v>588</v>
      </c>
      <c r="K251" s="102"/>
      <c r="L251" s="88" t="s">
        <v>571</v>
      </c>
      <c r="M251" s="89" t="s">
        <v>381</v>
      </c>
      <c r="N251" s="90">
        <v>0.1</v>
      </c>
      <c r="O251" s="27">
        <f>IFERROR(+VLOOKUP(M251,D.sign_Lista_Data[[RESPONSABLE]:[SOFTWARE 
VALOR HORA]],3,FALSE),"0")</f>
        <v>20263.424518743668</v>
      </c>
      <c r="P251" s="3">
        <f t="shared" si="8"/>
        <v>2026.3424518743668</v>
      </c>
      <c r="Q251" s="11">
        <f>IFERROR(+VLOOKUP(M251,D.sign_Lista_Data[[RESPONSABLE]:[SOFTWARE 
VALOR HORA]],5,FALSE)*D.sign_Data[[#This Row],[TIEMPO (HORAS)]],0)</f>
        <v>422.15467747382638</v>
      </c>
      <c r="R251" s="42">
        <f>IFERROR(+VLOOKUP(M251,D.sign_Lista_Data[[RESPONSABLE]:[SOFTWARE 
VALOR HORA]],8,FALSE)*D.sign_Data[[#This Row],[TIEMPO (HORAS)]],0)</f>
        <v>341.08548871439837</v>
      </c>
      <c r="S251" s="99">
        <v>0</v>
      </c>
      <c r="T251" s="99">
        <v>0</v>
      </c>
      <c r="U251" s="3">
        <f t="shared" si="9"/>
        <v>2789.5826180625913</v>
      </c>
      <c r="V251" s="100">
        <f>D.sign_Data[[#This Row],[TIEMPO (HORAS)]]*Gastos_Operativos[[#Totals],[GASTOS HORA]]</f>
        <v>2778.9477072310401</v>
      </c>
      <c r="W251" s="3">
        <f>+D.sign_Data[[#This Row],[COSTO 
DIRECTO ($COP)]]+D.sign_Data[[#This Row],[PRORRATEO GASTOS ($COP)]]</f>
        <v>5568.5303252936319</v>
      </c>
      <c r="X251" s="101">
        <v>0.1</v>
      </c>
      <c r="Y251" s="15">
        <f>+D.sign_Data[[#This Row],[COSTOS OPERACIONALES ($COP)]]*D.sign_Data[[#This Row],[DESFASE (%)]]</f>
        <v>556.85303252936319</v>
      </c>
      <c r="Z251" s="101">
        <v>0.2</v>
      </c>
      <c r="AA251" s="15">
        <f>+((D.sign_Data[[#This Row],[COSTOS OPERACIONALES ($COP)]]/(100%-D.sign_Data[[#This Row],[UTILIDAD (%)]])))-D.sign_Data[[#This Row],[COSTOS OPERACIONALES ($COP)]]</f>
        <v>1392.132581323408</v>
      </c>
      <c r="AB251" s="3">
        <f>+D.sign_Data[[#This Row],[COSTOS OPERACIONALES ($COP)]]+D.sign_Data[[#This Row],[DESFASE ($COP)]]+D.sign_Data[[#This Row],[UTILIDAD ($COP)]]</f>
        <v>7517.5159391464031</v>
      </c>
      <c r="AC251" s="101">
        <v>0.05</v>
      </c>
      <c r="AD251" s="15">
        <f>+D.sign_Data[[#This Row],[VALOR NETO ($COP)]]/(100%-D.sign_Data[[#This Row],[MARGEN DE NEGOCIACIÓN (%)]])-D.sign_Data[[#This Row],[VALOR NETO ($COP)]]</f>
        <v>395.65873363928495</v>
      </c>
      <c r="AE251" s="15">
        <f>+(D.sign_Data[[#This Row],[VALOR NETO ($COP)]]+D.sign_Data[[#This Row],[NEGOCIACIÓN ($COP)]])*1%</f>
        <v>79.131746727856878</v>
      </c>
      <c r="AF251" s="15">
        <f>+(D.sign_Data[[#This Row],[VALOR NETO ($COP)]]+D.sign_Data[[#This Row],[NEGOCIACIÓN ($COP)]])*1%</f>
        <v>79.131746727856878</v>
      </c>
      <c r="AG251" s="3">
        <f>+D.sign_Data[[#This Row],[VALOR NETO ($COP)]]+D.sign_Data[[#This Row],[NEGOCIACIÓN ($COP)]]+D.sign_Data[[#This Row],[ICA ($COP)]]+D.sign_Data[[#This Row],[4 * 1000 ($COP)]]</f>
        <v>8071.4381662414016</v>
      </c>
    </row>
    <row r="252" spans="1:33" ht="60" hidden="1" customHeight="1" x14ac:dyDescent="0.25">
      <c r="A252" s="14"/>
      <c r="B252" s="87" t="s">
        <v>493</v>
      </c>
      <c r="C252" s="182" t="s">
        <v>601</v>
      </c>
      <c r="D252" s="189" t="str">
        <f>VLOOKUP(D.sign_Data[[#This Row],[CÓDIGO]],Descripciones[[CÓDIGO]:[NOMBRE DE SERVICIO]],3,FALSE)</f>
        <v>D1. Parcelaciones y Condominios</v>
      </c>
      <c r="E252" s="87" t="s">
        <v>497</v>
      </c>
      <c r="F252" s="88" t="s">
        <v>602</v>
      </c>
      <c r="G252" s="88" t="s">
        <v>587</v>
      </c>
      <c r="H252" s="104" t="s">
        <v>552</v>
      </c>
      <c r="I252" s="89">
        <v>1</v>
      </c>
      <c r="J252" s="88" t="s">
        <v>588</v>
      </c>
      <c r="K252" s="102"/>
      <c r="L252" s="88" t="s">
        <v>579</v>
      </c>
      <c r="M252" s="89" t="s">
        <v>381</v>
      </c>
      <c r="N252" s="90">
        <v>0.5</v>
      </c>
      <c r="O252" s="27">
        <f>IFERROR(+VLOOKUP(M252,D.sign_Lista_Data[[RESPONSABLE]:[SOFTWARE 
VALOR HORA]],3,FALSE),"0")</f>
        <v>20263.424518743668</v>
      </c>
      <c r="P252" s="3">
        <f t="shared" si="8"/>
        <v>10131.712259371834</v>
      </c>
      <c r="Q252" s="11">
        <f>IFERROR(+VLOOKUP(M252,D.sign_Lista_Data[[RESPONSABLE]:[SOFTWARE 
VALOR HORA]],5,FALSE)*D.sign_Data[[#This Row],[TIEMPO (HORAS)]],0)</f>
        <v>2110.7733873691318</v>
      </c>
      <c r="R252" s="42">
        <f>IFERROR(+VLOOKUP(M252,D.sign_Lista_Data[[RESPONSABLE]:[SOFTWARE 
VALOR HORA]],8,FALSE)*D.sign_Data[[#This Row],[TIEMPO (HORAS)]],0)</f>
        <v>1705.4274435719917</v>
      </c>
      <c r="S252" s="99">
        <v>0</v>
      </c>
      <c r="T252" s="99">
        <v>0</v>
      </c>
      <c r="U252" s="3">
        <f t="shared" si="9"/>
        <v>13947.913090312959</v>
      </c>
      <c r="V252" s="100">
        <f>D.sign_Data[[#This Row],[TIEMPO (HORAS)]]*Gastos_Operativos[[#Totals],[GASTOS HORA]]</f>
        <v>13894.738536155201</v>
      </c>
      <c r="W252" s="3">
        <f>+D.sign_Data[[#This Row],[COSTO 
DIRECTO ($COP)]]+D.sign_Data[[#This Row],[PRORRATEO GASTOS ($COP)]]</f>
        <v>27842.65162646816</v>
      </c>
      <c r="X252" s="101">
        <v>0.1</v>
      </c>
      <c r="Y252" s="15">
        <f>+D.sign_Data[[#This Row],[COSTOS OPERACIONALES ($COP)]]*D.sign_Data[[#This Row],[DESFASE (%)]]</f>
        <v>2784.265162646816</v>
      </c>
      <c r="Z252" s="101">
        <v>0.2</v>
      </c>
      <c r="AA252" s="15">
        <f>+((D.sign_Data[[#This Row],[COSTOS OPERACIONALES ($COP)]]/(100%-D.sign_Data[[#This Row],[UTILIDAD (%)]])))-D.sign_Data[[#This Row],[COSTOS OPERACIONALES ($COP)]]</f>
        <v>6960.662906617039</v>
      </c>
      <c r="AB252" s="3">
        <f>+D.sign_Data[[#This Row],[COSTOS OPERACIONALES ($COP)]]+D.sign_Data[[#This Row],[DESFASE ($COP)]]+D.sign_Data[[#This Row],[UTILIDAD ($COP)]]</f>
        <v>37587.579695732013</v>
      </c>
      <c r="AC252" s="101">
        <v>0.05</v>
      </c>
      <c r="AD252" s="15">
        <f>+D.sign_Data[[#This Row],[VALOR NETO ($COP)]]/(100%-D.sign_Data[[#This Row],[MARGEN DE NEGOCIACIÓN (%)]])-D.sign_Data[[#This Row],[VALOR NETO ($COP)]]</f>
        <v>1978.2936681964202</v>
      </c>
      <c r="AE252" s="15">
        <f>+(D.sign_Data[[#This Row],[VALOR NETO ($COP)]]+D.sign_Data[[#This Row],[NEGOCIACIÓN ($COP)]])*1%</f>
        <v>395.65873363928432</v>
      </c>
      <c r="AF252" s="15">
        <f>+(D.sign_Data[[#This Row],[VALOR NETO ($COP)]]+D.sign_Data[[#This Row],[NEGOCIACIÓN ($COP)]])*1%</f>
        <v>395.65873363928432</v>
      </c>
      <c r="AG252" s="3">
        <f>+D.sign_Data[[#This Row],[VALOR NETO ($COP)]]+D.sign_Data[[#This Row],[NEGOCIACIÓN ($COP)]]+D.sign_Data[[#This Row],[ICA ($COP)]]+D.sign_Data[[#This Row],[4 * 1000 ($COP)]]</f>
        <v>40357.190831207001</v>
      </c>
    </row>
    <row r="253" spans="1:33" ht="60" hidden="1" customHeight="1" x14ac:dyDescent="0.25">
      <c r="A253" s="14"/>
      <c r="B253" s="87" t="s">
        <v>493</v>
      </c>
      <c r="C253" s="182" t="s">
        <v>601</v>
      </c>
      <c r="D253" s="189" t="str">
        <f>VLOOKUP(D.sign_Data[[#This Row],[CÓDIGO]],Descripciones[[CÓDIGO]:[NOMBRE DE SERVICIO]],3,FALSE)</f>
        <v>D1. Parcelaciones y Condominios</v>
      </c>
      <c r="E253" s="87" t="s">
        <v>497</v>
      </c>
      <c r="F253" s="88" t="s">
        <v>602</v>
      </c>
      <c r="G253" s="88" t="s">
        <v>592</v>
      </c>
      <c r="H253" s="104" t="s">
        <v>552</v>
      </c>
      <c r="I253" s="89">
        <v>1</v>
      </c>
      <c r="J253" s="88" t="s">
        <v>588</v>
      </c>
      <c r="K253" s="102"/>
      <c r="L253" s="88" t="s">
        <v>572</v>
      </c>
      <c r="M253" s="89" t="s">
        <v>381</v>
      </c>
      <c r="N253" s="90">
        <v>0.1</v>
      </c>
      <c r="O253" s="27">
        <f>IFERROR(+VLOOKUP(M253,D.sign_Lista_Data[[RESPONSABLE]:[SOFTWARE 
VALOR HORA]],3,FALSE),"0")</f>
        <v>20263.424518743668</v>
      </c>
      <c r="P253" s="3">
        <f t="shared" si="8"/>
        <v>2026.3424518743668</v>
      </c>
      <c r="Q253" s="11">
        <f>IFERROR(+VLOOKUP(M253,D.sign_Lista_Data[[RESPONSABLE]:[SOFTWARE 
VALOR HORA]],5,FALSE)*D.sign_Data[[#This Row],[TIEMPO (HORAS)]],0)</f>
        <v>422.15467747382638</v>
      </c>
      <c r="R253" s="42">
        <f>IFERROR(+VLOOKUP(M253,D.sign_Lista_Data[[RESPONSABLE]:[SOFTWARE 
VALOR HORA]],8,FALSE)*D.sign_Data[[#This Row],[TIEMPO (HORAS)]],0)</f>
        <v>341.08548871439837</v>
      </c>
      <c r="S253" s="99">
        <v>0</v>
      </c>
      <c r="T253" s="99">
        <v>0</v>
      </c>
      <c r="U253" s="3">
        <f t="shared" si="9"/>
        <v>2789.5826180625913</v>
      </c>
      <c r="V253" s="100">
        <f>D.sign_Data[[#This Row],[TIEMPO (HORAS)]]*Gastos_Operativos[[#Totals],[GASTOS HORA]]</f>
        <v>2778.9477072310401</v>
      </c>
      <c r="W253" s="3">
        <f>+D.sign_Data[[#This Row],[COSTO 
DIRECTO ($COP)]]+D.sign_Data[[#This Row],[PRORRATEO GASTOS ($COP)]]</f>
        <v>5568.5303252936319</v>
      </c>
      <c r="X253" s="101">
        <v>0.1</v>
      </c>
      <c r="Y253" s="15">
        <f>+D.sign_Data[[#This Row],[COSTOS OPERACIONALES ($COP)]]*D.sign_Data[[#This Row],[DESFASE (%)]]</f>
        <v>556.85303252936319</v>
      </c>
      <c r="Z253" s="101">
        <v>0.2</v>
      </c>
      <c r="AA253" s="15">
        <f>+((D.sign_Data[[#This Row],[COSTOS OPERACIONALES ($COP)]]/(100%-D.sign_Data[[#This Row],[UTILIDAD (%)]])))-D.sign_Data[[#This Row],[COSTOS OPERACIONALES ($COP)]]</f>
        <v>1392.132581323408</v>
      </c>
      <c r="AB253" s="3">
        <f>+D.sign_Data[[#This Row],[COSTOS OPERACIONALES ($COP)]]+D.sign_Data[[#This Row],[DESFASE ($COP)]]+D.sign_Data[[#This Row],[UTILIDAD ($COP)]]</f>
        <v>7517.5159391464031</v>
      </c>
      <c r="AC253" s="101">
        <v>0.05</v>
      </c>
      <c r="AD253" s="15">
        <f>+D.sign_Data[[#This Row],[VALOR NETO ($COP)]]/(100%-D.sign_Data[[#This Row],[MARGEN DE NEGOCIACIÓN (%)]])-D.sign_Data[[#This Row],[VALOR NETO ($COP)]]</f>
        <v>395.65873363928495</v>
      </c>
      <c r="AE253" s="15">
        <f>+(D.sign_Data[[#This Row],[VALOR NETO ($COP)]]+D.sign_Data[[#This Row],[NEGOCIACIÓN ($COP)]])*1%</f>
        <v>79.131746727856878</v>
      </c>
      <c r="AF253" s="15">
        <f>+(D.sign_Data[[#This Row],[VALOR NETO ($COP)]]+D.sign_Data[[#This Row],[NEGOCIACIÓN ($COP)]])*1%</f>
        <v>79.131746727856878</v>
      </c>
      <c r="AG253" s="3">
        <f>+D.sign_Data[[#This Row],[VALOR NETO ($COP)]]+D.sign_Data[[#This Row],[NEGOCIACIÓN ($COP)]]+D.sign_Data[[#This Row],[ICA ($COP)]]+D.sign_Data[[#This Row],[4 * 1000 ($COP)]]</f>
        <v>8071.4381662414016</v>
      </c>
    </row>
    <row r="254" spans="1:33" ht="60" hidden="1" customHeight="1" x14ac:dyDescent="0.25">
      <c r="A254" s="14"/>
      <c r="B254" s="87" t="s">
        <v>493</v>
      </c>
      <c r="C254" s="182" t="s">
        <v>601</v>
      </c>
      <c r="D254" s="189" t="str">
        <f>VLOOKUP(D.sign_Data[[#This Row],[CÓDIGO]],Descripciones[[CÓDIGO]:[NOMBRE DE SERVICIO]],3,FALSE)</f>
        <v>D1. Parcelaciones y Condominios</v>
      </c>
      <c r="E254" s="87" t="s">
        <v>497</v>
      </c>
      <c r="F254" s="88" t="s">
        <v>602</v>
      </c>
      <c r="G254" s="88" t="s">
        <v>587</v>
      </c>
      <c r="H254" s="104" t="s">
        <v>552</v>
      </c>
      <c r="I254" s="89">
        <v>1</v>
      </c>
      <c r="J254" s="88" t="s">
        <v>615</v>
      </c>
      <c r="K254" s="102"/>
      <c r="L254" s="88" t="s">
        <v>575</v>
      </c>
      <c r="M254" s="89" t="s">
        <v>381</v>
      </c>
      <c r="N254" s="90">
        <v>0.2</v>
      </c>
      <c r="O254" s="27">
        <f>IFERROR(+VLOOKUP(M254,D.sign_Lista_Data[[RESPONSABLE]:[SOFTWARE 
VALOR HORA]],3,FALSE),"0")</f>
        <v>20263.424518743668</v>
      </c>
      <c r="P254" s="3">
        <f t="shared" si="8"/>
        <v>4052.6849037487336</v>
      </c>
      <c r="Q254" s="11">
        <f>IFERROR(+VLOOKUP(M254,D.sign_Lista_Data[[RESPONSABLE]:[SOFTWARE 
VALOR HORA]],5,FALSE)*D.sign_Data[[#This Row],[TIEMPO (HORAS)]],0)</f>
        <v>844.30935494765276</v>
      </c>
      <c r="R254" s="42">
        <f>IFERROR(+VLOOKUP(M254,D.sign_Lista_Data[[RESPONSABLE]:[SOFTWARE 
VALOR HORA]],8,FALSE)*D.sign_Data[[#This Row],[TIEMPO (HORAS)]],0)</f>
        <v>682.17097742879673</v>
      </c>
      <c r="S254" s="99">
        <v>0</v>
      </c>
      <c r="T254" s="99">
        <v>0</v>
      </c>
      <c r="U254" s="3">
        <f t="shared" si="9"/>
        <v>5579.1652361251827</v>
      </c>
      <c r="V254" s="100">
        <f>D.sign_Data[[#This Row],[TIEMPO (HORAS)]]*Gastos_Operativos[[#Totals],[GASTOS HORA]]</f>
        <v>5557.8954144620802</v>
      </c>
      <c r="W254" s="3">
        <f>+D.sign_Data[[#This Row],[COSTO 
DIRECTO ($COP)]]+D.sign_Data[[#This Row],[PRORRATEO GASTOS ($COP)]]</f>
        <v>11137.060650587264</v>
      </c>
      <c r="X254" s="101">
        <v>0.1</v>
      </c>
      <c r="Y254" s="15">
        <f>+D.sign_Data[[#This Row],[COSTOS OPERACIONALES ($COP)]]*D.sign_Data[[#This Row],[DESFASE (%)]]</f>
        <v>1113.7060650587264</v>
      </c>
      <c r="Z254" s="101">
        <v>0.2</v>
      </c>
      <c r="AA254" s="15">
        <f>+((D.sign_Data[[#This Row],[COSTOS OPERACIONALES ($COP)]]/(100%-D.sign_Data[[#This Row],[UTILIDAD (%)]])))-D.sign_Data[[#This Row],[COSTOS OPERACIONALES ($COP)]]</f>
        <v>2784.265162646816</v>
      </c>
      <c r="AB254" s="3">
        <f>+D.sign_Data[[#This Row],[COSTOS OPERACIONALES ($COP)]]+D.sign_Data[[#This Row],[DESFASE ($COP)]]+D.sign_Data[[#This Row],[UTILIDAD ($COP)]]</f>
        <v>15035.031878292806</v>
      </c>
      <c r="AC254" s="101">
        <v>0.05</v>
      </c>
      <c r="AD254" s="15">
        <f>+D.sign_Data[[#This Row],[VALOR NETO ($COP)]]/(100%-D.sign_Data[[#This Row],[MARGEN DE NEGOCIACIÓN (%)]])-D.sign_Data[[#This Row],[VALOR NETO ($COP)]]</f>
        <v>791.31746727856989</v>
      </c>
      <c r="AE254" s="15">
        <f>+(D.sign_Data[[#This Row],[VALOR NETO ($COP)]]+D.sign_Data[[#This Row],[NEGOCIACIÓN ($COP)]])*1%</f>
        <v>158.26349345571376</v>
      </c>
      <c r="AF254" s="15">
        <f>+(D.sign_Data[[#This Row],[VALOR NETO ($COP)]]+D.sign_Data[[#This Row],[NEGOCIACIÓN ($COP)]])*1%</f>
        <v>158.26349345571376</v>
      </c>
      <c r="AG254" s="3">
        <f>+D.sign_Data[[#This Row],[VALOR NETO ($COP)]]+D.sign_Data[[#This Row],[NEGOCIACIÓN ($COP)]]+D.sign_Data[[#This Row],[ICA ($COP)]]+D.sign_Data[[#This Row],[4 * 1000 ($COP)]]</f>
        <v>16142.876332482803</v>
      </c>
    </row>
    <row r="255" spans="1:33" ht="60" hidden="1" customHeight="1" x14ac:dyDescent="0.25">
      <c r="A255" s="14"/>
      <c r="B255" s="87" t="s">
        <v>493</v>
      </c>
      <c r="C255" s="182" t="s">
        <v>601</v>
      </c>
      <c r="D255" s="189" t="str">
        <f>VLOOKUP(D.sign_Data[[#This Row],[CÓDIGO]],Descripciones[[CÓDIGO]:[NOMBRE DE SERVICIO]],3,FALSE)</f>
        <v>D1. Parcelaciones y Condominios</v>
      </c>
      <c r="E255" s="87" t="s">
        <v>497</v>
      </c>
      <c r="F255" s="88" t="s">
        <v>602</v>
      </c>
      <c r="G255" s="88" t="s">
        <v>587</v>
      </c>
      <c r="H255" s="104" t="s">
        <v>552</v>
      </c>
      <c r="I255" s="89">
        <v>1</v>
      </c>
      <c r="J255" s="88" t="s">
        <v>615</v>
      </c>
      <c r="K255" s="102"/>
      <c r="L255" s="88" t="s">
        <v>616</v>
      </c>
      <c r="M255" s="89" t="s">
        <v>381</v>
      </c>
      <c r="N255" s="90">
        <v>1</v>
      </c>
      <c r="O255" s="27">
        <f>IFERROR(+VLOOKUP(M255,D.sign_Lista_Data[[RESPONSABLE]:[SOFTWARE 
VALOR HORA]],3,FALSE),"0")</f>
        <v>20263.424518743668</v>
      </c>
      <c r="P255" s="3">
        <f t="shared" si="8"/>
        <v>20263.424518743668</v>
      </c>
      <c r="Q255" s="11">
        <f>IFERROR(+VLOOKUP(M255,D.sign_Lista_Data[[RESPONSABLE]:[SOFTWARE 
VALOR HORA]],5,FALSE)*D.sign_Data[[#This Row],[TIEMPO (HORAS)]],0)</f>
        <v>4221.5467747382636</v>
      </c>
      <c r="R255" s="42">
        <f>IFERROR(+VLOOKUP(M255,D.sign_Lista_Data[[RESPONSABLE]:[SOFTWARE 
VALOR HORA]],8,FALSE)*D.sign_Data[[#This Row],[TIEMPO (HORAS)]],0)</f>
        <v>3410.8548871439834</v>
      </c>
      <c r="S255" s="99">
        <v>0</v>
      </c>
      <c r="T255" s="99">
        <v>0</v>
      </c>
      <c r="U255" s="3">
        <f t="shared" si="9"/>
        <v>27895.826180625918</v>
      </c>
      <c r="V255" s="100">
        <f>D.sign_Data[[#This Row],[TIEMPO (HORAS)]]*Gastos_Operativos[[#Totals],[GASTOS HORA]]</f>
        <v>27789.477072310401</v>
      </c>
      <c r="W255" s="3">
        <f>+D.sign_Data[[#This Row],[COSTO 
DIRECTO ($COP)]]+D.sign_Data[[#This Row],[PRORRATEO GASTOS ($COP)]]</f>
        <v>55685.303252936319</v>
      </c>
      <c r="X255" s="101">
        <v>0.1</v>
      </c>
      <c r="Y255" s="15">
        <f>+D.sign_Data[[#This Row],[COSTOS OPERACIONALES ($COP)]]*D.sign_Data[[#This Row],[DESFASE (%)]]</f>
        <v>5568.5303252936319</v>
      </c>
      <c r="Z255" s="101">
        <v>0.2</v>
      </c>
      <c r="AA255" s="15">
        <f>+((D.sign_Data[[#This Row],[COSTOS OPERACIONALES ($COP)]]/(100%-D.sign_Data[[#This Row],[UTILIDAD (%)]])))-D.sign_Data[[#This Row],[COSTOS OPERACIONALES ($COP)]]</f>
        <v>13921.325813234078</v>
      </c>
      <c r="AB255" s="3">
        <f>+D.sign_Data[[#This Row],[COSTOS OPERACIONALES ($COP)]]+D.sign_Data[[#This Row],[DESFASE ($COP)]]+D.sign_Data[[#This Row],[UTILIDAD ($COP)]]</f>
        <v>75175.159391464025</v>
      </c>
      <c r="AC255" s="101">
        <v>0.05</v>
      </c>
      <c r="AD255" s="15">
        <f>+D.sign_Data[[#This Row],[VALOR NETO ($COP)]]/(100%-D.sign_Data[[#This Row],[MARGEN DE NEGOCIACIÓN (%)]])-D.sign_Data[[#This Row],[VALOR NETO ($COP)]]</f>
        <v>3956.5873363928404</v>
      </c>
      <c r="AE255" s="15">
        <f>+(D.sign_Data[[#This Row],[VALOR NETO ($COP)]]+D.sign_Data[[#This Row],[NEGOCIACIÓN ($COP)]])*1%</f>
        <v>791.31746727856864</v>
      </c>
      <c r="AF255" s="15">
        <f>+(D.sign_Data[[#This Row],[VALOR NETO ($COP)]]+D.sign_Data[[#This Row],[NEGOCIACIÓN ($COP)]])*1%</f>
        <v>791.31746727856864</v>
      </c>
      <c r="AG255" s="3">
        <f>+D.sign_Data[[#This Row],[VALOR NETO ($COP)]]+D.sign_Data[[#This Row],[NEGOCIACIÓN ($COP)]]+D.sign_Data[[#This Row],[ICA ($COP)]]+D.sign_Data[[#This Row],[4 * 1000 ($COP)]]</f>
        <v>80714.381662414002</v>
      </c>
    </row>
    <row r="256" spans="1:33" ht="60" hidden="1" customHeight="1" x14ac:dyDescent="0.25">
      <c r="A256" s="14"/>
      <c r="B256" s="87" t="s">
        <v>493</v>
      </c>
      <c r="C256" s="182" t="s">
        <v>601</v>
      </c>
      <c r="D256" s="189" t="str">
        <f>VLOOKUP(D.sign_Data[[#This Row],[CÓDIGO]],Descripciones[[CÓDIGO]:[NOMBRE DE SERVICIO]],3,FALSE)</f>
        <v>D1. Parcelaciones y Condominios</v>
      </c>
      <c r="E256" s="87" t="s">
        <v>497</v>
      </c>
      <c r="F256" s="88" t="s">
        <v>602</v>
      </c>
      <c r="G256" s="88" t="s">
        <v>587</v>
      </c>
      <c r="H256" s="104" t="s">
        <v>552</v>
      </c>
      <c r="I256" s="89">
        <v>1</v>
      </c>
      <c r="J256" s="88" t="s">
        <v>615</v>
      </c>
      <c r="K256" s="102"/>
      <c r="L256" s="88" t="s">
        <v>577</v>
      </c>
      <c r="M256" s="89" t="s">
        <v>381</v>
      </c>
      <c r="N256" s="90">
        <v>0.5</v>
      </c>
      <c r="O256" s="27">
        <f>IFERROR(+VLOOKUP(M256,D.sign_Lista_Data[[RESPONSABLE]:[SOFTWARE 
VALOR HORA]],3,FALSE),"0")</f>
        <v>20263.424518743668</v>
      </c>
      <c r="P256" s="3">
        <f t="shared" si="8"/>
        <v>10131.712259371834</v>
      </c>
      <c r="Q256" s="11">
        <f>IFERROR(+VLOOKUP(M256,D.sign_Lista_Data[[RESPONSABLE]:[SOFTWARE 
VALOR HORA]],5,FALSE)*D.sign_Data[[#This Row],[TIEMPO (HORAS)]],0)</f>
        <v>2110.7733873691318</v>
      </c>
      <c r="R256" s="42">
        <f>IFERROR(+VLOOKUP(M256,D.sign_Lista_Data[[RESPONSABLE]:[SOFTWARE 
VALOR HORA]],8,FALSE)*D.sign_Data[[#This Row],[TIEMPO (HORAS)]],0)</f>
        <v>1705.4274435719917</v>
      </c>
      <c r="S256" s="99">
        <v>0</v>
      </c>
      <c r="T256" s="99">
        <v>0</v>
      </c>
      <c r="U256" s="3">
        <f t="shared" si="9"/>
        <v>13947.913090312959</v>
      </c>
      <c r="V256" s="100">
        <f>D.sign_Data[[#This Row],[TIEMPO (HORAS)]]*Gastos_Operativos[[#Totals],[GASTOS HORA]]</f>
        <v>13894.738536155201</v>
      </c>
      <c r="W256" s="3">
        <f>+D.sign_Data[[#This Row],[COSTO 
DIRECTO ($COP)]]+D.sign_Data[[#This Row],[PRORRATEO GASTOS ($COP)]]</f>
        <v>27842.65162646816</v>
      </c>
      <c r="X256" s="101">
        <v>0.1</v>
      </c>
      <c r="Y256" s="15">
        <f>+D.sign_Data[[#This Row],[COSTOS OPERACIONALES ($COP)]]*D.sign_Data[[#This Row],[DESFASE (%)]]</f>
        <v>2784.265162646816</v>
      </c>
      <c r="Z256" s="101">
        <v>0.2</v>
      </c>
      <c r="AA256" s="15">
        <f>+((D.sign_Data[[#This Row],[COSTOS OPERACIONALES ($COP)]]/(100%-D.sign_Data[[#This Row],[UTILIDAD (%)]])))-D.sign_Data[[#This Row],[COSTOS OPERACIONALES ($COP)]]</f>
        <v>6960.662906617039</v>
      </c>
      <c r="AB256" s="3">
        <f>+D.sign_Data[[#This Row],[COSTOS OPERACIONALES ($COP)]]+D.sign_Data[[#This Row],[DESFASE ($COP)]]+D.sign_Data[[#This Row],[UTILIDAD ($COP)]]</f>
        <v>37587.579695732013</v>
      </c>
      <c r="AC256" s="101">
        <v>0.05</v>
      </c>
      <c r="AD256" s="15">
        <f>+D.sign_Data[[#This Row],[VALOR NETO ($COP)]]/(100%-D.sign_Data[[#This Row],[MARGEN DE NEGOCIACIÓN (%)]])-D.sign_Data[[#This Row],[VALOR NETO ($COP)]]</f>
        <v>1978.2936681964202</v>
      </c>
      <c r="AE256" s="15">
        <f>+(D.sign_Data[[#This Row],[VALOR NETO ($COP)]]+D.sign_Data[[#This Row],[NEGOCIACIÓN ($COP)]])*1%</f>
        <v>395.65873363928432</v>
      </c>
      <c r="AF256" s="15">
        <f>+(D.sign_Data[[#This Row],[VALOR NETO ($COP)]]+D.sign_Data[[#This Row],[NEGOCIACIÓN ($COP)]])*1%</f>
        <v>395.65873363928432</v>
      </c>
      <c r="AG256" s="3">
        <f>+D.sign_Data[[#This Row],[VALOR NETO ($COP)]]+D.sign_Data[[#This Row],[NEGOCIACIÓN ($COP)]]+D.sign_Data[[#This Row],[ICA ($COP)]]+D.sign_Data[[#This Row],[4 * 1000 ($COP)]]</f>
        <v>40357.190831207001</v>
      </c>
    </row>
    <row r="257" spans="1:33" ht="60" hidden="1" customHeight="1" x14ac:dyDescent="0.25">
      <c r="A257" s="14"/>
      <c r="B257" s="87" t="s">
        <v>493</v>
      </c>
      <c r="C257" s="182" t="s">
        <v>601</v>
      </c>
      <c r="D257" s="189" t="str">
        <f>VLOOKUP(D.sign_Data[[#This Row],[CÓDIGO]],Descripciones[[CÓDIGO]:[NOMBRE DE SERVICIO]],3,FALSE)</f>
        <v>D1. Parcelaciones y Condominios</v>
      </c>
      <c r="E257" s="87" t="s">
        <v>497</v>
      </c>
      <c r="F257" s="88" t="s">
        <v>602</v>
      </c>
      <c r="G257" s="88" t="s">
        <v>587</v>
      </c>
      <c r="H257" s="104" t="s">
        <v>552</v>
      </c>
      <c r="I257" s="89">
        <v>1</v>
      </c>
      <c r="J257" s="88" t="s">
        <v>615</v>
      </c>
      <c r="K257" s="102"/>
      <c r="L257" s="88" t="s">
        <v>606</v>
      </c>
      <c r="M257" s="89" t="s">
        <v>381</v>
      </c>
      <c r="N257" s="90">
        <v>0.5</v>
      </c>
      <c r="O257" s="27">
        <f>IFERROR(+VLOOKUP(M257,D.sign_Lista_Data[[RESPONSABLE]:[SOFTWARE 
VALOR HORA]],3,FALSE),"0")</f>
        <v>20263.424518743668</v>
      </c>
      <c r="P257" s="3">
        <f t="shared" si="8"/>
        <v>10131.712259371834</v>
      </c>
      <c r="Q257" s="11">
        <f>IFERROR(+VLOOKUP(M257,D.sign_Lista_Data[[RESPONSABLE]:[SOFTWARE 
VALOR HORA]],5,FALSE)*D.sign_Data[[#This Row],[TIEMPO (HORAS)]],0)</f>
        <v>2110.7733873691318</v>
      </c>
      <c r="R257" s="42">
        <f>IFERROR(+VLOOKUP(M257,D.sign_Lista_Data[[RESPONSABLE]:[SOFTWARE 
VALOR HORA]],8,FALSE)*D.sign_Data[[#This Row],[TIEMPO (HORAS)]],0)</f>
        <v>1705.4274435719917</v>
      </c>
      <c r="S257" s="99">
        <v>0</v>
      </c>
      <c r="T257" s="99">
        <v>0</v>
      </c>
      <c r="U257" s="3">
        <f t="shared" si="9"/>
        <v>13947.913090312959</v>
      </c>
      <c r="V257" s="100">
        <f>D.sign_Data[[#This Row],[TIEMPO (HORAS)]]*Gastos_Operativos[[#Totals],[GASTOS HORA]]</f>
        <v>13894.738536155201</v>
      </c>
      <c r="W257" s="3">
        <f>+D.sign_Data[[#This Row],[COSTO 
DIRECTO ($COP)]]+D.sign_Data[[#This Row],[PRORRATEO GASTOS ($COP)]]</f>
        <v>27842.65162646816</v>
      </c>
      <c r="X257" s="101">
        <v>0.1</v>
      </c>
      <c r="Y257" s="15">
        <f>+D.sign_Data[[#This Row],[COSTOS OPERACIONALES ($COP)]]*D.sign_Data[[#This Row],[DESFASE (%)]]</f>
        <v>2784.265162646816</v>
      </c>
      <c r="Z257" s="101">
        <v>0.2</v>
      </c>
      <c r="AA257" s="15">
        <f>+((D.sign_Data[[#This Row],[COSTOS OPERACIONALES ($COP)]]/(100%-D.sign_Data[[#This Row],[UTILIDAD (%)]])))-D.sign_Data[[#This Row],[COSTOS OPERACIONALES ($COP)]]</f>
        <v>6960.662906617039</v>
      </c>
      <c r="AB257" s="3">
        <f>+D.sign_Data[[#This Row],[COSTOS OPERACIONALES ($COP)]]+D.sign_Data[[#This Row],[DESFASE ($COP)]]+D.sign_Data[[#This Row],[UTILIDAD ($COP)]]</f>
        <v>37587.579695732013</v>
      </c>
      <c r="AC257" s="101">
        <v>0.05</v>
      </c>
      <c r="AD257" s="15">
        <f>+D.sign_Data[[#This Row],[VALOR NETO ($COP)]]/(100%-D.sign_Data[[#This Row],[MARGEN DE NEGOCIACIÓN (%)]])-D.sign_Data[[#This Row],[VALOR NETO ($COP)]]</f>
        <v>1978.2936681964202</v>
      </c>
      <c r="AE257" s="15">
        <f>+(D.sign_Data[[#This Row],[VALOR NETO ($COP)]]+D.sign_Data[[#This Row],[NEGOCIACIÓN ($COP)]])*1%</f>
        <v>395.65873363928432</v>
      </c>
      <c r="AF257" s="15">
        <f>+(D.sign_Data[[#This Row],[VALOR NETO ($COP)]]+D.sign_Data[[#This Row],[NEGOCIACIÓN ($COP)]])*1%</f>
        <v>395.65873363928432</v>
      </c>
      <c r="AG257" s="3">
        <f>+D.sign_Data[[#This Row],[VALOR NETO ($COP)]]+D.sign_Data[[#This Row],[NEGOCIACIÓN ($COP)]]+D.sign_Data[[#This Row],[ICA ($COP)]]+D.sign_Data[[#This Row],[4 * 1000 ($COP)]]</f>
        <v>40357.190831207001</v>
      </c>
    </row>
    <row r="258" spans="1:33" ht="60" hidden="1" customHeight="1" x14ac:dyDescent="0.25">
      <c r="A258" s="14"/>
      <c r="B258" s="87" t="s">
        <v>493</v>
      </c>
      <c r="C258" s="182" t="s">
        <v>601</v>
      </c>
      <c r="D258" s="189" t="str">
        <f>VLOOKUP(D.sign_Data[[#This Row],[CÓDIGO]],Descripciones[[CÓDIGO]:[NOMBRE DE SERVICIO]],3,FALSE)</f>
        <v>D1. Parcelaciones y Condominios</v>
      </c>
      <c r="E258" s="87" t="s">
        <v>497</v>
      </c>
      <c r="F258" s="88" t="s">
        <v>602</v>
      </c>
      <c r="G258" s="88" t="s">
        <v>587</v>
      </c>
      <c r="H258" s="104" t="s">
        <v>552</v>
      </c>
      <c r="I258" s="89">
        <v>1</v>
      </c>
      <c r="J258" s="88" t="s">
        <v>615</v>
      </c>
      <c r="K258" s="102"/>
      <c r="L258" s="88" t="s">
        <v>596</v>
      </c>
      <c r="M258" s="89" t="s">
        <v>381</v>
      </c>
      <c r="N258" s="90">
        <v>5</v>
      </c>
      <c r="O258" s="27">
        <f>IFERROR(+VLOOKUP(M258,D.sign_Lista_Data[[RESPONSABLE]:[SOFTWARE 
VALOR HORA]],3,FALSE),"0")</f>
        <v>20263.424518743668</v>
      </c>
      <c r="P258" s="3">
        <f t="shared" si="8"/>
        <v>101317.12259371835</v>
      </c>
      <c r="Q258" s="11">
        <f>IFERROR(+VLOOKUP(M258,D.sign_Lista_Data[[RESPONSABLE]:[SOFTWARE 
VALOR HORA]],5,FALSE)*D.sign_Data[[#This Row],[TIEMPO (HORAS)]],0)</f>
        <v>21107.733873691319</v>
      </c>
      <c r="R258" s="42">
        <f>IFERROR(+VLOOKUP(M258,D.sign_Lista_Data[[RESPONSABLE]:[SOFTWARE 
VALOR HORA]],8,FALSE)*D.sign_Data[[#This Row],[TIEMPO (HORAS)]],0)</f>
        <v>17054.274435719919</v>
      </c>
      <c r="S258" s="99">
        <v>0</v>
      </c>
      <c r="T258" s="99">
        <v>0</v>
      </c>
      <c r="U258" s="3">
        <f t="shared" si="9"/>
        <v>139479.13090312958</v>
      </c>
      <c r="V258" s="100">
        <f>D.sign_Data[[#This Row],[TIEMPO (HORAS)]]*Gastos_Operativos[[#Totals],[GASTOS HORA]]</f>
        <v>138947.38536155201</v>
      </c>
      <c r="W258" s="3">
        <f>+D.sign_Data[[#This Row],[COSTO 
DIRECTO ($COP)]]+D.sign_Data[[#This Row],[PRORRATEO GASTOS ($COP)]]</f>
        <v>278426.51626468159</v>
      </c>
      <c r="X258" s="101">
        <v>0.1</v>
      </c>
      <c r="Y258" s="15">
        <f>+D.sign_Data[[#This Row],[COSTOS OPERACIONALES ($COP)]]*D.sign_Data[[#This Row],[DESFASE (%)]]</f>
        <v>27842.65162646816</v>
      </c>
      <c r="Z258" s="101">
        <v>0.2</v>
      </c>
      <c r="AA258" s="15">
        <f>+((D.sign_Data[[#This Row],[COSTOS OPERACIONALES ($COP)]]/(100%-D.sign_Data[[#This Row],[UTILIDAD (%)]])))-D.sign_Data[[#This Row],[COSTOS OPERACIONALES ($COP)]]</f>
        <v>69606.629066170368</v>
      </c>
      <c r="AB258" s="3">
        <f>+D.sign_Data[[#This Row],[COSTOS OPERACIONALES ($COP)]]+D.sign_Data[[#This Row],[DESFASE ($COP)]]+D.sign_Data[[#This Row],[UTILIDAD ($COP)]]</f>
        <v>375875.79695732013</v>
      </c>
      <c r="AC258" s="101">
        <v>0.05</v>
      </c>
      <c r="AD258" s="15">
        <f>+D.sign_Data[[#This Row],[VALOR NETO ($COP)]]/(100%-D.sign_Data[[#This Row],[MARGEN DE NEGOCIACIÓN (%)]])-D.sign_Data[[#This Row],[VALOR NETO ($COP)]]</f>
        <v>19782.93668196426</v>
      </c>
      <c r="AE258" s="15">
        <f>+(D.sign_Data[[#This Row],[VALOR NETO ($COP)]]+D.sign_Data[[#This Row],[NEGOCIACIÓN ($COP)]])*1%</f>
        <v>3956.587336392844</v>
      </c>
      <c r="AF258" s="15">
        <f>+(D.sign_Data[[#This Row],[VALOR NETO ($COP)]]+D.sign_Data[[#This Row],[NEGOCIACIÓN ($COP)]])*1%</f>
        <v>3956.587336392844</v>
      </c>
      <c r="AG258" s="3">
        <f>+D.sign_Data[[#This Row],[VALOR NETO ($COP)]]+D.sign_Data[[#This Row],[NEGOCIACIÓN ($COP)]]+D.sign_Data[[#This Row],[ICA ($COP)]]+D.sign_Data[[#This Row],[4 * 1000 ($COP)]]</f>
        <v>403571.90831207007</v>
      </c>
    </row>
    <row r="259" spans="1:33" ht="60" hidden="1" customHeight="1" x14ac:dyDescent="0.25">
      <c r="A259" s="14"/>
      <c r="B259" s="87" t="s">
        <v>493</v>
      </c>
      <c r="C259" s="182" t="s">
        <v>601</v>
      </c>
      <c r="D259" s="189" t="str">
        <f>VLOOKUP(D.sign_Data[[#This Row],[CÓDIGO]],Descripciones[[CÓDIGO]:[NOMBRE DE SERVICIO]],3,FALSE)</f>
        <v>D1. Parcelaciones y Condominios</v>
      </c>
      <c r="E259" s="87" t="s">
        <v>497</v>
      </c>
      <c r="F259" s="88" t="s">
        <v>602</v>
      </c>
      <c r="G259" s="88" t="s">
        <v>587</v>
      </c>
      <c r="H259" s="104" t="s">
        <v>552</v>
      </c>
      <c r="I259" s="89">
        <v>1</v>
      </c>
      <c r="J259" s="88" t="s">
        <v>615</v>
      </c>
      <c r="K259" s="102"/>
      <c r="L259" s="88" t="s">
        <v>579</v>
      </c>
      <c r="M259" s="89" t="s">
        <v>381</v>
      </c>
      <c r="N259" s="90">
        <v>1</v>
      </c>
      <c r="O259" s="27">
        <f>IFERROR(+VLOOKUP(M259,D.sign_Lista_Data[[RESPONSABLE]:[SOFTWARE 
VALOR HORA]],3,FALSE),"0")</f>
        <v>20263.424518743668</v>
      </c>
      <c r="P259" s="3">
        <f t="shared" si="8"/>
        <v>20263.424518743668</v>
      </c>
      <c r="Q259" s="11">
        <f>IFERROR(+VLOOKUP(M259,D.sign_Lista_Data[[RESPONSABLE]:[SOFTWARE 
VALOR HORA]],5,FALSE)*D.sign_Data[[#This Row],[TIEMPO (HORAS)]],0)</f>
        <v>4221.5467747382636</v>
      </c>
      <c r="R259" s="42">
        <f>IFERROR(+VLOOKUP(M259,D.sign_Lista_Data[[RESPONSABLE]:[SOFTWARE 
VALOR HORA]],8,FALSE)*D.sign_Data[[#This Row],[TIEMPO (HORAS)]],0)</f>
        <v>3410.8548871439834</v>
      </c>
      <c r="S259" s="99">
        <v>0</v>
      </c>
      <c r="T259" s="99">
        <v>0</v>
      </c>
      <c r="U259" s="3">
        <f t="shared" si="9"/>
        <v>27895.826180625918</v>
      </c>
      <c r="V259" s="100">
        <f>D.sign_Data[[#This Row],[TIEMPO (HORAS)]]*Gastos_Operativos[[#Totals],[GASTOS HORA]]</f>
        <v>27789.477072310401</v>
      </c>
      <c r="W259" s="3">
        <f>+D.sign_Data[[#This Row],[COSTO 
DIRECTO ($COP)]]+D.sign_Data[[#This Row],[PRORRATEO GASTOS ($COP)]]</f>
        <v>55685.303252936319</v>
      </c>
      <c r="X259" s="101">
        <v>0.1</v>
      </c>
      <c r="Y259" s="15">
        <f>+D.sign_Data[[#This Row],[COSTOS OPERACIONALES ($COP)]]*D.sign_Data[[#This Row],[DESFASE (%)]]</f>
        <v>5568.5303252936319</v>
      </c>
      <c r="Z259" s="101">
        <v>0.2</v>
      </c>
      <c r="AA259" s="15">
        <f>+((D.sign_Data[[#This Row],[COSTOS OPERACIONALES ($COP)]]/(100%-D.sign_Data[[#This Row],[UTILIDAD (%)]])))-D.sign_Data[[#This Row],[COSTOS OPERACIONALES ($COP)]]</f>
        <v>13921.325813234078</v>
      </c>
      <c r="AB259" s="3">
        <f>+D.sign_Data[[#This Row],[COSTOS OPERACIONALES ($COP)]]+D.sign_Data[[#This Row],[DESFASE ($COP)]]+D.sign_Data[[#This Row],[UTILIDAD ($COP)]]</f>
        <v>75175.159391464025</v>
      </c>
      <c r="AC259" s="101">
        <v>0.05</v>
      </c>
      <c r="AD259" s="15">
        <f>+D.sign_Data[[#This Row],[VALOR NETO ($COP)]]/(100%-D.sign_Data[[#This Row],[MARGEN DE NEGOCIACIÓN (%)]])-D.sign_Data[[#This Row],[VALOR NETO ($COP)]]</f>
        <v>3956.5873363928404</v>
      </c>
      <c r="AE259" s="15">
        <f>+(D.sign_Data[[#This Row],[VALOR NETO ($COP)]]+D.sign_Data[[#This Row],[NEGOCIACIÓN ($COP)]])*1%</f>
        <v>791.31746727856864</v>
      </c>
      <c r="AF259" s="15">
        <f>+(D.sign_Data[[#This Row],[VALOR NETO ($COP)]]+D.sign_Data[[#This Row],[NEGOCIACIÓN ($COP)]])*1%</f>
        <v>791.31746727856864</v>
      </c>
      <c r="AG259" s="3">
        <f>+D.sign_Data[[#This Row],[VALOR NETO ($COP)]]+D.sign_Data[[#This Row],[NEGOCIACIÓN ($COP)]]+D.sign_Data[[#This Row],[ICA ($COP)]]+D.sign_Data[[#This Row],[4 * 1000 ($COP)]]</f>
        <v>80714.381662414002</v>
      </c>
    </row>
    <row r="260" spans="1:33" ht="60" hidden="1" customHeight="1" x14ac:dyDescent="0.25">
      <c r="A260" s="14"/>
      <c r="B260" s="87" t="s">
        <v>493</v>
      </c>
      <c r="C260" s="182" t="s">
        <v>601</v>
      </c>
      <c r="D260" s="189" t="str">
        <f>VLOOKUP(D.sign_Data[[#This Row],[CÓDIGO]],Descripciones[[CÓDIGO]:[NOMBRE DE SERVICIO]],3,FALSE)</f>
        <v>D1. Parcelaciones y Condominios</v>
      </c>
      <c r="E260" s="87" t="s">
        <v>497</v>
      </c>
      <c r="F260" s="88" t="s">
        <v>602</v>
      </c>
      <c r="G260" s="88" t="s">
        <v>587</v>
      </c>
      <c r="H260" s="104" t="s">
        <v>552</v>
      </c>
      <c r="I260" s="89">
        <v>1</v>
      </c>
      <c r="J260" s="88" t="s">
        <v>615</v>
      </c>
      <c r="K260" s="102"/>
      <c r="L260" s="88" t="s">
        <v>570</v>
      </c>
      <c r="M260" s="89" t="s">
        <v>381</v>
      </c>
      <c r="N260" s="90">
        <v>0.5</v>
      </c>
      <c r="O260" s="27">
        <f>IFERROR(+VLOOKUP(M260,D.sign_Lista_Data[[RESPONSABLE]:[SOFTWARE 
VALOR HORA]],3,FALSE),"0")</f>
        <v>20263.424518743668</v>
      </c>
      <c r="P260" s="3">
        <f t="shared" si="8"/>
        <v>10131.712259371834</v>
      </c>
      <c r="Q260" s="11">
        <f>IFERROR(+VLOOKUP(M260,D.sign_Lista_Data[[RESPONSABLE]:[SOFTWARE 
VALOR HORA]],5,FALSE)*D.sign_Data[[#This Row],[TIEMPO (HORAS)]],0)</f>
        <v>2110.7733873691318</v>
      </c>
      <c r="R260" s="42">
        <f>IFERROR(+VLOOKUP(M260,D.sign_Lista_Data[[RESPONSABLE]:[SOFTWARE 
VALOR HORA]],8,FALSE)*D.sign_Data[[#This Row],[TIEMPO (HORAS)]],0)</f>
        <v>1705.4274435719917</v>
      </c>
      <c r="S260" s="99">
        <v>0</v>
      </c>
      <c r="T260" s="99">
        <v>0</v>
      </c>
      <c r="U260" s="3">
        <f t="shared" si="9"/>
        <v>13947.913090312959</v>
      </c>
      <c r="V260" s="100">
        <f>D.sign_Data[[#This Row],[TIEMPO (HORAS)]]*Gastos_Operativos[[#Totals],[GASTOS HORA]]</f>
        <v>13894.738536155201</v>
      </c>
      <c r="W260" s="3">
        <f>+D.sign_Data[[#This Row],[COSTO 
DIRECTO ($COP)]]+D.sign_Data[[#This Row],[PRORRATEO GASTOS ($COP)]]</f>
        <v>27842.65162646816</v>
      </c>
      <c r="X260" s="101">
        <v>0.1</v>
      </c>
      <c r="Y260" s="15">
        <f>+D.sign_Data[[#This Row],[COSTOS OPERACIONALES ($COP)]]*D.sign_Data[[#This Row],[DESFASE (%)]]</f>
        <v>2784.265162646816</v>
      </c>
      <c r="Z260" s="101">
        <v>0.2</v>
      </c>
      <c r="AA260" s="15">
        <f>+((D.sign_Data[[#This Row],[COSTOS OPERACIONALES ($COP)]]/(100%-D.sign_Data[[#This Row],[UTILIDAD (%)]])))-D.sign_Data[[#This Row],[COSTOS OPERACIONALES ($COP)]]</f>
        <v>6960.662906617039</v>
      </c>
      <c r="AB260" s="3">
        <f>+D.sign_Data[[#This Row],[COSTOS OPERACIONALES ($COP)]]+D.sign_Data[[#This Row],[DESFASE ($COP)]]+D.sign_Data[[#This Row],[UTILIDAD ($COP)]]</f>
        <v>37587.579695732013</v>
      </c>
      <c r="AC260" s="101">
        <v>0.05</v>
      </c>
      <c r="AD260" s="15">
        <f>+D.sign_Data[[#This Row],[VALOR NETO ($COP)]]/(100%-D.sign_Data[[#This Row],[MARGEN DE NEGOCIACIÓN (%)]])-D.sign_Data[[#This Row],[VALOR NETO ($COP)]]</f>
        <v>1978.2936681964202</v>
      </c>
      <c r="AE260" s="15">
        <f>+(D.sign_Data[[#This Row],[VALOR NETO ($COP)]]+D.sign_Data[[#This Row],[NEGOCIACIÓN ($COP)]])*1%</f>
        <v>395.65873363928432</v>
      </c>
      <c r="AF260" s="15">
        <f>+(D.sign_Data[[#This Row],[VALOR NETO ($COP)]]+D.sign_Data[[#This Row],[NEGOCIACIÓN ($COP)]])*1%</f>
        <v>395.65873363928432</v>
      </c>
      <c r="AG260" s="3">
        <f>+D.sign_Data[[#This Row],[VALOR NETO ($COP)]]+D.sign_Data[[#This Row],[NEGOCIACIÓN ($COP)]]+D.sign_Data[[#This Row],[ICA ($COP)]]+D.sign_Data[[#This Row],[4 * 1000 ($COP)]]</f>
        <v>40357.190831207001</v>
      </c>
    </row>
    <row r="261" spans="1:33" ht="60" hidden="1" customHeight="1" x14ac:dyDescent="0.25">
      <c r="A261" s="14"/>
      <c r="B261" s="87" t="s">
        <v>493</v>
      </c>
      <c r="C261" s="182" t="s">
        <v>601</v>
      </c>
      <c r="D261" s="189" t="str">
        <f>VLOOKUP(D.sign_Data[[#This Row],[CÓDIGO]],Descripciones[[CÓDIGO]:[NOMBRE DE SERVICIO]],3,FALSE)</f>
        <v>D1. Parcelaciones y Condominios</v>
      </c>
      <c r="E261" s="87" t="s">
        <v>497</v>
      </c>
      <c r="F261" s="88" t="s">
        <v>602</v>
      </c>
      <c r="G261" s="88" t="s">
        <v>587</v>
      </c>
      <c r="H261" s="104" t="s">
        <v>552</v>
      </c>
      <c r="I261" s="89">
        <v>1</v>
      </c>
      <c r="J261" s="88" t="s">
        <v>615</v>
      </c>
      <c r="K261" s="102"/>
      <c r="L261" s="88" t="s">
        <v>483</v>
      </c>
      <c r="M261" s="89" t="s">
        <v>381</v>
      </c>
      <c r="N261" s="90">
        <v>0.1</v>
      </c>
      <c r="O261" s="27">
        <f>IFERROR(+VLOOKUP(M261,D.sign_Lista_Data[[RESPONSABLE]:[SOFTWARE 
VALOR HORA]],3,FALSE),"0")</f>
        <v>20263.424518743668</v>
      </c>
      <c r="P261" s="3">
        <f t="shared" si="8"/>
        <v>2026.3424518743668</v>
      </c>
      <c r="Q261" s="11">
        <f>IFERROR(+VLOOKUP(M261,D.sign_Lista_Data[[RESPONSABLE]:[SOFTWARE 
VALOR HORA]],5,FALSE)*D.sign_Data[[#This Row],[TIEMPO (HORAS)]],0)</f>
        <v>422.15467747382638</v>
      </c>
      <c r="R261" s="42">
        <f>IFERROR(+VLOOKUP(M261,D.sign_Lista_Data[[RESPONSABLE]:[SOFTWARE 
VALOR HORA]],8,FALSE)*D.sign_Data[[#This Row],[TIEMPO (HORAS)]],0)</f>
        <v>341.08548871439837</v>
      </c>
      <c r="S261" s="99">
        <v>0</v>
      </c>
      <c r="T261" s="99">
        <v>0</v>
      </c>
      <c r="U261" s="3">
        <f t="shared" si="9"/>
        <v>2789.5826180625913</v>
      </c>
      <c r="V261" s="100">
        <f>D.sign_Data[[#This Row],[TIEMPO (HORAS)]]*Gastos_Operativos[[#Totals],[GASTOS HORA]]</f>
        <v>2778.9477072310401</v>
      </c>
      <c r="W261" s="3">
        <f>+D.sign_Data[[#This Row],[COSTO 
DIRECTO ($COP)]]+D.sign_Data[[#This Row],[PRORRATEO GASTOS ($COP)]]</f>
        <v>5568.5303252936319</v>
      </c>
      <c r="X261" s="101">
        <v>0.1</v>
      </c>
      <c r="Y261" s="15">
        <f>+D.sign_Data[[#This Row],[COSTOS OPERACIONALES ($COP)]]*D.sign_Data[[#This Row],[DESFASE (%)]]</f>
        <v>556.85303252936319</v>
      </c>
      <c r="Z261" s="101">
        <v>0.2</v>
      </c>
      <c r="AA261" s="15">
        <f>+((D.sign_Data[[#This Row],[COSTOS OPERACIONALES ($COP)]]/(100%-D.sign_Data[[#This Row],[UTILIDAD (%)]])))-D.sign_Data[[#This Row],[COSTOS OPERACIONALES ($COP)]]</f>
        <v>1392.132581323408</v>
      </c>
      <c r="AB261" s="3">
        <f>+D.sign_Data[[#This Row],[COSTOS OPERACIONALES ($COP)]]+D.sign_Data[[#This Row],[DESFASE ($COP)]]+D.sign_Data[[#This Row],[UTILIDAD ($COP)]]</f>
        <v>7517.5159391464031</v>
      </c>
      <c r="AC261" s="101">
        <v>0.05</v>
      </c>
      <c r="AD261" s="15">
        <f>+D.sign_Data[[#This Row],[VALOR NETO ($COP)]]/(100%-D.sign_Data[[#This Row],[MARGEN DE NEGOCIACIÓN (%)]])-D.sign_Data[[#This Row],[VALOR NETO ($COP)]]</f>
        <v>395.65873363928495</v>
      </c>
      <c r="AE261" s="15">
        <f>+(D.sign_Data[[#This Row],[VALOR NETO ($COP)]]+D.sign_Data[[#This Row],[NEGOCIACIÓN ($COP)]])*1%</f>
        <v>79.131746727856878</v>
      </c>
      <c r="AF261" s="15">
        <f>+(D.sign_Data[[#This Row],[VALOR NETO ($COP)]]+D.sign_Data[[#This Row],[NEGOCIACIÓN ($COP)]])*1%</f>
        <v>79.131746727856878</v>
      </c>
      <c r="AG261" s="3">
        <f>+D.sign_Data[[#This Row],[VALOR NETO ($COP)]]+D.sign_Data[[#This Row],[NEGOCIACIÓN ($COP)]]+D.sign_Data[[#This Row],[ICA ($COP)]]+D.sign_Data[[#This Row],[4 * 1000 ($COP)]]</f>
        <v>8071.4381662414016</v>
      </c>
    </row>
    <row r="262" spans="1:33" ht="60" hidden="1" customHeight="1" x14ac:dyDescent="0.25">
      <c r="A262" s="14"/>
      <c r="B262" s="87" t="s">
        <v>493</v>
      </c>
      <c r="C262" s="182" t="s">
        <v>601</v>
      </c>
      <c r="D262" s="189" t="str">
        <f>VLOOKUP(D.sign_Data[[#This Row],[CÓDIGO]],Descripciones[[CÓDIGO]:[NOMBRE DE SERVICIO]],3,FALSE)</f>
        <v>D1. Parcelaciones y Condominios</v>
      </c>
      <c r="E262" s="87" t="s">
        <v>497</v>
      </c>
      <c r="F262" s="88" t="s">
        <v>602</v>
      </c>
      <c r="G262" s="88" t="s">
        <v>587</v>
      </c>
      <c r="H262" s="104" t="s">
        <v>552</v>
      </c>
      <c r="I262" s="89">
        <v>1</v>
      </c>
      <c r="J262" s="88" t="s">
        <v>615</v>
      </c>
      <c r="K262" s="102"/>
      <c r="L262" s="88" t="s">
        <v>572</v>
      </c>
      <c r="M262" s="89" t="s">
        <v>381</v>
      </c>
      <c r="N262" s="90">
        <v>0.1</v>
      </c>
      <c r="O262" s="27">
        <f>IFERROR(+VLOOKUP(M262,D.sign_Lista_Data[[RESPONSABLE]:[SOFTWARE 
VALOR HORA]],3,FALSE),"0")</f>
        <v>20263.424518743668</v>
      </c>
      <c r="P262" s="3">
        <f t="shared" si="8"/>
        <v>2026.3424518743668</v>
      </c>
      <c r="Q262" s="11">
        <f>IFERROR(+VLOOKUP(M262,D.sign_Lista_Data[[RESPONSABLE]:[SOFTWARE 
VALOR HORA]],5,FALSE)*D.sign_Data[[#This Row],[TIEMPO (HORAS)]],0)</f>
        <v>422.15467747382638</v>
      </c>
      <c r="R262" s="42">
        <f>IFERROR(+VLOOKUP(M262,D.sign_Lista_Data[[RESPONSABLE]:[SOFTWARE 
VALOR HORA]],8,FALSE)*D.sign_Data[[#This Row],[TIEMPO (HORAS)]],0)</f>
        <v>341.08548871439837</v>
      </c>
      <c r="S262" s="99">
        <v>0</v>
      </c>
      <c r="T262" s="99">
        <v>0</v>
      </c>
      <c r="U262" s="3">
        <f t="shared" si="9"/>
        <v>2789.5826180625913</v>
      </c>
      <c r="V262" s="100">
        <f>D.sign_Data[[#This Row],[TIEMPO (HORAS)]]*Gastos_Operativos[[#Totals],[GASTOS HORA]]</f>
        <v>2778.9477072310401</v>
      </c>
      <c r="W262" s="3">
        <f>+D.sign_Data[[#This Row],[COSTO 
DIRECTO ($COP)]]+D.sign_Data[[#This Row],[PRORRATEO GASTOS ($COP)]]</f>
        <v>5568.5303252936319</v>
      </c>
      <c r="X262" s="101">
        <v>0.1</v>
      </c>
      <c r="Y262" s="15">
        <f>+D.sign_Data[[#This Row],[COSTOS OPERACIONALES ($COP)]]*D.sign_Data[[#This Row],[DESFASE (%)]]</f>
        <v>556.85303252936319</v>
      </c>
      <c r="Z262" s="101">
        <v>0.2</v>
      </c>
      <c r="AA262" s="15">
        <f>+((D.sign_Data[[#This Row],[COSTOS OPERACIONALES ($COP)]]/(100%-D.sign_Data[[#This Row],[UTILIDAD (%)]])))-D.sign_Data[[#This Row],[COSTOS OPERACIONALES ($COP)]]</f>
        <v>1392.132581323408</v>
      </c>
      <c r="AB262" s="3">
        <f>+D.sign_Data[[#This Row],[COSTOS OPERACIONALES ($COP)]]+D.sign_Data[[#This Row],[DESFASE ($COP)]]+D.sign_Data[[#This Row],[UTILIDAD ($COP)]]</f>
        <v>7517.5159391464031</v>
      </c>
      <c r="AC262" s="101">
        <v>0.05</v>
      </c>
      <c r="AD262" s="15">
        <f>+D.sign_Data[[#This Row],[VALOR NETO ($COP)]]/(100%-D.sign_Data[[#This Row],[MARGEN DE NEGOCIACIÓN (%)]])-D.sign_Data[[#This Row],[VALOR NETO ($COP)]]</f>
        <v>395.65873363928495</v>
      </c>
      <c r="AE262" s="15">
        <f>+(D.sign_Data[[#This Row],[VALOR NETO ($COP)]]+D.sign_Data[[#This Row],[NEGOCIACIÓN ($COP)]])*1%</f>
        <v>79.131746727856878</v>
      </c>
      <c r="AF262" s="15">
        <f>+(D.sign_Data[[#This Row],[VALOR NETO ($COP)]]+D.sign_Data[[#This Row],[NEGOCIACIÓN ($COP)]])*1%</f>
        <v>79.131746727856878</v>
      </c>
      <c r="AG262" s="3">
        <f>+D.sign_Data[[#This Row],[VALOR NETO ($COP)]]+D.sign_Data[[#This Row],[NEGOCIACIÓN ($COP)]]+D.sign_Data[[#This Row],[ICA ($COP)]]+D.sign_Data[[#This Row],[4 * 1000 ($COP)]]</f>
        <v>8071.4381662414016</v>
      </c>
    </row>
    <row r="263" spans="1:33" ht="60" hidden="1" customHeight="1" x14ac:dyDescent="0.25">
      <c r="A263" s="14"/>
      <c r="B263" s="87" t="s">
        <v>493</v>
      </c>
      <c r="C263" s="182" t="s">
        <v>601</v>
      </c>
      <c r="D263" s="189" t="str">
        <f>VLOOKUP(D.sign_Data[[#This Row],[CÓDIGO]],Descripciones[[CÓDIGO]:[NOMBRE DE SERVICIO]],3,FALSE)</f>
        <v>D1. Parcelaciones y Condominios</v>
      </c>
      <c r="E263" s="87" t="s">
        <v>497</v>
      </c>
      <c r="F263" s="88" t="s">
        <v>602</v>
      </c>
      <c r="G263" s="88" t="s">
        <v>597</v>
      </c>
      <c r="H263" s="104" t="s">
        <v>552</v>
      </c>
      <c r="I263" s="89">
        <v>1</v>
      </c>
      <c r="J263" s="88" t="s">
        <v>617</v>
      </c>
      <c r="K263" s="102"/>
      <c r="L263" s="88" t="s">
        <v>618</v>
      </c>
      <c r="M263" s="89" t="s">
        <v>381</v>
      </c>
      <c r="N263" s="90">
        <v>1</v>
      </c>
      <c r="O263" s="27">
        <f>IFERROR(+VLOOKUP(M263,D.sign_Lista_Data[[RESPONSABLE]:[SOFTWARE 
VALOR HORA]],3,FALSE),"0")</f>
        <v>20263.424518743668</v>
      </c>
      <c r="P263" s="3">
        <f t="shared" si="8"/>
        <v>20263.424518743668</v>
      </c>
      <c r="Q263" s="11">
        <f>IFERROR(+VLOOKUP(M263,D.sign_Lista_Data[[RESPONSABLE]:[SOFTWARE 
VALOR HORA]],5,FALSE)*D.sign_Data[[#This Row],[TIEMPO (HORAS)]],0)</f>
        <v>4221.5467747382636</v>
      </c>
      <c r="R263" s="42">
        <f>IFERROR(+VLOOKUP(M263,D.sign_Lista_Data[[RESPONSABLE]:[SOFTWARE 
VALOR HORA]],8,FALSE)*D.sign_Data[[#This Row],[TIEMPO (HORAS)]],0)</f>
        <v>3410.8548871439834</v>
      </c>
      <c r="S263" s="99">
        <v>0</v>
      </c>
      <c r="T263" s="99">
        <v>0</v>
      </c>
      <c r="U263" s="3">
        <f t="shared" si="9"/>
        <v>27895.826180625918</v>
      </c>
      <c r="V263" s="100">
        <f>D.sign_Data[[#This Row],[TIEMPO (HORAS)]]*Gastos_Operativos[[#Totals],[GASTOS HORA]]</f>
        <v>27789.477072310401</v>
      </c>
      <c r="W263" s="3">
        <f>+D.sign_Data[[#This Row],[COSTO 
DIRECTO ($COP)]]+D.sign_Data[[#This Row],[PRORRATEO GASTOS ($COP)]]</f>
        <v>55685.303252936319</v>
      </c>
      <c r="X263" s="101">
        <v>0.1</v>
      </c>
      <c r="Y263" s="15">
        <f>+D.sign_Data[[#This Row],[COSTOS OPERACIONALES ($COP)]]*D.sign_Data[[#This Row],[DESFASE (%)]]</f>
        <v>5568.5303252936319</v>
      </c>
      <c r="Z263" s="101">
        <v>0.2</v>
      </c>
      <c r="AA263" s="15">
        <f>+((D.sign_Data[[#This Row],[COSTOS OPERACIONALES ($COP)]]/(100%-D.sign_Data[[#This Row],[UTILIDAD (%)]])))-D.sign_Data[[#This Row],[COSTOS OPERACIONALES ($COP)]]</f>
        <v>13921.325813234078</v>
      </c>
      <c r="AB263" s="3">
        <f>+D.sign_Data[[#This Row],[COSTOS OPERACIONALES ($COP)]]+D.sign_Data[[#This Row],[DESFASE ($COP)]]+D.sign_Data[[#This Row],[UTILIDAD ($COP)]]</f>
        <v>75175.159391464025</v>
      </c>
      <c r="AC263" s="101">
        <v>0.05</v>
      </c>
      <c r="AD263" s="15">
        <f>+D.sign_Data[[#This Row],[VALOR NETO ($COP)]]/(100%-D.sign_Data[[#This Row],[MARGEN DE NEGOCIACIÓN (%)]])-D.sign_Data[[#This Row],[VALOR NETO ($COP)]]</f>
        <v>3956.5873363928404</v>
      </c>
      <c r="AE263" s="15">
        <f>+(D.sign_Data[[#This Row],[VALOR NETO ($COP)]]+D.sign_Data[[#This Row],[NEGOCIACIÓN ($COP)]])*1%</f>
        <v>791.31746727856864</v>
      </c>
      <c r="AF263" s="15">
        <f>+(D.sign_Data[[#This Row],[VALOR NETO ($COP)]]+D.sign_Data[[#This Row],[NEGOCIACIÓN ($COP)]])*1%</f>
        <v>791.31746727856864</v>
      </c>
      <c r="AG263" s="3">
        <f>+D.sign_Data[[#This Row],[VALOR NETO ($COP)]]+D.sign_Data[[#This Row],[NEGOCIACIÓN ($COP)]]+D.sign_Data[[#This Row],[ICA ($COP)]]+D.sign_Data[[#This Row],[4 * 1000 ($COP)]]</f>
        <v>80714.381662414002</v>
      </c>
    </row>
    <row r="264" spans="1:33" ht="60" hidden="1" customHeight="1" x14ac:dyDescent="0.25">
      <c r="A264" s="14"/>
      <c r="B264" s="87" t="s">
        <v>493</v>
      </c>
      <c r="C264" s="182" t="s">
        <v>601</v>
      </c>
      <c r="D264" s="189" t="str">
        <f>VLOOKUP(D.sign_Data[[#This Row],[CÓDIGO]],Descripciones[[CÓDIGO]:[NOMBRE DE SERVICIO]],3,FALSE)</f>
        <v>D1. Parcelaciones y Condominios</v>
      </c>
      <c r="E264" s="87" t="s">
        <v>497</v>
      </c>
      <c r="F264" s="88" t="s">
        <v>602</v>
      </c>
      <c r="G264" s="88" t="s">
        <v>597</v>
      </c>
      <c r="H264" s="104" t="s">
        <v>552</v>
      </c>
      <c r="I264" s="89">
        <v>1</v>
      </c>
      <c r="J264" s="88" t="s">
        <v>617</v>
      </c>
      <c r="K264" s="102"/>
      <c r="L264" s="88" t="s">
        <v>619</v>
      </c>
      <c r="M264" s="89" t="s">
        <v>381</v>
      </c>
      <c r="N264" s="90">
        <v>1</v>
      </c>
      <c r="O264" s="27">
        <f>IFERROR(+VLOOKUP(M264,D.sign_Lista_Data[[RESPONSABLE]:[SOFTWARE 
VALOR HORA]],3,FALSE),"0")</f>
        <v>20263.424518743668</v>
      </c>
      <c r="P264" s="3">
        <f t="shared" si="8"/>
        <v>20263.424518743668</v>
      </c>
      <c r="Q264" s="11">
        <f>IFERROR(+VLOOKUP(M264,D.sign_Lista_Data[[RESPONSABLE]:[SOFTWARE 
VALOR HORA]],5,FALSE)*D.sign_Data[[#This Row],[TIEMPO (HORAS)]],0)</f>
        <v>4221.5467747382636</v>
      </c>
      <c r="R264" s="42">
        <f>IFERROR(+VLOOKUP(M264,D.sign_Lista_Data[[RESPONSABLE]:[SOFTWARE 
VALOR HORA]],8,FALSE)*D.sign_Data[[#This Row],[TIEMPO (HORAS)]],0)</f>
        <v>3410.8548871439834</v>
      </c>
      <c r="S264" s="99">
        <v>0</v>
      </c>
      <c r="T264" s="99">
        <v>0</v>
      </c>
      <c r="U264" s="3">
        <f t="shared" si="9"/>
        <v>27895.826180625918</v>
      </c>
      <c r="V264" s="100">
        <f>D.sign_Data[[#This Row],[TIEMPO (HORAS)]]*Gastos_Operativos[[#Totals],[GASTOS HORA]]</f>
        <v>27789.477072310401</v>
      </c>
      <c r="W264" s="3">
        <f>+D.sign_Data[[#This Row],[COSTO 
DIRECTO ($COP)]]+D.sign_Data[[#This Row],[PRORRATEO GASTOS ($COP)]]</f>
        <v>55685.303252936319</v>
      </c>
      <c r="X264" s="101">
        <v>0.1</v>
      </c>
      <c r="Y264" s="15">
        <f>+D.sign_Data[[#This Row],[COSTOS OPERACIONALES ($COP)]]*D.sign_Data[[#This Row],[DESFASE (%)]]</f>
        <v>5568.5303252936319</v>
      </c>
      <c r="Z264" s="101">
        <v>0.2</v>
      </c>
      <c r="AA264" s="15">
        <f>+((D.sign_Data[[#This Row],[COSTOS OPERACIONALES ($COP)]]/(100%-D.sign_Data[[#This Row],[UTILIDAD (%)]])))-D.sign_Data[[#This Row],[COSTOS OPERACIONALES ($COP)]]</f>
        <v>13921.325813234078</v>
      </c>
      <c r="AB264" s="3">
        <f>+D.sign_Data[[#This Row],[COSTOS OPERACIONALES ($COP)]]+D.sign_Data[[#This Row],[DESFASE ($COP)]]+D.sign_Data[[#This Row],[UTILIDAD ($COP)]]</f>
        <v>75175.159391464025</v>
      </c>
      <c r="AC264" s="101">
        <v>0.05</v>
      </c>
      <c r="AD264" s="15">
        <f>+D.sign_Data[[#This Row],[VALOR NETO ($COP)]]/(100%-D.sign_Data[[#This Row],[MARGEN DE NEGOCIACIÓN (%)]])-D.sign_Data[[#This Row],[VALOR NETO ($COP)]]</f>
        <v>3956.5873363928404</v>
      </c>
      <c r="AE264" s="15">
        <f>+(D.sign_Data[[#This Row],[VALOR NETO ($COP)]]+D.sign_Data[[#This Row],[NEGOCIACIÓN ($COP)]])*1%</f>
        <v>791.31746727856864</v>
      </c>
      <c r="AF264" s="15">
        <f>+(D.sign_Data[[#This Row],[VALOR NETO ($COP)]]+D.sign_Data[[#This Row],[NEGOCIACIÓN ($COP)]])*1%</f>
        <v>791.31746727856864</v>
      </c>
      <c r="AG264" s="3">
        <f>+D.sign_Data[[#This Row],[VALOR NETO ($COP)]]+D.sign_Data[[#This Row],[NEGOCIACIÓN ($COP)]]+D.sign_Data[[#This Row],[ICA ($COP)]]+D.sign_Data[[#This Row],[4 * 1000 ($COP)]]</f>
        <v>80714.381662414002</v>
      </c>
    </row>
    <row r="265" spans="1:33" ht="60" hidden="1" customHeight="1" x14ac:dyDescent="0.25">
      <c r="A265" s="14"/>
      <c r="B265" s="87" t="s">
        <v>493</v>
      </c>
      <c r="C265" s="182" t="s">
        <v>601</v>
      </c>
      <c r="D265" s="189" t="str">
        <f>VLOOKUP(D.sign_Data[[#This Row],[CÓDIGO]],Descripciones[[CÓDIGO]:[NOMBRE DE SERVICIO]],3,FALSE)</f>
        <v>D1. Parcelaciones y Condominios</v>
      </c>
      <c r="E265" s="87" t="s">
        <v>497</v>
      </c>
      <c r="F265" s="88" t="s">
        <v>602</v>
      </c>
      <c r="G265" s="88" t="s">
        <v>597</v>
      </c>
      <c r="H265" s="104" t="s">
        <v>552</v>
      </c>
      <c r="I265" s="89">
        <v>1</v>
      </c>
      <c r="J265" s="88" t="s">
        <v>617</v>
      </c>
      <c r="K265" s="102"/>
      <c r="L265" s="88" t="s">
        <v>620</v>
      </c>
      <c r="M265" s="89" t="s">
        <v>381</v>
      </c>
      <c r="N265" s="90">
        <v>1</v>
      </c>
      <c r="O265" s="27">
        <f>IFERROR(+VLOOKUP(M265,D.sign_Lista_Data[[RESPONSABLE]:[SOFTWARE 
VALOR HORA]],3,FALSE),"0")</f>
        <v>20263.424518743668</v>
      </c>
      <c r="P265" s="3">
        <f t="shared" si="8"/>
        <v>20263.424518743668</v>
      </c>
      <c r="Q265" s="11">
        <f>IFERROR(+VLOOKUP(M265,D.sign_Lista_Data[[RESPONSABLE]:[SOFTWARE 
VALOR HORA]],5,FALSE)*D.sign_Data[[#This Row],[TIEMPO (HORAS)]],0)</f>
        <v>4221.5467747382636</v>
      </c>
      <c r="R265" s="42">
        <f>IFERROR(+VLOOKUP(M265,D.sign_Lista_Data[[RESPONSABLE]:[SOFTWARE 
VALOR HORA]],8,FALSE)*D.sign_Data[[#This Row],[TIEMPO (HORAS)]],0)</f>
        <v>3410.8548871439834</v>
      </c>
      <c r="S265" s="99">
        <v>0</v>
      </c>
      <c r="T265" s="99">
        <v>0</v>
      </c>
      <c r="U265" s="3">
        <f t="shared" si="9"/>
        <v>27895.826180625918</v>
      </c>
      <c r="V265" s="100">
        <f>D.sign_Data[[#This Row],[TIEMPO (HORAS)]]*Gastos_Operativos[[#Totals],[GASTOS HORA]]</f>
        <v>27789.477072310401</v>
      </c>
      <c r="W265" s="3">
        <f>+D.sign_Data[[#This Row],[COSTO 
DIRECTO ($COP)]]+D.sign_Data[[#This Row],[PRORRATEO GASTOS ($COP)]]</f>
        <v>55685.303252936319</v>
      </c>
      <c r="X265" s="101">
        <v>0.1</v>
      </c>
      <c r="Y265" s="15">
        <f>+D.sign_Data[[#This Row],[COSTOS OPERACIONALES ($COP)]]*D.sign_Data[[#This Row],[DESFASE (%)]]</f>
        <v>5568.5303252936319</v>
      </c>
      <c r="Z265" s="101">
        <v>0.2</v>
      </c>
      <c r="AA265" s="15">
        <f>+((D.sign_Data[[#This Row],[COSTOS OPERACIONALES ($COP)]]/(100%-D.sign_Data[[#This Row],[UTILIDAD (%)]])))-D.sign_Data[[#This Row],[COSTOS OPERACIONALES ($COP)]]</f>
        <v>13921.325813234078</v>
      </c>
      <c r="AB265" s="3">
        <f>+D.sign_Data[[#This Row],[COSTOS OPERACIONALES ($COP)]]+D.sign_Data[[#This Row],[DESFASE ($COP)]]+D.sign_Data[[#This Row],[UTILIDAD ($COP)]]</f>
        <v>75175.159391464025</v>
      </c>
      <c r="AC265" s="101">
        <v>0.05</v>
      </c>
      <c r="AD265" s="15">
        <f>+D.sign_Data[[#This Row],[VALOR NETO ($COP)]]/(100%-D.sign_Data[[#This Row],[MARGEN DE NEGOCIACIÓN (%)]])-D.sign_Data[[#This Row],[VALOR NETO ($COP)]]</f>
        <v>3956.5873363928404</v>
      </c>
      <c r="AE265" s="15">
        <f>+(D.sign_Data[[#This Row],[VALOR NETO ($COP)]]+D.sign_Data[[#This Row],[NEGOCIACIÓN ($COP)]])*1%</f>
        <v>791.31746727856864</v>
      </c>
      <c r="AF265" s="15">
        <f>+(D.sign_Data[[#This Row],[VALOR NETO ($COP)]]+D.sign_Data[[#This Row],[NEGOCIACIÓN ($COP)]])*1%</f>
        <v>791.31746727856864</v>
      </c>
      <c r="AG265" s="3">
        <f>+D.sign_Data[[#This Row],[VALOR NETO ($COP)]]+D.sign_Data[[#This Row],[NEGOCIACIÓN ($COP)]]+D.sign_Data[[#This Row],[ICA ($COP)]]+D.sign_Data[[#This Row],[4 * 1000 ($COP)]]</f>
        <v>80714.381662414002</v>
      </c>
    </row>
    <row r="266" spans="1:33" ht="60" hidden="1" customHeight="1" x14ac:dyDescent="0.25">
      <c r="A266" s="14"/>
      <c r="B266" s="87" t="s">
        <v>493</v>
      </c>
      <c r="C266" s="182" t="s">
        <v>601</v>
      </c>
      <c r="D266" s="189" t="str">
        <f>VLOOKUP(D.sign_Data[[#This Row],[CÓDIGO]],Descripciones[[CÓDIGO]:[NOMBRE DE SERVICIO]],3,FALSE)</f>
        <v>D1. Parcelaciones y Condominios</v>
      </c>
      <c r="E266" s="87" t="s">
        <v>497</v>
      </c>
      <c r="F266" s="88" t="s">
        <v>602</v>
      </c>
      <c r="G266" s="88" t="s">
        <v>597</v>
      </c>
      <c r="H266" s="104" t="s">
        <v>552</v>
      </c>
      <c r="I266" s="89">
        <v>1</v>
      </c>
      <c r="J266" s="88" t="s">
        <v>617</v>
      </c>
      <c r="K266" s="102"/>
      <c r="L266" s="88" t="s">
        <v>621</v>
      </c>
      <c r="M266" s="89" t="s">
        <v>381</v>
      </c>
      <c r="N266" s="90">
        <v>1</v>
      </c>
      <c r="O266" s="27">
        <f>IFERROR(+VLOOKUP(M266,D.sign_Lista_Data[[RESPONSABLE]:[SOFTWARE 
VALOR HORA]],3,FALSE),"0")</f>
        <v>20263.424518743668</v>
      </c>
      <c r="P266" s="3">
        <f t="shared" si="8"/>
        <v>20263.424518743668</v>
      </c>
      <c r="Q266" s="11">
        <f>IFERROR(+VLOOKUP(M266,D.sign_Lista_Data[[RESPONSABLE]:[SOFTWARE 
VALOR HORA]],5,FALSE)*D.sign_Data[[#This Row],[TIEMPO (HORAS)]],0)</f>
        <v>4221.5467747382636</v>
      </c>
      <c r="R266" s="42">
        <f>IFERROR(+VLOOKUP(M266,D.sign_Lista_Data[[RESPONSABLE]:[SOFTWARE 
VALOR HORA]],8,FALSE)*D.sign_Data[[#This Row],[TIEMPO (HORAS)]],0)</f>
        <v>3410.8548871439834</v>
      </c>
      <c r="S266" s="99">
        <v>0</v>
      </c>
      <c r="T266" s="99">
        <v>0</v>
      </c>
      <c r="U266" s="3">
        <f t="shared" si="9"/>
        <v>27895.826180625918</v>
      </c>
      <c r="V266" s="100">
        <f>D.sign_Data[[#This Row],[TIEMPO (HORAS)]]*Gastos_Operativos[[#Totals],[GASTOS HORA]]</f>
        <v>27789.477072310401</v>
      </c>
      <c r="W266" s="3">
        <f>+D.sign_Data[[#This Row],[COSTO 
DIRECTO ($COP)]]+D.sign_Data[[#This Row],[PRORRATEO GASTOS ($COP)]]</f>
        <v>55685.303252936319</v>
      </c>
      <c r="X266" s="101">
        <v>0.1</v>
      </c>
      <c r="Y266" s="15">
        <f>+D.sign_Data[[#This Row],[COSTOS OPERACIONALES ($COP)]]*D.sign_Data[[#This Row],[DESFASE (%)]]</f>
        <v>5568.5303252936319</v>
      </c>
      <c r="Z266" s="101">
        <v>0.2</v>
      </c>
      <c r="AA266" s="15">
        <f>+((D.sign_Data[[#This Row],[COSTOS OPERACIONALES ($COP)]]/(100%-D.sign_Data[[#This Row],[UTILIDAD (%)]])))-D.sign_Data[[#This Row],[COSTOS OPERACIONALES ($COP)]]</f>
        <v>13921.325813234078</v>
      </c>
      <c r="AB266" s="3">
        <f>+D.sign_Data[[#This Row],[COSTOS OPERACIONALES ($COP)]]+D.sign_Data[[#This Row],[DESFASE ($COP)]]+D.sign_Data[[#This Row],[UTILIDAD ($COP)]]</f>
        <v>75175.159391464025</v>
      </c>
      <c r="AC266" s="101">
        <v>0.05</v>
      </c>
      <c r="AD266" s="15">
        <f>+D.sign_Data[[#This Row],[VALOR NETO ($COP)]]/(100%-D.sign_Data[[#This Row],[MARGEN DE NEGOCIACIÓN (%)]])-D.sign_Data[[#This Row],[VALOR NETO ($COP)]]</f>
        <v>3956.5873363928404</v>
      </c>
      <c r="AE266" s="15">
        <f>+(D.sign_Data[[#This Row],[VALOR NETO ($COP)]]+D.sign_Data[[#This Row],[NEGOCIACIÓN ($COP)]])*1%</f>
        <v>791.31746727856864</v>
      </c>
      <c r="AF266" s="15">
        <f>+(D.sign_Data[[#This Row],[VALOR NETO ($COP)]]+D.sign_Data[[#This Row],[NEGOCIACIÓN ($COP)]])*1%</f>
        <v>791.31746727856864</v>
      </c>
      <c r="AG266" s="3">
        <f>+D.sign_Data[[#This Row],[VALOR NETO ($COP)]]+D.sign_Data[[#This Row],[NEGOCIACIÓN ($COP)]]+D.sign_Data[[#This Row],[ICA ($COP)]]+D.sign_Data[[#This Row],[4 * 1000 ($COP)]]</f>
        <v>80714.381662414002</v>
      </c>
    </row>
    <row r="267" spans="1:33" ht="60" hidden="1" customHeight="1" x14ac:dyDescent="0.25">
      <c r="A267" s="14"/>
      <c r="B267" s="87" t="s">
        <v>493</v>
      </c>
      <c r="C267" s="182" t="s">
        <v>601</v>
      </c>
      <c r="D267" s="189" t="str">
        <f>VLOOKUP(D.sign_Data[[#This Row],[CÓDIGO]],Descripciones[[CÓDIGO]:[NOMBRE DE SERVICIO]],3,FALSE)</f>
        <v>D1. Parcelaciones y Condominios</v>
      </c>
      <c r="E267" s="87" t="s">
        <v>497</v>
      </c>
      <c r="F267" s="88" t="s">
        <v>602</v>
      </c>
      <c r="G267" s="88" t="s">
        <v>597</v>
      </c>
      <c r="H267" s="104" t="s">
        <v>552</v>
      </c>
      <c r="I267" s="89">
        <v>1</v>
      </c>
      <c r="J267" s="88" t="s">
        <v>617</v>
      </c>
      <c r="K267" s="102"/>
      <c r="L267" s="88" t="s">
        <v>622</v>
      </c>
      <c r="M267" s="89" t="s">
        <v>381</v>
      </c>
      <c r="N267" s="90">
        <v>4</v>
      </c>
      <c r="O267" s="27">
        <f>IFERROR(+VLOOKUP(M267,D.sign_Lista_Data[[RESPONSABLE]:[SOFTWARE 
VALOR HORA]],3,FALSE),"0")</f>
        <v>20263.424518743668</v>
      </c>
      <c r="P267" s="3">
        <f t="shared" si="8"/>
        <v>81053.698074974673</v>
      </c>
      <c r="Q267" s="11">
        <f>IFERROR(+VLOOKUP(M267,D.sign_Lista_Data[[RESPONSABLE]:[SOFTWARE 
VALOR HORA]],5,FALSE)*D.sign_Data[[#This Row],[TIEMPO (HORAS)]],0)</f>
        <v>16886.187098953054</v>
      </c>
      <c r="R267" s="42">
        <f>IFERROR(+VLOOKUP(M267,D.sign_Lista_Data[[RESPONSABLE]:[SOFTWARE 
VALOR HORA]],8,FALSE)*D.sign_Data[[#This Row],[TIEMPO (HORAS)]],0)</f>
        <v>13643.419548575934</v>
      </c>
      <c r="S267" s="99">
        <v>0</v>
      </c>
      <c r="T267" s="99">
        <v>0</v>
      </c>
      <c r="U267" s="3">
        <f t="shared" si="9"/>
        <v>111583.30472250367</v>
      </c>
      <c r="V267" s="100">
        <f>D.sign_Data[[#This Row],[TIEMPO (HORAS)]]*Gastos_Operativos[[#Totals],[GASTOS HORA]]</f>
        <v>111157.9082892416</v>
      </c>
      <c r="W267" s="3">
        <f>+D.sign_Data[[#This Row],[COSTO 
DIRECTO ($COP)]]+D.sign_Data[[#This Row],[PRORRATEO GASTOS ($COP)]]</f>
        <v>222741.21301174528</v>
      </c>
      <c r="X267" s="101">
        <v>0.1</v>
      </c>
      <c r="Y267" s="15">
        <f>+D.sign_Data[[#This Row],[COSTOS OPERACIONALES ($COP)]]*D.sign_Data[[#This Row],[DESFASE (%)]]</f>
        <v>22274.121301174528</v>
      </c>
      <c r="Z267" s="101">
        <v>0.2</v>
      </c>
      <c r="AA267" s="15">
        <f>+((D.sign_Data[[#This Row],[COSTOS OPERACIONALES ($COP)]]/(100%-D.sign_Data[[#This Row],[UTILIDAD (%)]])))-D.sign_Data[[#This Row],[COSTOS OPERACIONALES ($COP)]]</f>
        <v>55685.303252936312</v>
      </c>
      <c r="AB267" s="3">
        <f>+D.sign_Data[[#This Row],[COSTOS OPERACIONALES ($COP)]]+D.sign_Data[[#This Row],[DESFASE ($COP)]]+D.sign_Data[[#This Row],[UTILIDAD ($COP)]]</f>
        <v>300700.6375658561</v>
      </c>
      <c r="AC267" s="101">
        <v>0.05</v>
      </c>
      <c r="AD267" s="15">
        <f>+D.sign_Data[[#This Row],[VALOR NETO ($COP)]]/(100%-D.sign_Data[[#This Row],[MARGEN DE NEGOCIACIÓN (%)]])-D.sign_Data[[#This Row],[VALOR NETO ($COP)]]</f>
        <v>15826.349345571361</v>
      </c>
      <c r="AE267" s="15">
        <f>+(D.sign_Data[[#This Row],[VALOR NETO ($COP)]]+D.sign_Data[[#This Row],[NEGOCIACIÓN ($COP)]])*1%</f>
        <v>3165.2698691142746</v>
      </c>
      <c r="AF267" s="15">
        <f>+(D.sign_Data[[#This Row],[VALOR NETO ($COP)]]+D.sign_Data[[#This Row],[NEGOCIACIÓN ($COP)]])*1%</f>
        <v>3165.2698691142746</v>
      </c>
      <c r="AG267" s="3">
        <f>+D.sign_Data[[#This Row],[VALOR NETO ($COP)]]+D.sign_Data[[#This Row],[NEGOCIACIÓN ($COP)]]+D.sign_Data[[#This Row],[ICA ($COP)]]+D.sign_Data[[#This Row],[4 * 1000 ($COP)]]</f>
        <v>322857.52664965601</v>
      </c>
    </row>
    <row r="268" spans="1:33" ht="60" hidden="1" customHeight="1" x14ac:dyDescent="0.25">
      <c r="A268" s="14"/>
      <c r="B268" s="87" t="s">
        <v>493</v>
      </c>
      <c r="C268" s="182" t="s">
        <v>601</v>
      </c>
      <c r="D268" s="189" t="str">
        <f>VLOOKUP(D.sign_Data[[#This Row],[CÓDIGO]],Descripciones[[CÓDIGO]:[NOMBRE DE SERVICIO]],3,FALSE)</f>
        <v>D1. Parcelaciones y Condominios</v>
      </c>
      <c r="E268" s="87" t="s">
        <v>497</v>
      </c>
      <c r="F268" s="88" t="s">
        <v>602</v>
      </c>
      <c r="G268" s="88" t="s">
        <v>597</v>
      </c>
      <c r="H268" s="104" t="s">
        <v>552</v>
      </c>
      <c r="I268" s="89">
        <v>1</v>
      </c>
      <c r="J268" s="88" t="s">
        <v>617</v>
      </c>
      <c r="K268" s="102"/>
      <c r="L268" s="88" t="s">
        <v>623</v>
      </c>
      <c r="M268" s="89" t="s">
        <v>381</v>
      </c>
      <c r="N268" s="90">
        <v>4</v>
      </c>
      <c r="O268" s="27">
        <f>IFERROR(+VLOOKUP(M268,D.sign_Lista_Data[[RESPONSABLE]:[SOFTWARE 
VALOR HORA]],3,FALSE),"0")</f>
        <v>20263.424518743668</v>
      </c>
      <c r="P268" s="3">
        <f t="shared" si="8"/>
        <v>81053.698074974673</v>
      </c>
      <c r="Q268" s="11">
        <f>IFERROR(+VLOOKUP(M268,D.sign_Lista_Data[[RESPONSABLE]:[SOFTWARE 
VALOR HORA]],5,FALSE)*D.sign_Data[[#This Row],[TIEMPO (HORAS)]],0)</f>
        <v>16886.187098953054</v>
      </c>
      <c r="R268" s="42">
        <f>IFERROR(+VLOOKUP(M268,D.sign_Lista_Data[[RESPONSABLE]:[SOFTWARE 
VALOR HORA]],8,FALSE)*D.sign_Data[[#This Row],[TIEMPO (HORAS)]],0)</f>
        <v>13643.419548575934</v>
      </c>
      <c r="S268" s="99">
        <v>0</v>
      </c>
      <c r="T268" s="99">
        <v>0</v>
      </c>
      <c r="U268" s="3">
        <f t="shared" si="9"/>
        <v>111583.30472250367</v>
      </c>
      <c r="V268" s="100">
        <f>D.sign_Data[[#This Row],[TIEMPO (HORAS)]]*Gastos_Operativos[[#Totals],[GASTOS HORA]]</f>
        <v>111157.9082892416</v>
      </c>
      <c r="W268" s="3">
        <f>+D.sign_Data[[#This Row],[COSTO 
DIRECTO ($COP)]]+D.sign_Data[[#This Row],[PRORRATEO GASTOS ($COP)]]</f>
        <v>222741.21301174528</v>
      </c>
      <c r="X268" s="101">
        <v>0.1</v>
      </c>
      <c r="Y268" s="15">
        <f>+D.sign_Data[[#This Row],[COSTOS OPERACIONALES ($COP)]]*D.sign_Data[[#This Row],[DESFASE (%)]]</f>
        <v>22274.121301174528</v>
      </c>
      <c r="Z268" s="101">
        <v>0.2</v>
      </c>
      <c r="AA268" s="15">
        <f>+((D.sign_Data[[#This Row],[COSTOS OPERACIONALES ($COP)]]/(100%-D.sign_Data[[#This Row],[UTILIDAD (%)]])))-D.sign_Data[[#This Row],[COSTOS OPERACIONALES ($COP)]]</f>
        <v>55685.303252936312</v>
      </c>
      <c r="AB268" s="3">
        <f>+D.sign_Data[[#This Row],[COSTOS OPERACIONALES ($COP)]]+D.sign_Data[[#This Row],[DESFASE ($COP)]]+D.sign_Data[[#This Row],[UTILIDAD ($COP)]]</f>
        <v>300700.6375658561</v>
      </c>
      <c r="AC268" s="101">
        <v>0.05</v>
      </c>
      <c r="AD268" s="15">
        <f>+D.sign_Data[[#This Row],[VALOR NETO ($COP)]]/(100%-D.sign_Data[[#This Row],[MARGEN DE NEGOCIACIÓN (%)]])-D.sign_Data[[#This Row],[VALOR NETO ($COP)]]</f>
        <v>15826.349345571361</v>
      </c>
      <c r="AE268" s="15">
        <f>+(D.sign_Data[[#This Row],[VALOR NETO ($COP)]]+D.sign_Data[[#This Row],[NEGOCIACIÓN ($COP)]])*1%</f>
        <v>3165.2698691142746</v>
      </c>
      <c r="AF268" s="15">
        <f>+(D.sign_Data[[#This Row],[VALOR NETO ($COP)]]+D.sign_Data[[#This Row],[NEGOCIACIÓN ($COP)]])*1%</f>
        <v>3165.2698691142746</v>
      </c>
      <c r="AG268" s="3">
        <f>+D.sign_Data[[#This Row],[VALOR NETO ($COP)]]+D.sign_Data[[#This Row],[NEGOCIACIÓN ($COP)]]+D.sign_Data[[#This Row],[ICA ($COP)]]+D.sign_Data[[#This Row],[4 * 1000 ($COP)]]</f>
        <v>322857.52664965601</v>
      </c>
    </row>
    <row r="269" spans="1:33" ht="60" hidden="1" customHeight="1" x14ac:dyDescent="0.25">
      <c r="A269" s="14"/>
      <c r="B269" s="87" t="s">
        <v>493</v>
      </c>
      <c r="C269" s="182" t="s">
        <v>601</v>
      </c>
      <c r="D269" s="189" t="str">
        <f>VLOOKUP(D.sign_Data[[#This Row],[CÓDIGO]],Descripciones[[CÓDIGO]:[NOMBRE DE SERVICIO]],3,FALSE)</f>
        <v>D1. Parcelaciones y Condominios</v>
      </c>
      <c r="E269" s="87" t="s">
        <v>497</v>
      </c>
      <c r="F269" s="88" t="s">
        <v>602</v>
      </c>
      <c r="G269" s="88" t="s">
        <v>597</v>
      </c>
      <c r="H269" s="104" t="s">
        <v>552</v>
      </c>
      <c r="I269" s="89">
        <v>1</v>
      </c>
      <c r="J269" s="88" t="s">
        <v>617</v>
      </c>
      <c r="K269" s="102"/>
      <c r="L269" s="88" t="s">
        <v>483</v>
      </c>
      <c r="M269" s="89" t="s">
        <v>381</v>
      </c>
      <c r="N269" s="90">
        <v>1.5</v>
      </c>
      <c r="O269" s="27">
        <f>IFERROR(+VLOOKUP(M269,D.sign_Lista_Data[[RESPONSABLE]:[SOFTWARE 
VALOR HORA]],3,FALSE),"0")</f>
        <v>20263.424518743668</v>
      </c>
      <c r="P269" s="3">
        <f t="shared" si="8"/>
        <v>30395.136778115502</v>
      </c>
      <c r="Q269" s="11">
        <f>IFERROR(+VLOOKUP(M269,D.sign_Lista_Data[[RESPONSABLE]:[SOFTWARE 
VALOR HORA]],5,FALSE)*D.sign_Data[[#This Row],[TIEMPO (HORAS)]],0)</f>
        <v>6332.3201621073949</v>
      </c>
      <c r="R269" s="42">
        <f>IFERROR(+VLOOKUP(M269,D.sign_Lista_Data[[RESPONSABLE]:[SOFTWARE 
VALOR HORA]],8,FALSE)*D.sign_Data[[#This Row],[TIEMPO (HORAS)]],0)</f>
        <v>5116.2823307159751</v>
      </c>
      <c r="S269" s="99">
        <v>0</v>
      </c>
      <c r="T269" s="99">
        <v>0</v>
      </c>
      <c r="U269" s="3">
        <f t="shared" si="9"/>
        <v>41843.739270938873</v>
      </c>
      <c r="V269" s="100">
        <f>D.sign_Data[[#This Row],[TIEMPO (HORAS)]]*Gastos_Operativos[[#Totals],[GASTOS HORA]]</f>
        <v>41684.215608465602</v>
      </c>
      <c r="W269" s="3">
        <f>+D.sign_Data[[#This Row],[COSTO 
DIRECTO ($COP)]]+D.sign_Data[[#This Row],[PRORRATEO GASTOS ($COP)]]</f>
        <v>83527.954879404482</v>
      </c>
      <c r="X269" s="101">
        <v>0.1</v>
      </c>
      <c r="Y269" s="15">
        <f>+D.sign_Data[[#This Row],[COSTOS OPERACIONALES ($COP)]]*D.sign_Data[[#This Row],[DESFASE (%)]]</f>
        <v>8352.7954879404479</v>
      </c>
      <c r="Z269" s="101">
        <v>0.2</v>
      </c>
      <c r="AA269" s="15">
        <f>+((D.sign_Data[[#This Row],[COSTOS OPERACIONALES ($COP)]]/(100%-D.sign_Data[[#This Row],[UTILIDAD (%)]])))-D.sign_Data[[#This Row],[COSTOS OPERACIONALES ($COP)]]</f>
        <v>20881.988719851113</v>
      </c>
      <c r="AB269" s="3">
        <f>+D.sign_Data[[#This Row],[COSTOS OPERACIONALES ($COP)]]+D.sign_Data[[#This Row],[DESFASE ($COP)]]+D.sign_Data[[#This Row],[UTILIDAD ($COP)]]</f>
        <v>112762.73908719604</v>
      </c>
      <c r="AC269" s="101">
        <v>0.05</v>
      </c>
      <c r="AD269" s="15">
        <f>+D.sign_Data[[#This Row],[VALOR NETO ($COP)]]/(100%-D.sign_Data[[#This Row],[MARGEN DE NEGOCIACIÓN (%)]])-D.sign_Data[[#This Row],[VALOR NETO ($COP)]]</f>
        <v>5934.8810045892751</v>
      </c>
      <c r="AE269" s="15">
        <f>+(D.sign_Data[[#This Row],[VALOR NETO ($COP)]]+D.sign_Data[[#This Row],[NEGOCIACIÓN ($COP)]])*1%</f>
        <v>1186.9762009178532</v>
      </c>
      <c r="AF269" s="15">
        <f>+(D.sign_Data[[#This Row],[VALOR NETO ($COP)]]+D.sign_Data[[#This Row],[NEGOCIACIÓN ($COP)]])*1%</f>
        <v>1186.9762009178532</v>
      </c>
      <c r="AG269" s="3">
        <f>+D.sign_Data[[#This Row],[VALOR NETO ($COP)]]+D.sign_Data[[#This Row],[NEGOCIACIÓN ($COP)]]+D.sign_Data[[#This Row],[ICA ($COP)]]+D.sign_Data[[#This Row],[4 * 1000 ($COP)]]</f>
        <v>121071.57249362102</v>
      </c>
    </row>
    <row r="270" spans="1:33" ht="60" hidden="1" customHeight="1" x14ac:dyDescent="0.25">
      <c r="A270" s="14"/>
      <c r="B270" s="87" t="s">
        <v>493</v>
      </c>
      <c r="C270" s="182" t="s">
        <v>601</v>
      </c>
      <c r="D270" s="189" t="str">
        <f>VLOOKUP(D.sign_Data[[#This Row],[CÓDIGO]],Descripciones[[CÓDIGO]:[NOMBRE DE SERVICIO]],3,FALSE)</f>
        <v>D1. Parcelaciones y Condominios</v>
      </c>
      <c r="E270" s="87" t="s">
        <v>497</v>
      </c>
      <c r="F270" s="88" t="s">
        <v>602</v>
      </c>
      <c r="G270" s="88" t="s">
        <v>597</v>
      </c>
      <c r="H270" s="104" t="s">
        <v>552</v>
      </c>
      <c r="I270" s="89">
        <v>1</v>
      </c>
      <c r="J270" s="88" t="s">
        <v>617</v>
      </c>
      <c r="K270" s="102"/>
      <c r="L270" s="88" t="s">
        <v>624</v>
      </c>
      <c r="M270" s="89" t="s">
        <v>381</v>
      </c>
      <c r="N270" s="90">
        <v>1</v>
      </c>
      <c r="O270" s="27">
        <f>IFERROR(+VLOOKUP(M270,D.sign_Lista_Data[[RESPONSABLE]:[SOFTWARE 
VALOR HORA]],3,FALSE),"0")</f>
        <v>20263.424518743668</v>
      </c>
      <c r="P270" s="3">
        <f t="shared" si="8"/>
        <v>20263.424518743668</v>
      </c>
      <c r="Q270" s="11">
        <f>IFERROR(+VLOOKUP(M270,D.sign_Lista_Data[[RESPONSABLE]:[SOFTWARE 
VALOR HORA]],5,FALSE)*D.sign_Data[[#This Row],[TIEMPO (HORAS)]],0)</f>
        <v>4221.5467747382636</v>
      </c>
      <c r="R270" s="42">
        <f>IFERROR(+VLOOKUP(M270,D.sign_Lista_Data[[RESPONSABLE]:[SOFTWARE 
VALOR HORA]],8,FALSE)*D.sign_Data[[#This Row],[TIEMPO (HORAS)]],0)</f>
        <v>3410.8548871439834</v>
      </c>
      <c r="S270" s="99">
        <v>0</v>
      </c>
      <c r="T270" s="99">
        <v>0</v>
      </c>
      <c r="U270" s="3">
        <f t="shared" si="9"/>
        <v>27895.826180625918</v>
      </c>
      <c r="V270" s="100">
        <f>D.sign_Data[[#This Row],[TIEMPO (HORAS)]]*Gastos_Operativos[[#Totals],[GASTOS HORA]]</f>
        <v>27789.477072310401</v>
      </c>
      <c r="W270" s="3">
        <f>+D.sign_Data[[#This Row],[COSTO 
DIRECTO ($COP)]]+D.sign_Data[[#This Row],[PRORRATEO GASTOS ($COP)]]</f>
        <v>55685.303252936319</v>
      </c>
      <c r="X270" s="101">
        <v>0.1</v>
      </c>
      <c r="Y270" s="15">
        <f>+D.sign_Data[[#This Row],[COSTOS OPERACIONALES ($COP)]]*D.sign_Data[[#This Row],[DESFASE (%)]]</f>
        <v>5568.5303252936319</v>
      </c>
      <c r="Z270" s="101">
        <v>0.2</v>
      </c>
      <c r="AA270" s="15">
        <f>+((D.sign_Data[[#This Row],[COSTOS OPERACIONALES ($COP)]]/(100%-D.sign_Data[[#This Row],[UTILIDAD (%)]])))-D.sign_Data[[#This Row],[COSTOS OPERACIONALES ($COP)]]</f>
        <v>13921.325813234078</v>
      </c>
      <c r="AB270" s="3">
        <f>+D.sign_Data[[#This Row],[COSTOS OPERACIONALES ($COP)]]+D.sign_Data[[#This Row],[DESFASE ($COP)]]+D.sign_Data[[#This Row],[UTILIDAD ($COP)]]</f>
        <v>75175.159391464025</v>
      </c>
      <c r="AC270" s="101">
        <v>0.05</v>
      </c>
      <c r="AD270" s="15">
        <f>+D.sign_Data[[#This Row],[VALOR NETO ($COP)]]/(100%-D.sign_Data[[#This Row],[MARGEN DE NEGOCIACIÓN (%)]])-D.sign_Data[[#This Row],[VALOR NETO ($COP)]]</f>
        <v>3956.5873363928404</v>
      </c>
      <c r="AE270" s="15">
        <f>+(D.sign_Data[[#This Row],[VALOR NETO ($COP)]]+D.sign_Data[[#This Row],[NEGOCIACIÓN ($COP)]])*1%</f>
        <v>791.31746727856864</v>
      </c>
      <c r="AF270" s="15">
        <f>+(D.sign_Data[[#This Row],[VALOR NETO ($COP)]]+D.sign_Data[[#This Row],[NEGOCIACIÓN ($COP)]])*1%</f>
        <v>791.31746727856864</v>
      </c>
      <c r="AG270" s="3">
        <f>+D.sign_Data[[#This Row],[VALOR NETO ($COP)]]+D.sign_Data[[#This Row],[NEGOCIACIÓN ($COP)]]+D.sign_Data[[#This Row],[ICA ($COP)]]+D.sign_Data[[#This Row],[4 * 1000 ($COP)]]</f>
        <v>80714.381662414002</v>
      </c>
    </row>
    <row r="271" spans="1:33" ht="60" hidden="1" customHeight="1" x14ac:dyDescent="0.25">
      <c r="A271" s="14"/>
      <c r="B271" s="87" t="s">
        <v>493</v>
      </c>
      <c r="C271" s="182" t="s">
        <v>601</v>
      </c>
      <c r="D271" s="189" t="str">
        <f>VLOOKUP(D.sign_Data[[#This Row],[CÓDIGO]],Descripciones[[CÓDIGO]:[NOMBRE DE SERVICIO]],3,FALSE)</f>
        <v>D1. Parcelaciones y Condominios</v>
      </c>
      <c r="E271" s="87" t="s">
        <v>497</v>
      </c>
      <c r="F271" s="88" t="s">
        <v>602</v>
      </c>
      <c r="G271" s="88" t="s">
        <v>597</v>
      </c>
      <c r="H271" s="104" t="s">
        <v>552</v>
      </c>
      <c r="I271" s="89">
        <v>1</v>
      </c>
      <c r="J271" s="88" t="s">
        <v>617</v>
      </c>
      <c r="K271" s="102"/>
      <c r="L271" s="88" t="s">
        <v>579</v>
      </c>
      <c r="M271" s="89" t="s">
        <v>381</v>
      </c>
      <c r="N271" s="90">
        <v>1</v>
      </c>
      <c r="O271" s="27">
        <f>IFERROR(+VLOOKUP(M271,D.sign_Lista_Data[[RESPONSABLE]:[SOFTWARE 
VALOR HORA]],3,FALSE),"0")</f>
        <v>20263.424518743668</v>
      </c>
      <c r="P271" s="3">
        <f t="shared" si="8"/>
        <v>20263.424518743668</v>
      </c>
      <c r="Q271" s="11">
        <f>IFERROR(+VLOOKUP(M271,D.sign_Lista_Data[[RESPONSABLE]:[SOFTWARE 
VALOR HORA]],5,FALSE)*D.sign_Data[[#This Row],[TIEMPO (HORAS)]],0)</f>
        <v>4221.5467747382636</v>
      </c>
      <c r="R271" s="42">
        <f>IFERROR(+VLOOKUP(M271,D.sign_Lista_Data[[RESPONSABLE]:[SOFTWARE 
VALOR HORA]],8,FALSE)*D.sign_Data[[#This Row],[TIEMPO (HORAS)]],0)</f>
        <v>3410.8548871439834</v>
      </c>
      <c r="S271" s="99">
        <v>0</v>
      </c>
      <c r="T271" s="99">
        <v>0</v>
      </c>
      <c r="U271" s="3">
        <f t="shared" si="9"/>
        <v>27895.826180625918</v>
      </c>
      <c r="V271" s="100">
        <f>D.sign_Data[[#This Row],[TIEMPO (HORAS)]]*Gastos_Operativos[[#Totals],[GASTOS HORA]]</f>
        <v>27789.477072310401</v>
      </c>
      <c r="W271" s="3">
        <f>+D.sign_Data[[#This Row],[COSTO 
DIRECTO ($COP)]]+D.sign_Data[[#This Row],[PRORRATEO GASTOS ($COP)]]</f>
        <v>55685.303252936319</v>
      </c>
      <c r="X271" s="101">
        <v>0.1</v>
      </c>
      <c r="Y271" s="15">
        <f>+D.sign_Data[[#This Row],[COSTOS OPERACIONALES ($COP)]]*D.sign_Data[[#This Row],[DESFASE (%)]]</f>
        <v>5568.5303252936319</v>
      </c>
      <c r="Z271" s="101">
        <v>0.2</v>
      </c>
      <c r="AA271" s="15">
        <f>+((D.sign_Data[[#This Row],[COSTOS OPERACIONALES ($COP)]]/(100%-D.sign_Data[[#This Row],[UTILIDAD (%)]])))-D.sign_Data[[#This Row],[COSTOS OPERACIONALES ($COP)]]</f>
        <v>13921.325813234078</v>
      </c>
      <c r="AB271" s="3">
        <f>+D.sign_Data[[#This Row],[COSTOS OPERACIONALES ($COP)]]+D.sign_Data[[#This Row],[DESFASE ($COP)]]+D.sign_Data[[#This Row],[UTILIDAD ($COP)]]</f>
        <v>75175.159391464025</v>
      </c>
      <c r="AC271" s="101">
        <v>0.05</v>
      </c>
      <c r="AD271" s="15">
        <f>+D.sign_Data[[#This Row],[VALOR NETO ($COP)]]/(100%-D.sign_Data[[#This Row],[MARGEN DE NEGOCIACIÓN (%)]])-D.sign_Data[[#This Row],[VALOR NETO ($COP)]]</f>
        <v>3956.5873363928404</v>
      </c>
      <c r="AE271" s="15">
        <f>+(D.sign_Data[[#This Row],[VALOR NETO ($COP)]]+D.sign_Data[[#This Row],[NEGOCIACIÓN ($COP)]])*1%</f>
        <v>791.31746727856864</v>
      </c>
      <c r="AF271" s="15">
        <f>+(D.sign_Data[[#This Row],[VALOR NETO ($COP)]]+D.sign_Data[[#This Row],[NEGOCIACIÓN ($COP)]])*1%</f>
        <v>791.31746727856864</v>
      </c>
      <c r="AG271" s="3">
        <f>+D.sign_Data[[#This Row],[VALOR NETO ($COP)]]+D.sign_Data[[#This Row],[NEGOCIACIÓN ($COP)]]+D.sign_Data[[#This Row],[ICA ($COP)]]+D.sign_Data[[#This Row],[4 * 1000 ($COP)]]</f>
        <v>80714.381662414002</v>
      </c>
    </row>
    <row r="272" spans="1:33" ht="60" hidden="1" customHeight="1" x14ac:dyDescent="0.25">
      <c r="A272" s="14"/>
      <c r="B272" s="87" t="s">
        <v>493</v>
      </c>
      <c r="C272" s="182" t="s">
        <v>601</v>
      </c>
      <c r="D272" s="189" t="str">
        <f>VLOOKUP(D.sign_Data[[#This Row],[CÓDIGO]],Descripciones[[CÓDIGO]:[NOMBRE DE SERVICIO]],3,FALSE)</f>
        <v>D1. Parcelaciones y Condominios</v>
      </c>
      <c r="E272" s="87" t="s">
        <v>497</v>
      </c>
      <c r="F272" s="88" t="s">
        <v>602</v>
      </c>
      <c r="G272" s="88" t="s">
        <v>597</v>
      </c>
      <c r="H272" s="104" t="s">
        <v>552</v>
      </c>
      <c r="I272" s="89">
        <v>1</v>
      </c>
      <c r="J272" s="88" t="s">
        <v>617</v>
      </c>
      <c r="K272" s="102"/>
      <c r="L272" s="88" t="s">
        <v>625</v>
      </c>
      <c r="M272" s="89" t="s">
        <v>381</v>
      </c>
      <c r="N272" s="90">
        <v>1</v>
      </c>
      <c r="O272" s="27">
        <f>IFERROR(+VLOOKUP(M272,D.sign_Lista_Data[[RESPONSABLE]:[SOFTWARE 
VALOR HORA]],3,FALSE),"0")</f>
        <v>20263.424518743668</v>
      </c>
      <c r="P272" s="3">
        <f t="shared" si="8"/>
        <v>20263.424518743668</v>
      </c>
      <c r="Q272" s="11">
        <f>IFERROR(+VLOOKUP(M272,D.sign_Lista_Data[[RESPONSABLE]:[SOFTWARE 
VALOR HORA]],5,FALSE)*D.sign_Data[[#This Row],[TIEMPO (HORAS)]],0)</f>
        <v>4221.5467747382636</v>
      </c>
      <c r="R272" s="42">
        <f>IFERROR(+VLOOKUP(M272,D.sign_Lista_Data[[RESPONSABLE]:[SOFTWARE 
VALOR HORA]],8,FALSE)*D.sign_Data[[#This Row],[TIEMPO (HORAS)]],0)</f>
        <v>3410.8548871439834</v>
      </c>
      <c r="S272" s="99">
        <v>0</v>
      </c>
      <c r="T272" s="99">
        <v>0</v>
      </c>
      <c r="U272" s="3">
        <f t="shared" si="9"/>
        <v>27895.826180625918</v>
      </c>
      <c r="V272" s="100">
        <f>D.sign_Data[[#This Row],[TIEMPO (HORAS)]]*Gastos_Operativos[[#Totals],[GASTOS HORA]]</f>
        <v>27789.477072310401</v>
      </c>
      <c r="W272" s="3">
        <f>+D.sign_Data[[#This Row],[COSTO 
DIRECTO ($COP)]]+D.sign_Data[[#This Row],[PRORRATEO GASTOS ($COP)]]</f>
        <v>55685.303252936319</v>
      </c>
      <c r="X272" s="101">
        <v>0.1</v>
      </c>
      <c r="Y272" s="15">
        <f>+D.sign_Data[[#This Row],[COSTOS OPERACIONALES ($COP)]]*D.sign_Data[[#This Row],[DESFASE (%)]]</f>
        <v>5568.5303252936319</v>
      </c>
      <c r="Z272" s="101">
        <v>0.2</v>
      </c>
      <c r="AA272" s="15">
        <f>+((D.sign_Data[[#This Row],[COSTOS OPERACIONALES ($COP)]]/(100%-D.sign_Data[[#This Row],[UTILIDAD (%)]])))-D.sign_Data[[#This Row],[COSTOS OPERACIONALES ($COP)]]</f>
        <v>13921.325813234078</v>
      </c>
      <c r="AB272" s="3">
        <f>+D.sign_Data[[#This Row],[COSTOS OPERACIONALES ($COP)]]+D.sign_Data[[#This Row],[DESFASE ($COP)]]+D.sign_Data[[#This Row],[UTILIDAD ($COP)]]</f>
        <v>75175.159391464025</v>
      </c>
      <c r="AC272" s="101">
        <v>0.05</v>
      </c>
      <c r="AD272" s="15">
        <f>+D.sign_Data[[#This Row],[VALOR NETO ($COP)]]/(100%-D.sign_Data[[#This Row],[MARGEN DE NEGOCIACIÓN (%)]])-D.sign_Data[[#This Row],[VALOR NETO ($COP)]]</f>
        <v>3956.5873363928404</v>
      </c>
      <c r="AE272" s="15">
        <f>+(D.sign_Data[[#This Row],[VALOR NETO ($COP)]]+D.sign_Data[[#This Row],[NEGOCIACIÓN ($COP)]])*1%</f>
        <v>791.31746727856864</v>
      </c>
      <c r="AF272" s="15">
        <f>+(D.sign_Data[[#This Row],[VALOR NETO ($COP)]]+D.sign_Data[[#This Row],[NEGOCIACIÓN ($COP)]])*1%</f>
        <v>791.31746727856864</v>
      </c>
      <c r="AG272" s="3">
        <f>+D.sign_Data[[#This Row],[VALOR NETO ($COP)]]+D.sign_Data[[#This Row],[NEGOCIACIÓN ($COP)]]+D.sign_Data[[#This Row],[ICA ($COP)]]+D.sign_Data[[#This Row],[4 * 1000 ($COP)]]</f>
        <v>80714.381662414002</v>
      </c>
    </row>
    <row r="273" spans="1:33" ht="60" hidden="1" customHeight="1" x14ac:dyDescent="0.25">
      <c r="A273" s="14"/>
      <c r="B273" s="87" t="s">
        <v>493</v>
      </c>
      <c r="C273" s="182" t="s">
        <v>601</v>
      </c>
      <c r="D273" s="189" t="str">
        <f>VLOOKUP(D.sign_Data[[#This Row],[CÓDIGO]],Descripciones[[CÓDIGO]:[NOMBRE DE SERVICIO]],3,FALSE)</f>
        <v>D1. Parcelaciones y Condominios</v>
      </c>
      <c r="E273" s="87" t="s">
        <v>497</v>
      </c>
      <c r="F273" s="88" t="s">
        <v>602</v>
      </c>
      <c r="G273" s="88" t="s">
        <v>597</v>
      </c>
      <c r="H273" s="104" t="s">
        <v>552</v>
      </c>
      <c r="I273" s="89">
        <v>1</v>
      </c>
      <c r="J273" s="88" t="s">
        <v>617</v>
      </c>
      <c r="K273" s="102"/>
      <c r="L273" s="88" t="s">
        <v>572</v>
      </c>
      <c r="M273" s="89" t="s">
        <v>381</v>
      </c>
      <c r="N273" s="90">
        <v>0.1</v>
      </c>
      <c r="O273" s="27">
        <f>IFERROR(+VLOOKUP(M273,D.sign_Lista_Data[[RESPONSABLE]:[SOFTWARE 
VALOR HORA]],3,FALSE),"0")</f>
        <v>20263.424518743668</v>
      </c>
      <c r="P273" s="3">
        <f t="shared" si="8"/>
        <v>2026.3424518743668</v>
      </c>
      <c r="Q273" s="11">
        <f>IFERROR(+VLOOKUP(M273,D.sign_Lista_Data[[RESPONSABLE]:[SOFTWARE 
VALOR HORA]],5,FALSE)*D.sign_Data[[#This Row],[TIEMPO (HORAS)]],0)</f>
        <v>422.15467747382638</v>
      </c>
      <c r="R273" s="42">
        <f>IFERROR(+VLOOKUP(M273,D.sign_Lista_Data[[RESPONSABLE]:[SOFTWARE 
VALOR HORA]],8,FALSE)*D.sign_Data[[#This Row],[TIEMPO (HORAS)]],0)</f>
        <v>341.08548871439837</v>
      </c>
      <c r="S273" s="99">
        <v>0</v>
      </c>
      <c r="T273" s="99">
        <v>0</v>
      </c>
      <c r="U273" s="3">
        <f t="shared" si="9"/>
        <v>2789.5826180625913</v>
      </c>
      <c r="V273" s="100">
        <f>D.sign_Data[[#This Row],[TIEMPO (HORAS)]]*Gastos_Operativos[[#Totals],[GASTOS HORA]]</f>
        <v>2778.9477072310401</v>
      </c>
      <c r="W273" s="3">
        <f>+D.sign_Data[[#This Row],[COSTO 
DIRECTO ($COP)]]+D.sign_Data[[#This Row],[PRORRATEO GASTOS ($COP)]]</f>
        <v>5568.5303252936319</v>
      </c>
      <c r="X273" s="101">
        <v>0.1</v>
      </c>
      <c r="Y273" s="15">
        <f>+D.sign_Data[[#This Row],[COSTOS OPERACIONALES ($COP)]]*D.sign_Data[[#This Row],[DESFASE (%)]]</f>
        <v>556.85303252936319</v>
      </c>
      <c r="Z273" s="101">
        <v>0.2</v>
      </c>
      <c r="AA273" s="15">
        <f>+((D.sign_Data[[#This Row],[COSTOS OPERACIONALES ($COP)]]/(100%-D.sign_Data[[#This Row],[UTILIDAD (%)]])))-D.sign_Data[[#This Row],[COSTOS OPERACIONALES ($COP)]]</f>
        <v>1392.132581323408</v>
      </c>
      <c r="AB273" s="3">
        <f>+D.sign_Data[[#This Row],[COSTOS OPERACIONALES ($COP)]]+D.sign_Data[[#This Row],[DESFASE ($COP)]]+D.sign_Data[[#This Row],[UTILIDAD ($COP)]]</f>
        <v>7517.5159391464031</v>
      </c>
      <c r="AC273" s="101">
        <v>0.05</v>
      </c>
      <c r="AD273" s="15">
        <f>+D.sign_Data[[#This Row],[VALOR NETO ($COP)]]/(100%-D.sign_Data[[#This Row],[MARGEN DE NEGOCIACIÓN (%)]])-D.sign_Data[[#This Row],[VALOR NETO ($COP)]]</f>
        <v>395.65873363928495</v>
      </c>
      <c r="AE273" s="15">
        <f>+(D.sign_Data[[#This Row],[VALOR NETO ($COP)]]+D.sign_Data[[#This Row],[NEGOCIACIÓN ($COP)]])*1%</f>
        <v>79.131746727856878</v>
      </c>
      <c r="AF273" s="15">
        <f>+(D.sign_Data[[#This Row],[VALOR NETO ($COP)]]+D.sign_Data[[#This Row],[NEGOCIACIÓN ($COP)]])*1%</f>
        <v>79.131746727856878</v>
      </c>
      <c r="AG273" s="3">
        <f>+D.sign_Data[[#This Row],[VALOR NETO ($COP)]]+D.sign_Data[[#This Row],[NEGOCIACIÓN ($COP)]]+D.sign_Data[[#This Row],[ICA ($COP)]]+D.sign_Data[[#This Row],[4 * 1000 ($COP)]]</f>
        <v>8071.4381662414016</v>
      </c>
    </row>
    <row r="274" spans="1:33" ht="60" hidden="1" customHeight="1" x14ac:dyDescent="0.25">
      <c r="A274" s="14"/>
      <c r="B274" s="87" t="s">
        <v>493</v>
      </c>
      <c r="C274" s="182" t="s">
        <v>601</v>
      </c>
      <c r="D274" s="189" t="str">
        <f>VLOOKUP(D.sign_Data[[#This Row],[CÓDIGO]],Descripciones[[CÓDIGO]:[NOMBRE DE SERVICIO]],3,FALSE)</f>
        <v>D1. Parcelaciones y Condominios</v>
      </c>
      <c r="E274" s="87" t="s">
        <v>497</v>
      </c>
      <c r="F274" s="88" t="s">
        <v>602</v>
      </c>
      <c r="G274" s="88" t="s">
        <v>626</v>
      </c>
      <c r="H274" s="104" t="s">
        <v>552</v>
      </c>
      <c r="I274" s="89">
        <v>1</v>
      </c>
      <c r="J274" s="88" t="s">
        <v>627</v>
      </c>
      <c r="K274" s="102"/>
      <c r="L274" s="88" t="s">
        <v>628</v>
      </c>
      <c r="M274" s="89" t="s">
        <v>381</v>
      </c>
      <c r="N274" s="90">
        <v>1</v>
      </c>
      <c r="O274" s="27">
        <f>IFERROR(+VLOOKUP(M274,D.sign_Lista_Data[[RESPONSABLE]:[SOFTWARE 
VALOR HORA]],3,FALSE),"0")</f>
        <v>20263.424518743668</v>
      </c>
      <c r="P274" s="3">
        <f t="shared" si="8"/>
        <v>20263.424518743668</v>
      </c>
      <c r="Q274" s="11">
        <f>IFERROR(+VLOOKUP(M274,D.sign_Lista_Data[[RESPONSABLE]:[SOFTWARE 
VALOR HORA]],5,FALSE)*D.sign_Data[[#This Row],[TIEMPO (HORAS)]],0)</f>
        <v>4221.5467747382636</v>
      </c>
      <c r="R274" s="42">
        <f>IFERROR(+VLOOKUP(M274,D.sign_Lista_Data[[RESPONSABLE]:[SOFTWARE 
VALOR HORA]],8,FALSE)*D.sign_Data[[#This Row],[TIEMPO (HORAS)]],0)</f>
        <v>3410.8548871439834</v>
      </c>
      <c r="S274" s="99">
        <v>0</v>
      </c>
      <c r="T274" s="99">
        <v>0</v>
      </c>
      <c r="U274" s="3">
        <f t="shared" si="9"/>
        <v>27895.826180625918</v>
      </c>
      <c r="V274" s="100">
        <f>D.sign_Data[[#This Row],[TIEMPO (HORAS)]]*Gastos_Operativos[[#Totals],[GASTOS HORA]]</f>
        <v>27789.477072310401</v>
      </c>
      <c r="W274" s="3">
        <f>+D.sign_Data[[#This Row],[COSTO 
DIRECTO ($COP)]]+D.sign_Data[[#This Row],[PRORRATEO GASTOS ($COP)]]</f>
        <v>55685.303252936319</v>
      </c>
      <c r="X274" s="101">
        <v>0.1</v>
      </c>
      <c r="Y274" s="15">
        <f>+D.sign_Data[[#This Row],[COSTOS OPERACIONALES ($COP)]]*D.sign_Data[[#This Row],[DESFASE (%)]]</f>
        <v>5568.5303252936319</v>
      </c>
      <c r="Z274" s="101">
        <v>0.2</v>
      </c>
      <c r="AA274" s="15">
        <f>+((D.sign_Data[[#This Row],[COSTOS OPERACIONALES ($COP)]]/(100%-D.sign_Data[[#This Row],[UTILIDAD (%)]])))-D.sign_Data[[#This Row],[COSTOS OPERACIONALES ($COP)]]</f>
        <v>13921.325813234078</v>
      </c>
      <c r="AB274" s="3">
        <f>+D.sign_Data[[#This Row],[COSTOS OPERACIONALES ($COP)]]+D.sign_Data[[#This Row],[DESFASE ($COP)]]+D.sign_Data[[#This Row],[UTILIDAD ($COP)]]</f>
        <v>75175.159391464025</v>
      </c>
      <c r="AC274" s="101">
        <v>0.05</v>
      </c>
      <c r="AD274" s="15">
        <f>+D.sign_Data[[#This Row],[VALOR NETO ($COP)]]/(100%-D.sign_Data[[#This Row],[MARGEN DE NEGOCIACIÓN (%)]])-D.sign_Data[[#This Row],[VALOR NETO ($COP)]]</f>
        <v>3956.5873363928404</v>
      </c>
      <c r="AE274" s="15">
        <f>+(D.sign_Data[[#This Row],[VALOR NETO ($COP)]]+D.sign_Data[[#This Row],[NEGOCIACIÓN ($COP)]])*1%</f>
        <v>791.31746727856864</v>
      </c>
      <c r="AF274" s="15">
        <f>+(D.sign_Data[[#This Row],[VALOR NETO ($COP)]]+D.sign_Data[[#This Row],[NEGOCIACIÓN ($COP)]])*1%</f>
        <v>791.31746727856864</v>
      </c>
      <c r="AG274" s="3">
        <f>+D.sign_Data[[#This Row],[VALOR NETO ($COP)]]+D.sign_Data[[#This Row],[NEGOCIACIÓN ($COP)]]+D.sign_Data[[#This Row],[ICA ($COP)]]+D.sign_Data[[#This Row],[4 * 1000 ($COP)]]</f>
        <v>80714.381662414002</v>
      </c>
    </row>
    <row r="275" spans="1:33" ht="60" hidden="1" customHeight="1" x14ac:dyDescent="0.25">
      <c r="A275" s="14"/>
      <c r="B275" s="87" t="s">
        <v>493</v>
      </c>
      <c r="C275" s="182" t="s">
        <v>601</v>
      </c>
      <c r="D275" s="189" t="str">
        <f>VLOOKUP(D.sign_Data[[#This Row],[CÓDIGO]],Descripciones[[CÓDIGO]:[NOMBRE DE SERVICIO]],3,FALSE)</f>
        <v>D1. Parcelaciones y Condominios</v>
      </c>
      <c r="E275" s="87" t="s">
        <v>497</v>
      </c>
      <c r="F275" s="88" t="s">
        <v>602</v>
      </c>
      <c r="G275" s="88" t="s">
        <v>626</v>
      </c>
      <c r="H275" s="104" t="s">
        <v>552</v>
      </c>
      <c r="I275" s="89">
        <v>1</v>
      </c>
      <c r="J275" s="88" t="s">
        <v>627</v>
      </c>
      <c r="K275" s="102"/>
      <c r="L275" s="88" t="s">
        <v>629</v>
      </c>
      <c r="M275" s="89" t="s">
        <v>381</v>
      </c>
      <c r="N275" s="90">
        <v>1</v>
      </c>
      <c r="O275" s="27">
        <f>IFERROR(+VLOOKUP(M275,D.sign_Lista_Data[[RESPONSABLE]:[SOFTWARE 
VALOR HORA]],3,FALSE),"0")</f>
        <v>20263.424518743668</v>
      </c>
      <c r="P275" s="3">
        <f t="shared" si="8"/>
        <v>20263.424518743668</v>
      </c>
      <c r="Q275" s="11">
        <f>IFERROR(+VLOOKUP(M275,D.sign_Lista_Data[[RESPONSABLE]:[SOFTWARE 
VALOR HORA]],5,FALSE)*D.sign_Data[[#This Row],[TIEMPO (HORAS)]],0)</f>
        <v>4221.5467747382636</v>
      </c>
      <c r="R275" s="42">
        <f>IFERROR(+VLOOKUP(M275,D.sign_Lista_Data[[RESPONSABLE]:[SOFTWARE 
VALOR HORA]],8,FALSE)*D.sign_Data[[#This Row],[TIEMPO (HORAS)]],0)</f>
        <v>3410.8548871439834</v>
      </c>
      <c r="S275" s="99">
        <v>0</v>
      </c>
      <c r="T275" s="99">
        <v>0</v>
      </c>
      <c r="U275" s="3">
        <f t="shared" si="9"/>
        <v>27895.826180625918</v>
      </c>
      <c r="V275" s="100">
        <f>D.sign_Data[[#This Row],[TIEMPO (HORAS)]]*Gastos_Operativos[[#Totals],[GASTOS HORA]]</f>
        <v>27789.477072310401</v>
      </c>
      <c r="W275" s="3">
        <f>+D.sign_Data[[#This Row],[COSTO 
DIRECTO ($COP)]]+D.sign_Data[[#This Row],[PRORRATEO GASTOS ($COP)]]</f>
        <v>55685.303252936319</v>
      </c>
      <c r="X275" s="101">
        <v>0.1</v>
      </c>
      <c r="Y275" s="15">
        <f>+D.sign_Data[[#This Row],[COSTOS OPERACIONALES ($COP)]]*D.sign_Data[[#This Row],[DESFASE (%)]]</f>
        <v>5568.5303252936319</v>
      </c>
      <c r="Z275" s="101">
        <v>0.2</v>
      </c>
      <c r="AA275" s="15">
        <f>+((D.sign_Data[[#This Row],[COSTOS OPERACIONALES ($COP)]]/(100%-D.sign_Data[[#This Row],[UTILIDAD (%)]])))-D.sign_Data[[#This Row],[COSTOS OPERACIONALES ($COP)]]</f>
        <v>13921.325813234078</v>
      </c>
      <c r="AB275" s="3">
        <f>+D.sign_Data[[#This Row],[COSTOS OPERACIONALES ($COP)]]+D.sign_Data[[#This Row],[DESFASE ($COP)]]+D.sign_Data[[#This Row],[UTILIDAD ($COP)]]</f>
        <v>75175.159391464025</v>
      </c>
      <c r="AC275" s="101">
        <v>0.05</v>
      </c>
      <c r="AD275" s="15">
        <f>+D.sign_Data[[#This Row],[VALOR NETO ($COP)]]/(100%-D.sign_Data[[#This Row],[MARGEN DE NEGOCIACIÓN (%)]])-D.sign_Data[[#This Row],[VALOR NETO ($COP)]]</f>
        <v>3956.5873363928404</v>
      </c>
      <c r="AE275" s="15">
        <f>+(D.sign_Data[[#This Row],[VALOR NETO ($COP)]]+D.sign_Data[[#This Row],[NEGOCIACIÓN ($COP)]])*1%</f>
        <v>791.31746727856864</v>
      </c>
      <c r="AF275" s="15">
        <f>+(D.sign_Data[[#This Row],[VALOR NETO ($COP)]]+D.sign_Data[[#This Row],[NEGOCIACIÓN ($COP)]])*1%</f>
        <v>791.31746727856864</v>
      </c>
      <c r="AG275" s="3">
        <f>+D.sign_Data[[#This Row],[VALOR NETO ($COP)]]+D.sign_Data[[#This Row],[NEGOCIACIÓN ($COP)]]+D.sign_Data[[#This Row],[ICA ($COP)]]+D.sign_Data[[#This Row],[4 * 1000 ($COP)]]</f>
        <v>80714.381662414002</v>
      </c>
    </row>
    <row r="276" spans="1:33" ht="60" hidden="1" customHeight="1" x14ac:dyDescent="0.25">
      <c r="A276" s="14"/>
      <c r="B276" s="87" t="s">
        <v>493</v>
      </c>
      <c r="C276" s="182" t="s">
        <v>601</v>
      </c>
      <c r="D276" s="189" t="str">
        <f>VLOOKUP(D.sign_Data[[#This Row],[CÓDIGO]],Descripciones[[CÓDIGO]:[NOMBRE DE SERVICIO]],3,FALSE)</f>
        <v>D1. Parcelaciones y Condominios</v>
      </c>
      <c r="E276" s="87" t="s">
        <v>497</v>
      </c>
      <c r="F276" s="88" t="s">
        <v>602</v>
      </c>
      <c r="G276" s="88" t="s">
        <v>626</v>
      </c>
      <c r="H276" s="104" t="s">
        <v>552</v>
      </c>
      <c r="I276" s="89">
        <v>1</v>
      </c>
      <c r="J276" s="88" t="s">
        <v>627</v>
      </c>
      <c r="K276" s="102"/>
      <c r="L276" s="88" t="s">
        <v>630</v>
      </c>
      <c r="M276" s="89" t="s">
        <v>381</v>
      </c>
      <c r="N276" s="90">
        <v>4</v>
      </c>
      <c r="O276" s="27">
        <f>IFERROR(+VLOOKUP(M276,D.sign_Lista_Data[[RESPONSABLE]:[SOFTWARE 
VALOR HORA]],3,FALSE),"0")</f>
        <v>20263.424518743668</v>
      </c>
      <c r="P276" s="3">
        <f t="shared" si="8"/>
        <v>81053.698074974673</v>
      </c>
      <c r="Q276" s="11">
        <f>IFERROR(+VLOOKUP(M276,D.sign_Lista_Data[[RESPONSABLE]:[SOFTWARE 
VALOR HORA]],5,FALSE)*D.sign_Data[[#This Row],[TIEMPO (HORAS)]],0)</f>
        <v>16886.187098953054</v>
      </c>
      <c r="R276" s="42">
        <f>IFERROR(+VLOOKUP(M276,D.sign_Lista_Data[[RESPONSABLE]:[SOFTWARE 
VALOR HORA]],8,FALSE)*D.sign_Data[[#This Row],[TIEMPO (HORAS)]],0)</f>
        <v>13643.419548575934</v>
      </c>
      <c r="S276" s="99">
        <v>0</v>
      </c>
      <c r="T276" s="99">
        <v>0</v>
      </c>
      <c r="U276" s="3">
        <f t="shared" si="9"/>
        <v>111583.30472250367</v>
      </c>
      <c r="V276" s="100">
        <f>D.sign_Data[[#This Row],[TIEMPO (HORAS)]]*Gastos_Operativos[[#Totals],[GASTOS HORA]]</f>
        <v>111157.9082892416</v>
      </c>
      <c r="W276" s="3">
        <f>+D.sign_Data[[#This Row],[COSTO 
DIRECTO ($COP)]]+D.sign_Data[[#This Row],[PRORRATEO GASTOS ($COP)]]</f>
        <v>222741.21301174528</v>
      </c>
      <c r="X276" s="101">
        <v>0.1</v>
      </c>
      <c r="Y276" s="15">
        <f>+D.sign_Data[[#This Row],[COSTOS OPERACIONALES ($COP)]]*D.sign_Data[[#This Row],[DESFASE (%)]]</f>
        <v>22274.121301174528</v>
      </c>
      <c r="Z276" s="101">
        <v>0.2</v>
      </c>
      <c r="AA276" s="15">
        <f>+((D.sign_Data[[#This Row],[COSTOS OPERACIONALES ($COP)]]/(100%-D.sign_Data[[#This Row],[UTILIDAD (%)]])))-D.sign_Data[[#This Row],[COSTOS OPERACIONALES ($COP)]]</f>
        <v>55685.303252936312</v>
      </c>
      <c r="AB276" s="3">
        <f>+D.sign_Data[[#This Row],[COSTOS OPERACIONALES ($COP)]]+D.sign_Data[[#This Row],[DESFASE ($COP)]]+D.sign_Data[[#This Row],[UTILIDAD ($COP)]]</f>
        <v>300700.6375658561</v>
      </c>
      <c r="AC276" s="101">
        <v>0.05</v>
      </c>
      <c r="AD276" s="15">
        <f>+D.sign_Data[[#This Row],[VALOR NETO ($COP)]]/(100%-D.sign_Data[[#This Row],[MARGEN DE NEGOCIACIÓN (%)]])-D.sign_Data[[#This Row],[VALOR NETO ($COP)]]</f>
        <v>15826.349345571361</v>
      </c>
      <c r="AE276" s="15">
        <f>+(D.sign_Data[[#This Row],[VALOR NETO ($COP)]]+D.sign_Data[[#This Row],[NEGOCIACIÓN ($COP)]])*1%</f>
        <v>3165.2698691142746</v>
      </c>
      <c r="AF276" s="15">
        <f>+(D.sign_Data[[#This Row],[VALOR NETO ($COP)]]+D.sign_Data[[#This Row],[NEGOCIACIÓN ($COP)]])*1%</f>
        <v>3165.2698691142746</v>
      </c>
      <c r="AG276" s="3">
        <f>+D.sign_Data[[#This Row],[VALOR NETO ($COP)]]+D.sign_Data[[#This Row],[NEGOCIACIÓN ($COP)]]+D.sign_Data[[#This Row],[ICA ($COP)]]+D.sign_Data[[#This Row],[4 * 1000 ($COP)]]</f>
        <v>322857.52664965601</v>
      </c>
    </row>
    <row r="277" spans="1:33" ht="60" hidden="1" customHeight="1" x14ac:dyDescent="0.25">
      <c r="A277" s="14"/>
      <c r="B277" s="87" t="s">
        <v>493</v>
      </c>
      <c r="C277" s="182" t="s">
        <v>601</v>
      </c>
      <c r="D277" s="189" t="str">
        <f>VLOOKUP(D.sign_Data[[#This Row],[CÓDIGO]],Descripciones[[CÓDIGO]:[NOMBRE DE SERVICIO]],3,FALSE)</f>
        <v>D1. Parcelaciones y Condominios</v>
      </c>
      <c r="E277" s="87" t="s">
        <v>497</v>
      </c>
      <c r="F277" s="88" t="s">
        <v>602</v>
      </c>
      <c r="G277" s="88" t="s">
        <v>626</v>
      </c>
      <c r="H277" s="104" t="s">
        <v>552</v>
      </c>
      <c r="I277" s="89">
        <v>1</v>
      </c>
      <c r="J277" s="88" t="s">
        <v>627</v>
      </c>
      <c r="K277" s="102"/>
      <c r="L277" s="88" t="s">
        <v>483</v>
      </c>
      <c r="M277" s="89" t="s">
        <v>381</v>
      </c>
      <c r="N277" s="90">
        <v>1</v>
      </c>
      <c r="O277" s="27">
        <f>IFERROR(+VLOOKUP(M277,D.sign_Lista_Data[[RESPONSABLE]:[SOFTWARE 
VALOR HORA]],3,FALSE),"0")</f>
        <v>20263.424518743668</v>
      </c>
      <c r="P277" s="3">
        <f t="shared" si="8"/>
        <v>20263.424518743668</v>
      </c>
      <c r="Q277" s="11">
        <f>IFERROR(+VLOOKUP(M277,D.sign_Lista_Data[[RESPONSABLE]:[SOFTWARE 
VALOR HORA]],5,FALSE)*D.sign_Data[[#This Row],[TIEMPO (HORAS)]],0)</f>
        <v>4221.5467747382636</v>
      </c>
      <c r="R277" s="42">
        <f>IFERROR(+VLOOKUP(M277,D.sign_Lista_Data[[RESPONSABLE]:[SOFTWARE 
VALOR HORA]],8,FALSE)*D.sign_Data[[#This Row],[TIEMPO (HORAS)]],0)</f>
        <v>3410.8548871439834</v>
      </c>
      <c r="S277" s="99">
        <v>0</v>
      </c>
      <c r="T277" s="99">
        <v>0</v>
      </c>
      <c r="U277" s="3">
        <f t="shared" si="9"/>
        <v>27895.826180625918</v>
      </c>
      <c r="V277" s="100">
        <f>D.sign_Data[[#This Row],[TIEMPO (HORAS)]]*Gastos_Operativos[[#Totals],[GASTOS HORA]]</f>
        <v>27789.477072310401</v>
      </c>
      <c r="W277" s="3">
        <f>+D.sign_Data[[#This Row],[COSTO 
DIRECTO ($COP)]]+D.sign_Data[[#This Row],[PRORRATEO GASTOS ($COP)]]</f>
        <v>55685.303252936319</v>
      </c>
      <c r="X277" s="101">
        <v>0.1</v>
      </c>
      <c r="Y277" s="15">
        <f>+D.sign_Data[[#This Row],[COSTOS OPERACIONALES ($COP)]]*D.sign_Data[[#This Row],[DESFASE (%)]]</f>
        <v>5568.5303252936319</v>
      </c>
      <c r="Z277" s="101">
        <v>0.2</v>
      </c>
      <c r="AA277" s="15">
        <f>+((D.sign_Data[[#This Row],[COSTOS OPERACIONALES ($COP)]]/(100%-D.sign_Data[[#This Row],[UTILIDAD (%)]])))-D.sign_Data[[#This Row],[COSTOS OPERACIONALES ($COP)]]</f>
        <v>13921.325813234078</v>
      </c>
      <c r="AB277" s="3">
        <f>+D.sign_Data[[#This Row],[COSTOS OPERACIONALES ($COP)]]+D.sign_Data[[#This Row],[DESFASE ($COP)]]+D.sign_Data[[#This Row],[UTILIDAD ($COP)]]</f>
        <v>75175.159391464025</v>
      </c>
      <c r="AC277" s="101">
        <v>0.05</v>
      </c>
      <c r="AD277" s="15">
        <f>+D.sign_Data[[#This Row],[VALOR NETO ($COP)]]/(100%-D.sign_Data[[#This Row],[MARGEN DE NEGOCIACIÓN (%)]])-D.sign_Data[[#This Row],[VALOR NETO ($COP)]]</f>
        <v>3956.5873363928404</v>
      </c>
      <c r="AE277" s="15">
        <f>+(D.sign_Data[[#This Row],[VALOR NETO ($COP)]]+D.sign_Data[[#This Row],[NEGOCIACIÓN ($COP)]])*1%</f>
        <v>791.31746727856864</v>
      </c>
      <c r="AF277" s="15">
        <f>+(D.sign_Data[[#This Row],[VALOR NETO ($COP)]]+D.sign_Data[[#This Row],[NEGOCIACIÓN ($COP)]])*1%</f>
        <v>791.31746727856864</v>
      </c>
      <c r="AG277" s="3">
        <f>+D.sign_Data[[#This Row],[VALOR NETO ($COP)]]+D.sign_Data[[#This Row],[NEGOCIACIÓN ($COP)]]+D.sign_Data[[#This Row],[ICA ($COP)]]+D.sign_Data[[#This Row],[4 * 1000 ($COP)]]</f>
        <v>80714.381662414002</v>
      </c>
    </row>
    <row r="278" spans="1:33" ht="60" hidden="1" customHeight="1" x14ac:dyDescent="0.25">
      <c r="A278" s="14"/>
      <c r="B278" s="87" t="s">
        <v>493</v>
      </c>
      <c r="C278" s="182" t="s">
        <v>601</v>
      </c>
      <c r="D278" s="189" t="str">
        <f>VLOOKUP(D.sign_Data[[#This Row],[CÓDIGO]],Descripciones[[CÓDIGO]:[NOMBRE DE SERVICIO]],3,FALSE)</f>
        <v>D1. Parcelaciones y Condominios</v>
      </c>
      <c r="E278" s="87" t="s">
        <v>497</v>
      </c>
      <c r="F278" s="88" t="s">
        <v>602</v>
      </c>
      <c r="G278" s="88" t="s">
        <v>626</v>
      </c>
      <c r="H278" s="104" t="s">
        <v>552</v>
      </c>
      <c r="I278" s="89">
        <v>1</v>
      </c>
      <c r="J278" s="88" t="s">
        <v>627</v>
      </c>
      <c r="K278" s="102"/>
      <c r="L278" s="88" t="s">
        <v>624</v>
      </c>
      <c r="M278" s="89" t="s">
        <v>381</v>
      </c>
      <c r="N278" s="90">
        <v>1</v>
      </c>
      <c r="O278" s="27">
        <f>IFERROR(+VLOOKUP(M278,D.sign_Lista_Data[[RESPONSABLE]:[SOFTWARE 
VALOR HORA]],3,FALSE),"0")</f>
        <v>20263.424518743668</v>
      </c>
      <c r="P278" s="3">
        <f t="shared" si="8"/>
        <v>20263.424518743668</v>
      </c>
      <c r="Q278" s="11">
        <f>IFERROR(+VLOOKUP(M278,D.sign_Lista_Data[[RESPONSABLE]:[SOFTWARE 
VALOR HORA]],5,FALSE)*D.sign_Data[[#This Row],[TIEMPO (HORAS)]],0)</f>
        <v>4221.5467747382636</v>
      </c>
      <c r="R278" s="42">
        <f>IFERROR(+VLOOKUP(M278,D.sign_Lista_Data[[RESPONSABLE]:[SOFTWARE 
VALOR HORA]],8,FALSE)*D.sign_Data[[#This Row],[TIEMPO (HORAS)]],0)</f>
        <v>3410.8548871439834</v>
      </c>
      <c r="S278" s="99">
        <v>0</v>
      </c>
      <c r="T278" s="99">
        <v>0</v>
      </c>
      <c r="U278" s="3">
        <f t="shared" si="9"/>
        <v>27895.826180625918</v>
      </c>
      <c r="V278" s="100">
        <f>D.sign_Data[[#This Row],[TIEMPO (HORAS)]]*Gastos_Operativos[[#Totals],[GASTOS HORA]]</f>
        <v>27789.477072310401</v>
      </c>
      <c r="W278" s="3">
        <f>+D.sign_Data[[#This Row],[COSTO 
DIRECTO ($COP)]]+D.sign_Data[[#This Row],[PRORRATEO GASTOS ($COP)]]</f>
        <v>55685.303252936319</v>
      </c>
      <c r="X278" s="101">
        <v>0.1</v>
      </c>
      <c r="Y278" s="15">
        <f>+D.sign_Data[[#This Row],[COSTOS OPERACIONALES ($COP)]]*D.sign_Data[[#This Row],[DESFASE (%)]]</f>
        <v>5568.5303252936319</v>
      </c>
      <c r="Z278" s="101">
        <v>0.2</v>
      </c>
      <c r="AA278" s="15">
        <f>+((D.sign_Data[[#This Row],[COSTOS OPERACIONALES ($COP)]]/(100%-D.sign_Data[[#This Row],[UTILIDAD (%)]])))-D.sign_Data[[#This Row],[COSTOS OPERACIONALES ($COP)]]</f>
        <v>13921.325813234078</v>
      </c>
      <c r="AB278" s="3">
        <f>+D.sign_Data[[#This Row],[COSTOS OPERACIONALES ($COP)]]+D.sign_Data[[#This Row],[DESFASE ($COP)]]+D.sign_Data[[#This Row],[UTILIDAD ($COP)]]</f>
        <v>75175.159391464025</v>
      </c>
      <c r="AC278" s="101">
        <v>0.05</v>
      </c>
      <c r="AD278" s="15">
        <f>+D.sign_Data[[#This Row],[VALOR NETO ($COP)]]/(100%-D.sign_Data[[#This Row],[MARGEN DE NEGOCIACIÓN (%)]])-D.sign_Data[[#This Row],[VALOR NETO ($COP)]]</f>
        <v>3956.5873363928404</v>
      </c>
      <c r="AE278" s="15">
        <f>+(D.sign_Data[[#This Row],[VALOR NETO ($COP)]]+D.sign_Data[[#This Row],[NEGOCIACIÓN ($COP)]])*1%</f>
        <v>791.31746727856864</v>
      </c>
      <c r="AF278" s="15">
        <f>+(D.sign_Data[[#This Row],[VALOR NETO ($COP)]]+D.sign_Data[[#This Row],[NEGOCIACIÓN ($COP)]])*1%</f>
        <v>791.31746727856864</v>
      </c>
      <c r="AG278" s="3">
        <f>+D.sign_Data[[#This Row],[VALOR NETO ($COP)]]+D.sign_Data[[#This Row],[NEGOCIACIÓN ($COP)]]+D.sign_Data[[#This Row],[ICA ($COP)]]+D.sign_Data[[#This Row],[4 * 1000 ($COP)]]</f>
        <v>80714.381662414002</v>
      </c>
    </row>
    <row r="279" spans="1:33" ht="60" hidden="1" customHeight="1" x14ac:dyDescent="0.25">
      <c r="A279" s="14"/>
      <c r="B279" s="87" t="s">
        <v>493</v>
      </c>
      <c r="C279" s="182" t="s">
        <v>601</v>
      </c>
      <c r="D279" s="189" t="str">
        <f>VLOOKUP(D.sign_Data[[#This Row],[CÓDIGO]],Descripciones[[CÓDIGO]:[NOMBRE DE SERVICIO]],3,FALSE)</f>
        <v>D1. Parcelaciones y Condominios</v>
      </c>
      <c r="E279" s="87" t="s">
        <v>497</v>
      </c>
      <c r="F279" s="88" t="s">
        <v>602</v>
      </c>
      <c r="G279" s="88" t="s">
        <v>626</v>
      </c>
      <c r="H279" s="104" t="s">
        <v>552</v>
      </c>
      <c r="I279" s="89">
        <v>1</v>
      </c>
      <c r="J279" s="88" t="s">
        <v>627</v>
      </c>
      <c r="K279" s="102"/>
      <c r="L279" s="88" t="s">
        <v>579</v>
      </c>
      <c r="M279" s="89" t="s">
        <v>381</v>
      </c>
      <c r="N279" s="90">
        <v>4</v>
      </c>
      <c r="O279" s="27">
        <f>IFERROR(+VLOOKUP(M279,D.sign_Lista_Data[[RESPONSABLE]:[SOFTWARE 
VALOR HORA]],3,FALSE),"0")</f>
        <v>20263.424518743668</v>
      </c>
      <c r="P279" s="3">
        <f t="shared" si="8"/>
        <v>81053.698074974673</v>
      </c>
      <c r="Q279" s="11">
        <f>IFERROR(+VLOOKUP(M279,D.sign_Lista_Data[[RESPONSABLE]:[SOFTWARE 
VALOR HORA]],5,FALSE)*D.sign_Data[[#This Row],[TIEMPO (HORAS)]],0)</f>
        <v>16886.187098953054</v>
      </c>
      <c r="R279" s="42">
        <f>IFERROR(+VLOOKUP(M279,D.sign_Lista_Data[[RESPONSABLE]:[SOFTWARE 
VALOR HORA]],8,FALSE)*D.sign_Data[[#This Row],[TIEMPO (HORAS)]],0)</f>
        <v>13643.419548575934</v>
      </c>
      <c r="S279" s="99">
        <v>0</v>
      </c>
      <c r="T279" s="99">
        <v>0</v>
      </c>
      <c r="U279" s="3">
        <f t="shared" si="9"/>
        <v>111583.30472250367</v>
      </c>
      <c r="V279" s="100">
        <f>D.sign_Data[[#This Row],[TIEMPO (HORAS)]]*Gastos_Operativos[[#Totals],[GASTOS HORA]]</f>
        <v>111157.9082892416</v>
      </c>
      <c r="W279" s="3">
        <f>+D.sign_Data[[#This Row],[COSTO 
DIRECTO ($COP)]]+D.sign_Data[[#This Row],[PRORRATEO GASTOS ($COP)]]</f>
        <v>222741.21301174528</v>
      </c>
      <c r="X279" s="101">
        <v>0.1</v>
      </c>
      <c r="Y279" s="15">
        <f>+D.sign_Data[[#This Row],[COSTOS OPERACIONALES ($COP)]]*D.sign_Data[[#This Row],[DESFASE (%)]]</f>
        <v>22274.121301174528</v>
      </c>
      <c r="Z279" s="101">
        <v>0.2</v>
      </c>
      <c r="AA279" s="15">
        <f>+((D.sign_Data[[#This Row],[COSTOS OPERACIONALES ($COP)]]/(100%-D.sign_Data[[#This Row],[UTILIDAD (%)]])))-D.sign_Data[[#This Row],[COSTOS OPERACIONALES ($COP)]]</f>
        <v>55685.303252936312</v>
      </c>
      <c r="AB279" s="3">
        <f>+D.sign_Data[[#This Row],[COSTOS OPERACIONALES ($COP)]]+D.sign_Data[[#This Row],[DESFASE ($COP)]]+D.sign_Data[[#This Row],[UTILIDAD ($COP)]]</f>
        <v>300700.6375658561</v>
      </c>
      <c r="AC279" s="101">
        <v>0.05</v>
      </c>
      <c r="AD279" s="15">
        <f>+D.sign_Data[[#This Row],[VALOR NETO ($COP)]]/(100%-D.sign_Data[[#This Row],[MARGEN DE NEGOCIACIÓN (%)]])-D.sign_Data[[#This Row],[VALOR NETO ($COP)]]</f>
        <v>15826.349345571361</v>
      </c>
      <c r="AE279" s="15">
        <f>+(D.sign_Data[[#This Row],[VALOR NETO ($COP)]]+D.sign_Data[[#This Row],[NEGOCIACIÓN ($COP)]])*1%</f>
        <v>3165.2698691142746</v>
      </c>
      <c r="AF279" s="15">
        <f>+(D.sign_Data[[#This Row],[VALOR NETO ($COP)]]+D.sign_Data[[#This Row],[NEGOCIACIÓN ($COP)]])*1%</f>
        <v>3165.2698691142746</v>
      </c>
      <c r="AG279" s="3">
        <f>+D.sign_Data[[#This Row],[VALOR NETO ($COP)]]+D.sign_Data[[#This Row],[NEGOCIACIÓN ($COP)]]+D.sign_Data[[#This Row],[ICA ($COP)]]+D.sign_Data[[#This Row],[4 * 1000 ($COP)]]</f>
        <v>322857.52664965601</v>
      </c>
    </row>
    <row r="280" spans="1:33" ht="60" hidden="1" customHeight="1" x14ac:dyDescent="0.25">
      <c r="A280" s="14"/>
      <c r="B280" s="87" t="s">
        <v>493</v>
      </c>
      <c r="C280" s="182" t="s">
        <v>601</v>
      </c>
      <c r="D280" s="189" t="str">
        <f>VLOOKUP(D.sign_Data[[#This Row],[CÓDIGO]],Descripciones[[CÓDIGO]:[NOMBRE DE SERVICIO]],3,FALSE)</f>
        <v>D1. Parcelaciones y Condominios</v>
      </c>
      <c r="E280" s="87" t="s">
        <v>497</v>
      </c>
      <c r="F280" s="88" t="s">
        <v>602</v>
      </c>
      <c r="G280" s="88" t="s">
        <v>626</v>
      </c>
      <c r="H280" s="104" t="s">
        <v>552</v>
      </c>
      <c r="I280" s="89">
        <v>1</v>
      </c>
      <c r="J280" s="88" t="s">
        <v>627</v>
      </c>
      <c r="K280" s="102"/>
      <c r="L280" s="88" t="s">
        <v>625</v>
      </c>
      <c r="M280" s="89" t="s">
        <v>381</v>
      </c>
      <c r="N280" s="90">
        <v>1</v>
      </c>
      <c r="O280" s="27">
        <f>IFERROR(+VLOOKUP(M280,D.sign_Lista_Data[[RESPONSABLE]:[SOFTWARE 
VALOR HORA]],3,FALSE),"0")</f>
        <v>20263.424518743668</v>
      </c>
      <c r="P280" s="3">
        <f t="shared" si="8"/>
        <v>20263.424518743668</v>
      </c>
      <c r="Q280" s="11">
        <f>IFERROR(+VLOOKUP(M280,D.sign_Lista_Data[[RESPONSABLE]:[SOFTWARE 
VALOR HORA]],5,FALSE)*D.sign_Data[[#This Row],[TIEMPO (HORAS)]],0)</f>
        <v>4221.5467747382636</v>
      </c>
      <c r="R280" s="42">
        <f>IFERROR(+VLOOKUP(M280,D.sign_Lista_Data[[RESPONSABLE]:[SOFTWARE 
VALOR HORA]],8,FALSE)*D.sign_Data[[#This Row],[TIEMPO (HORAS)]],0)</f>
        <v>3410.8548871439834</v>
      </c>
      <c r="S280" s="99">
        <v>0</v>
      </c>
      <c r="T280" s="99">
        <v>0</v>
      </c>
      <c r="U280" s="3">
        <f t="shared" si="9"/>
        <v>27895.826180625918</v>
      </c>
      <c r="V280" s="100">
        <f>D.sign_Data[[#This Row],[TIEMPO (HORAS)]]*Gastos_Operativos[[#Totals],[GASTOS HORA]]</f>
        <v>27789.477072310401</v>
      </c>
      <c r="W280" s="3">
        <f>+D.sign_Data[[#This Row],[COSTO 
DIRECTO ($COP)]]+D.sign_Data[[#This Row],[PRORRATEO GASTOS ($COP)]]</f>
        <v>55685.303252936319</v>
      </c>
      <c r="X280" s="101">
        <v>0.1</v>
      </c>
      <c r="Y280" s="15">
        <f>+D.sign_Data[[#This Row],[COSTOS OPERACIONALES ($COP)]]*D.sign_Data[[#This Row],[DESFASE (%)]]</f>
        <v>5568.5303252936319</v>
      </c>
      <c r="Z280" s="101">
        <v>0.2</v>
      </c>
      <c r="AA280" s="15">
        <f>+((D.sign_Data[[#This Row],[COSTOS OPERACIONALES ($COP)]]/(100%-D.sign_Data[[#This Row],[UTILIDAD (%)]])))-D.sign_Data[[#This Row],[COSTOS OPERACIONALES ($COP)]]</f>
        <v>13921.325813234078</v>
      </c>
      <c r="AB280" s="3">
        <f>+D.sign_Data[[#This Row],[COSTOS OPERACIONALES ($COP)]]+D.sign_Data[[#This Row],[DESFASE ($COP)]]+D.sign_Data[[#This Row],[UTILIDAD ($COP)]]</f>
        <v>75175.159391464025</v>
      </c>
      <c r="AC280" s="101">
        <v>0.05</v>
      </c>
      <c r="AD280" s="15">
        <f>+D.sign_Data[[#This Row],[VALOR NETO ($COP)]]/(100%-D.sign_Data[[#This Row],[MARGEN DE NEGOCIACIÓN (%)]])-D.sign_Data[[#This Row],[VALOR NETO ($COP)]]</f>
        <v>3956.5873363928404</v>
      </c>
      <c r="AE280" s="15">
        <f>+(D.sign_Data[[#This Row],[VALOR NETO ($COP)]]+D.sign_Data[[#This Row],[NEGOCIACIÓN ($COP)]])*1%</f>
        <v>791.31746727856864</v>
      </c>
      <c r="AF280" s="15">
        <f>+(D.sign_Data[[#This Row],[VALOR NETO ($COP)]]+D.sign_Data[[#This Row],[NEGOCIACIÓN ($COP)]])*1%</f>
        <v>791.31746727856864</v>
      </c>
      <c r="AG280" s="3">
        <f>+D.sign_Data[[#This Row],[VALOR NETO ($COP)]]+D.sign_Data[[#This Row],[NEGOCIACIÓN ($COP)]]+D.sign_Data[[#This Row],[ICA ($COP)]]+D.sign_Data[[#This Row],[4 * 1000 ($COP)]]</f>
        <v>80714.381662414002</v>
      </c>
    </row>
    <row r="281" spans="1:33" ht="60" hidden="1" customHeight="1" x14ac:dyDescent="0.25">
      <c r="A281" s="14"/>
      <c r="B281" s="87" t="s">
        <v>493</v>
      </c>
      <c r="C281" s="182" t="s">
        <v>601</v>
      </c>
      <c r="D281" s="189" t="str">
        <f>VLOOKUP(D.sign_Data[[#This Row],[CÓDIGO]],Descripciones[[CÓDIGO]:[NOMBRE DE SERVICIO]],3,FALSE)</f>
        <v>D1. Parcelaciones y Condominios</v>
      </c>
      <c r="E281" s="87" t="s">
        <v>497</v>
      </c>
      <c r="F281" s="88" t="s">
        <v>602</v>
      </c>
      <c r="G281" s="88" t="s">
        <v>626</v>
      </c>
      <c r="H281" s="104" t="s">
        <v>552</v>
      </c>
      <c r="I281" s="89">
        <v>1</v>
      </c>
      <c r="J281" s="88" t="s">
        <v>627</v>
      </c>
      <c r="K281" s="102"/>
      <c r="L281" s="88" t="s">
        <v>572</v>
      </c>
      <c r="M281" s="89" t="s">
        <v>381</v>
      </c>
      <c r="N281" s="90">
        <v>0.1</v>
      </c>
      <c r="O281" s="27">
        <f>IFERROR(+VLOOKUP(M281,D.sign_Lista_Data[[RESPONSABLE]:[SOFTWARE 
VALOR HORA]],3,FALSE),"0")</f>
        <v>20263.424518743668</v>
      </c>
      <c r="P281" s="3">
        <f t="shared" si="8"/>
        <v>2026.3424518743668</v>
      </c>
      <c r="Q281" s="11">
        <f>IFERROR(+VLOOKUP(M281,D.sign_Lista_Data[[RESPONSABLE]:[SOFTWARE 
VALOR HORA]],5,FALSE)*D.sign_Data[[#This Row],[TIEMPO (HORAS)]],0)</f>
        <v>422.15467747382638</v>
      </c>
      <c r="R281" s="42">
        <f>IFERROR(+VLOOKUP(M281,D.sign_Lista_Data[[RESPONSABLE]:[SOFTWARE 
VALOR HORA]],8,FALSE)*D.sign_Data[[#This Row],[TIEMPO (HORAS)]],0)</f>
        <v>341.08548871439837</v>
      </c>
      <c r="S281" s="99">
        <v>0</v>
      </c>
      <c r="T281" s="99">
        <v>0</v>
      </c>
      <c r="U281" s="3">
        <f t="shared" si="9"/>
        <v>2789.5826180625913</v>
      </c>
      <c r="V281" s="100">
        <f>D.sign_Data[[#This Row],[TIEMPO (HORAS)]]*Gastos_Operativos[[#Totals],[GASTOS HORA]]</f>
        <v>2778.9477072310401</v>
      </c>
      <c r="W281" s="3">
        <f>+D.sign_Data[[#This Row],[COSTO 
DIRECTO ($COP)]]+D.sign_Data[[#This Row],[PRORRATEO GASTOS ($COP)]]</f>
        <v>5568.5303252936319</v>
      </c>
      <c r="X281" s="101">
        <v>0.1</v>
      </c>
      <c r="Y281" s="15">
        <f>+D.sign_Data[[#This Row],[COSTOS OPERACIONALES ($COP)]]*D.sign_Data[[#This Row],[DESFASE (%)]]</f>
        <v>556.85303252936319</v>
      </c>
      <c r="Z281" s="101">
        <v>0.2</v>
      </c>
      <c r="AA281" s="15">
        <f>+((D.sign_Data[[#This Row],[COSTOS OPERACIONALES ($COP)]]/(100%-D.sign_Data[[#This Row],[UTILIDAD (%)]])))-D.sign_Data[[#This Row],[COSTOS OPERACIONALES ($COP)]]</f>
        <v>1392.132581323408</v>
      </c>
      <c r="AB281" s="3">
        <f>+D.sign_Data[[#This Row],[COSTOS OPERACIONALES ($COP)]]+D.sign_Data[[#This Row],[DESFASE ($COP)]]+D.sign_Data[[#This Row],[UTILIDAD ($COP)]]</f>
        <v>7517.5159391464031</v>
      </c>
      <c r="AC281" s="101">
        <v>0.05</v>
      </c>
      <c r="AD281" s="15">
        <f>+D.sign_Data[[#This Row],[VALOR NETO ($COP)]]/(100%-D.sign_Data[[#This Row],[MARGEN DE NEGOCIACIÓN (%)]])-D.sign_Data[[#This Row],[VALOR NETO ($COP)]]</f>
        <v>395.65873363928495</v>
      </c>
      <c r="AE281" s="15">
        <f>+(D.sign_Data[[#This Row],[VALOR NETO ($COP)]]+D.sign_Data[[#This Row],[NEGOCIACIÓN ($COP)]])*1%</f>
        <v>79.131746727856878</v>
      </c>
      <c r="AF281" s="15">
        <f>+(D.sign_Data[[#This Row],[VALOR NETO ($COP)]]+D.sign_Data[[#This Row],[NEGOCIACIÓN ($COP)]])*1%</f>
        <v>79.131746727856878</v>
      </c>
      <c r="AG281" s="3">
        <f>+D.sign_Data[[#This Row],[VALOR NETO ($COP)]]+D.sign_Data[[#This Row],[NEGOCIACIÓN ($COP)]]+D.sign_Data[[#This Row],[ICA ($COP)]]+D.sign_Data[[#This Row],[4 * 1000 ($COP)]]</f>
        <v>8071.4381662414016</v>
      </c>
    </row>
    <row r="282" spans="1:33" ht="60" hidden="1" customHeight="1" x14ac:dyDescent="0.25">
      <c r="A282" s="14"/>
      <c r="B282" s="87" t="s">
        <v>418</v>
      </c>
      <c r="C282" s="182" t="s">
        <v>631</v>
      </c>
      <c r="D282" s="189" t="str">
        <f>VLOOKUP(D.sign_Data[[#This Row],[CÓDIGO]],Descripciones[[CÓDIGO]:[NOMBRE DE SERVICIO]],3,FALSE)</f>
        <v>D1. Parcelaciones y Condominios</v>
      </c>
      <c r="E282" s="87" t="s">
        <v>467</v>
      </c>
      <c r="F282" s="88" t="s">
        <v>632</v>
      </c>
      <c r="G282" s="88" t="s">
        <v>633</v>
      </c>
      <c r="H282" s="87" t="s">
        <v>500</v>
      </c>
      <c r="I282" s="89">
        <v>1</v>
      </c>
      <c r="J282" s="88" t="s">
        <v>634</v>
      </c>
      <c r="K282" s="102"/>
      <c r="L282" s="88" t="s">
        <v>635</v>
      </c>
      <c r="M282" s="89" t="s">
        <v>381</v>
      </c>
      <c r="N282" s="90">
        <v>0.25</v>
      </c>
      <c r="O282" s="27">
        <f>IFERROR(+VLOOKUP(M282,D.sign_Lista_Data[[RESPONSABLE]:[SOFTWARE 
VALOR HORA]],3,FALSE),"0")</f>
        <v>20263.424518743668</v>
      </c>
      <c r="P282" s="3">
        <f t="shared" si="8"/>
        <v>5065.856129685917</v>
      </c>
      <c r="Q282" s="11">
        <f>IFERROR(+VLOOKUP(M282,D.sign_Lista_Data[[RESPONSABLE]:[SOFTWARE 
VALOR HORA]],5,FALSE)*D.sign_Data[[#This Row],[TIEMPO (HORAS)]],0)</f>
        <v>1055.3866936845659</v>
      </c>
      <c r="R282" s="42">
        <f>IFERROR(+VLOOKUP(M282,D.sign_Lista_Data[[RESPONSABLE]:[SOFTWARE 
VALOR HORA]],8,FALSE)*D.sign_Data[[#This Row],[TIEMPO (HORAS)]],0)</f>
        <v>852.71372178599586</v>
      </c>
      <c r="S282" s="99">
        <v>0</v>
      </c>
      <c r="T282" s="99">
        <v>0</v>
      </c>
      <c r="U282" s="3">
        <f t="shared" si="9"/>
        <v>6973.9565451564795</v>
      </c>
      <c r="V282" s="100">
        <f>D.sign_Data[[#This Row],[TIEMPO (HORAS)]]*Gastos_Operativos[[#Totals],[GASTOS HORA]]</f>
        <v>6947.3692680776003</v>
      </c>
      <c r="W282" s="3">
        <f>+D.sign_Data[[#This Row],[COSTO 
DIRECTO ($COP)]]+D.sign_Data[[#This Row],[PRORRATEO GASTOS ($COP)]]</f>
        <v>13921.32581323408</v>
      </c>
      <c r="X282" s="101">
        <v>0.15</v>
      </c>
      <c r="Y282" s="15">
        <f>+D.sign_Data[[#This Row],[COSTOS OPERACIONALES ($COP)]]*D.sign_Data[[#This Row],[DESFASE (%)]]</f>
        <v>2088.198871985112</v>
      </c>
      <c r="Z282" s="101">
        <v>0.2</v>
      </c>
      <c r="AA282" s="15">
        <f>+((D.sign_Data[[#This Row],[COSTOS OPERACIONALES ($COP)]]/(100%-D.sign_Data[[#This Row],[UTILIDAD (%)]])))-D.sign_Data[[#This Row],[COSTOS OPERACIONALES ($COP)]]</f>
        <v>3480.3314533085195</v>
      </c>
      <c r="AB282" s="3">
        <f>+D.sign_Data[[#This Row],[COSTOS OPERACIONALES ($COP)]]+D.sign_Data[[#This Row],[DESFASE ($COP)]]+D.sign_Data[[#This Row],[UTILIDAD ($COP)]]</f>
        <v>19489.856138527713</v>
      </c>
      <c r="AC282" s="101">
        <v>0.05</v>
      </c>
      <c r="AD282" s="15">
        <f>+D.sign_Data[[#This Row],[VALOR NETO ($COP)]]/(100%-D.sign_Data[[#This Row],[MARGEN DE NEGOCIACIÓN (%)]])-D.sign_Data[[#This Row],[VALOR NETO ($COP)]]</f>
        <v>1025.7819020277748</v>
      </c>
      <c r="AE282" s="15">
        <f>+(D.sign_Data[[#This Row],[VALOR NETO ($COP)]]+D.sign_Data[[#This Row],[NEGOCIACIÓN ($COP)]])*1%</f>
        <v>205.1563804055549</v>
      </c>
      <c r="AF282" s="15">
        <f>+(D.sign_Data[[#This Row],[VALOR NETO ($COP)]]+D.sign_Data[[#This Row],[NEGOCIACIÓN ($COP)]])*1%</f>
        <v>205.1563804055549</v>
      </c>
      <c r="AG282" s="3">
        <f>+D.sign_Data[[#This Row],[VALOR NETO ($COP)]]+D.sign_Data[[#This Row],[NEGOCIACIÓN ($COP)]]+D.sign_Data[[#This Row],[ICA ($COP)]]+D.sign_Data[[#This Row],[4 * 1000 ($COP)]]</f>
        <v>20925.950801366598</v>
      </c>
    </row>
    <row r="283" spans="1:33" ht="60" hidden="1" customHeight="1" x14ac:dyDescent="0.25">
      <c r="A283" s="14"/>
      <c r="B283" s="87" t="s">
        <v>418</v>
      </c>
      <c r="C283" s="182" t="s">
        <v>631</v>
      </c>
      <c r="D283" s="189" t="str">
        <f>VLOOKUP(D.sign_Data[[#This Row],[CÓDIGO]],Descripciones[[CÓDIGO]:[NOMBRE DE SERVICIO]],3,FALSE)</f>
        <v>D1. Parcelaciones y Condominios</v>
      </c>
      <c r="E283" s="87" t="s">
        <v>467</v>
      </c>
      <c r="F283" s="88" t="s">
        <v>632</v>
      </c>
      <c r="G283" s="88" t="s">
        <v>633</v>
      </c>
      <c r="H283" s="87" t="s">
        <v>500</v>
      </c>
      <c r="I283" s="89">
        <v>1</v>
      </c>
      <c r="J283" s="88" t="s">
        <v>634</v>
      </c>
      <c r="K283" s="102"/>
      <c r="L283" s="88" t="s">
        <v>636</v>
      </c>
      <c r="M283" s="89" t="s">
        <v>381</v>
      </c>
      <c r="N283" s="90">
        <v>0.1</v>
      </c>
      <c r="O283" s="27">
        <f>IFERROR(+VLOOKUP(M283,D.sign_Lista_Data[[RESPONSABLE]:[SOFTWARE 
VALOR HORA]],3,FALSE),"0")</f>
        <v>20263.424518743668</v>
      </c>
      <c r="P283" s="3">
        <f t="shared" si="8"/>
        <v>2026.3424518743668</v>
      </c>
      <c r="Q283" s="11">
        <f>IFERROR(+VLOOKUP(M283,D.sign_Lista_Data[[RESPONSABLE]:[SOFTWARE 
VALOR HORA]],5,FALSE)*D.sign_Data[[#This Row],[TIEMPO (HORAS)]],0)</f>
        <v>422.15467747382638</v>
      </c>
      <c r="R283" s="42">
        <f>IFERROR(+VLOOKUP(M283,D.sign_Lista_Data[[RESPONSABLE]:[SOFTWARE 
VALOR HORA]],8,FALSE)*D.sign_Data[[#This Row],[TIEMPO (HORAS)]],0)</f>
        <v>341.08548871439837</v>
      </c>
      <c r="S283" s="99">
        <v>0</v>
      </c>
      <c r="T283" s="99">
        <v>0</v>
      </c>
      <c r="U283" s="3">
        <f t="shared" si="9"/>
        <v>2789.5826180625913</v>
      </c>
      <c r="V283" s="100">
        <f>D.sign_Data[[#This Row],[TIEMPO (HORAS)]]*Gastos_Operativos[[#Totals],[GASTOS HORA]]</f>
        <v>2778.9477072310401</v>
      </c>
      <c r="W283" s="3">
        <f>+D.sign_Data[[#This Row],[COSTO 
DIRECTO ($COP)]]+D.sign_Data[[#This Row],[PRORRATEO GASTOS ($COP)]]</f>
        <v>5568.5303252936319</v>
      </c>
      <c r="X283" s="101">
        <v>0.15</v>
      </c>
      <c r="Y283" s="15">
        <f>+D.sign_Data[[#This Row],[COSTOS OPERACIONALES ($COP)]]*D.sign_Data[[#This Row],[DESFASE (%)]]</f>
        <v>835.27954879404479</v>
      </c>
      <c r="Z283" s="101">
        <v>0.2</v>
      </c>
      <c r="AA283" s="15">
        <f>+((D.sign_Data[[#This Row],[COSTOS OPERACIONALES ($COP)]]/(100%-D.sign_Data[[#This Row],[UTILIDAD (%)]])))-D.sign_Data[[#This Row],[COSTOS OPERACIONALES ($COP)]]</f>
        <v>1392.132581323408</v>
      </c>
      <c r="AB283" s="3">
        <f>+D.sign_Data[[#This Row],[COSTOS OPERACIONALES ($COP)]]+D.sign_Data[[#This Row],[DESFASE ($COP)]]+D.sign_Data[[#This Row],[UTILIDAD ($COP)]]</f>
        <v>7795.9424554110847</v>
      </c>
      <c r="AC283" s="101">
        <v>0.05</v>
      </c>
      <c r="AD283" s="15">
        <f>+D.sign_Data[[#This Row],[VALOR NETO ($COP)]]/(100%-D.sign_Data[[#This Row],[MARGEN DE NEGOCIACIÓN (%)]])-D.sign_Data[[#This Row],[VALOR NETO ($COP)]]</f>
        <v>410.31276081110991</v>
      </c>
      <c r="AE283" s="15">
        <f>+(D.sign_Data[[#This Row],[VALOR NETO ($COP)]]+D.sign_Data[[#This Row],[NEGOCIACIÓN ($COP)]])*1%</f>
        <v>82.062552162221948</v>
      </c>
      <c r="AF283" s="15">
        <f>+(D.sign_Data[[#This Row],[VALOR NETO ($COP)]]+D.sign_Data[[#This Row],[NEGOCIACIÓN ($COP)]])*1%</f>
        <v>82.062552162221948</v>
      </c>
      <c r="AG283" s="3">
        <f>+D.sign_Data[[#This Row],[VALOR NETO ($COP)]]+D.sign_Data[[#This Row],[NEGOCIACIÓN ($COP)]]+D.sign_Data[[#This Row],[ICA ($COP)]]+D.sign_Data[[#This Row],[4 * 1000 ($COP)]]</f>
        <v>8370.3803205466393</v>
      </c>
    </row>
    <row r="284" spans="1:33" ht="60" hidden="1" customHeight="1" x14ac:dyDescent="0.25">
      <c r="A284" s="14"/>
      <c r="B284" s="87" t="s">
        <v>418</v>
      </c>
      <c r="C284" s="182" t="s">
        <v>631</v>
      </c>
      <c r="D284" s="189" t="str">
        <f>VLOOKUP(D.sign_Data[[#This Row],[CÓDIGO]],Descripciones[[CÓDIGO]:[NOMBRE DE SERVICIO]],3,FALSE)</f>
        <v>D1. Parcelaciones y Condominios</v>
      </c>
      <c r="E284" s="87" t="s">
        <v>467</v>
      </c>
      <c r="F284" s="88" t="s">
        <v>632</v>
      </c>
      <c r="G284" s="88" t="s">
        <v>633</v>
      </c>
      <c r="H284" s="87" t="s">
        <v>500</v>
      </c>
      <c r="I284" s="89">
        <v>1</v>
      </c>
      <c r="J284" s="88" t="s">
        <v>634</v>
      </c>
      <c r="K284" s="102"/>
      <c r="L284" s="88" t="s">
        <v>637</v>
      </c>
      <c r="M284" s="89" t="s">
        <v>381</v>
      </c>
      <c r="N284" s="90">
        <v>2</v>
      </c>
      <c r="O284" s="27">
        <f>IFERROR(+VLOOKUP(M284,D.sign_Lista_Data[[RESPONSABLE]:[SOFTWARE 
VALOR HORA]],3,FALSE),"0")</f>
        <v>20263.424518743668</v>
      </c>
      <c r="P284" s="3">
        <f t="shared" si="8"/>
        <v>40526.849037487336</v>
      </c>
      <c r="Q284" s="11">
        <f>IFERROR(+VLOOKUP(M284,D.sign_Lista_Data[[RESPONSABLE]:[SOFTWARE 
VALOR HORA]],5,FALSE)*D.sign_Data[[#This Row],[TIEMPO (HORAS)]],0)</f>
        <v>8443.0935494765272</v>
      </c>
      <c r="R284" s="42">
        <f>IFERROR(+VLOOKUP(M284,D.sign_Lista_Data[[RESPONSABLE]:[SOFTWARE 
VALOR HORA]],8,FALSE)*D.sign_Data[[#This Row],[TIEMPO (HORAS)]],0)</f>
        <v>6821.7097742879669</v>
      </c>
      <c r="S284" s="99">
        <v>0</v>
      </c>
      <c r="T284" s="99">
        <v>0</v>
      </c>
      <c r="U284" s="3">
        <f t="shared" si="9"/>
        <v>55791.652361251836</v>
      </c>
      <c r="V284" s="100">
        <f>D.sign_Data[[#This Row],[TIEMPO (HORAS)]]*Gastos_Operativos[[#Totals],[GASTOS HORA]]</f>
        <v>55578.954144620802</v>
      </c>
      <c r="W284" s="3">
        <f>+D.sign_Data[[#This Row],[COSTO 
DIRECTO ($COP)]]+D.sign_Data[[#This Row],[PRORRATEO GASTOS ($COP)]]</f>
        <v>111370.60650587264</v>
      </c>
      <c r="X284" s="101">
        <v>0.15</v>
      </c>
      <c r="Y284" s="15">
        <f>+D.sign_Data[[#This Row],[COSTOS OPERACIONALES ($COP)]]*D.sign_Data[[#This Row],[DESFASE (%)]]</f>
        <v>16705.590975880896</v>
      </c>
      <c r="Z284" s="101">
        <v>0.2</v>
      </c>
      <c r="AA284" s="15">
        <f>+((D.sign_Data[[#This Row],[COSTOS OPERACIONALES ($COP)]]/(100%-D.sign_Data[[#This Row],[UTILIDAD (%)]])))-D.sign_Data[[#This Row],[COSTOS OPERACIONALES ($COP)]]</f>
        <v>27842.651626468156</v>
      </c>
      <c r="AB284" s="3">
        <f>+D.sign_Data[[#This Row],[COSTOS OPERACIONALES ($COP)]]+D.sign_Data[[#This Row],[DESFASE ($COP)]]+D.sign_Data[[#This Row],[UTILIDAD ($COP)]]</f>
        <v>155918.84910822171</v>
      </c>
      <c r="AC284" s="101">
        <v>0.05</v>
      </c>
      <c r="AD284" s="15">
        <f>+D.sign_Data[[#This Row],[VALOR NETO ($COP)]]/(100%-D.sign_Data[[#This Row],[MARGEN DE NEGOCIACIÓN (%)]])-D.sign_Data[[#This Row],[VALOR NETO ($COP)]]</f>
        <v>8206.2552162221982</v>
      </c>
      <c r="AE284" s="15">
        <f>+(D.sign_Data[[#This Row],[VALOR NETO ($COP)]]+D.sign_Data[[#This Row],[NEGOCIACIÓN ($COP)]])*1%</f>
        <v>1641.2510432444392</v>
      </c>
      <c r="AF284" s="15">
        <f>+(D.sign_Data[[#This Row],[VALOR NETO ($COP)]]+D.sign_Data[[#This Row],[NEGOCIACIÓN ($COP)]])*1%</f>
        <v>1641.2510432444392</v>
      </c>
      <c r="AG284" s="3">
        <f>+D.sign_Data[[#This Row],[VALOR NETO ($COP)]]+D.sign_Data[[#This Row],[NEGOCIACIÓN ($COP)]]+D.sign_Data[[#This Row],[ICA ($COP)]]+D.sign_Data[[#This Row],[4 * 1000 ($COP)]]</f>
        <v>167407.60641093279</v>
      </c>
    </row>
    <row r="285" spans="1:33" ht="60" hidden="1" customHeight="1" x14ac:dyDescent="0.25">
      <c r="A285" s="14"/>
      <c r="B285" s="87" t="s">
        <v>418</v>
      </c>
      <c r="C285" s="182" t="s">
        <v>631</v>
      </c>
      <c r="D285" s="189" t="str">
        <f>VLOOKUP(D.sign_Data[[#This Row],[CÓDIGO]],Descripciones[[CÓDIGO]:[NOMBRE DE SERVICIO]],3,FALSE)</f>
        <v>D1. Parcelaciones y Condominios</v>
      </c>
      <c r="E285" s="87" t="s">
        <v>467</v>
      </c>
      <c r="F285" s="88" t="s">
        <v>632</v>
      </c>
      <c r="G285" s="88" t="s">
        <v>633</v>
      </c>
      <c r="H285" s="87" t="s">
        <v>500</v>
      </c>
      <c r="I285" s="89">
        <v>1</v>
      </c>
      <c r="J285" s="88" t="s">
        <v>634</v>
      </c>
      <c r="K285" s="102"/>
      <c r="L285" s="88" t="s">
        <v>638</v>
      </c>
      <c r="M285" s="89" t="s">
        <v>381</v>
      </c>
      <c r="N285" s="90">
        <v>2</v>
      </c>
      <c r="O285" s="27">
        <f>IFERROR(+VLOOKUP(M285,D.sign_Lista_Data[[RESPONSABLE]:[SOFTWARE 
VALOR HORA]],3,FALSE),"0")</f>
        <v>20263.424518743668</v>
      </c>
      <c r="P285" s="3">
        <f t="shared" ref="P285:P349" si="10">+O285*N285</f>
        <v>40526.849037487336</v>
      </c>
      <c r="Q285" s="11">
        <f>IFERROR(+VLOOKUP(M285,D.sign_Lista_Data[[RESPONSABLE]:[SOFTWARE 
VALOR HORA]],5,FALSE)*D.sign_Data[[#This Row],[TIEMPO (HORAS)]],0)</f>
        <v>8443.0935494765272</v>
      </c>
      <c r="R285" s="42">
        <f>IFERROR(+VLOOKUP(M285,D.sign_Lista_Data[[RESPONSABLE]:[SOFTWARE 
VALOR HORA]],8,FALSE)*D.sign_Data[[#This Row],[TIEMPO (HORAS)]],0)</f>
        <v>6821.7097742879669</v>
      </c>
      <c r="S285" s="99">
        <v>0</v>
      </c>
      <c r="T285" s="99">
        <v>0</v>
      </c>
      <c r="U285" s="3">
        <f t="shared" ref="U285:U349" si="11">SUM(P285:T285)</f>
        <v>55791.652361251836</v>
      </c>
      <c r="V285" s="100">
        <f>D.sign_Data[[#This Row],[TIEMPO (HORAS)]]*Gastos_Operativos[[#Totals],[GASTOS HORA]]</f>
        <v>55578.954144620802</v>
      </c>
      <c r="W285" s="3">
        <f>+D.sign_Data[[#This Row],[COSTO 
DIRECTO ($COP)]]+D.sign_Data[[#This Row],[PRORRATEO GASTOS ($COP)]]</f>
        <v>111370.60650587264</v>
      </c>
      <c r="X285" s="101">
        <v>0.15</v>
      </c>
      <c r="Y285" s="15">
        <f>+D.sign_Data[[#This Row],[COSTOS OPERACIONALES ($COP)]]*D.sign_Data[[#This Row],[DESFASE (%)]]</f>
        <v>16705.590975880896</v>
      </c>
      <c r="Z285" s="101">
        <v>0.2</v>
      </c>
      <c r="AA285" s="15">
        <f>+((D.sign_Data[[#This Row],[COSTOS OPERACIONALES ($COP)]]/(100%-D.sign_Data[[#This Row],[UTILIDAD (%)]])))-D.sign_Data[[#This Row],[COSTOS OPERACIONALES ($COP)]]</f>
        <v>27842.651626468156</v>
      </c>
      <c r="AB285" s="3">
        <f>+D.sign_Data[[#This Row],[COSTOS OPERACIONALES ($COP)]]+D.sign_Data[[#This Row],[DESFASE ($COP)]]+D.sign_Data[[#This Row],[UTILIDAD ($COP)]]</f>
        <v>155918.84910822171</v>
      </c>
      <c r="AC285" s="101">
        <v>0.05</v>
      </c>
      <c r="AD285" s="15">
        <f>+D.sign_Data[[#This Row],[VALOR NETO ($COP)]]/(100%-D.sign_Data[[#This Row],[MARGEN DE NEGOCIACIÓN (%)]])-D.sign_Data[[#This Row],[VALOR NETO ($COP)]]</f>
        <v>8206.2552162221982</v>
      </c>
      <c r="AE285" s="15">
        <f>+(D.sign_Data[[#This Row],[VALOR NETO ($COP)]]+D.sign_Data[[#This Row],[NEGOCIACIÓN ($COP)]])*1%</f>
        <v>1641.2510432444392</v>
      </c>
      <c r="AF285" s="15">
        <f>+(D.sign_Data[[#This Row],[VALOR NETO ($COP)]]+D.sign_Data[[#This Row],[NEGOCIACIÓN ($COP)]])*1%</f>
        <v>1641.2510432444392</v>
      </c>
      <c r="AG285" s="3">
        <f>+D.sign_Data[[#This Row],[VALOR NETO ($COP)]]+D.sign_Data[[#This Row],[NEGOCIACIÓN ($COP)]]+D.sign_Data[[#This Row],[ICA ($COP)]]+D.sign_Data[[#This Row],[4 * 1000 ($COP)]]</f>
        <v>167407.60641093279</v>
      </c>
    </row>
    <row r="286" spans="1:33" ht="60" hidden="1" customHeight="1" x14ac:dyDescent="0.25">
      <c r="A286" s="14"/>
      <c r="B286" s="87" t="s">
        <v>418</v>
      </c>
      <c r="C286" s="182" t="s">
        <v>631</v>
      </c>
      <c r="D286" s="189" t="str">
        <f>VLOOKUP(D.sign_Data[[#This Row],[CÓDIGO]],Descripciones[[CÓDIGO]:[NOMBRE DE SERVICIO]],3,FALSE)</f>
        <v>D1. Parcelaciones y Condominios</v>
      </c>
      <c r="E286" s="87" t="s">
        <v>467</v>
      </c>
      <c r="F286" s="88" t="s">
        <v>632</v>
      </c>
      <c r="G286" s="88" t="s">
        <v>633</v>
      </c>
      <c r="H286" s="87" t="s">
        <v>500</v>
      </c>
      <c r="I286" s="89">
        <v>1</v>
      </c>
      <c r="J286" s="88" t="s">
        <v>634</v>
      </c>
      <c r="K286" s="102"/>
      <c r="L286" s="88" t="s">
        <v>639</v>
      </c>
      <c r="M286" s="89" t="s">
        <v>381</v>
      </c>
      <c r="N286" s="90">
        <v>0.3</v>
      </c>
      <c r="O286" s="27">
        <f>IFERROR(+VLOOKUP(M286,D.sign_Lista_Data[[RESPONSABLE]:[SOFTWARE 
VALOR HORA]],3,FALSE),"0")</f>
        <v>20263.424518743668</v>
      </c>
      <c r="P286" s="3">
        <f t="shared" si="10"/>
        <v>6079.0273556231004</v>
      </c>
      <c r="Q286" s="11">
        <f>IFERROR(+VLOOKUP(M286,D.sign_Lista_Data[[RESPONSABLE]:[SOFTWARE 
VALOR HORA]],5,FALSE)*D.sign_Data[[#This Row],[TIEMPO (HORAS)]],0)</f>
        <v>1266.464032421479</v>
      </c>
      <c r="R286" s="42">
        <f>IFERROR(+VLOOKUP(M286,D.sign_Lista_Data[[RESPONSABLE]:[SOFTWARE 
VALOR HORA]],8,FALSE)*D.sign_Data[[#This Row],[TIEMPO (HORAS)]],0)</f>
        <v>1023.256466143195</v>
      </c>
      <c r="S286" s="99">
        <v>0</v>
      </c>
      <c r="T286" s="99">
        <v>0</v>
      </c>
      <c r="U286" s="3">
        <f t="shared" si="11"/>
        <v>8368.7478541877736</v>
      </c>
      <c r="V286" s="100">
        <f>D.sign_Data[[#This Row],[TIEMPO (HORAS)]]*Gastos_Operativos[[#Totals],[GASTOS HORA]]</f>
        <v>8336.8431216931203</v>
      </c>
      <c r="W286" s="3">
        <f>+D.sign_Data[[#This Row],[COSTO 
DIRECTO ($COP)]]+D.sign_Data[[#This Row],[PRORRATEO GASTOS ($COP)]]</f>
        <v>16705.590975880892</v>
      </c>
      <c r="X286" s="101">
        <v>0.15</v>
      </c>
      <c r="Y286" s="15">
        <f>+D.sign_Data[[#This Row],[COSTOS OPERACIONALES ($COP)]]*D.sign_Data[[#This Row],[DESFASE (%)]]</f>
        <v>2505.8386463821339</v>
      </c>
      <c r="Z286" s="101">
        <v>0.2</v>
      </c>
      <c r="AA286" s="15">
        <f>+((D.sign_Data[[#This Row],[COSTOS OPERACIONALES ($COP)]]/(100%-D.sign_Data[[#This Row],[UTILIDAD (%)]])))-D.sign_Data[[#This Row],[COSTOS OPERACIONALES ($COP)]]</f>
        <v>4176.3977439702212</v>
      </c>
      <c r="AB286" s="3">
        <f>+D.sign_Data[[#This Row],[COSTOS OPERACIONALES ($COP)]]+D.sign_Data[[#This Row],[DESFASE ($COP)]]+D.sign_Data[[#This Row],[UTILIDAD ($COP)]]</f>
        <v>23387.827366233247</v>
      </c>
      <c r="AC286" s="101">
        <v>0.05</v>
      </c>
      <c r="AD286" s="15">
        <f>+D.sign_Data[[#This Row],[VALOR NETO ($COP)]]/(100%-D.sign_Data[[#This Row],[MARGEN DE NEGOCIACIÓN (%)]])-D.sign_Data[[#This Row],[VALOR NETO ($COP)]]</f>
        <v>1230.9382824333297</v>
      </c>
      <c r="AE286" s="15">
        <f>+(D.sign_Data[[#This Row],[VALOR NETO ($COP)]]+D.sign_Data[[#This Row],[NEGOCIACIÓN ($COP)]])*1%</f>
        <v>246.18765648666576</v>
      </c>
      <c r="AF286" s="15">
        <f>+(D.sign_Data[[#This Row],[VALOR NETO ($COP)]]+D.sign_Data[[#This Row],[NEGOCIACIÓN ($COP)]])*1%</f>
        <v>246.18765648666576</v>
      </c>
      <c r="AG286" s="3">
        <f>+D.sign_Data[[#This Row],[VALOR NETO ($COP)]]+D.sign_Data[[#This Row],[NEGOCIACIÓN ($COP)]]+D.sign_Data[[#This Row],[ICA ($COP)]]+D.sign_Data[[#This Row],[4 * 1000 ($COP)]]</f>
        <v>25111.140961639907</v>
      </c>
    </row>
    <row r="287" spans="1:33" ht="60" hidden="1" customHeight="1" x14ac:dyDescent="0.25">
      <c r="A287" s="14"/>
      <c r="B287" s="87" t="s">
        <v>418</v>
      </c>
      <c r="C287" s="182" t="s">
        <v>631</v>
      </c>
      <c r="D287" s="189" t="str">
        <f>VLOOKUP(D.sign_Data[[#This Row],[CÓDIGO]],Descripciones[[CÓDIGO]:[NOMBRE DE SERVICIO]],3,FALSE)</f>
        <v>D1. Parcelaciones y Condominios</v>
      </c>
      <c r="E287" s="87" t="s">
        <v>467</v>
      </c>
      <c r="F287" s="88" t="s">
        <v>632</v>
      </c>
      <c r="G287" s="88" t="s">
        <v>633</v>
      </c>
      <c r="H287" s="87" t="s">
        <v>500</v>
      </c>
      <c r="I287" s="89">
        <v>1</v>
      </c>
      <c r="J287" s="88" t="s">
        <v>634</v>
      </c>
      <c r="K287" s="102"/>
      <c r="L287" s="88" t="s">
        <v>640</v>
      </c>
      <c r="M287" s="89" t="s">
        <v>381</v>
      </c>
      <c r="N287" s="90">
        <v>1.5</v>
      </c>
      <c r="O287" s="27">
        <f>IFERROR(+VLOOKUP(M287,D.sign_Lista_Data[[RESPONSABLE]:[SOFTWARE 
VALOR HORA]],3,FALSE),"0")</f>
        <v>20263.424518743668</v>
      </c>
      <c r="P287" s="3">
        <f t="shared" si="10"/>
        <v>30395.136778115502</v>
      </c>
      <c r="Q287" s="11">
        <f>IFERROR(+VLOOKUP(M287,D.sign_Lista_Data[[RESPONSABLE]:[SOFTWARE 
VALOR HORA]],5,FALSE)*D.sign_Data[[#This Row],[TIEMPO (HORAS)]],0)</f>
        <v>6332.3201621073949</v>
      </c>
      <c r="R287" s="42">
        <f>IFERROR(+VLOOKUP(M287,D.sign_Lista_Data[[RESPONSABLE]:[SOFTWARE 
VALOR HORA]],8,FALSE)*D.sign_Data[[#This Row],[TIEMPO (HORAS)]],0)</f>
        <v>5116.2823307159751</v>
      </c>
      <c r="S287" s="99">
        <v>0</v>
      </c>
      <c r="T287" s="99">
        <v>0</v>
      </c>
      <c r="U287" s="3">
        <f t="shared" si="11"/>
        <v>41843.739270938873</v>
      </c>
      <c r="V287" s="100">
        <f>D.sign_Data[[#This Row],[TIEMPO (HORAS)]]*Gastos_Operativos[[#Totals],[GASTOS HORA]]</f>
        <v>41684.215608465602</v>
      </c>
      <c r="W287" s="3">
        <f>+D.sign_Data[[#This Row],[COSTO 
DIRECTO ($COP)]]+D.sign_Data[[#This Row],[PRORRATEO GASTOS ($COP)]]</f>
        <v>83527.954879404482</v>
      </c>
      <c r="X287" s="101">
        <v>0.15</v>
      </c>
      <c r="Y287" s="15">
        <f>+D.sign_Data[[#This Row],[COSTOS OPERACIONALES ($COP)]]*D.sign_Data[[#This Row],[DESFASE (%)]]</f>
        <v>12529.193231910673</v>
      </c>
      <c r="Z287" s="101">
        <v>0.2</v>
      </c>
      <c r="AA287" s="15">
        <f>+((D.sign_Data[[#This Row],[COSTOS OPERACIONALES ($COP)]]/(100%-D.sign_Data[[#This Row],[UTILIDAD (%)]])))-D.sign_Data[[#This Row],[COSTOS OPERACIONALES ($COP)]]</f>
        <v>20881.988719851113</v>
      </c>
      <c r="AB287" s="3">
        <f>+D.sign_Data[[#This Row],[COSTOS OPERACIONALES ($COP)]]+D.sign_Data[[#This Row],[DESFASE ($COP)]]+D.sign_Data[[#This Row],[UTILIDAD ($COP)]]</f>
        <v>116939.13683116627</v>
      </c>
      <c r="AC287" s="101">
        <v>0.05</v>
      </c>
      <c r="AD287" s="15">
        <f>+D.sign_Data[[#This Row],[VALOR NETO ($COP)]]/(100%-D.sign_Data[[#This Row],[MARGEN DE NEGOCIACIÓN (%)]])-D.sign_Data[[#This Row],[VALOR NETO ($COP)]]</f>
        <v>6154.6914121666487</v>
      </c>
      <c r="AE287" s="15">
        <f>+(D.sign_Data[[#This Row],[VALOR NETO ($COP)]]+D.sign_Data[[#This Row],[NEGOCIACIÓN ($COP)]])*1%</f>
        <v>1230.9382824333293</v>
      </c>
      <c r="AF287" s="15">
        <f>+(D.sign_Data[[#This Row],[VALOR NETO ($COP)]]+D.sign_Data[[#This Row],[NEGOCIACIÓN ($COP)]])*1%</f>
        <v>1230.9382824333293</v>
      </c>
      <c r="AG287" s="3">
        <f>+D.sign_Data[[#This Row],[VALOR NETO ($COP)]]+D.sign_Data[[#This Row],[NEGOCIACIÓN ($COP)]]+D.sign_Data[[#This Row],[ICA ($COP)]]+D.sign_Data[[#This Row],[4 * 1000 ($COP)]]</f>
        <v>125555.70480819957</v>
      </c>
    </row>
    <row r="288" spans="1:33" ht="60" hidden="1" customHeight="1" x14ac:dyDescent="0.25">
      <c r="A288" s="14"/>
      <c r="B288" s="87" t="s">
        <v>418</v>
      </c>
      <c r="C288" s="182" t="s">
        <v>631</v>
      </c>
      <c r="D288" s="189" t="str">
        <f>VLOOKUP(D.sign_Data[[#This Row],[CÓDIGO]],Descripciones[[CÓDIGO]:[NOMBRE DE SERVICIO]],3,FALSE)</f>
        <v>D1. Parcelaciones y Condominios</v>
      </c>
      <c r="E288" s="87" t="s">
        <v>467</v>
      </c>
      <c r="F288" s="88" t="s">
        <v>632</v>
      </c>
      <c r="G288" s="88" t="s">
        <v>633</v>
      </c>
      <c r="H288" s="87" t="s">
        <v>500</v>
      </c>
      <c r="I288" s="89">
        <v>1</v>
      </c>
      <c r="J288" s="88" t="s">
        <v>634</v>
      </c>
      <c r="K288" s="102"/>
      <c r="L288" s="88" t="s">
        <v>641</v>
      </c>
      <c r="M288" s="89" t="s">
        <v>381</v>
      </c>
      <c r="N288" s="90">
        <v>1</v>
      </c>
      <c r="O288" s="27">
        <f>IFERROR(+VLOOKUP(M288,D.sign_Lista_Data[[RESPONSABLE]:[SOFTWARE 
VALOR HORA]],3,FALSE),"0")</f>
        <v>20263.424518743668</v>
      </c>
      <c r="P288" s="3">
        <f t="shared" si="10"/>
        <v>20263.424518743668</v>
      </c>
      <c r="Q288" s="11">
        <f>IFERROR(+VLOOKUP(M288,D.sign_Lista_Data[[RESPONSABLE]:[SOFTWARE 
VALOR HORA]],5,FALSE)*D.sign_Data[[#This Row],[TIEMPO (HORAS)]],0)</f>
        <v>4221.5467747382636</v>
      </c>
      <c r="R288" s="42">
        <f>IFERROR(+VLOOKUP(M288,D.sign_Lista_Data[[RESPONSABLE]:[SOFTWARE 
VALOR HORA]],8,FALSE)*D.sign_Data[[#This Row],[TIEMPO (HORAS)]],0)</f>
        <v>3410.8548871439834</v>
      </c>
      <c r="S288" s="99">
        <v>0</v>
      </c>
      <c r="T288" s="99">
        <v>0</v>
      </c>
      <c r="U288" s="3">
        <f t="shared" si="11"/>
        <v>27895.826180625918</v>
      </c>
      <c r="V288" s="100">
        <f>D.sign_Data[[#This Row],[TIEMPO (HORAS)]]*Gastos_Operativos[[#Totals],[GASTOS HORA]]</f>
        <v>27789.477072310401</v>
      </c>
      <c r="W288" s="3">
        <f>+D.sign_Data[[#This Row],[COSTO 
DIRECTO ($COP)]]+D.sign_Data[[#This Row],[PRORRATEO GASTOS ($COP)]]</f>
        <v>55685.303252936319</v>
      </c>
      <c r="X288" s="101">
        <v>0.15</v>
      </c>
      <c r="Y288" s="15">
        <f>+D.sign_Data[[#This Row],[COSTOS OPERACIONALES ($COP)]]*D.sign_Data[[#This Row],[DESFASE (%)]]</f>
        <v>8352.7954879404479</v>
      </c>
      <c r="Z288" s="101">
        <v>0.2</v>
      </c>
      <c r="AA288" s="15">
        <f>+((D.sign_Data[[#This Row],[COSTOS OPERACIONALES ($COP)]]/(100%-D.sign_Data[[#This Row],[UTILIDAD (%)]])))-D.sign_Data[[#This Row],[COSTOS OPERACIONALES ($COP)]]</f>
        <v>13921.325813234078</v>
      </c>
      <c r="AB288" s="3">
        <f>+D.sign_Data[[#This Row],[COSTOS OPERACIONALES ($COP)]]+D.sign_Data[[#This Row],[DESFASE ($COP)]]+D.sign_Data[[#This Row],[UTILIDAD ($COP)]]</f>
        <v>77959.424554110854</v>
      </c>
      <c r="AC288" s="101">
        <v>0.05</v>
      </c>
      <c r="AD288" s="15">
        <f>+D.sign_Data[[#This Row],[VALOR NETO ($COP)]]/(100%-D.sign_Data[[#This Row],[MARGEN DE NEGOCIACIÓN (%)]])-D.sign_Data[[#This Row],[VALOR NETO ($COP)]]</f>
        <v>4103.1276081110991</v>
      </c>
      <c r="AE288" s="15">
        <f>+(D.sign_Data[[#This Row],[VALOR NETO ($COP)]]+D.sign_Data[[#This Row],[NEGOCIACIÓN ($COP)]])*1%</f>
        <v>820.62552162221959</v>
      </c>
      <c r="AF288" s="15">
        <f>+(D.sign_Data[[#This Row],[VALOR NETO ($COP)]]+D.sign_Data[[#This Row],[NEGOCIACIÓN ($COP)]])*1%</f>
        <v>820.62552162221959</v>
      </c>
      <c r="AG288" s="3">
        <f>+D.sign_Data[[#This Row],[VALOR NETO ($COP)]]+D.sign_Data[[#This Row],[NEGOCIACIÓN ($COP)]]+D.sign_Data[[#This Row],[ICA ($COP)]]+D.sign_Data[[#This Row],[4 * 1000 ($COP)]]</f>
        <v>83703.803205466393</v>
      </c>
    </row>
    <row r="289" spans="1:33" ht="60" hidden="1" customHeight="1" x14ac:dyDescent="0.25">
      <c r="A289" s="14"/>
      <c r="B289" s="87" t="s">
        <v>418</v>
      </c>
      <c r="C289" s="182" t="s">
        <v>631</v>
      </c>
      <c r="D289" s="189" t="str">
        <f>VLOOKUP(D.sign_Data[[#This Row],[CÓDIGO]],Descripciones[[CÓDIGO]:[NOMBRE DE SERVICIO]],3,FALSE)</f>
        <v>D1. Parcelaciones y Condominios</v>
      </c>
      <c r="E289" s="87" t="s">
        <v>467</v>
      </c>
      <c r="F289" s="88" t="s">
        <v>632</v>
      </c>
      <c r="G289" s="88" t="s">
        <v>633</v>
      </c>
      <c r="H289" s="87" t="s">
        <v>500</v>
      </c>
      <c r="I289" s="89">
        <v>1</v>
      </c>
      <c r="J289" s="88" t="s">
        <v>634</v>
      </c>
      <c r="K289" s="102"/>
      <c r="L289" s="88" t="s">
        <v>642</v>
      </c>
      <c r="M289" s="89" t="s">
        <v>381</v>
      </c>
      <c r="N289" s="90">
        <v>1</v>
      </c>
      <c r="O289" s="27">
        <f>IFERROR(+VLOOKUP(M289,D.sign_Lista_Data[[RESPONSABLE]:[SOFTWARE 
VALOR HORA]],3,FALSE),"0")</f>
        <v>20263.424518743668</v>
      </c>
      <c r="P289" s="3">
        <f t="shared" si="10"/>
        <v>20263.424518743668</v>
      </c>
      <c r="Q289" s="11">
        <f>IFERROR(+VLOOKUP(M289,D.sign_Lista_Data[[RESPONSABLE]:[SOFTWARE 
VALOR HORA]],5,FALSE)*D.sign_Data[[#This Row],[TIEMPO (HORAS)]],0)</f>
        <v>4221.5467747382636</v>
      </c>
      <c r="R289" s="42">
        <f>IFERROR(+VLOOKUP(M289,D.sign_Lista_Data[[RESPONSABLE]:[SOFTWARE 
VALOR HORA]],8,FALSE)*D.sign_Data[[#This Row],[TIEMPO (HORAS)]],0)</f>
        <v>3410.8548871439834</v>
      </c>
      <c r="S289" s="99">
        <v>0</v>
      </c>
      <c r="T289" s="99">
        <v>0</v>
      </c>
      <c r="U289" s="3">
        <f t="shared" si="11"/>
        <v>27895.826180625918</v>
      </c>
      <c r="V289" s="100">
        <f>D.sign_Data[[#This Row],[TIEMPO (HORAS)]]*Gastos_Operativos[[#Totals],[GASTOS HORA]]</f>
        <v>27789.477072310401</v>
      </c>
      <c r="W289" s="3">
        <f>+D.sign_Data[[#This Row],[COSTO 
DIRECTO ($COP)]]+D.sign_Data[[#This Row],[PRORRATEO GASTOS ($COP)]]</f>
        <v>55685.303252936319</v>
      </c>
      <c r="X289" s="101">
        <v>0.15</v>
      </c>
      <c r="Y289" s="15">
        <f>+D.sign_Data[[#This Row],[COSTOS OPERACIONALES ($COP)]]*D.sign_Data[[#This Row],[DESFASE (%)]]</f>
        <v>8352.7954879404479</v>
      </c>
      <c r="Z289" s="101">
        <v>0.2</v>
      </c>
      <c r="AA289" s="15">
        <f>+((D.sign_Data[[#This Row],[COSTOS OPERACIONALES ($COP)]]/(100%-D.sign_Data[[#This Row],[UTILIDAD (%)]])))-D.sign_Data[[#This Row],[COSTOS OPERACIONALES ($COP)]]</f>
        <v>13921.325813234078</v>
      </c>
      <c r="AB289" s="3">
        <f>+D.sign_Data[[#This Row],[COSTOS OPERACIONALES ($COP)]]+D.sign_Data[[#This Row],[DESFASE ($COP)]]+D.sign_Data[[#This Row],[UTILIDAD ($COP)]]</f>
        <v>77959.424554110854</v>
      </c>
      <c r="AC289" s="101">
        <v>0.05</v>
      </c>
      <c r="AD289" s="15">
        <f>+D.sign_Data[[#This Row],[VALOR NETO ($COP)]]/(100%-D.sign_Data[[#This Row],[MARGEN DE NEGOCIACIÓN (%)]])-D.sign_Data[[#This Row],[VALOR NETO ($COP)]]</f>
        <v>4103.1276081110991</v>
      </c>
      <c r="AE289" s="15">
        <f>+(D.sign_Data[[#This Row],[VALOR NETO ($COP)]]+D.sign_Data[[#This Row],[NEGOCIACIÓN ($COP)]])*1%</f>
        <v>820.62552162221959</v>
      </c>
      <c r="AF289" s="15">
        <f>+(D.sign_Data[[#This Row],[VALOR NETO ($COP)]]+D.sign_Data[[#This Row],[NEGOCIACIÓN ($COP)]])*1%</f>
        <v>820.62552162221959</v>
      </c>
      <c r="AG289" s="3">
        <f>+D.sign_Data[[#This Row],[VALOR NETO ($COP)]]+D.sign_Data[[#This Row],[NEGOCIACIÓN ($COP)]]+D.sign_Data[[#This Row],[ICA ($COP)]]+D.sign_Data[[#This Row],[4 * 1000 ($COP)]]</f>
        <v>83703.803205466393</v>
      </c>
    </row>
    <row r="290" spans="1:33" ht="60" hidden="1" customHeight="1" x14ac:dyDescent="0.25">
      <c r="A290" s="14"/>
      <c r="B290" s="87" t="s">
        <v>418</v>
      </c>
      <c r="C290" s="182" t="s">
        <v>631</v>
      </c>
      <c r="D290" s="189" t="str">
        <f>VLOOKUP(D.sign_Data[[#This Row],[CÓDIGO]],Descripciones[[CÓDIGO]:[NOMBRE DE SERVICIO]],3,FALSE)</f>
        <v>D1. Parcelaciones y Condominios</v>
      </c>
      <c r="E290" s="87" t="s">
        <v>467</v>
      </c>
      <c r="F290" s="88" t="s">
        <v>632</v>
      </c>
      <c r="G290" s="88" t="s">
        <v>633</v>
      </c>
      <c r="H290" s="87" t="s">
        <v>500</v>
      </c>
      <c r="I290" s="89">
        <v>1</v>
      </c>
      <c r="J290" s="88" t="s">
        <v>634</v>
      </c>
      <c r="K290" s="102"/>
      <c r="L290" s="88" t="s">
        <v>643</v>
      </c>
      <c r="M290" s="89" t="s">
        <v>381</v>
      </c>
      <c r="N290" s="90">
        <v>1</v>
      </c>
      <c r="O290" s="27">
        <f>IFERROR(+VLOOKUP(M290,D.sign_Lista_Data[[RESPONSABLE]:[SOFTWARE 
VALOR HORA]],3,FALSE),"0")</f>
        <v>20263.424518743668</v>
      </c>
      <c r="P290" s="3">
        <f t="shared" si="10"/>
        <v>20263.424518743668</v>
      </c>
      <c r="Q290" s="11">
        <f>IFERROR(+VLOOKUP(M290,D.sign_Lista_Data[[RESPONSABLE]:[SOFTWARE 
VALOR HORA]],5,FALSE)*D.sign_Data[[#This Row],[TIEMPO (HORAS)]],0)</f>
        <v>4221.5467747382636</v>
      </c>
      <c r="R290" s="42">
        <f>IFERROR(+VLOOKUP(M290,D.sign_Lista_Data[[RESPONSABLE]:[SOFTWARE 
VALOR HORA]],8,FALSE)*D.sign_Data[[#This Row],[TIEMPO (HORAS)]],0)</f>
        <v>3410.8548871439834</v>
      </c>
      <c r="S290" s="99">
        <v>0</v>
      </c>
      <c r="T290" s="99">
        <v>0</v>
      </c>
      <c r="U290" s="3">
        <f t="shared" si="11"/>
        <v>27895.826180625918</v>
      </c>
      <c r="V290" s="100">
        <f>D.sign_Data[[#This Row],[TIEMPO (HORAS)]]*Gastos_Operativos[[#Totals],[GASTOS HORA]]</f>
        <v>27789.477072310401</v>
      </c>
      <c r="W290" s="3">
        <f>+D.sign_Data[[#This Row],[COSTO 
DIRECTO ($COP)]]+D.sign_Data[[#This Row],[PRORRATEO GASTOS ($COP)]]</f>
        <v>55685.303252936319</v>
      </c>
      <c r="X290" s="101">
        <v>0.15</v>
      </c>
      <c r="Y290" s="15">
        <f>+D.sign_Data[[#This Row],[COSTOS OPERACIONALES ($COP)]]*D.sign_Data[[#This Row],[DESFASE (%)]]</f>
        <v>8352.7954879404479</v>
      </c>
      <c r="Z290" s="101">
        <v>0.2</v>
      </c>
      <c r="AA290" s="15">
        <f>+((D.sign_Data[[#This Row],[COSTOS OPERACIONALES ($COP)]]/(100%-D.sign_Data[[#This Row],[UTILIDAD (%)]])))-D.sign_Data[[#This Row],[COSTOS OPERACIONALES ($COP)]]</f>
        <v>13921.325813234078</v>
      </c>
      <c r="AB290" s="3">
        <f>+D.sign_Data[[#This Row],[COSTOS OPERACIONALES ($COP)]]+D.sign_Data[[#This Row],[DESFASE ($COP)]]+D.sign_Data[[#This Row],[UTILIDAD ($COP)]]</f>
        <v>77959.424554110854</v>
      </c>
      <c r="AC290" s="101">
        <v>0.05</v>
      </c>
      <c r="AD290" s="15">
        <f>+D.sign_Data[[#This Row],[VALOR NETO ($COP)]]/(100%-D.sign_Data[[#This Row],[MARGEN DE NEGOCIACIÓN (%)]])-D.sign_Data[[#This Row],[VALOR NETO ($COP)]]</f>
        <v>4103.1276081110991</v>
      </c>
      <c r="AE290" s="15">
        <f>+(D.sign_Data[[#This Row],[VALOR NETO ($COP)]]+D.sign_Data[[#This Row],[NEGOCIACIÓN ($COP)]])*1%</f>
        <v>820.62552162221959</v>
      </c>
      <c r="AF290" s="15">
        <f>+(D.sign_Data[[#This Row],[VALOR NETO ($COP)]]+D.sign_Data[[#This Row],[NEGOCIACIÓN ($COP)]])*1%</f>
        <v>820.62552162221959</v>
      </c>
      <c r="AG290" s="3">
        <f>+D.sign_Data[[#This Row],[VALOR NETO ($COP)]]+D.sign_Data[[#This Row],[NEGOCIACIÓN ($COP)]]+D.sign_Data[[#This Row],[ICA ($COP)]]+D.sign_Data[[#This Row],[4 * 1000 ($COP)]]</f>
        <v>83703.803205466393</v>
      </c>
    </row>
    <row r="291" spans="1:33" ht="60" hidden="1" customHeight="1" x14ac:dyDescent="0.25">
      <c r="A291" s="14"/>
      <c r="B291" s="87" t="s">
        <v>418</v>
      </c>
      <c r="C291" s="182" t="s">
        <v>631</v>
      </c>
      <c r="D291" s="189" t="str">
        <f>VLOOKUP(D.sign_Data[[#This Row],[CÓDIGO]],Descripciones[[CÓDIGO]:[NOMBRE DE SERVICIO]],3,FALSE)</f>
        <v>D1. Parcelaciones y Condominios</v>
      </c>
      <c r="E291" s="87" t="s">
        <v>467</v>
      </c>
      <c r="F291" s="88" t="s">
        <v>632</v>
      </c>
      <c r="G291" s="88" t="s">
        <v>633</v>
      </c>
      <c r="H291" s="87" t="s">
        <v>500</v>
      </c>
      <c r="I291" s="89">
        <v>1</v>
      </c>
      <c r="J291" s="88" t="s">
        <v>644</v>
      </c>
      <c r="K291" s="102"/>
      <c r="L291" s="88" t="s">
        <v>645</v>
      </c>
      <c r="M291" s="89" t="s">
        <v>381</v>
      </c>
      <c r="N291" s="90">
        <v>1.5</v>
      </c>
      <c r="O291" s="27">
        <f>IFERROR(+VLOOKUP(M291,D.sign_Lista_Data[[RESPONSABLE]:[SOFTWARE 
VALOR HORA]],3,FALSE),"0")</f>
        <v>20263.424518743668</v>
      </c>
      <c r="P291" s="3">
        <f t="shared" si="10"/>
        <v>30395.136778115502</v>
      </c>
      <c r="Q291" s="11">
        <f>IFERROR(+VLOOKUP(M291,D.sign_Lista_Data[[RESPONSABLE]:[SOFTWARE 
VALOR HORA]],5,FALSE)*D.sign_Data[[#This Row],[TIEMPO (HORAS)]],0)</f>
        <v>6332.3201621073949</v>
      </c>
      <c r="R291" s="42">
        <f>IFERROR(+VLOOKUP(M291,D.sign_Lista_Data[[RESPONSABLE]:[SOFTWARE 
VALOR HORA]],8,FALSE)*D.sign_Data[[#This Row],[TIEMPO (HORAS)]],0)</f>
        <v>5116.2823307159751</v>
      </c>
      <c r="S291" s="99">
        <v>0</v>
      </c>
      <c r="T291" s="99">
        <v>0</v>
      </c>
      <c r="U291" s="3">
        <f t="shared" si="11"/>
        <v>41843.739270938873</v>
      </c>
      <c r="V291" s="100">
        <f>D.sign_Data[[#This Row],[TIEMPO (HORAS)]]*Gastos_Operativos[[#Totals],[GASTOS HORA]]</f>
        <v>41684.215608465602</v>
      </c>
      <c r="W291" s="3">
        <f>+D.sign_Data[[#This Row],[COSTO 
DIRECTO ($COP)]]+D.sign_Data[[#This Row],[PRORRATEO GASTOS ($COP)]]</f>
        <v>83527.954879404482</v>
      </c>
      <c r="X291" s="101">
        <v>0.15</v>
      </c>
      <c r="Y291" s="15">
        <f>+D.sign_Data[[#This Row],[COSTOS OPERACIONALES ($COP)]]*D.sign_Data[[#This Row],[DESFASE (%)]]</f>
        <v>12529.193231910673</v>
      </c>
      <c r="Z291" s="101">
        <v>0.2</v>
      </c>
      <c r="AA291" s="15">
        <f>+((D.sign_Data[[#This Row],[COSTOS OPERACIONALES ($COP)]]/(100%-D.sign_Data[[#This Row],[UTILIDAD (%)]])))-D.sign_Data[[#This Row],[COSTOS OPERACIONALES ($COP)]]</f>
        <v>20881.988719851113</v>
      </c>
      <c r="AB291" s="3">
        <f>+D.sign_Data[[#This Row],[COSTOS OPERACIONALES ($COP)]]+D.sign_Data[[#This Row],[DESFASE ($COP)]]+D.sign_Data[[#This Row],[UTILIDAD ($COP)]]</f>
        <v>116939.13683116627</v>
      </c>
      <c r="AC291" s="101">
        <v>0.05</v>
      </c>
      <c r="AD291" s="15">
        <f>+D.sign_Data[[#This Row],[VALOR NETO ($COP)]]/(100%-D.sign_Data[[#This Row],[MARGEN DE NEGOCIACIÓN (%)]])-D.sign_Data[[#This Row],[VALOR NETO ($COP)]]</f>
        <v>6154.6914121666487</v>
      </c>
      <c r="AE291" s="15">
        <f>+(D.sign_Data[[#This Row],[VALOR NETO ($COP)]]+D.sign_Data[[#This Row],[NEGOCIACIÓN ($COP)]])*1%</f>
        <v>1230.9382824333293</v>
      </c>
      <c r="AF291" s="15">
        <f>+(D.sign_Data[[#This Row],[VALOR NETO ($COP)]]+D.sign_Data[[#This Row],[NEGOCIACIÓN ($COP)]])*1%</f>
        <v>1230.9382824333293</v>
      </c>
      <c r="AG291" s="3">
        <f>+D.sign_Data[[#This Row],[VALOR NETO ($COP)]]+D.sign_Data[[#This Row],[NEGOCIACIÓN ($COP)]]+D.sign_Data[[#This Row],[ICA ($COP)]]+D.sign_Data[[#This Row],[4 * 1000 ($COP)]]</f>
        <v>125555.70480819957</v>
      </c>
    </row>
    <row r="292" spans="1:33" ht="60" hidden="1" customHeight="1" x14ac:dyDescent="0.25">
      <c r="A292" s="14"/>
      <c r="B292" s="87" t="s">
        <v>418</v>
      </c>
      <c r="C292" s="182" t="s">
        <v>631</v>
      </c>
      <c r="D292" s="189" t="str">
        <f>VLOOKUP(D.sign_Data[[#This Row],[CÓDIGO]],Descripciones[[CÓDIGO]:[NOMBRE DE SERVICIO]],3,FALSE)</f>
        <v>D1. Parcelaciones y Condominios</v>
      </c>
      <c r="E292" s="87" t="s">
        <v>467</v>
      </c>
      <c r="F292" s="88" t="s">
        <v>632</v>
      </c>
      <c r="G292" s="88" t="s">
        <v>633</v>
      </c>
      <c r="H292" s="87" t="s">
        <v>500</v>
      </c>
      <c r="I292" s="89">
        <v>1</v>
      </c>
      <c r="J292" s="88" t="s">
        <v>644</v>
      </c>
      <c r="K292" s="102"/>
      <c r="L292" s="88" t="s">
        <v>646</v>
      </c>
      <c r="M292" s="89" t="s">
        <v>381</v>
      </c>
      <c r="N292" s="90">
        <v>1</v>
      </c>
      <c r="O292" s="27">
        <f>IFERROR(+VLOOKUP(M292,D.sign_Lista_Data[[RESPONSABLE]:[SOFTWARE 
VALOR HORA]],3,FALSE),"0")</f>
        <v>20263.424518743668</v>
      </c>
      <c r="P292" s="3">
        <f t="shared" si="10"/>
        <v>20263.424518743668</v>
      </c>
      <c r="Q292" s="11">
        <f>IFERROR(+VLOOKUP(M292,D.sign_Lista_Data[[RESPONSABLE]:[SOFTWARE 
VALOR HORA]],5,FALSE)*D.sign_Data[[#This Row],[TIEMPO (HORAS)]],0)</f>
        <v>4221.5467747382636</v>
      </c>
      <c r="R292" s="42">
        <f>IFERROR(+VLOOKUP(M292,D.sign_Lista_Data[[RESPONSABLE]:[SOFTWARE 
VALOR HORA]],8,FALSE)*D.sign_Data[[#This Row],[TIEMPO (HORAS)]],0)</f>
        <v>3410.8548871439834</v>
      </c>
      <c r="S292" s="99">
        <v>0</v>
      </c>
      <c r="T292" s="99">
        <v>0</v>
      </c>
      <c r="U292" s="3">
        <f t="shared" si="11"/>
        <v>27895.826180625918</v>
      </c>
      <c r="V292" s="100">
        <f>D.sign_Data[[#This Row],[TIEMPO (HORAS)]]*Gastos_Operativos[[#Totals],[GASTOS HORA]]</f>
        <v>27789.477072310401</v>
      </c>
      <c r="W292" s="3">
        <f>+D.sign_Data[[#This Row],[COSTO 
DIRECTO ($COP)]]+D.sign_Data[[#This Row],[PRORRATEO GASTOS ($COP)]]</f>
        <v>55685.303252936319</v>
      </c>
      <c r="X292" s="101">
        <v>0.15</v>
      </c>
      <c r="Y292" s="15">
        <f>+D.sign_Data[[#This Row],[COSTOS OPERACIONALES ($COP)]]*D.sign_Data[[#This Row],[DESFASE (%)]]</f>
        <v>8352.7954879404479</v>
      </c>
      <c r="Z292" s="101">
        <v>0.2</v>
      </c>
      <c r="AA292" s="15">
        <f>+((D.sign_Data[[#This Row],[COSTOS OPERACIONALES ($COP)]]/(100%-D.sign_Data[[#This Row],[UTILIDAD (%)]])))-D.sign_Data[[#This Row],[COSTOS OPERACIONALES ($COP)]]</f>
        <v>13921.325813234078</v>
      </c>
      <c r="AB292" s="3">
        <f>+D.sign_Data[[#This Row],[COSTOS OPERACIONALES ($COP)]]+D.sign_Data[[#This Row],[DESFASE ($COP)]]+D.sign_Data[[#This Row],[UTILIDAD ($COP)]]</f>
        <v>77959.424554110854</v>
      </c>
      <c r="AC292" s="101">
        <v>0.05</v>
      </c>
      <c r="AD292" s="15">
        <f>+D.sign_Data[[#This Row],[VALOR NETO ($COP)]]/(100%-D.sign_Data[[#This Row],[MARGEN DE NEGOCIACIÓN (%)]])-D.sign_Data[[#This Row],[VALOR NETO ($COP)]]</f>
        <v>4103.1276081110991</v>
      </c>
      <c r="AE292" s="15">
        <f>+(D.sign_Data[[#This Row],[VALOR NETO ($COP)]]+D.sign_Data[[#This Row],[NEGOCIACIÓN ($COP)]])*1%</f>
        <v>820.62552162221959</v>
      </c>
      <c r="AF292" s="15">
        <f>+(D.sign_Data[[#This Row],[VALOR NETO ($COP)]]+D.sign_Data[[#This Row],[NEGOCIACIÓN ($COP)]])*1%</f>
        <v>820.62552162221959</v>
      </c>
      <c r="AG292" s="3">
        <f>+D.sign_Data[[#This Row],[VALOR NETO ($COP)]]+D.sign_Data[[#This Row],[NEGOCIACIÓN ($COP)]]+D.sign_Data[[#This Row],[ICA ($COP)]]+D.sign_Data[[#This Row],[4 * 1000 ($COP)]]</f>
        <v>83703.803205466393</v>
      </c>
    </row>
    <row r="293" spans="1:33" ht="60" hidden="1" customHeight="1" x14ac:dyDescent="0.25">
      <c r="A293" s="14"/>
      <c r="B293" s="87" t="s">
        <v>418</v>
      </c>
      <c r="C293" s="182" t="s">
        <v>631</v>
      </c>
      <c r="D293" s="189" t="str">
        <f>VLOOKUP(D.sign_Data[[#This Row],[CÓDIGO]],Descripciones[[CÓDIGO]:[NOMBRE DE SERVICIO]],3,FALSE)</f>
        <v>D1. Parcelaciones y Condominios</v>
      </c>
      <c r="E293" s="87" t="s">
        <v>467</v>
      </c>
      <c r="F293" s="88" t="s">
        <v>632</v>
      </c>
      <c r="G293" s="88" t="s">
        <v>633</v>
      </c>
      <c r="H293" s="87" t="s">
        <v>500</v>
      </c>
      <c r="I293" s="89">
        <v>1</v>
      </c>
      <c r="J293" s="88" t="s">
        <v>644</v>
      </c>
      <c r="K293" s="102"/>
      <c r="L293" s="88" t="s">
        <v>647</v>
      </c>
      <c r="M293" s="89" t="s">
        <v>381</v>
      </c>
      <c r="N293" s="90">
        <v>1</v>
      </c>
      <c r="O293" s="27">
        <f>IFERROR(+VLOOKUP(M293,D.sign_Lista_Data[[RESPONSABLE]:[SOFTWARE 
VALOR HORA]],3,FALSE),"0")</f>
        <v>20263.424518743668</v>
      </c>
      <c r="P293" s="3">
        <f t="shared" si="10"/>
        <v>20263.424518743668</v>
      </c>
      <c r="Q293" s="11">
        <f>IFERROR(+VLOOKUP(M293,D.sign_Lista_Data[[RESPONSABLE]:[SOFTWARE 
VALOR HORA]],5,FALSE)*D.sign_Data[[#This Row],[TIEMPO (HORAS)]],0)</f>
        <v>4221.5467747382636</v>
      </c>
      <c r="R293" s="42">
        <f>IFERROR(+VLOOKUP(M293,D.sign_Lista_Data[[RESPONSABLE]:[SOFTWARE 
VALOR HORA]],8,FALSE)*D.sign_Data[[#This Row],[TIEMPO (HORAS)]],0)</f>
        <v>3410.8548871439834</v>
      </c>
      <c r="S293" s="99">
        <v>0</v>
      </c>
      <c r="T293" s="99">
        <v>0</v>
      </c>
      <c r="U293" s="3">
        <f t="shared" si="11"/>
        <v>27895.826180625918</v>
      </c>
      <c r="V293" s="100">
        <f>D.sign_Data[[#This Row],[TIEMPO (HORAS)]]*Gastos_Operativos[[#Totals],[GASTOS HORA]]</f>
        <v>27789.477072310401</v>
      </c>
      <c r="W293" s="3">
        <f>+D.sign_Data[[#This Row],[COSTO 
DIRECTO ($COP)]]+D.sign_Data[[#This Row],[PRORRATEO GASTOS ($COP)]]</f>
        <v>55685.303252936319</v>
      </c>
      <c r="X293" s="101">
        <v>0.15</v>
      </c>
      <c r="Y293" s="15">
        <f>+D.sign_Data[[#This Row],[COSTOS OPERACIONALES ($COP)]]*D.sign_Data[[#This Row],[DESFASE (%)]]</f>
        <v>8352.7954879404479</v>
      </c>
      <c r="Z293" s="101">
        <v>0.2</v>
      </c>
      <c r="AA293" s="15">
        <f>+((D.sign_Data[[#This Row],[COSTOS OPERACIONALES ($COP)]]/(100%-D.sign_Data[[#This Row],[UTILIDAD (%)]])))-D.sign_Data[[#This Row],[COSTOS OPERACIONALES ($COP)]]</f>
        <v>13921.325813234078</v>
      </c>
      <c r="AB293" s="3">
        <f>+D.sign_Data[[#This Row],[COSTOS OPERACIONALES ($COP)]]+D.sign_Data[[#This Row],[DESFASE ($COP)]]+D.sign_Data[[#This Row],[UTILIDAD ($COP)]]</f>
        <v>77959.424554110854</v>
      </c>
      <c r="AC293" s="101">
        <v>0.05</v>
      </c>
      <c r="AD293" s="15">
        <f>+D.sign_Data[[#This Row],[VALOR NETO ($COP)]]/(100%-D.sign_Data[[#This Row],[MARGEN DE NEGOCIACIÓN (%)]])-D.sign_Data[[#This Row],[VALOR NETO ($COP)]]</f>
        <v>4103.1276081110991</v>
      </c>
      <c r="AE293" s="15">
        <f>+(D.sign_Data[[#This Row],[VALOR NETO ($COP)]]+D.sign_Data[[#This Row],[NEGOCIACIÓN ($COP)]])*1%</f>
        <v>820.62552162221959</v>
      </c>
      <c r="AF293" s="15">
        <f>+(D.sign_Data[[#This Row],[VALOR NETO ($COP)]]+D.sign_Data[[#This Row],[NEGOCIACIÓN ($COP)]])*1%</f>
        <v>820.62552162221959</v>
      </c>
      <c r="AG293" s="3">
        <f>+D.sign_Data[[#This Row],[VALOR NETO ($COP)]]+D.sign_Data[[#This Row],[NEGOCIACIÓN ($COP)]]+D.sign_Data[[#This Row],[ICA ($COP)]]+D.sign_Data[[#This Row],[4 * 1000 ($COP)]]</f>
        <v>83703.803205466393</v>
      </c>
    </row>
    <row r="294" spans="1:33" ht="60" hidden="1" customHeight="1" x14ac:dyDescent="0.25">
      <c r="A294" s="14"/>
      <c r="B294" s="87" t="s">
        <v>418</v>
      </c>
      <c r="C294" s="182" t="s">
        <v>631</v>
      </c>
      <c r="D294" s="189" t="str">
        <f>VLOOKUP(D.sign_Data[[#This Row],[CÓDIGO]],Descripciones[[CÓDIGO]:[NOMBRE DE SERVICIO]],3,FALSE)</f>
        <v>D1. Parcelaciones y Condominios</v>
      </c>
      <c r="E294" s="87" t="s">
        <v>467</v>
      </c>
      <c r="F294" s="88" t="s">
        <v>632</v>
      </c>
      <c r="G294" s="88" t="s">
        <v>633</v>
      </c>
      <c r="H294" s="87" t="s">
        <v>500</v>
      </c>
      <c r="I294" s="89">
        <v>1</v>
      </c>
      <c r="J294" s="88" t="s">
        <v>644</v>
      </c>
      <c r="K294" s="102"/>
      <c r="L294" s="88" t="s">
        <v>648</v>
      </c>
      <c r="M294" s="89" t="s">
        <v>381</v>
      </c>
      <c r="N294" s="90">
        <v>1.5</v>
      </c>
      <c r="O294" s="27">
        <f>IFERROR(+VLOOKUP(M294,D.sign_Lista_Data[[RESPONSABLE]:[SOFTWARE 
VALOR HORA]],3,FALSE),"0")</f>
        <v>20263.424518743668</v>
      </c>
      <c r="P294" s="3">
        <f t="shared" si="10"/>
        <v>30395.136778115502</v>
      </c>
      <c r="Q294" s="11">
        <f>IFERROR(+VLOOKUP(M294,D.sign_Lista_Data[[RESPONSABLE]:[SOFTWARE 
VALOR HORA]],5,FALSE)*D.sign_Data[[#This Row],[TIEMPO (HORAS)]],0)</f>
        <v>6332.3201621073949</v>
      </c>
      <c r="R294" s="42">
        <f>IFERROR(+VLOOKUP(M294,D.sign_Lista_Data[[RESPONSABLE]:[SOFTWARE 
VALOR HORA]],8,FALSE)*D.sign_Data[[#This Row],[TIEMPO (HORAS)]],0)</f>
        <v>5116.2823307159751</v>
      </c>
      <c r="S294" s="99">
        <v>0</v>
      </c>
      <c r="T294" s="99">
        <v>0</v>
      </c>
      <c r="U294" s="3">
        <f t="shared" si="11"/>
        <v>41843.739270938873</v>
      </c>
      <c r="V294" s="100">
        <f>D.sign_Data[[#This Row],[TIEMPO (HORAS)]]*Gastos_Operativos[[#Totals],[GASTOS HORA]]</f>
        <v>41684.215608465602</v>
      </c>
      <c r="W294" s="3">
        <f>+D.sign_Data[[#This Row],[COSTO 
DIRECTO ($COP)]]+D.sign_Data[[#This Row],[PRORRATEO GASTOS ($COP)]]</f>
        <v>83527.954879404482</v>
      </c>
      <c r="X294" s="101">
        <v>0.15</v>
      </c>
      <c r="Y294" s="15">
        <f>+D.sign_Data[[#This Row],[COSTOS OPERACIONALES ($COP)]]*D.sign_Data[[#This Row],[DESFASE (%)]]</f>
        <v>12529.193231910673</v>
      </c>
      <c r="Z294" s="101">
        <v>0.2</v>
      </c>
      <c r="AA294" s="15">
        <f>+((D.sign_Data[[#This Row],[COSTOS OPERACIONALES ($COP)]]/(100%-D.sign_Data[[#This Row],[UTILIDAD (%)]])))-D.sign_Data[[#This Row],[COSTOS OPERACIONALES ($COP)]]</f>
        <v>20881.988719851113</v>
      </c>
      <c r="AB294" s="3">
        <f>+D.sign_Data[[#This Row],[COSTOS OPERACIONALES ($COP)]]+D.sign_Data[[#This Row],[DESFASE ($COP)]]+D.sign_Data[[#This Row],[UTILIDAD ($COP)]]</f>
        <v>116939.13683116627</v>
      </c>
      <c r="AC294" s="101">
        <v>0.05</v>
      </c>
      <c r="AD294" s="15">
        <f>+D.sign_Data[[#This Row],[VALOR NETO ($COP)]]/(100%-D.sign_Data[[#This Row],[MARGEN DE NEGOCIACIÓN (%)]])-D.sign_Data[[#This Row],[VALOR NETO ($COP)]]</f>
        <v>6154.6914121666487</v>
      </c>
      <c r="AE294" s="15">
        <f>+(D.sign_Data[[#This Row],[VALOR NETO ($COP)]]+D.sign_Data[[#This Row],[NEGOCIACIÓN ($COP)]])*1%</f>
        <v>1230.9382824333293</v>
      </c>
      <c r="AF294" s="15">
        <f>+(D.sign_Data[[#This Row],[VALOR NETO ($COP)]]+D.sign_Data[[#This Row],[NEGOCIACIÓN ($COP)]])*1%</f>
        <v>1230.9382824333293</v>
      </c>
      <c r="AG294" s="3">
        <f>+D.sign_Data[[#This Row],[VALOR NETO ($COP)]]+D.sign_Data[[#This Row],[NEGOCIACIÓN ($COP)]]+D.sign_Data[[#This Row],[ICA ($COP)]]+D.sign_Data[[#This Row],[4 * 1000 ($COP)]]</f>
        <v>125555.70480819957</v>
      </c>
    </row>
    <row r="295" spans="1:33" ht="60" hidden="1" customHeight="1" x14ac:dyDescent="0.25">
      <c r="A295" s="14"/>
      <c r="B295" s="87" t="s">
        <v>418</v>
      </c>
      <c r="C295" s="182" t="s">
        <v>631</v>
      </c>
      <c r="D295" s="189" t="str">
        <f>VLOOKUP(D.sign_Data[[#This Row],[CÓDIGO]],Descripciones[[CÓDIGO]:[NOMBRE DE SERVICIO]],3,FALSE)</f>
        <v>D1. Parcelaciones y Condominios</v>
      </c>
      <c r="E295" s="87" t="s">
        <v>467</v>
      </c>
      <c r="F295" s="88" t="s">
        <v>632</v>
      </c>
      <c r="G295" s="88" t="s">
        <v>633</v>
      </c>
      <c r="H295" s="87" t="s">
        <v>500</v>
      </c>
      <c r="I295" s="89">
        <v>1</v>
      </c>
      <c r="J295" s="88" t="s">
        <v>649</v>
      </c>
      <c r="K295" s="102"/>
      <c r="L295" s="88" t="s">
        <v>650</v>
      </c>
      <c r="M295" s="89" t="s">
        <v>381</v>
      </c>
      <c r="N295" s="90">
        <v>0.3</v>
      </c>
      <c r="O295" s="27">
        <f>IFERROR(+VLOOKUP(M295,D.sign_Lista_Data[[RESPONSABLE]:[SOFTWARE 
VALOR HORA]],3,FALSE),"0")</f>
        <v>20263.424518743668</v>
      </c>
      <c r="P295" s="3">
        <f t="shared" si="10"/>
        <v>6079.0273556231004</v>
      </c>
      <c r="Q295" s="11">
        <f>IFERROR(+VLOOKUP(M295,D.sign_Lista_Data[[RESPONSABLE]:[SOFTWARE 
VALOR HORA]],5,FALSE)*D.sign_Data[[#This Row],[TIEMPO (HORAS)]],0)</f>
        <v>1266.464032421479</v>
      </c>
      <c r="R295" s="42">
        <f>IFERROR(+VLOOKUP(M295,D.sign_Lista_Data[[RESPONSABLE]:[SOFTWARE 
VALOR HORA]],8,FALSE)*D.sign_Data[[#This Row],[TIEMPO (HORAS)]],0)</f>
        <v>1023.256466143195</v>
      </c>
      <c r="S295" s="99">
        <v>0</v>
      </c>
      <c r="T295" s="99">
        <v>0</v>
      </c>
      <c r="U295" s="3">
        <f t="shared" si="11"/>
        <v>8368.7478541877736</v>
      </c>
      <c r="V295" s="100">
        <f>D.sign_Data[[#This Row],[TIEMPO (HORAS)]]*Gastos_Operativos[[#Totals],[GASTOS HORA]]</f>
        <v>8336.8431216931203</v>
      </c>
      <c r="W295" s="3">
        <f>+D.sign_Data[[#This Row],[COSTO 
DIRECTO ($COP)]]+D.sign_Data[[#This Row],[PRORRATEO GASTOS ($COP)]]</f>
        <v>16705.590975880892</v>
      </c>
      <c r="X295" s="101">
        <v>0.15</v>
      </c>
      <c r="Y295" s="15">
        <f>+D.sign_Data[[#This Row],[COSTOS OPERACIONALES ($COP)]]*D.sign_Data[[#This Row],[DESFASE (%)]]</f>
        <v>2505.8386463821339</v>
      </c>
      <c r="Z295" s="101">
        <v>0.2</v>
      </c>
      <c r="AA295" s="15">
        <f>+((D.sign_Data[[#This Row],[COSTOS OPERACIONALES ($COP)]]/(100%-D.sign_Data[[#This Row],[UTILIDAD (%)]])))-D.sign_Data[[#This Row],[COSTOS OPERACIONALES ($COP)]]</f>
        <v>4176.3977439702212</v>
      </c>
      <c r="AB295" s="3">
        <f>+D.sign_Data[[#This Row],[COSTOS OPERACIONALES ($COP)]]+D.sign_Data[[#This Row],[DESFASE ($COP)]]+D.sign_Data[[#This Row],[UTILIDAD ($COP)]]</f>
        <v>23387.827366233247</v>
      </c>
      <c r="AC295" s="101">
        <v>0.05</v>
      </c>
      <c r="AD295" s="15">
        <f>+D.sign_Data[[#This Row],[VALOR NETO ($COP)]]/(100%-D.sign_Data[[#This Row],[MARGEN DE NEGOCIACIÓN (%)]])-D.sign_Data[[#This Row],[VALOR NETO ($COP)]]</f>
        <v>1230.9382824333297</v>
      </c>
      <c r="AE295" s="15">
        <f>+(D.sign_Data[[#This Row],[VALOR NETO ($COP)]]+D.sign_Data[[#This Row],[NEGOCIACIÓN ($COP)]])*1%</f>
        <v>246.18765648666576</v>
      </c>
      <c r="AF295" s="15">
        <f>+(D.sign_Data[[#This Row],[VALOR NETO ($COP)]]+D.sign_Data[[#This Row],[NEGOCIACIÓN ($COP)]])*1%</f>
        <v>246.18765648666576</v>
      </c>
      <c r="AG295" s="3">
        <f>+D.sign_Data[[#This Row],[VALOR NETO ($COP)]]+D.sign_Data[[#This Row],[NEGOCIACIÓN ($COP)]]+D.sign_Data[[#This Row],[ICA ($COP)]]+D.sign_Data[[#This Row],[4 * 1000 ($COP)]]</f>
        <v>25111.140961639907</v>
      </c>
    </row>
    <row r="296" spans="1:33" ht="60" hidden="1" customHeight="1" x14ac:dyDescent="0.25">
      <c r="A296" s="14"/>
      <c r="B296" s="87" t="s">
        <v>418</v>
      </c>
      <c r="C296" s="182" t="s">
        <v>631</v>
      </c>
      <c r="D296" s="189" t="str">
        <f>VLOOKUP(D.sign_Data[[#This Row],[CÓDIGO]],Descripciones[[CÓDIGO]:[NOMBRE DE SERVICIO]],3,FALSE)</f>
        <v>D1. Parcelaciones y Condominios</v>
      </c>
      <c r="E296" s="87" t="s">
        <v>467</v>
      </c>
      <c r="F296" s="88" t="s">
        <v>632</v>
      </c>
      <c r="G296" s="88" t="s">
        <v>633</v>
      </c>
      <c r="H296" s="87" t="s">
        <v>500</v>
      </c>
      <c r="I296" s="89">
        <v>1</v>
      </c>
      <c r="J296" s="88" t="s">
        <v>649</v>
      </c>
      <c r="K296" s="102"/>
      <c r="L296" s="88" t="s">
        <v>651</v>
      </c>
      <c r="M296" s="89" t="s">
        <v>381</v>
      </c>
      <c r="N296" s="90">
        <v>0.3</v>
      </c>
      <c r="O296" s="27">
        <f>IFERROR(+VLOOKUP(M296,D.sign_Lista_Data[[RESPONSABLE]:[SOFTWARE 
VALOR HORA]],3,FALSE),"0")</f>
        <v>20263.424518743668</v>
      </c>
      <c r="P296" s="3">
        <f t="shared" si="10"/>
        <v>6079.0273556231004</v>
      </c>
      <c r="Q296" s="11">
        <f>IFERROR(+VLOOKUP(M296,D.sign_Lista_Data[[RESPONSABLE]:[SOFTWARE 
VALOR HORA]],5,FALSE)*D.sign_Data[[#This Row],[TIEMPO (HORAS)]],0)</f>
        <v>1266.464032421479</v>
      </c>
      <c r="R296" s="42">
        <f>IFERROR(+VLOOKUP(M296,D.sign_Lista_Data[[RESPONSABLE]:[SOFTWARE 
VALOR HORA]],8,FALSE)*D.sign_Data[[#This Row],[TIEMPO (HORAS)]],0)</f>
        <v>1023.256466143195</v>
      </c>
      <c r="S296" s="99">
        <v>0</v>
      </c>
      <c r="T296" s="99">
        <v>0</v>
      </c>
      <c r="U296" s="3">
        <f t="shared" si="11"/>
        <v>8368.7478541877736</v>
      </c>
      <c r="V296" s="100">
        <f>D.sign_Data[[#This Row],[TIEMPO (HORAS)]]*Gastos_Operativos[[#Totals],[GASTOS HORA]]</f>
        <v>8336.8431216931203</v>
      </c>
      <c r="W296" s="3">
        <f>+D.sign_Data[[#This Row],[COSTO 
DIRECTO ($COP)]]+D.sign_Data[[#This Row],[PRORRATEO GASTOS ($COP)]]</f>
        <v>16705.590975880892</v>
      </c>
      <c r="X296" s="101">
        <v>0.15</v>
      </c>
      <c r="Y296" s="15">
        <f>+D.sign_Data[[#This Row],[COSTOS OPERACIONALES ($COP)]]*D.sign_Data[[#This Row],[DESFASE (%)]]</f>
        <v>2505.8386463821339</v>
      </c>
      <c r="Z296" s="101">
        <v>0.2</v>
      </c>
      <c r="AA296" s="15">
        <f>+((D.sign_Data[[#This Row],[COSTOS OPERACIONALES ($COP)]]/(100%-D.sign_Data[[#This Row],[UTILIDAD (%)]])))-D.sign_Data[[#This Row],[COSTOS OPERACIONALES ($COP)]]</f>
        <v>4176.3977439702212</v>
      </c>
      <c r="AB296" s="3">
        <f>+D.sign_Data[[#This Row],[COSTOS OPERACIONALES ($COP)]]+D.sign_Data[[#This Row],[DESFASE ($COP)]]+D.sign_Data[[#This Row],[UTILIDAD ($COP)]]</f>
        <v>23387.827366233247</v>
      </c>
      <c r="AC296" s="101">
        <v>0.05</v>
      </c>
      <c r="AD296" s="15">
        <f>+D.sign_Data[[#This Row],[VALOR NETO ($COP)]]/(100%-D.sign_Data[[#This Row],[MARGEN DE NEGOCIACIÓN (%)]])-D.sign_Data[[#This Row],[VALOR NETO ($COP)]]</f>
        <v>1230.9382824333297</v>
      </c>
      <c r="AE296" s="15">
        <f>+(D.sign_Data[[#This Row],[VALOR NETO ($COP)]]+D.sign_Data[[#This Row],[NEGOCIACIÓN ($COP)]])*1%</f>
        <v>246.18765648666576</v>
      </c>
      <c r="AF296" s="15">
        <f>+(D.sign_Data[[#This Row],[VALOR NETO ($COP)]]+D.sign_Data[[#This Row],[NEGOCIACIÓN ($COP)]])*1%</f>
        <v>246.18765648666576</v>
      </c>
      <c r="AG296" s="3">
        <f>+D.sign_Data[[#This Row],[VALOR NETO ($COP)]]+D.sign_Data[[#This Row],[NEGOCIACIÓN ($COP)]]+D.sign_Data[[#This Row],[ICA ($COP)]]+D.sign_Data[[#This Row],[4 * 1000 ($COP)]]</f>
        <v>25111.140961639907</v>
      </c>
    </row>
    <row r="297" spans="1:33" ht="60" hidden="1" customHeight="1" x14ac:dyDescent="0.25">
      <c r="A297" s="14"/>
      <c r="B297" s="87" t="s">
        <v>418</v>
      </c>
      <c r="C297" s="182" t="s">
        <v>631</v>
      </c>
      <c r="D297" s="189" t="str">
        <f>VLOOKUP(D.sign_Data[[#This Row],[CÓDIGO]],Descripciones[[CÓDIGO]:[NOMBRE DE SERVICIO]],3,FALSE)</f>
        <v>D1. Parcelaciones y Condominios</v>
      </c>
      <c r="E297" s="87" t="s">
        <v>467</v>
      </c>
      <c r="F297" s="88" t="s">
        <v>632</v>
      </c>
      <c r="G297" s="88" t="s">
        <v>633</v>
      </c>
      <c r="H297" s="87" t="s">
        <v>500</v>
      </c>
      <c r="I297" s="89">
        <v>1</v>
      </c>
      <c r="J297" s="88" t="s">
        <v>649</v>
      </c>
      <c r="K297" s="102"/>
      <c r="L297" s="88" t="s">
        <v>652</v>
      </c>
      <c r="M297" s="89" t="s">
        <v>381</v>
      </c>
      <c r="N297" s="90">
        <v>0.5</v>
      </c>
      <c r="O297" s="27">
        <f>IFERROR(+VLOOKUP(M297,D.sign_Lista_Data[[RESPONSABLE]:[SOFTWARE 
VALOR HORA]],3,FALSE),"0")</f>
        <v>20263.424518743668</v>
      </c>
      <c r="P297" s="3">
        <f t="shared" si="10"/>
        <v>10131.712259371834</v>
      </c>
      <c r="Q297" s="11">
        <f>IFERROR(+VLOOKUP(M297,D.sign_Lista_Data[[RESPONSABLE]:[SOFTWARE 
VALOR HORA]],5,FALSE)*D.sign_Data[[#This Row],[TIEMPO (HORAS)]],0)</f>
        <v>2110.7733873691318</v>
      </c>
      <c r="R297" s="42">
        <f>IFERROR(+VLOOKUP(M297,D.sign_Lista_Data[[RESPONSABLE]:[SOFTWARE 
VALOR HORA]],8,FALSE)*D.sign_Data[[#This Row],[TIEMPO (HORAS)]],0)</f>
        <v>1705.4274435719917</v>
      </c>
      <c r="S297" s="99">
        <v>0</v>
      </c>
      <c r="T297" s="99">
        <v>0</v>
      </c>
      <c r="U297" s="3">
        <f t="shared" si="11"/>
        <v>13947.913090312959</v>
      </c>
      <c r="V297" s="100">
        <f>D.sign_Data[[#This Row],[TIEMPO (HORAS)]]*Gastos_Operativos[[#Totals],[GASTOS HORA]]</f>
        <v>13894.738536155201</v>
      </c>
      <c r="W297" s="3">
        <f>+D.sign_Data[[#This Row],[COSTO 
DIRECTO ($COP)]]+D.sign_Data[[#This Row],[PRORRATEO GASTOS ($COP)]]</f>
        <v>27842.65162646816</v>
      </c>
      <c r="X297" s="101">
        <v>0.15</v>
      </c>
      <c r="Y297" s="15">
        <f>+D.sign_Data[[#This Row],[COSTOS OPERACIONALES ($COP)]]*D.sign_Data[[#This Row],[DESFASE (%)]]</f>
        <v>4176.3977439702239</v>
      </c>
      <c r="Z297" s="101">
        <v>0.2</v>
      </c>
      <c r="AA297" s="15">
        <f>+((D.sign_Data[[#This Row],[COSTOS OPERACIONALES ($COP)]]/(100%-D.sign_Data[[#This Row],[UTILIDAD (%)]])))-D.sign_Data[[#This Row],[COSTOS OPERACIONALES ($COP)]]</f>
        <v>6960.662906617039</v>
      </c>
      <c r="AB297" s="3">
        <f>+D.sign_Data[[#This Row],[COSTOS OPERACIONALES ($COP)]]+D.sign_Data[[#This Row],[DESFASE ($COP)]]+D.sign_Data[[#This Row],[UTILIDAD ($COP)]]</f>
        <v>38979.712277055427</v>
      </c>
      <c r="AC297" s="101">
        <v>0.05</v>
      </c>
      <c r="AD297" s="15">
        <f>+D.sign_Data[[#This Row],[VALOR NETO ($COP)]]/(100%-D.sign_Data[[#This Row],[MARGEN DE NEGOCIACIÓN (%)]])-D.sign_Data[[#This Row],[VALOR NETO ($COP)]]</f>
        <v>2051.5638040555496</v>
      </c>
      <c r="AE297" s="15">
        <f>+(D.sign_Data[[#This Row],[VALOR NETO ($COP)]]+D.sign_Data[[#This Row],[NEGOCIACIÓN ($COP)]])*1%</f>
        <v>410.3127608111098</v>
      </c>
      <c r="AF297" s="15">
        <f>+(D.sign_Data[[#This Row],[VALOR NETO ($COP)]]+D.sign_Data[[#This Row],[NEGOCIACIÓN ($COP)]])*1%</f>
        <v>410.3127608111098</v>
      </c>
      <c r="AG297" s="3">
        <f>+D.sign_Data[[#This Row],[VALOR NETO ($COP)]]+D.sign_Data[[#This Row],[NEGOCIACIÓN ($COP)]]+D.sign_Data[[#This Row],[ICA ($COP)]]+D.sign_Data[[#This Row],[4 * 1000 ($COP)]]</f>
        <v>41851.901602733196</v>
      </c>
    </row>
    <row r="298" spans="1:33" ht="60" hidden="1" customHeight="1" x14ac:dyDescent="0.25">
      <c r="A298" s="14"/>
      <c r="B298" s="87" t="s">
        <v>418</v>
      </c>
      <c r="C298" s="182" t="s">
        <v>631</v>
      </c>
      <c r="D298" s="189" t="str">
        <f>VLOOKUP(D.sign_Data[[#This Row],[CÓDIGO]],Descripciones[[CÓDIGO]:[NOMBRE DE SERVICIO]],3,FALSE)</f>
        <v>D1. Parcelaciones y Condominios</v>
      </c>
      <c r="E298" s="87" t="s">
        <v>467</v>
      </c>
      <c r="F298" s="88" t="s">
        <v>632</v>
      </c>
      <c r="G298" s="88" t="s">
        <v>633</v>
      </c>
      <c r="H298" s="87" t="s">
        <v>500</v>
      </c>
      <c r="I298" s="89">
        <v>1</v>
      </c>
      <c r="J298" s="88" t="s">
        <v>649</v>
      </c>
      <c r="K298" s="102"/>
      <c r="L298" s="88" t="s">
        <v>653</v>
      </c>
      <c r="M298" s="89" t="s">
        <v>381</v>
      </c>
      <c r="N298" s="90">
        <v>1</v>
      </c>
      <c r="O298" s="27">
        <f>IFERROR(+VLOOKUP(M298,D.sign_Lista_Data[[RESPONSABLE]:[SOFTWARE 
VALOR HORA]],3,FALSE),"0")</f>
        <v>20263.424518743668</v>
      </c>
      <c r="P298" s="3">
        <f t="shared" si="10"/>
        <v>20263.424518743668</v>
      </c>
      <c r="Q298" s="11">
        <f>IFERROR(+VLOOKUP(M298,D.sign_Lista_Data[[RESPONSABLE]:[SOFTWARE 
VALOR HORA]],5,FALSE)*D.sign_Data[[#This Row],[TIEMPO (HORAS)]],0)</f>
        <v>4221.5467747382636</v>
      </c>
      <c r="R298" s="42">
        <f>IFERROR(+VLOOKUP(M298,D.sign_Lista_Data[[RESPONSABLE]:[SOFTWARE 
VALOR HORA]],8,FALSE)*D.sign_Data[[#This Row],[TIEMPO (HORAS)]],0)</f>
        <v>3410.8548871439834</v>
      </c>
      <c r="S298" s="99">
        <v>0</v>
      </c>
      <c r="T298" s="99">
        <v>0</v>
      </c>
      <c r="U298" s="3">
        <f t="shared" si="11"/>
        <v>27895.826180625918</v>
      </c>
      <c r="V298" s="100">
        <f>D.sign_Data[[#This Row],[TIEMPO (HORAS)]]*Gastos_Operativos[[#Totals],[GASTOS HORA]]</f>
        <v>27789.477072310401</v>
      </c>
      <c r="W298" s="3">
        <f>+D.sign_Data[[#This Row],[COSTO 
DIRECTO ($COP)]]+D.sign_Data[[#This Row],[PRORRATEO GASTOS ($COP)]]</f>
        <v>55685.303252936319</v>
      </c>
      <c r="X298" s="101">
        <v>0.15</v>
      </c>
      <c r="Y298" s="15">
        <f>+D.sign_Data[[#This Row],[COSTOS OPERACIONALES ($COP)]]*D.sign_Data[[#This Row],[DESFASE (%)]]</f>
        <v>8352.7954879404479</v>
      </c>
      <c r="Z298" s="101">
        <v>0.2</v>
      </c>
      <c r="AA298" s="15">
        <f>+((D.sign_Data[[#This Row],[COSTOS OPERACIONALES ($COP)]]/(100%-D.sign_Data[[#This Row],[UTILIDAD (%)]])))-D.sign_Data[[#This Row],[COSTOS OPERACIONALES ($COP)]]</f>
        <v>13921.325813234078</v>
      </c>
      <c r="AB298" s="3">
        <f>+D.sign_Data[[#This Row],[COSTOS OPERACIONALES ($COP)]]+D.sign_Data[[#This Row],[DESFASE ($COP)]]+D.sign_Data[[#This Row],[UTILIDAD ($COP)]]</f>
        <v>77959.424554110854</v>
      </c>
      <c r="AC298" s="101">
        <v>0.05</v>
      </c>
      <c r="AD298" s="15">
        <f>+D.sign_Data[[#This Row],[VALOR NETO ($COP)]]/(100%-D.sign_Data[[#This Row],[MARGEN DE NEGOCIACIÓN (%)]])-D.sign_Data[[#This Row],[VALOR NETO ($COP)]]</f>
        <v>4103.1276081110991</v>
      </c>
      <c r="AE298" s="15">
        <f>+(D.sign_Data[[#This Row],[VALOR NETO ($COP)]]+D.sign_Data[[#This Row],[NEGOCIACIÓN ($COP)]])*1%</f>
        <v>820.62552162221959</v>
      </c>
      <c r="AF298" s="15">
        <f>+(D.sign_Data[[#This Row],[VALOR NETO ($COP)]]+D.sign_Data[[#This Row],[NEGOCIACIÓN ($COP)]])*1%</f>
        <v>820.62552162221959</v>
      </c>
      <c r="AG298" s="3">
        <f>+D.sign_Data[[#This Row],[VALOR NETO ($COP)]]+D.sign_Data[[#This Row],[NEGOCIACIÓN ($COP)]]+D.sign_Data[[#This Row],[ICA ($COP)]]+D.sign_Data[[#This Row],[4 * 1000 ($COP)]]</f>
        <v>83703.803205466393</v>
      </c>
    </row>
    <row r="299" spans="1:33" ht="60" hidden="1" customHeight="1" x14ac:dyDescent="0.25">
      <c r="A299" s="14"/>
      <c r="B299" s="87" t="s">
        <v>418</v>
      </c>
      <c r="C299" s="182" t="s">
        <v>631</v>
      </c>
      <c r="D299" s="189" t="str">
        <f>VLOOKUP(D.sign_Data[[#This Row],[CÓDIGO]],Descripciones[[CÓDIGO]:[NOMBRE DE SERVICIO]],3,FALSE)</f>
        <v>D1. Parcelaciones y Condominios</v>
      </c>
      <c r="E299" s="87" t="s">
        <v>467</v>
      </c>
      <c r="F299" s="88" t="s">
        <v>632</v>
      </c>
      <c r="G299" s="88" t="s">
        <v>633</v>
      </c>
      <c r="H299" s="87" t="s">
        <v>500</v>
      </c>
      <c r="I299" s="89">
        <v>1</v>
      </c>
      <c r="J299" s="88" t="s">
        <v>649</v>
      </c>
      <c r="K299" s="102"/>
      <c r="L299" s="88" t="s">
        <v>654</v>
      </c>
      <c r="M299" s="89" t="s">
        <v>381</v>
      </c>
      <c r="N299" s="90">
        <v>1.5</v>
      </c>
      <c r="O299" s="27">
        <f>IFERROR(+VLOOKUP(M299,D.sign_Lista_Data[[RESPONSABLE]:[SOFTWARE 
VALOR HORA]],3,FALSE),"0")</f>
        <v>20263.424518743668</v>
      </c>
      <c r="P299" s="3">
        <f t="shared" si="10"/>
        <v>30395.136778115502</v>
      </c>
      <c r="Q299" s="11">
        <f>IFERROR(+VLOOKUP(M299,D.sign_Lista_Data[[RESPONSABLE]:[SOFTWARE 
VALOR HORA]],5,FALSE)*D.sign_Data[[#This Row],[TIEMPO (HORAS)]],0)</f>
        <v>6332.3201621073949</v>
      </c>
      <c r="R299" s="42">
        <f>IFERROR(+VLOOKUP(M299,D.sign_Lista_Data[[RESPONSABLE]:[SOFTWARE 
VALOR HORA]],8,FALSE)*D.sign_Data[[#This Row],[TIEMPO (HORAS)]],0)</f>
        <v>5116.2823307159751</v>
      </c>
      <c r="S299" s="99">
        <v>0</v>
      </c>
      <c r="T299" s="99">
        <v>0</v>
      </c>
      <c r="U299" s="3">
        <f t="shared" si="11"/>
        <v>41843.739270938873</v>
      </c>
      <c r="V299" s="100">
        <f>D.sign_Data[[#This Row],[TIEMPO (HORAS)]]*Gastos_Operativos[[#Totals],[GASTOS HORA]]</f>
        <v>41684.215608465602</v>
      </c>
      <c r="W299" s="3">
        <f>+D.sign_Data[[#This Row],[COSTO 
DIRECTO ($COP)]]+D.sign_Data[[#This Row],[PRORRATEO GASTOS ($COP)]]</f>
        <v>83527.954879404482</v>
      </c>
      <c r="X299" s="101">
        <v>0.15</v>
      </c>
      <c r="Y299" s="15">
        <f>+D.sign_Data[[#This Row],[COSTOS OPERACIONALES ($COP)]]*D.sign_Data[[#This Row],[DESFASE (%)]]</f>
        <v>12529.193231910673</v>
      </c>
      <c r="Z299" s="101">
        <v>0.2</v>
      </c>
      <c r="AA299" s="15">
        <f>+((D.sign_Data[[#This Row],[COSTOS OPERACIONALES ($COP)]]/(100%-D.sign_Data[[#This Row],[UTILIDAD (%)]])))-D.sign_Data[[#This Row],[COSTOS OPERACIONALES ($COP)]]</f>
        <v>20881.988719851113</v>
      </c>
      <c r="AB299" s="3">
        <f>+D.sign_Data[[#This Row],[COSTOS OPERACIONALES ($COP)]]+D.sign_Data[[#This Row],[DESFASE ($COP)]]+D.sign_Data[[#This Row],[UTILIDAD ($COP)]]</f>
        <v>116939.13683116627</v>
      </c>
      <c r="AC299" s="101">
        <v>0.05</v>
      </c>
      <c r="AD299" s="15">
        <f>+D.sign_Data[[#This Row],[VALOR NETO ($COP)]]/(100%-D.sign_Data[[#This Row],[MARGEN DE NEGOCIACIÓN (%)]])-D.sign_Data[[#This Row],[VALOR NETO ($COP)]]</f>
        <v>6154.6914121666487</v>
      </c>
      <c r="AE299" s="15">
        <f>+(D.sign_Data[[#This Row],[VALOR NETO ($COP)]]+D.sign_Data[[#This Row],[NEGOCIACIÓN ($COP)]])*1%</f>
        <v>1230.9382824333293</v>
      </c>
      <c r="AF299" s="15">
        <f>+(D.sign_Data[[#This Row],[VALOR NETO ($COP)]]+D.sign_Data[[#This Row],[NEGOCIACIÓN ($COP)]])*1%</f>
        <v>1230.9382824333293</v>
      </c>
      <c r="AG299" s="3">
        <f>+D.sign_Data[[#This Row],[VALOR NETO ($COP)]]+D.sign_Data[[#This Row],[NEGOCIACIÓN ($COP)]]+D.sign_Data[[#This Row],[ICA ($COP)]]+D.sign_Data[[#This Row],[4 * 1000 ($COP)]]</f>
        <v>125555.70480819957</v>
      </c>
    </row>
    <row r="300" spans="1:33" ht="60" hidden="1" customHeight="1" x14ac:dyDescent="0.25">
      <c r="A300" s="14"/>
      <c r="B300" s="87" t="s">
        <v>418</v>
      </c>
      <c r="C300" s="182" t="s">
        <v>631</v>
      </c>
      <c r="D300" s="189" t="str">
        <f>VLOOKUP(D.sign_Data[[#This Row],[CÓDIGO]],Descripciones[[CÓDIGO]:[NOMBRE DE SERVICIO]],3,FALSE)</f>
        <v>D1. Parcelaciones y Condominios</v>
      </c>
      <c r="E300" s="87" t="s">
        <v>467</v>
      </c>
      <c r="F300" s="88" t="s">
        <v>632</v>
      </c>
      <c r="G300" s="88" t="s">
        <v>633</v>
      </c>
      <c r="H300" s="87" t="s">
        <v>500</v>
      </c>
      <c r="I300" s="89">
        <v>1</v>
      </c>
      <c r="J300" s="88" t="s">
        <v>649</v>
      </c>
      <c r="K300" s="102"/>
      <c r="L300" s="88" t="s">
        <v>655</v>
      </c>
      <c r="M300" s="89" t="s">
        <v>381</v>
      </c>
      <c r="N300" s="90">
        <v>0.5</v>
      </c>
      <c r="O300" s="27">
        <f>IFERROR(+VLOOKUP(M300,D.sign_Lista_Data[[RESPONSABLE]:[SOFTWARE 
VALOR HORA]],3,FALSE),"0")</f>
        <v>20263.424518743668</v>
      </c>
      <c r="P300" s="3">
        <f t="shared" si="10"/>
        <v>10131.712259371834</v>
      </c>
      <c r="Q300" s="11">
        <f>IFERROR(+VLOOKUP(M300,D.sign_Lista_Data[[RESPONSABLE]:[SOFTWARE 
VALOR HORA]],5,FALSE)*D.sign_Data[[#This Row],[TIEMPO (HORAS)]],0)</f>
        <v>2110.7733873691318</v>
      </c>
      <c r="R300" s="42">
        <f>IFERROR(+VLOOKUP(M300,D.sign_Lista_Data[[RESPONSABLE]:[SOFTWARE 
VALOR HORA]],8,FALSE)*D.sign_Data[[#This Row],[TIEMPO (HORAS)]],0)</f>
        <v>1705.4274435719917</v>
      </c>
      <c r="S300" s="99">
        <v>0</v>
      </c>
      <c r="T300" s="99">
        <v>0</v>
      </c>
      <c r="U300" s="3">
        <f t="shared" si="11"/>
        <v>13947.913090312959</v>
      </c>
      <c r="V300" s="100">
        <f>D.sign_Data[[#This Row],[TIEMPO (HORAS)]]*Gastos_Operativos[[#Totals],[GASTOS HORA]]</f>
        <v>13894.738536155201</v>
      </c>
      <c r="W300" s="3">
        <f>+D.sign_Data[[#This Row],[COSTO 
DIRECTO ($COP)]]+D.sign_Data[[#This Row],[PRORRATEO GASTOS ($COP)]]</f>
        <v>27842.65162646816</v>
      </c>
      <c r="X300" s="101">
        <v>0.15</v>
      </c>
      <c r="Y300" s="15">
        <f>+D.sign_Data[[#This Row],[COSTOS OPERACIONALES ($COP)]]*D.sign_Data[[#This Row],[DESFASE (%)]]</f>
        <v>4176.3977439702239</v>
      </c>
      <c r="Z300" s="101">
        <v>0.2</v>
      </c>
      <c r="AA300" s="15">
        <f>+((D.sign_Data[[#This Row],[COSTOS OPERACIONALES ($COP)]]/(100%-D.sign_Data[[#This Row],[UTILIDAD (%)]])))-D.sign_Data[[#This Row],[COSTOS OPERACIONALES ($COP)]]</f>
        <v>6960.662906617039</v>
      </c>
      <c r="AB300" s="3">
        <f>+D.sign_Data[[#This Row],[COSTOS OPERACIONALES ($COP)]]+D.sign_Data[[#This Row],[DESFASE ($COP)]]+D.sign_Data[[#This Row],[UTILIDAD ($COP)]]</f>
        <v>38979.712277055427</v>
      </c>
      <c r="AC300" s="101">
        <v>0.05</v>
      </c>
      <c r="AD300" s="15">
        <f>+D.sign_Data[[#This Row],[VALOR NETO ($COP)]]/(100%-D.sign_Data[[#This Row],[MARGEN DE NEGOCIACIÓN (%)]])-D.sign_Data[[#This Row],[VALOR NETO ($COP)]]</f>
        <v>2051.5638040555496</v>
      </c>
      <c r="AE300" s="15">
        <f>+(D.sign_Data[[#This Row],[VALOR NETO ($COP)]]+D.sign_Data[[#This Row],[NEGOCIACIÓN ($COP)]])*1%</f>
        <v>410.3127608111098</v>
      </c>
      <c r="AF300" s="15">
        <f>+(D.sign_Data[[#This Row],[VALOR NETO ($COP)]]+D.sign_Data[[#This Row],[NEGOCIACIÓN ($COP)]])*1%</f>
        <v>410.3127608111098</v>
      </c>
      <c r="AG300" s="3">
        <f>+D.sign_Data[[#This Row],[VALOR NETO ($COP)]]+D.sign_Data[[#This Row],[NEGOCIACIÓN ($COP)]]+D.sign_Data[[#This Row],[ICA ($COP)]]+D.sign_Data[[#This Row],[4 * 1000 ($COP)]]</f>
        <v>41851.901602733196</v>
      </c>
    </row>
    <row r="301" spans="1:33" ht="60" hidden="1" customHeight="1" x14ac:dyDescent="0.25">
      <c r="A301" s="14"/>
      <c r="B301" s="87" t="s">
        <v>418</v>
      </c>
      <c r="C301" s="182" t="s">
        <v>631</v>
      </c>
      <c r="D301" s="189" t="str">
        <f>VLOOKUP(D.sign_Data[[#This Row],[CÓDIGO]],Descripciones[[CÓDIGO]:[NOMBRE DE SERVICIO]],3,FALSE)</f>
        <v>D1. Parcelaciones y Condominios</v>
      </c>
      <c r="E301" s="87" t="s">
        <v>467</v>
      </c>
      <c r="F301" s="88" t="s">
        <v>632</v>
      </c>
      <c r="G301" s="88" t="s">
        <v>633</v>
      </c>
      <c r="H301" s="87" t="s">
        <v>500</v>
      </c>
      <c r="I301" s="89">
        <v>1</v>
      </c>
      <c r="J301" s="88" t="s">
        <v>656</v>
      </c>
      <c r="K301" s="102"/>
      <c r="L301" s="88" t="s">
        <v>657</v>
      </c>
      <c r="M301" s="89" t="s">
        <v>381</v>
      </c>
      <c r="N301" s="90">
        <v>0.3</v>
      </c>
      <c r="O301" s="27">
        <f>IFERROR(+VLOOKUP(M301,D.sign_Lista_Data[[RESPONSABLE]:[SOFTWARE 
VALOR HORA]],3,FALSE),"0")</f>
        <v>20263.424518743668</v>
      </c>
      <c r="P301" s="3">
        <f t="shared" si="10"/>
        <v>6079.0273556231004</v>
      </c>
      <c r="Q301" s="11">
        <f>IFERROR(+VLOOKUP(M301,D.sign_Lista_Data[[RESPONSABLE]:[SOFTWARE 
VALOR HORA]],5,FALSE)*D.sign_Data[[#This Row],[TIEMPO (HORAS)]],0)</f>
        <v>1266.464032421479</v>
      </c>
      <c r="R301" s="42">
        <f>IFERROR(+VLOOKUP(M301,D.sign_Lista_Data[[RESPONSABLE]:[SOFTWARE 
VALOR HORA]],8,FALSE)*D.sign_Data[[#This Row],[TIEMPO (HORAS)]],0)</f>
        <v>1023.256466143195</v>
      </c>
      <c r="S301" s="99">
        <v>0</v>
      </c>
      <c r="T301" s="99">
        <v>0</v>
      </c>
      <c r="U301" s="3">
        <f t="shared" si="11"/>
        <v>8368.7478541877736</v>
      </c>
      <c r="V301" s="100">
        <f>D.sign_Data[[#This Row],[TIEMPO (HORAS)]]*Gastos_Operativos[[#Totals],[GASTOS HORA]]</f>
        <v>8336.8431216931203</v>
      </c>
      <c r="W301" s="3">
        <f>+D.sign_Data[[#This Row],[COSTO 
DIRECTO ($COP)]]+D.sign_Data[[#This Row],[PRORRATEO GASTOS ($COP)]]</f>
        <v>16705.590975880892</v>
      </c>
      <c r="X301" s="101">
        <v>0.15</v>
      </c>
      <c r="Y301" s="15">
        <f>+D.sign_Data[[#This Row],[COSTOS OPERACIONALES ($COP)]]*D.sign_Data[[#This Row],[DESFASE (%)]]</f>
        <v>2505.8386463821339</v>
      </c>
      <c r="Z301" s="101">
        <v>0.2</v>
      </c>
      <c r="AA301" s="15">
        <f>+((D.sign_Data[[#This Row],[COSTOS OPERACIONALES ($COP)]]/(100%-D.sign_Data[[#This Row],[UTILIDAD (%)]])))-D.sign_Data[[#This Row],[COSTOS OPERACIONALES ($COP)]]</f>
        <v>4176.3977439702212</v>
      </c>
      <c r="AB301" s="3">
        <f>+D.sign_Data[[#This Row],[COSTOS OPERACIONALES ($COP)]]+D.sign_Data[[#This Row],[DESFASE ($COP)]]+D.sign_Data[[#This Row],[UTILIDAD ($COP)]]</f>
        <v>23387.827366233247</v>
      </c>
      <c r="AC301" s="101">
        <v>0.05</v>
      </c>
      <c r="AD301" s="15">
        <f>+D.sign_Data[[#This Row],[VALOR NETO ($COP)]]/(100%-D.sign_Data[[#This Row],[MARGEN DE NEGOCIACIÓN (%)]])-D.sign_Data[[#This Row],[VALOR NETO ($COP)]]</f>
        <v>1230.9382824333297</v>
      </c>
      <c r="AE301" s="15">
        <f>+(D.sign_Data[[#This Row],[VALOR NETO ($COP)]]+D.sign_Data[[#This Row],[NEGOCIACIÓN ($COP)]])*1%</f>
        <v>246.18765648666576</v>
      </c>
      <c r="AF301" s="15">
        <f>+(D.sign_Data[[#This Row],[VALOR NETO ($COP)]]+D.sign_Data[[#This Row],[NEGOCIACIÓN ($COP)]])*1%</f>
        <v>246.18765648666576</v>
      </c>
      <c r="AG301" s="3">
        <f>+D.sign_Data[[#This Row],[VALOR NETO ($COP)]]+D.sign_Data[[#This Row],[NEGOCIACIÓN ($COP)]]+D.sign_Data[[#This Row],[ICA ($COP)]]+D.sign_Data[[#This Row],[4 * 1000 ($COP)]]</f>
        <v>25111.140961639907</v>
      </c>
    </row>
    <row r="302" spans="1:33" ht="60" hidden="1" customHeight="1" x14ac:dyDescent="0.25">
      <c r="A302" s="14"/>
      <c r="B302" s="87" t="s">
        <v>493</v>
      </c>
      <c r="C302" s="182" t="s">
        <v>658</v>
      </c>
      <c r="D302" s="189" t="str">
        <f>VLOOKUP(D.sign_Data[[#This Row],[CÓDIGO]],Descripciones[[CÓDIGO]:[NOMBRE DE SERVICIO]],3,FALSE)</f>
        <v>D1. Parcelaciones y Condominios</v>
      </c>
      <c r="E302" s="87" t="s">
        <v>420</v>
      </c>
      <c r="F302" s="88" t="s">
        <v>659</v>
      </c>
      <c r="G302" s="88" t="s">
        <v>660</v>
      </c>
      <c r="H302" s="104" t="s">
        <v>537</v>
      </c>
      <c r="I302" s="89">
        <v>1</v>
      </c>
      <c r="J302" s="88" t="s">
        <v>511</v>
      </c>
      <c r="K302" s="102"/>
      <c r="L302" s="91" t="s">
        <v>512</v>
      </c>
      <c r="M302" s="89" t="s">
        <v>381</v>
      </c>
      <c r="N302" s="90">
        <v>18.8</v>
      </c>
      <c r="O302" s="27">
        <f>IFERROR(+VLOOKUP(M302,D.sign_Lista_Data[[RESPONSABLE]:[SOFTWARE 
VALOR HORA]],3,FALSE),"0")</f>
        <v>20263.424518743668</v>
      </c>
      <c r="P302" s="3">
        <f t="shared" si="10"/>
        <v>380952.38095238095</v>
      </c>
      <c r="Q302" s="11">
        <f>IFERROR(+VLOOKUP(M302,D.sign_Lista_Data[[RESPONSABLE]:[SOFTWARE 
VALOR HORA]],5,FALSE)*D.sign_Data[[#This Row],[TIEMPO (HORAS)]],0)</f>
        <v>79365.079365079364</v>
      </c>
      <c r="R302" s="11">
        <f>IFERROR(+VLOOKUP(M302,D.sign_Lista_Data[[RESPONSABLE]:[SOFTWARE 
VALOR HORA]],8,FALSE)*D.sign_Data[[#This Row],[TIEMPO (HORAS)]],0)</f>
        <v>64124.071878306888</v>
      </c>
      <c r="S302" s="99">
        <v>0</v>
      </c>
      <c r="T302" s="99">
        <v>0</v>
      </c>
      <c r="U302" s="3">
        <f t="shared" si="11"/>
        <v>524441.53219576715</v>
      </c>
      <c r="V302" s="100">
        <f>D.sign_Data[[#This Row],[TIEMPO (HORAS)]]*Gastos_Operativos[[#Totals],[GASTOS HORA]]</f>
        <v>522442.16895943554</v>
      </c>
      <c r="W302" s="3">
        <f>+D.sign_Data[[#This Row],[COSTO 
DIRECTO ($COP)]]+D.sign_Data[[#This Row],[PRORRATEO GASTOS ($COP)]]</f>
        <v>1046883.7011552027</v>
      </c>
      <c r="X302" s="101">
        <v>0.2</v>
      </c>
      <c r="Y302" s="15">
        <f>+D.sign_Data[[#This Row],[COSTOS OPERACIONALES ($COP)]]*D.sign_Data[[#This Row],[DESFASE (%)]]</f>
        <v>209376.74023104055</v>
      </c>
      <c r="Z302" s="101">
        <v>0.2</v>
      </c>
      <c r="AA302" s="15">
        <f>+((D.sign_Data[[#This Row],[COSTOS OPERACIONALES ($COP)]]/(100%-D.sign_Data[[#This Row],[UTILIDAD (%)]])))-D.sign_Data[[#This Row],[COSTOS OPERACIONALES ($COP)]]</f>
        <v>261720.92528880062</v>
      </c>
      <c r="AB302" s="3">
        <f>+D.sign_Data[[#This Row],[COSTOS OPERACIONALES ($COP)]]+D.sign_Data[[#This Row],[DESFASE ($COP)]]+D.sign_Data[[#This Row],[UTILIDAD ($COP)]]</f>
        <v>1517981.3666750439</v>
      </c>
      <c r="AC302" s="101">
        <v>0.05</v>
      </c>
      <c r="AD302" s="15">
        <f>+D.sign_Data[[#This Row],[VALOR NETO ($COP)]]/(100%-D.sign_Data[[#This Row],[MARGEN DE NEGOCIACIÓN (%)]])-D.sign_Data[[#This Row],[VALOR NETO ($COP)]]</f>
        <v>79893.756140791811</v>
      </c>
      <c r="AE302" s="15">
        <f>+(D.sign_Data[[#This Row],[VALOR NETO ($COP)]]+D.sign_Data[[#This Row],[NEGOCIACIÓN ($COP)]])*1%</f>
        <v>15978.751228158359</v>
      </c>
      <c r="AF302" s="15">
        <f>+(D.sign_Data[[#This Row],[VALOR NETO ($COP)]]+D.sign_Data[[#This Row],[NEGOCIACIÓN ($COP)]])*1%</f>
        <v>15978.751228158359</v>
      </c>
      <c r="AG302" s="3">
        <f>+D.sign_Data[[#This Row],[VALOR NETO ($COP)]]+D.sign_Data[[#This Row],[NEGOCIACIÓN ($COP)]]+D.sign_Data[[#This Row],[ICA ($COP)]]+D.sign_Data[[#This Row],[4 * 1000 ($COP)]]</f>
        <v>1629832.6252721525</v>
      </c>
    </row>
    <row r="303" spans="1:33" ht="60" hidden="1" customHeight="1" x14ac:dyDescent="0.25">
      <c r="A303" s="14"/>
      <c r="B303" s="87" t="s">
        <v>493</v>
      </c>
      <c r="C303" s="182" t="s">
        <v>658</v>
      </c>
      <c r="D303" s="189" t="str">
        <f>VLOOKUP(D.sign_Data[[#This Row],[CÓDIGO]],Descripciones[[CÓDIGO]:[NOMBRE DE SERVICIO]],3,FALSE)</f>
        <v>D1. Parcelaciones y Condominios</v>
      </c>
      <c r="E303" s="87" t="s">
        <v>420</v>
      </c>
      <c r="F303" s="88" t="s">
        <v>659</v>
      </c>
      <c r="G303" s="88" t="s">
        <v>660</v>
      </c>
      <c r="H303" s="104" t="s">
        <v>537</v>
      </c>
      <c r="I303" s="89">
        <v>1</v>
      </c>
      <c r="J303" s="88" t="s">
        <v>511</v>
      </c>
      <c r="K303" s="102"/>
      <c r="L303" s="91" t="s">
        <v>661</v>
      </c>
      <c r="M303" s="89" t="s">
        <v>381</v>
      </c>
      <c r="N303" s="90">
        <v>3</v>
      </c>
      <c r="O303" s="27">
        <f>IFERROR(+VLOOKUP(M303,D.sign_Lista_Data[[RESPONSABLE]:[SOFTWARE 
VALOR HORA]],3,FALSE),"0")</f>
        <v>20263.424518743668</v>
      </c>
      <c r="P303" s="3">
        <f t="shared" si="10"/>
        <v>60790.273556231004</v>
      </c>
      <c r="Q303" s="11">
        <f>IFERROR(+VLOOKUP(M303,D.sign_Lista_Data[[RESPONSABLE]:[SOFTWARE 
VALOR HORA]],5,FALSE)*D.sign_Data[[#This Row],[TIEMPO (HORAS)]],0)</f>
        <v>12664.64032421479</v>
      </c>
      <c r="R303" s="11">
        <f>IFERROR(+VLOOKUP(M303,D.sign_Lista_Data[[RESPONSABLE]:[SOFTWARE 
VALOR HORA]],8,FALSE)*D.sign_Data[[#This Row],[TIEMPO (HORAS)]],0)</f>
        <v>10232.56466143195</v>
      </c>
      <c r="S303" s="99">
        <v>0</v>
      </c>
      <c r="T303" s="99">
        <v>0</v>
      </c>
      <c r="U303" s="3">
        <f t="shared" si="11"/>
        <v>83687.478541877746</v>
      </c>
      <c r="V303" s="100">
        <f>D.sign_Data[[#This Row],[TIEMPO (HORAS)]]*Gastos_Operativos[[#Totals],[GASTOS HORA]]</f>
        <v>83368.431216931203</v>
      </c>
      <c r="W303" s="3">
        <f>+D.sign_Data[[#This Row],[COSTO 
DIRECTO ($COP)]]+D.sign_Data[[#This Row],[PRORRATEO GASTOS ($COP)]]</f>
        <v>167055.90975880896</v>
      </c>
      <c r="X303" s="101">
        <v>0.2</v>
      </c>
      <c r="Y303" s="15">
        <f>+D.sign_Data[[#This Row],[COSTOS OPERACIONALES ($COP)]]*D.sign_Data[[#This Row],[DESFASE (%)]]</f>
        <v>33411.181951761791</v>
      </c>
      <c r="Z303" s="101">
        <v>0.2</v>
      </c>
      <c r="AA303" s="15">
        <f>+((D.sign_Data[[#This Row],[COSTOS OPERACIONALES ($COP)]]/(100%-D.sign_Data[[#This Row],[UTILIDAD (%)]])))-D.sign_Data[[#This Row],[COSTOS OPERACIONALES ($COP)]]</f>
        <v>41763.977439702227</v>
      </c>
      <c r="AB303" s="3">
        <f>+D.sign_Data[[#This Row],[COSTOS OPERACIONALES ($COP)]]+D.sign_Data[[#This Row],[DESFASE ($COP)]]+D.sign_Data[[#This Row],[UTILIDAD ($COP)]]</f>
        <v>242231.06915027299</v>
      </c>
      <c r="AC303" s="101">
        <v>0.05</v>
      </c>
      <c r="AD303" s="15">
        <f>+D.sign_Data[[#This Row],[VALOR NETO ($COP)]]/(100%-D.sign_Data[[#This Row],[MARGEN DE NEGOCIACIÓN (%)]])-D.sign_Data[[#This Row],[VALOR NETO ($COP)]]</f>
        <v>12749.003639488074</v>
      </c>
      <c r="AE303" s="15">
        <f>+(D.sign_Data[[#This Row],[VALOR NETO ($COP)]]+D.sign_Data[[#This Row],[NEGOCIACIÓN ($COP)]])*1%</f>
        <v>2549.8007278976106</v>
      </c>
      <c r="AF303" s="15">
        <f>+(D.sign_Data[[#This Row],[VALOR NETO ($COP)]]+D.sign_Data[[#This Row],[NEGOCIACIÓN ($COP)]])*1%</f>
        <v>2549.8007278976106</v>
      </c>
      <c r="AG303" s="3">
        <f>+D.sign_Data[[#This Row],[VALOR NETO ($COP)]]+D.sign_Data[[#This Row],[NEGOCIACIÓN ($COP)]]+D.sign_Data[[#This Row],[ICA ($COP)]]+D.sign_Data[[#This Row],[4 * 1000 ($COP)]]</f>
        <v>260079.67424555629</v>
      </c>
    </row>
    <row r="304" spans="1:33" ht="60" hidden="1" customHeight="1" x14ac:dyDescent="0.25">
      <c r="A304" s="14"/>
      <c r="B304" s="87" t="s">
        <v>493</v>
      </c>
      <c r="C304" s="182" t="s">
        <v>658</v>
      </c>
      <c r="D304" s="189" t="str">
        <f>VLOOKUP(D.sign_Data[[#This Row],[CÓDIGO]],Descripciones[[CÓDIGO]:[NOMBRE DE SERVICIO]],3,FALSE)</f>
        <v>D1. Parcelaciones y Condominios</v>
      </c>
      <c r="E304" s="87" t="s">
        <v>420</v>
      </c>
      <c r="F304" s="88" t="s">
        <v>659</v>
      </c>
      <c r="G304" s="88" t="s">
        <v>660</v>
      </c>
      <c r="H304" s="104" t="s">
        <v>537</v>
      </c>
      <c r="I304" s="89">
        <v>1</v>
      </c>
      <c r="J304" s="88" t="s">
        <v>511</v>
      </c>
      <c r="K304" s="102"/>
      <c r="L304" s="91" t="s">
        <v>662</v>
      </c>
      <c r="M304" s="89" t="s">
        <v>381</v>
      </c>
      <c r="N304" s="90">
        <v>9.4</v>
      </c>
      <c r="O304" s="27">
        <f>IFERROR(+VLOOKUP(M304,D.sign_Lista_Data[[RESPONSABLE]:[SOFTWARE 
VALOR HORA]],3,FALSE),"0")</f>
        <v>20263.424518743668</v>
      </c>
      <c r="P304" s="3">
        <f t="shared" si="10"/>
        <v>190476.19047619047</v>
      </c>
      <c r="Q304" s="11">
        <f>IFERROR(+VLOOKUP(M304,D.sign_Lista_Data[[RESPONSABLE]:[SOFTWARE 
VALOR HORA]],5,FALSE)*D.sign_Data[[#This Row],[TIEMPO (HORAS)]],0)</f>
        <v>39682.539682539682</v>
      </c>
      <c r="R304" s="11">
        <f>IFERROR(+VLOOKUP(M304,D.sign_Lista_Data[[RESPONSABLE]:[SOFTWARE 
VALOR HORA]],8,FALSE)*D.sign_Data[[#This Row],[TIEMPO (HORAS)]],0)</f>
        <v>32062.035939153444</v>
      </c>
      <c r="S304" s="99">
        <v>0</v>
      </c>
      <c r="T304" s="99">
        <v>0</v>
      </c>
      <c r="U304" s="3">
        <f t="shared" si="11"/>
        <v>262220.76609788358</v>
      </c>
      <c r="V304" s="100">
        <f>D.sign_Data[[#This Row],[TIEMPO (HORAS)]]*Gastos_Operativos[[#Totals],[GASTOS HORA]]</f>
        <v>261221.08447971777</v>
      </c>
      <c r="W304" s="3">
        <f>+D.sign_Data[[#This Row],[COSTO 
DIRECTO ($COP)]]+D.sign_Data[[#This Row],[PRORRATEO GASTOS ($COP)]]</f>
        <v>523441.85057760135</v>
      </c>
      <c r="X304" s="101">
        <v>0.2</v>
      </c>
      <c r="Y304" s="15">
        <f>+D.sign_Data[[#This Row],[COSTOS OPERACIONALES ($COP)]]*D.sign_Data[[#This Row],[DESFASE (%)]]</f>
        <v>104688.37011552027</v>
      </c>
      <c r="Z304" s="101">
        <v>0.2</v>
      </c>
      <c r="AA304" s="15">
        <f>+((D.sign_Data[[#This Row],[COSTOS OPERACIONALES ($COP)]]/(100%-D.sign_Data[[#This Row],[UTILIDAD (%)]])))-D.sign_Data[[#This Row],[COSTOS OPERACIONALES ($COP)]]</f>
        <v>130860.46264440031</v>
      </c>
      <c r="AB304" s="3">
        <f>+D.sign_Data[[#This Row],[COSTOS OPERACIONALES ($COP)]]+D.sign_Data[[#This Row],[DESFASE ($COP)]]+D.sign_Data[[#This Row],[UTILIDAD ($COP)]]</f>
        <v>758990.68333752197</v>
      </c>
      <c r="AC304" s="101">
        <v>0.05</v>
      </c>
      <c r="AD304" s="15">
        <f>+D.sign_Data[[#This Row],[VALOR NETO ($COP)]]/(100%-D.sign_Data[[#This Row],[MARGEN DE NEGOCIACIÓN (%)]])-D.sign_Data[[#This Row],[VALOR NETO ($COP)]]</f>
        <v>39946.878070395906</v>
      </c>
      <c r="AE304" s="15">
        <f>+(D.sign_Data[[#This Row],[VALOR NETO ($COP)]]+D.sign_Data[[#This Row],[NEGOCIACIÓN ($COP)]])*1%</f>
        <v>7989.3756140791793</v>
      </c>
      <c r="AF304" s="15">
        <f>+(D.sign_Data[[#This Row],[VALOR NETO ($COP)]]+D.sign_Data[[#This Row],[NEGOCIACIÓN ($COP)]])*1%</f>
        <v>7989.3756140791793</v>
      </c>
      <c r="AG304" s="3">
        <f>+D.sign_Data[[#This Row],[VALOR NETO ($COP)]]+D.sign_Data[[#This Row],[NEGOCIACIÓN ($COP)]]+D.sign_Data[[#This Row],[ICA ($COP)]]+D.sign_Data[[#This Row],[4 * 1000 ($COP)]]</f>
        <v>814916.31263607624</v>
      </c>
    </row>
    <row r="305" spans="1:33" ht="60" hidden="1" customHeight="1" x14ac:dyDescent="0.25">
      <c r="A305" s="14"/>
      <c r="B305" s="87" t="s">
        <v>493</v>
      </c>
      <c r="C305" s="182" t="s">
        <v>658</v>
      </c>
      <c r="D305" s="189" t="str">
        <f>VLOOKUP(D.sign_Data[[#This Row],[CÓDIGO]],Descripciones[[CÓDIGO]:[NOMBRE DE SERVICIO]],3,FALSE)</f>
        <v>D1. Parcelaciones y Condominios</v>
      </c>
      <c r="E305" s="87" t="s">
        <v>420</v>
      </c>
      <c r="F305" s="88" t="s">
        <v>659</v>
      </c>
      <c r="G305" s="88" t="s">
        <v>660</v>
      </c>
      <c r="H305" s="104" t="s">
        <v>537</v>
      </c>
      <c r="I305" s="89">
        <v>1</v>
      </c>
      <c r="J305" s="88" t="s">
        <v>511</v>
      </c>
      <c r="K305" s="102"/>
      <c r="L305" s="91" t="s">
        <v>663</v>
      </c>
      <c r="M305" s="89" t="s">
        <v>381</v>
      </c>
      <c r="N305" s="90">
        <v>2</v>
      </c>
      <c r="O305" s="27">
        <f>IFERROR(+VLOOKUP(M305,D.sign_Lista_Data[[RESPONSABLE]:[SOFTWARE 
VALOR HORA]],3,FALSE),"0")</f>
        <v>20263.424518743668</v>
      </c>
      <c r="P305" s="3">
        <f t="shared" si="10"/>
        <v>40526.849037487336</v>
      </c>
      <c r="Q305" s="11">
        <f>IFERROR(+VLOOKUP(M305,D.sign_Lista_Data[[RESPONSABLE]:[SOFTWARE 
VALOR HORA]],5,FALSE)*D.sign_Data[[#This Row],[TIEMPO (HORAS)]],0)</f>
        <v>8443.0935494765272</v>
      </c>
      <c r="R305" s="11">
        <f>IFERROR(+VLOOKUP(M305,D.sign_Lista_Data[[RESPONSABLE]:[SOFTWARE 
VALOR HORA]],8,FALSE)*D.sign_Data[[#This Row],[TIEMPO (HORAS)]],0)</f>
        <v>6821.7097742879669</v>
      </c>
      <c r="S305" s="99">
        <v>0</v>
      </c>
      <c r="T305" s="99">
        <v>0</v>
      </c>
      <c r="U305" s="3">
        <f t="shared" si="11"/>
        <v>55791.652361251836</v>
      </c>
      <c r="V305" s="100">
        <f>D.sign_Data[[#This Row],[TIEMPO (HORAS)]]*Gastos_Operativos[[#Totals],[GASTOS HORA]]</f>
        <v>55578.954144620802</v>
      </c>
      <c r="W305" s="3">
        <f>+D.sign_Data[[#This Row],[COSTO 
DIRECTO ($COP)]]+D.sign_Data[[#This Row],[PRORRATEO GASTOS ($COP)]]</f>
        <v>111370.60650587264</v>
      </c>
      <c r="X305" s="101">
        <v>0.2</v>
      </c>
      <c r="Y305" s="15">
        <f>+D.sign_Data[[#This Row],[COSTOS OPERACIONALES ($COP)]]*D.sign_Data[[#This Row],[DESFASE (%)]]</f>
        <v>22274.121301174528</v>
      </c>
      <c r="Z305" s="101">
        <v>0.2</v>
      </c>
      <c r="AA305" s="15">
        <f>+((D.sign_Data[[#This Row],[COSTOS OPERACIONALES ($COP)]]/(100%-D.sign_Data[[#This Row],[UTILIDAD (%)]])))-D.sign_Data[[#This Row],[COSTOS OPERACIONALES ($COP)]]</f>
        <v>27842.651626468156</v>
      </c>
      <c r="AB305" s="3">
        <f>+D.sign_Data[[#This Row],[COSTOS OPERACIONALES ($COP)]]+D.sign_Data[[#This Row],[DESFASE ($COP)]]+D.sign_Data[[#This Row],[UTILIDAD ($COP)]]</f>
        <v>161487.37943351531</v>
      </c>
      <c r="AC305" s="101">
        <v>0.05</v>
      </c>
      <c r="AD305" s="15">
        <f>+D.sign_Data[[#This Row],[VALOR NETO ($COP)]]/(100%-D.sign_Data[[#This Row],[MARGEN DE NEGOCIACIÓN (%)]])-D.sign_Data[[#This Row],[VALOR NETO ($COP)]]</f>
        <v>8499.3357596587157</v>
      </c>
      <c r="AE305" s="15">
        <f>+(D.sign_Data[[#This Row],[VALOR NETO ($COP)]]+D.sign_Data[[#This Row],[NEGOCIACIÓN ($COP)]])*1%</f>
        <v>1699.8671519317402</v>
      </c>
      <c r="AF305" s="15">
        <f>+(D.sign_Data[[#This Row],[VALOR NETO ($COP)]]+D.sign_Data[[#This Row],[NEGOCIACIÓN ($COP)]])*1%</f>
        <v>1699.8671519317402</v>
      </c>
      <c r="AG305" s="3">
        <f>+D.sign_Data[[#This Row],[VALOR NETO ($COP)]]+D.sign_Data[[#This Row],[NEGOCIACIÓN ($COP)]]+D.sign_Data[[#This Row],[ICA ($COP)]]+D.sign_Data[[#This Row],[4 * 1000 ($COP)]]</f>
        <v>173386.44949703751</v>
      </c>
    </row>
    <row r="306" spans="1:33" ht="60" hidden="1" customHeight="1" x14ac:dyDescent="0.25">
      <c r="A306" s="14"/>
      <c r="B306" s="87" t="s">
        <v>493</v>
      </c>
      <c r="C306" s="182" t="s">
        <v>658</v>
      </c>
      <c r="D306" s="189" t="str">
        <f>VLOOKUP(D.sign_Data[[#This Row],[CÓDIGO]],Descripciones[[CÓDIGO]:[NOMBRE DE SERVICIO]],3,FALSE)</f>
        <v>D1. Parcelaciones y Condominios</v>
      </c>
      <c r="E306" s="87" t="s">
        <v>420</v>
      </c>
      <c r="F306" s="88" t="s">
        <v>659</v>
      </c>
      <c r="G306" s="88" t="s">
        <v>660</v>
      </c>
      <c r="H306" s="104" t="s">
        <v>537</v>
      </c>
      <c r="I306" s="89">
        <v>1</v>
      </c>
      <c r="J306" s="88" t="s">
        <v>511</v>
      </c>
      <c r="K306" s="102"/>
      <c r="L306" s="88" t="s">
        <v>664</v>
      </c>
      <c r="M306" s="89" t="s">
        <v>381</v>
      </c>
      <c r="N306" s="90">
        <v>2</v>
      </c>
      <c r="O306" s="27">
        <f>IFERROR(+VLOOKUP(M306,D.sign_Lista_Data[[RESPONSABLE]:[SOFTWARE 
VALOR HORA]],3,FALSE),"0")</f>
        <v>20263.424518743668</v>
      </c>
      <c r="P306" s="3">
        <f t="shared" si="10"/>
        <v>40526.849037487336</v>
      </c>
      <c r="Q306" s="11">
        <f>IFERROR(+VLOOKUP(M306,D.sign_Lista_Data[[RESPONSABLE]:[SOFTWARE 
VALOR HORA]],5,FALSE)*D.sign_Data[[#This Row],[TIEMPO (HORAS)]],0)</f>
        <v>8443.0935494765272</v>
      </c>
      <c r="R306" s="11">
        <f>IFERROR(+VLOOKUP(M306,D.sign_Lista_Data[[RESPONSABLE]:[SOFTWARE 
VALOR HORA]],8,FALSE)*D.sign_Data[[#This Row],[TIEMPO (HORAS)]],0)</f>
        <v>6821.7097742879669</v>
      </c>
      <c r="S306" s="99">
        <v>0</v>
      </c>
      <c r="T306" s="99">
        <v>0</v>
      </c>
      <c r="U306" s="3">
        <f t="shared" si="11"/>
        <v>55791.652361251836</v>
      </c>
      <c r="V306" s="100">
        <f>D.sign_Data[[#This Row],[TIEMPO (HORAS)]]*Gastos_Operativos[[#Totals],[GASTOS HORA]]</f>
        <v>55578.954144620802</v>
      </c>
      <c r="W306" s="3">
        <f>+D.sign_Data[[#This Row],[COSTO 
DIRECTO ($COP)]]+D.sign_Data[[#This Row],[PRORRATEO GASTOS ($COP)]]</f>
        <v>111370.60650587264</v>
      </c>
      <c r="X306" s="101">
        <v>0.2</v>
      </c>
      <c r="Y306" s="15">
        <f>+D.sign_Data[[#This Row],[COSTOS OPERACIONALES ($COP)]]*D.sign_Data[[#This Row],[DESFASE (%)]]</f>
        <v>22274.121301174528</v>
      </c>
      <c r="Z306" s="101">
        <v>0.2</v>
      </c>
      <c r="AA306" s="15">
        <f>+((D.sign_Data[[#This Row],[COSTOS OPERACIONALES ($COP)]]/(100%-D.sign_Data[[#This Row],[UTILIDAD (%)]])))-D.sign_Data[[#This Row],[COSTOS OPERACIONALES ($COP)]]</f>
        <v>27842.651626468156</v>
      </c>
      <c r="AB306" s="3">
        <f>+D.sign_Data[[#This Row],[COSTOS OPERACIONALES ($COP)]]+D.sign_Data[[#This Row],[DESFASE ($COP)]]+D.sign_Data[[#This Row],[UTILIDAD ($COP)]]</f>
        <v>161487.37943351531</v>
      </c>
      <c r="AC306" s="101">
        <v>0.05</v>
      </c>
      <c r="AD306" s="15">
        <f>+D.sign_Data[[#This Row],[VALOR NETO ($COP)]]/(100%-D.sign_Data[[#This Row],[MARGEN DE NEGOCIACIÓN (%)]])-D.sign_Data[[#This Row],[VALOR NETO ($COP)]]</f>
        <v>8499.3357596587157</v>
      </c>
      <c r="AE306" s="15">
        <f>+(D.sign_Data[[#This Row],[VALOR NETO ($COP)]]+D.sign_Data[[#This Row],[NEGOCIACIÓN ($COP)]])*1%</f>
        <v>1699.8671519317402</v>
      </c>
      <c r="AF306" s="15">
        <f>+(D.sign_Data[[#This Row],[VALOR NETO ($COP)]]+D.sign_Data[[#This Row],[NEGOCIACIÓN ($COP)]])*1%</f>
        <v>1699.8671519317402</v>
      </c>
      <c r="AG306" s="3">
        <f>+D.sign_Data[[#This Row],[VALOR NETO ($COP)]]+D.sign_Data[[#This Row],[NEGOCIACIÓN ($COP)]]+D.sign_Data[[#This Row],[ICA ($COP)]]+D.sign_Data[[#This Row],[4 * 1000 ($COP)]]</f>
        <v>173386.44949703751</v>
      </c>
    </row>
    <row r="307" spans="1:33" ht="60" hidden="1" customHeight="1" x14ac:dyDescent="0.25">
      <c r="A307" s="14"/>
      <c r="B307" s="87" t="s">
        <v>493</v>
      </c>
      <c r="C307" s="182" t="s">
        <v>658</v>
      </c>
      <c r="D307" s="189" t="str">
        <f>VLOOKUP(D.sign_Data[[#This Row],[CÓDIGO]],Descripciones[[CÓDIGO]:[NOMBRE DE SERVICIO]],3,FALSE)</f>
        <v>D1. Parcelaciones y Condominios</v>
      </c>
      <c r="E307" s="87" t="s">
        <v>420</v>
      </c>
      <c r="F307" s="88" t="s">
        <v>659</v>
      </c>
      <c r="G307" s="88" t="s">
        <v>660</v>
      </c>
      <c r="H307" s="104" t="s">
        <v>537</v>
      </c>
      <c r="I307" s="89">
        <v>1</v>
      </c>
      <c r="J307" s="88" t="s">
        <v>511</v>
      </c>
      <c r="K307" s="102"/>
      <c r="L307" s="88" t="s">
        <v>518</v>
      </c>
      <c r="M307" s="89" t="s">
        <v>381</v>
      </c>
      <c r="N307" s="90">
        <v>10</v>
      </c>
      <c r="O307" s="27">
        <f>IFERROR(+VLOOKUP(M307,D.sign_Lista_Data[[RESPONSABLE]:[SOFTWARE 
VALOR HORA]],3,FALSE),"0")</f>
        <v>20263.424518743668</v>
      </c>
      <c r="P307" s="3">
        <f t="shared" si="10"/>
        <v>202634.2451874367</v>
      </c>
      <c r="Q307" s="11">
        <f>IFERROR(+VLOOKUP(M307,D.sign_Lista_Data[[RESPONSABLE]:[SOFTWARE 
VALOR HORA]],5,FALSE)*D.sign_Data[[#This Row],[TIEMPO (HORAS)]],0)</f>
        <v>42215.467747382638</v>
      </c>
      <c r="R307" s="11">
        <f>IFERROR(+VLOOKUP(M307,D.sign_Lista_Data[[RESPONSABLE]:[SOFTWARE 
VALOR HORA]],8,FALSE)*D.sign_Data[[#This Row],[TIEMPO (HORAS)]],0)</f>
        <v>34108.548871439838</v>
      </c>
      <c r="S307" s="99">
        <v>0</v>
      </c>
      <c r="T307" s="99">
        <v>0</v>
      </c>
      <c r="U307" s="3">
        <f t="shared" si="11"/>
        <v>278958.26180625916</v>
      </c>
      <c r="V307" s="100">
        <f>D.sign_Data[[#This Row],[TIEMPO (HORAS)]]*Gastos_Operativos[[#Totals],[GASTOS HORA]]</f>
        <v>277894.77072310401</v>
      </c>
      <c r="W307" s="3">
        <f>+D.sign_Data[[#This Row],[COSTO 
DIRECTO ($COP)]]+D.sign_Data[[#This Row],[PRORRATEO GASTOS ($COP)]]</f>
        <v>556853.03252936318</v>
      </c>
      <c r="X307" s="101">
        <v>0.2</v>
      </c>
      <c r="Y307" s="15">
        <f>+D.sign_Data[[#This Row],[COSTOS OPERACIONALES ($COP)]]*D.sign_Data[[#This Row],[DESFASE (%)]]</f>
        <v>111370.60650587264</v>
      </c>
      <c r="Z307" s="101">
        <v>0.2</v>
      </c>
      <c r="AA307" s="15">
        <f>+((D.sign_Data[[#This Row],[COSTOS OPERACIONALES ($COP)]]/(100%-D.sign_Data[[#This Row],[UTILIDAD (%)]])))-D.sign_Data[[#This Row],[COSTOS OPERACIONALES ($COP)]]</f>
        <v>139213.25813234074</v>
      </c>
      <c r="AB307" s="3">
        <f>+D.sign_Data[[#This Row],[COSTOS OPERACIONALES ($COP)]]+D.sign_Data[[#This Row],[DESFASE ($COP)]]+D.sign_Data[[#This Row],[UTILIDAD ($COP)]]</f>
        <v>807436.89716757659</v>
      </c>
      <c r="AC307" s="101">
        <v>0.05</v>
      </c>
      <c r="AD307" s="15">
        <f>+D.sign_Data[[#This Row],[VALOR NETO ($COP)]]/(100%-D.sign_Data[[#This Row],[MARGEN DE NEGOCIACIÓN (%)]])-D.sign_Data[[#This Row],[VALOR NETO ($COP)]]</f>
        <v>42496.678798293578</v>
      </c>
      <c r="AE307" s="15">
        <f>+(D.sign_Data[[#This Row],[VALOR NETO ($COP)]]+D.sign_Data[[#This Row],[NEGOCIACIÓN ($COP)]])*1%</f>
        <v>8499.3357596587011</v>
      </c>
      <c r="AF307" s="15">
        <f>+(D.sign_Data[[#This Row],[VALOR NETO ($COP)]]+D.sign_Data[[#This Row],[NEGOCIACIÓN ($COP)]])*1%</f>
        <v>8499.3357596587011</v>
      </c>
      <c r="AG307" s="3">
        <f>+D.sign_Data[[#This Row],[VALOR NETO ($COP)]]+D.sign_Data[[#This Row],[NEGOCIACIÓN ($COP)]]+D.sign_Data[[#This Row],[ICA ($COP)]]+D.sign_Data[[#This Row],[4 * 1000 ($COP)]]</f>
        <v>866932.2474851876</v>
      </c>
    </row>
    <row r="308" spans="1:33" ht="60" hidden="1" customHeight="1" x14ac:dyDescent="0.25">
      <c r="A308" s="14"/>
      <c r="B308" s="87" t="s">
        <v>493</v>
      </c>
      <c r="C308" s="182" t="s">
        <v>658</v>
      </c>
      <c r="D308" s="189" t="str">
        <f>VLOOKUP(D.sign_Data[[#This Row],[CÓDIGO]],Descripciones[[CÓDIGO]:[NOMBRE DE SERVICIO]],3,FALSE)</f>
        <v>D1. Parcelaciones y Condominios</v>
      </c>
      <c r="E308" s="87" t="s">
        <v>420</v>
      </c>
      <c r="F308" s="88" t="s">
        <v>659</v>
      </c>
      <c r="G308" s="88" t="s">
        <v>660</v>
      </c>
      <c r="H308" s="104" t="s">
        <v>537</v>
      </c>
      <c r="I308" s="89">
        <v>1</v>
      </c>
      <c r="J308" s="88" t="s">
        <v>511</v>
      </c>
      <c r="K308" s="102"/>
      <c r="L308" s="88" t="s">
        <v>519</v>
      </c>
      <c r="M308" s="89" t="s">
        <v>381</v>
      </c>
      <c r="N308" s="90">
        <v>0.3</v>
      </c>
      <c r="O308" s="27">
        <f>IFERROR(+VLOOKUP(M308,D.sign_Lista_Data[[RESPONSABLE]:[SOFTWARE 
VALOR HORA]],3,FALSE),"0")</f>
        <v>20263.424518743668</v>
      </c>
      <c r="P308" s="3">
        <f t="shared" si="10"/>
        <v>6079.0273556231004</v>
      </c>
      <c r="Q308" s="11">
        <f>IFERROR(+VLOOKUP(M308,D.sign_Lista_Data[[RESPONSABLE]:[SOFTWARE 
VALOR HORA]],5,FALSE)*D.sign_Data[[#This Row],[TIEMPO (HORAS)]],0)</f>
        <v>1266.464032421479</v>
      </c>
      <c r="R308" s="11">
        <f>IFERROR(+VLOOKUP(M308,D.sign_Lista_Data[[RESPONSABLE]:[SOFTWARE 
VALOR HORA]],8,FALSE)*D.sign_Data[[#This Row],[TIEMPO (HORAS)]],0)</f>
        <v>1023.256466143195</v>
      </c>
      <c r="S308" s="99">
        <v>0</v>
      </c>
      <c r="T308" s="99">
        <v>0</v>
      </c>
      <c r="U308" s="3">
        <f t="shared" si="11"/>
        <v>8368.7478541877736</v>
      </c>
      <c r="V308" s="100">
        <f>D.sign_Data[[#This Row],[TIEMPO (HORAS)]]*Gastos_Operativos[[#Totals],[GASTOS HORA]]</f>
        <v>8336.8431216931203</v>
      </c>
      <c r="W308" s="3">
        <f>+D.sign_Data[[#This Row],[COSTO 
DIRECTO ($COP)]]+D.sign_Data[[#This Row],[PRORRATEO GASTOS ($COP)]]</f>
        <v>16705.590975880892</v>
      </c>
      <c r="X308" s="101">
        <v>0.2</v>
      </c>
      <c r="Y308" s="15">
        <f>+D.sign_Data[[#This Row],[COSTOS OPERACIONALES ($COP)]]*D.sign_Data[[#This Row],[DESFASE (%)]]</f>
        <v>3341.1181951761787</v>
      </c>
      <c r="Z308" s="101">
        <v>0.2</v>
      </c>
      <c r="AA308" s="15">
        <f>+((D.sign_Data[[#This Row],[COSTOS OPERACIONALES ($COP)]]/(100%-D.sign_Data[[#This Row],[UTILIDAD (%)]])))-D.sign_Data[[#This Row],[COSTOS OPERACIONALES ($COP)]]</f>
        <v>4176.3977439702212</v>
      </c>
      <c r="AB308" s="3">
        <f>+D.sign_Data[[#This Row],[COSTOS OPERACIONALES ($COP)]]+D.sign_Data[[#This Row],[DESFASE ($COP)]]+D.sign_Data[[#This Row],[UTILIDAD ($COP)]]</f>
        <v>24223.106915027292</v>
      </c>
      <c r="AC308" s="101">
        <v>0.05</v>
      </c>
      <c r="AD308" s="15">
        <f>+D.sign_Data[[#This Row],[VALOR NETO ($COP)]]/(100%-D.sign_Data[[#This Row],[MARGEN DE NEGOCIACIÓN (%)]])-D.sign_Data[[#This Row],[VALOR NETO ($COP)]]</f>
        <v>1274.9003639488074</v>
      </c>
      <c r="AE308" s="15">
        <f>+(D.sign_Data[[#This Row],[VALOR NETO ($COP)]]+D.sign_Data[[#This Row],[NEGOCIACIÓN ($COP)]])*1%</f>
        <v>254.98007278976101</v>
      </c>
      <c r="AF308" s="15">
        <f>+(D.sign_Data[[#This Row],[VALOR NETO ($COP)]]+D.sign_Data[[#This Row],[NEGOCIACIÓN ($COP)]])*1%</f>
        <v>254.98007278976101</v>
      </c>
      <c r="AG308" s="3">
        <f>+D.sign_Data[[#This Row],[VALOR NETO ($COP)]]+D.sign_Data[[#This Row],[NEGOCIACIÓN ($COP)]]+D.sign_Data[[#This Row],[ICA ($COP)]]+D.sign_Data[[#This Row],[4 * 1000 ($COP)]]</f>
        <v>26007.96742455562</v>
      </c>
    </row>
    <row r="309" spans="1:33" ht="60" hidden="1" customHeight="1" x14ac:dyDescent="0.25">
      <c r="A309" s="14"/>
      <c r="B309" s="87" t="s">
        <v>493</v>
      </c>
      <c r="C309" s="182" t="s">
        <v>665</v>
      </c>
      <c r="D309" s="189" t="str">
        <f>VLOOKUP(D.sign_Data[[#This Row],[CÓDIGO]],Descripciones[[CÓDIGO]:[NOMBRE DE SERVICIO]],3,FALSE)</f>
        <v>D1. Parcelaciones y Condominios</v>
      </c>
      <c r="E309" s="87" t="s">
        <v>497</v>
      </c>
      <c r="F309" s="88" t="s">
        <v>666</v>
      </c>
      <c r="G309" s="88" t="s">
        <v>667</v>
      </c>
      <c r="H309" s="104" t="s">
        <v>552</v>
      </c>
      <c r="I309" s="89">
        <v>1</v>
      </c>
      <c r="J309" s="88" t="s">
        <v>668</v>
      </c>
      <c r="K309" s="102"/>
      <c r="L309" s="88" t="s">
        <v>669</v>
      </c>
      <c r="M309" s="89" t="s">
        <v>381</v>
      </c>
      <c r="N309" s="90">
        <v>1</v>
      </c>
      <c r="O309" s="27">
        <f>IFERROR(+VLOOKUP(M309,D.sign_Lista_Data[[RESPONSABLE]:[SOFTWARE 
VALOR HORA]],3,FALSE),"0")</f>
        <v>20263.424518743668</v>
      </c>
      <c r="P309" s="3">
        <f t="shared" si="10"/>
        <v>20263.424518743668</v>
      </c>
      <c r="Q309" s="11">
        <f>IFERROR(+VLOOKUP(M309,D.sign_Lista_Data[[RESPONSABLE]:[SOFTWARE 
VALOR HORA]],5,FALSE)*D.sign_Data[[#This Row],[TIEMPO (HORAS)]],0)</f>
        <v>4221.5467747382636</v>
      </c>
      <c r="R309" s="42">
        <f>IFERROR(+VLOOKUP(M309,D.sign_Lista_Data[[RESPONSABLE]:[SOFTWARE 
VALOR HORA]],8,FALSE)*D.sign_Data[[#This Row],[TIEMPO (HORAS)]],0)</f>
        <v>3410.8548871439834</v>
      </c>
      <c r="S309" s="99">
        <v>0</v>
      </c>
      <c r="T309" s="99">
        <v>0</v>
      </c>
      <c r="U309" s="3">
        <f t="shared" si="11"/>
        <v>27895.826180625918</v>
      </c>
      <c r="V309" s="100">
        <f>D.sign_Data[[#This Row],[TIEMPO (HORAS)]]*Gastos_Operativos[[#Totals],[GASTOS HORA]]</f>
        <v>27789.477072310401</v>
      </c>
      <c r="W309" s="3">
        <f>+D.sign_Data[[#This Row],[COSTO 
DIRECTO ($COP)]]+D.sign_Data[[#This Row],[PRORRATEO GASTOS ($COP)]]</f>
        <v>55685.303252936319</v>
      </c>
      <c r="X309" s="101">
        <v>0.1</v>
      </c>
      <c r="Y309" s="15">
        <f>+D.sign_Data[[#This Row],[COSTOS OPERACIONALES ($COP)]]*D.sign_Data[[#This Row],[DESFASE (%)]]</f>
        <v>5568.5303252936319</v>
      </c>
      <c r="Z309" s="101">
        <v>0.2</v>
      </c>
      <c r="AA309" s="15">
        <f>+((D.sign_Data[[#This Row],[COSTOS OPERACIONALES ($COP)]]/(100%-D.sign_Data[[#This Row],[UTILIDAD (%)]])))-D.sign_Data[[#This Row],[COSTOS OPERACIONALES ($COP)]]</f>
        <v>13921.325813234078</v>
      </c>
      <c r="AB309" s="3">
        <f>+D.sign_Data[[#This Row],[COSTOS OPERACIONALES ($COP)]]+D.sign_Data[[#This Row],[DESFASE ($COP)]]+D.sign_Data[[#This Row],[UTILIDAD ($COP)]]</f>
        <v>75175.159391464025</v>
      </c>
      <c r="AC309" s="101">
        <v>0.05</v>
      </c>
      <c r="AD309" s="15">
        <f>+D.sign_Data[[#This Row],[VALOR NETO ($COP)]]/(100%-D.sign_Data[[#This Row],[MARGEN DE NEGOCIACIÓN (%)]])-D.sign_Data[[#This Row],[VALOR NETO ($COP)]]</f>
        <v>3956.5873363928404</v>
      </c>
      <c r="AE309" s="15">
        <f>+(D.sign_Data[[#This Row],[VALOR NETO ($COP)]]+D.sign_Data[[#This Row],[NEGOCIACIÓN ($COP)]])*1%</f>
        <v>791.31746727856864</v>
      </c>
      <c r="AF309" s="15">
        <f>+(D.sign_Data[[#This Row],[VALOR NETO ($COP)]]+D.sign_Data[[#This Row],[NEGOCIACIÓN ($COP)]])*1%</f>
        <v>791.31746727856864</v>
      </c>
      <c r="AG309" s="3">
        <f>+D.sign_Data[[#This Row],[VALOR NETO ($COP)]]+D.sign_Data[[#This Row],[NEGOCIACIÓN ($COP)]]+D.sign_Data[[#This Row],[ICA ($COP)]]+D.sign_Data[[#This Row],[4 * 1000 ($COP)]]</f>
        <v>80714.381662414002</v>
      </c>
    </row>
    <row r="310" spans="1:33" ht="60" hidden="1" customHeight="1" x14ac:dyDescent="0.25">
      <c r="A310" s="14"/>
      <c r="B310" s="87" t="s">
        <v>493</v>
      </c>
      <c r="C310" s="182" t="s">
        <v>665</v>
      </c>
      <c r="D310" s="189" t="str">
        <f>VLOOKUP(D.sign_Data[[#This Row],[CÓDIGO]],Descripciones[[CÓDIGO]:[NOMBRE DE SERVICIO]],3,FALSE)</f>
        <v>D1. Parcelaciones y Condominios</v>
      </c>
      <c r="E310" s="87" t="s">
        <v>497</v>
      </c>
      <c r="F310" s="88" t="s">
        <v>666</v>
      </c>
      <c r="G310" s="88" t="s">
        <v>667</v>
      </c>
      <c r="H310" s="104" t="s">
        <v>552</v>
      </c>
      <c r="I310" s="89">
        <v>1</v>
      </c>
      <c r="J310" s="88" t="s">
        <v>668</v>
      </c>
      <c r="K310" s="102"/>
      <c r="L310" s="88" t="s">
        <v>670</v>
      </c>
      <c r="M310" s="89" t="s">
        <v>381</v>
      </c>
      <c r="N310" s="90">
        <v>4</v>
      </c>
      <c r="O310" s="27">
        <f>IFERROR(+VLOOKUP(M310,D.sign_Lista_Data[[RESPONSABLE]:[SOFTWARE 
VALOR HORA]],3,FALSE),"0")</f>
        <v>20263.424518743668</v>
      </c>
      <c r="P310" s="3">
        <f t="shared" si="10"/>
        <v>81053.698074974673</v>
      </c>
      <c r="Q310" s="11">
        <f>IFERROR(+VLOOKUP(M310,D.sign_Lista_Data[[RESPONSABLE]:[SOFTWARE 
VALOR HORA]],5,FALSE)*D.sign_Data[[#This Row],[TIEMPO (HORAS)]],0)</f>
        <v>16886.187098953054</v>
      </c>
      <c r="R310" s="42">
        <f>IFERROR(+VLOOKUP(M310,D.sign_Lista_Data[[RESPONSABLE]:[SOFTWARE 
VALOR HORA]],8,FALSE)*D.sign_Data[[#This Row],[TIEMPO (HORAS)]],0)</f>
        <v>13643.419548575934</v>
      </c>
      <c r="S310" s="99">
        <v>0</v>
      </c>
      <c r="T310" s="99">
        <v>0</v>
      </c>
      <c r="U310" s="3">
        <f t="shared" si="11"/>
        <v>111583.30472250367</v>
      </c>
      <c r="V310" s="100">
        <f>D.sign_Data[[#This Row],[TIEMPO (HORAS)]]*Gastos_Operativos[[#Totals],[GASTOS HORA]]</f>
        <v>111157.9082892416</v>
      </c>
      <c r="W310" s="3">
        <f>+D.sign_Data[[#This Row],[COSTO 
DIRECTO ($COP)]]+D.sign_Data[[#This Row],[PRORRATEO GASTOS ($COP)]]</f>
        <v>222741.21301174528</v>
      </c>
      <c r="X310" s="101">
        <v>0.1</v>
      </c>
      <c r="Y310" s="15">
        <f>+D.sign_Data[[#This Row],[COSTOS OPERACIONALES ($COP)]]*D.sign_Data[[#This Row],[DESFASE (%)]]</f>
        <v>22274.121301174528</v>
      </c>
      <c r="Z310" s="101">
        <v>0.2</v>
      </c>
      <c r="AA310" s="15">
        <f>+((D.sign_Data[[#This Row],[COSTOS OPERACIONALES ($COP)]]/(100%-D.sign_Data[[#This Row],[UTILIDAD (%)]])))-D.sign_Data[[#This Row],[COSTOS OPERACIONALES ($COP)]]</f>
        <v>55685.303252936312</v>
      </c>
      <c r="AB310" s="3">
        <f>+D.sign_Data[[#This Row],[COSTOS OPERACIONALES ($COP)]]+D.sign_Data[[#This Row],[DESFASE ($COP)]]+D.sign_Data[[#This Row],[UTILIDAD ($COP)]]</f>
        <v>300700.6375658561</v>
      </c>
      <c r="AC310" s="101">
        <v>0.05</v>
      </c>
      <c r="AD310" s="15">
        <f>+D.sign_Data[[#This Row],[VALOR NETO ($COP)]]/(100%-D.sign_Data[[#This Row],[MARGEN DE NEGOCIACIÓN (%)]])-D.sign_Data[[#This Row],[VALOR NETO ($COP)]]</f>
        <v>15826.349345571361</v>
      </c>
      <c r="AE310" s="15">
        <f>+(D.sign_Data[[#This Row],[VALOR NETO ($COP)]]+D.sign_Data[[#This Row],[NEGOCIACIÓN ($COP)]])*1%</f>
        <v>3165.2698691142746</v>
      </c>
      <c r="AF310" s="15">
        <f>+(D.sign_Data[[#This Row],[VALOR NETO ($COP)]]+D.sign_Data[[#This Row],[NEGOCIACIÓN ($COP)]])*1%</f>
        <v>3165.2698691142746</v>
      </c>
      <c r="AG310" s="3">
        <f>+D.sign_Data[[#This Row],[VALOR NETO ($COP)]]+D.sign_Data[[#This Row],[NEGOCIACIÓN ($COP)]]+D.sign_Data[[#This Row],[ICA ($COP)]]+D.sign_Data[[#This Row],[4 * 1000 ($COP)]]</f>
        <v>322857.52664965601</v>
      </c>
    </row>
    <row r="311" spans="1:33" ht="60" hidden="1" customHeight="1" x14ac:dyDescent="0.25">
      <c r="A311" s="14"/>
      <c r="B311" s="87" t="s">
        <v>493</v>
      </c>
      <c r="C311" s="182" t="s">
        <v>665</v>
      </c>
      <c r="D311" s="189" t="str">
        <f>VLOOKUP(D.sign_Data[[#This Row],[CÓDIGO]],Descripciones[[CÓDIGO]:[NOMBRE DE SERVICIO]],3,FALSE)</f>
        <v>D1. Parcelaciones y Condominios</v>
      </c>
      <c r="E311" s="87" t="s">
        <v>497</v>
      </c>
      <c r="F311" s="88" t="s">
        <v>666</v>
      </c>
      <c r="G311" s="88" t="s">
        <v>667</v>
      </c>
      <c r="H311" s="104" t="s">
        <v>552</v>
      </c>
      <c r="I311" s="89">
        <v>1</v>
      </c>
      <c r="J311" s="88" t="s">
        <v>668</v>
      </c>
      <c r="K311" s="102"/>
      <c r="L311" s="88" t="s">
        <v>671</v>
      </c>
      <c r="M311" s="89" t="s">
        <v>381</v>
      </c>
      <c r="N311" s="90">
        <v>9.4</v>
      </c>
      <c r="O311" s="27">
        <f>IFERROR(+VLOOKUP(M311,D.sign_Lista_Data[[RESPONSABLE]:[SOFTWARE 
VALOR HORA]],3,FALSE),"0")</f>
        <v>20263.424518743668</v>
      </c>
      <c r="P311" s="3">
        <f t="shared" si="10"/>
        <v>190476.19047619047</v>
      </c>
      <c r="Q311" s="11">
        <f>IFERROR(+VLOOKUP(M311,D.sign_Lista_Data[[RESPONSABLE]:[SOFTWARE 
VALOR HORA]],5,FALSE)*D.sign_Data[[#This Row],[TIEMPO (HORAS)]],0)</f>
        <v>39682.539682539682</v>
      </c>
      <c r="R311" s="42">
        <f>IFERROR(+VLOOKUP(M311,D.sign_Lista_Data[[RESPONSABLE]:[SOFTWARE 
VALOR HORA]],8,FALSE)*D.sign_Data[[#This Row],[TIEMPO (HORAS)]],0)</f>
        <v>32062.035939153444</v>
      </c>
      <c r="S311" s="99">
        <v>0</v>
      </c>
      <c r="T311" s="99">
        <v>0</v>
      </c>
      <c r="U311" s="3">
        <f t="shared" si="11"/>
        <v>262220.76609788358</v>
      </c>
      <c r="V311" s="100">
        <f>D.sign_Data[[#This Row],[TIEMPO (HORAS)]]*Gastos_Operativos[[#Totals],[GASTOS HORA]]</f>
        <v>261221.08447971777</v>
      </c>
      <c r="W311" s="3">
        <f>+D.sign_Data[[#This Row],[COSTO 
DIRECTO ($COP)]]+D.sign_Data[[#This Row],[PRORRATEO GASTOS ($COP)]]</f>
        <v>523441.85057760135</v>
      </c>
      <c r="X311" s="101">
        <v>0.1</v>
      </c>
      <c r="Y311" s="15">
        <f>+D.sign_Data[[#This Row],[COSTOS OPERACIONALES ($COP)]]*D.sign_Data[[#This Row],[DESFASE (%)]]</f>
        <v>52344.185057760136</v>
      </c>
      <c r="Z311" s="101">
        <v>0.2</v>
      </c>
      <c r="AA311" s="15">
        <f>+((D.sign_Data[[#This Row],[COSTOS OPERACIONALES ($COP)]]/(100%-D.sign_Data[[#This Row],[UTILIDAD (%)]])))-D.sign_Data[[#This Row],[COSTOS OPERACIONALES ($COP)]]</f>
        <v>130860.46264440031</v>
      </c>
      <c r="AB311" s="3">
        <f>+D.sign_Data[[#This Row],[COSTOS OPERACIONALES ($COP)]]+D.sign_Data[[#This Row],[DESFASE ($COP)]]+D.sign_Data[[#This Row],[UTILIDAD ($COP)]]</f>
        <v>706646.49827976176</v>
      </c>
      <c r="AC311" s="101">
        <v>0.05</v>
      </c>
      <c r="AD311" s="15">
        <f>+D.sign_Data[[#This Row],[VALOR NETO ($COP)]]/(100%-D.sign_Data[[#This Row],[MARGEN DE NEGOCIACIÓN (%)]])-D.sign_Data[[#This Row],[VALOR NETO ($COP)]]</f>
        <v>37191.920962092816</v>
      </c>
      <c r="AE311" s="15">
        <f>+(D.sign_Data[[#This Row],[VALOR NETO ($COP)]]+D.sign_Data[[#This Row],[NEGOCIACIÓN ($COP)]])*1%</f>
        <v>7438.3841924185463</v>
      </c>
      <c r="AF311" s="15">
        <f>+(D.sign_Data[[#This Row],[VALOR NETO ($COP)]]+D.sign_Data[[#This Row],[NEGOCIACIÓN ($COP)]])*1%</f>
        <v>7438.3841924185463</v>
      </c>
      <c r="AG311" s="3">
        <f>+D.sign_Data[[#This Row],[VALOR NETO ($COP)]]+D.sign_Data[[#This Row],[NEGOCIACIÓN ($COP)]]+D.sign_Data[[#This Row],[ICA ($COP)]]+D.sign_Data[[#This Row],[4 * 1000 ($COP)]]</f>
        <v>758715.18762669165</v>
      </c>
    </row>
    <row r="312" spans="1:33" ht="60" hidden="1" customHeight="1" x14ac:dyDescent="0.25">
      <c r="A312" s="14"/>
      <c r="B312" s="87" t="s">
        <v>493</v>
      </c>
      <c r="C312" s="182" t="s">
        <v>665</v>
      </c>
      <c r="D312" s="189" t="str">
        <f>VLOOKUP(D.sign_Data[[#This Row],[CÓDIGO]],Descripciones[[CÓDIGO]:[NOMBRE DE SERVICIO]],3,FALSE)</f>
        <v>D1. Parcelaciones y Condominios</v>
      </c>
      <c r="E312" s="87" t="s">
        <v>497</v>
      </c>
      <c r="F312" s="88" t="s">
        <v>666</v>
      </c>
      <c r="G312" s="88" t="s">
        <v>667</v>
      </c>
      <c r="H312" s="104" t="s">
        <v>552</v>
      </c>
      <c r="I312" s="89">
        <v>1</v>
      </c>
      <c r="J312" s="88" t="s">
        <v>511</v>
      </c>
      <c r="K312" s="102"/>
      <c r="L312" s="91" t="s">
        <v>512</v>
      </c>
      <c r="M312" s="89" t="s">
        <v>381</v>
      </c>
      <c r="N312" s="90">
        <v>3</v>
      </c>
      <c r="O312" s="27">
        <f>IFERROR(+VLOOKUP(M312,D.sign_Lista_Data[[RESPONSABLE]:[SOFTWARE 
VALOR HORA]],3,FALSE),"0")</f>
        <v>20263.424518743668</v>
      </c>
      <c r="P312" s="3">
        <f t="shared" si="10"/>
        <v>60790.273556231004</v>
      </c>
      <c r="Q312" s="11">
        <f>IFERROR(+VLOOKUP(M312,D.sign_Lista_Data[[RESPONSABLE]:[SOFTWARE 
VALOR HORA]],5,FALSE)*D.sign_Data[[#This Row],[TIEMPO (HORAS)]],0)</f>
        <v>12664.64032421479</v>
      </c>
      <c r="R312" s="42">
        <f>IFERROR(+VLOOKUP(M312,D.sign_Lista_Data[[RESPONSABLE]:[SOFTWARE 
VALOR HORA]],8,FALSE)*D.sign_Data[[#This Row],[TIEMPO (HORAS)]],0)</f>
        <v>10232.56466143195</v>
      </c>
      <c r="S312" s="99">
        <v>0</v>
      </c>
      <c r="T312" s="99">
        <v>0</v>
      </c>
      <c r="U312" s="3">
        <f t="shared" si="11"/>
        <v>83687.478541877746</v>
      </c>
      <c r="V312" s="100">
        <f>D.sign_Data[[#This Row],[TIEMPO (HORAS)]]*Gastos_Operativos[[#Totals],[GASTOS HORA]]</f>
        <v>83368.431216931203</v>
      </c>
      <c r="W312" s="3">
        <f>+D.sign_Data[[#This Row],[COSTO 
DIRECTO ($COP)]]+D.sign_Data[[#This Row],[PRORRATEO GASTOS ($COP)]]</f>
        <v>167055.90975880896</v>
      </c>
      <c r="X312" s="101">
        <v>0.1</v>
      </c>
      <c r="Y312" s="15">
        <f>+D.sign_Data[[#This Row],[COSTOS OPERACIONALES ($COP)]]*D.sign_Data[[#This Row],[DESFASE (%)]]</f>
        <v>16705.590975880896</v>
      </c>
      <c r="Z312" s="101">
        <v>0.2</v>
      </c>
      <c r="AA312" s="15">
        <f>+((D.sign_Data[[#This Row],[COSTOS OPERACIONALES ($COP)]]/(100%-D.sign_Data[[#This Row],[UTILIDAD (%)]])))-D.sign_Data[[#This Row],[COSTOS OPERACIONALES ($COP)]]</f>
        <v>41763.977439702227</v>
      </c>
      <c r="AB312" s="3">
        <f>+D.sign_Data[[#This Row],[COSTOS OPERACIONALES ($COP)]]+D.sign_Data[[#This Row],[DESFASE ($COP)]]+D.sign_Data[[#This Row],[UTILIDAD ($COP)]]</f>
        <v>225525.47817439208</v>
      </c>
      <c r="AC312" s="101">
        <v>0.05</v>
      </c>
      <c r="AD312" s="15">
        <f>+D.sign_Data[[#This Row],[VALOR NETO ($COP)]]/(100%-D.sign_Data[[#This Row],[MARGEN DE NEGOCIACIÓN (%)]])-D.sign_Data[[#This Row],[VALOR NETO ($COP)]]</f>
        <v>11869.76200917855</v>
      </c>
      <c r="AE312" s="15">
        <f>+(D.sign_Data[[#This Row],[VALOR NETO ($COP)]]+D.sign_Data[[#This Row],[NEGOCIACIÓN ($COP)]])*1%</f>
        <v>2373.9524018357065</v>
      </c>
      <c r="AF312" s="15">
        <f>+(D.sign_Data[[#This Row],[VALOR NETO ($COP)]]+D.sign_Data[[#This Row],[NEGOCIACIÓN ($COP)]])*1%</f>
        <v>2373.9524018357065</v>
      </c>
      <c r="AG312" s="3">
        <f>+D.sign_Data[[#This Row],[VALOR NETO ($COP)]]+D.sign_Data[[#This Row],[NEGOCIACIÓN ($COP)]]+D.sign_Data[[#This Row],[ICA ($COP)]]+D.sign_Data[[#This Row],[4 * 1000 ($COP)]]</f>
        <v>242143.14498724203</v>
      </c>
    </row>
    <row r="313" spans="1:33" ht="60" hidden="1" customHeight="1" x14ac:dyDescent="0.25">
      <c r="A313" s="14"/>
      <c r="B313" s="87" t="s">
        <v>493</v>
      </c>
      <c r="C313" s="182" t="s">
        <v>665</v>
      </c>
      <c r="D313" s="189" t="str">
        <f>VLOOKUP(D.sign_Data[[#This Row],[CÓDIGO]],Descripciones[[CÓDIGO]:[NOMBRE DE SERVICIO]],3,FALSE)</f>
        <v>D1. Parcelaciones y Condominios</v>
      </c>
      <c r="E313" s="87" t="s">
        <v>497</v>
      </c>
      <c r="F313" s="88" t="s">
        <v>666</v>
      </c>
      <c r="G313" s="88" t="s">
        <v>667</v>
      </c>
      <c r="H313" s="104" t="s">
        <v>552</v>
      </c>
      <c r="I313" s="89">
        <v>1</v>
      </c>
      <c r="J313" s="88" t="s">
        <v>511</v>
      </c>
      <c r="K313" s="102"/>
      <c r="L313" s="91" t="s">
        <v>661</v>
      </c>
      <c r="M313" s="89" t="s">
        <v>381</v>
      </c>
      <c r="N313" s="90">
        <v>3</v>
      </c>
      <c r="O313" s="27">
        <f>IFERROR(+VLOOKUP(M313,D.sign_Lista_Data[[RESPONSABLE]:[SOFTWARE 
VALOR HORA]],3,FALSE),"0")</f>
        <v>20263.424518743668</v>
      </c>
      <c r="P313" s="3">
        <f t="shared" si="10"/>
        <v>60790.273556231004</v>
      </c>
      <c r="Q313" s="11">
        <f>IFERROR(+VLOOKUP(M313,D.sign_Lista_Data[[RESPONSABLE]:[SOFTWARE 
VALOR HORA]],5,FALSE)*D.sign_Data[[#This Row],[TIEMPO (HORAS)]],0)</f>
        <v>12664.64032421479</v>
      </c>
      <c r="R313" s="42">
        <f>IFERROR(+VLOOKUP(M313,D.sign_Lista_Data[[RESPONSABLE]:[SOFTWARE 
VALOR HORA]],8,FALSE)*D.sign_Data[[#This Row],[TIEMPO (HORAS)]],0)</f>
        <v>10232.56466143195</v>
      </c>
      <c r="S313" s="99">
        <v>0</v>
      </c>
      <c r="T313" s="99">
        <v>0</v>
      </c>
      <c r="U313" s="3">
        <f t="shared" si="11"/>
        <v>83687.478541877746</v>
      </c>
      <c r="V313" s="100">
        <f>D.sign_Data[[#This Row],[TIEMPO (HORAS)]]*Gastos_Operativos[[#Totals],[GASTOS HORA]]</f>
        <v>83368.431216931203</v>
      </c>
      <c r="W313" s="3">
        <f>+D.sign_Data[[#This Row],[COSTO 
DIRECTO ($COP)]]+D.sign_Data[[#This Row],[PRORRATEO GASTOS ($COP)]]</f>
        <v>167055.90975880896</v>
      </c>
      <c r="X313" s="101">
        <v>0.1</v>
      </c>
      <c r="Y313" s="15">
        <f>+D.sign_Data[[#This Row],[COSTOS OPERACIONALES ($COP)]]*D.sign_Data[[#This Row],[DESFASE (%)]]</f>
        <v>16705.590975880896</v>
      </c>
      <c r="Z313" s="101">
        <v>0.2</v>
      </c>
      <c r="AA313" s="15">
        <f>+((D.sign_Data[[#This Row],[COSTOS OPERACIONALES ($COP)]]/(100%-D.sign_Data[[#This Row],[UTILIDAD (%)]])))-D.sign_Data[[#This Row],[COSTOS OPERACIONALES ($COP)]]</f>
        <v>41763.977439702227</v>
      </c>
      <c r="AB313" s="3">
        <f>+D.sign_Data[[#This Row],[COSTOS OPERACIONALES ($COP)]]+D.sign_Data[[#This Row],[DESFASE ($COP)]]+D.sign_Data[[#This Row],[UTILIDAD ($COP)]]</f>
        <v>225525.47817439208</v>
      </c>
      <c r="AC313" s="101">
        <v>0.05</v>
      </c>
      <c r="AD313" s="15">
        <f>+D.sign_Data[[#This Row],[VALOR NETO ($COP)]]/(100%-D.sign_Data[[#This Row],[MARGEN DE NEGOCIACIÓN (%)]])-D.sign_Data[[#This Row],[VALOR NETO ($COP)]]</f>
        <v>11869.76200917855</v>
      </c>
      <c r="AE313" s="15">
        <f>+(D.sign_Data[[#This Row],[VALOR NETO ($COP)]]+D.sign_Data[[#This Row],[NEGOCIACIÓN ($COP)]])*1%</f>
        <v>2373.9524018357065</v>
      </c>
      <c r="AF313" s="15">
        <f>+(D.sign_Data[[#This Row],[VALOR NETO ($COP)]]+D.sign_Data[[#This Row],[NEGOCIACIÓN ($COP)]])*1%</f>
        <v>2373.9524018357065</v>
      </c>
      <c r="AG313" s="3">
        <f>+D.sign_Data[[#This Row],[VALOR NETO ($COP)]]+D.sign_Data[[#This Row],[NEGOCIACIÓN ($COP)]]+D.sign_Data[[#This Row],[ICA ($COP)]]+D.sign_Data[[#This Row],[4 * 1000 ($COP)]]</f>
        <v>242143.14498724203</v>
      </c>
    </row>
    <row r="314" spans="1:33" ht="60" hidden="1" customHeight="1" x14ac:dyDescent="0.25">
      <c r="A314" s="14"/>
      <c r="B314" s="87" t="s">
        <v>493</v>
      </c>
      <c r="C314" s="182" t="s">
        <v>665</v>
      </c>
      <c r="D314" s="189" t="str">
        <f>VLOOKUP(D.sign_Data[[#This Row],[CÓDIGO]],Descripciones[[CÓDIGO]:[NOMBRE DE SERVICIO]],3,FALSE)</f>
        <v>D1. Parcelaciones y Condominios</v>
      </c>
      <c r="E314" s="87" t="s">
        <v>497</v>
      </c>
      <c r="F314" s="88" t="s">
        <v>666</v>
      </c>
      <c r="G314" s="88" t="s">
        <v>667</v>
      </c>
      <c r="H314" s="104" t="s">
        <v>552</v>
      </c>
      <c r="I314" s="89">
        <v>1</v>
      </c>
      <c r="J314" s="88" t="s">
        <v>511</v>
      </c>
      <c r="K314" s="102"/>
      <c r="L314" s="91" t="s">
        <v>662</v>
      </c>
      <c r="M314" s="89" t="s">
        <v>381</v>
      </c>
      <c r="N314" s="90">
        <v>2</v>
      </c>
      <c r="O314" s="27">
        <f>IFERROR(+VLOOKUP(M314,D.sign_Lista_Data[[RESPONSABLE]:[SOFTWARE 
VALOR HORA]],3,FALSE),"0")</f>
        <v>20263.424518743668</v>
      </c>
      <c r="P314" s="3">
        <f t="shared" si="10"/>
        <v>40526.849037487336</v>
      </c>
      <c r="Q314" s="11">
        <f>IFERROR(+VLOOKUP(M314,D.sign_Lista_Data[[RESPONSABLE]:[SOFTWARE 
VALOR HORA]],5,FALSE)*D.sign_Data[[#This Row],[TIEMPO (HORAS)]],0)</f>
        <v>8443.0935494765272</v>
      </c>
      <c r="R314" s="42">
        <f>IFERROR(+VLOOKUP(M314,D.sign_Lista_Data[[RESPONSABLE]:[SOFTWARE 
VALOR HORA]],8,FALSE)*D.sign_Data[[#This Row],[TIEMPO (HORAS)]],0)</f>
        <v>6821.7097742879669</v>
      </c>
      <c r="S314" s="99">
        <v>0</v>
      </c>
      <c r="T314" s="99">
        <v>0</v>
      </c>
      <c r="U314" s="3">
        <f t="shared" si="11"/>
        <v>55791.652361251836</v>
      </c>
      <c r="V314" s="100">
        <f>D.sign_Data[[#This Row],[TIEMPO (HORAS)]]*Gastos_Operativos[[#Totals],[GASTOS HORA]]</f>
        <v>55578.954144620802</v>
      </c>
      <c r="W314" s="3">
        <f>+D.sign_Data[[#This Row],[COSTO 
DIRECTO ($COP)]]+D.sign_Data[[#This Row],[PRORRATEO GASTOS ($COP)]]</f>
        <v>111370.60650587264</v>
      </c>
      <c r="X314" s="101">
        <v>0.1</v>
      </c>
      <c r="Y314" s="15">
        <f>+D.sign_Data[[#This Row],[COSTOS OPERACIONALES ($COP)]]*D.sign_Data[[#This Row],[DESFASE (%)]]</f>
        <v>11137.060650587264</v>
      </c>
      <c r="Z314" s="101">
        <v>0.2</v>
      </c>
      <c r="AA314" s="15">
        <f>+((D.sign_Data[[#This Row],[COSTOS OPERACIONALES ($COP)]]/(100%-D.sign_Data[[#This Row],[UTILIDAD (%)]])))-D.sign_Data[[#This Row],[COSTOS OPERACIONALES ($COP)]]</f>
        <v>27842.651626468156</v>
      </c>
      <c r="AB314" s="3">
        <f>+D.sign_Data[[#This Row],[COSTOS OPERACIONALES ($COP)]]+D.sign_Data[[#This Row],[DESFASE ($COP)]]+D.sign_Data[[#This Row],[UTILIDAD ($COP)]]</f>
        <v>150350.31878292805</v>
      </c>
      <c r="AC314" s="101">
        <v>0.05</v>
      </c>
      <c r="AD314" s="15">
        <f>+D.sign_Data[[#This Row],[VALOR NETO ($COP)]]/(100%-D.sign_Data[[#This Row],[MARGEN DE NEGOCIACIÓN (%)]])-D.sign_Data[[#This Row],[VALOR NETO ($COP)]]</f>
        <v>7913.1746727856807</v>
      </c>
      <c r="AE314" s="15">
        <f>+(D.sign_Data[[#This Row],[VALOR NETO ($COP)]]+D.sign_Data[[#This Row],[NEGOCIACIÓN ($COP)]])*1%</f>
        <v>1582.6349345571373</v>
      </c>
      <c r="AF314" s="15">
        <f>+(D.sign_Data[[#This Row],[VALOR NETO ($COP)]]+D.sign_Data[[#This Row],[NEGOCIACIÓN ($COP)]])*1%</f>
        <v>1582.6349345571373</v>
      </c>
      <c r="AG314" s="3">
        <f>+D.sign_Data[[#This Row],[VALOR NETO ($COP)]]+D.sign_Data[[#This Row],[NEGOCIACIÓN ($COP)]]+D.sign_Data[[#This Row],[ICA ($COP)]]+D.sign_Data[[#This Row],[4 * 1000 ($COP)]]</f>
        <v>161428.763324828</v>
      </c>
    </row>
    <row r="315" spans="1:33" ht="60" hidden="1" customHeight="1" x14ac:dyDescent="0.25">
      <c r="A315" s="14"/>
      <c r="B315" s="87" t="s">
        <v>493</v>
      </c>
      <c r="C315" s="182" t="s">
        <v>665</v>
      </c>
      <c r="D315" s="189" t="str">
        <f>VLOOKUP(D.sign_Data[[#This Row],[CÓDIGO]],Descripciones[[CÓDIGO]:[NOMBRE DE SERVICIO]],3,FALSE)</f>
        <v>D1. Parcelaciones y Condominios</v>
      </c>
      <c r="E315" s="87" t="s">
        <v>497</v>
      </c>
      <c r="F315" s="88" t="s">
        <v>666</v>
      </c>
      <c r="G315" s="88" t="s">
        <v>667</v>
      </c>
      <c r="H315" s="104" t="s">
        <v>552</v>
      </c>
      <c r="I315" s="89">
        <v>1</v>
      </c>
      <c r="J315" s="88" t="s">
        <v>511</v>
      </c>
      <c r="K315" s="102"/>
      <c r="L315" s="91" t="s">
        <v>663</v>
      </c>
      <c r="M315" s="89" t="s">
        <v>381</v>
      </c>
      <c r="N315" s="90">
        <v>4</v>
      </c>
      <c r="O315" s="27">
        <f>IFERROR(+VLOOKUP(M315,D.sign_Lista_Data[[RESPONSABLE]:[SOFTWARE 
VALOR HORA]],3,FALSE),"0")</f>
        <v>20263.424518743668</v>
      </c>
      <c r="P315" s="3">
        <f t="shared" si="10"/>
        <v>81053.698074974673</v>
      </c>
      <c r="Q315" s="11">
        <f>IFERROR(+VLOOKUP(M315,D.sign_Lista_Data[[RESPONSABLE]:[SOFTWARE 
VALOR HORA]],5,FALSE)*D.sign_Data[[#This Row],[TIEMPO (HORAS)]],0)</f>
        <v>16886.187098953054</v>
      </c>
      <c r="R315" s="42">
        <f>IFERROR(+VLOOKUP(M315,D.sign_Lista_Data[[RESPONSABLE]:[SOFTWARE 
VALOR HORA]],8,FALSE)*D.sign_Data[[#This Row],[TIEMPO (HORAS)]],0)</f>
        <v>13643.419548575934</v>
      </c>
      <c r="S315" s="99">
        <v>0</v>
      </c>
      <c r="T315" s="99">
        <v>0</v>
      </c>
      <c r="U315" s="3">
        <f t="shared" si="11"/>
        <v>111583.30472250367</v>
      </c>
      <c r="V315" s="100">
        <f>D.sign_Data[[#This Row],[TIEMPO (HORAS)]]*Gastos_Operativos[[#Totals],[GASTOS HORA]]</f>
        <v>111157.9082892416</v>
      </c>
      <c r="W315" s="3">
        <f>+D.sign_Data[[#This Row],[COSTO 
DIRECTO ($COP)]]+D.sign_Data[[#This Row],[PRORRATEO GASTOS ($COP)]]</f>
        <v>222741.21301174528</v>
      </c>
      <c r="X315" s="101">
        <v>0.1</v>
      </c>
      <c r="Y315" s="15">
        <f>+D.sign_Data[[#This Row],[COSTOS OPERACIONALES ($COP)]]*D.sign_Data[[#This Row],[DESFASE (%)]]</f>
        <v>22274.121301174528</v>
      </c>
      <c r="Z315" s="101">
        <v>0.2</v>
      </c>
      <c r="AA315" s="15">
        <f>+((D.sign_Data[[#This Row],[COSTOS OPERACIONALES ($COP)]]/(100%-D.sign_Data[[#This Row],[UTILIDAD (%)]])))-D.sign_Data[[#This Row],[COSTOS OPERACIONALES ($COP)]]</f>
        <v>55685.303252936312</v>
      </c>
      <c r="AB315" s="3">
        <f>+D.sign_Data[[#This Row],[COSTOS OPERACIONALES ($COP)]]+D.sign_Data[[#This Row],[DESFASE ($COP)]]+D.sign_Data[[#This Row],[UTILIDAD ($COP)]]</f>
        <v>300700.6375658561</v>
      </c>
      <c r="AC315" s="101">
        <v>0.05</v>
      </c>
      <c r="AD315" s="15">
        <f>+D.sign_Data[[#This Row],[VALOR NETO ($COP)]]/(100%-D.sign_Data[[#This Row],[MARGEN DE NEGOCIACIÓN (%)]])-D.sign_Data[[#This Row],[VALOR NETO ($COP)]]</f>
        <v>15826.349345571361</v>
      </c>
      <c r="AE315" s="15">
        <f>+(D.sign_Data[[#This Row],[VALOR NETO ($COP)]]+D.sign_Data[[#This Row],[NEGOCIACIÓN ($COP)]])*1%</f>
        <v>3165.2698691142746</v>
      </c>
      <c r="AF315" s="15">
        <f>+(D.sign_Data[[#This Row],[VALOR NETO ($COP)]]+D.sign_Data[[#This Row],[NEGOCIACIÓN ($COP)]])*1%</f>
        <v>3165.2698691142746</v>
      </c>
      <c r="AG315" s="3">
        <f>+D.sign_Data[[#This Row],[VALOR NETO ($COP)]]+D.sign_Data[[#This Row],[NEGOCIACIÓN ($COP)]]+D.sign_Data[[#This Row],[ICA ($COP)]]+D.sign_Data[[#This Row],[4 * 1000 ($COP)]]</f>
        <v>322857.52664965601</v>
      </c>
    </row>
    <row r="316" spans="1:33" ht="60" hidden="1" customHeight="1" x14ac:dyDescent="0.25">
      <c r="A316" s="14"/>
      <c r="B316" s="87" t="s">
        <v>493</v>
      </c>
      <c r="C316" s="182" t="s">
        <v>665</v>
      </c>
      <c r="D316" s="189" t="str">
        <f>VLOOKUP(D.sign_Data[[#This Row],[CÓDIGO]],Descripciones[[CÓDIGO]:[NOMBRE DE SERVICIO]],3,FALSE)</f>
        <v>D1. Parcelaciones y Condominios</v>
      </c>
      <c r="E316" s="87" t="s">
        <v>497</v>
      </c>
      <c r="F316" s="88" t="s">
        <v>666</v>
      </c>
      <c r="G316" s="88" t="s">
        <v>667</v>
      </c>
      <c r="H316" s="104" t="s">
        <v>552</v>
      </c>
      <c r="I316" s="89">
        <v>1</v>
      </c>
      <c r="J316" s="88" t="s">
        <v>511</v>
      </c>
      <c r="K316" s="102"/>
      <c r="L316" s="88" t="s">
        <v>664</v>
      </c>
      <c r="M316" s="89" t="s">
        <v>381</v>
      </c>
      <c r="N316" s="90">
        <v>3</v>
      </c>
      <c r="O316" s="27">
        <f>IFERROR(+VLOOKUP(M316,D.sign_Lista_Data[[RESPONSABLE]:[SOFTWARE 
VALOR HORA]],3,FALSE),"0")</f>
        <v>20263.424518743668</v>
      </c>
      <c r="P316" s="3">
        <f t="shared" si="10"/>
        <v>60790.273556231004</v>
      </c>
      <c r="Q316" s="11">
        <f>IFERROR(+VLOOKUP(M316,D.sign_Lista_Data[[RESPONSABLE]:[SOFTWARE 
VALOR HORA]],5,FALSE)*D.sign_Data[[#This Row],[TIEMPO (HORAS)]],0)</f>
        <v>12664.64032421479</v>
      </c>
      <c r="R316" s="42">
        <f>IFERROR(+VLOOKUP(M316,D.sign_Lista_Data[[RESPONSABLE]:[SOFTWARE 
VALOR HORA]],8,FALSE)*D.sign_Data[[#This Row],[TIEMPO (HORAS)]],0)</f>
        <v>10232.56466143195</v>
      </c>
      <c r="S316" s="99">
        <v>0</v>
      </c>
      <c r="T316" s="99">
        <v>0</v>
      </c>
      <c r="U316" s="3">
        <f t="shared" si="11"/>
        <v>83687.478541877746</v>
      </c>
      <c r="V316" s="100">
        <f>D.sign_Data[[#This Row],[TIEMPO (HORAS)]]*Gastos_Operativos[[#Totals],[GASTOS HORA]]</f>
        <v>83368.431216931203</v>
      </c>
      <c r="W316" s="3">
        <f>+D.sign_Data[[#This Row],[COSTO 
DIRECTO ($COP)]]+D.sign_Data[[#This Row],[PRORRATEO GASTOS ($COP)]]</f>
        <v>167055.90975880896</v>
      </c>
      <c r="X316" s="101">
        <v>0.1</v>
      </c>
      <c r="Y316" s="15">
        <f>+D.sign_Data[[#This Row],[COSTOS OPERACIONALES ($COP)]]*D.sign_Data[[#This Row],[DESFASE (%)]]</f>
        <v>16705.590975880896</v>
      </c>
      <c r="Z316" s="101">
        <v>0.2</v>
      </c>
      <c r="AA316" s="15">
        <f>+((D.sign_Data[[#This Row],[COSTOS OPERACIONALES ($COP)]]/(100%-D.sign_Data[[#This Row],[UTILIDAD (%)]])))-D.sign_Data[[#This Row],[COSTOS OPERACIONALES ($COP)]]</f>
        <v>41763.977439702227</v>
      </c>
      <c r="AB316" s="3">
        <f>+D.sign_Data[[#This Row],[COSTOS OPERACIONALES ($COP)]]+D.sign_Data[[#This Row],[DESFASE ($COP)]]+D.sign_Data[[#This Row],[UTILIDAD ($COP)]]</f>
        <v>225525.47817439208</v>
      </c>
      <c r="AC316" s="101">
        <v>0.05</v>
      </c>
      <c r="AD316" s="15">
        <f>+D.sign_Data[[#This Row],[VALOR NETO ($COP)]]/(100%-D.sign_Data[[#This Row],[MARGEN DE NEGOCIACIÓN (%)]])-D.sign_Data[[#This Row],[VALOR NETO ($COP)]]</f>
        <v>11869.76200917855</v>
      </c>
      <c r="AE316" s="15">
        <f>+(D.sign_Data[[#This Row],[VALOR NETO ($COP)]]+D.sign_Data[[#This Row],[NEGOCIACIÓN ($COP)]])*1%</f>
        <v>2373.9524018357065</v>
      </c>
      <c r="AF316" s="15">
        <f>+(D.sign_Data[[#This Row],[VALOR NETO ($COP)]]+D.sign_Data[[#This Row],[NEGOCIACIÓN ($COP)]])*1%</f>
        <v>2373.9524018357065</v>
      </c>
      <c r="AG316" s="3">
        <f>+D.sign_Data[[#This Row],[VALOR NETO ($COP)]]+D.sign_Data[[#This Row],[NEGOCIACIÓN ($COP)]]+D.sign_Data[[#This Row],[ICA ($COP)]]+D.sign_Data[[#This Row],[4 * 1000 ($COP)]]</f>
        <v>242143.14498724203</v>
      </c>
    </row>
    <row r="317" spans="1:33" ht="60" hidden="1" customHeight="1" x14ac:dyDescent="0.25">
      <c r="A317" s="14"/>
      <c r="B317" s="87" t="s">
        <v>493</v>
      </c>
      <c r="C317" s="182" t="s">
        <v>665</v>
      </c>
      <c r="D317" s="189" t="str">
        <f>VLOOKUP(D.sign_Data[[#This Row],[CÓDIGO]],Descripciones[[CÓDIGO]:[NOMBRE DE SERVICIO]],3,FALSE)</f>
        <v>D1. Parcelaciones y Condominios</v>
      </c>
      <c r="E317" s="87" t="s">
        <v>497</v>
      </c>
      <c r="F317" s="88" t="s">
        <v>666</v>
      </c>
      <c r="G317" s="88" t="s">
        <v>667</v>
      </c>
      <c r="H317" s="104" t="s">
        <v>552</v>
      </c>
      <c r="I317" s="89">
        <v>1</v>
      </c>
      <c r="J317" s="88" t="s">
        <v>511</v>
      </c>
      <c r="K317" s="102"/>
      <c r="L317" s="88" t="s">
        <v>518</v>
      </c>
      <c r="M317" s="89" t="s">
        <v>381</v>
      </c>
      <c r="N317" s="90">
        <v>9.4</v>
      </c>
      <c r="O317" s="27">
        <f>IFERROR(+VLOOKUP(M317,D.sign_Lista_Data[[RESPONSABLE]:[SOFTWARE 
VALOR HORA]],3,FALSE),"0")</f>
        <v>20263.424518743668</v>
      </c>
      <c r="P317" s="3">
        <f t="shared" si="10"/>
        <v>190476.19047619047</v>
      </c>
      <c r="Q317" s="11">
        <f>IFERROR(+VLOOKUP(M317,D.sign_Lista_Data[[RESPONSABLE]:[SOFTWARE 
VALOR HORA]],5,FALSE)*D.sign_Data[[#This Row],[TIEMPO (HORAS)]],0)</f>
        <v>39682.539682539682</v>
      </c>
      <c r="R317" s="42">
        <f>IFERROR(+VLOOKUP(M317,D.sign_Lista_Data[[RESPONSABLE]:[SOFTWARE 
VALOR HORA]],8,FALSE)*D.sign_Data[[#This Row],[TIEMPO (HORAS)]],0)</f>
        <v>32062.035939153444</v>
      </c>
      <c r="S317" s="99">
        <v>0</v>
      </c>
      <c r="T317" s="99">
        <v>0</v>
      </c>
      <c r="U317" s="3">
        <f t="shared" si="11"/>
        <v>262220.76609788358</v>
      </c>
      <c r="V317" s="100">
        <f>D.sign_Data[[#This Row],[TIEMPO (HORAS)]]*Gastos_Operativos[[#Totals],[GASTOS HORA]]</f>
        <v>261221.08447971777</v>
      </c>
      <c r="W317" s="3">
        <f>+D.sign_Data[[#This Row],[COSTO 
DIRECTO ($COP)]]+D.sign_Data[[#This Row],[PRORRATEO GASTOS ($COP)]]</f>
        <v>523441.85057760135</v>
      </c>
      <c r="X317" s="101">
        <v>0.1</v>
      </c>
      <c r="Y317" s="15">
        <f>+D.sign_Data[[#This Row],[COSTOS OPERACIONALES ($COP)]]*D.sign_Data[[#This Row],[DESFASE (%)]]</f>
        <v>52344.185057760136</v>
      </c>
      <c r="Z317" s="101">
        <v>0.2</v>
      </c>
      <c r="AA317" s="15">
        <f>+((D.sign_Data[[#This Row],[COSTOS OPERACIONALES ($COP)]]/(100%-D.sign_Data[[#This Row],[UTILIDAD (%)]])))-D.sign_Data[[#This Row],[COSTOS OPERACIONALES ($COP)]]</f>
        <v>130860.46264440031</v>
      </c>
      <c r="AB317" s="3">
        <f>+D.sign_Data[[#This Row],[COSTOS OPERACIONALES ($COP)]]+D.sign_Data[[#This Row],[DESFASE ($COP)]]+D.sign_Data[[#This Row],[UTILIDAD ($COP)]]</f>
        <v>706646.49827976176</v>
      </c>
      <c r="AC317" s="101">
        <v>0.05</v>
      </c>
      <c r="AD317" s="15">
        <f>+D.sign_Data[[#This Row],[VALOR NETO ($COP)]]/(100%-D.sign_Data[[#This Row],[MARGEN DE NEGOCIACIÓN (%)]])-D.sign_Data[[#This Row],[VALOR NETO ($COP)]]</f>
        <v>37191.920962092816</v>
      </c>
      <c r="AE317" s="15">
        <f>+(D.sign_Data[[#This Row],[VALOR NETO ($COP)]]+D.sign_Data[[#This Row],[NEGOCIACIÓN ($COP)]])*1%</f>
        <v>7438.3841924185463</v>
      </c>
      <c r="AF317" s="15">
        <f>+(D.sign_Data[[#This Row],[VALOR NETO ($COP)]]+D.sign_Data[[#This Row],[NEGOCIACIÓN ($COP)]])*1%</f>
        <v>7438.3841924185463</v>
      </c>
      <c r="AG317" s="3">
        <f>+D.sign_Data[[#This Row],[VALOR NETO ($COP)]]+D.sign_Data[[#This Row],[NEGOCIACIÓN ($COP)]]+D.sign_Data[[#This Row],[ICA ($COP)]]+D.sign_Data[[#This Row],[4 * 1000 ($COP)]]</f>
        <v>758715.18762669165</v>
      </c>
    </row>
    <row r="318" spans="1:33" ht="60" hidden="1" customHeight="1" x14ac:dyDescent="0.25">
      <c r="A318" s="14"/>
      <c r="B318" s="87" t="s">
        <v>493</v>
      </c>
      <c r="C318" s="182" t="s">
        <v>665</v>
      </c>
      <c r="D318" s="189" t="str">
        <f>VLOOKUP(D.sign_Data[[#This Row],[CÓDIGO]],Descripciones[[CÓDIGO]:[NOMBRE DE SERVICIO]],3,FALSE)</f>
        <v>D1. Parcelaciones y Condominios</v>
      </c>
      <c r="E318" s="87" t="s">
        <v>497</v>
      </c>
      <c r="F318" s="88" t="s">
        <v>666</v>
      </c>
      <c r="G318" s="88" t="s">
        <v>667</v>
      </c>
      <c r="H318" s="104" t="s">
        <v>552</v>
      </c>
      <c r="I318" s="89">
        <v>1</v>
      </c>
      <c r="J318" s="88" t="s">
        <v>511</v>
      </c>
      <c r="K318" s="102"/>
      <c r="L318" s="88" t="s">
        <v>519</v>
      </c>
      <c r="M318" s="89" t="s">
        <v>381</v>
      </c>
      <c r="N318" s="90">
        <v>0.3</v>
      </c>
      <c r="O318" s="27">
        <f>IFERROR(+VLOOKUP(M318,D.sign_Lista_Data[[RESPONSABLE]:[SOFTWARE 
VALOR HORA]],3,FALSE),"0")</f>
        <v>20263.424518743668</v>
      </c>
      <c r="P318" s="3">
        <f t="shared" si="10"/>
        <v>6079.0273556231004</v>
      </c>
      <c r="Q318" s="11">
        <f>IFERROR(+VLOOKUP(M318,D.sign_Lista_Data[[RESPONSABLE]:[SOFTWARE 
VALOR HORA]],5,FALSE)*D.sign_Data[[#This Row],[TIEMPO (HORAS)]],0)</f>
        <v>1266.464032421479</v>
      </c>
      <c r="R318" s="42">
        <f>IFERROR(+VLOOKUP(M318,D.sign_Lista_Data[[RESPONSABLE]:[SOFTWARE 
VALOR HORA]],8,FALSE)*D.sign_Data[[#This Row],[TIEMPO (HORAS)]],0)</f>
        <v>1023.256466143195</v>
      </c>
      <c r="S318" s="99">
        <v>0</v>
      </c>
      <c r="T318" s="99">
        <v>0</v>
      </c>
      <c r="U318" s="3">
        <f t="shared" si="11"/>
        <v>8368.7478541877736</v>
      </c>
      <c r="V318" s="100">
        <f>D.sign_Data[[#This Row],[TIEMPO (HORAS)]]*Gastos_Operativos[[#Totals],[GASTOS HORA]]</f>
        <v>8336.8431216931203</v>
      </c>
      <c r="W318" s="3">
        <f>+D.sign_Data[[#This Row],[COSTO 
DIRECTO ($COP)]]+D.sign_Data[[#This Row],[PRORRATEO GASTOS ($COP)]]</f>
        <v>16705.590975880892</v>
      </c>
      <c r="X318" s="101">
        <v>0.1</v>
      </c>
      <c r="Y318" s="15">
        <f>+D.sign_Data[[#This Row],[COSTOS OPERACIONALES ($COP)]]*D.sign_Data[[#This Row],[DESFASE (%)]]</f>
        <v>1670.5590975880893</v>
      </c>
      <c r="Z318" s="101">
        <v>0.2</v>
      </c>
      <c r="AA318" s="15">
        <f>+((D.sign_Data[[#This Row],[COSTOS OPERACIONALES ($COP)]]/(100%-D.sign_Data[[#This Row],[UTILIDAD (%)]])))-D.sign_Data[[#This Row],[COSTOS OPERACIONALES ($COP)]]</f>
        <v>4176.3977439702212</v>
      </c>
      <c r="AB318" s="3">
        <f>+D.sign_Data[[#This Row],[COSTOS OPERACIONALES ($COP)]]+D.sign_Data[[#This Row],[DESFASE ($COP)]]+D.sign_Data[[#This Row],[UTILIDAD ($COP)]]</f>
        <v>22552.547817439201</v>
      </c>
      <c r="AC318" s="101">
        <v>0.05</v>
      </c>
      <c r="AD318" s="15">
        <f>+D.sign_Data[[#This Row],[VALOR NETO ($COP)]]/(100%-D.sign_Data[[#This Row],[MARGEN DE NEGOCIACIÓN (%)]])-D.sign_Data[[#This Row],[VALOR NETO ($COP)]]</f>
        <v>1186.9762009178521</v>
      </c>
      <c r="AE318" s="15">
        <f>+(D.sign_Data[[#This Row],[VALOR NETO ($COP)]]+D.sign_Data[[#This Row],[NEGOCIACIÓN ($COP)]])*1%</f>
        <v>237.39524018357054</v>
      </c>
      <c r="AF318" s="15">
        <f>+(D.sign_Data[[#This Row],[VALOR NETO ($COP)]]+D.sign_Data[[#This Row],[NEGOCIACIÓN ($COP)]])*1%</f>
        <v>237.39524018357054</v>
      </c>
      <c r="AG318" s="3">
        <f>+D.sign_Data[[#This Row],[VALOR NETO ($COP)]]+D.sign_Data[[#This Row],[NEGOCIACIÓN ($COP)]]+D.sign_Data[[#This Row],[ICA ($COP)]]+D.sign_Data[[#This Row],[4 * 1000 ($COP)]]</f>
        <v>24214.314498724194</v>
      </c>
    </row>
    <row r="319" spans="1:33" ht="60" hidden="1" customHeight="1" x14ac:dyDescent="0.25">
      <c r="A319" s="14"/>
      <c r="B319" s="87" t="s">
        <v>442</v>
      </c>
      <c r="C319" s="182" t="s">
        <v>672</v>
      </c>
      <c r="D319" s="189" t="str">
        <f>VLOOKUP(D.sign_Data[[#This Row],[CÓDIGO]],Descripciones[[CÓDIGO]:[NOMBRE DE SERVICIO]],3,FALSE)</f>
        <v>D1. Parcelaciones y Condominios</v>
      </c>
      <c r="E319" s="87" t="s">
        <v>420</v>
      </c>
      <c r="F319" s="88" t="s">
        <v>673</v>
      </c>
      <c r="G319" s="88" t="s">
        <v>674</v>
      </c>
      <c r="H319" s="104" t="s">
        <v>675</v>
      </c>
      <c r="I319" s="89">
        <v>1</v>
      </c>
      <c r="J319" s="88" t="s">
        <v>676</v>
      </c>
      <c r="K319" s="102"/>
      <c r="L319" s="88" t="s">
        <v>677</v>
      </c>
      <c r="M319" s="89" t="s">
        <v>381</v>
      </c>
      <c r="N319" s="90">
        <v>0.2</v>
      </c>
      <c r="O319" s="27">
        <f>IFERROR(+VLOOKUP(M319,D.sign_Lista_Data[[RESPONSABLE]:[SOFTWARE 
VALOR HORA]],3,FALSE),"0")</f>
        <v>20263.424518743668</v>
      </c>
      <c r="P319" s="3">
        <f t="shared" si="10"/>
        <v>4052.6849037487336</v>
      </c>
      <c r="Q319" s="11">
        <f>IFERROR(+VLOOKUP(M319,D.sign_Lista_Data[[RESPONSABLE]:[SOFTWARE 
VALOR HORA]],5,FALSE)*D.sign_Data[[#This Row],[TIEMPO (HORAS)]],0)</f>
        <v>844.30935494765276</v>
      </c>
      <c r="R319" s="42">
        <f>IFERROR(+VLOOKUP(M319,D.sign_Lista_Data[[RESPONSABLE]:[SOFTWARE 
VALOR HORA]],8,FALSE)*D.sign_Data[[#This Row],[TIEMPO (HORAS)]],0)</f>
        <v>682.17097742879673</v>
      </c>
      <c r="S319" s="99">
        <v>0</v>
      </c>
      <c r="T319" s="99">
        <v>0</v>
      </c>
      <c r="U319" s="3">
        <f t="shared" si="11"/>
        <v>5579.1652361251827</v>
      </c>
      <c r="V319" s="100">
        <f>D.sign_Data[[#This Row],[TIEMPO (HORAS)]]*Gastos_Operativos[[#Totals],[GASTOS HORA]]</f>
        <v>5557.8954144620802</v>
      </c>
      <c r="W319" s="3">
        <f>+D.sign_Data[[#This Row],[COSTO 
DIRECTO ($COP)]]+D.sign_Data[[#This Row],[PRORRATEO GASTOS ($COP)]]</f>
        <v>11137.060650587264</v>
      </c>
      <c r="X319" s="101">
        <v>0.1</v>
      </c>
      <c r="Y319" s="15">
        <f>+D.sign_Data[[#This Row],[COSTOS OPERACIONALES ($COP)]]*D.sign_Data[[#This Row],[DESFASE (%)]]</f>
        <v>1113.7060650587264</v>
      </c>
      <c r="Z319" s="101">
        <v>0.15</v>
      </c>
      <c r="AA319" s="15">
        <f>+((D.sign_Data[[#This Row],[COSTOS OPERACIONALES ($COP)]]/(100%-D.sign_Data[[#This Row],[UTILIDAD (%)]])))-D.sign_Data[[#This Row],[COSTOS OPERACIONALES ($COP)]]</f>
        <v>1965.3636442212828</v>
      </c>
      <c r="AB319" s="3">
        <f>+D.sign_Data[[#This Row],[COSTOS OPERACIONALES ($COP)]]+D.sign_Data[[#This Row],[DESFASE ($COP)]]+D.sign_Data[[#This Row],[UTILIDAD ($COP)]]</f>
        <v>14216.130359867273</v>
      </c>
      <c r="AC319" s="101">
        <v>0.05</v>
      </c>
      <c r="AD319" s="15">
        <f>+D.sign_Data[[#This Row],[VALOR NETO ($COP)]]/(100%-D.sign_Data[[#This Row],[MARGEN DE NEGOCIACIÓN (%)]])-D.sign_Data[[#This Row],[VALOR NETO ($COP)]]</f>
        <v>748.21738736143561</v>
      </c>
      <c r="AE319" s="15">
        <f>+(D.sign_Data[[#This Row],[VALOR NETO ($COP)]]+D.sign_Data[[#This Row],[NEGOCIACIÓN ($COP)]])*1%</f>
        <v>149.64347747228709</v>
      </c>
      <c r="AF319" s="15">
        <f>+(D.sign_Data[[#This Row],[VALOR NETO ($COP)]]+D.sign_Data[[#This Row],[NEGOCIACIÓN ($COP)]])*1%</f>
        <v>149.64347747228709</v>
      </c>
      <c r="AG319" s="3">
        <f>+D.sign_Data[[#This Row],[VALOR NETO ($COP)]]+D.sign_Data[[#This Row],[NEGOCIACIÓN ($COP)]]+D.sign_Data[[#This Row],[ICA ($COP)]]+D.sign_Data[[#This Row],[4 * 1000 ($COP)]]</f>
        <v>15263.634702173284</v>
      </c>
    </row>
    <row r="320" spans="1:33" ht="60" hidden="1" customHeight="1" x14ac:dyDescent="0.25">
      <c r="A320" s="14"/>
      <c r="B320" s="87" t="s">
        <v>442</v>
      </c>
      <c r="C320" s="182" t="s">
        <v>672</v>
      </c>
      <c r="D320" s="189" t="str">
        <f>VLOOKUP(D.sign_Data[[#This Row],[CÓDIGO]],Descripciones[[CÓDIGO]:[NOMBRE DE SERVICIO]],3,FALSE)</f>
        <v>D1. Parcelaciones y Condominios</v>
      </c>
      <c r="E320" s="87" t="s">
        <v>420</v>
      </c>
      <c r="F320" s="88" t="s">
        <v>673</v>
      </c>
      <c r="G320" s="88" t="s">
        <v>674</v>
      </c>
      <c r="H320" s="104" t="s">
        <v>675</v>
      </c>
      <c r="I320" s="89">
        <v>1</v>
      </c>
      <c r="J320" s="88" t="s">
        <v>676</v>
      </c>
      <c r="K320" s="102"/>
      <c r="L320" s="91" t="s">
        <v>678</v>
      </c>
      <c r="M320" s="89" t="s">
        <v>381</v>
      </c>
      <c r="N320" s="90">
        <v>0.2</v>
      </c>
      <c r="O320" s="27">
        <f>IFERROR(+VLOOKUP(M320,D.sign_Lista_Data[[RESPONSABLE]:[SOFTWARE 
VALOR HORA]],3,FALSE),"0")</f>
        <v>20263.424518743668</v>
      </c>
      <c r="P320" s="3">
        <f t="shared" si="10"/>
        <v>4052.6849037487336</v>
      </c>
      <c r="Q320" s="11">
        <f>IFERROR(+VLOOKUP(M320,D.sign_Lista_Data[[RESPONSABLE]:[SOFTWARE 
VALOR HORA]],5,FALSE)*D.sign_Data[[#This Row],[TIEMPO (HORAS)]],0)</f>
        <v>844.30935494765276</v>
      </c>
      <c r="R320" s="42">
        <f>IFERROR(+VLOOKUP(M320,D.sign_Lista_Data[[RESPONSABLE]:[SOFTWARE 
VALOR HORA]],8,FALSE)*D.sign_Data[[#This Row],[TIEMPO (HORAS)]],0)</f>
        <v>682.17097742879673</v>
      </c>
      <c r="S320" s="99">
        <v>0</v>
      </c>
      <c r="T320" s="99">
        <v>0</v>
      </c>
      <c r="U320" s="3">
        <f t="shared" si="11"/>
        <v>5579.1652361251827</v>
      </c>
      <c r="V320" s="100">
        <f>D.sign_Data[[#This Row],[TIEMPO (HORAS)]]*Gastos_Operativos[[#Totals],[GASTOS HORA]]</f>
        <v>5557.8954144620802</v>
      </c>
      <c r="W320" s="3">
        <f>+D.sign_Data[[#This Row],[COSTO 
DIRECTO ($COP)]]+D.sign_Data[[#This Row],[PRORRATEO GASTOS ($COP)]]</f>
        <v>11137.060650587264</v>
      </c>
      <c r="X320" s="101">
        <v>0.1</v>
      </c>
      <c r="Y320" s="15">
        <f>+D.sign_Data[[#This Row],[COSTOS OPERACIONALES ($COP)]]*D.sign_Data[[#This Row],[DESFASE (%)]]</f>
        <v>1113.7060650587264</v>
      </c>
      <c r="Z320" s="101">
        <v>0.15</v>
      </c>
      <c r="AA320" s="15">
        <f>+((D.sign_Data[[#This Row],[COSTOS OPERACIONALES ($COP)]]/(100%-D.sign_Data[[#This Row],[UTILIDAD (%)]])))-D.sign_Data[[#This Row],[COSTOS OPERACIONALES ($COP)]]</f>
        <v>1965.3636442212828</v>
      </c>
      <c r="AB320" s="3">
        <f>+D.sign_Data[[#This Row],[COSTOS OPERACIONALES ($COP)]]+D.sign_Data[[#This Row],[DESFASE ($COP)]]+D.sign_Data[[#This Row],[UTILIDAD ($COP)]]</f>
        <v>14216.130359867273</v>
      </c>
      <c r="AC320" s="101">
        <v>0.05</v>
      </c>
      <c r="AD320" s="15">
        <f>+D.sign_Data[[#This Row],[VALOR NETO ($COP)]]/(100%-D.sign_Data[[#This Row],[MARGEN DE NEGOCIACIÓN (%)]])-D.sign_Data[[#This Row],[VALOR NETO ($COP)]]</f>
        <v>748.21738736143561</v>
      </c>
      <c r="AE320" s="15">
        <f>+(D.sign_Data[[#This Row],[VALOR NETO ($COP)]]+D.sign_Data[[#This Row],[NEGOCIACIÓN ($COP)]])*1%</f>
        <v>149.64347747228709</v>
      </c>
      <c r="AF320" s="15">
        <f>+(D.sign_Data[[#This Row],[VALOR NETO ($COP)]]+D.sign_Data[[#This Row],[NEGOCIACIÓN ($COP)]])*1%</f>
        <v>149.64347747228709</v>
      </c>
      <c r="AG320" s="3">
        <f>+D.sign_Data[[#This Row],[VALOR NETO ($COP)]]+D.sign_Data[[#This Row],[NEGOCIACIÓN ($COP)]]+D.sign_Data[[#This Row],[ICA ($COP)]]+D.sign_Data[[#This Row],[4 * 1000 ($COP)]]</f>
        <v>15263.634702173284</v>
      </c>
    </row>
    <row r="321" spans="1:33" ht="60" hidden="1" customHeight="1" x14ac:dyDescent="0.25">
      <c r="A321" s="14"/>
      <c r="B321" s="87" t="s">
        <v>442</v>
      </c>
      <c r="C321" s="182" t="s">
        <v>672</v>
      </c>
      <c r="D321" s="189" t="str">
        <f>VLOOKUP(D.sign_Data[[#This Row],[CÓDIGO]],Descripciones[[CÓDIGO]:[NOMBRE DE SERVICIO]],3,FALSE)</f>
        <v>D1. Parcelaciones y Condominios</v>
      </c>
      <c r="E321" s="87" t="s">
        <v>420</v>
      </c>
      <c r="F321" s="88" t="s">
        <v>673</v>
      </c>
      <c r="G321" s="88" t="s">
        <v>674</v>
      </c>
      <c r="H321" s="104" t="s">
        <v>675</v>
      </c>
      <c r="I321" s="89">
        <v>1</v>
      </c>
      <c r="J321" s="88" t="s">
        <v>676</v>
      </c>
      <c r="K321" s="102"/>
      <c r="L321" s="88" t="s">
        <v>679</v>
      </c>
      <c r="M321" s="89" t="s">
        <v>381</v>
      </c>
      <c r="N321" s="90">
        <v>0.1</v>
      </c>
      <c r="O321" s="27">
        <f>IFERROR(+VLOOKUP(M321,D.sign_Lista_Data[[RESPONSABLE]:[SOFTWARE 
VALOR HORA]],3,FALSE),"0")</f>
        <v>20263.424518743668</v>
      </c>
      <c r="P321" s="3">
        <f t="shared" si="10"/>
        <v>2026.3424518743668</v>
      </c>
      <c r="Q321" s="11">
        <f>IFERROR(+VLOOKUP(M321,D.sign_Lista_Data[[RESPONSABLE]:[SOFTWARE 
VALOR HORA]],5,FALSE)*D.sign_Data[[#This Row],[TIEMPO (HORAS)]],0)</f>
        <v>422.15467747382638</v>
      </c>
      <c r="R321" s="42">
        <f>IFERROR(+VLOOKUP(M321,D.sign_Lista_Data[[RESPONSABLE]:[SOFTWARE 
VALOR HORA]],8,FALSE)*D.sign_Data[[#This Row],[TIEMPO (HORAS)]],0)</f>
        <v>341.08548871439837</v>
      </c>
      <c r="S321" s="99">
        <v>0</v>
      </c>
      <c r="T321" s="99">
        <v>0</v>
      </c>
      <c r="U321" s="3">
        <f t="shared" si="11"/>
        <v>2789.5826180625913</v>
      </c>
      <c r="V321" s="100">
        <f>D.sign_Data[[#This Row],[TIEMPO (HORAS)]]*Gastos_Operativos[[#Totals],[GASTOS HORA]]</f>
        <v>2778.9477072310401</v>
      </c>
      <c r="W321" s="3">
        <f>+D.sign_Data[[#This Row],[COSTO 
DIRECTO ($COP)]]+D.sign_Data[[#This Row],[PRORRATEO GASTOS ($COP)]]</f>
        <v>5568.5303252936319</v>
      </c>
      <c r="X321" s="101">
        <v>0.1</v>
      </c>
      <c r="Y321" s="15">
        <f>+D.sign_Data[[#This Row],[COSTOS OPERACIONALES ($COP)]]*D.sign_Data[[#This Row],[DESFASE (%)]]</f>
        <v>556.85303252936319</v>
      </c>
      <c r="Z321" s="101">
        <v>0.15</v>
      </c>
      <c r="AA321" s="15">
        <f>+((D.sign_Data[[#This Row],[COSTOS OPERACIONALES ($COP)]]/(100%-D.sign_Data[[#This Row],[UTILIDAD (%)]])))-D.sign_Data[[#This Row],[COSTOS OPERACIONALES ($COP)]]</f>
        <v>982.68182211064141</v>
      </c>
      <c r="AB321" s="3">
        <f>+D.sign_Data[[#This Row],[COSTOS OPERACIONALES ($COP)]]+D.sign_Data[[#This Row],[DESFASE ($COP)]]+D.sign_Data[[#This Row],[UTILIDAD ($COP)]]</f>
        <v>7108.0651799336365</v>
      </c>
      <c r="AC321" s="101">
        <v>0.05</v>
      </c>
      <c r="AD321" s="15">
        <f>+D.sign_Data[[#This Row],[VALOR NETO ($COP)]]/(100%-D.sign_Data[[#This Row],[MARGEN DE NEGOCIACIÓN (%)]])-D.sign_Data[[#This Row],[VALOR NETO ($COP)]]</f>
        <v>374.10869368071781</v>
      </c>
      <c r="AE321" s="15">
        <f>+(D.sign_Data[[#This Row],[VALOR NETO ($COP)]]+D.sign_Data[[#This Row],[NEGOCIACIÓN ($COP)]])*1%</f>
        <v>74.821738736143544</v>
      </c>
      <c r="AF321" s="15">
        <f>+(D.sign_Data[[#This Row],[VALOR NETO ($COP)]]+D.sign_Data[[#This Row],[NEGOCIACIÓN ($COP)]])*1%</f>
        <v>74.821738736143544</v>
      </c>
      <c r="AG321" s="3">
        <f>+D.sign_Data[[#This Row],[VALOR NETO ($COP)]]+D.sign_Data[[#This Row],[NEGOCIACIÓN ($COP)]]+D.sign_Data[[#This Row],[ICA ($COP)]]+D.sign_Data[[#This Row],[4 * 1000 ($COP)]]</f>
        <v>7631.8173510866418</v>
      </c>
    </row>
    <row r="322" spans="1:33" ht="60" hidden="1" customHeight="1" x14ac:dyDescent="0.25">
      <c r="A322" s="14"/>
      <c r="B322" s="87" t="s">
        <v>442</v>
      </c>
      <c r="C322" s="182" t="s">
        <v>672</v>
      </c>
      <c r="D322" s="189" t="str">
        <f>VLOOKUP(D.sign_Data[[#This Row],[CÓDIGO]],Descripciones[[CÓDIGO]:[NOMBRE DE SERVICIO]],3,FALSE)</f>
        <v>D1. Parcelaciones y Condominios</v>
      </c>
      <c r="E322" s="87" t="s">
        <v>420</v>
      </c>
      <c r="F322" s="88" t="s">
        <v>673</v>
      </c>
      <c r="G322" s="88" t="s">
        <v>674</v>
      </c>
      <c r="H322" s="104" t="s">
        <v>675</v>
      </c>
      <c r="I322" s="89">
        <v>1</v>
      </c>
      <c r="J322" s="88" t="s">
        <v>680</v>
      </c>
      <c r="K322" s="102"/>
      <c r="L322" s="88" t="s">
        <v>681</v>
      </c>
      <c r="M322" s="89" t="s">
        <v>381</v>
      </c>
      <c r="N322" s="90">
        <v>5</v>
      </c>
      <c r="O322" s="27">
        <f>IFERROR(+VLOOKUP(M322,D.sign_Lista_Data[[RESPONSABLE]:[SOFTWARE 
VALOR HORA]],3,FALSE),"0")</f>
        <v>20263.424518743668</v>
      </c>
      <c r="P322" s="3">
        <f t="shared" si="10"/>
        <v>101317.12259371835</v>
      </c>
      <c r="Q322" s="11">
        <f>IFERROR(+VLOOKUP(M322,D.sign_Lista_Data[[RESPONSABLE]:[SOFTWARE 
VALOR HORA]],5,FALSE)*D.sign_Data[[#This Row],[TIEMPO (HORAS)]],0)</f>
        <v>21107.733873691319</v>
      </c>
      <c r="R322" s="42">
        <f>IFERROR(+VLOOKUP(M322,D.sign_Lista_Data[[RESPONSABLE]:[SOFTWARE 
VALOR HORA]],8,FALSE)*D.sign_Data[[#This Row],[TIEMPO (HORAS)]],0)</f>
        <v>17054.274435719919</v>
      </c>
      <c r="S322" s="99">
        <v>0</v>
      </c>
      <c r="T322" s="99">
        <v>0</v>
      </c>
      <c r="U322" s="3">
        <f t="shared" si="11"/>
        <v>139479.13090312958</v>
      </c>
      <c r="V322" s="100">
        <f>D.sign_Data[[#This Row],[TIEMPO (HORAS)]]*Gastos_Operativos[[#Totals],[GASTOS HORA]]</f>
        <v>138947.38536155201</v>
      </c>
      <c r="W322" s="3">
        <f>+D.sign_Data[[#This Row],[COSTO 
DIRECTO ($COP)]]+D.sign_Data[[#This Row],[PRORRATEO GASTOS ($COP)]]</f>
        <v>278426.51626468159</v>
      </c>
      <c r="X322" s="101">
        <v>0.1</v>
      </c>
      <c r="Y322" s="15">
        <f>+D.sign_Data[[#This Row],[COSTOS OPERACIONALES ($COP)]]*D.sign_Data[[#This Row],[DESFASE (%)]]</f>
        <v>27842.65162646816</v>
      </c>
      <c r="Z322" s="101">
        <v>0.15</v>
      </c>
      <c r="AA322" s="15">
        <f>+((D.sign_Data[[#This Row],[COSTOS OPERACIONALES ($COP)]]/(100%-D.sign_Data[[#This Row],[UTILIDAD (%)]])))-D.sign_Data[[#This Row],[COSTOS OPERACIONALES ($COP)]]</f>
        <v>49134.091105532076</v>
      </c>
      <c r="AB322" s="3">
        <f>+D.sign_Data[[#This Row],[COSTOS OPERACIONALES ($COP)]]+D.sign_Data[[#This Row],[DESFASE ($COP)]]+D.sign_Data[[#This Row],[UTILIDAD ($COP)]]</f>
        <v>355403.25899668183</v>
      </c>
      <c r="AC322" s="101">
        <v>0.05</v>
      </c>
      <c r="AD322" s="15">
        <f>+D.sign_Data[[#This Row],[VALOR NETO ($COP)]]/(100%-D.sign_Data[[#This Row],[MARGEN DE NEGOCIACIÓN (%)]])-D.sign_Data[[#This Row],[VALOR NETO ($COP)]]</f>
        <v>18705.434684035892</v>
      </c>
      <c r="AE322" s="15">
        <f>+(D.sign_Data[[#This Row],[VALOR NETO ($COP)]]+D.sign_Data[[#This Row],[NEGOCIACIÓN ($COP)]])*1%</f>
        <v>3741.0869368071772</v>
      </c>
      <c r="AF322" s="15">
        <f>+(D.sign_Data[[#This Row],[VALOR NETO ($COP)]]+D.sign_Data[[#This Row],[NEGOCIACIÓN ($COP)]])*1%</f>
        <v>3741.0869368071772</v>
      </c>
      <c r="AG322" s="3">
        <f>+D.sign_Data[[#This Row],[VALOR NETO ($COP)]]+D.sign_Data[[#This Row],[NEGOCIACIÓN ($COP)]]+D.sign_Data[[#This Row],[ICA ($COP)]]+D.sign_Data[[#This Row],[4 * 1000 ($COP)]]</f>
        <v>381590.86755433213</v>
      </c>
    </row>
    <row r="323" spans="1:33" ht="60" hidden="1" customHeight="1" x14ac:dyDescent="0.25">
      <c r="A323" s="14"/>
      <c r="B323" s="87" t="s">
        <v>442</v>
      </c>
      <c r="C323" s="182" t="s">
        <v>672</v>
      </c>
      <c r="D323" s="189" t="str">
        <f>VLOOKUP(D.sign_Data[[#This Row],[CÓDIGO]],Descripciones[[CÓDIGO]:[NOMBRE DE SERVICIO]],3,FALSE)</f>
        <v>D1. Parcelaciones y Condominios</v>
      </c>
      <c r="E323" s="87" t="s">
        <v>420</v>
      </c>
      <c r="F323" s="88" t="s">
        <v>673</v>
      </c>
      <c r="G323" s="88" t="s">
        <v>674</v>
      </c>
      <c r="H323" s="104" t="s">
        <v>675</v>
      </c>
      <c r="I323" s="89">
        <v>1</v>
      </c>
      <c r="J323" s="88" t="s">
        <v>680</v>
      </c>
      <c r="K323" s="102"/>
      <c r="L323" s="88" t="s">
        <v>682</v>
      </c>
      <c r="M323" s="89" t="s">
        <v>381</v>
      </c>
      <c r="N323" s="90">
        <v>5</v>
      </c>
      <c r="O323" s="27">
        <f>IFERROR(+VLOOKUP(M323,D.sign_Lista_Data[[RESPONSABLE]:[SOFTWARE 
VALOR HORA]],3,FALSE),"0")</f>
        <v>20263.424518743668</v>
      </c>
      <c r="P323" s="3">
        <f t="shared" si="10"/>
        <v>101317.12259371835</v>
      </c>
      <c r="Q323" s="11">
        <f>IFERROR(+VLOOKUP(M323,D.sign_Lista_Data[[RESPONSABLE]:[SOFTWARE 
VALOR HORA]],5,FALSE)*D.sign_Data[[#This Row],[TIEMPO (HORAS)]],0)</f>
        <v>21107.733873691319</v>
      </c>
      <c r="R323" s="42">
        <f>IFERROR(+VLOOKUP(M323,D.sign_Lista_Data[[RESPONSABLE]:[SOFTWARE 
VALOR HORA]],8,FALSE)*D.sign_Data[[#This Row],[TIEMPO (HORAS)]],0)</f>
        <v>17054.274435719919</v>
      </c>
      <c r="S323" s="99">
        <v>0</v>
      </c>
      <c r="T323" s="99">
        <v>0</v>
      </c>
      <c r="U323" s="3">
        <f t="shared" si="11"/>
        <v>139479.13090312958</v>
      </c>
      <c r="V323" s="100">
        <f>D.sign_Data[[#This Row],[TIEMPO (HORAS)]]*Gastos_Operativos[[#Totals],[GASTOS HORA]]</f>
        <v>138947.38536155201</v>
      </c>
      <c r="W323" s="3">
        <f>+D.sign_Data[[#This Row],[COSTO 
DIRECTO ($COP)]]+D.sign_Data[[#This Row],[PRORRATEO GASTOS ($COP)]]</f>
        <v>278426.51626468159</v>
      </c>
      <c r="X323" s="101">
        <v>0.1</v>
      </c>
      <c r="Y323" s="15">
        <f>+D.sign_Data[[#This Row],[COSTOS OPERACIONALES ($COP)]]*D.sign_Data[[#This Row],[DESFASE (%)]]</f>
        <v>27842.65162646816</v>
      </c>
      <c r="Z323" s="101">
        <v>0.15</v>
      </c>
      <c r="AA323" s="15">
        <f>+((D.sign_Data[[#This Row],[COSTOS OPERACIONALES ($COP)]]/(100%-D.sign_Data[[#This Row],[UTILIDAD (%)]])))-D.sign_Data[[#This Row],[COSTOS OPERACIONALES ($COP)]]</f>
        <v>49134.091105532076</v>
      </c>
      <c r="AB323" s="3">
        <f>+D.sign_Data[[#This Row],[COSTOS OPERACIONALES ($COP)]]+D.sign_Data[[#This Row],[DESFASE ($COP)]]+D.sign_Data[[#This Row],[UTILIDAD ($COP)]]</f>
        <v>355403.25899668183</v>
      </c>
      <c r="AC323" s="101">
        <v>0.05</v>
      </c>
      <c r="AD323" s="15">
        <f>+D.sign_Data[[#This Row],[VALOR NETO ($COP)]]/(100%-D.sign_Data[[#This Row],[MARGEN DE NEGOCIACIÓN (%)]])-D.sign_Data[[#This Row],[VALOR NETO ($COP)]]</f>
        <v>18705.434684035892</v>
      </c>
      <c r="AE323" s="15">
        <f>+(D.sign_Data[[#This Row],[VALOR NETO ($COP)]]+D.sign_Data[[#This Row],[NEGOCIACIÓN ($COP)]])*1%</f>
        <v>3741.0869368071772</v>
      </c>
      <c r="AF323" s="15">
        <f>+(D.sign_Data[[#This Row],[VALOR NETO ($COP)]]+D.sign_Data[[#This Row],[NEGOCIACIÓN ($COP)]])*1%</f>
        <v>3741.0869368071772</v>
      </c>
      <c r="AG323" s="3">
        <f>+D.sign_Data[[#This Row],[VALOR NETO ($COP)]]+D.sign_Data[[#This Row],[NEGOCIACIÓN ($COP)]]+D.sign_Data[[#This Row],[ICA ($COP)]]+D.sign_Data[[#This Row],[4 * 1000 ($COP)]]</f>
        <v>381590.86755433213</v>
      </c>
    </row>
    <row r="324" spans="1:33" ht="60" hidden="1" customHeight="1" x14ac:dyDescent="0.25">
      <c r="A324" s="14"/>
      <c r="B324" s="87" t="s">
        <v>442</v>
      </c>
      <c r="C324" s="182" t="s">
        <v>672</v>
      </c>
      <c r="D324" s="189" t="str">
        <f>VLOOKUP(D.sign_Data[[#This Row],[CÓDIGO]],Descripciones[[CÓDIGO]:[NOMBRE DE SERVICIO]],3,FALSE)</f>
        <v>D1. Parcelaciones y Condominios</v>
      </c>
      <c r="E324" s="87" t="s">
        <v>420</v>
      </c>
      <c r="F324" s="88" t="s">
        <v>673</v>
      </c>
      <c r="G324" s="88" t="s">
        <v>674</v>
      </c>
      <c r="H324" s="104" t="s">
        <v>675</v>
      </c>
      <c r="I324" s="89">
        <v>1</v>
      </c>
      <c r="J324" s="88" t="s">
        <v>680</v>
      </c>
      <c r="K324" s="102"/>
      <c r="L324" s="88" t="s">
        <v>683</v>
      </c>
      <c r="M324" s="89" t="s">
        <v>381</v>
      </c>
      <c r="N324" s="90">
        <v>2.5</v>
      </c>
      <c r="O324" s="27">
        <f>IFERROR(+VLOOKUP(M324,D.sign_Lista_Data[[RESPONSABLE]:[SOFTWARE 
VALOR HORA]],3,FALSE),"0")</f>
        <v>20263.424518743668</v>
      </c>
      <c r="P324" s="3">
        <f t="shared" si="10"/>
        <v>50658.561296859174</v>
      </c>
      <c r="Q324" s="11">
        <f>IFERROR(+VLOOKUP(M324,D.sign_Lista_Data[[RESPONSABLE]:[SOFTWARE 
VALOR HORA]],5,FALSE)*D.sign_Data[[#This Row],[TIEMPO (HORAS)]],0)</f>
        <v>10553.866936845659</v>
      </c>
      <c r="R324" s="42">
        <f>IFERROR(+VLOOKUP(M324,D.sign_Lista_Data[[RESPONSABLE]:[SOFTWARE 
VALOR HORA]],8,FALSE)*D.sign_Data[[#This Row],[TIEMPO (HORAS)]],0)</f>
        <v>8527.1372178599595</v>
      </c>
      <c r="S324" s="99">
        <v>0</v>
      </c>
      <c r="T324" s="99">
        <v>0</v>
      </c>
      <c r="U324" s="3">
        <f t="shared" si="11"/>
        <v>69739.565451564791</v>
      </c>
      <c r="V324" s="100">
        <f>D.sign_Data[[#This Row],[TIEMPO (HORAS)]]*Gastos_Operativos[[#Totals],[GASTOS HORA]]</f>
        <v>69473.692680776003</v>
      </c>
      <c r="W324" s="3">
        <f>+D.sign_Data[[#This Row],[COSTO 
DIRECTO ($COP)]]+D.sign_Data[[#This Row],[PRORRATEO GASTOS ($COP)]]</f>
        <v>139213.25813234079</v>
      </c>
      <c r="X324" s="101">
        <v>0.1</v>
      </c>
      <c r="Y324" s="15">
        <f>+D.sign_Data[[#This Row],[COSTOS OPERACIONALES ($COP)]]*D.sign_Data[[#This Row],[DESFASE (%)]]</f>
        <v>13921.32581323408</v>
      </c>
      <c r="Z324" s="101">
        <v>0.15</v>
      </c>
      <c r="AA324" s="15">
        <f>+((D.sign_Data[[#This Row],[COSTOS OPERACIONALES ($COP)]]/(100%-D.sign_Data[[#This Row],[UTILIDAD (%)]])))-D.sign_Data[[#This Row],[COSTOS OPERACIONALES ($COP)]]</f>
        <v>24567.045552766038</v>
      </c>
      <c r="AB324" s="3">
        <f>+D.sign_Data[[#This Row],[COSTOS OPERACIONALES ($COP)]]+D.sign_Data[[#This Row],[DESFASE ($COP)]]+D.sign_Data[[#This Row],[UTILIDAD ($COP)]]</f>
        <v>177701.62949834092</v>
      </c>
      <c r="AC324" s="101">
        <v>0.05</v>
      </c>
      <c r="AD324" s="15">
        <f>+D.sign_Data[[#This Row],[VALOR NETO ($COP)]]/(100%-D.sign_Data[[#This Row],[MARGEN DE NEGOCIACIÓN (%)]])-D.sign_Data[[#This Row],[VALOR NETO ($COP)]]</f>
        <v>9352.7173420179461</v>
      </c>
      <c r="AE324" s="15">
        <f>+(D.sign_Data[[#This Row],[VALOR NETO ($COP)]]+D.sign_Data[[#This Row],[NEGOCIACIÓN ($COP)]])*1%</f>
        <v>1870.5434684035886</v>
      </c>
      <c r="AF324" s="15">
        <f>+(D.sign_Data[[#This Row],[VALOR NETO ($COP)]]+D.sign_Data[[#This Row],[NEGOCIACIÓN ($COP)]])*1%</f>
        <v>1870.5434684035886</v>
      </c>
      <c r="AG324" s="3">
        <f>+D.sign_Data[[#This Row],[VALOR NETO ($COP)]]+D.sign_Data[[#This Row],[NEGOCIACIÓN ($COP)]]+D.sign_Data[[#This Row],[ICA ($COP)]]+D.sign_Data[[#This Row],[4 * 1000 ($COP)]]</f>
        <v>190795.43377716606</v>
      </c>
    </row>
    <row r="325" spans="1:33" ht="60" hidden="1" customHeight="1" x14ac:dyDescent="0.25">
      <c r="A325" s="14"/>
      <c r="B325" s="87" t="s">
        <v>442</v>
      </c>
      <c r="C325" s="182" t="s">
        <v>672</v>
      </c>
      <c r="D325" s="189" t="str">
        <f>VLOOKUP(D.sign_Data[[#This Row],[CÓDIGO]],Descripciones[[CÓDIGO]:[NOMBRE DE SERVICIO]],3,FALSE)</f>
        <v>D1. Parcelaciones y Condominios</v>
      </c>
      <c r="E325" s="87" t="s">
        <v>420</v>
      </c>
      <c r="F325" s="88" t="s">
        <v>673</v>
      </c>
      <c r="G325" s="88" t="s">
        <v>674</v>
      </c>
      <c r="H325" s="104" t="s">
        <v>675</v>
      </c>
      <c r="I325" s="89">
        <v>1</v>
      </c>
      <c r="J325" s="88" t="s">
        <v>684</v>
      </c>
      <c r="K325" s="102"/>
      <c r="L325" s="88" t="s">
        <v>685</v>
      </c>
      <c r="M325" s="89" t="s">
        <v>381</v>
      </c>
      <c r="N325" s="90">
        <v>2</v>
      </c>
      <c r="O325" s="27">
        <f>IFERROR(+VLOOKUP(M325,D.sign_Lista_Data[[RESPONSABLE]:[SOFTWARE 
VALOR HORA]],3,FALSE),"0")</f>
        <v>20263.424518743668</v>
      </c>
      <c r="P325" s="3">
        <f t="shared" si="10"/>
        <v>40526.849037487336</v>
      </c>
      <c r="Q325" s="11">
        <f>IFERROR(+VLOOKUP(M325,D.sign_Lista_Data[[RESPONSABLE]:[SOFTWARE 
VALOR HORA]],5,FALSE)*D.sign_Data[[#This Row],[TIEMPO (HORAS)]],0)</f>
        <v>8443.0935494765272</v>
      </c>
      <c r="R325" s="42">
        <f>IFERROR(+VLOOKUP(M325,D.sign_Lista_Data[[RESPONSABLE]:[SOFTWARE 
VALOR HORA]],8,FALSE)*D.sign_Data[[#This Row],[TIEMPO (HORAS)]],0)</f>
        <v>6821.7097742879669</v>
      </c>
      <c r="S325" s="99">
        <v>0</v>
      </c>
      <c r="T325" s="99">
        <v>0</v>
      </c>
      <c r="U325" s="3">
        <f t="shared" si="11"/>
        <v>55791.652361251836</v>
      </c>
      <c r="V325" s="100">
        <f>D.sign_Data[[#This Row],[TIEMPO (HORAS)]]*Gastos_Operativos[[#Totals],[GASTOS HORA]]</f>
        <v>55578.954144620802</v>
      </c>
      <c r="W325" s="3">
        <f>+D.sign_Data[[#This Row],[COSTO 
DIRECTO ($COP)]]+D.sign_Data[[#This Row],[PRORRATEO GASTOS ($COP)]]</f>
        <v>111370.60650587264</v>
      </c>
      <c r="X325" s="101">
        <v>0.1</v>
      </c>
      <c r="Y325" s="15">
        <f>+D.sign_Data[[#This Row],[COSTOS OPERACIONALES ($COP)]]*D.sign_Data[[#This Row],[DESFASE (%)]]</f>
        <v>11137.060650587264</v>
      </c>
      <c r="Z325" s="101">
        <v>0.15</v>
      </c>
      <c r="AA325" s="15">
        <f>+((D.sign_Data[[#This Row],[COSTOS OPERACIONALES ($COP)]]/(100%-D.sign_Data[[#This Row],[UTILIDAD (%)]])))-D.sign_Data[[#This Row],[COSTOS OPERACIONALES ($COP)]]</f>
        <v>19653.636442212824</v>
      </c>
      <c r="AB325" s="3">
        <f>+D.sign_Data[[#This Row],[COSTOS OPERACIONALES ($COP)]]+D.sign_Data[[#This Row],[DESFASE ($COP)]]+D.sign_Data[[#This Row],[UTILIDAD ($COP)]]</f>
        <v>142161.30359867273</v>
      </c>
      <c r="AC325" s="101">
        <v>0.05</v>
      </c>
      <c r="AD325" s="15">
        <f>+D.sign_Data[[#This Row],[VALOR NETO ($COP)]]/(100%-D.sign_Data[[#This Row],[MARGEN DE NEGOCIACIÓN (%)]])-D.sign_Data[[#This Row],[VALOR NETO ($COP)]]</f>
        <v>7482.1738736143743</v>
      </c>
      <c r="AE325" s="15">
        <f>+(D.sign_Data[[#This Row],[VALOR NETO ($COP)]]+D.sign_Data[[#This Row],[NEGOCIACIÓN ($COP)]])*1%</f>
        <v>1496.434774722871</v>
      </c>
      <c r="AF325" s="15">
        <f>+(D.sign_Data[[#This Row],[VALOR NETO ($COP)]]+D.sign_Data[[#This Row],[NEGOCIACIÓN ($COP)]])*1%</f>
        <v>1496.434774722871</v>
      </c>
      <c r="AG325" s="3">
        <f>+D.sign_Data[[#This Row],[VALOR NETO ($COP)]]+D.sign_Data[[#This Row],[NEGOCIACIÓN ($COP)]]+D.sign_Data[[#This Row],[ICA ($COP)]]+D.sign_Data[[#This Row],[4 * 1000 ($COP)]]</f>
        <v>152636.34702173286</v>
      </c>
    </row>
    <row r="326" spans="1:33" ht="60" hidden="1" customHeight="1" x14ac:dyDescent="0.25">
      <c r="A326" s="14"/>
      <c r="B326" s="87" t="s">
        <v>442</v>
      </c>
      <c r="C326" s="182" t="s">
        <v>672</v>
      </c>
      <c r="D326" s="189" t="str">
        <f>VLOOKUP(D.sign_Data[[#This Row],[CÓDIGO]],Descripciones[[CÓDIGO]:[NOMBRE DE SERVICIO]],3,FALSE)</f>
        <v>D1. Parcelaciones y Condominios</v>
      </c>
      <c r="E326" s="87" t="s">
        <v>420</v>
      </c>
      <c r="F326" s="88" t="s">
        <v>673</v>
      </c>
      <c r="G326" s="88" t="s">
        <v>674</v>
      </c>
      <c r="H326" s="104" t="s">
        <v>675</v>
      </c>
      <c r="I326" s="89">
        <v>1</v>
      </c>
      <c r="J326" s="88" t="s">
        <v>680</v>
      </c>
      <c r="K326" s="102"/>
      <c r="L326" s="91" t="s">
        <v>465</v>
      </c>
      <c r="M326" s="89" t="s">
        <v>384</v>
      </c>
      <c r="N326" s="90">
        <v>0.8</v>
      </c>
      <c r="O326" s="27">
        <f>IFERROR(+VLOOKUP(M326,D.sign_Lista_Data[[RESPONSABLE]:[SOFTWARE 
VALOR HORA]],3,FALSE),"0")</f>
        <v>22796.352583586624</v>
      </c>
      <c r="P326" s="3">
        <f t="shared" si="10"/>
        <v>18237.082066869301</v>
      </c>
      <c r="Q326" s="11">
        <f>IFERROR(+VLOOKUP(M326,D.sign_Lista_Data[[RESPONSABLE]:[SOFTWARE 
VALOR HORA]],5,FALSE)*D.sign_Data[[#This Row],[TIEMPO (HORAS)]],0)</f>
        <v>2026.3424518743668</v>
      </c>
      <c r="R326" s="42">
        <f>IFERROR(+VLOOKUP(M326,D.sign_Lista_Data[[RESPONSABLE]:[SOFTWARE 
VALOR HORA]],8,FALSE)*D.sign_Data[[#This Row],[TIEMPO (HORAS)]],0)</f>
        <v>2728.6839097151869</v>
      </c>
      <c r="S326" s="99">
        <v>0</v>
      </c>
      <c r="T326" s="99">
        <v>0</v>
      </c>
      <c r="U326" s="3">
        <f t="shared" si="11"/>
        <v>22992.108428458854</v>
      </c>
      <c r="V326" s="100">
        <f>D.sign_Data[[#This Row],[TIEMPO (HORAS)]]*Gastos_Operativos[[#Totals],[GASTOS HORA]]</f>
        <v>22231.581657848321</v>
      </c>
      <c r="W326" s="3">
        <f>+D.sign_Data[[#This Row],[COSTO 
DIRECTO ($COP)]]+D.sign_Data[[#This Row],[PRORRATEO GASTOS ($COP)]]</f>
        <v>45223.690086307179</v>
      </c>
      <c r="X326" s="101">
        <v>0.1</v>
      </c>
      <c r="Y326" s="15">
        <f>+D.sign_Data[[#This Row],[COSTOS OPERACIONALES ($COP)]]*D.sign_Data[[#This Row],[DESFASE (%)]]</f>
        <v>4522.3690086307179</v>
      </c>
      <c r="Z326" s="101">
        <v>0.15</v>
      </c>
      <c r="AA326" s="15">
        <f>+((D.sign_Data[[#This Row],[COSTOS OPERACIONALES ($COP)]]/(100%-D.sign_Data[[#This Row],[UTILIDAD (%)]])))-D.sign_Data[[#This Row],[COSTOS OPERACIONALES ($COP)]]</f>
        <v>7980.6511917012685</v>
      </c>
      <c r="AB326" s="3">
        <f>+D.sign_Data[[#This Row],[COSTOS OPERACIONALES ($COP)]]+D.sign_Data[[#This Row],[DESFASE ($COP)]]+D.sign_Data[[#This Row],[UTILIDAD ($COP)]]</f>
        <v>57726.710286639165</v>
      </c>
      <c r="AC326" s="101">
        <v>0.05</v>
      </c>
      <c r="AD326" s="15">
        <f>+D.sign_Data[[#This Row],[VALOR NETO ($COP)]]/(100%-D.sign_Data[[#This Row],[MARGEN DE NEGOCIACIÓN (%)]])-D.sign_Data[[#This Row],[VALOR NETO ($COP)]]</f>
        <v>3038.2479098231197</v>
      </c>
      <c r="AE326" s="15">
        <f>+(D.sign_Data[[#This Row],[VALOR NETO ($COP)]]+D.sign_Data[[#This Row],[NEGOCIACIÓN ($COP)]])*1%</f>
        <v>607.64958196462283</v>
      </c>
      <c r="AF326" s="15">
        <f>+(D.sign_Data[[#This Row],[VALOR NETO ($COP)]]+D.sign_Data[[#This Row],[NEGOCIACIÓN ($COP)]])*1%</f>
        <v>607.64958196462283</v>
      </c>
      <c r="AG326" s="3">
        <f>+D.sign_Data[[#This Row],[VALOR NETO ($COP)]]+D.sign_Data[[#This Row],[NEGOCIACIÓN ($COP)]]+D.sign_Data[[#This Row],[ICA ($COP)]]+D.sign_Data[[#This Row],[4 * 1000 ($COP)]]</f>
        <v>61980.25736039153</v>
      </c>
    </row>
    <row r="327" spans="1:33" ht="60" hidden="1" customHeight="1" x14ac:dyDescent="0.25">
      <c r="A327" s="14"/>
      <c r="B327" s="87" t="s">
        <v>442</v>
      </c>
      <c r="C327" s="182" t="s">
        <v>672</v>
      </c>
      <c r="D327" s="189" t="str">
        <f>VLOOKUP(D.sign_Data[[#This Row],[CÓDIGO]],Descripciones[[CÓDIGO]:[NOMBRE DE SERVICIO]],3,FALSE)</f>
        <v>D1. Parcelaciones y Condominios</v>
      </c>
      <c r="E327" s="87" t="s">
        <v>420</v>
      </c>
      <c r="F327" s="88" t="s">
        <v>673</v>
      </c>
      <c r="G327" s="88" t="s">
        <v>674</v>
      </c>
      <c r="H327" s="104" t="s">
        <v>675</v>
      </c>
      <c r="I327" s="89">
        <v>1</v>
      </c>
      <c r="J327" s="88" t="s">
        <v>680</v>
      </c>
      <c r="K327" s="102"/>
      <c r="L327" s="88" t="s">
        <v>686</v>
      </c>
      <c r="M327" s="89" t="s">
        <v>381</v>
      </c>
      <c r="N327" s="90">
        <v>0.2</v>
      </c>
      <c r="O327" s="27">
        <f>IFERROR(+VLOOKUP(M327,D.sign_Lista_Data[[RESPONSABLE]:[SOFTWARE 
VALOR HORA]],3,FALSE),"0")</f>
        <v>20263.424518743668</v>
      </c>
      <c r="P327" s="3">
        <f t="shared" si="10"/>
        <v>4052.6849037487336</v>
      </c>
      <c r="Q327" s="11">
        <f>IFERROR(+VLOOKUP(M327,D.sign_Lista_Data[[RESPONSABLE]:[SOFTWARE 
VALOR HORA]],5,FALSE)*D.sign_Data[[#This Row],[TIEMPO (HORAS)]],0)</f>
        <v>844.30935494765276</v>
      </c>
      <c r="R327" s="42">
        <f>IFERROR(+VLOOKUP(M327,D.sign_Lista_Data[[RESPONSABLE]:[SOFTWARE 
VALOR HORA]],8,FALSE)*D.sign_Data[[#This Row],[TIEMPO (HORAS)]],0)</f>
        <v>682.17097742879673</v>
      </c>
      <c r="S327" s="99">
        <v>0</v>
      </c>
      <c r="T327" s="99">
        <v>0</v>
      </c>
      <c r="U327" s="3">
        <f t="shared" si="11"/>
        <v>5579.1652361251827</v>
      </c>
      <c r="V327" s="100">
        <f>D.sign_Data[[#This Row],[TIEMPO (HORAS)]]*Gastos_Operativos[[#Totals],[GASTOS HORA]]</f>
        <v>5557.8954144620802</v>
      </c>
      <c r="W327" s="3">
        <f>+D.sign_Data[[#This Row],[COSTO 
DIRECTO ($COP)]]+D.sign_Data[[#This Row],[PRORRATEO GASTOS ($COP)]]</f>
        <v>11137.060650587264</v>
      </c>
      <c r="X327" s="101">
        <v>0.1</v>
      </c>
      <c r="Y327" s="15">
        <f>+D.sign_Data[[#This Row],[COSTOS OPERACIONALES ($COP)]]*D.sign_Data[[#This Row],[DESFASE (%)]]</f>
        <v>1113.7060650587264</v>
      </c>
      <c r="Z327" s="101">
        <v>0.15</v>
      </c>
      <c r="AA327" s="15">
        <f>+((D.sign_Data[[#This Row],[COSTOS OPERACIONALES ($COP)]]/(100%-D.sign_Data[[#This Row],[UTILIDAD (%)]])))-D.sign_Data[[#This Row],[COSTOS OPERACIONALES ($COP)]]</f>
        <v>1965.3636442212828</v>
      </c>
      <c r="AB327" s="3">
        <f>+D.sign_Data[[#This Row],[COSTOS OPERACIONALES ($COP)]]+D.sign_Data[[#This Row],[DESFASE ($COP)]]+D.sign_Data[[#This Row],[UTILIDAD ($COP)]]</f>
        <v>14216.130359867273</v>
      </c>
      <c r="AC327" s="101">
        <v>0.05</v>
      </c>
      <c r="AD327" s="15">
        <f>+D.sign_Data[[#This Row],[VALOR NETO ($COP)]]/(100%-D.sign_Data[[#This Row],[MARGEN DE NEGOCIACIÓN (%)]])-D.sign_Data[[#This Row],[VALOR NETO ($COP)]]</f>
        <v>748.21738736143561</v>
      </c>
      <c r="AE327" s="15">
        <f>+(D.sign_Data[[#This Row],[VALOR NETO ($COP)]]+D.sign_Data[[#This Row],[NEGOCIACIÓN ($COP)]])*1%</f>
        <v>149.64347747228709</v>
      </c>
      <c r="AF327" s="15">
        <f>+(D.sign_Data[[#This Row],[VALOR NETO ($COP)]]+D.sign_Data[[#This Row],[NEGOCIACIÓN ($COP)]])*1%</f>
        <v>149.64347747228709</v>
      </c>
      <c r="AG327" s="3">
        <f>+D.sign_Data[[#This Row],[VALOR NETO ($COP)]]+D.sign_Data[[#This Row],[NEGOCIACIÓN ($COP)]]+D.sign_Data[[#This Row],[ICA ($COP)]]+D.sign_Data[[#This Row],[4 * 1000 ($COP)]]</f>
        <v>15263.634702173284</v>
      </c>
    </row>
    <row r="328" spans="1:33" ht="60" hidden="1" customHeight="1" x14ac:dyDescent="0.25">
      <c r="A328" s="14"/>
      <c r="B328" s="87" t="s">
        <v>442</v>
      </c>
      <c r="C328" s="182" t="s">
        <v>672</v>
      </c>
      <c r="D328" s="189" t="str">
        <f>VLOOKUP(D.sign_Data[[#This Row],[CÓDIGO]],Descripciones[[CÓDIGO]:[NOMBRE DE SERVICIO]],3,FALSE)</f>
        <v>D1. Parcelaciones y Condominios</v>
      </c>
      <c r="E328" s="87" t="s">
        <v>420</v>
      </c>
      <c r="F328" s="88" t="s">
        <v>673</v>
      </c>
      <c r="G328" s="88" t="s">
        <v>674</v>
      </c>
      <c r="H328" s="104" t="s">
        <v>675</v>
      </c>
      <c r="I328" s="89">
        <v>1</v>
      </c>
      <c r="J328" s="88" t="s">
        <v>680</v>
      </c>
      <c r="K328" s="102"/>
      <c r="L328" s="88" t="s">
        <v>687</v>
      </c>
      <c r="M328" s="89" t="s">
        <v>381</v>
      </c>
      <c r="N328" s="90">
        <v>0.2</v>
      </c>
      <c r="O328" s="27">
        <f>IFERROR(+VLOOKUP(M328,D.sign_Lista_Data[[RESPONSABLE]:[SOFTWARE 
VALOR HORA]],3,FALSE),"0")</f>
        <v>20263.424518743668</v>
      </c>
      <c r="P328" s="3">
        <f t="shared" si="10"/>
        <v>4052.6849037487336</v>
      </c>
      <c r="Q328" s="11">
        <f>IFERROR(+VLOOKUP(M328,D.sign_Lista_Data[[RESPONSABLE]:[SOFTWARE 
VALOR HORA]],5,FALSE)*D.sign_Data[[#This Row],[TIEMPO (HORAS)]],0)</f>
        <v>844.30935494765276</v>
      </c>
      <c r="R328" s="42">
        <f>IFERROR(+VLOOKUP(M328,D.sign_Lista_Data[[RESPONSABLE]:[SOFTWARE 
VALOR HORA]],8,FALSE)*D.sign_Data[[#This Row],[TIEMPO (HORAS)]],0)</f>
        <v>682.17097742879673</v>
      </c>
      <c r="S328" s="99">
        <v>20000</v>
      </c>
      <c r="T328" s="99">
        <v>0</v>
      </c>
      <c r="U328" s="3">
        <f t="shared" si="11"/>
        <v>25579.165236125184</v>
      </c>
      <c r="V328" s="100">
        <f>D.sign_Data[[#This Row],[TIEMPO (HORAS)]]*Gastos_Operativos[[#Totals],[GASTOS HORA]]</f>
        <v>5557.8954144620802</v>
      </c>
      <c r="W328" s="3">
        <f>+D.sign_Data[[#This Row],[COSTO 
DIRECTO ($COP)]]+D.sign_Data[[#This Row],[PRORRATEO GASTOS ($COP)]]</f>
        <v>31137.060650587264</v>
      </c>
      <c r="X328" s="101">
        <v>0.1</v>
      </c>
      <c r="Y328" s="15">
        <f>+D.sign_Data[[#This Row],[COSTOS OPERACIONALES ($COP)]]*D.sign_Data[[#This Row],[DESFASE (%)]]</f>
        <v>3113.7060650587264</v>
      </c>
      <c r="Z328" s="101">
        <v>0.15</v>
      </c>
      <c r="AA328" s="15">
        <f>+((D.sign_Data[[#This Row],[COSTOS OPERACIONALES ($COP)]]/(100%-D.sign_Data[[#This Row],[UTILIDAD (%)]])))-D.sign_Data[[#This Row],[COSTOS OPERACIONALES ($COP)]]</f>
        <v>5494.7754089271621</v>
      </c>
      <c r="AB328" s="3">
        <f>+D.sign_Data[[#This Row],[COSTOS OPERACIONALES ($COP)]]+D.sign_Data[[#This Row],[DESFASE ($COP)]]+D.sign_Data[[#This Row],[UTILIDAD ($COP)]]</f>
        <v>39745.542124573156</v>
      </c>
      <c r="AC328" s="101">
        <v>0.05</v>
      </c>
      <c r="AD328" s="15">
        <f>+D.sign_Data[[#This Row],[VALOR NETO ($COP)]]/(100%-D.sign_Data[[#This Row],[MARGEN DE NEGOCIACIÓN (%)]])-D.sign_Data[[#This Row],[VALOR NETO ($COP)]]</f>
        <v>2091.8706381354277</v>
      </c>
      <c r="AE328" s="15">
        <f>+(D.sign_Data[[#This Row],[VALOR NETO ($COP)]]+D.sign_Data[[#This Row],[NEGOCIACIÓN ($COP)]])*1%</f>
        <v>418.37412762708584</v>
      </c>
      <c r="AF328" s="15">
        <f>+(D.sign_Data[[#This Row],[VALOR NETO ($COP)]]+D.sign_Data[[#This Row],[NEGOCIACIÓN ($COP)]])*1%</f>
        <v>418.37412762708584</v>
      </c>
      <c r="AG328" s="3">
        <f>+D.sign_Data[[#This Row],[VALOR NETO ($COP)]]+D.sign_Data[[#This Row],[NEGOCIACIÓN ($COP)]]+D.sign_Data[[#This Row],[ICA ($COP)]]+D.sign_Data[[#This Row],[4 * 1000 ($COP)]]</f>
        <v>42674.161017962761</v>
      </c>
    </row>
    <row r="329" spans="1:33" ht="60" hidden="1" customHeight="1" x14ac:dyDescent="0.25">
      <c r="A329" s="14"/>
      <c r="B329" s="87" t="s">
        <v>442</v>
      </c>
      <c r="C329" s="182" t="s">
        <v>688</v>
      </c>
      <c r="D329" s="189" t="str">
        <f>VLOOKUP(D.sign_Data[[#This Row],[CÓDIGO]],Descripciones[[CÓDIGO]:[NOMBRE DE SERVICIO]],3,FALSE)</f>
        <v>D1. Parcelaciones y Condominios</v>
      </c>
      <c r="E329" s="87" t="s">
        <v>497</v>
      </c>
      <c r="F329" s="87" t="s">
        <v>689</v>
      </c>
      <c r="G329" s="88" t="s">
        <v>690</v>
      </c>
      <c r="H329" s="87" t="s">
        <v>207</v>
      </c>
      <c r="I329" s="92">
        <v>1</v>
      </c>
      <c r="J329" s="88" t="s">
        <v>691</v>
      </c>
      <c r="K329" s="102"/>
      <c r="L329" s="102" t="s">
        <v>692</v>
      </c>
      <c r="M329" s="89" t="s">
        <v>384</v>
      </c>
      <c r="N329" s="90">
        <v>2</v>
      </c>
      <c r="O329" s="27">
        <f>IFERROR(+VLOOKUP(M329,D.sign_Lista_Data[[RESPONSABLE]:[SOFTWARE 
VALOR HORA]],3,FALSE),"0")</f>
        <v>22796.352583586624</v>
      </c>
      <c r="P329" s="3">
        <f t="shared" si="10"/>
        <v>45592.705167173248</v>
      </c>
      <c r="Q329" s="11">
        <f>IFERROR(+VLOOKUP(M329,D.sign_Lista_Data[[RESPONSABLE]:[SOFTWARE 
VALOR HORA]],5,FALSE)*D.sign_Data[[#This Row],[TIEMPO (HORAS)]],0)</f>
        <v>5065.856129685917</v>
      </c>
      <c r="R329" s="11">
        <f>IFERROR(+VLOOKUP(M329,D.sign_Lista_Data[[RESPONSABLE]:[SOFTWARE 
VALOR HORA]],8,FALSE)*D.sign_Data[[#This Row],[TIEMPO (HORAS)]],0)</f>
        <v>6821.7097742879669</v>
      </c>
      <c r="S329" s="99"/>
      <c r="T329" s="99"/>
      <c r="U329" s="3">
        <f t="shared" si="11"/>
        <v>57480.27107114713</v>
      </c>
      <c r="V329" s="100">
        <f>D.sign_Data[[#This Row],[TIEMPO (HORAS)]]*Gastos_Operativos[[#Totals],[GASTOS HORA]]</f>
        <v>55578.954144620802</v>
      </c>
      <c r="W329" s="3">
        <f>+D.sign_Data[[#This Row],[COSTO 
DIRECTO ($COP)]]+D.sign_Data[[#This Row],[PRORRATEO GASTOS ($COP)]]</f>
        <v>113059.22521576793</v>
      </c>
      <c r="X329" s="101">
        <v>0.05</v>
      </c>
      <c r="Y329" s="15">
        <f>+D.sign_Data[[#This Row],[COSTOS OPERACIONALES ($COP)]]*D.sign_Data[[#This Row],[DESFASE (%)]]</f>
        <v>5652.9612607883973</v>
      </c>
      <c r="Z329" s="101">
        <v>0.4</v>
      </c>
      <c r="AA329" s="15">
        <f>+((D.sign_Data[[#This Row],[COSTOS OPERACIONALES ($COP)]]/(100%-D.sign_Data[[#This Row],[UTILIDAD (%)]])))-D.sign_Data[[#This Row],[COSTOS OPERACIONALES ($COP)]]</f>
        <v>75372.816810511969</v>
      </c>
      <c r="AB329" s="3">
        <f>+D.sign_Data[[#This Row],[COSTOS OPERACIONALES ($COP)]]+D.sign_Data[[#This Row],[DESFASE ($COP)]]+D.sign_Data[[#This Row],[UTILIDAD ($COP)]]</f>
        <v>194085.00328706828</v>
      </c>
      <c r="AC329" s="101">
        <v>0.05</v>
      </c>
      <c r="AD329" s="15">
        <f>+D.sign_Data[[#This Row],[VALOR NETO ($COP)]]/(100%-D.sign_Data[[#This Row],[MARGEN DE NEGOCIACIÓN (%)]])-D.sign_Data[[#This Row],[VALOR NETO ($COP)]]</f>
        <v>10215.000173003617</v>
      </c>
      <c r="AE329" s="15">
        <f>+(D.sign_Data[[#This Row],[VALOR NETO ($COP)]]+D.sign_Data[[#This Row],[NEGOCIACIÓN ($COP)]])*1%</f>
        <v>2043.0000346007189</v>
      </c>
      <c r="AF329" s="15">
        <f>+(D.sign_Data[[#This Row],[VALOR NETO ($COP)]]+D.sign_Data[[#This Row],[NEGOCIACIÓN ($COP)]])*1%</f>
        <v>2043.0000346007189</v>
      </c>
      <c r="AG329" s="3">
        <f>+D.sign_Data[[#This Row],[VALOR NETO ($COP)]]+D.sign_Data[[#This Row],[NEGOCIACIÓN ($COP)]]+D.sign_Data[[#This Row],[ICA ($COP)]]+D.sign_Data[[#This Row],[4 * 1000 ($COP)]]</f>
        <v>208386.00352927335</v>
      </c>
    </row>
    <row r="330" spans="1:33" ht="60" hidden="1" customHeight="1" x14ac:dyDescent="0.25">
      <c r="A330" s="14"/>
      <c r="B330" s="87" t="s">
        <v>442</v>
      </c>
      <c r="C330" s="182" t="s">
        <v>688</v>
      </c>
      <c r="D330" s="189" t="str">
        <f>VLOOKUP(D.sign_Data[[#This Row],[CÓDIGO]],Descripciones[[CÓDIGO]:[NOMBRE DE SERVICIO]],3,FALSE)</f>
        <v>D1. Parcelaciones y Condominios</v>
      </c>
      <c r="E330" s="87" t="s">
        <v>497</v>
      </c>
      <c r="F330" s="87" t="s">
        <v>689</v>
      </c>
      <c r="G330" s="88" t="s">
        <v>690</v>
      </c>
      <c r="H330" s="87" t="s">
        <v>207</v>
      </c>
      <c r="I330" s="92">
        <v>1</v>
      </c>
      <c r="J330" s="88" t="s">
        <v>691</v>
      </c>
      <c r="K330" s="102"/>
      <c r="L330" s="102" t="s">
        <v>693</v>
      </c>
      <c r="M330" s="89" t="s">
        <v>384</v>
      </c>
      <c r="N330" s="90">
        <v>3</v>
      </c>
      <c r="O330" s="27">
        <f>IFERROR(+VLOOKUP(M330,D.sign_Lista_Data[[RESPONSABLE]:[SOFTWARE 
VALOR HORA]],3,FALSE),"0")</f>
        <v>22796.352583586624</v>
      </c>
      <c r="P330" s="3">
        <f t="shared" si="10"/>
        <v>68389.057750759879</v>
      </c>
      <c r="Q330" s="11">
        <f>IFERROR(+VLOOKUP(M330,D.sign_Lista_Data[[RESPONSABLE]:[SOFTWARE 
VALOR HORA]],5,FALSE)*D.sign_Data[[#This Row],[TIEMPO (HORAS)]],0)</f>
        <v>7598.7841945288756</v>
      </c>
      <c r="R330" s="11">
        <f>IFERROR(+VLOOKUP(M330,D.sign_Lista_Data[[RESPONSABLE]:[SOFTWARE 
VALOR HORA]],8,FALSE)*D.sign_Data[[#This Row],[TIEMPO (HORAS)]],0)</f>
        <v>10232.56466143195</v>
      </c>
      <c r="S330" s="99"/>
      <c r="T330" s="99"/>
      <c r="U330" s="3">
        <f t="shared" si="11"/>
        <v>86220.406606720717</v>
      </c>
      <c r="V330" s="100">
        <f>D.sign_Data[[#This Row],[TIEMPO (HORAS)]]*Gastos_Operativos[[#Totals],[GASTOS HORA]]</f>
        <v>83368.431216931203</v>
      </c>
      <c r="W330" s="3">
        <f>+D.sign_Data[[#This Row],[COSTO 
DIRECTO ($COP)]]+D.sign_Data[[#This Row],[PRORRATEO GASTOS ($COP)]]</f>
        <v>169588.83782365191</v>
      </c>
      <c r="X330" s="101">
        <v>0.05</v>
      </c>
      <c r="Y330" s="15">
        <f>+D.sign_Data[[#This Row],[COSTOS OPERACIONALES ($COP)]]*D.sign_Data[[#This Row],[DESFASE (%)]]</f>
        <v>8479.441891182596</v>
      </c>
      <c r="Z330" s="101">
        <v>0.4</v>
      </c>
      <c r="AA330" s="15">
        <f>+((D.sign_Data[[#This Row],[COSTOS OPERACIONALES ($COP)]]/(100%-D.sign_Data[[#This Row],[UTILIDAD (%)]])))-D.sign_Data[[#This Row],[COSTOS OPERACIONALES ($COP)]]</f>
        <v>113059.22521576798</v>
      </c>
      <c r="AB330" s="3">
        <f>+D.sign_Data[[#This Row],[COSTOS OPERACIONALES ($COP)]]+D.sign_Data[[#This Row],[DESFASE ($COP)]]+D.sign_Data[[#This Row],[UTILIDAD ($COP)]]</f>
        <v>291127.5049306025</v>
      </c>
      <c r="AC330" s="101">
        <v>0.05</v>
      </c>
      <c r="AD330" s="15">
        <f>+D.sign_Data[[#This Row],[VALOR NETO ($COP)]]/(100%-D.sign_Data[[#This Row],[MARGEN DE NEGOCIACIÓN (%)]])-D.sign_Data[[#This Row],[VALOR NETO ($COP)]]</f>
        <v>15322.50025950541</v>
      </c>
      <c r="AE330" s="15">
        <f>+(D.sign_Data[[#This Row],[VALOR NETO ($COP)]]+D.sign_Data[[#This Row],[NEGOCIACIÓN ($COP)]])*1%</f>
        <v>3064.5000519010791</v>
      </c>
      <c r="AF330" s="15">
        <f>+(D.sign_Data[[#This Row],[VALOR NETO ($COP)]]+D.sign_Data[[#This Row],[NEGOCIACIÓN ($COP)]])*1%</f>
        <v>3064.5000519010791</v>
      </c>
      <c r="AG330" s="3">
        <f>+D.sign_Data[[#This Row],[VALOR NETO ($COP)]]+D.sign_Data[[#This Row],[NEGOCIACIÓN ($COP)]]+D.sign_Data[[#This Row],[ICA ($COP)]]+D.sign_Data[[#This Row],[4 * 1000 ($COP)]]</f>
        <v>312579.0052939101</v>
      </c>
    </row>
    <row r="331" spans="1:33" ht="60" hidden="1" customHeight="1" x14ac:dyDescent="0.25">
      <c r="A331" s="14"/>
      <c r="B331" s="87" t="s">
        <v>442</v>
      </c>
      <c r="C331" s="182" t="s">
        <v>688</v>
      </c>
      <c r="D331" s="189" t="str">
        <f>VLOOKUP(D.sign_Data[[#This Row],[CÓDIGO]],Descripciones[[CÓDIGO]:[NOMBRE DE SERVICIO]],3,FALSE)</f>
        <v>D1. Parcelaciones y Condominios</v>
      </c>
      <c r="E331" s="87" t="s">
        <v>497</v>
      </c>
      <c r="F331" s="87" t="s">
        <v>689</v>
      </c>
      <c r="G331" s="88" t="s">
        <v>690</v>
      </c>
      <c r="H331" s="87" t="s">
        <v>207</v>
      </c>
      <c r="I331" s="92">
        <v>1</v>
      </c>
      <c r="J331" s="88" t="s">
        <v>691</v>
      </c>
      <c r="K331" s="102"/>
      <c r="L331" s="102" t="s">
        <v>694</v>
      </c>
      <c r="M331" s="89" t="s">
        <v>384</v>
      </c>
      <c r="N331" s="90">
        <v>1</v>
      </c>
      <c r="O331" s="27">
        <f>IFERROR(+VLOOKUP(M331,D.sign_Lista_Data[[RESPONSABLE]:[SOFTWARE 
VALOR HORA]],3,FALSE),"0")</f>
        <v>22796.352583586624</v>
      </c>
      <c r="P331" s="3">
        <f t="shared" si="10"/>
        <v>22796.352583586624</v>
      </c>
      <c r="Q331" s="11">
        <f>IFERROR(+VLOOKUP(M331,D.sign_Lista_Data[[RESPONSABLE]:[SOFTWARE 
VALOR HORA]],5,FALSE)*D.sign_Data[[#This Row],[TIEMPO (HORAS)]],0)</f>
        <v>2532.9280648429585</v>
      </c>
      <c r="R331" s="11">
        <f>IFERROR(+VLOOKUP(M331,D.sign_Lista_Data[[RESPONSABLE]:[SOFTWARE 
VALOR HORA]],8,FALSE)*D.sign_Data[[#This Row],[TIEMPO (HORAS)]],0)</f>
        <v>3410.8548871439834</v>
      </c>
      <c r="S331" s="99"/>
      <c r="T331" s="99"/>
      <c r="U331" s="3">
        <f t="shared" si="11"/>
        <v>28740.135535573565</v>
      </c>
      <c r="V331" s="100">
        <f>D.sign_Data[[#This Row],[TIEMPO (HORAS)]]*Gastos_Operativos[[#Totals],[GASTOS HORA]]</f>
        <v>27789.477072310401</v>
      </c>
      <c r="W331" s="3">
        <f>+D.sign_Data[[#This Row],[COSTO 
DIRECTO ($COP)]]+D.sign_Data[[#This Row],[PRORRATEO GASTOS ($COP)]]</f>
        <v>56529.612607883966</v>
      </c>
      <c r="X331" s="101">
        <v>0.05</v>
      </c>
      <c r="Y331" s="15">
        <f>+D.sign_Data[[#This Row],[COSTOS OPERACIONALES ($COP)]]*D.sign_Data[[#This Row],[DESFASE (%)]]</f>
        <v>2826.4806303941987</v>
      </c>
      <c r="Z331" s="101">
        <v>0.4</v>
      </c>
      <c r="AA331" s="15">
        <f>+((D.sign_Data[[#This Row],[COSTOS OPERACIONALES ($COP)]]/(100%-D.sign_Data[[#This Row],[UTILIDAD (%)]])))-D.sign_Data[[#This Row],[COSTOS OPERACIONALES ($COP)]]</f>
        <v>37686.408405255985</v>
      </c>
      <c r="AB331" s="3">
        <f>+D.sign_Data[[#This Row],[COSTOS OPERACIONALES ($COP)]]+D.sign_Data[[#This Row],[DESFASE ($COP)]]+D.sign_Data[[#This Row],[UTILIDAD ($COP)]]</f>
        <v>97042.501643534139</v>
      </c>
      <c r="AC331" s="101">
        <v>0.05</v>
      </c>
      <c r="AD331" s="15">
        <f>+D.sign_Data[[#This Row],[VALOR NETO ($COP)]]/(100%-D.sign_Data[[#This Row],[MARGEN DE NEGOCIACIÓN (%)]])-D.sign_Data[[#This Row],[VALOR NETO ($COP)]]</f>
        <v>5107.5000865018083</v>
      </c>
      <c r="AE331" s="15">
        <f>+(D.sign_Data[[#This Row],[VALOR NETO ($COP)]]+D.sign_Data[[#This Row],[NEGOCIACIÓN ($COP)]])*1%</f>
        <v>1021.5000173003594</v>
      </c>
      <c r="AF331" s="15">
        <f>+(D.sign_Data[[#This Row],[VALOR NETO ($COP)]]+D.sign_Data[[#This Row],[NEGOCIACIÓN ($COP)]])*1%</f>
        <v>1021.5000173003594</v>
      </c>
      <c r="AG331" s="3">
        <f>+D.sign_Data[[#This Row],[VALOR NETO ($COP)]]+D.sign_Data[[#This Row],[NEGOCIACIÓN ($COP)]]+D.sign_Data[[#This Row],[ICA ($COP)]]+D.sign_Data[[#This Row],[4 * 1000 ($COP)]]</f>
        <v>104193.00176463668</v>
      </c>
    </row>
    <row r="332" spans="1:33" ht="60" hidden="1" customHeight="1" x14ac:dyDescent="0.25">
      <c r="A332" s="14"/>
      <c r="B332" s="87" t="s">
        <v>442</v>
      </c>
      <c r="C332" s="182" t="s">
        <v>688</v>
      </c>
      <c r="D332" s="189" t="str">
        <f>VLOOKUP(D.sign_Data[[#This Row],[CÓDIGO]],Descripciones[[CÓDIGO]:[NOMBRE DE SERVICIO]],3,FALSE)</f>
        <v>D1. Parcelaciones y Condominios</v>
      </c>
      <c r="E332" s="87" t="s">
        <v>497</v>
      </c>
      <c r="F332" s="87" t="s">
        <v>689</v>
      </c>
      <c r="G332" s="88" t="s">
        <v>690</v>
      </c>
      <c r="H332" s="87" t="s">
        <v>207</v>
      </c>
      <c r="I332" s="92">
        <v>1</v>
      </c>
      <c r="J332" s="88" t="s">
        <v>695</v>
      </c>
      <c r="K332" s="102"/>
      <c r="L332" s="102" t="s">
        <v>696</v>
      </c>
      <c r="M332" s="89" t="s">
        <v>384</v>
      </c>
      <c r="N332" s="90">
        <v>8</v>
      </c>
      <c r="O332" s="27">
        <f>IFERROR(+VLOOKUP(M332,D.sign_Lista_Data[[RESPONSABLE]:[SOFTWARE 
VALOR HORA]],3,FALSE),"0")</f>
        <v>22796.352583586624</v>
      </c>
      <c r="P332" s="3">
        <f t="shared" si="10"/>
        <v>182370.82066869299</v>
      </c>
      <c r="Q332" s="11">
        <f>IFERROR(+VLOOKUP(M332,D.sign_Lista_Data[[RESPONSABLE]:[SOFTWARE 
VALOR HORA]],5,FALSE)*D.sign_Data[[#This Row],[TIEMPO (HORAS)]],0)</f>
        <v>20263.424518743668</v>
      </c>
      <c r="R332" s="11">
        <f>IFERROR(+VLOOKUP(M332,D.sign_Lista_Data[[RESPONSABLE]:[SOFTWARE 
VALOR HORA]],8,FALSE)*D.sign_Data[[#This Row],[TIEMPO (HORAS)]],0)</f>
        <v>27286.839097151867</v>
      </c>
      <c r="S332" s="99"/>
      <c r="T332" s="99"/>
      <c r="U332" s="3">
        <f t="shared" si="11"/>
        <v>229921.08428458852</v>
      </c>
      <c r="V332" s="100">
        <f>D.sign_Data[[#This Row],[TIEMPO (HORAS)]]*Gastos_Operativos[[#Totals],[GASTOS HORA]]</f>
        <v>222315.81657848321</v>
      </c>
      <c r="W332" s="3">
        <f>+D.sign_Data[[#This Row],[COSTO 
DIRECTO ($COP)]]+D.sign_Data[[#This Row],[PRORRATEO GASTOS ($COP)]]</f>
        <v>452236.90086307173</v>
      </c>
      <c r="X332" s="101">
        <v>0.05</v>
      </c>
      <c r="Y332" s="15">
        <f>+D.sign_Data[[#This Row],[COSTOS OPERACIONALES ($COP)]]*D.sign_Data[[#This Row],[DESFASE (%)]]</f>
        <v>22611.845043153589</v>
      </c>
      <c r="Z332" s="101">
        <v>0.4</v>
      </c>
      <c r="AA332" s="15">
        <f>+((D.sign_Data[[#This Row],[COSTOS OPERACIONALES ($COP)]]/(100%-D.sign_Data[[#This Row],[UTILIDAD (%)]])))-D.sign_Data[[#This Row],[COSTOS OPERACIONALES ($COP)]]</f>
        <v>301491.26724204788</v>
      </c>
      <c r="AB332" s="3">
        <f>+D.sign_Data[[#This Row],[COSTOS OPERACIONALES ($COP)]]+D.sign_Data[[#This Row],[DESFASE ($COP)]]+D.sign_Data[[#This Row],[UTILIDAD ($COP)]]</f>
        <v>776340.01314827311</v>
      </c>
      <c r="AC332" s="101">
        <v>0.05</v>
      </c>
      <c r="AD332" s="15">
        <f>+D.sign_Data[[#This Row],[VALOR NETO ($COP)]]/(100%-D.sign_Data[[#This Row],[MARGEN DE NEGOCIACIÓN (%)]])-D.sign_Data[[#This Row],[VALOR NETO ($COP)]]</f>
        <v>40860.000692014466</v>
      </c>
      <c r="AE332" s="15">
        <f>+(D.sign_Data[[#This Row],[VALOR NETO ($COP)]]+D.sign_Data[[#This Row],[NEGOCIACIÓN ($COP)]])*1%</f>
        <v>8172.0001384028756</v>
      </c>
      <c r="AF332" s="15">
        <f>+(D.sign_Data[[#This Row],[VALOR NETO ($COP)]]+D.sign_Data[[#This Row],[NEGOCIACIÓN ($COP)]])*1%</f>
        <v>8172.0001384028756</v>
      </c>
      <c r="AG332" s="3">
        <f>+D.sign_Data[[#This Row],[VALOR NETO ($COP)]]+D.sign_Data[[#This Row],[NEGOCIACIÓN ($COP)]]+D.sign_Data[[#This Row],[ICA ($COP)]]+D.sign_Data[[#This Row],[4 * 1000 ($COP)]]</f>
        <v>833544.01411709341</v>
      </c>
    </row>
    <row r="333" spans="1:33" ht="60" hidden="1" customHeight="1" x14ac:dyDescent="0.25">
      <c r="A333" s="14"/>
      <c r="B333" s="87" t="s">
        <v>442</v>
      </c>
      <c r="C333" s="182" t="s">
        <v>688</v>
      </c>
      <c r="D333" s="189" t="str">
        <f>VLOOKUP(D.sign_Data[[#This Row],[CÓDIGO]],Descripciones[[CÓDIGO]:[NOMBRE DE SERVICIO]],3,FALSE)</f>
        <v>D1. Parcelaciones y Condominios</v>
      </c>
      <c r="E333" s="87" t="s">
        <v>497</v>
      </c>
      <c r="F333" s="87" t="s">
        <v>689</v>
      </c>
      <c r="G333" s="88" t="s">
        <v>690</v>
      </c>
      <c r="H333" s="87" t="s">
        <v>207</v>
      </c>
      <c r="I333" s="92">
        <v>1</v>
      </c>
      <c r="J333" s="88" t="s">
        <v>695</v>
      </c>
      <c r="K333" s="102"/>
      <c r="L333" s="102" t="s">
        <v>697</v>
      </c>
      <c r="M333" s="89" t="s">
        <v>384</v>
      </c>
      <c r="N333" s="90">
        <v>0.5</v>
      </c>
      <c r="O333" s="27">
        <f>IFERROR(+VLOOKUP(M333,D.sign_Lista_Data[[RESPONSABLE]:[SOFTWARE 
VALOR HORA]],3,FALSE),"0")</f>
        <v>22796.352583586624</v>
      </c>
      <c r="P333" s="3">
        <f t="shared" si="10"/>
        <v>11398.176291793312</v>
      </c>
      <c r="Q333" s="11">
        <f>IFERROR(+VLOOKUP(M333,D.sign_Lista_Data[[RESPONSABLE]:[SOFTWARE 
VALOR HORA]],5,FALSE)*D.sign_Data[[#This Row],[TIEMPO (HORAS)]],0)</f>
        <v>1266.4640324214793</v>
      </c>
      <c r="R333" s="11">
        <f>IFERROR(+VLOOKUP(M333,D.sign_Lista_Data[[RESPONSABLE]:[SOFTWARE 
VALOR HORA]],8,FALSE)*D.sign_Data[[#This Row],[TIEMPO (HORAS)]],0)</f>
        <v>1705.4274435719917</v>
      </c>
      <c r="S333" s="99"/>
      <c r="T333" s="99"/>
      <c r="U333" s="3">
        <f t="shared" si="11"/>
        <v>14370.067767786782</v>
      </c>
      <c r="V333" s="100">
        <f>D.sign_Data[[#This Row],[TIEMPO (HORAS)]]*Gastos_Operativos[[#Totals],[GASTOS HORA]]</f>
        <v>13894.738536155201</v>
      </c>
      <c r="W333" s="3">
        <f>+D.sign_Data[[#This Row],[COSTO 
DIRECTO ($COP)]]+D.sign_Data[[#This Row],[PRORRATEO GASTOS ($COP)]]</f>
        <v>28264.806303941983</v>
      </c>
      <c r="X333" s="101">
        <v>0.05</v>
      </c>
      <c r="Y333" s="15">
        <f>+D.sign_Data[[#This Row],[COSTOS OPERACIONALES ($COP)]]*D.sign_Data[[#This Row],[DESFASE (%)]]</f>
        <v>1413.2403151970993</v>
      </c>
      <c r="Z333" s="101">
        <v>0.4</v>
      </c>
      <c r="AA333" s="15">
        <f>+((D.sign_Data[[#This Row],[COSTOS OPERACIONALES ($COP)]]/(100%-D.sign_Data[[#This Row],[UTILIDAD (%)]])))-D.sign_Data[[#This Row],[COSTOS OPERACIONALES ($COP)]]</f>
        <v>18843.204202627992</v>
      </c>
      <c r="AB333" s="3">
        <f>+D.sign_Data[[#This Row],[COSTOS OPERACIONALES ($COP)]]+D.sign_Data[[#This Row],[DESFASE ($COP)]]+D.sign_Data[[#This Row],[UTILIDAD ($COP)]]</f>
        <v>48521.250821767069</v>
      </c>
      <c r="AC333" s="101">
        <v>0.05</v>
      </c>
      <c r="AD333" s="15">
        <f>+D.sign_Data[[#This Row],[VALOR NETO ($COP)]]/(100%-D.sign_Data[[#This Row],[MARGEN DE NEGOCIACIÓN (%)]])-D.sign_Data[[#This Row],[VALOR NETO ($COP)]]</f>
        <v>2553.7500432509041</v>
      </c>
      <c r="AE333" s="15">
        <f>+(D.sign_Data[[#This Row],[VALOR NETO ($COP)]]+D.sign_Data[[#This Row],[NEGOCIACIÓN ($COP)]])*1%</f>
        <v>510.75000865017972</v>
      </c>
      <c r="AF333" s="15">
        <f>+(D.sign_Data[[#This Row],[VALOR NETO ($COP)]]+D.sign_Data[[#This Row],[NEGOCIACIÓN ($COP)]])*1%</f>
        <v>510.75000865017972</v>
      </c>
      <c r="AG333" s="3">
        <f>+D.sign_Data[[#This Row],[VALOR NETO ($COP)]]+D.sign_Data[[#This Row],[NEGOCIACIÓN ($COP)]]+D.sign_Data[[#This Row],[ICA ($COP)]]+D.sign_Data[[#This Row],[4 * 1000 ($COP)]]</f>
        <v>52096.500882318338</v>
      </c>
    </row>
    <row r="334" spans="1:33" ht="60" hidden="1" customHeight="1" x14ac:dyDescent="0.25">
      <c r="A334" s="14"/>
      <c r="B334" s="87" t="s">
        <v>442</v>
      </c>
      <c r="C334" s="182" t="s">
        <v>688</v>
      </c>
      <c r="D334" s="189" t="str">
        <f>VLOOKUP(D.sign_Data[[#This Row],[CÓDIGO]],Descripciones[[CÓDIGO]:[NOMBRE DE SERVICIO]],3,FALSE)</f>
        <v>D1. Parcelaciones y Condominios</v>
      </c>
      <c r="E334" s="87" t="s">
        <v>497</v>
      </c>
      <c r="F334" s="87" t="s">
        <v>689</v>
      </c>
      <c r="G334" s="88" t="s">
        <v>690</v>
      </c>
      <c r="H334" s="87" t="s">
        <v>207</v>
      </c>
      <c r="I334" s="92">
        <v>1</v>
      </c>
      <c r="J334" s="88" t="s">
        <v>695</v>
      </c>
      <c r="K334" s="102"/>
      <c r="L334" s="102" t="s">
        <v>698</v>
      </c>
      <c r="M334" s="89" t="s">
        <v>384</v>
      </c>
      <c r="N334" s="90">
        <v>1</v>
      </c>
      <c r="O334" s="27">
        <f>IFERROR(+VLOOKUP(M334,D.sign_Lista_Data[[RESPONSABLE]:[SOFTWARE 
VALOR HORA]],3,FALSE),"0")</f>
        <v>22796.352583586624</v>
      </c>
      <c r="P334" s="3">
        <f t="shared" si="10"/>
        <v>22796.352583586624</v>
      </c>
      <c r="Q334" s="11">
        <f>IFERROR(+VLOOKUP(M334,D.sign_Lista_Data[[RESPONSABLE]:[SOFTWARE 
VALOR HORA]],5,FALSE)*D.sign_Data[[#This Row],[TIEMPO (HORAS)]],0)</f>
        <v>2532.9280648429585</v>
      </c>
      <c r="R334" s="11">
        <f>IFERROR(+VLOOKUP(M334,D.sign_Lista_Data[[RESPONSABLE]:[SOFTWARE 
VALOR HORA]],8,FALSE)*D.sign_Data[[#This Row],[TIEMPO (HORAS)]],0)</f>
        <v>3410.8548871439834</v>
      </c>
      <c r="S334" s="99"/>
      <c r="T334" s="99"/>
      <c r="U334" s="3">
        <f t="shared" si="11"/>
        <v>28740.135535573565</v>
      </c>
      <c r="V334" s="100">
        <f>D.sign_Data[[#This Row],[TIEMPO (HORAS)]]*Gastos_Operativos[[#Totals],[GASTOS HORA]]</f>
        <v>27789.477072310401</v>
      </c>
      <c r="W334" s="3">
        <f>+D.sign_Data[[#This Row],[COSTO 
DIRECTO ($COP)]]+D.sign_Data[[#This Row],[PRORRATEO GASTOS ($COP)]]</f>
        <v>56529.612607883966</v>
      </c>
      <c r="X334" s="101">
        <v>0.05</v>
      </c>
      <c r="Y334" s="15">
        <f>+D.sign_Data[[#This Row],[COSTOS OPERACIONALES ($COP)]]*D.sign_Data[[#This Row],[DESFASE (%)]]</f>
        <v>2826.4806303941987</v>
      </c>
      <c r="Z334" s="101">
        <v>0.4</v>
      </c>
      <c r="AA334" s="15">
        <f>+((D.sign_Data[[#This Row],[COSTOS OPERACIONALES ($COP)]]/(100%-D.sign_Data[[#This Row],[UTILIDAD (%)]])))-D.sign_Data[[#This Row],[COSTOS OPERACIONALES ($COP)]]</f>
        <v>37686.408405255985</v>
      </c>
      <c r="AB334" s="3">
        <f>+D.sign_Data[[#This Row],[COSTOS OPERACIONALES ($COP)]]+D.sign_Data[[#This Row],[DESFASE ($COP)]]+D.sign_Data[[#This Row],[UTILIDAD ($COP)]]</f>
        <v>97042.501643534139</v>
      </c>
      <c r="AC334" s="101">
        <v>0.05</v>
      </c>
      <c r="AD334" s="15">
        <f>+D.sign_Data[[#This Row],[VALOR NETO ($COP)]]/(100%-D.sign_Data[[#This Row],[MARGEN DE NEGOCIACIÓN (%)]])-D.sign_Data[[#This Row],[VALOR NETO ($COP)]]</f>
        <v>5107.5000865018083</v>
      </c>
      <c r="AE334" s="15">
        <f>+(D.sign_Data[[#This Row],[VALOR NETO ($COP)]]+D.sign_Data[[#This Row],[NEGOCIACIÓN ($COP)]])*1%</f>
        <v>1021.5000173003594</v>
      </c>
      <c r="AF334" s="15">
        <f>+(D.sign_Data[[#This Row],[VALOR NETO ($COP)]]+D.sign_Data[[#This Row],[NEGOCIACIÓN ($COP)]])*1%</f>
        <v>1021.5000173003594</v>
      </c>
      <c r="AG334" s="3">
        <f>+D.sign_Data[[#This Row],[VALOR NETO ($COP)]]+D.sign_Data[[#This Row],[NEGOCIACIÓN ($COP)]]+D.sign_Data[[#This Row],[ICA ($COP)]]+D.sign_Data[[#This Row],[4 * 1000 ($COP)]]</f>
        <v>104193.00176463668</v>
      </c>
    </row>
    <row r="335" spans="1:33" ht="60" hidden="1" customHeight="1" x14ac:dyDescent="0.25">
      <c r="A335" s="14"/>
      <c r="B335" s="87" t="s">
        <v>442</v>
      </c>
      <c r="C335" s="182" t="s">
        <v>688</v>
      </c>
      <c r="D335" s="189" t="str">
        <f>VLOOKUP(D.sign_Data[[#This Row],[CÓDIGO]],Descripciones[[CÓDIGO]:[NOMBRE DE SERVICIO]],3,FALSE)</f>
        <v>D1. Parcelaciones y Condominios</v>
      </c>
      <c r="E335" s="87" t="s">
        <v>497</v>
      </c>
      <c r="F335" s="87" t="s">
        <v>689</v>
      </c>
      <c r="G335" s="88" t="s">
        <v>690</v>
      </c>
      <c r="H335" s="87" t="s">
        <v>207</v>
      </c>
      <c r="I335" s="92">
        <v>1</v>
      </c>
      <c r="J335" s="88" t="s">
        <v>695</v>
      </c>
      <c r="K335" s="102"/>
      <c r="L335" s="102" t="s">
        <v>699</v>
      </c>
      <c r="M335" s="89" t="s">
        <v>384</v>
      </c>
      <c r="N335" s="90">
        <v>4</v>
      </c>
      <c r="O335" s="27">
        <f>IFERROR(+VLOOKUP(M335,D.sign_Lista_Data[[RESPONSABLE]:[SOFTWARE 
VALOR HORA]],3,FALSE),"0")</f>
        <v>22796.352583586624</v>
      </c>
      <c r="P335" s="3">
        <f t="shared" si="10"/>
        <v>91185.410334346496</v>
      </c>
      <c r="Q335" s="11">
        <f>IFERROR(+VLOOKUP(M335,D.sign_Lista_Data[[RESPONSABLE]:[SOFTWARE 
VALOR HORA]],5,FALSE)*D.sign_Data[[#This Row],[TIEMPO (HORAS)]],0)</f>
        <v>10131.712259371834</v>
      </c>
      <c r="R335" s="11">
        <f>IFERROR(+VLOOKUP(M335,D.sign_Lista_Data[[RESPONSABLE]:[SOFTWARE 
VALOR HORA]],8,FALSE)*D.sign_Data[[#This Row],[TIEMPO (HORAS)]],0)</f>
        <v>13643.419548575934</v>
      </c>
      <c r="S335" s="99"/>
      <c r="T335" s="99"/>
      <c r="U335" s="3">
        <f t="shared" si="11"/>
        <v>114960.54214229426</v>
      </c>
      <c r="V335" s="100">
        <f>D.sign_Data[[#This Row],[TIEMPO (HORAS)]]*Gastos_Operativos[[#Totals],[GASTOS HORA]]</f>
        <v>111157.9082892416</v>
      </c>
      <c r="W335" s="3">
        <f>+D.sign_Data[[#This Row],[COSTO 
DIRECTO ($COP)]]+D.sign_Data[[#This Row],[PRORRATEO GASTOS ($COP)]]</f>
        <v>226118.45043153586</v>
      </c>
      <c r="X335" s="101">
        <v>0.05</v>
      </c>
      <c r="Y335" s="15">
        <f>+D.sign_Data[[#This Row],[COSTOS OPERACIONALES ($COP)]]*D.sign_Data[[#This Row],[DESFASE (%)]]</f>
        <v>11305.922521576795</v>
      </c>
      <c r="Z335" s="101">
        <v>0.4</v>
      </c>
      <c r="AA335" s="15">
        <f>+((D.sign_Data[[#This Row],[COSTOS OPERACIONALES ($COP)]]/(100%-D.sign_Data[[#This Row],[UTILIDAD (%)]])))-D.sign_Data[[#This Row],[COSTOS OPERACIONALES ($COP)]]</f>
        <v>150745.63362102394</v>
      </c>
      <c r="AB335" s="3">
        <f>+D.sign_Data[[#This Row],[COSTOS OPERACIONALES ($COP)]]+D.sign_Data[[#This Row],[DESFASE ($COP)]]+D.sign_Data[[#This Row],[UTILIDAD ($COP)]]</f>
        <v>388170.00657413655</v>
      </c>
      <c r="AC335" s="101">
        <v>0.05</v>
      </c>
      <c r="AD335" s="15">
        <f>+D.sign_Data[[#This Row],[VALOR NETO ($COP)]]/(100%-D.sign_Data[[#This Row],[MARGEN DE NEGOCIACIÓN (%)]])-D.sign_Data[[#This Row],[VALOR NETO ($COP)]]</f>
        <v>20430.000346007233</v>
      </c>
      <c r="AE335" s="15">
        <f>+(D.sign_Data[[#This Row],[VALOR NETO ($COP)]]+D.sign_Data[[#This Row],[NEGOCIACIÓN ($COP)]])*1%</f>
        <v>4086.0000692014378</v>
      </c>
      <c r="AF335" s="15">
        <f>+(D.sign_Data[[#This Row],[VALOR NETO ($COP)]]+D.sign_Data[[#This Row],[NEGOCIACIÓN ($COP)]])*1%</f>
        <v>4086.0000692014378</v>
      </c>
      <c r="AG335" s="3">
        <f>+D.sign_Data[[#This Row],[VALOR NETO ($COP)]]+D.sign_Data[[#This Row],[NEGOCIACIÓN ($COP)]]+D.sign_Data[[#This Row],[ICA ($COP)]]+D.sign_Data[[#This Row],[4 * 1000 ($COP)]]</f>
        <v>416772.0070585467</v>
      </c>
    </row>
    <row r="336" spans="1:33" ht="60" hidden="1" customHeight="1" x14ac:dyDescent="0.25">
      <c r="A336" s="14"/>
      <c r="B336" s="87" t="s">
        <v>442</v>
      </c>
      <c r="C336" s="182" t="s">
        <v>688</v>
      </c>
      <c r="D336" s="189" t="str">
        <f>VLOOKUP(D.sign_Data[[#This Row],[CÓDIGO]],Descripciones[[CÓDIGO]:[NOMBRE DE SERVICIO]],3,FALSE)</f>
        <v>D1. Parcelaciones y Condominios</v>
      </c>
      <c r="E336" s="87" t="s">
        <v>497</v>
      </c>
      <c r="F336" s="87" t="s">
        <v>689</v>
      </c>
      <c r="G336" s="88" t="s">
        <v>690</v>
      </c>
      <c r="H336" s="87" t="s">
        <v>207</v>
      </c>
      <c r="I336" s="92">
        <v>1</v>
      </c>
      <c r="J336" s="88" t="s">
        <v>695</v>
      </c>
      <c r="K336" s="102"/>
      <c r="L336" s="102" t="s">
        <v>700</v>
      </c>
      <c r="M336" s="89" t="s">
        <v>384</v>
      </c>
      <c r="N336" s="90">
        <v>2</v>
      </c>
      <c r="O336" s="27">
        <f>IFERROR(+VLOOKUP(M336,D.sign_Lista_Data[[RESPONSABLE]:[SOFTWARE 
VALOR HORA]],3,FALSE),"0")</f>
        <v>22796.352583586624</v>
      </c>
      <c r="P336" s="3">
        <f t="shared" si="10"/>
        <v>45592.705167173248</v>
      </c>
      <c r="Q336" s="11">
        <f>IFERROR(+VLOOKUP(M336,D.sign_Lista_Data[[RESPONSABLE]:[SOFTWARE 
VALOR HORA]],5,FALSE)*D.sign_Data[[#This Row],[TIEMPO (HORAS)]],0)</f>
        <v>5065.856129685917</v>
      </c>
      <c r="R336" s="11">
        <f>IFERROR(+VLOOKUP(M336,D.sign_Lista_Data[[RESPONSABLE]:[SOFTWARE 
VALOR HORA]],8,FALSE)*D.sign_Data[[#This Row],[TIEMPO (HORAS)]],0)</f>
        <v>6821.7097742879669</v>
      </c>
      <c r="S336" s="99"/>
      <c r="T336" s="99"/>
      <c r="U336" s="3">
        <f t="shared" si="11"/>
        <v>57480.27107114713</v>
      </c>
      <c r="V336" s="100">
        <f>D.sign_Data[[#This Row],[TIEMPO (HORAS)]]*Gastos_Operativos[[#Totals],[GASTOS HORA]]</f>
        <v>55578.954144620802</v>
      </c>
      <c r="W336" s="3">
        <f>+D.sign_Data[[#This Row],[COSTO 
DIRECTO ($COP)]]+D.sign_Data[[#This Row],[PRORRATEO GASTOS ($COP)]]</f>
        <v>113059.22521576793</v>
      </c>
      <c r="X336" s="101">
        <v>0.05</v>
      </c>
      <c r="Y336" s="15">
        <f>+D.sign_Data[[#This Row],[COSTOS OPERACIONALES ($COP)]]*D.sign_Data[[#This Row],[DESFASE (%)]]</f>
        <v>5652.9612607883973</v>
      </c>
      <c r="Z336" s="101">
        <v>0.4</v>
      </c>
      <c r="AA336" s="15">
        <f>+((D.sign_Data[[#This Row],[COSTOS OPERACIONALES ($COP)]]/(100%-D.sign_Data[[#This Row],[UTILIDAD (%)]])))-D.sign_Data[[#This Row],[COSTOS OPERACIONALES ($COP)]]</f>
        <v>75372.816810511969</v>
      </c>
      <c r="AB336" s="3">
        <f>+D.sign_Data[[#This Row],[COSTOS OPERACIONALES ($COP)]]+D.sign_Data[[#This Row],[DESFASE ($COP)]]+D.sign_Data[[#This Row],[UTILIDAD ($COP)]]</f>
        <v>194085.00328706828</v>
      </c>
      <c r="AC336" s="101">
        <v>0.05</v>
      </c>
      <c r="AD336" s="15">
        <f>+D.sign_Data[[#This Row],[VALOR NETO ($COP)]]/(100%-D.sign_Data[[#This Row],[MARGEN DE NEGOCIACIÓN (%)]])-D.sign_Data[[#This Row],[VALOR NETO ($COP)]]</f>
        <v>10215.000173003617</v>
      </c>
      <c r="AE336" s="15">
        <f>+(D.sign_Data[[#This Row],[VALOR NETO ($COP)]]+D.sign_Data[[#This Row],[NEGOCIACIÓN ($COP)]])*1%</f>
        <v>2043.0000346007189</v>
      </c>
      <c r="AF336" s="15">
        <f>+(D.sign_Data[[#This Row],[VALOR NETO ($COP)]]+D.sign_Data[[#This Row],[NEGOCIACIÓN ($COP)]])*1%</f>
        <v>2043.0000346007189</v>
      </c>
      <c r="AG336" s="3">
        <f>+D.sign_Data[[#This Row],[VALOR NETO ($COP)]]+D.sign_Data[[#This Row],[NEGOCIACIÓN ($COP)]]+D.sign_Data[[#This Row],[ICA ($COP)]]+D.sign_Data[[#This Row],[4 * 1000 ($COP)]]</f>
        <v>208386.00352927335</v>
      </c>
    </row>
    <row r="337" spans="1:33" ht="60" hidden="1" customHeight="1" x14ac:dyDescent="0.25">
      <c r="A337" s="14"/>
      <c r="B337" s="87" t="s">
        <v>442</v>
      </c>
      <c r="C337" s="182" t="s">
        <v>688</v>
      </c>
      <c r="D337" s="189" t="str">
        <f>VLOOKUP(D.sign_Data[[#This Row],[CÓDIGO]],Descripciones[[CÓDIGO]:[NOMBRE DE SERVICIO]],3,FALSE)</f>
        <v>D1. Parcelaciones y Condominios</v>
      </c>
      <c r="E337" s="87" t="s">
        <v>497</v>
      </c>
      <c r="F337" s="87" t="s">
        <v>689</v>
      </c>
      <c r="G337" s="88" t="s">
        <v>690</v>
      </c>
      <c r="H337" s="87" t="s">
        <v>207</v>
      </c>
      <c r="I337" s="92">
        <v>1</v>
      </c>
      <c r="J337" s="88" t="s">
        <v>701</v>
      </c>
      <c r="K337" s="102"/>
      <c r="L337" s="102" t="s">
        <v>702</v>
      </c>
      <c r="M337" s="89" t="s">
        <v>384</v>
      </c>
      <c r="N337" s="90">
        <v>8</v>
      </c>
      <c r="O337" s="27">
        <f>IFERROR(+VLOOKUP(M337,D.sign_Lista_Data[[RESPONSABLE]:[SOFTWARE 
VALOR HORA]],3,FALSE),"0")</f>
        <v>22796.352583586624</v>
      </c>
      <c r="P337" s="3">
        <f t="shared" si="10"/>
        <v>182370.82066869299</v>
      </c>
      <c r="Q337" s="11">
        <f>IFERROR(+VLOOKUP(M337,D.sign_Lista_Data[[RESPONSABLE]:[SOFTWARE 
VALOR HORA]],5,FALSE)*D.sign_Data[[#This Row],[TIEMPO (HORAS)]],0)</f>
        <v>20263.424518743668</v>
      </c>
      <c r="R337" s="11">
        <f>IFERROR(+VLOOKUP(M337,D.sign_Lista_Data[[RESPONSABLE]:[SOFTWARE 
VALOR HORA]],8,FALSE)*D.sign_Data[[#This Row],[TIEMPO (HORAS)]],0)</f>
        <v>27286.839097151867</v>
      </c>
      <c r="S337" s="99"/>
      <c r="T337" s="99"/>
      <c r="U337" s="3">
        <f t="shared" si="11"/>
        <v>229921.08428458852</v>
      </c>
      <c r="V337" s="100">
        <f>D.sign_Data[[#This Row],[TIEMPO (HORAS)]]*Gastos_Operativos[[#Totals],[GASTOS HORA]]</f>
        <v>222315.81657848321</v>
      </c>
      <c r="W337" s="3">
        <f>+D.sign_Data[[#This Row],[COSTO 
DIRECTO ($COP)]]+D.sign_Data[[#This Row],[PRORRATEO GASTOS ($COP)]]</f>
        <v>452236.90086307173</v>
      </c>
      <c r="X337" s="101">
        <v>0.05</v>
      </c>
      <c r="Y337" s="15">
        <f>+D.sign_Data[[#This Row],[COSTOS OPERACIONALES ($COP)]]*D.sign_Data[[#This Row],[DESFASE (%)]]</f>
        <v>22611.845043153589</v>
      </c>
      <c r="Z337" s="101">
        <v>0.4</v>
      </c>
      <c r="AA337" s="15">
        <f>+((D.sign_Data[[#This Row],[COSTOS OPERACIONALES ($COP)]]/(100%-D.sign_Data[[#This Row],[UTILIDAD (%)]])))-D.sign_Data[[#This Row],[COSTOS OPERACIONALES ($COP)]]</f>
        <v>301491.26724204788</v>
      </c>
      <c r="AB337" s="3">
        <f>+D.sign_Data[[#This Row],[COSTOS OPERACIONALES ($COP)]]+D.sign_Data[[#This Row],[DESFASE ($COP)]]+D.sign_Data[[#This Row],[UTILIDAD ($COP)]]</f>
        <v>776340.01314827311</v>
      </c>
      <c r="AC337" s="101">
        <v>0.05</v>
      </c>
      <c r="AD337" s="15">
        <f>+D.sign_Data[[#This Row],[VALOR NETO ($COP)]]/(100%-D.sign_Data[[#This Row],[MARGEN DE NEGOCIACIÓN (%)]])-D.sign_Data[[#This Row],[VALOR NETO ($COP)]]</f>
        <v>40860.000692014466</v>
      </c>
      <c r="AE337" s="15">
        <f>+(D.sign_Data[[#This Row],[VALOR NETO ($COP)]]+D.sign_Data[[#This Row],[NEGOCIACIÓN ($COP)]])*1%</f>
        <v>8172.0001384028756</v>
      </c>
      <c r="AF337" s="15">
        <f>+(D.sign_Data[[#This Row],[VALOR NETO ($COP)]]+D.sign_Data[[#This Row],[NEGOCIACIÓN ($COP)]])*1%</f>
        <v>8172.0001384028756</v>
      </c>
      <c r="AG337" s="3">
        <f>+D.sign_Data[[#This Row],[VALOR NETO ($COP)]]+D.sign_Data[[#This Row],[NEGOCIACIÓN ($COP)]]+D.sign_Data[[#This Row],[ICA ($COP)]]+D.sign_Data[[#This Row],[4 * 1000 ($COP)]]</f>
        <v>833544.01411709341</v>
      </c>
    </row>
    <row r="338" spans="1:33" ht="60" hidden="1" customHeight="1" x14ac:dyDescent="0.25">
      <c r="A338" s="14"/>
      <c r="B338" s="87" t="s">
        <v>442</v>
      </c>
      <c r="C338" s="182" t="s">
        <v>688</v>
      </c>
      <c r="D338" s="189" t="str">
        <f>VLOOKUP(D.sign_Data[[#This Row],[CÓDIGO]],Descripciones[[CÓDIGO]:[NOMBRE DE SERVICIO]],3,FALSE)</f>
        <v>D1. Parcelaciones y Condominios</v>
      </c>
      <c r="E338" s="87" t="s">
        <v>497</v>
      </c>
      <c r="F338" s="87" t="s">
        <v>689</v>
      </c>
      <c r="G338" s="88" t="s">
        <v>690</v>
      </c>
      <c r="H338" s="87" t="s">
        <v>207</v>
      </c>
      <c r="I338" s="92">
        <v>1</v>
      </c>
      <c r="J338" s="88" t="s">
        <v>701</v>
      </c>
      <c r="K338" s="102"/>
      <c r="L338" s="102" t="s">
        <v>290</v>
      </c>
      <c r="M338" s="89" t="s">
        <v>384</v>
      </c>
      <c r="N338" s="90">
        <v>0.5</v>
      </c>
      <c r="O338" s="27">
        <f>IFERROR(+VLOOKUP(M338,D.sign_Lista_Data[[RESPONSABLE]:[SOFTWARE 
VALOR HORA]],3,FALSE),"0")</f>
        <v>22796.352583586624</v>
      </c>
      <c r="P338" s="3">
        <f t="shared" si="10"/>
        <v>11398.176291793312</v>
      </c>
      <c r="Q338" s="11">
        <f>IFERROR(+VLOOKUP(M338,D.sign_Lista_Data[[RESPONSABLE]:[SOFTWARE 
VALOR HORA]],5,FALSE)*D.sign_Data[[#This Row],[TIEMPO (HORAS)]],0)</f>
        <v>1266.4640324214793</v>
      </c>
      <c r="R338" s="11">
        <f>IFERROR(+VLOOKUP(M338,D.sign_Lista_Data[[RESPONSABLE]:[SOFTWARE 
VALOR HORA]],8,FALSE)*D.sign_Data[[#This Row],[TIEMPO (HORAS)]],0)</f>
        <v>1705.4274435719917</v>
      </c>
      <c r="S338" s="99"/>
      <c r="T338" s="99"/>
      <c r="U338" s="3">
        <f t="shared" si="11"/>
        <v>14370.067767786782</v>
      </c>
      <c r="V338" s="100">
        <f>D.sign_Data[[#This Row],[TIEMPO (HORAS)]]*Gastos_Operativos[[#Totals],[GASTOS HORA]]</f>
        <v>13894.738536155201</v>
      </c>
      <c r="W338" s="3">
        <f>+D.sign_Data[[#This Row],[COSTO 
DIRECTO ($COP)]]+D.sign_Data[[#This Row],[PRORRATEO GASTOS ($COP)]]</f>
        <v>28264.806303941983</v>
      </c>
      <c r="X338" s="101">
        <v>0.05</v>
      </c>
      <c r="Y338" s="15">
        <f>+D.sign_Data[[#This Row],[COSTOS OPERACIONALES ($COP)]]*D.sign_Data[[#This Row],[DESFASE (%)]]</f>
        <v>1413.2403151970993</v>
      </c>
      <c r="Z338" s="101">
        <v>0.4</v>
      </c>
      <c r="AA338" s="15">
        <f>+((D.sign_Data[[#This Row],[COSTOS OPERACIONALES ($COP)]]/(100%-D.sign_Data[[#This Row],[UTILIDAD (%)]])))-D.sign_Data[[#This Row],[COSTOS OPERACIONALES ($COP)]]</f>
        <v>18843.204202627992</v>
      </c>
      <c r="AB338" s="3">
        <f>+D.sign_Data[[#This Row],[COSTOS OPERACIONALES ($COP)]]+D.sign_Data[[#This Row],[DESFASE ($COP)]]+D.sign_Data[[#This Row],[UTILIDAD ($COP)]]</f>
        <v>48521.250821767069</v>
      </c>
      <c r="AC338" s="101">
        <v>0.05</v>
      </c>
      <c r="AD338" s="15">
        <f>+D.sign_Data[[#This Row],[VALOR NETO ($COP)]]/(100%-D.sign_Data[[#This Row],[MARGEN DE NEGOCIACIÓN (%)]])-D.sign_Data[[#This Row],[VALOR NETO ($COP)]]</f>
        <v>2553.7500432509041</v>
      </c>
      <c r="AE338" s="15">
        <f>+(D.sign_Data[[#This Row],[VALOR NETO ($COP)]]+D.sign_Data[[#This Row],[NEGOCIACIÓN ($COP)]])*1%</f>
        <v>510.75000865017972</v>
      </c>
      <c r="AF338" s="15">
        <f>+(D.sign_Data[[#This Row],[VALOR NETO ($COP)]]+D.sign_Data[[#This Row],[NEGOCIACIÓN ($COP)]])*1%</f>
        <v>510.75000865017972</v>
      </c>
      <c r="AG338" s="3">
        <f>+D.sign_Data[[#This Row],[VALOR NETO ($COP)]]+D.sign_Data[[#This Row],[NEGOCIACIÓN ($COP)]]+D.sign_Data[[#This Row],[ICA ($COP)]]+D.sign_Data[[#This Row],[4 * 1000 ($COP)]]</f>
        <v>52096.500882318338</v>
      </c>
    </row>
    <row r="339" spans="1:33" ht="60" hidden="1" customHeight="1" x14ac:dyDescent="0.25">
      <c r="A339" s="14"/>
      <c r="B339" s="87" t="s">
        <v>442</v>
      </c>
      <c r="C339" s="182" t="s">
        <v>688</v>
      </c>
      <c r="D339" s="189" t="str">
        <f>VLOOKUP(D.sign_Data[[#This Row],[CÓDIGO]],Descripciones[[CÓDIGO]:[NOMBRE DE SERVICIO]],3,FALSE)</f>
        <v>D1. Parcelaciones y Condominios</v>
      </c>
      <c r="E339" s="87" t="s">
        <v>497</v>
      </c>
      <c r="F339" s="87" t="s">
        <v>689</v>
      </c>
      <c r="G339" s="88" t="s">
        <v>690</v>
      </c>
      <c r="H339" s="87" t="s">
        <v>207</v>
      </c>
      <c r="I339" s="92">
        <v>1</v>
      </c>
      <c r="J339" s="88" t="s">
        <v>701</v>
      </c>
      <c r="K339" s="102"/>
      <c r="L339" s="102" t="s">
        <v>703</v>
      </c>
      <c r="M339" s="89" t="s">
        <v>384</v>
      </c>
      <c r="N339" s="90">
        <v>0.5</v>
      </c>
      <c r="O339" s="27">
        <f>IFERROR(+VLOOKUP(M339,D.sign_Lista_Data[[RESPONSABLE]:[SOFTWARE 
VALOR HORA]],3,FALSE),"0")</f>
        <v>22796.352583586624</v>
      </c>
      <c r="P339" s="3">
        <f t="shared" si="10"/>
        <v>11398.176291793312</v>
      </c>
      <c r="Q339" s="11">
        <f>IFERROR(+VLOOKUP(M339,D.sign_Lista_Data[[RESPONSABLE]:[SOFTWARE 
VALOR HORA]],5,FALSE)*D.sign_Data[[#This Row],[TIEMPO (HORAS)]],0)</f>
        <v>1266.4640324214793</v>
      </c>
      <c r="R339" s="11">
        <f>IFERROR(+VLOOKUP(M339,D.sign_Lista_Data[[RESPONSABLE]:[SOFTWARE 
VALOR HORA]],8,FALSE)*D.sign_Data[[#This Row],[TIEMPO (HORAS)]],0)</f>
        <v>1705.4274435719917</v>
      </c>
      <c r="S339" s="99"/>
      <c r="T339" s="99"/>
      <c r="U339" s="3">
        <f t="shared" si="11"/>
        <v>14370.067767786782</v>
      </c>
      <c r="V339" s="100">
        <f>D.sign_Data[[#This Row],[TIEMPO (HORAS)]]*Gastos_Operativos[[#Totals],[GASTOS HORA]]</f>
        <v>13894.738536155201</v>
      </c>
      <c r="W339" s="3">
        <f>+D.sign_Data[[#This Row],[COSTO 
DIRECTO ($COP)]]+D.sign_Data[[#This Row],[PRORRATEO GASTOS ($COP)]]</f>
        <v>28264.806303941983</v>
      </c>
      <c r="X339" s="101">
        <v>0.05</v>
      </c>
      <c r="Y339" s="15">
        <f>+D.sign_Data[[#This Row],[COSTOS OPERACIONALES ($COP)]]*D.sign_Data[[#This Row],[DESFASE (%)]]</f>
        <v>1413.2403151970993</v>
      </c>
      <c r="Z339" s="101">
        <v>0.4</v>
      </c>
      <c r="AA339" s="15">
        <f>+((D.sign_Data[[#This Row],[COSTOS OPERACIONALES ($COP)]]/(100%-D.sign_Data[[#This Row],[UTILIDAD (%)]])))-D.sign_Data[[#This Row],[COSTOS OPERACIONALES ($COP)]]</f>
        <v>18843.204202627992</v>
      </c>
      <c r="AB339" s="3">
        <f>+D.sign_Data[[#This Row],[COSTOS OPERACIONALES ($COP)]]+D.sign_Data[[#This Row],[DESFASE ($COP)]]+D.sign_Data[[#This Row],[UTILIDAD ($COP)]]</f>
        <v>48521.250821767069</v>
      </c>
      <c r="AC339" s="101">
        <v>0.05</v>
      </c>
      <c r="AD339" s="15">
        <f>+D.sign_Data[[#This Row],[VALOR NETO ($COP)]]/(100%-D.sign_Data[[#This Row],[MARGEN DE NEGOCIACIÓN (%)]])-D.sign_Data[[#This Row],[VALOR NETO ($COP)]]</f>
        <v>2553.7500432509041</v>
      </c>
      <c r="AE339" s="15">
        <f>+(D.sign_Data[[#This Row],[VALOR NETO ($COP)]]+D.sign_Data[[#This Row],[NEGOCIACIÓN ($COP)]])*1%</f>
        <v>510.75000865017972</v>
      </c>
      <c r="AF339" s="15">
        <f>+(D.sign_Data[[#This Row],[VALOR NETO ($COP)]]+D.sign_Data[[#This Row],[NEGOCIACIÓN ($COP)]])*1%</f>
        <v>510.75000865017972</v>
      </c>
      <c r="AG339" s="3">
        <f>+D.sign_Data[[#This Row],[VALOR NETO ($COP)]]+D.sign_Data[[#This Row],[NEGOCIACIÓN ($COP)]]+D.sign_Data[[#This Row],[ICA ($COP)]]+D.sign_Data[[#This Row],[4 * 1000 ($COP)]]</f>
        <v>52096.500882318338</v>
      </c>
    </row>
    <row r="340" spans="1:33" ht="60" hidden="1" customHeight="1" x14ac:dyDescent="0.25">
      <c r="A340" s="14"/>
      <c r="B340" s="87" t="s">
        <v>418</v>
      </c>
      <c r="C340" s="182" t="s">
        <v>704</v>
      </c>
      <c r="D340" s="189" t="str">
        <f>VLOOKUP(D.sign_Data[[#This Row],[CÓDIGO]],Descripciones[[CÓDIGO]:[NOMBRE DE SERVICIO]],3,FALSE)</f>
        <v>D1. Parcelaciones y Condominios</v>
      </c>
      <c r="E340" s="87" t="s">
        <v>420</v>
      </c>
      <c r="F340" s="87" t="s">
        <v>705</v>
      </c>
      <c r="G340" s="88" t="s">
        <v>706</v>
      </c>
      <c r="H340" s="87" t="s">
        <v>707</v>
      </c>
      <c r="I340" s="92">
        <v>1</v>
      </c>
      <c r="J340" s="88" t="s">
        <v>708</v>
      </c>
      <c r="K340" s="102"/>
      <c r="L340" s="102" t="s">
        <v>709</v>
      </c>
      <c r="M340" s="89" t="s">
        <v>381</v>
      </c>
      <c r="N340" s="90">
        <v>3</v>
      </c>
      <c r="O340" s="27">
        <f>IFERROR(+VLOOKUP(M340,D.sign_Lista_Data[[RESPONSABLE]:[SOFTWARE 
VALOR HORA]],3,FALSE),"0")</f>
        <v>20263.424518743668</v>
      </c>
      <c r="P340" s="3">
        <f>+O340*N340</f>
        <v>60790.273556231004</v>
      </c>
      <c r="Q340" s="11">
        <f>IFERROR(+VLOOKUP(M340,D.sign_Lista_Data[[RESPONSABLE]:[SOFTWARE 
VALOR HORA]],5,FALSE)*D.sign_Data[[#This Row],[TIEMPO (HORAS)]],0)</f>
        <v>12664.64032421479</v>
      </c>
      <c r="R340" s="11">
        <f>IFERROR(+VLOOKUP(M340,D.sign_Lista_Data[[RESPONSABLE]:[SOFTWARE 
VALOR HORA]],8,FALSE)*D.sign_Data[[#This Row],[TIEMPO (HORAS)]],0)</f>
        <v>10232.56466143195</v>
      </c>
      <c r="S340" s="99"/>
      <c r="T340" s="99"/>
      <c r="U340" s="3">
        <f>SUM(P340:T340)</f>
        <v>83687.478541877746</v>
      </c>
      <c r="V340" s="100">
        <f>D.sign_Data[[#This Row],[TIEMPO (HORAS)]]*Gastos_Operativos[[#Totals],[GASTOS HORA]]</f>
        <v>83368.431216931203</v>
      </c>
      <c r="W340" s="3">
        <f>+D.sign_Data[[#This Row],[COSTO 
DIRECTO ($COP)]]+D.sign_Data[[#This Row],[PRORRATEO GASTOS ($COP)]]</f>
        <v>167055.90975880896</v>
      </c>
      <c r="X340" s="101">
        <v>0.1</v>
      </c>
      <c r="Y340" s="15">
        <f>+D.sign_Data[[#This Row],[COSTOS OPERACIONALES ($COP)]]*D.sign_Data[[#This Row],[DESFASE (%)]]</f>
        <v>16705.590975880896</v>
      </c>
      <c r="Z340" s="101">
        <v>0.3</v>
      </c>
      <c r="AA340" s="15">
        <f>+((D.sign_Data[[#This Row],[COSTOS OPERACIONALES ($COP)]]/(100%-D.sign_Data[[#This Row],[UTILIDAD (%)]])))-D.sign_Data[[#This Row],[COSTOS OPERACIONALES ($COP)]]</f>
        <v>71595.389896632434</v>
      </c>
      <c r="AB340" s="3">
        <f>+D.sign_Data[[#This Row],[COSTOS OPERACIONALES ($COP)]]+D.sign_Data[[#This Row],[DESFASE ($COP)]]+D.sign_Data[[#This Row],[UTILIDAD ($COP)]]</f>
        <v>255356.89063132228</v>
      </c>
      <c r="AC340" s="101"/>
      <c r="AD340" s="15">
        <f>+D.sign_Data[[#This Row],[VALOR NETO ($COP)]]/(100%-D.sign_Data[[#This Row],[MARGEN DE NEGOCIACIÓN (%)]])-D.sign_Data[[#This Row],[VALOR NETO ($COP)]]</f>
        <v>0</v>
      </c>
      <c r="AE340" s="15">
        <f>+(D.sign_Data[[#This Row],[VALOR NETO ($COP)]]+D.sign_Data[[#This Row],[NEGOCIACIÓN ($COP)]])*1%</f>
        <v>2553.5689063132227</v>
      </c>
      <c r="AF340" s="15">
        <f>+(D.sign_Data[[#This Row],[VALOR NETO ($COP)]]+D.sign_Data[[#This Row],[NEGOCIACIÓN ($COP)]])*1%</f>
        <v>2553.5689063132227</v>
      </c>
      <c r="AG340" s="3">
        <f>+D.sign_Data[[#This Row],[VALOR NETO ($COP)]]+D.sign_Data[[#This Row],[NEGOCIACIÓN ($COP)]]+D.sign_Data[[#This Row],[ICA ($COP)]]+D.sign_Data[[#This Row],[4 * 1000 ($COP)]]</f>
        <v>260464.02844394871</v>
      </c>
    </row>
    <row r="341" spans="1:33" ht="60" hidden="1" customHeight="1" x14ac:dyDescent="0.25">
      <c r="A341" s="14"/>
      <c r="B341" s="87" t="s">
        <v>418</v>
      </c>
      <c r="C341" s="182" t="s">
        <v>704</v>
      </c>
      <c r="D341" s="189" t="str">
        <f>VLOOKUP(D.sign_Data[[#This Row],[CÓDIGO]],Descripciones[[CÓDIGO]:[NOMBRE DE SERVICIO]],3,FALSE)</f>
        <v>D1. Parcelaciones y Condominios</v>
      </c>
      <c r="E341" s="87" t="s">
        <v>420</v>
      </c>
      <c r="F341" s="87" t="s">
        <v>710</v>
      </c>
      <c r="G341" s="88" t="s">
        <v>445</v>
      </c>
      <c r="H341" s="87" t="s">
        <v>707</v>
      </c>
      <c r="I341" s="89">
        <v>1</v>
      </c>
      <c r="J341" s="88" t="s">
        <v>711</v>
      </c>
      <c r="K341" s="102"/>
      <c r="L341" s="88" t="s">
        <v>712</v>
      </c>
      <c r="M341" s="89" t="s">
        <v>381</v>
      </c>
      <c r="N341" s="98">
        <v>2</v>
      </c>
      <c r="O341" s="27">
        <f>IFERROR(+VLOOKUP(M341,D.sign_Lista_Data[[RESPONSABLE]:[SOFTWARE 
VALOR HORA]],3,FALSE),"0")</f>
        <v>20263.424518743668</v>
      </c>
      <c r="P341" s="3">
        <f t="shared" si="10"/>
        <v>40526.849037487336</v>
      </c>
      <c r="Q341" s="11">
        <f>IFERROR(+VLOOKUP(M341,D.sign_Lista_Data[[RESPONSABLE]:[SOFTWARE 
VALOR HORA]],5,FALSE)*D.sign_Data[[#This Row],[TIEMPO (HORAS)]],0)</f>
        <v>8443.0935494765272</v>
      </c>
      <c r="R341" s="11">
        <f>IFERROR(+VLOOKUP(M341,D.sign_Lista_Data[[RESPONSABLE]:[SOFTWARE 
VALOR HORA]],8,FALSE)*D.sign_Data[[#This Row],[TIEMPO (HORAS)]],0)</f>
        <v>6821.7097742879669</v>
      </c>
      <c r="S341" s="99"/>
      <c r="T341" s="99"/>
      <c r="U341" s="3">
        <f t="shared" si="11"/>
        <v>55791.652361251836</v>
      </c>
      <c r="V341" s="100">
        <f>D.sign_Data[[#This Row],[TIEMPO (HORAS)]]*Gastos_Operativos[[#Totals],[GASTOS HORA]]</f>
        <v>55578.954144620802</v>
      </c>
      <c r="W341" s="3">
        <f>+D.sign_Data[[#This Row],[COSTO 
DIRECTO ($COP)]]+D.sign_Data[[#This Row],[PRORRATEO GASTOS ($COP)]]</f>
        <v>111370.60650587264</v>
      </c>
      <c r="X341" s="101">
        <v>0.1</v>
      </c>
      <c r="Y341" s="15">
        <f>+D.sign_Data[[#This Row],[COSTOS OPERACIONALES ($COP)]]*D.sign_Data[[#This Row],[DESFASE (%)]]</f>
        <v>11137.060650587264</v>
      </c>
      <c r="Z341" s="101">
        <v>0.3</v>
      </c>
      <c r="AA341" s="15">
        <f>+((D.sign_Data[[#This Row],[COSTOS OPERACIONALES ($COP)]]/(100%-D.sign_Data[[#This Row],[UTILIDAD (%)]])))-D.sign_Data[[#This Row],[COSTOS OPERACIONALES ($COP)]]</f>
        <v>47730.259931088294</v>
      </c>
      <c r="AB341" s="3">
        <f>+D.sign_Data[[#This Row],[COSTOS OPERACIONALES ($COP)]]+D.sign_Data[[#This Row],[DESFASE ($COP)]]+D.sign_Data[[#This Row],[UTILIDAD ($COP)]]</f>
        <v>170237.92708754819</v>
      </c>
      <c r="AC341" s="101">
        <v>0.05</v>
      </c>
      <c r="AD341" s="15">
        <f>+D.sign_Data[[#This Row],[VALOR NETO ($COP)]]/(100%-D.sign_Data[[#This Row],[MARGEN DE NEGOCIACIÓN (%)]])-D.sign_Data[[#This Row],[VALOR NETO ($COP)]]</f>
        <v>8959.8908993446385</v>
      </c>
      <c r="AE341" s="15">
        <f>+(D.sign_Data[[#This Row],[VALOR NETO ($COP)]]+D.sign_Data[[#This Row],[NEGOCIACIÓN ($COP)]])*1%</f>
        <v>1791.9781798689282</v>
      </c>
      <c r="AF341" s="15">
        <f>+(D.sign_Data[[#This Row],[VALOR NETO ($COP)]]+D.sign_Data[[#This Row],[NEGOCIACIÓN ($COP)]])*1%</f>
        <v>1791.9781798689282</v>
      </c>
      <c r="AG341" s="3">
        <f>+D.sign_Data[[#This Row],[VALOR NETO ($COP)]]+D.sign_Data[[#This Row],[NEGOCIACIÓN ($COP)]]+D.sign_Data[[#This Row],[ICA ($COP)]]+D.sign_Data[[#This Row],[4 * 1000 ($COP)]]</f>
        <v>182781.77434663067</v>
      </c>
    </row>
    <row r="342" spans="1:33" ht="60" hidden="1" customHeight="1" x14ac:dyDescent="0.25">
      <c r="A342" s="14"/>
      <c r="B342" s="87" t="s">
        <v>418</v>
      </c>
      <c r="C342" s="182" t="s">
        <v>704</v>
      </c>
      <c r="D342" s="189" t="str">
        <f>VLOOKUP(D.sign_Data[[#This Row],[CÓDIGO]],Descripciones[[CÓDIGO]:[NOMBRE DE SERVICIO]],3,FALSE)</f>
        <v>D1. Parcelaciones y Condominios</v>
      </c>
      <c r="E342" s="87" t="s">
        <v>420</v>
      </c>
      <c r="F342" s="87" t="s">
        <v>713</v>
      </c>
      <c r="G342" s="88" t="s">
        <v>445</v>
      </c>
      <c r="H342" s="87" t="s">
        <v>707</v>
      </c>
      <c r="I342" s="89">
        <v>1</v>
      </c>
      <c r="J342" s="88" t="s">
        <v>711</v>
      </c>
      <c r="K342" s="102"/>
      <c r="L342" s="88" t="s">
        <v>714</v>
      </c>
      <c r="M342" s="89" t="s">
        <v>381</v>
      </c>
      <c r="N342" s="98">
        <v>2</v>
      </c>
      <c r="O342" s="27">
        <f>IFERROR(+VLOOKUP(M342,D.sign_Lista_Data[[RESPONSABLE]:[SOFTWARE 
VALOR HORA]],3,FALSE),"0")</f>
        <v>20263.424518743668</v>
      </c>
      <c r="P342" s="3">
        <f t="shared" si="10"/>
        <v>40526.849037487336</v>
      </c>
      <c r="Q342" s="11">
        <f>IFERROR(+VLOOKUP(M342,D.sign_Lista_Data[[RESPONSABLE]:[SOFTWARE 
VALOR HORA]],5,FALSE)*D.sign_Data[[#This Row],[TIEMPO (HORAS)]],0)</f>
        <v>8443.0935494765272</v>
      </c>
      <c r="R342" s="11">
        <f>IFERROR(+VLOOKUP(M342,D.sign_Lista_Data[[RESPONSABLE]:[SOFTWARE 
VALOR HORA]],8,FALSE)*D.sign_Data[[#This Row],[TIEMPO (HORAS)]],0)</f>
        <v>6821.7097742879669</v>
      </c>
      <c r="S342" s="99"/>
      <c r="T342" s="99"/>
      <c r="U342" s="3">
        <f t="shared" si="11"/>
        <v>55791.652361251836</v>
      </c>
      <c r="V342" s="100">
        <f>D.sign_Data[[#This Row],[TIEMPO (HORAS)]]*Gastos_Operativos[[#Totals],[GASTOS HORA]]</f>
        <v>55578.954144620802</v>
      </c>
      <c r="W342" s="3">
        <f>+D.sign_Data[[#This Row],[COSTO 
DIRECTO ($COP)]]+D.sign_Data[[#This Row],[PRORRATEO GASTOS ($COP)]]</f>
        <v>111370.60650587264</v>
      </c>
      <c r="X342" s="101">
        <v>0.1</v>
      </c>
      <c r="Y342" s="15">
        <f>+D.sign_Data[[#This Row],[COSTOS OPERACIONALES ($COP)]]*D.sign_Data[[#This Row],[DESFASE (%)]]</f>
        <v>11137.060650587264</v>
      </c>
      <c r="Z342" s="101">
        <v>0.3</v>
      </c>
      <c r="AA342" s="15">
        <f>+((D.sign_Data[[#This Row],[COSTOS OPERACIONALES ($COP)]]/(100%-D.sign_Data[[#This Row],[UTILIDAD (%)]])))-D.sign_Data[[#This Row],[COSTOS OPERACIONALES ($COP)]]</f>
        <v>47730.259931088294</v>
      </c>
      <c r="AB342" s="3">
        <f>+D.sign_Data[[#This Row],[COSTOS OPERACIONALES ($COP)]]+D.sign_Data[[#This Row],[DESFASE ($COP)]]+D.sign_Data[[#This Row],[UTILIDAD ($COP)]]</f>
        <v>170237.92708754819</v>
      </c>
      <c r="AC342" s="101">
        <v>0.05</v>
      </c>
      <c r="AD342" s="15">
        <f>+D.sign_Data[[#This Row],[VALOR NETO ($COP)]]/(100%-D.sign_Data[[#This Row],[MARGEN DE NEGOCIACIÓN (%)]])-D.sign_Data[[#This Row],[VALOR NETO ($COP)]]</f>
        <v>8959.8908993446385</v>
      </c>
      <c r="AE342" s="15">
        <f>+(D.sign_Data[[#This Row],[VALOR NETO ($COP)]]+D.sign_Data[[#This Row],[NEGOCIACIÓN ($COP)]])*1%</f>
        <v>1791.9781798689282</v>
      </c>
      <c r="AF342" s="15">
        <f>+(D.sign_Data[[#This Row],[VALOR NETO ($COP)]]+D.sign_Data[[#This Row],[NEGOCIACIÓN ($COP)]])*1%</f>
        <v>1791.9781798689282</v>
      </c>
      <c r="AG342" s="3">
        <f>+D.sign_Data[[#This Row],[VALOR NETO ($COP)]]+D.sign_Data[[#This Row],[NEGOCIACIÓN ($COP)]]+D.sign_Data[[#This Row],[ICA ($COP)]]+D.sign_Data[[#This Row],[4 * 1000 ($COP)]]</f>
        <v>182781.77434663067</v>
      </c>
    </row>
    <row r="343" spans="1:33" ht="60" hidden="1" customHeight="1" x14ac:dyDescent="0.25">
      <c r="A343" s="14"/>
      <c r="B343" s="87" t="s">
        <v>418</v>
      </c>
      <c r="C343" s="182" t="s">
        <v>704</v>
      </c>
      <c r="D343" s="189" t="str">
        <f>VLOOKUP(D.sign_Data[[#This Row],[CÓDIGO]],Descripciones[[CÓDIGO]:[NOMBRE DE SERVICIO]],3,FALSE)</f>
        <v>D1. Parcelaciones y Condominios</v>
      </c>
      <c r="E343" s="87" t="s">
        <v>420</v>
      </c>
      <c r="F343" s="87" t="s">
        <v>713</v>
      </c>
      <c r="G343" s="88" t="s">
        <v>445</v>
      </c>
      <c r="H343" s="87" t="s">
        <v>707</v>
      </c>
      <c r="I343" s="89">
        <v>1</v>
      </c>
      <c r="J343" s="88" t="s">
        <v>711</v>
      </c>
      <c r="K343" s="102"/>
      <c r="L343" s="88" t="s">
        <v>715</v>
      </c>
      <c r="M343" s="89" t="s">
        <v>381</v>
      </c>
      <c r="N343" s="98">
        <v>18.8</v>
      </c>
      <c r="O343" s="27">
        <f>IFERROR(+VLOOKUP(M343,D.sign_Lista_Data[[RESPONSABLE]:[SOFTWARE 
VALOR HORA]],3,FALSE),"0")</f>
        <v>20263.424518743668</v>
      </c>
      <c r="P343" s="3">
        <f t="shared" si="10"/>
        <v>380952.38095238095</v>
      </c>
      <c r="Q343" s="11">
        <f>IFERROR(+VLOOKUP(M343,D.sign_Lista_Data[[RESPONSABLE]:[SOFTWARE 
VALOR HORA]],5,FALSE)*D.sign_Data[[#This Row],[TIEMPO (HORAS)]],0)</f>
        <v>79365.079365079364</v>
      </c>
      <c r="R343" s="11">
        <f>IFERROR(+VLOOKUP(M343,D.sign_Lista_Data[[RESPONSABLE]:[SOFTWARE 
VALOR HORA]],8,FALSE)*D.sign_Data[[#This Row],[TIEMPO (HORAS)]],0)</f>
        <v>64124.071878306888</v>
      </c>
      <c r="S343" s="99"/>
      <c r="T343" s="99"/>
      <c r="U343" s="3">
        <f t="shared" si="11"/>
        <v>524441.53219576715</v>
      </c>
      <c r="V343" s="100">
        <f>D.sign_Data[[#This Row],[TIEMPO (HORAS)]]*Gastos_Operativos[[#Totals],[GASTOS HORA]]</f>
        <v>522442.16895943554</v>
      </c>
      <c r="W343" s="3">
        <f>+D.sign_Data[[#This Row],[COSTO 
DIRECTO ($COP)]]+D.sign_Data[[#This Row],[PRORRATEO GASTOS ($COP)]]</f>
        <v>1046883.7011552027</v>
      </c>
      <c r="X343" s="101">
        <v>0.1</v>
      </c>
      <c r="Y343" s="15">
        <f>+D.sign_Data[[#This Row],[COSTOS OPERACIONALES ($COP)]]*D.sign_Data[[#This Row],[DESFASE (%)]]</f>
        <v>104688.37011552027</v>
      </c>
      <c r="Z343" s="101">
        <v>0.3</v>
      </c>
      <c r="AA343" s="15">
        <f>+((D.sign_Data[[#This Row],[COSTOS OPERACIONALES ($COP)]]/(100%-D.sign_Data[[#This Row],[UTILIDAD (%)]])))-D.sign_Data[[#This Row],[COSTOS OPERACIONALES ($COP)]]</f>
        <v>448664.44335222989</v>
      </c>
      <c r="AB343" s="3">
        <f>+D.sign_Data[[#This Row],[COSTOS OPERACIONALES ($COP)]]+D.sign_Data[[#This Row],[DESFASE ($COP)]]+D.sign_Data[[#This Row],[UTILIDAD ($COP)]]</f>
        <v>1600236.5146229528</v>
      </c>
      <c r="AC343" s="101">
        <v>0.05</v>
      </c>
      <c r="AD343" s="15">
        <f>+D.sign_Data[[#This Row],[VALOR NETO ($COP)]]/(100%-D.sign_Data[[#This Row],[MARGEN DE NEGOCIACIÓN (%)]])-D.sign_Data[[#This Row],[VALOR NETO ($COP)]]</f>
        <v>84222.974453839706</v>
      </c>
      <c r="AE343" s="15">
        <f>+(D.sign_Data[[#This Row],[VALOR NETO ($COP)]]+D.sign_Data[[#This Row],[NEGOCIACIÓN ($COP)]])*1%</f>
        <v>16844.594890767927</v>
      </c>
      <c r="AF343" s="15">
        <f>+(D.sign_Data[[#This Row],[VALOR NETO ($COP)]]+D.sign_Data[[#This Row],[NEGOCIACIÓN ($COP)]])*1%</f>
        <v>16844.594890767927</v>
      </c>
      <c r="AG343" s="3">
        <f>+D.sign_Data[[#This Row],[VALOR NETO ($COP)]]+D.sign_Data[[#This Row],[NEGOCIACIÓN ($COP)]]+D.sign_Data[[#This Row],[ICA ($COP)]]+D.sign_Data[[#This Row],[4 * 1000 ($COP)]]</f>
        <v>1718148.6788583284</v>
      </c>
    </row>
    <row r="344" spans="1:33" ht="60" hidden="1" customHeight="1" x14ac:dyDescent="0.25">
      <c r="A344" s="14"/>
      <c r="B344" s="87" t="s">
        <v>418</v>
      </c>
      <c r="C344" s="182" t="s">
        <v>704</v>
      </c>
      <c r="D344" s="189" t="str">
        <f>VLOOKUP(D.sign_Data[[#This Row],[CÓDIGO]],Descripciones[[CÓDIGO]:[NOMBRE DE SERVICIO]],3,FALSE)</f>
        <v>D1. Parcelaciones y Condominios</v>
      </c>
      <c r="E344" s="87" t="s">
        <v>420</v>
      </c>
      <c r="F344" s="87" t="s">
        <v>713</v>
      </c>
      <c r="G344" s="88" t="s">
        <v>445</v>
      </c>
      <c r="H344" s="87" t="s">
        <v>707</v>
      </c>
      <c r="I344" s="89">
        <v>1</v>
      </c>
      <c r="J344" s="88" t="s">
        <v>711</v>
      </c>
      <c r="K344" s="102"/>
      <c r="L344" s="88" t="s">
        <v>716</v>
      </c>
      <c r="M344" s="89" t="s">
        <v>381</v>
      </c>
      <c r="N344" s="98">
        <v>0.5</v>
      </c>
      <c r="O344" s="27">
        <f>IFERROR(+VLOOKUP(M344,D.sign_Lista_Data[[RESPONSABLE]:[SOFTWARE 
VALOR HORA]],3,FALSE),"0")</f>
        <v>20263.424518743668</v>
      </c>
      <c r="P344" s="3">
        <f t="shared" si="10"/>
        <v>10131.712259371834</v>
      </c>
      <c r="Q344" s="11">
        <f>IFERROR(+VLOOKUP(M344,D.sign_Lista_Data[[RESPONSABLE]:[SOFTWARE 
VALOR HORA]],5,FALSE)*D.sign_Data[[#This Row],[TIEMPO (HORAS)]],0)</f>
        <v>2110.7733873691318</v>
      </c>
      <c r="R344" s="11">
        <f>IFERROR(+VLOOKUP(M344,D.sign_Lista_Data[[RESPONSABLE]:[SOFTWARE 
VALOR HORA]],8,FALSE)*D.sign_Data[[#This Row],[TIEMPO (HORAS)]],0)</f>
        <v>1705.4274435719917</v>
      </c>
      <c r="S344" s="99"/>
      <c r="T344" s="99"/>
      <c r="U344" s="3">
        <f t="shared" si="11"/>
        <v>13947.913090312959</v>
      </c>
      <c r="V344" s="100">
        <f>D.sign_Data[[#This Row],[TIEMPO (HORAS)]]*Gastos_Operativos[[#Totals],[GASTOS HORA]]</f>
        <v>13894.738536155201</v>
      </c>
      <c r="W344" s="3">
        <f>+D.sign_Data[[#This Row],[COSTO 
DIRECTO ($COP)]]+D.sign_Data[[#This Row],[PRORRATEO GASTOS ($COP)]]</f>
        <v>27842.65162646816</v>
      </c>
      <c r="X344" s="101">
        <v>0.1</v>
      </c>
      <c r="Y344" s="15">
        <f>+D.sign_Data[[#This Row],[COSTOS OPERACIONALES ($COP)]]*D.sign_Data[[#This Row],[DESFASE (%)]]</f>
        <v>2784.265162646816</v>
      </c>
      <c r="Z344" s="101">
        <v>0.3</v>
      </c>
      <c r="AA344" s="15">
        <f>+((D.sign_Data[[#This Row],[COSTOS OPERACIONALES ($COP)]]/(100%-D.sign_Data[[#This Row],[UTILIDAD (%)]])))-D.sign_Data[[#This Row],[COSTOS OPERACIONALES ($COP)]]</f>
        <v>11932.564982772074</v>
      </c>
      <c r="AB344" s="3">
        <f>+D.sign_Data[[#This Row],[COSTOS OPERACIONALES ($COP)]]+D.sign_Data[[#This Row],[DESFASE ($COP)]]+D.sign_Data[[#This Row],[UTILIDAD ($COP)]]</f>
        <v>42559.481771887047</v>
      </c>
      <c r="AC344" s="101">
        <v>0.05</v>
      </c>
      <c r="AD344" s="15">
        <f>+D.sign_Data[[#This Row],[VALOR NETO ($COP)]]/(100%-D.sign_Data[[#This Row],[MARGEN DE NEGOCIACIÓN (%)]])-D.sign_Data[[#This Row],[VALOR NETO ($COP)]]</f>
        <v>2239.9727248361596</v>
      </c>
      <c r="AE344" s="15">
        <f>+(D.sign_Data[[#This Row],[VALOR NETO ($COP)]]+D.sign_Data[[#This Row],[NEGOCIACIÓN ($COP)]])*1%</f>
        <v>447.99454496723206</v>
      </c>
      <c r="AF344" s="15">
        <f>+(D.sign_Data[[#This Row],[VALOR NETO ($COP)]]+D.sign_Data[[#This Row],[NEGOCIACIÓN ($COP)]])*1%</f>
        <v>447.99454496723206</v>
      </c>
      <c r="AG344" s="3">
        <f>+D.sign_Data[[#This Row],[VALOR NETO ($COP)]]+D.sign_Data[[#This Row],[NEGOCIACIÓN ($COP)]]+D.sign_Data[[#This Row],[ICA ($COP)]]+D.sign_Data[[#This Row],[4 * 1000 ($COP)]]</f>
        <v>45695.443586657668</v>
      </c>
    </row>
    <row r="345" spans="1:33" ht="60" hidden="1" customHeight="1" x14ac:dyDescent="0.25">
      <c r="A345" s="14"/>
      <c r="B345" s="87" t="s">
        <v>418</v>
      </c>
      <c r="C345" s="182" t="s">
        <v>704</v>
      </c>
      <c r="D345" s="189" t="str">
        <f>VLOOKUP(D.sign_Data[[#This Row],[CÓDIGO]],Descripciones[[CÓDIGO]:[NOMBRE DE SERVICIO]],3,FALSE)</f>
        <v>D1. Parcelaciones y Condominios</v>
      </c>
      <c r="E345" s="87" t="s">
        <v>420</v>
      </c>
      <c r="F345" s="87" t="s">
        <v>713</v>
      </c>
      <c r="G345" s="88" t="s">
        <v>445</v>
      </c>
      <c r="H345" s="87" t="s">
        <v>707</v>
      </c>
      <c r="I345" s="89">
        <v>1</v>
      </c>
      <c r="J345" s="88" t="s">
        <v>711</v>
      </c>
      <c r="K345" s="102"/>
      <c r="L345" s="88" t="s">
        <v>717</v>
      </c>
      <c r="M345" s="89" t="s">
        <v>381</v>
      </c>
      <c r="N345" s="98">
        <v>1</v>
      </c>
      <c r="O345" s="27">
        <f>IFERROR(+VLOOKUP(M345,D.sign_Lista_Data[[RESPONSABLE]:[SOFTWARE 
VALOR HORA]],3,FALSE),"0")</f>
        <v>20263.424518743668</v>
      </c>
      <c r="P345" s="3">
        <f t="shared" si="10"/>
        <v>20263.424518743668</v>
      </c>
      <c r="Q345" s="11">
        <f>IFERROR(+VLOOKUP(M345,D.sign_Lista_Data[[RESPONSABLE]:[SOFTWARE 
VALOR HORA]],5,FALSE)*D.sign_Data[[#This Row],[TIEMPO (HORAS)]],0)</f>
        <v>4221.5467747382636</v>
      </c>
      <c r="R345" s="11">
        <f>IFERROR(+VLOOKUP(M345,D.sign_Lista_Data[[RESPONSABLE]:[SOFTWARE 
VALOR HORA]],8,FALSE)*D.sign_Data[[#This Row],[TIEMPO (HORAS)]],0)</f>
        <v>3410.8548871439834</v>
      </c>
      <c r="S345" s="99"/>
      <c r="T345" s="99"/>
      <c r="U345" s="3">
        <f t="shared" si="11"/>
        <v>27895.826180625918</v>
      </c>
      <c r="V345" s="100">
        <f>D.sign_Data[[#This Row],[TIEMPO (HORAS)]]*Gastos_Operativos[[#Totals],[GASTOS HORA]]</f>
        <v>27789.477072310401</v>
      </c>
      <c r="W345" s="3">
        <f>+D.sign_Data[[#This Row],[COSTO 
DIRECTO ($COP)]]+D.sign_Data[[#This Row],[PRORRATEO GASTOS ($COP)]]</f>
        <v>55685.303252936319</v>
      </c>
      <c r="X345" s="101">
        <v>0.1</v>
      </c>
      <c r="Y345" s="15">
        <f>+D.sign_Data[[#This Row],[COSTOS OPERACIONALES ($COP)]]*D.sign_Data[[#This Row],[DESFASE (%)]]</f>
        <v>5568.5303252936319</v>
      </c>
      <c r="Z345" s="101">
        <v>0.3</v>
      </c>
      <c r="AA345" s="15">
        <f>+((D.sign_Data[[#This Row],[COSTOS OPERACIONALES ($COP)]]/(100%-D.sign_Data[[#This Row],[UTILIDAD (%)]])))-D.sign_Data[[#This Row],[COSTOS OPERACIONALES ($COP)]]</f>
        <v>23865.129965544147</v>
      </c>
      <c r="AB345" s="3">
        <f>+D.sign_Data[[#This Row],[COSTOS OPERACIONALES ($COP)]]+D.sign_Data[[#This Row],[DESFASE ($COP)]]+D.sign_Data[[#This Row],[UTILIDAD ($COP)]]</f>
        <v>85118.963543774094</v>
      </c>
      <c r="AC345" s="101">
        <v>0.05</v>
      </c>
      <c r="AD345" s="15">
        <f>+D.sign_Data[[#This Row],[VALOR NETO ($COP)]]/(100%-D.sign_Data[[#This Row],[MARGEN DE NEGOCIACIÓN (%)]])-D.sign_Data[[#This Row],[VALOR NETO ($COP)]]</f>
        <v>4479.9454496723192</v>
      </c>
      <c r="AE345" s="15">
        <f>+(D.sign_Data[[#This Row],[VALOR NETO ($COP)]]+D.sign_Data[[#This Row],[NEGOCIACIÓN ($COP)]])*1%</f>
        <v>895.98908993446412</v>
      </c>
      <c r="AF345" s="15">
        <f>+(D.sign_Data[[#This Row],[VALOR NETO ($COP)]]+D.sign_Data[[#This Row],[NEGOCIACIÓN ($COP)]])*1%</f>
        <v>895.98908993446412</v>
      </c>
      <c r="AG345" s="3">
        <f>+D.sign_Data[[#This Row],[VALOR NETO ($COP)]]+D.sign_Data[[#This Row],[NEGOCIACIÓN ($COP)]]+D.sign_Data[[#This Row],[ICA ($COP)]]+D.sign_Data[[#This Row],[4 * 1000 ($COP)]]</f>
        <v>91390.887173315336</v>
      </c>
    </row>
    <row r="346" spans="1:33" ht="60" hidden="1" customHeight="1" x14ac:dyDescent="0.25">
      <c r="A346" s="14"/>
      <c r="B346" s="87" t="s">
        <v>418</v>
      </c>
      <c r="C346" s="182" t="s">
        <v>704</v>
      </c>
      <c r="D346" s="189" t="str">
        <f>VLOOKUP(D.sign_Data[[#This Row],[CÓDIGO]],Descripciones[[CÓDIGO]:[NOMBRE DE SERVICIO]],3,FALSE)</f>
        <v>D1. Parcelaciones y Condominios</v>
      </c>
      <c r="E346" s="87" t="s">
        <v>420</v>
      </c>
      <c r="F346" s="87" t="s">
        <v>713</v>
      </c>
      <c r="G346" s="88" t="s">
        <v>445</v>
      </c>
      <c r="H346" s="87" t="s">
        <v>707</v>
      </c>
      <c r="I346" s="89">
        <v>1</v>
      </c>
      <c r="J346" s="88" t="s">
        <v>711</v>
      </c>
      <c r="K346" s="102"/>
      <c r="L346" s="88" t="s">
        <v>718</v>
      </c>
      <c r="M346" s="89" t="s">
        <v>381</v>
      </c>
      <c r="N346" s="98">
        <v>4</v>
      </c>
      <c r="O346" s="27">
        <f>IFERROR(+VLOOKUP(M346,D.sign_Lista_Data[[RESPONSABLE]:[SOFTWARE 
VALOR HORA]],3,FALSE),"0")</f>
        <v>20263.424518743668</v>
      </c>
      <c r="P346" s="3">
        <f t="shared" si="10"/>
        <v>81053.698074974673</v>
      </c>
      <c r="Q346" s="11">
        <f>IFERROR(+VLOOKUP(M346,D.sign_Lista_Data[[RESPONSABLE]:[SOFTWARE 
VALOR HORA]],5,FALSE)*D.sign_Data[[#This Row],[TIEMPO (HORAS)]],0)</f>
        <v>16886.187098953054</v>
      </c>
      <c r="R346" s="11">
        <f>IFERROR(+VLOOKUP(M346,D.sign_Lista_Data[[RESPONSABLE]:[SOFTWARE 
VALOR HORA]],8,FALSE)*D.sign_Data[[#This Row],[TIEMPO (HORAS)]],0)</f>
        <v>13643.419548575934</v>
      </c>
      <c r="S346" s="99"/>
      <c r="T346" s="99"/>
      <c r="U346" s="3">
        <f t="shared" si="11"/>
        <v>111583.30472250367</v>
      </c>
      <c r="V346" s="100">
        <f>D.sign_Data[[#This Row],[TIEMPO (HORAS)]]*Gastos_Operativos[[#Totals],[GASTOS HORA]]</f>
        <v>111157.9082892416</v>
      </c>
      <c r="W346" s="3">
        <f>+D.sign_Data[[#This Row],[COSTO 
DIRECTO ($COP)]]+D.sign_Data[[#This Row],[PRORRATEO GASTOS ($COP)]]</f>
        <v>222741.21301174528</v>
      </c>
      <c r="X346" s="101">
        <v>0.1</v>
      </c>
      <c r="Y346" s="15">
        <f>+D.sign_Data[[#This Row],[COSTOS OPERACIONALES ($COP)]]*D.sign_Data[[#This Row],[DESFASE (%)]]</f>
        <v>22274.121301174528</v>
      </c>
      <c r="Z346" s="101">
        <v>0.3</v>
      </c>
      <c r="AA346" s="15">
        <f>+((D.sign_Data[[#This Row],[COSTOS OPERACIONALES ($COP)]]/(100%-D.sign_Data[[#This Row],[UTILIDAD (%)]])))-D.sign_Data[[#This Row],[COSTOS OPERACIONALES ($COP)]]</f>
        <v>95460.519862176589</v>
      </c>
      <c r="AB346" s="3">
        <f>+D.sign_Data[[#This Row],[COSTOS OPERACIONALES ($COP)]]+D.sign_Data[[#This Row],[DESFASE ($COP)]]+D.sign_Data[[#This Row],[UTILIDAD ($COP)]]</f>
        <v>340475.85417509638</v>
      </c>
      <c r="AC346" s="101">
        <v>0.05</v>
      </c>
      <c r="AD346" s="15">
        <f>+D.sign_Data[[#This Row],[VALOR NETO ($COP)]]/(100%-D.sign_Data[[#This Row],[MARGEN DE NEGOCIACIÓN (%)]])-D.sign_Data[[#This Row],[VALOR NETO ($COP)]]</f>
        <v>17919.781798689277</v>
      </c>
      <c r="AE346" s="15">
        <f>+(D.sign_Data[[#This Row],[VALOR NETO ($COP)]]+D.sign_Data[[#This Row],[NEGOCIACIÓN ($COP)]])*1%</f>
        <v>3583.9563597378565</v>
      </c>
      <c r="AF346" s="15">
        <f>+(D.sign_Data[[#This Row],[VALOR NETO ($COP)]]+D.sign_Data[[#This Row],[NEGOCIACIÓN ($COP)]])*1%</f>
        <v>3583.9563597378565</v>
      </c>
      <c r="AG346" s="3">
        <f>+D.sign_Data[[#This Row],[VALOR NETO ($COP)]]+D.sign_Data[[#This Row],[NEGOCIACIÓN ($COP)]]+D.sign_Data[[#This Row],[ICA ($COP)]]+D.sign_Data[[#This Row],[4 * 1000 ($COP)]]</f>
        <v>365563.54869326134</v>
      </c>
    </row>
    <row r="347" spans="1:33" ht="60" hidden="1" customHeight="1" x14ac:dyDescent="0.25">
      <c r="A347" s="14"/>
      <c r="B347" s="87" t="s">
        <v>418</v>
      </c>
      <c r="C347" s="182" t="s">
        <v>704</v>
      </c>
      <c r="D347" s="189" t="str">
        <f>VLOOKUP(D.sign_Data[[#This Row],[CÓDIGO]],Descripciones[[CÓDIGO]:[NOMBRE DE SERVICIO]],3,FALSE)</f>
        <v>D1. Parcelaciones y Condominios</v>
      </c>
      <c r="E347" s="87" t="s">
        <v>420</v>
      </c>
      <c r="F347" s="87" t="s">
        <v>713</v>
      </c>
      <c r="G347" s="88" t="s">
        <v>445</v>
      </c>
      <c r="H347" s="87" t="s">
        <v>707</v>
      </c>
      <c r="I347" s="89">
        <v>1</v>
      </c>
      <c r="J347" s="88" t="s">
        <v>719</v>
      </c>
      <c r="K347" s="102"/>
      <c r="L347" s="88" t="s">
        <v>720</v>
      </c>
      <c r="M347" s="89" t="s">
        <v>381</v>
      </c>
      <c r="N347" s="90">
        <v>2</v>
      </c>
      <c r="O347" s="27">
        <f>IFERROR(+VLOOKUP(M347,D.sign_Lista_Data[[RESPONSABLE]:[SOFTWARE 
VALOR HORA]],3,FALSE),"0")</f>
        <v>20263.424518743668</v>
      </c>
      <c r="P347" s="3">
        <f t="shared" si="10"/>
        <v>40526.849037487336</v>
      </c>
      <c r="Q347" s="11">
        <f>IFERROR(+VLOOKUP(M347,D.sign_Lista_Data[[RESPONSABLE]:[SOFTWARE 
VALOR HORA]],5,FALSE)*D.sign_Data[[#This Row],[TIEMPO (HORAS)]],0)</f>
        <v>8443.0935494765272</v>
      </c>
      <c r="R347" s="11">
        <f>IFERROR(+VLOOKUP(M347,D.sign_Lista_Data[[RESPONSABLE]:[SOFTWARE 
VALOR HORA]],8,FALSE)*D.sign_Data[[#This Row],[TIEMPO (HORAS)]],0)</f>
        <v>6821.7097742879669</v>
      </c>
      <c r="S347" s="99"/>
      <c r="T347" s="99"/>
      <c r="U347" s="3">
        <f t="shared" si="11"/>
        <v>55791.652361251836</v>
      </c>
      <c r="V347" s="100">
        <f>D.sign_Data[[#This Row],[TIEMPO (HORAS)]]*Gastos_Operativos[[#Totals],[GASTOS HORA]]</f>
        <v>55578.954144620802</v>
      </c>
      <c r="W347" s="3">
        <f>+D.sign_Data[[#This Row],[COSTO 
DIRECTO ($COP)]]+D.sign_Data[[#This Row],[PRORRATEO GASTOS ($COP)]]</f>
        <v>111370.60650587264</v>
      </c>
      <c r="X347" s="101">
        <v>0.1</v>
      </c>
      <c r="Y347" s="15">
        <f>+D.sign_Data[[#This Row],[COSTOS OPERACIONALES ($COP)]]*D.sign_Data[[#This Row],[DESFASE (%)]]</f>
        <v>11137.060650587264</v>
      </c>
      <c r="Z347" s="101">
        <v>0.3</v>
      </c>
      <c r="AA347" s="15">
        <f>+((D.sign_Data[[#This Row],[COSTOS OPERACIONALES ($COP)]]/(100%-D.sign_Data[[#This Row],[UTILIDAD (%)]])))-D.sign_Data[[#This Row],[COSTOS OPERACIONALES ($COP)]]</f>
        <v>47730.259931088294</v>
      </c>
      <c r="AB347" s="3">
        <f>+D.sign_Data[[#This Row],[COSTOS OPERACIONALES ($COP)]]+D.sign_Data[[#This Row],[DESFASE ($COP)]]+D.sign_Data[[#This Row],[UTILIDAD ($COP)]]</f>
        <v>170237.92708754819</v>
      </c>
      <c r="AC347" s="101">
        <v>0.05</v>
      </c>
      <c r="AD347" s="15">
        <f>+D.sign_Data[[#This Row],[VALOR NETO ($COP)]]/(100%-D.sign_Data[[#This Row],[MARGEN DE NEGOCIACIÓN (%)]])-D.sign_Data[[#This Row],[VALOR NETO ($COP)]]</f>
        <v>8959.8908993446385</v>
      </c>
      <c r="AE347" s="15">
        <f>+(D.sign_Data[[#This Row],[VALOR NETO ($COP)]]+D.sign_Data[[#This Row],[NEGOCIACIÓN ($COP)]])*1%</f>
        <v>1791.9781798689282</v>
      </c>
      <c r="AF347" s="15">
        <f>+(D.sign_Data[[#This Row],[VALOR NETO ($COP)]]+D.sign_Data[[#This Row],[NEGOCIACIÓN ($COP)]])*1%</f>
        <v>1791.9781798689282</v>
      </c>
      <c r="AG347" s="3">
        <f>+D.sign_Data[[#This Row],[VALOR NETO ($COP)]]+D.sign_Data[[#This Row],[NEGOCIACIÓN ($COP)]]+D.sign_Data[[#This Row],[ICA ($COP)]]+D.sign_Data[[#This Row],[4 * 1000 ($COP)]]</f>
        <v>182781.77434663067</v>
      </c>
    </row>
    <row r="348" spans="1:33" ht="60" hidden="1" customHeight="1" x14ac:dyDescent="0.25">
      <c r="A348" s="14"/>
      <c r="B348" s="87" t="s">
        <v>418</v>
      </c>
      <c r="C348" s="182" t="s">
        <v>704</v>
      </c>
      <c r="D348" s="189" t="str">
        <f>VLOOKUP(D.sign_Data[[#This Row],[CÓDIGO]],Descripciones[[CÓDIGO]:[NOMBRE DE SERVICIO]],3,FALSE)</f>
        <v>D1. Parcelaciones y Condominios</v>
      </c>
      <c r="E348" s="87" t="s">
        <v>420</v>
      </c>
      <c r="F348" s="87" t="s">
        <v>713</v>
      </c>
      <c r="G348" s="88" t="s">
        <v>445</v>
      </c>
      <c r="H348" s="87" t="s">
        <v>707</v>
      </c>
      <c r="I348" s="89">
        <v>1</v>
      </c>
      <c r="J348" s="88" t="s">
        <v>721</v>
      </c>
      <c r="K348" s="102"/>
      <c r="L348" s="88" t="s">
        <v>722</v>
      </c>
      <c r="M348" s="89" t="s">
        <v>381</v>
      </c>
      <c r="N348" s="90">
        <v>4</v>
      </c>
      <c r="O348" s="27">
        <f>IFERROR(+VLOOKUP(M348,D.sign_Lista_Data[[RESPONSABLE]:[SOFTWARE 
VALOR HORA]],3,FALSE),"0")</f>
        <v>20263.424518743668</v>
      </c>
      <c r="P348" s="3">
        <f t="shared" si="10"/>
        <v>81053.698074974673</v>
      </c>
      <c r="Q348" s="11">
        <f>IFERROR(+VLOOKUP(M348,D.sign_Lista_Data[[RESPONSABLE]:[SOFTWARE 
VALOR HORA]],5,FALSE)*D.sign_Data[[#This Row],[TIEMPO (HORAS)]],0)</f>
        <v>16886.187098953054</v>
      </c>
      <c r="R348" s="11">
        <f>IFERROR(+VLOOKUP(M348,D.sign_Lista_Data[[RESPONSABLE]:[SOFTWARE 
VALOR HORA]],8,FALSE)*D.sign_Data[[#This Row],[TIEMPO (HORAS)]],0)</f>
        <v>13643.419548575934</v>
      </c>
      <c r="S348" s="99"/>
      <c r="T348" s="99"/>
      <c r="U348" s="3">
        <f t="shared" si="11"/>
        <v>111583.30472250367</v>
      </c>
      <c r="V348" s="100">
        <f>D.sign_Data[[#This Row],[TIEMPO (HORAS)]]*Gastos_Operativos[[#Totals],[GASTOS HORA]]</f>
        <v>111157.9082892416</v>
      </c>
      <c r="W348" s="3">
        <f>+D.sign_Data[[#This Row],[COSTO 
DIRECTO ($COP)]]+D.sign_Data[[#This Row],[PRORRATEO GASTOS ($COP)]]</f>
        <v>222741.21301174528</v>
      </c>
      <c r="X348" s="101">
        <v>0.1</v>
      </c>
      <c r="Y348" s="15">
        <f>+D.sign_Data[[#This Row],[COSTOS OPERACIONALES ($COP)]]*D.sign_Data[[#This Row],[DESFASE (%)]]</f>
        <v>22274.121301174528</v>
      </c>
      <c r="Z348" s="101">
        <v>0.3</v>
      </c>
      <c r="AA348" s="15">
        <f>+((D.sign_Data[[#This Row],[COSTOS OPERACIONALES ($COP)]]/(100%-D.sign_Data[[#This Row],[UTILIDAD (%)]])))-D.sign_Data[[#This Row],[COSTOS OPERACIONALES ($COP)]]</f>
        <v>95460.519862176589</v>
      </c>
      <c r="AB348" s="3">
        <f>+D.sign_Data[[#This Row],[COSTOS OPERACIONALES ($COP)]]+D.sign_Data[[#This Row],[DESFASE ($COP)]]+D.sign_Data[[#This Row],[UTILIDAD ($COP)]]</f>
        <v>340475.85417509638</v>
      </c>
      <c r="AC348" s="101">
        <v>0.05</v>
      </c>
      <c r="AD348" s="15">
        <f>+D.sign_Data[[#This Row],[VALOR NETO ($COP)]]/(100%-D.sign_Data[[#This Row],[MARGEN DE NEGOCIACIÓN (%)]])-D.sign_Data[[#This Row],[VALOR NETO ($COP)]]</f>
        <v>17919.781798689277</v>
      </c>
      <c r="AE348" s="15">
        <f>+(D.sign_Data[[#This Row],[VALOR NETO ($COP)]]+D.sign_Data[[#This Row],[NEGOCIACIÓN ($COP)]])*1%</f>
        <v>3583.9563597378565</v>
      </c>
      <c r="AF348" s="15">
        <f>+(D.sign_Data[[#This Row],[VALOR NETO ($COP)]]+D.sign_Data[[#This Row],[NEGOCIACIÓN ($COP)]])*1%</f>
        <v>3583.9563597378565</v>
      </c>
      <c r="AG348" s="3">
        <f>+D.sign_Data[[#This Row],[VALOR NETO ($COP)]]+D.sign_Data[[#This Row],[NEGOCIACIÓN ($COP)]]+D.sign_Data[[#This Row],[ICA ($COP)]]+D.sign_Data[[#This Row],[4 * 1000 ($COP)]]</f>
        <v>365563.54869326134</v>
      </c>
    </row>
    <row r="349" spans="1:33" ht="60" hidden="1" customHeight="1" x14ac:dyDescent="0.25">
      <c r="A349" s="14"/>
      <c r="B349" s="87" t="s">
        <v>418</v>
      </c>
      <c r="C349" s="182" t="s">
        <v>704</v>
      </c>
      <c r="D349" s="189" t="str">
        <f>VLOOKUP(D.sign_Data[[#This Row],[CÓDIGO]],Descripciones[[CÓDIGO]:[NOMBRE DE SERVICIO]],3,FALSE)</f>
        <v>D1. Parcelaciones y Condominios</v>
      </c>
      <c r="E349" s="87" t="s">
        <v>420</v>
      </c>
      <c r="F349" s="87" t="s">
        <v>713</v>
      </c>
      <c r="G349" s="88" t="s">
        <v>445</v>
      </c>
      <c r="H349" s="87" t="s">
        <v>707</v>
      </c>
      <c r="I349" s="89">
        <v>1</v>
      </c>
      <c r="J349" s="88" t="s">
        <v>721</v>
      </c>
      <c r="K349" s="102"/>
      <c r="L349" s="88" t="s">
        <v>723</v>
      </c>
      <c r="M349" s="89" t="s">
        <v>381</v>
      </c>
      <c r="N349" s="90">
        <v>1</v>
      </c>
      <c r="O349" s="27">
        <f>IFERROR(+VLOOKUP(M349,D.sign_Lista_Data[[RESPONSABLE]:[SOFTWARE 
VALOR HORA]],3,FALSE),"0")</f>
        <v>20263.424518743668</v>
      </c>
      <c r="P349" s="3">
        <f t="shared" si="10"/>
        <v>20263.424518743668</v>
      </c>
      <c r="Q349" s="11">
        <f>IFERROR(+VLOOKUP(M349,D.sign_Lista_Data[[RESPONSABLE]:[SOFTWARE 
VALOR HORA]],5,FALSE)*D.sign_Data[[#This Row],[TIEMPO (HORAS)]],0)</f>
        <v>4221.5467747382636</v>
      </c>
      <c r="R349" s="11">
        <f>IFERROR(+VLOOKUP(M349,D.sign_Lista_Data[[RESPONSABLE]:[SOFTWARE 
VALOR HORA]],8,FALSE)*D.sign_Data[[#This Row],[TIEMPO (HORAS)]],0)</f>
        <v>3410.8548871439834</v>
      </c>
      <c r="S349" s="99"/>
      <c r="T349" s="99"/>
      <c r="U349" s="3">
        <f t="shared" si="11"/>
        <v>27895.826180625918</v>
      </c>
      <c r="V349" s="100">
        <f>D.sign_Data[[#This Row],[TIEMPO (HORAS)]]*Gastos_Operativos[[#Totals],[GASTOS HORA]]</f>
        <v>27789.477072310401</v>
      </c>
      <c r="W349" s="3">
        <f>+D.sign_Data[[#This Row],[COSTO 
DIRECTO ($COP)]]+D.sign_Data[[#This Row],[PRORRATEO GASTOS ($COP)]]</f>
        <v>55685.303252936319</v>
      </c>
      <c r="X349" s="101">
        <v>0.1</v>
      </c>
      <c r="Y349" s="15">
        <f>+D.sign_Data[[#This Row],[COSTOS OPERACIONALES ($COP)]]*D.sign_Data[[#This Row],[DESFASE (%)]]</f>
        <v>5568.5303252936319</v>
      </c>
      <c r="Z349" s="101">
        <v>0.3</v>
      </c>
      <c r="AA349" s="15">
        <f>+((D.sign_Data[[#This Row],[COSTOS OPERACIONALES ($COP)]]/(100%-D.sign_Data[[#This Row],[UTILIDAD (%)]])))-D.sign_Data[[#This Row],[COSTOS OPERACIONALES ($COP)]]</f>
        <v>23865.129965544147</v>
      </c>
      <c r="AB349" s="3">
        <f>+D.sign_Data[[#This Row],[COSTOS OPERACIONALES ($COP)]]+D.sign_Data[[#This Row],[DESFASE ($COP)]]+D.sign_Data[[#This Row],[UTILIDAD ($COP)]]</f>
        <v>85118.963543774094</v>
      </c>
      <c r="AC349" s="101">
        <v>0.05</v>
      </c>
      <c r="AD349" s="15">
        <f>+D.sign_Data[[#This Row],[VALOR NETO ($COP)]]/(100%-D.sign_Data[[#This Row],[MARGEN DE NEGOCIACIÓN (%)]])-D.sign_Data[[#This Row],[VALOR NETO ($COP)]]</f>
        <v>4479.9454496723192</v>
      </c>
      <c r="AE349" s="15">
        <f>+(D.sign_Data[[#This Row],[VALOR NETO ($COP)]]+D.sign_Data[[#This Row],[NEGOCIACIÓN ($COP)]])*1%</f>
        <v>895.98908993446412</v>
      </c>
      <c r="AF349" s="15">
        <f>+(D.sign_Data[[#This Row],[VALOR NETO ($COP)]]+D.sign_Data[[#This Row],[NEGOCIACIÓN ($COP)]])*1%</f>
        <v>895.98908993446412</v>
      </c>
      <c r="AG349" s="3">
        <f>+D.sign_Data[[#This Row],[VALOR NETO ($COP)]]+D.sign_Data[[#This Row],[NEGOCIACIÓN ($COP)]]+D.sign_Data[[#This Row],[ICA ($COP)]]+D.sign_Data[[#This Row],[4 * 1000 ($COP)]]</f>
        <v>91390.887173315336</v>
      </c>
    </row>
    <row r="350" spans="1:33" ht="60" hidden="1" customHeight="1" x14ac:dyDescent="0.25">
      <c r="A350" s="14"/>
      <c r="B350" s="87" t="s">
        <v>418</v>
      </c>
      <c r="C350" s="182" t="s">
        <v>704</v>
      </c>
      <c r="D350" s="189" t="str">
        <f>VLOOKUP(D.sign_Data[[#This Row],[CÓDIGO]],Descripciones[[CÓDIGO]:[NOMBRE DE SERVICIO]],3,FALSE)</f>
        <v>D1. Parcelaciones y Condominios</v>
      </c>
      <c r="E350" s="87" t="s">
        <v>420</v>
      </c>
      <c r="F350" s="87" t="s">
        <v>713</v>
      </c>
      <c r="G350" s="88" t="s">
        <v>445</v>
      </c>
      <c r="H350" s="87" t="s">
        <v>707</v>
      </c>
      <c r="I350" s="89">
        <v>1</v>
      </c>
      <c r="J350" s="88" t="s">
        <v>721</v>
      </c>
      <c r="K350" s="102"/>
      <c r="L350" s="88" t="s">
        <v>724</v>
      </c>
      <c r="M350" s="89" t="s">
        <v>381</v>
      </c>
      <c r="N350" s="90">
        <v>2</v>
      </c>
      <c r="O350" s="27">
        <f>IFERROR(+VLOOKUP(M350,D.sign_Lista_Data[[RESPONSABLE]:[SOFTWARE 
VALOR HORA]],3,FALSE),"0")</f>
        <v>20263.424518743668</v>
      </c>
      <c r="P350" s="3">
        <f t="shared" ref="P350:P413" si="12">+O350*N350</f>
        <v>40526.849037487336</v>
      </c>
      <c r="Q350" s="11">
        <f>IFERROR(+VLOOKUP(M350,D.sign_Lista_Data[[RESPONSABLE]:[SOFTWARE 
VALOR HORA]],5,FALSE)*D.sign_Data[[#This Row],[TIEMPO (HORAS)]],0)</f>
        <v>8443.0935494765272</v>
      </c>
      <c r="R350" s="11">
        <f>IFERROR(+VLOOKUP(M350,D.sign_Lista_Data[[RESPONSABLE]:[SOFTWARE 
VALOR HORA]],8,FALSE)*D.sign_Data[[#This Row],[TIEMPO (HORAS)]],0)</f>
        <v>6821.7097742879669</v>
      </c>
      <c r="S350" s="99"/>
      <c r="T350" s="99"/>
      <c r="U350" s="3">
        <f t="shared" ref="U350:U413" si="13">SUM(P350:T350)</f>
        <v>55791.652361251836</v>
      </c>
      <c r="V350" s="100">
        <f>D.sign_Data[[#This Row],[TIEMPO (HORAS)]]*Gastos_Operativos[[#Totals],[GASTOS HORA]]</f>
        <v>55578.954144620802</v>
      </c>
      <c r="W350" s="3">
        <f>+D.sign_Data[[#This Row],[COSTO 
DIRECTO ($COP)]]+D.sign_Data[[#This Row],[PRORRATEO GASTOS ($COP)]]</f>
        <v>111370.60650587264</v>
      </c>
      <c r="X350" s="101">
        <v>0.1</v>
      </c>
      <c r="Y350" s="15">
        <f>+D.sign_Data[[#This Row],[COSTOS OPERACIONALES ($COP)]]*D.sign_Data[[#This Row],[DESFASE (%)]]</f>
        <v>11137.060650587264</v>
      </c>
      <c r="Z350" s="101">
        <v>0.3</v>
      </c>
      <c r="AA350" s="15">
        <f>+((D.sign_Data[[#This Row],[COSTOS OPERACIONALES ($COP)]]/(100%-D.sign_Data[[#This Row],[UTILIDAD (%)]])))-D.sign_Data[[#This Row],[COSTOS OPERACIONALES ($COP)]]</f>
        <v>47730.259931088294</v>
      </c>
      <c r="AB350" s="3">
        <f>+D.sign_Data[[#This Row],[COSTOS OPERACIONALES ($COP)]]+D.sign_Data[[#This Row],[DESFASE ($COP)]]+D.sign_Data[[#This Row],[UTILIDAD ($COP)]]</f>
        <v>170237.92708754819</v>
      </c>
      <c r="AC350" s="101">
        <v>0.05</v>
      </c>
      <c r="AD350" s="15">
        <f>+D.sign_Data[[#This Row],[VALOR NETO ($COP)]]/(100%-D.sign_Data[[#This Row],[MARGEN DE NEGOCIACIÓN (%)]])-D.sign_Data[[#This Row],[VALOR NETO ($COP)]]</f>
        <v>8959.8908993446385</v>
      </c>
      <c r="AE350" s="15">
        <f>+(D.sign_Data[[#This Row],[VALOR NETO ($COP)]]+D.sign_Data[[#This Row],[NEGOCIACIÓN ($COP)]])*1%</f>
        <v>1791.9781798689282</v>
      </c>
      <c r="AF350" s="15">
        <f>+(D.sign_Data[[#This Row],[VALOR NETO ($COP)]]+D.sign_Data[[#This Row],[NEGOCIACIÓN ($COP)]])*1%</f>
        <v>1791.9781798689282</v>
      </c>
      <c r="AG350" s="3">
        <f>+D.sign_Data[[#This Row],[VALOR NETO ($COP)]]+D.sign_Data[[#This Row],[NEGOCIACIÓN ($COP)]]+D.sign_Data[[#This Row],[ICA ($COP)]]+D.sign_Data[[#This Row],[4 * 1000 ($COP)]]</f>
        <v>182781.77434663067</v>
      </c>
    </row>
    <row r="351" spans="1:33" ht="60" hidden="1" customHeight="1" x14ac:dyDescent="0.25">
      <c r="A351" s="14"/>
      <c r="B351" s="87" t="s">
        <v>418</v>
      </c>
      <c r="C351" s="182" t="s">
        <v>704</v>
      </c>
      <c r="D351" s="189" t="str">
        <f>VLOOKUP(D.sign_Data[[#This Row],[CÓDIGO]],Descripciones[[CÓDIGO]:[NOMBRE DE SERVICIO]],3,FALSE)</f>
        <v>D1. Parcelaciones y Condominios</v>
      </c>
      <c r="E351" s="87" t="s">
        <v>420</v>
      </c>
      <c r="F351" s="87" t="s">
        <v>713</v>
      </c>
      <c r="G351" s="88" t="s">
        <v>445</v>
      </c>
      <c r="H351" s="87" t="s">
        <v>707</v>
      </c>
      <c r="I351" s="89">
        <v>1</v>
      </c>
      <c r="J351" s="88" t="s">
        <v>721</v>
      </c>
      <c r="K351" s="102"/>
      <c r="L351" s="88" t="s">
        <v>725</v>
      </c>
      <c r="M351" s="89" t="s">
        <v>381</v>
      </c>
      <c r="N351" s="90">
        <v>2.5</v>
      </c>
      <c r="O351" s="27">
        <f>IFERROR(+VLOOKUP(M351,D.sign_Lista_Data[[RESPONSABLE]:[SOFTWARE 
VALOR HORA]],3,FALSE),"0")</f>
        <v>20263.424518743668</v>
      </c>
      <c r="P351" s="3">
        <f t="shared" si="12"/>
        <v>50658.561296859174</v>
      </c>
      <c r="Q351" s="11">
        <f>IFERROR(+VLOOKUP(M351,D.sign_Lista_Data[[RESPONSABLE]:[SOFTWARE 
VALOR HORA]],5,FALSE)*D.sign_Data[[#This Row],[TIEMPO (HORAS)]],0)</f>
        <v>10553.866936845659</v>
      </c>
      <c r="R351" s="11">
        <f>IFERROR(+VLOOKUP(M351,D.sign_Lista_Data[[RESPONSABLE]:[SOFTWARE 
VALOR HORA]],8,FALSE)*D.sign_Data[[#This Row],[TIEMPO (HORAS)]],0)</f>
        <v>8527.1372178599595</v>
      </c>
      <c r="S351" s="99"/>
      <c r="T351" s="99"/>
      <c r="U351" s="3">
        <f t="shared" si="13"/>
        <v>69739.565451564791</v>
      </c>
      <c r="V351" s="100">
        <f>D.sign_Data[[#This Row],[TIEMPO (HORAS)]]*Gastos_Operativos[[#Totals],[GASTOS HORA]]</f>
        <v>69473.692680776003</v>
      </c>
      <c r="W351" s="3">
        <f>+D.sign_Data[[#This Row],[COSTO 
DIRECTO ($COP)]]+D.sign_Data[[#This Row],[PRORRATEO GASTOS ($COP)]]</f>
        <v>139213.25813234079</v>
      </c>
      <c r="X351" s="101">
        <v>0.1</v>
      </c>
      <c r="Y351" s="15">
        <f>+D.sign_Data[[#This Row],[COSTOS OPERACIONALES ($COP)]]*D.sign_Data[[#This Row],[DESFASE (%)]]</f>
        <v>13921.32581323408</v>
      </c>
      <c r="Z351" s="101">
        <v>0.3</v>
      </c>
      <c r="AA351" s="15">
        <f>+((D.sign_Data[[#This Row],[COSTOS OPERACIONALES ($COP)]]/(100%-D.sign_Data[[#This Row],[UTILIDAD (%)]])))-D.sign_Data[[#This Row],[COSTOS OPERACIONALES ($COP)]]</f>
        <v>59662.824913860357</v>
      </c>
      <c r="AB351" s="3">
        <f>+D.sign_Data[[#This Row],[COSTOS OPERACIONALES ($COP)]]+D.sign_Data[[#This Row],[DESFASE ($COP)]]+D.sign_Data[[#This Row],[UTILIDAD ($COP)]]</f>
        <v>212797.40885943524</v>
      </c>
      <c r="AC351" s="101">
        <v>0.05</v>
      </c>
      <c r="AD351" s="15">
        <f>+D.sign_Data[[#This Row],[VALOR NETO ($COP)]]/(100%-D.sign_Data[[#This Row],[MARGEN DE NEGOCIACIÓN (%)]])-D.sign_Data[[#This Row],[VALOR NETO ($COP)]]</f>
        <v>11199.863624180813</v>
      </c>
      <c r="AE351" s="15">
        <f>+(D.sign_Data[[#This Row],[VALOR NETO ($COP)]]+D.sign_Data[[#This Row],[NEGOCIACIÓN ($COP)]])*1%</f>
        <v>2239.9727248361605</v>
      </c>
      <c r="AF351" s="15">
        <f>+(D.sign_Data[[#This Row],[VALOR NETO ($COP)]]+D.sign_Data[[#This Row],[NEGOCIACIÓN ($COP)]])*1%</f>
        <v>2239.9727248361605</v>
      </c>
      <c r="AG351" s="3">
        <f>+D.sign_Data[[#This Row],[VALOR NETO ($COP)]]+D.sign_Data[[#This Row],[NEGOCIACIÓN ($COP)]]+D.sign_Data[[#This Row],[ICA ($COP)]]+D.sign_Data[[#This Row],[4 * 1000 ($COP)]]</f>
        <v>228477.2179332884</v>
      </c>
    </row>
    <row r="352" spans="1:33" ht="60" hidden="1" customHeight="1" x14ac:dyDescent="0.25">
      <c r="A352" s="14"/>
      <c r="B352" s="87" t="s">
        <v>418</v>
      </c>
      <c r="C352" s="182" t="s">
        <v>726</v>
      </c>
      <c r="D352" s="189" t="str">
        <f>VLOOKUP(D.sign_Data[[#This Row],[CÓDIGO]],Descripciones[[CÓDIGO]:[NOMBRE DE SERVICIO]],3,FALSE)</f>
        <v>D1. Parcelaciones y Condominios</v>
      </c>
      <c r="E352" s="87" t="s">
        <v>497</v>
      </c>
      <c r="F352" s="88" t="s">
        <v>727</v>
      </c>
      <c r="G352" s="88" t="s">
        <v>536</v>
      </c>
      <c r="H352" s="87" t="s">
        <v>500</v>
      </c>
      <c r="I352" s="89">
        <v>1</v>
      </c>
      <c r="J352" s="88" t="s">
        <v>728</v>
      </c>
      <c r="K352" s="102"/>
      <c r="L352" s="88" t="s">
        <v>729</v>
      </c>
      <c r="M352" s="89" t="s">
        <v>381</v>
      </c>
      <c r="N352" s="90">
        <v>0.25</v>
      </c>
      <c r="O352" s="27">
        <f>IFERROR(+VLOOKUP(M352,D.sign_Lista_Data[[RESPONSABLE]:[SOFTWARE 
VALOR HORA]],3,FALSE),"0")</f>
        <v>20263.424518743668</v>
      </c>
      <c r="P352" s="3">
        <f t="shared" si="12"/>
        <v>5065.856129685917</v>
      </c>
      <c r="Q352" s="11">
        <f>IFERROR(+VLOOKUP(M352,D.sign_Lista_Data[[RESPONSABLE]:[SOFTWARE 
VALOR HORA]],5,FALSE)*D.sign_Data[[#This Row],[TIEMPO (HORAS)]],0)</f>
        <v>1055.3866936845659</v>
      </c>
      <c r="R352" s="42">
        <f>IFERROR(+VLOOKUP(M352,D.sign_Lista_Data[[RESPONSABLE]:[SOFTWARE 
VALOR HORA]],8,FALSE)*D.sign_Data[[#This Row],[TIEMPO (HORAS)]],0)</f>
        <v>852.71372178599586</v>
      </c>
      <c r="S352" s="99">
        <v>0</v>
      </c>
      <c r="T352" s="99">
        <v>0</v>
      </c>
      <c r="U352" s="3">
        <f t="shared" si="13"/>
        <v>6973.9565451564795</v>
      </c>
      <c r="V352" s="100">
        <f>D.sign_Data[[#This Row],[TIEMPO (HORAS)]]*Gastos_Operativos[[#Totals],[GASTOS HORA]]</f>
        <v>6947.3692680776003</v>
      </c>
      <c r="W352" s="3">
        <f>+D.sign_Data[[#This Row],[COSTO 
DIRECTO ($COP)]]+D.sign_Data[[#This Row],[PRORRATEO GASTOS ($COP)]]</f>
        <v>13921.32581323408</v>
      </c>
      <c r="X352" s="101">
        <v>0.15</v>
      </c>
      <c r="Y352" s="15">
        <f>+D.sign_Data[[#This Row],[COSTOS OPERACIONALES ($COP)]]*D.sign_Data[[#This Row],[DESFASE (%)]]</f>
        <v>2088.198871985112</v>
      </c>
      <c r="Z352" s="101">
        <v>0.3</v>
      </c>
      <c r="AA352" s="15">
        <f>+((D.sign_Data[[#This Row],[COSTOS OPERACIONALES ($COP)]]/(100%-D.sign_Data[[#This Row],[UTILIDAD (%)]])))-D.sign_Data[[#This Row],[COSTOS OPERACIONALES ($COP)]]</f>
        <v>5966.2824913860368</v>
      </c>
      <c r="AB352" s="3">
        <f>+D.sign_Data[[#This Row],[COSTOS OPERACIONALES ($COP)]]+D.sign_Data[[#This Row],[DESFASE ($COP)]]+D.sign_Data[[#This Row],[UTILIDAD ($COP)]]</f>
        <v>21975.807176605231</v>
      </c>
      <c r="AC352" s="101">
        <v>0.05</v>
      </c>
      <c r="AD352" s="15">
        <f>+D.sign_Data[[#This Row],[VALOR NETO ($COP)]]/(100%-D.sign_Data[[#This Row],[MARGEN DE NEGOCIACIÓN (%)]])-D.sign_Data[[#This Row],[VALOR NETO ($COP)]]</f>
        <v>1156.6214303476445</v>
      </c>
      <c r="AE352" s="15">
        <f>+(D.sign_Data[[#This Row],[VALOR NETO ($COP)]]+D.sign_Data[[#This Row],[NEGOCIACIÓN ($COP)]])*1%</f>
        <v>231.32428606952877</v>
      </c>
      <c r="AF352" s="15">
        <f>+(D.sign_Data[[#This Row],[VALOR NETO ($COP)]]+D.sign_Data[[#This Row],[NEGOCIACIÓN ($COP)]])*1%</f>
        <v>231.32428606952877</v>
      </c>
      <c r="AG352" s="3">
        <f>+D.sign_Data[[#This Row],[VALOR NETO ($COP)]]+D.sign_Data[[#This Row],[NEGOCIACIÓN ($COP)]]+D.sign_Data[[#This Row],[ICA ($COP)]]+D.sign_Data[[#This Row],[4 * 1000 ($COP)]]</f>
        <v>23595.077179091932</v>
      </c>
    </row>
    <row r="353" spans="1:33" ht="60" hidden="1" customHeight="1" x14ac:dyDescent="0.25">
      <c r="A353" s="14"/>
      <c r="B353" s="87" t="s">
        <v>418</v>
      </c>
      <c r="C353" s="182" t="s">
        <v>726</v>
      </c>
      <c r="D353" s="189" t="str">
        <f>VLOOKUP(D.sign_Data[[#This Row],[CÓDIGO]],Descripciones[[CÓDIGO]:[NOMBRE DE SERVICIO]],3,FALSE)</f>
        <v>D1. Parcelaciones y Condominios</v>
      </c>
      <c r="E353" s="87" t="s">
        <v>497</v>
      </c>
      <c r="F353" s="88" t="s">
        <v>727</v>
      </c>
      <c r="G353" s="88" t="s">
        <v>536</v>
      </c>
      <c r="H353" s="87" t="s">
        <v>500</v>
      </c>
      <c r="I353" s="89">
        <v>1</v>
      </c>
      <c r="J353" s="88" t="s">
        <v>728</v>
      </c>
      <c r="K353" s="102"/>
      <c r="L353" s="88" t="s">
        <v>636</v>
      </c>
      <c r="M353" s="89" t="s">
        <v>381</v>
      </c>
      <c r="N353" s="90">
        <v>0.05</v>
      </c>
      <c r="O353" s="27">
        <f>IFERROR(+VLOOKUP(M353,D.sign_Lista_Data[[RESPONSABLE]:[SOFTWARE 
VALOR HORA]],3,FALSE),"0")</f>
        <v>20263.424518743668</v>
      </c>
      <c r="P353" s="3">
        <f t="shared" si="12"/>
        <v>1013.1712259371834</v>
      </c>
      <c r="Q353" s="11">
        <f>IFERROR(+VLOOKUP(M353,D.sign_Lista_Data[[RESPONSABLE]:[SOFTWARE 
VALOR HORA]],5,FALSE)*D.sign_Data[[#This Row],[TIEMPO (HORAS)]],0)</f>
        <v>211.07733873691319</v>
      </c>
      <c r="R353" s="42">
        <f>IFERROR(+VLOOKUP(M353,D.sign_Lista_Data[[RESPONSABLE]:[SOFTWARE 
VALOR HORA]],8,FALSE)*D.sign_Data[[#This Row],[TIEMPO (HORAS)]],0)</f>
        <v>170.54274435719918</v>
      </c>
      <c r="S353" s="99">
        <v>0</v>
      </c>
      <c r="T353" s="99">
        <v>0</v>
      </c>
      <c r="U353" s="3">
        <f t="shared" si="13"/>
        <v>1394.7913090312957</v>
      </c>
      <c r="V353" s="100">
        <f>D.sign_Data[[#This Row],[TIEMPO (HORAS)]]*Gastos_Operativos[[#Totals],[GASTOS HORA]]</f>
        <v>1389.4738536155201</v>
      </c>
      <c r="W353" s="3">
        <f>+D.sign_Data[[#This Row],[COSTO 
DIRECTO ($COP)]]+D.sign_Data[[#This Row],[PRORRATEO GASTOS ($COP)]]</f>
        <v>2784.265162646816</v>
      </c>
      <c r="X353" s="101">
        <v>0.15</v>
      </c>
      <c r="Y353" s="15">
        <f>+D.sign_Data[[#This Row],[COSTOS OPERACIONALES ($COP)]]*D.sign_Data[[#This Row],[DESFASE (%)]]</f>
        <v>417.63977439702239</v>
      </c>
      <c r="Z353" s="101">
        <v>0.3</v>
      </c>
      <c r="AA353" s="15">
        <f>+((D.sign_Data[[#This Row],[COSTOS OPERACIONALES ($COP)]]/(100%-D.sign_Data[[#This Row],[UTILIDAD (%)]])))-D.sign_Data[[#This Row],[COSTOS OPERACIONALES ($COP)]]</f>
        <v>1193.2564982772069</v>
      </c>
      <c r="AB353" s="3">
        <f>+D.sign_Data[[#This Row],[COSTOS OPERACIONALES ($COP)]]+D.sign_Data[[#This Row],[DESFASE ($COP)]]+D.sign_Data[[#This Row],[UTILIDAD ($COP)]]</f>
        <v>4395.1614353210452</v>
      </c>
      <c r="AC353" s="101">
        <v>0.05</v>
      </c>
      <c r="AD353" s="15">
        <f>+D.sign_Data[[#This Row],[VALOR NETO ($COP)]]/(100%-D.sign_Data[[#This Row],[MARGEN DE NEGOCIACIÓN (%)]])-D.sign_Data[[#This Row],[VALOR NETO ($COP)]]</f>
        <v>231.32428606952908</v>
      </c>
      <c r="AE353" s="15">
        <f>+(D.sign_Data[[#This Row],[VALOR NETO ($COP)]]+D.sign_Data[[#This Row],[NEGOCIACIÓN ($COP)]])*1%</f>
        <v>46.264857213905742</v>
      </c>
      <c r="AF353" s="15">
        <f>+(D.sign_Data[[#This Row],[VALOR NETO ($COP)]]+D.sign_Data[[#This Row],[NEGOCIACIÓN ($COP)]])*1%</f>
        <v>46.264857213905742</v>
      </c>
      <c r="AG353" s="3">
        <f>+D.sign_Data[[#This Row],[VALOR NETO ($COP)]]+D.sign_Data[[#This Row],[NEGOCIACIÓN ($COP)]]+D.sign_Data[[#This Row],[ICA ($COP)]]+D.sign_Data[[#This Row],[4 * 1000 ($COP)]]</f>
        <v>4719.0154358183863</v>
      </c>
    </row>
    <row r="354" spans="1:33" ht="60" hidden="1" customHeight="1" x14ac:dyDescent="0.25">
      <c r="A354" s="14"/>
      <c r="B354" s="87" t="s">
        <v>418</v>
      </c>
      <c r="C354" s="182" t="s">
        <v>726</v>
      </c>
      <c r="D354" s="189" t="str">
        <f>VLOOKUP(D.sign_Data[[#This Row],[CÓDIGO]],Descripciones[[CÓDIGO]:[NOMBRE DE SERVICIO]],3,FALSE)</f>
        <v>D1. Parcelaciones y Condominios</v>
      </c>
      <c r="E354" s="87" t="s">
        <v>497</v>
      </c>
      <c r="F354" s="88" t="s">
        <v>727</v>
      </c>
      <c r="G354" s="88" t="s">
        <v>536</v>
      </c>
      <c r="H354" s="87" t="s">
        <v>500</v>
      </c>
      <c r="I354" s="89">
        <v>1</v>
      </c>
      <c r="J354" s="88" t="s">
        <v>728</v>
      </c>
      <c r="K354" s="102"/>
      <c r="L354" s="88" t="s">
        <v>730</v>
      </c>
      <c r="M354" s="89" t="s">
        <v>381</v>
      </c>
      <c r="N354" s="90">
        <v>5</v>
      </c>
      <c r="O354" s="27">
        <f>IFERROR(+VLOOKUP(M354,D.sign_Lista_Data[[RESPONSABLE]:[SOFTWARE 
VALOR HORA]],3,FALSE),"0")</f>
        <v>20263.424518743668</v>
      </c>
      <c r="P354" s="3">
        <f t="shared" si="12"/>
        <v>101317.12259371835</v>
      </c>
      <c r="Q354" s="11">
        <f>IFERROR(+VLOOKUP(M354,D.sign_Lista_Data[[RESPONSABLE]:[SOFTWARE 
VALOR HORA]],5,FALSE)*D.sign_Data[[#This Row],[TIEMPO (HORAS)]],0)</f>
        <v>21107.733873691319</v>
      </c>
      <c r="R354" s="42">
        <f>IFERROR(+VLOOKUP(M354,D.sign_Lista_Data[[RESPONSABLE]:[SOFTWARE 
VALOR HORA]],8,FALSE)*D.sign_Data[[#This Row],[TIEMPO (HORAS)]],0)</f>
        <v>17054.274435719919</v>
      </c>
      <c r="S354" s="99">
        <v>0</v>
      </c>
      <c r="T354" s="99">
        <v>0</v>
      </c>
      <c r="U354" s="3">
        <f t="shared" si="13"/>
        <v>139479.13090312958</v>
      </c>
      <c r="V354" s="100">
        <f>D.sign_Data[[#This Row],[TIEMPO (HORAS)]]*Gastos_Operativos[[#Totals],[GASTOS HORA]]</f>
        <v>138947.38536155201</v>
      </c>
      <c r="W354" s="3">
        <f>+D.sign_Data[[#This Row],[COSTO 
DIRECTO ($COP)]]+D.sign_Data[[#This Row],[PRORRATEO GASTOS ($COP)]]</f>
        <v>278426.51626468159</v>
      </c>
      <c r="X354" s="101">
        <v>0.15</v>
      </c>
      <c r="Y354" s="15">
        <f>+D.sign_Data[[#This Row],[COSTOS OPERACIONALES ($COP)]]*D.sign_Data[[#This Row],[DESFASE (%)]]</f>
        <v>41763.977439702234</v>
      </c>
      <c r="Z354" s="101">
        <v>0.3</v>
      </c>
      <c r="AA354" s="15">
        <f>+((D.sign_Data[[#This Row],[COSTOS OPERACIONALES ($COP)]]/(100%-D.sign_Data[[#This Row],[UTILIDAD (%)]])))-D.sign_Data[[#This Row],[COSTOS OPERACIONALES ($COP)]]</f>
        <v>119325.64982772071</v>
      </c>
      <c r="AB354" s="3">
        <f>+D.sign_Data[[#This Row],[COSTOS OPERACIONALES ($COP)]]+D.sign_Data[[#This Row],[DESFASE ($COP)]]+D.sign_Data[[#This Row],[UTILIDAD ($COP)]]</f>
        <v>439516.14353210456</v>
      </c>
      <c r="AC354" s="101">
        <v>0.05</v>
      </c>
      <c r="AD354" s="15">
        <f>+D.sign_Data[[#This Row],[VALOR NETO ($COP)]]/(100%-D.sign_Data[[#This Row],[MARGEN DE NEGOCIACIÓN (%)]])-D.sign_Data[[#This Row],[VALOR NETO ($COP)]]</f>
        <v>23132.42860695289</v>
      </c>
      <c r="AE354" s="15">
        <f>+(D.sign_Data[[#This Row],[VALOR NETO ($COP)]]+D.sign_Data[[#This Row],[NEGOCIACIÓN ($COP)]])*1%</f>
        <v>4626.4857213905743</v>
      </c>
      <c r="AF354" s="15">
        <f>+(D.sign_Data[[#This Row],[VALOR NETO ($COP)]]+D.sign_Data[[#This Row],[NEGOCIACIÓN ($COP)]])*1%</f>
        <v>4626.4857213905743</v>
      </c>
      <c r="AG354" s="3">
        <f>+D.sign_Data[[#This Row],[VALOR NETO ($COP)]]+D.sign_Data[[#This Row],[NEGOCIACIÓN ($COP)]]+D.sign_Data[[#This Row],[ICA ($COP)]]+D.sign_Data[[#This Row],[4 * 1000 ($COP)]]</f>
        <v>471901.5435818386</v>
      </c>
    </row>
    <row r="355" spans="1:33" ht="60" hidden="1" customHeight="1" x14ac:dyDescent="0.25">
      <c r="A355" s="14"/>
      <c r="B355" s="87" t="s">
        <v>418</v>
      </c>
      <c r="C355" s="182" t="s">
        <v>726</v>
      </c>
      <c r="D355" s="189" t="str">
        <f>VLOOKUP(D.sign_Data[[#This Row],[CÓDIGO]],Descripciones[[CÓDIGO]:[NOMBRE DE SERVICIO]],3,FALSE)</f>
        <v>D1. Parcelaciones y Condominios</v>
      </c>
      <c r="E355" s="87" t="s">
        <v>497</v>
      </c>
      <c r="F355" s="88" t="s">
        <v>727</v>
      </c>
      <c r="G355" s="88" t="s">
        <v>536</v>
      </c>
      <c r="H355" s="87" t="s">
        <v>500</v>
      </c>
      <c r="I355" s="89">
        <v>1</v>
      </c>
      <c r="J355" s="88" t="s">
        <v>728</v>
      </c>
      <c r="K355" s="102"/>
      <c r="L355" s="88" t="s">
        <v>731</v>
      </c>
      <c r="M355" s="89" t="s">
        <v>381</v>
      </c>
      <c r="N355" s="90">
        <v>4</v>
      </c>
      <c r="O355" s="27">
        <f>IFERROR(+VLOOKUP(M355,D.sign_Lista_Data[[RESPONSABLE]:[SOFTWARE 
VALOR HORA]],3,FALSE),"0")</f>
        <v>20263.424518743668</v>
      </c>
      <c r="P355" s="3">
        <f t="shared" si="12"/>
        <v>81053.698074974673</v>
      </c>
      <c r="Q355" s="11">
        <f>IFERROR(+VLOOKUP(M355,D.sign_Lista_Data[[RESPONSABLE]:[SOFTWARE 
VALOR HORA]],5,FALSE)*D.sign_Data[[#This Row],[TIEMPO (HORAS)]],0)</f>
        <v>16886.187098953054</v>
      </c>
      <c r="R355" s="42">
        <f>IFERROR(+VLOOKUP(M355,D.sign_Lista_Data[[RESPONSABLE]:[SOFTWARE 
VALOR HORA]],8,FALSE)*D.sign_Data[[#This Row],[TIEMPO (HORAS)]],0)</f>
        <v>13643.419548575934</v>
      </c>
      <c r="S355" s="99">
        <v>0</v>
      </c>
      <c r="T355" s="99">
        <v>0</v>
      </c>
      <c r="U355" s="3">
        <f t="shared" si="13"/>
        <v>111583.30472250367</v>
      </c>
      <c r="V355" s="100">
        <f>D.sign_Data[[#This Row],[TIEMPO (HORAS)]]*Gastos_Operativos[[#Totals],[GASTOS HORA]]</f>
        <v>111157.9082892416</v>
      </c>
      <c r="W355" s="3">
        <f>+D.sign_Data[[#This Row],[COSTO 
DIRECTO ($COP)]]+D.sign_Data[[#This Row],[PRORRATEO GASTOS ($COP)]]</f>
        <v>222741.21301174528</v>
      </c>
      <c r="X355" s="101">
        <v>0.15</v>
      </c>
      <c r="Y355" s="15">
        <f>+D.sign_Data[[#This Row],[COSTOS OPERACIONALES ($COP)]]*D.sign_Data[[#This Row],[DESFASE (%)]]</f>
        <v>33411.181951761791</v>
      </c>
      <c r="Z355" s="101">
        <v>0.3</v>
      </c>
      <c r="AA355" s="15">
        <f>+((D.sign_Data[[#This Row],[COSTOS OPERACIONALES ($COP)]]/(100%-D.sign_Data[[#This Row],[UTILIDAD (%)]])))-D.sign_Data[[#This Row],[COSTOS OPERACIONALES ($COP)]]</f>
        <v>95460.519862176589</v>
      </c>
      <c r="AB355" s="3">
        <f>+D.sign_Data[[#This Row],[COSTOS OPERACIONALES ($COP)]]+D.sign_Data[[#This Row],[DESFASE ($COP)]]+D.sign_Data[[#This Row],[UTILIDAD ($COP)]]</f>
        <v>351612.91482568369</v>
      </c>
      <c r="AC355" s="101">
        <v>0.05</v>
      </c>
      <c r="AD355" s="15">
        <f>+D.sign_Data[[#This Row],[VALOR NETO ($COP)]]/(100%-D.sign_Data[[#This Row],[MARGEN DE NEGOCIACIÓN (%)]])-D.sign_Data[[#This Row],[VALOR NETO ($COP)]]</f>
        <v>18505.942885562312</v>
      </c>
      <c r="AE355" s="15">
        <f>+(D.sign_Data[[#This Row],[VALOR NETO ($COP)]]+D.sign_Data[[#This Row],[NEGOCIACIÓN ($COP)]])*1%</f>
        <v>3701.1885771124603</v>
      </c>
      <c r="AF355" s="15">
        <f>+(D.sign_Data[[#This Row],[VALOR NETO ($COP)]]+D.sign_Data[[#This Row],[NEGOCIACIÓN ($COP)]])*1%</f>
        <v>3701.1885771124603</v>
      </c>
      <c r="AG355" s="3">
        <f>+D.sign_Data[[#This Row],[VALOR NETO ($COP)]]+D.sign_Data[[#This Row],[NEGOCIACIÓN ($COP)]]+D.sign_Data[[#This Row],[ICA ($COP)]]+D.sign_Data[[#This Row],[4 * 1000 ($COP)]]</f>
        <v>377521.23486547091</v>
      </c>
    </row>
    <row r="356" spans="1:33" ht="60" hidden="1" customHeight="1" x14ac:dyDescent="0.25">
      <c r="A356" s="14"/>
      <c r="B356" s="87" t="s">
        <v>418</v>
      </c>
      <c r="C356" s="182" t="s">
        <v>726</v>
      </c>
      <c r="D356" s="189" t="str">
        <f>VLOOKUP(D.sign_Data[[#This Row],[CÓDIGO]],Descripciones[[CÓDIGO]:[NOMBRE DE SERVICIO]],3,FALSE)</f>
        <v>D1. Parcelaciones y Condominios</v>
      </c>
      <c r="E356" s="87" t="s">
        <v>497</v>
      </c>
      <c r="F356" s="88" t="s">
        <v>727</v>
      </c>
      <c r="G356" s="88" t="s">
        <v>536</v>
      </c>
      <c r="H356" s="87" t="s">
        <v>500</v>
      </c>
      <c r="I356" s="89">
        <v>1</v>
      </c>
      <c r="J356" s="88" t="s">
        <v>728</v>
      </c>
      <c r="K356" s="102"/>
      <c r="L356" s="88" t="s">
        <v>639</v>
      </c>
      <c r="M356" s="89" t="s">
        <v>381</v>
      </c>
      <c r="N356" s="90">
        <v>0.5</v>
      </c>
      <c r="O356" s="27">
        <f>IFERROR(+VLOOKUP(M356,D.sign_Lista_Data[[RESPONSABLE]:[SOFTWARE 
VALOR HORA]],3,FALSE),"0")</f>
        <v>20263.424518743668</v>
      </c>
      <c r="P356" s="3">
        <f t="shared" si="12"/>
        <v>10131.712259371834</v>
      </c>
      <c r="Q356" s="11">
        <f>IFERROR(+VLOOKUP(M356,D.sign_Lista_Data[[RESPONSABLE]:[SOFTWARE 
VALOR HORA]],5,FALSE)*D.sign_Data[[#This Row],[TIEMPO (HORAS)]],0)</f>
        <v>2110.7733873691318</v>
      </c>
      <c r="R356" s="42">
        <f>IFERROR(+VLOOKUP(M356,D.sign_Lista_Data[[RESPONSABLE]:[SOFTWARE 
VALOR HORA]],8,FALSE)*D.sign_Data[[#This Row],[TIEMPO (HORAS)]],0)</f>
        <v>1705.4274435719917</v>
      </c>
      <c r="S356" s="99">
        <v>0</v>
      </c>
      <c r="T356" s="99">
        <v>0</v>
      </c>
      <c r="U356" s="3">
        <f t="shared" si="13"/>
        <v>13947.913090312959</v>
      </c>
      <c r="V356" s="100">
        <f>D.sign_Data[[#This Row],[TIEMPO (HORAS)]]*Gastos_Operativos[[#Totals],[GASTOS HORA]]</f>
        <v>13894.738536155201</v>
      </c>
      <c r="W356" s="3">
        <f>+D.sign_Data[[#This Row],[COSTO 
DIRECTO ($COP)]]+D.sign_Data[[#This Row],[PRORRATEO GASTOS ($COP)]]</f>
        <v>27842.65162646816</v>
      </c>
      <c r="X356" s="101">
        <v>0.15</v>
      </c>
      <c r="Y356" s="15">
        <f>+D.sign_Data[[#This Row],[COSTOS OPERACIONALES ($COP)]]*D.sign_Data[[#This Row],[DESFASE (%)]]</f>
        <v>4176.3977439702239</v>
      </c>
      <c r="Z356" s="101">
        <v>0.3</v>
      </c>
      <c r="AA356" s="15">
        <f>+((D.sign_Data[[#This Row],[COSTOS OPERACIONALES ($COP)]]/(100%-D.sign_Data[[#This Row],[UTILIDAD (%)]])))-D.sign_Data[[#This Row],[COSTOS OPERACIONALES ($COP)]]</f>
        <v>11932.564982772074</v>
      </c>
      <c r="AB356" s="3">
        <f>+D.sign_Data[[#This Row],[COSTOS OPERACIONALES ($COP)]]+D.sign_Data[[#This Row],[DESFASE ($COP)]]+D.sign_Data[[#This Row],[UTILIDAD ($COP)]]</f>
        <v>43951.614353210462</v>
      </c>
      <c r="AC356" s="101">
        <v>0.05</v>
      </c>
      <c r="AD356" s="15">
        <f>+D.sign_Data[[#This Row],[VALOR NETO ($COP)]]/(100%-D.sign_Data[[#This Row],[MARGEN DE NEGOCIACIÓN (%)]])-D.sign_Data[[#This Row],[VALOR NETO ($COP)]]</f>
        <v>2313.242860695289</v>
      </c>
      <c r="AE356" s="15">
        <f>+(D.sign_Data[[#This Row],[VALOR NETO ($COP)]]+D.sign_Data[[#This Row],[NEGOCIACIÓN ($COP)]])*1%</f>
        <v>462.64857213905753</v>
      </c>
      <c r="AF356" s="15">
        <f>+(D.sign_Data[[#This Row],[VALOR NETO ($COP)]]+D.sign_Data[[#This Row],[NEGOCIACIÓN ($COP)]])*1%</f>
        <v>462.64857213905753</v>
      </c>
      <c r="AG356" s="3">
        <f>+D.sign_Data[[#This Row],[VALOR NETO ($COP)]]+D.sign_Data[[#This Row],[NEGOCIACIÓN ($COP)]]+D.sign_Data[[#This Row],[ICA ($COP)]]+D.sign_Data[[#This Row],[4 * 1000 ($COP)]]</f>
        <v>47190.154358183863</v>
      </c>
    </row>
    <row r="357" spans="1:33" ht="60" hidden="1" customHeight="1" x14ac:dyDescent="0.25">
      <c r="A357" s="14"/>
      <c r="B357" s="87" t="s">
        <v>418</v>
      </c>
      <c r="C357" s="182" t="s">
        <v>726</v>
      </c>
      <c r="D357" s="189" t="str">
        <f>VLOOKUP(D.sign_Data[[#This Row],[CÓDIGO]],Descripciones[[CÓDIGO]:[NOMBRE DE SERVICIO]],3,FALSE)</f>
        <v>D1. Parcelaciones y Condominios</v>
      </c>
      <c r="E357" s="87" t="s">
        <v>497</v>
      </c>
      <c r="F357" s="88" t="s">
        <v>727</v>
      </c>
      <c r="G357" s="88" t="s">
        <v>536</v>
      </c>
      <c r="H357" s="87" t="s">
        <v>500</v>
      </c>
      <c r="I357" s="89">
        <v>1</v>
      </c>
      <c r="J357" s="88" t="s">
        <v>728</v>
      </c>
      <c r="K357" s="102"/>
      <c r="L357" s="88" t="s">
        <v>640</v>
      </c>
      <c r="M357" s="89" t="s">
        <v>381</v>
      </c>
      <c r="N357" s="90">
        <v>1</v>
      </c>
      <c r="O357" s="27">
        <f>IFERROR(+VLOOKUP(M357,D.sign_Lista_Data[[RESPONSABLE]:[SOFTWARE 
VALOR HORA]],3,FALSE),"0")</f>
        <v>20263.424518743668</v>
      </c>
      <c r="P357" s="3">
        <f t="shared" si="12"/>
        <v>20263.424518743668</v>
      </c>
      <c r="Q357" s="11">
        <f>IFERROR(+VLOOKUP(M357,D.sign_Lista_Data[[RESPONSABLE]:[SOFTWARE 
VALOR HORA]],5,FALSE)*D.sign_Data[[#This Row],[TIEMPO (HORAS)]],0)</f>
        <v>4221.5467747382636</v>
      </c>
      <c r="R357" s="42">
        <f>IFERROR(+VLOOKUP(M357,D.sign_Lista_Data[[RESPONSABLE]:[SOFTWARE 
VALOR HORA]],8,FALSE)*D.sign_Data[[#This Row],[TIEMPO (HORAS)]],0)</f>
        <v>3410.8548871439834</v>
      </c>
      <c r="S357" s="99">
        <v>0</v>
      </c>
      <c r="T357" s="99">
        <v>0</v>
      </c>
      <c r="U357" s="3">
        <f t="shared" si="13"/>
        <v>27895.826180625918</v>
      </c>
      <c r="V357" s="100">
        <f>D.sign_Data[[#This Row],[TIEMPO (HORAS)]]*Gastos_Operativos[[#Totals],[GASTOS HORA]]</f>
        <v>27789.477072310401</v>
      </c>
      <c r="W357" s="3">
        <f>+D.sign_Data[[#This Row],[COSTO 
DIRECTO ($COP)]]+D.sign_Data[[#This Row],[PRORRATEO GASTOS ($COP)]]</f>
        <v>55685.303252936319</v>
      </c>
      <c r="X357" s="101">
        <v>0.15</v>
      </c>
      <c r="Y357" s="15">
        <f>+D.sign_Data[[#This Row],[COSTOS OPERACIONALES ($COP)]]*D.sign_Data[[#This Row],[DESFASE (%)]]</f>
        <v>8352.7954879404479</v>
      </c>
      <c r="Z357" s="101">
        <v>0.3</v>
      </c>
      <c r="AA357" s="15">
        <f>+((D.sign_Data[[#This Row],[COSTOS OPERACIONALES ($COP)]]/(100%-D.sign_Data[[#This Row],[UTILIDAD (%)]])))-D.sign_Data[[#This Row],[COSTOS OPERACIONALES ($COP)]]</f>
        <v>23865.129965544147</v>
      </c>
      <c r="AB357" s="3">
        <f>+D.sign_Data[[#This Row],[COSTOS OPERACIONALES ($COP)]]+D.sign_Data[[#This Row],[DESFASE ($COP)]]+D.sign_Data[[#This Row],[UTILIDAD ($COP)]]</f>
        <v>87903.228706420923</v>
      </c>
      <c r="AC357" s="101">
        <v>0.05</v>
      </c>
      <c r="AD357" s="15">
        <f>+D.sign_Data[[#This Row],[VALOR NETO ($COP)]]/(100%-D.sign_Data[[#This Row],[MARGEN DE NEGOCIACIÓN (%)]])-D.sign_Data[[#This Row],[VALOR NETO ($COP)]]</f>
        <v>4626.485721390578</v>
      </c>
      <c r="AE357" s="15">
        <f>+(D.sign_Data[[#This Row],[VALOR NETO ($COP)]]+D.sign_Data[[#This Row],[NEGOCIACIÓN ($COP)]])*1%</f>
        <v>925.29714427811507</v>
      </c>
      <c r="AF357" s="15">
        <f>+(D.sign_Data[[#This Row],[VALOR NETO ($COP)]]+D.sign_Data[[#This Row],[NEGOCIACIÓN ($COP)]])*1%</f>
        <v>925.29714427811507</v>
      </c>
      <c r="AG357" s="3">
        <f>+D.sign_Data[[#This Row],[VALOR NETO ($COP)]]+D.sign_Data[[#This Row],[NEGOCIACIÓN ($COP)]]+D.sign_Data[[#This Row],[ICA ($COP)]]+D.sign_Data[[#This Row],[4 * 1000 ($COP)]]</f>
        <v>94380.308716367726</v>
      </c>
    </row>
    <row r="358" spans="1:33" ht="60" hidden="1" customHeight="1" x14ac:dyDescent="0.25">
      <c r="A358" s="14"/>
      <c r="B358" s="87" t="s">
        <v>418</v>
      </c>
      <c r="C358" s="182" t="s">
        <v>726</v>
      </c>
      <c r="D358" s="189" t="str">
        <f>VLOOKUP(D.sign_Data[[#This Row],[CÓDIGO]],Descripciones[[CÓDIGO]:[NOMBRE DE SERVICIO]],3,FALSE)</f>
        <v>D1. Parcelaciones y Condominios</v>
      </c>
      <c r="E358" s="87" t="s">
        <v>497</v>
      </c>
      <c r="F358" s="88" t="s">
        <v>727</v>
      </c>
      <c r="G358" s="88" t="s">
        <v>536</v>
      </c>
      <c r="H358" s="87" t="s">
        <v>500</v>
      </c>
      <c r="I358" s="89">
        <v>1</v>
      </c>
      <c r="J358" s="88" t="s">
        <v>728</v>
      </c>
      <c r="K358" s="102"/>
      <c r="L358" s="88" t="s">
        <v>732</v>
      </c>
      <c r="M358" s="89" t="s">
        <v>381</v>
      </c>
      <c r="N358" s="90">
        <v>2</v>
      </c>
      <c r="O358" s="27">
        <f>IFERROR(+VLOOKUP(M358,D.sign_Lista_Data[[RESPONSABLE]:[SOFTWARE 
VALOR HORA]],3,FALSE),"0")</f>
        <v>20263.424518743668</v>
      </c>
      <c r="P358" s="3">
        <f t="shared" si="12"/>
        <v>40526.849037487336</v>
      </c>
      <c r="Q358" s="11">
        <f>IFERROR(+VLOOKUP(M358,D.sign_Lista_Data[[RESPONSABLE]:[SOFTWARE 
VALOR HORA]],5,FALSE)*D.sign_Data[[#This Row],[TIEMPO (HORAS)]],0)</f>
        <v>8443.0935494765272</v>
      </c>
      <c r="R358" s="42">
        <f>IFERROR(+VLOOKUP(M358,D.sign_Lista_Data[[RESPONSABLE]:[SOFTWARE 
VALOR HORA]],8,FALSE)*D.sign_Data[[#This Row],[TIEMPO (HORAS)]],0)</f>
        <v>6821.7097742879669</v>
      </c>
      <c r="S358" s="99">
        <v>0</v>
      </c>
      <c r="T358" s="99">
        <v>0</v>
      </c>
      <c r="U358" s="3">
        <f t="shared" si="13"/>
        <v>55791.652361251836</v>
      </c>
      <c r="V358" s="100">
        <f>D.sign_Data[[#This Row],[TIEMPO (HORAS)]]*Gastos_Operativos[[#Totals],[GASTOS HORA]]</f>
        <v>55578.954144620802</v>
      </c>
      <c r="W358" s="3">
        <f>+D.sign_Data[[#This Row],[COSTO 
DIRECTO ($COP)]]+D.sign_Data[[#This Row],[PRORRATEO GASTOS ($COP)]]</f>
        <v>111370.60650587264</v>
      </c>
      <c r="X358" s="101">
        <v>0.15</v>
      </c>
      <c r="Y358" s="15">
        <f>+D.sign_Data[[#This Row],[COSTOS OPERACIONALES ($COP)]]*D.sign_Data[[#This Row],[DESFASE (%)]]</f>
        <v>16705.590975880896</v>
      </c>
      <c r="Z358" s="101">
        <v>0.3</v>
      </c>
      <c r="AA358" s="15">
        <f>+((D.sign_Data[[#This Row],[COSTOS OPERACIONALES ($COP)]]/(100%-D.sign_Data[[#This Row],[UTILIDAD (%)]])))-D.sign_Data[[#This Row],[COSTOS OPERACIONALES ($COP)]]</f>
        <v>47730.259931088294</v>
      </c>
      <c r="AB358" s="3">
        <f>+D.sign_Data[[#This Row],[COSTOS OPERACIONALES ($COP)]]+D.sign_Data[[#This Row],[DESFASE ($COP)]]+D.sign_Data[[#This Row],[UTILIDAD ($COP)]]</f>
        <v>175806.45741284185</v>
      </c>
      <c r="AC358" s="101">
        <v>0.05</v>
      </c>
      <c r="AD358" s="15">
        <f>+D.sign_Data[[#This Row],[VALOR NETO ($COP)]]/(100%-D.sign_Data[[#This Row],[MARGEN DE NEGOCIACIÓN (%)]])-D.sign_Data[[#This Row],[VALOR NETO ($COP)]]</f>
        <v>9252.9714427811559</v>
      </c>
      <c r="AE358" s="15">
        <f>+(D.sign_Data[[#This Row],[VALOR NETO ($COP)]]+D.sign_Data[[#This Row],[NEGOCIACIÓN ($COP)]])*1%</f>
        <v>1850.5942885562301</v>
      </c>
      <c r="AF358" s="15">
        <f>+(D.sign_Data[[#This Row],[VALOR NETO ($COP)]]+D.sign_Data[[#This Row],[NEGOCIACIÓN ($COP)]])*1%</f>
        <v>1850.5942885562301</v>
      </c>
      <c r="AG358" s="3">
        <f>+D.sign_Data[[#This Row],[VALOR NETO ($COP)]]+D.sign_Data[[#This Row],[NEGOCIACIÓN ($COP)]]+D.sign_Data[[#This Row],[ICA ($COP)]]+D.sign_Data[[#This Row],[4 * 1000 ($COP)]]</f>
        <v>188760.61743273545</v>
      </c>
    </row>
    <row r="359" spans="1:33" ht="60" hidden="1" customHeight="1" x14ac:dyDescent="0.25">
      <c r="A359" s="14"/>
      <c r="B359" s="87" t="s">
        <v>418</v>
      </c>
      <c r="C359" s="182" t="s">
        <v>726</v>
      </c>
      <c r="D359" s="189" t="str">
        <f>VLOOKUP(D.sign_Data[[#This Row],[CÓDIGO]],Descripciones[[CÓDIGO]:[NOMBRE DE SERVICIO]],3,FALSE)</f>
        <v>D1. Parcelaciones y Condominios</v>
      </c>
      <c r="E359" s="87" t="s">
        <v>497</v>
      </c>
      <c r="F359" s="88" t="s">
        <v>727</v>
      </c>
      <c r="G359" s="88" t="s">
        <v>536</v>
      </c>
      <c r="H359" s="87" t="s">
        <v>500</v>
      </c>
      <c r="I359" s="89">
        <v>1</v>
      </c>
      <c r="J359" s="88" t="s">
        <v>728</v>
      </c>
      <c r="K359" s="102"/>
      <c r="L359" s="88" t="s">
        <v>642</v>
      </c>
      <c r="M359" s="89" t="s">
        <v>381</v>
      </c>
      <c r="N359" s="90">
        <v>1</v>
      </c>
      <c r="O359" s="27">
        <f>IFERROR(+VLOOKUP(M359,D.sign_Lista_Data[[RESPONSABLE]:[SOFTWARE 
VALOR HORA]],3,FALSE),"0")</f>
        <v>20263.424518743668</v>
      </c>
      <c r="P359" s="3">
        <f t="shared" si="12"/>
        <v>20263.424518743668</v>
      </c>
      <c r="Q359" s="11">
        <f>IFERROR(+VLOOKUP(M359,D.sign_Lista_Data[[RESPONSABLE]:[SOFTWARE 
VALOR HORA]],5,FALSE)*D.sign_Data[[#This Row],[TIEMPO (HORAS)]],0)</f>
        <v>4221.5467747382636</v>
      </c>
      <c r="R359" s="42">
        <f>IFERROR(+VLOOKUP(M359,D.sign_Lista_Data[[RESPONSABLE]:[SOFTWARE 
VALOR HORA]],8,FALSE)*D.sign_Data[[#This Row],[TIEMPO (HORAS)]],0)</f>
        <v>3410.8548871439834</v>
      </c>
      <c r="S359" s="99">
        <v>0</v>
      </c>
      <c r="T359" s="99">
        <v>0</v>
      </c>
      <c r="U359" s="3">
        <f t="shared" si="13"/>
        <v>27895.826180625918</v>
      </c>
      <c r="V359" s="100">
        <f>D.sign_Data[[#This Row],[TIEMPO (HORAS)]]*Gastos_Operativos[[#Totals],[GASTOS HORA]]</f>
        <v>27789.477072310401</v>
      </c>
      <c r="W359" s="3">
        <f>+D.sign_Data[[#This Row],[COSTO 
DIRECTO ($COP)]]+D.sign_Data[[#This Row],[PRORRATEO GASTOS ($COP)]]</f>
        <v>55685.303252936319</v>
      </c>
      <c r="X359" s="101">
        <v>0.15</v>
      </c>
      <c r="Y359" s="15">
        <f>+D.sign_Data[[#This Row],[COSTOS OPERACIONALES ($COP)]]*D.sign_Data[[#This Row],[DESFASE (%)]]</f>
        <v>8352.7954879404479</v>
      </c>
      <c r="Z359" s="101">
        <v>0.3</v>
      </c>
      <c r="AA359" s="15">
        <f>+((D.sign_Data[[#This Row],[COSTOS OPERACIONALES ($COP)]]/(100%-D.sign_Data[[#This Row],[UTILIDAD (%)]])))-D.sign_Data[[#This Row],[COSTOS OPERACIONALES ($COP)]]</f>
        <v>23865.129965544147</v>
      </c>
      <c r="AB359" s="3">
        <f>+D.sign_Data[[#This Row],[COSTOS OPERACIONALES ($COP)]]+D.sign_Data[[#This Row],[DESFASE ($COP)]]+D.sign_Data[[#This Row],[UTILIDAD ($COP)]]</f>
        <v>87903.228706420923</v>
      </c>
      <c r="AC359" s="101">
        <v>0.05</v>
      </c>
      <c r="AD359" s="15">
        <f>+D.sign_Data[[#This Row],[VALOR NETO ($COP)]]/(100%-D.sign_Data[[#This Row],[MARGEN DE NEGOCIACIÓN (%)]])-D.sign_Data[[#This Row],[VALOR NETO ($COP)]]</f>
        <v>4626.485721390578</v>
      </c>
      <c r="AE359" s="15">
        <f>+(D.sign_Data[[#This Row],[VALOR NETO ($COP)]]+D.sign_Data[[#This Row],[NEGOCIACIÓN ($COP)]])*1%</f>
        <v>925.29714427811507</v>
      </c>
      <c r="AF359" s="15">
        <f>+(D.sign_Data[[#This Row],[VALOR NETO ($COP)]]+D.sign_Data[[#This Row],[NEGOCIACIÓN ($COP)]])*1%</f>
        <v>925.29714427811507</v>
      </c>
      <c r="AG359" s="3">
        <f>+D.sign_Data[[#This Row],[VALOR NETO ($COP)]]+D.sign_Data[[#This Row],[NEGOCIACIÓN ($COP)]]+D.sign_Data[[#This Row],[ICA ($COP)]]+D.sign_Data[[#This Row],[4 * 1000 ($COP)]]</f>
        <v>94380.308716367726</v>
      </c>
    </row>
    <row r="360" spans="1:33" ht="60" hidden="1" customHeight="1" x14ac:dyDescent="0.25">
      <c r="A360" s="14"/>
      <c r="B360" s="87" t="s">
        <v>418</v>
      </c>
      <c r="C360" s="182" t="s">
        <v>726</v>
      </c>
      <c r="D360" s="189" t="str">
        <f>VLOOKUP(D.sign_Data[[#This Row],[CÓDIGO]],Descripciones[[CÓDIGO]:[NOMBRE DE SERVICIO]],3,FALSE)</f>
        <v>D1. Parcelaciones y Condominios</v>
      </c>
      <c r="E360" s="87" t="s">
        <v>497</v>
      </c>
      <c r="F360" s="88" t="s">
        <v>727</v>
      </c>
      <c r="G360" s="88" t="s">
        <v>536</v>
      </c>
      <c r="H360" s="87" t="s">
        <v>500</v>
      </c>
      <c r="I360" s="89">
        <v>1</v>
      </c>
      <c r="J360" s="88" t="s">
        <v>728</v>
      </c>
      <c r="K360" s="102"/>
      <c r="L360" s="88" t="s">
        <v>733</v>
      </c>
      <c r="M360" s="89" t="s">
        <v>381</v>
      </c>
      <c r="N360" s="90">
        <v>2</v>
      </c>
      <c r="O360" s="27">
        <f>IFERROR(+VLOOKUP(M360,D.sign_Lista_Data[[RESPONSABLE]:[SOFTWARE 
VALOR HORA]],3,FALSE),"0")</f>
        <v>20263.424518743668</v>
      </c>
      <c r="P360" s="3">
        <f t="shared" si="12"/>
        <v>40526.849037487336</v>
      </c>
      <c r="Q360" s="11">
        <f>IFERROR(+VLOOKUP(M360,D.sign_Lista_Data[[RESPONSABLE]:[SOFTWARE 
VALOR HORA]],5,FALSE)*D.sign_Data[[#This Row],[TIEMPO (HORAS)]],0)</f>
        <v>8443.0935494765272</v>
      </c>
      <c r="R360" s="42">
        <f>IFERROR(+VLOOKUP(M360,D.sign_Lista_Data[[RESPONSABLE]:[SOFTWARE 
VALOR HORA]],8,FALSE)*D.sign_Data[[#This Row],[TIEMPO (HORAS)]],0)</f>
        <v>6821.7097742879669</v>
      </c>
      <c r="S360" s="99">
        <v>0</v>
      </c>
      <c r="T360" s="99">
        <v>0</v>
      </c>
      <c r="U360" s="3">
        <f t="shared" si="13"/>
        <v>55791.652361251836</v>
      </c>
      <c r="V360" s="100">
        <f>D.sign_Data[[#This Row],[TIEMPO (HORAS)]]*Gastos_Operativos[[#Totals],[GASTOS HORA]]</f>
        <v>55578.954144620802</v>
      </c>
      <c r="W360" s="3">
        <f>+D.sign_Data[[#This Row],[COSTO 
DIRECTO ($COP)]]+D.sign_Data[[#This Row],[PRORRATEO GASTOS ($COP)]]</f>
        <v>111370.60650587264</v>
      </c>
      <c r="X360" s="101">
        <v>0.15</v>
      </c>
      <c r="Y360" s="15">
        <f>+D.sign_Data[[#This Row],[COSTOS OPERACIONALES ($COP)]]*D.sign_Data[[#This Row],[DESFASE (%)]]</f>
        <v>16705.590975880896</v>
      </c>
      <c r="Z360" s="101">
        <v>0.3</v>
      </c>
      <c r="AA360" s="15">
        <f>+((D.sign_Data[[#This Row],[COSTOS OPERACIONALES ($COP)]]/(100%-D.sign_Data[[#This Row],[UTILIDAD (%)]])))-D.sign_Data[[#This Row],[COSTOS OPERACIONALES ($COP)]]</f>
        <v>47730.259931088294</v>
      </c>
      <c r="AB360" s="3">
        <f>+D.sign_Data[[#This Row],[COSTOS OPERACIONALES ($COP)]]+D.sign_Data[[#This Row],[DESFASE ($COP)]]+D.sign_Data[[#This Row],[UTILIDAD ($COP)]]</f>
        <v>175806.45741284185</v>
      </c>
      <c r="AC360" s="101">
        <v>0.05</v>
      </c>
      <c r="AD360" s="15">
        <f>+D.sign_Data[[#This Row],[VALOR NETO ($COP)]]/(100%-D.sign_Data[[#This Row],[MARGEN DE NEGOCIACIÓN (%)]])-D.sign_Data[[#This Row],[VALOR NETO ($COP)]]</f>
        <v>9252.9714427811559</v>
      </c>
      <c r="AE360" s="15">
        <f>+(D.sign_Data[[#This Row],[VALOR NETO ($COP)]]+D.sign_Data[[#This Row],[NEGOCIACIÓN ($COP)]])*1%</f>
        <v>1850.5942885562301</v>
      </c>
      <c r="AF360" s="15">
        <f>+(D.sign_Data[[#This Row],[VALOR NETO ($COP)]]+D.sign_Data[[#This Row],[NEGOCIACIÓN ($COP)]])*1%</f>
        <v>1850.5942885562301</v>
      </c>
      <c r="AG360" s="3">
        <f>+D.sign_Data[[#This Row],[VALOR NETO ($COP)]]+D.sign_Data[[#This Row],[NEGOCIACIÓN ($COP)]]+D.sign_Data[[#This Row],[ICA ($COP)]]+D.sign_Data[[#This Row],[4 * 1000 ($COP)]]</f>
        <v>188760.61743273545</v>
      </c>
    </row>
    <row r="361" spans="1:33" ht="60" hidden="1" customHeight="1" x14ac:dyDescent="0.25">
      <c r="A361" s="14"/>
      <c r="B361" s="87" t="s">
        <v>418</v>
      </c>
      <c r="C361" s="182" t="s">
        <v>726</v>
      </c>
      <c r="D361" s="189" t="str">
        <f>VLOOKUP(D.sign_Data[[#This Row],[CÓDIGO]],Descripciones[[CÓDIGO]:[NOMBRE DE SERVICIO]],3,FALSE)</f>
        <v>D1. Parcelaciones y Condominios</v>
      </c>
      <c r="E361" s="87" t="s">
        <v>497</v>
      </c>
      <c r="F361" s="88" t="s">
        <v>727</v>
      </c>
      <c r="G361" s="88" t="s">
        <v>536</v>
      </c>
      <c r="H361" s="87" t="s">
        <v>500</v>
      </c>
      <c r="I361" s="89">
        <v>1</v>
      </c>
      <c r="J361" s="88" t="s">
        <v>734</v>
      </c>
      <c r="K361" s="102"/>
      <c r="L361" s="88" t="s">
        <v>735</v>
      </c>
      <c r="M361" s="89" t="s">
        <v>381</v>
      </c>
      <c r="N361" s="90">
        <v>2</v>
      </c>
      <c r="O361" s="27">
        <f>IFERROR(+VLOOKUP(M361,D.sign_Lista_Data[[RESPONSABLE]:[SOFTWARE 
VALOR HORA]],3,FALSE),"0")</f>
        <v>20263.424518743668</v>
      </c>
      <c r="P361" s="3">
        <f t="shared" si="12"/>
        <v>40526.849037487336</v>
      </c>
      <c r="Q361" s="11">
        <f>IFERROR(+VLOOKUP(M361,D.sign_Lista_Data[[RESPONSABLE]:[SOFTWARE 
VALOR HORA]],5,FALSE)*D.sign_Data[[#This Row],[TIEMPO (HORAS)]],0)</f>
        <v>8443.0935494765272</v>
      </c>
      <c r="R361" s="42">
        <f>IFERROR(+VLOOKUP(M361,D.sign_Lista_Data[[RESPONSABLE]:[SOFTWARE 
VALOR HORA]],8,FALSE)*D.sign_Data[[#This Row],[TIEMPO (HORAS)]],0)</f>
        <v>6821.7097742879669</v>
      </c>
      <c r="S361" s="99">
        <v>0</v>
      </c>
      <c r="T361" s="99">
        <v>0</v>
      </c>
      <c r="U361" s="3">
        <f t="shared" si="13"/>
        <v>55791.652361251836</v>
      </c>
      <c r="V361" s="100">
        <f>D.sign_Data[[#This Row],[TIEMPO (HORAS)]]*Gastos_Operativos[[#Totals],[GASTOS HORA]]</f>
        <v>55578.954144620802</v>
      </c>
      <c r="W361" s="3">
        <f>+D.sign_Data[[#This Row],[COSTO 
DIRECTO ($COP)]]+D.sign_Data[[#This Row],[PRORRATEO GASTOS ($COP)]]</f>
        <v>111370.60650587264</v>
      </c>
      <c r="X361" s="101">
        <v>0.15</v>
      </c>
      <c r="Y361" s="15">
        <f>+D.sign_Data[[#This Row],[COSTOS OPERACIONALES ($COP)]]*D.sign_Data[[#This Row],[DESFASE (%)]]</f>
        <v>16705.590975880896</v>
      </c>
      <c r="Z361" s="101">
        <v>0.3</v>
      </c>
      <c r="AA361" s="15">
        <f>+((D.sign_Data[[#This Row],[COSTOS OPERACIONALES ($COP)]]/(100%-D.sign_Data[[#This Row],[UTILIDAD (%)]])))-D.sign_Data[[#This Row],[COSTOS OPERACIONALES ($COP)]]</f>
        <v>47730.259931088294</v>
      </c>
      <c r="AB361" s="3">
        <f>+D.sign_Data[[#This Row],[COSTOS OPERACIONALES ($COP)]]+D.sign_Data[[#This Row],[DESFASE ($COP)]]+D.sign_Data[[#This Row],[UTILIDAD ($COP)]]</f>
        <v>175806.45741284185</v>
      </c>
      <c r="AC361" s="101">
        <v>0.05</v>
      </c>
      <c r="AD361" s="15">
        <f>+D.sign_Data[[#This Row],[VALOR NETO ($COP)]]/(100%-D.sign_Data[[#This Row],[MARGEN DE NEGOCIACIÓN (%)]])-D.sign_Data[[#This Row],[VALOR NETO ($COP)]]</f>
        <v>9252.9714427811559</v>
      </c>
      <c r="AE361" s="15">
        <f>+(D.sign_Data[[#This Row],[VALOR NETO ($COP)]]+D.sign_Data[[#This Row],[NEGOCIACIÓN ($COP)]])*1%</f>
        <v>1850.5942885562301</v>
      </c>
      <c r="AF361" s="15">
        <f>+(D.sign_Data[[#This Row],[VALOR NETO ($COP)]]+D.sign_Data[[#This Row],[NEGOCIACIÓN ($COP)]])*1%</f>
        <v>1850.5942885562301</v>
      </c>
      <c r="AG361" s="3">
        <f>+D.sign_Data[[#This Row],[VALOR NETO ($COP)]]+D.sign_Data[[#This Row],[NEGOCIACIÓN ($COP)]]+D.sign_Data[[#This Row],[ICA ($COP)]]+D.sign_Data[[#This Row],[4 * 1000 ($COP)]]</f>
        <v>188760.61743273545</v>
      </c>
    </row>
    <row r="362" spans="1:33" ht="60" hidden="1" customHeight="1" x14ac:dyDescent="0.25">
      <c r="A362" s="14"/>
      <c r="B362" s="87" t="s">
        <v>418</v>
      </c>
      <c r="C362" s="182" t="s">
        <v>726</v>
      </c>
      <c r="D362" s="189" t="str">
        <f>VLOOKUP(D.sign_Data[[#This Row],[CÓDIGO]],Descripciones[[CÓDIGO]:[NOMBRE DE SERVICIO]],3,FALSE)</f>
        <v>D1. Parcelaciones y Condominios</v>
      </c>
      <c r="E362" s="87" t="s">
        <v>497</v>
      </c>
      <c r="F362" s="88" t="s">
        <v>727</v>
      </c>
      <c r="G362" s="88" t="s">
        <v>536</v>
      </c>
      <c r="H362" s="87" t="s">
        <v>500</v>
      </c>
      <c r="I362" s="89">
        <v>1</v>
      </c>
      <c r="J362" s="88" t="s">
        <v>734</v>
      </c>
      <c r="K362" s="102"/>
      <c r="L362" s="88" t="s">
        <v>736</v>
      </c>
      <c r="M362" s="89" t="s">
        <v>381</v>
      </c>
      <c r="N362" s="90">
        <v>1</v>
      </c>
      <c r="O362" s="27">
        <f>IFERROR(+VLOOKUP(M362,D.sign_Lista_Data[[RESPONSABLE]:[SOFTWARE 
VALOR HORA]],3,FALSE),"0")</f>
        <v>20263.424518743668</v>
      </c>
      <c r="P362" s="3">
        <f t="shared" si="12"/>
        <v>20263.424518743668</v>
      </c>
      <c r="Q362" s="11">
        <f>IFERROR(+VLOOKUP(M362,D.sign_Lista_Data[[RESPONSABLE]:[SOFTWARE 
VALOR HORA]],5,FALSE)*D.sign_Data[[#This Row],[TIEMPO (HORAS)]],0)</f>
        <v>4221.5467747382636</v>
      </c>
      <c r="R362" s="42">
        <f>IFERROR(+VLOOKUP(M362,D.sign_Lista_Data[[RESPONSABLE]:[SOFTWARE 
VALOR HORA]],8,FALSE)*D.sign_Data[[#This Row],[TIEMPO (HORAS)]],0)</f>
        <v>3410.8548871439834</v>
      </c>
      <c r="S362" s="99">
        <v>0</v>
      </c>
      <c r="T362" s="99">
        <v>0</v>
      </c>
      <c r="U362" s="3">
        <f t="shared" si="13"/>
        <v>27895.826180625918</v>
      </c>
      <c r="V362" s="100">
        <f>D.sign_Data[[#This Row],[TIEMPO (HORAS)]]*Gastos_Operativos[[#Totals],[GASTOS HORA]]</f>
        <v>27789.477072310401</v>
      </c>
      <c r="W362" s="3">
        <f>+D.sign_Data[[#This Row],[COSTO 
DIRECTO ($COP)]]+D.sign_Data[[#This Row],[PRORRATEO GASTOS ($COP)]]</f>
        <v>55685.303252936319</v>
      </c>
      <c r="X362" s="101">
        <v>0.15</v>
      </c>
      <c r="Y362" s="15">
        <f>+D.sign_Data[[#This Row],[COSTOS OPERACIONALES ($COP)]]*D.sign_Data[[#This Row],[DESFASE (%)]]</f>
        <v>8352.7954879404479</v>
      </c>
      <c r="Z362" s="101">
        <v>0.3</v>
      </c>
      <c r="AA362" s="15">
        <f>+((D.sign_Data[[#This Row],[COSTOS OPERACIONALES ($COP)]]/(100%-D.sign_Data[[#This Row],[UTILIDAD (%)]])))-D.sign_Data[[#This Row],[COSTOS OPERACIONALES ($COP)]]</f>
        <v>23865.129965544147</v>
      </c>
      <c r="AB362" s="3">
        <f>+D.sign_Data[[#This Row],[COSTOS OPERACIONALES ($COP)]]+D.sign_Data[[#This Row],[DESFASE ($COP)]]+D.sign_Data[[#This Row],[UTILIDAD ($COP)]]</f>
        <v>87903.228706420923</v>
      </c>
      <c r="AC362" s="101">
        <v>0.05</v>
      </c>
      <c r="AD362" s="15">
        <f>+D.sign_Data[[#This Row],[VALOR NETO ($COP)]]/(100%-D.sign_Data[[#This Row],[MARGEN DE NEGOCIACIÓN (%)]])-D.sign_Data[[#This Row],[VALOR NETO ($COP)]]</f>
        <v>4626.485721390578</v>
      </c>
      <c r="AE362" s="15">
        <f>+(D.sign_Data[[#This Row],[VALOR NETO ($COP)]]+D.sign_Data[[#This Row],[NEGOCIACIÓN ($COP)]])*1%</f>
        <v>925.29714427811507</v>
      </c>
      <c r="AF362" s="15">
        <f>+(D.sign_Data[[#This Row],[VALOR NETO ($COP)]]+D.sign_Data[[#This Row],[NEGOCIACIÓN ($COP)]])*1%</f>
        <v>925.29714427811507</v>
      </c>
      <c r="AG362" s="3">
        <f>+D.sign_Data[[#This Row],[VALOR NETO ($COP)]]+D.sign_Data[[#This Row],[NEGOCIACIÓN ($COP)]]+D.sign_Data[[#This Row],[ICA ($COP)]]+D.sign_Data[[#This Row],[4 * 1000 ($COP)]]</f>
        <v>94380.308716367726</v>
      </c>
    </row>
    <row r="363" spans="1:33" ht="60" hidden="1" customHeight="1" x14ac:dyDescent="0.25">
      <c r="A363" s="14"/>
      <c r="B363" s="87" t="s">
        <v>418</v>
      </c>
      <c r="C363" s="182" t="s">
        <v>726</v>
      </c>
      <c r="D363" s="189" t="str">
        <f>VLOOKUP(D.sign_Data[[#This Row],[CÓDIGO]],Descripciones[[CÓDIGO]:[NOMBRE DE SERVICIO]],3,FALSE)</f>
        <v>D1. Parcelaciones y Condominios</v>
      </c>
      <c r="E363" s="87" t="s">
        <v>497</v>
      </c>
      <c r="F363" s="88" t="s">
        <v>727</v>
      </c>
      <c r="G363" s="88" t="s">
        <v>536</v>
      </c>
      <c r="H363" s="87" t="s">
        <v>500</v>
      </c>
      <c r="I363" s="89">
        <v>1</v>
      </c>
      <c r="J363" s="88" t="s">
        <v>734</v>
      </c>
      <c r="K363" s="102"/>
      <c r="L363" s="88" t="s">
        <v>737</v>
      </c>
      <c r="M363" s="89" t="s">
        <v>381</v>
      </c>
      <c r="N363" s="90">
        <v>2</v>
      </c>
      <c r="O363" s="27">
        <f>IFERROR(+VLOOKUP(M363,D.sign_Lista_Data[[RESPONSABLE]:[SOFTWARE 
VALOR HORA]],3,FALSE),"0")</f>
        <v>20263.424518743668</v>
      </c>
      <c r="P363" s="3">
        <f t="shared" si="12"/>
        <v>40526.849037487336</v>
      </c>
      <c r="Q363" s="11">
        <f>IFERROR(+VLOOKUP(M363,D.sign_Lista_Data[[RESPONSABLE]:[SOFTWARE 
VALOR HORA]],5,FALSE)*D.sign_Data[[#This Row],[TIEMPO (HORAS)]],0)</f>
        <v>8443.0935494765272</v>
      </c>
      <c r="R363" s="42">
        <f>IFERROR(+VLOOKUP(M363,D.sign_Lista_Data[[RESPONSABLE]:[SOFTWARE 
VALOR HORA]],8,FALSE)*D.sign_Data[[#This Row],[TIEMPO (HORAS)]],0)</f>
        <v>6821.7097742879669</v>
      </c>
      <c r="S363" s="99">
        <v>0</v>
      </c>
      <c r="T363" s="99">
        <v>0</v>
      </c>
      <c r="U363" s="3">
        <f t="shared" si="13"/>
        <v>55791.652361251836</v>
      </c>
      <c r="V363" s="100">
        <f>D.sign_Data[[#This Row],[TIEMPO (HORAS)]]*Gastos_Operativos[[#Totals],[GASTOS HORA]]</f>
        <v>55578.954144620802</v>
      </c>
      <c r="W363" s="3">
        <f>+D.sign_Data[[#This Row],[COSTO 
DIRECTO ($COP)]]+D.sign_Data[[#This Row],[PRORRATEO GASTOS ($COP)]]</f>
        <v>111370.60650587264</v>
      </c>
      <c r="X363" s="101">
        <v>0.15</v>
      </c>
      <c r="Y363" s="15">
        <f>+D.sign_Data[[#This Row],[COSTOS OPERACIONALES ($COP)]]*D.sign_Data[[#This Row],[DESFASE (%)]]</f>
        <v>16705.590975880896</v>
      </c>
      <c r="Z363" s="101">
        <v>0.3</v>
      </c>
      <c r="AA363" s="15">
        <f>+((D.sign_Data[[#This Row],[COSTOS OPERACIONALES ($COP)]]/(100%-D.sign_Data[[#This Row],[UTILIDAD (%)]])))-D.sign_Data[[#This Row],[COSTOS OPERACIONALES ($COP)]]</f>
        <v>47730.259931088294</v>
      </c>
      <c r="AB363" s="3">
        <f>+D.sign_Data[[#This Row],[COSTOS OPERACIONALES ($COP)]]+D.sign_Data[[#This Row],[DESFASE ($COP)]]+D.sign_Data[[#This Row],[UTILIDAD ($COP)]]</f>
        <v>175806.45741284185</v>
      </c>
      <c r="AC363" s="101">
        <v>0.05</v>
      </c>
      <c r="AD363" s="15">
        <f>+D.sign_Data[[#This Row],[VALOR NETO ($COP)]]/(100%-D.sign_Data[[#This Row],[MARGEN DE NEGOCIACIÓN (%)]])-D.sign_Data[[#This Row],[VALOR NETO ($COP)]]</f>
        <v>9252.9714427811559</v>
      </c>
      <c r="AE363" s="15">
        <f>+(D.sign_Data[[#This Row],[VALOR NETO ($COP)]]+D.sign_Data[[#This Row],[NEGOCIACIÓN ($COP)]])*1%</f>
        <v>1850.5942885562301</v>
      </c>
      <c r="AF363" s="15">
        <f>+(D.sign_Data[[#This Row],[VALOR NETO ($COP)]]+D.sign_Data[[#This Row],[NEGOCIACIÓN ($COP)]])*1%</f>
        <v>1850.5942885562301</v>
      </c>
      <c r="AG363" s="3">
        <f>+D.sign_Data[[#This Row],[VALOR NETO ($COP)]]+D.sign_Data[[#This Row],[NEGOCIACIÓN ($COP)]]+D.sign_Data[[#This Row],[ICA ($COP)]]+D.sign_Data[[#This Row],[4 * 1000 ($COP)]]</f>
        <v>188760.61743273545</v>
      </c>
    </row>
    <row r="364" spans="1:33" ht="60" hidden="1" customHeight="1" x14ac:dyDescent="0.25">
      <c r="A364" s="14"/>
      <c r="B364" s="87" t="s">
        <v>418</v>
      </c>
      <c r="C364" s="182" t="s">
        <v>726</v>
      </c>
      <c r="D364" s="189" t="str">
        <f>VLOOKUP(D.sign_Data[[#This Row],[CÓDIGO]],Descripciones[[CÓDIGO]:[NOMBRE DE SERVICIO]],3,FALSE)</f>
        <v>D1. Parcelaciones y Condominios</v>
      </c>
      <c r="E364" s="87" t="s">
        <v>497</v>
      </c>
      <c r="F364" s="88" t="s">
        <v>727</v>
      </c>
      <c r="G364" s="88" t="s">
        <v>536</v>
      </c>
      <c r="H364" s="87" t="s">
        <v>500</v>
      </c>
      <c r="I364" s="89">
        <v>1</v>
      </c>
      <c r="J364" s="88" t="s">
        <v>734</v>
      </c>
      <c r="K364" s="102"/>
      <c r="L364" s="88" t="s">
        <v>738</v>
      </c>
      <c r="M364" s="89" t="s">
        <v>381</v>
      </c>
      <c r="N364" s="90">
        <v>0.5</v>
      </c>
      <c r="O364" s="27">
        <f>IFERROR(+VLOOKUP(M364,D.sign_Lista_Data[[RESPONSABLE]:[SOFTWARE 
VALOR HORA]],3,FALSE),"0")</f>
        <v>20263.424518743668</v>
      </c>
      <c r="P364" s="3">
        <f t="shared" si="12"/>
        <v>10131.712259371834</v>
      </c>
      <c r="Q364" s="11">
        <f>IFERROR(+VLOOKUP(M364,D.sign_Lista_Data[[RESPONSABLE]:[SOFTWARE 
VALOR HORA]],5,FALSE)*D.sign_Data[[#This Row],[TIEMPO (HORAS)]],0)</f>
        <v>2110.7733873691318</v>
      </c>
      <c r="R364" s="42">
        <f>IFERROR(+VLOOKUP(M364,D.sign_Lista_Data[[RESPONSABLE]:[SOFTWARE 
VALOR HORA]],8,FALSE)*D.sign_Data[[#This Row],[TIEMPO (HORAS)]],0)</f>
        <v>1705.4274435719917</v>
      </c>
      <c r="S364" s="99">
        <v>0</v>
      </c>
      <c r="T364" s="99">
        <v>0</v>
      </c>
      <c r="U364" s="3">
        <f t="shared" si="13"/>
        <v>13947.913090312959</v>
      </c>
      <c r="V364" s="100">
        <f>D.sign_Data[[#This Row],[TIEMPO (HORAS)]]*Gastos_Operativos[[#Totals],[GASTOS HORA]]</f>
        <v>13894.738536155201</v>
      </c>
      <c r="W364" s="3">
        <f>+D.sign_Data[[#This Row],[COSTO 
DIRECTO ($COP)]]+D.sign_Data[[#This Row],[PRORRATEO GASTOS ($COP)]]</f>
        <v>27842.65162646816</v>
      </c>
      <c r="X364" s="101">
        <v>0.15</v>
      </c>
      <c r="Y364" s="15">
        <f>+D.sign_Data[[#This Row],[COSTOS OPERACIONALES ($COP)]]*D.sign_Data[[#This Row],[DESFASE (%)]]</f>
        <v>4176.3977439702239</v>
      </c>
      <c r="Z364" s="101">
        <v>0.3</v>
      </c>
      <c r="AA364" s="15">
        <f>+((D.sign_Data[[#This Row],[COSTOS OPERACIONALES ($COP)]]/(100%-D.sign_Data[[#This Row],[UTILIDAD (%)]])))-D.sign_Data[[#This Row],[COSTOS OPERACIONALES ($COP)]]</f>
        <v>11932.564982772074</v>
      </c>
      <c r="AB364" s="3">
        <f>+D.sign_Data[[#This Row],[COSTOS OPERACIONALES ($COP)]]+D.sign_Data[[#This Row],[DESFASE ($COP)]]+D.sign_Data[[#This Row],[UTILIDAD ($COP)]]</f>
        <v>43951.614353210462</v>
      </c>
      <c r="AC364" s="101">
        <v>0.05</v>
      </c>
      <c r="AD364" s="15">
        <f>+D.sign_Data[[#This Row],[VALOR NETO ($COP)]]/(100%-D.sign_Data[[#This Row],[MARGEN DE NEGOCIACIÓN (%)]])-D.sign_Data[[#This Row],[VALOR NETO ($COP)]]</f>
        <v>2313.242860695289</v>
      </c>
      <c r="AE364" s="15">
        <f>+(D.sign_Data[[#This Row],[VALOR NETO ($COP)]]+D.sign_Data[[#This Row],[NEGOCIACIÓN ($COP)]])*1%</f>
        <v>462.64857213905753</v>
      </c>
      <c r="AF364" s="15">
        <f>+(D.sign_Data[[#This Row],[VALOR NETO ($COP)]]+D.sign_Data[[#This Row],[NEGOCIACIÓN ($COP)]])*1%</f>
        <v>462.64857213905753</v>
      </c>
      <c r="AG364" s="3">
        <f>+D.sign_Data[[#This Row],[VALOR NETO ($COP)]]+D.sign_Data[[#This Row],[NEGOCIACIÓN ($COP)]]+D.sign_Data[[#This Row],[ICA ($COP)]]+D.sign_Data[[#This Row],[4 * 1000 ($COP)]]</f>
        <v>47190.154358183863</v>
      </c>
    </row>
    <row r="365" spans="1:33" ht="60" hidden="1" customHeight="1" x14ac:dyDescent="0.25">
      <c r="A365" s="14"/>
      <c r="B365" s="87" t="s">
        <v>418</v>
      </c>
      <c r="C365" s="182" t="s">
        <v>726</v>
      </c>
      <c r="D365" s="189" t="str">
        <f>VLOOKUP(D.sign_Data[[#This Row],[CÓDIGO]],Descripciones[[CÓDIGO]:[NOMBRE DE SERVICIO]],3,FALSE)</f>
        <v>D1. Parcelaciones y Condominios</v>
      </c>
      <c r="E365" s="87" t="s">
        <v>497</v>
      </c>
      <c r="F365" s="88" t="s">
        <v>727</v>
      </c>
      <c r="G365" s="88" t="s">
        <v>536</v>
      </c>
      <c r="H365" s="87" t="s">
        <v>500</v>
      </c>
      <c r="I365" s="89">
        <v>1</v>
      </c>
      <c r="J365" s="88" t="s">
        <v>734</v>
      </c>
      <c r="K365" s="102"/>
      <c r="L365" s="88" t="s">
        <v>648</v>
      </c>
      <c r="M365" s="89" t="s">
        <v>381</v>
      </c>
      <c r="N365" s="90">
        <v>1</v>
      </c>
      <c r="O365" s="27">
        <f>IFERROR(+VLOOKUP(M365,D.sign_Lista_Data[[RESPONSABLE]:[SOFTWARE 
VALOR HORA]],3,FALSE),"0")</f>
        <v>20263.424518743668</v>
      </c>
      <c r="P365" s="3">
        <f t="shared" si="12"/>
        <v>20263.424518743668</v>
      </c>
      <c r="Q365" s="11">
        <f>IFERROR(+VLOOKUP(M365,D.sign_Lista_Data[[RESPONSABLE]:[SOFTWARE 
VALOR HORA]],5,FALSE)*D.sign_Data[[#This Row],[TIEMPO (HORAS)]],0)</f>
        <v>4221.5467747382636</v>
      </c>
      <c r="R365" s="42">
        <f>IFERROR(+VLOOKUP(M365,D.sign_Lista_Data[[RESPONSABLE]:[SOFTWARE 
VALOR HORA]],8,FALSE)*D.sign_Data[[#This Row],[TIEMPO (HORAS)]],0)</f>
        <v>3410.8548871439834</v>
      </c>
      <c r="S365" s="99">
        <v>0</v>
      </c>
      <c r="T365" s="99">
        <v>0</v>
      </c>
      <c r="U365" s="3">
        <f t="shared" si="13"/>
        <v>27895.826180625918</v>
      </c>
      <c r="V365" s="100">
        <f>D.sign_Data[[#This Row],[TIEMPO (HORAS)]]*Gastos_Operativos[[#Totals],[GASTOS HORA]]</f>
        <v>27789.477072310401</v>
      </c>
      <c r="W365" s="3">
        <f>+D.sign_Data[[#This Row],[COSTO 
DIRECTO ($COP)]]+D.sign_Data[[#This Row],[PRORRATEO GASTOS ($COP)]]</f>
        <v>55685.303252936319</v>
      </c>
      <c r="X365" s="101">
        <v>0.15</v>
      </c>
      <c r="Y365" s="15">
        <f>+D.sign_Data[[#This Row],[COSTOS OPERACIONALES ($COP)]]*D.sign_Data[[#This Row],[DESFASE (%)]]</f>
        <v>8352.7954879404479</v>
      </c>
      <c r="Z365" s="101">
        <v>0.3</v>
      </c>
      <c r="AA365" s="15">
        <f>+((D.sign_Data[[#This Row],[COSTOS OPERACIONALES ($COP)]]/(100%-D.sign_Data[[#This Row],[UTILIDAD (%)]])))-D.sign_Data[[#This Row],[COSTOS OPERACIONALES ($COP)]]</f>
        <v>23865.129965544147</v>
      </c>
      <c r="AB365" s="3">
        <f>+D.sign_Data[[#This Row],[COSTOS OPERACIONALES ($COP)]]+D.sign_Data[[#This Row],[DESFASE ($COP)]]+D.sign_Data[[#This Row],[UTILIDAD ($COP)]]</f>
        <v>87903.228706420923</v>
      </c>
      <c r="AC365" s="101">
        <v>0.05</v>
      </c>
      <c r="AD365" s="15">
        <f>+D.sign_Data[[#This Row],[VALOR NETO ($COP)]]/(100%-D.sign_Data[[#This Row],[MARGEN DE NEGOCIACIÓN (%)]])-D.sign_Data[[#This Row],[VALOR NETO ($COP)]]</f>
        <v>4626.485721390578</v>
      </c>
      <c r="AE365" s="15">
        <f>+(D.sign_Data[[#This Row],[VALOR NETO ($COP)]]+D.sign_Data[[#This Row],[NEGOCIACIÓN ($COP)]])*1%</f>
        <v>925.29714427811507</v>
      </c>
      <c r="AF365" s="15">
        <f>+(D.sign_Data[[#This Row],[VALOR NETO ($COP)]]+D.sign_Data[[#This Row],[NEGOCIACIÓN ($COP)]])*1%</f>
        <v>925.29714427811507</v>
      </c>
      <c r="AG365" s="3">
        <f>+D.sign_Data[[#This Row],[VALOR NETO ($COP)]]+D.sign_Data[[#This Row],[NEGOCIACIÓN ($COP)]]+D.sign_Data[[#This Row],[ICA ($COP)]]+D.sign_Data[[#This Row],[4 * 1000 ($COP)]]</f>
        <v>94380.308716367726</v>
      </c>
    </row>
    <row r="366" spans="1:33" ht="60" hidden="1" customHeight="1" x14ac:dyDescent="0.25">
      <c r="A366" s="14"/>
      <c r="B366" s="87" t="s">
        <v>418</v>
      </c>
      <c r="C366" s="182" t="s">
        <v>726</v>
      </c>
      <c r="D366" s="189" t="str">
        <f>VLOOKUP(D.sign_Data[[#This Row],[CÓDIGO]],Descripciones[[CÓDIGO]:[NOMBRE DE SERVICIO]],3,FALSE)</f>
        <v>D1. Parcelaciones y Condominios</v>
      </c>
      <c r="E366" s="87" t="s">
        <v>497</v>
      </c>
      <c r="F366" s="88" t="s">
        <v>727</v>
      </c>
      <c r="G366" s="88" t="s">
        <v>536</v>
      </c>
      <c r="H366" s="87" t="s">
        <v>500</v>
      </c>
      <c r="I366" s="89">
        <v>1</v>
      </c>
      <c r="J366" s="88" t="s">
        <v>734</v>
      </c>
      <c r="K366" s="102"/>
      <c r="L366" s="88" t="s">
        <v>739</v>
      </c>
      <c r="M366" s="89" t="s">
        <v>381</v>
      </c>
      <c r="N366" s="90">
        <v>1</v>
      </c>
      <c r="O366" s="27">
        <f>IFERROR(+VLOOKUP(M366,D.sign_Lista_Data[[RESPONSABLE]:[SOFTWARE 
VALOR HORA]],3,FALSE),"0")</f>
        <v>20263.424518743668</v>
      </c>
      <c r="P366" s="3">
        <f t="shared" si="12"/>
        <v>20263.424518743668</v>
      </c>
      <c r="Q366" s="11">
        <f>IFERROR(+VLOOKUP(M366,D.sign_Lista_Data[[RESPONSABLE]:[SOFTWARE 
VALOR HORA]],5,FALSE)*D.sign_Data[[#This Row],[TIEMPO (HORAS)]],0)</f>
        <v>4221.5467747382636</v>
      </c>
      <c r="R366" s="42">
        <f>IFERROR(+VLOOKUP(M366,D.sign_Lista_Data[[RESPONSABLE]:[SOFTWARE 
VALOR HORA]],8,FALSE)*D.sign_Data[[#This Row],[TIEMPO (HORAS)]],0)</f>
        <v>3410.8548871439834</v>
      </c>
      <c r="S366" s="99">
        <v>0</v>
      </c>
      <c r="T366" s="99">
        <v>0</v>
      </c>
      <c r="U366" s="3">
        <f t="shared" si="13"/>
        <v>27895.826180625918</v>
      </c>
      <c r="V366" s="100">
        <f>D.sign_Data[[#This Row],[TIEMPO (HORAS)]]*Gastos_Operativos[[#Totals],[GASTOS HORA]]</f>
        <v>27789.477072310401</v>
      </c>
      <c r="W366" s="3">
        <f>+D.sign_Data[[#This Row],[COSTO 
DIRECTO ($COP)]]+D.sign_Data[[#This Row],[PRORRATEO GASTOS ($COP)]]</f>
        <v>55685.303252936319</v>
      </c>
      <c r="X366" s="101">
        <v>0.15</v>
      </c>
      <c r="Y366" s="15">
        <f>+D.sign_Data[[#This Row],[COSTOS OPERACIONALES ($COP)]]*D.sign_Data[[#This Row],[DESFASE (%)]]</f>
        <v>8352.7954879404479</v>
      </c>
      <c r="Z366" s="101">
        <v>0.3</v>
      </c>
      <c r="AA366" s="15">
        <f>+((D.sign_Data[[#This Row],[COSTOS OPERACIONALES ($COP)]]/(100%-D.sign_Data[[#This Row],[UTILIDAD (%)]])))-D.sign_Data[[#This Row],[COSTOS OPERACIONALES ($COP)]]</f>
        <v>23865.129965544147</v>
      </c>
      <c r="AB366" s="3">
        <f>+D.sign_Data[[#This Row],[COSTOS OPERACIONALES ($COP)]]+D.sign_Data[[#This Row],[DESFASE ($COP)]]+D.sign_Data[[#This Row],[UTILIDAD ($COP)]]</f>
        <v>87903.228706420923</v>
      </c>
      <c r="AC366" s="101">
        <v>0.05</v>
      </c>
      <c r="AD366" s="15">
        <f>+D.sign_Data[[#This Row],[VALOR NETO ($COP)]]/(100%-D.sign_Data[[#This Row],[MARGEN DE NEGOCIACIÓN (%)]])-D.sign_Data[[#This Row],[VALOR NETO ($COP)]]</f>
        <v>4626.485721390578</v>
      </c>
      <c r="AE366" s="15">
        <f>+(D.sign_Data[[#This Row],[VALOR NETO ($COP)]]+D.sign_Data[[#This Row],[NEGOCIACIÓN ($COP)]])*1%</f>
        <v>925.29714427811507</v>
      </c>
      <c r="AF366" s="15">
        <f>+(D.sign_Data[[#This Row],[VALOR NETO ($COP)]]+D.sign_Data[[#This Row],[NEGOCIACIÓN ($COP)]])*1%</f>
        <v>925.29714427811507</v>
      </c>
      <c r="AG366" s="3">
        <f>+D.sign_Data[[#This Row],[VALOR NETO ($COP)]]+D.sign_Data[[#This Row],[NEGOCIACIÓN ($COP)]]+D.sign_Data[[#This Row],[ICA ($COP)]]+D.sign_Data[[#This Row],[4 * 1000 ($COP)]]</f>
        <v>94380.308716367726</v>
      </c>
    </row>
    <row r="367" spans="1:33" ht="60" hidden="1" customHeight="1" x14ac:dyDescent="0.25">
      <c r="A367" s="14"/>
      <c r="B367" s="87" t="s">
        <v>418</v>
      </c>
      <c r="C367" s="182" t="s">
        <v>726</v>
      </c>
      <c r="D367" s="189" t="str">
        <f>VLOOKUP(D.sign_Data[[#This Row],[CÓDIGO]],Descripciones[[CÓDIGO]:[NOMBRE DE SERVICIO]],3,FALSE)</f>
        <v>D1. Parcelaciones y Condominios</v>
      </c>
      <c r="E367" s="87" t="s">
        <v>497</v>
      </c>
      <c r="F367" s="88" t="s">
        <v>727</v>
      </c>
      <c r="G367" s="88" t="s">
        <v>536</v>
      </c>
      <c r="H367" s="87" t="s">
        <v>500</v>
      </c>
      <c r="I367" s="89">
        <v>1</v>
      </c>
      <c r="J367" s="88" t="s">
        <v>734</v>
      </c>
      <c r="K367" s="102"/>
      <c r="L367" s="88" t="s">
        <v>740</v>
      </c>
      <c r="M367" s="89" t="s">
        <v>381</v>
      </c>
      <c r="N367" s="90">
        <v>0.5</v>
      </c>
      <c r="O367" s="27">
        <f>IFERROR(+VLOOKUP(M367,D.sign_Lista_Data[[RESPONSABLE]:[SOFTWARE 
VALOR HORA]],3,FALSE),"0")</f>
        <v>20263.424518743668</v>
      </c>
      <c r="P367" s="3">
        <f t="shared" si="12"/>
        <v>10131.712259371834</v>
      </c>
      <c r="Q367" s="11">
        <f>IFERROR(+VLOOKUP(M367,D.sign_Lista_Data[[RESPONSABLE]:[SOFTWARE 
VALOR HORA]],5,FALSE)*D.sign_Data[[#This Row],[TIEMPO (HORAS)]],0)</f>
        <v>2110.7733873691318</v>
      </c>
      <c r="R367" s="42">
        <f>IFERROR(+VLOOKUP(M367,D.sign_Lista_Data[[RESPONSABLE]:[SOFTWARE 
VALOR HORA]],8,FALSE)*D.sign_Data[[#This Row],[TIEMPO (HORAS)]],0)</f>
        <v>1705.4274435719917</v>
      </c>
      <c r="S367" s="99">
        <v>0</v>
      </c>
      <c r="T367" s="99">
        <v>0</v>
      </c>
      <c r="U367" s="3">
        <f t="shared" si="13"/>
        <v>13947.913090312959</v>
      </c>
      <c r="V367" s="100">
        <f>D.sign_Data[[#This Row],[TIEMPO (HORAS)]]*Gastos_Operativos[[#Totals],[GASTOS HORA]]</f>
        <v>13894.738536155201</v>
      </c>
      <c r="W367" s="3">
        <f>+D.sign_Data[[#This Row],[COSTO 
DIRECTO ($COP)]]+D.sign_Data[[#This Row],[PRORRATEO GASTOS ($COP)]]</f>
        <v>27842.65162646816</v>
      </c>
      <c r="X367" s="101">
        <v>0.15</v>
      </c>
      <c r="Y367" s="15">
        <f>+D.sign_Data[[#This Row],[COSTOS OPERACIONALES ($COP)]]*D.sign_Data[[#This Row],[DESFASE (%)]]</f>
        <v>4176.3977439702239</v>
      </c>
      <c r="Z367" s="101">
        <v>0.3</v>
      </c>
      <c r="AA367" s="15">
        <f>+((D.sign_Data[[#This Row],[COSTOS OPERACIONALES ($COP)]]/(100%-D.sign_Data[[#This Row],[UTILIDAD (%)]])))-D.sign_Data[[#This Row],[COSTOS OPERACIONALES ($COP)]]</f>
        <v>11932.564982772074</v>
      </c>
      <c r="AB367" s="3">
        <f>+D.sign_Data[[#This Row],[COSTOS OPERACIONALES ($COP)]]+D.sign_Data[[#This Row],[DESFASE ($COP)]]+D.sign_Data[[#This Row],[UTILIDAD ($COP)]]</f>
        <v>43951.614353210462</v>
      </c>
      <c r="AC367" s="101">
        <v>0.05</v>
      </c>
      <c r="AD367" s="15">
        <f>+D.sign_Data[[#This Row],[VALOR NETO ($COP)]]/(100%-D.sign_Data[[#This Row],[MARGEN DE NEGOCIACIÓN (%)]])-D.sign_Data[[#This Row],[VALOR NETO ($COP)]]</f>
        <v>2313.242860695289</v>
      </c>
      <c r="AE367" s="15">
        <f>+(D.sign_Data[[#This Row],[VALOR NETO ($COP)]]+D.sign_Data[[#This Row],[NEGOCIACIÓN ($COP)]])*1%</f>
        <v>462.64857213905753</v>
      </c>
      <c r="AF367" s="15">
        <f>+(D.sign_Data[[#This Row],[VALOR NETO ($COP)]]+D.sign_Data[[#This Row],[NEGOCIACIÓN ($COP)]])*1%</f>
        <v>462.64857213905753</v>
      </c>
      <c r="AG367" s="3">
        <f>+D.sign_Data[[#This Row],[VALOR NETO ($COP)]]+D.sign_Data[[#This Row],[NEGOCIACIÓN ($COP)]]+D.sign_Data[[#This Row],[ICA ($COP)]]+D.sign_Data[[#This Row],[4 * 1000 ($COP)]]</f>
        <v>47190.154358183863</v>
      </c>
    </row>
    <row r="368" spans="1:33" ht="60" hidden="1" customHeight="1" x14ac:dyDescent="0.25">
      <c r="A368" s="14"/>
      <c r="B368" s="87" t="s">
        <v>418</v>
      </c>
      <c r="C368" s="182" t="s">
        <v>726</v>
      </c>
      <c r="D368" s="189" t="str">
        <f>VLOOKUP(D.sign_Data[[#This Row],[CÓDIGO]],Descripciones[[CÓDIGO]:[NOMBRE DE SERVICIO]],3,FALSE)</f>
        <v>D1. Parcelaciones y Condominios</v>
      </c>
      <c r="E368" s="87" t="s">
        <v>497</v>
      </c>
      <c r="F368" s="88" t="s">
        <v>727</v>
      </c>
      <c r="G368" s="88" t="s">
        <v>536</v>
      </c>
      <c r="H368" s="87" t="s">
        <v>500</v>
      </c>
      <c r="I368" s="89">
        <v>1</v>
      </c>
      <c r="J368" s="88" t="s">
        <v>734</v>
      </c>
      <c r="K368" s="102"/>
      <c r="L368" s="88" t="s">
        <v>741</v>
      </c>
      <c r="M368" s="89" t="s">
        <v>381</v>
      </c>
      <c r="N368" s="90">
        <v>1</v>
      </c>
      <c r="O368" s="27">
        <f>IFERROR(+VLOOKUP(M368,D.sign_Lista_Data[[RESPONSABLE]:[SOFTWARE 
VALOR HORA]],3,FALSE),"0")</f>
        <v>20263.424518743668</v>
      </c>
      <c r="P368" s="3">
        <f t="shared" si="12"/>
        <v>20263.424518743668</v>
      </c>
      <c r="Q368" s="11">
        <f>IFERROR(+VLOOKUP(M368,D.sign_Lista_Data[[RESPONSABLE]:[SOFTWARE 
VALOR HORA]],5,FALSE)*D.sign_Data[[#This Row],[TIEMPO (HORAS)]],0)</f>
        <v>4221.5467747382636</v>
      </c>
      <c r="R368" s="42">
        <f>IFERROR(+VLOOKUP(M368,D.sign_Lista_Data[[RESPONSABLE]:[SOFTWARE 
VALOR HORA]],8,FALSE)*D.sign_Data[[#This Row],[TIEMPO (HORAS)]],0)</f>
        <v>3410.8548871439834</v>
      </c>
      <c r="S368" s="99">
        <v>0</v>
      </c>
      <c r="T368" s="99">
        <v>0</v>
      </c>
      <c r="U368" s="3">
        <f t="shared" si="13"/>
        <v>27895.826180625918</v>
      </c>
      <c r="V368" s="100">
        <f>D.sign_Data[[#This Row],[TIEMPO (HORAS)]]*Gastos_Operativos[[#Totals],[GASTOS HORA]]</f>
        <v>27789.477072310401</v>
      </c>
      <c r="W368" s="3">
        <f>+D.sign_Data[[#This Row],[COSTO 
DIRECTO ($COP)]]+D.sign_Data[[#This Row],[PRORRATEO GASTOS ($COP)]]</f>
        <v>55685.303252936319</v>
      </c>
      <c r="X368" s="101">
        <v>0.15</v>
      </c>
      <c r="Y368" s="15">
        <f>+D.sign_Data[[#This Row],[COSTOS OPERACIONALES ($COP)]]*D.sign_Data[[#This Row],[DESFASE (%)]]</f>
        <v>8352.7954879404479</v>
      </c>
      <c r="Z368" s="101">
        <v>0.3</v>
      </c>
      <c r="AA368" s="15">
        <f>+((D.sign_Data[[#This Row],[COSTOS OPERACIONALES ($COP)]]/(100%-D.sign_Data[[#This Row],[UTILIDAD (%)]])))-D.sign_Data[[#This Row],[COSTOS OPERACIONALES ($COP)]]</f>
        <v>23865.129965544147</v>
      </c>
      <c r="AB368" s="3">
        <f>+D.sign_Data[[#This Row],[COSTOS OPERACIONALES ($COP)]]+D.sign_Data[[#This Row],[DESFASE ($COP)]]+D.sign_Data[[#This Row],[UTILIDAD ($COP)]]</f>
        <v>87903.228706420923</v>
      </c>
      <c r="AC368" s="101">
        <v>0.05</v>
      </c>
      <c r="AD368" s="15">
        <f>+D.sign_Data[[#This Row],[VALOR NETO ($COP)]]/(100%-D.sign_Data[[#This Row],[MARGEN DE NEGOCIACIÓN (%)]])-D.sign_Data[[#This Row],[VALOR NETO ($COP)]]</f>
        <v>4626.485721390578</v>
      </c>
      <c r="AE368" s="15">
        <f>+(D.sign_Data[[#This Row],[VALOR NETO ($COP)]]+D.sign_Data[[#This Row],[NEGOCIACIÓN ($COP)]])*1%</f>
        <v>925.29714427811507</v>
      </c>
      <c r="AF368" s="15">
        <f>+(D.sign_Data[[#This Row],[VALOR NETO ($COP)]]+D.sign_Data[[#This Row],[NEGOCIACIÓN ($COP)]])*1%</f>
        <v>925.29714427811507</v>
      </c>
      <c r="AG368" s="3">
        <f>+D.sign_Data[[#This Row],[VALOR NETO ($COP)]]+D.sign_Data[[#This Row],[NEGOCIACIÓN ($COP)]]+D.sign_Data[[#This Row],[ICA ($COP)]]+D.sign_Data[[#This Row],[4 * 1000 ($COP)]]</f>
        <v>94380.308716367726</v>
      </c>
    </row>
    <row r="369" spans="1:33" ht="60" hidden="1" customHeight="1" x14ac:dyDescent="0.25">
      <c r="A369" s="14"/>
      <c r="B369" s="87" t="s">
        <v>418</v>
      </c>
      <c r="C369" s="182" t="s">
        <v>726</v>
      </c>
      <c r="D369" s="189" t="str">
        <f>VLOOKUP(D.sign_Data[[#This Row],[CÓDIGO]],Descripciones[[CÓDIGO]:[NOMBRE DE SERVICIO]],3,FALSE)</f>
        <v>D1. Parcelaciones y Condominios</v>
      </c>
      <c r="E369" s="87" t="s">
        <v>497</v>
      </c>
      <c r="F369" s="88" t="s">
        <v>727</v>
      </c>
      <c r="G369" s="88" t="s">
        <v>536</v>
      </c>
      <c r="H369" s="87" t="s">
        <v>500</v>
      </c>
      <c r="I369" s="89">
        <v>1</v>
      </c>
      <c r="J369" s="88" t="s">
        <v>734</v>
      </c>
      <c r="K369" s="102"/>
      <c r="L369" s="88" t="s">
        <v>742</v>
      </c>
      <c r="M369" s="89" t="s">
        <v>381</v>
      </c>
      <c r="N369" s="90">
        <v>1</v>
      </c>
      <c r="O369" s="27">
        <f>IFERROR(+VLOOKUP(M369,D.sign_Lista_Data[[RESPONSABLE]:[SOFTWARE 
VALOR HORA]],3,FALSE),"0")</f>
        <v>20263.424518743668</v>
      </c>
      <c r="P369" s="3">
        <f t="shared" si="12"/>
        <v>20263.424518743668</v>
      </c>
      <c r="Q369" s="11">
        <f>IFERROR(+VLOOKUP(M369,D.sign_Lista_Data[[RESPONSABLE]:[SOFTWARE 
VALOR HORA]],5,FALSE)*D.sign_Data[[#This Row],[TIEMPO (HORAS)]],0)</f>
        <v>4221.5467747382636</v>
      </c>
      <c r="R369" s="42">
        <f>IFERROR(+VLOOKUP(M369,D.sign_Lista_Data[[RESPONSABLE]:[SOFTWARE 
VALOR HORA]],8,FALSE)*D.sign_Data[[#This Row],[TIEMPO (HORAS)]],0)</f>
        <v>3410.8548871439834</v>
      </c>
      <c r="S369" s="99">
        <v>0</v>
      </c>
      <c r="T369" s="99">
        <v>0</v>
      </c>
      <c r="U369" s="3">
        <f t="shared" si="13"/>
        <v>27895.826180625918</v>
      </c>
      <c r="V369" s="100">
        <f>D.sign_Data[[#This Row],[TIEMPO (HORAS)]]*Gastos_Operativos[[#Totals],[GASTOS HORA]]</f>
        <v>27789.477072310401</v>
      </c>
      <c r="W369" s="3">
        <f>+D.sign_Data[[#This Row],[COSTO 
DIRECTO ($COP)]]+D.sign_Data[[#This Row],[PRORRATEO GASTOS ($COP)]]</f>
        <v>55685.303252936319</v>
      </c>
      <c r="X369" s="101">
        <v>0.15</v>
      </c>
      <c r="Y369" s="15">
        <f>+D.sign_Data[[#This Row],[COSTOS OPERACIONALES ($COP)]]*D.sign_Data[[#This Row],[DESFASE (%)]]</f>
        <v>8352.7954879404479</v>
      </c>
      <c r="Z369" s="101">
        <v>0.3</v>
      </c>
      <c r="AA369" s="15">
        <f>+((D.sign_Data[[#This Row],[COSTOS OPERACIONALES ($COP)]]/(100%-D.sign_Data[[#This Row],[UTILIDAD (%)]])))-D.sign_Data[[#This Row],[COSTOS OPERACIONALES ($COP)]]</f>
        <v>23865.129965544147</v>
      </c>
      <c r="AB369" s="3">
        <f>+D.sign_Data[[#This Row],[COSTOS OPERACIONALES ($COP)]]+D.sign_Data[[#This Row],[DESFASE ($COP)]]+D.sign_Data[[#This Row],[UTILIDAD ($COP)]]</f>
        <v>87903.228706420923</v>
      </c>
      <c r="AC369" s="101">
        <v>0.05</v>
      </c>
      <c r="AD369" s="15">
        <f>+D.sign_Data[[#This Row],[VALOR NETO ($COP)]]/(100%-D.sign_Data[[#This Row],[MARGEN DE NEGOCIACIÓN (%)]])-D.sign_Data[[#This Row],[VALOR NETO ($COP)]]</f>
        <v>4626.485721390578</v>
      </c>
      <c r="AE369" s="15">
        <f>+(D.sign_Data[[#This Row],[VALOR NETO ($COP)]]+D.sign_Data[[#This Row],[NEGOCIACIÓN ($COP)]])*1%</f>
        <v>925.29714427811507</v>
      </c>
      <c r="AF369" s="15">
        <f>+(D.sign_Data[[#This Row],[VALOR NETO ($COP)]]+D.sign_Data[[#This Row],[NEGOCIACIÓN ($COP)]])*1%</f>
        <v>925.29714427811507</v>
      </c>
      <c r="AG369" s="3">
        <f>+D.sign_Data[[#This Row],[VALOR NETO ($COP)]]+D.sign_Data[[#This Row],[NEGOCIACIÓN ($COP)]]+D.sign_Data[[#This Row],[ICA ($COP)]]+D.sign_Data[[#This Row],[4 * 1000 ($COP)]]</f>
        <v>94380.308716367726</v>
      </c>
    </row>
    <row r="370" spans="1:33" ht="60" hidden="1" customHeight="1" x14ac:dyDescent="0.25">
      <c r="A370" s="14"/>
      <c r="B370" s="87" t="s">
        <v>418</v>
      </c>
      <c r="C370" s="182" t="s">
        <v>726</v>
      </c>
      <c r="D370" s="189" t="str">
        <f>VLOOKUP(D.sign_Data[[#This Row],[CÓDIGO]],Descripciones[[CÓDIGO]:[NOMBRE DE SERVICIO]],3,FALSE)</f>
        <v>D1. Parcelaciones y Condominios</v>
      </c>
      <c r="E370" s="87" t="s">
        <v>497</v>
      </c>
      <c r="F370" s="88" t="s">
        <v>727</v>
      </c>
      <c r="G370" s="88" t="s">
        <v>536</v>
      </c>
      <c r="H370" s="87" t="s">
        <v>500</v>
      </c>
      <c r="I370" s="89">
        <v>1</v>
      </c>
      <c r="J370" s="88" t="s">
        <v>734</v>
      </c>
      <c r="K370" s="102"/>
      <c r="L370" s="88" t="s">
        <v>743</v>
      </c>
      <c r="M370" s="89" t="s">
        <v>381</v>
      </c>
      <c r="N370" s="90">
        <v>0.25</v>
      </c>
      <c r="O370" s="27">
        <f>IFERROR(+VLOOKUP(M370,D.sign_Lista_Data[[RESPONSABLE]:[SOFTWARE 
VALOR HORA]],3,FALSE),"0")</f>
        <v>20263.424518743668</v>
      </c>
      <c r="P370" s="3">
        <f t="shared" si="12"/>
        <v>5065.856129685917</v>
      </c>
      <c r="Q370" s="11">
        <f>IFERROR(+VLOOKUP(M370,D.sign_Lista_Data[[RESPONSABLE]:[SOFTWARE 
VALOR HORA]],5,FALSE)*D.sign_Data[[#This Row],[TIEMPO (HORAS)]],0)</f>
        <v>1055.3866936845659</v>
      </c>
      <c r="R370" s="42">
        <f>IFERROR(+VLOOKUP(M370,D.sign_Lista_Data[[RESPONSABLE]:[SOFTWARE 
VALOR HORA]],8,FALSE)*D.sign_Data[[#This Row],[TIEMPO (HORAS)]],0)</f>
        <v>852.71372178599586</v>
      </c>
      <c r="S370" s="99">
        <v>0</v>
      </c>
      <c r="T370" s="99">
        <v>0</v>
      </c>
      <c r="U370" s="3">
        <f t="shared" si="13"/>
        <v>6973.9565451564795</v>
      </c>
      <c r="V370" s="100">
        <f>D.sign_Data[[#This Row],[TIEMPO (HORAS)]]*Gastos_Operativos[[#Totals],[GASTOS HORA]]</f>
        <v>6947.3692680776003</v>
      </c>
      <c r="W370" s="3">
        <f>+D.sign_Data[[#This Row],[COSTO 
DIRECTO ($COP)]]+D.sign_Data[[#This Row],[PRORRATEO GASTOS ($COP)]]</f>
        <v>13921.32581323408</v>
      </c>
      <c r="X370" s="101">
        <v>0.15</v>
      </c>
      <c r="Y370" s="15">
        <f>+D.sign_Data[[#This Row],[COSTOS OPERACIONALES ($COP)]]*D.sign_Data[[#This Row],[DESFASE (%)]]</f>
        <v>2088.198871985112</v>
      </c>
      <c r="Z370" s="101">
        <v>0.3</v>
      </c>
      <c r="AA370" s="15">
        <f>+((D.sign_Data[[#This Row],[COSTOS OPERACIONALES ($COP)]]/(100%-D.sign_Data[[#This Row],[UTILIDAD (%)]])))-D.sign_Data[[#This Row],[COSTOS OPERACIONALES ($COP)]]</f>
        <v>5966.2824913860368</v>
      </c>
      <c r="AB370" s="3">
        <f>+D.sign_Data[[#This Row],[COSTOS OPERACIONALES ($COP)]]+D.sign_Data[[#This Row],[DESFASE ($COP)]]+D.sign_Data[[#This Row],[UTILIDAD ($COP)]]</f>
        <v>21975.807176605231</v>
      </c>
      <c r="AC370" s="101">
        <v>0.05</v>
      </c>
      <c r="AD370" s="15">
        <f>+D.sign_Data[[#This Row],[VALOR NETO ($COP)]]/(100%-D.sign_Data[[#This Row],[MARGEN DE NEGOCIACIÓN (%)]])-D.sign_Data[[#This Row],[VALOR NETO ($COP)]]</f>
        <v>1156.6214303476445</v>
      </c>
      <c r="AE370" s="15">
        <f>+(D.sign_Data[[#This Row],[VALOR NETO ($COP)]]+D.sign_Data[[#This Row],[NEGOCIACIÓN ($COP)]])*1%</f>
        <v>231.32428606952877</v>
      </c>
      <c r="AF370" s="15">
        <f>+(D.sign_Data[[#This Row],[VALOR NETO ($COP)]]+D.sign_Data[[#This Row],[NEGOCIACIÓN ($COP)]])*1%</f>
        <v>231.32428606952877</v>
      </c>
      <c r="AG370" s="3">
        <f>+D.sign_Data[[#This Row],[VALOR NETO ($COP)]]+D.sign_Data[[#This Row],[NEGOCIACIÓN ($COP)]]+D.sign_Data[[#This Row],[ICA ($COP)]]+D.sign_Data[[#This Row],[4 * 1000 ($COP)]]</f>
        <v>23595.077179091932</v>
      </c>
    </row>
    <row r="371" spans="1:33" ht="60" hidden="1" customHeight="1" x14ac:dyDescent="0.25">
      <c r="A371" s="14"/>
      <c r="B371" s="87" t="s">
        <v>418</v>
      </c>
      <c r="C371" s="182" t="s">
        <v>726</v>
      </c>
      <c r="D371" s="189" t="str">
        <f>VLOOKUP(D.sign_Data[[#This Row],[CÓDIGO]],Descripciones[[CÓDIGO]:[NOMBRE DE SERVICIO]],3,FALSE)</f>
        <v>D1. Parcelaciones y Condominios</v>
      </c>
      <c r="E371" s="87" t="s">
        <v>497</v>
      </c>
      <c r="F371" s="88" t="s">
        <v>727</v>
      </c>
      <c r="G371" s="88" t="s">
        <v>536</v>
      </c>
      <c r="H371" s="87" t="s">
        <v>500</v>
      </c>
      <c r="I371" s="89">
        <v>1</v>
      </c>
      <c r="J371" s="88" t="s">
        <v>734</v>
      </c>
      <c r="K371" s="102"/>
      <c r="L371" s="88" t="s">
        <v>744</v>
      </c>
      <c r="M371" s="89" t="s">
        <v>381</v>
      </c>
      <c r="N371" s="90">
        <v>1</v>
      </c>
      <c r="O371" s="27">
        <f>IFERROR(+VLOOKUP(M371,D.sign_Lista_Data[[RESPONSABLE]:[SOFTWARE 
VALOR HORA]],3,FALSE),"0")</f>
        <v>20263.424518743668</v>
      </c>
      <c r="P371" s="3">
        <f t="shared" si="12"/>
        <v>20263.424518743668</v>
      </c>
      <c r="Q371" s="11">
        <f>IFERROR(+VLOOKUP(M371,D.sign_Lista_Data[[RESPONSABLE]:[SOFTWARE 
VALOR HORA]],5,FALSE)*D.sign_Data[[#This Row],[TIEMPO (HORAS)]],0)</f>
        <v>4221.5467747382636</v>
      </c>
      <c r="R371" s="42">
        <f>IFERROR(+VLOOKUP(M371,D.sign_Lista_Data[[RESPONSABLE]:[SOFTWARE 
VALOR HORA]],8,FALSE)*D.sign_Data[[#This Row],[TIEMPO (HORAS)]],0)</f>
        <v>3410.8548871439834</v>
      </c>
      <c r="S371" s="99">
        <v>0</v>
      </c>
      <c r="T371" s="99">
        <v>0</v>
      </c>
      <c r="U371" s="3">
        <f t="shared" si="13"/>
        <v>27895.826180625918</v>
      </c>
      <c r="V371" s="100">
        <f>D.sign_Data[[#This Row],[TIEMPO (HORAS)]]*Gastos_Operativos[[#Totals],[GASTOS HORA]]</f>
        <v>27789.477072310401</v>
      </c>
      <c r="W371" s="3">
        <f>+D.sign_Data[[#This Row],[COSTO 
DIRECTO ($COP)]]+D.sign_Data[[#This Row],[PRORRATEO GASTOS ($COP)]]</f>
        <v>55685.303252936319</v>
      </c>
      <c r="X371" s="101">
        <v>0.15</v>
      </c>
      <c r="Y371" s="15">
        <f>+D.sign_Data[[#This Row],[COSTOS OPERACIONALES ($COP)]]*D.sign_Data[[#This Row],[DESFASE (%)]]</f>
        <v>8352.7954879404479</v>
      </c>
      <c r="Z371" s="101">
        <v>0.3</v>
      </c>
      <c r="AA371" s="15">
        <f>+((D.sign_Data[[#This Row],[COSTOS OPERACIONALES ($COP)]]/(100%-D.sign_Data[[#This Row],[UTILIDAD (%)]])))-D.sign_Data[[#This Row],[COSTOS OPERACIONALES ($COP)]]</f>
        <v>23865.129965544147</v>
      </c>
      <c r="AB371" s="3">
        <f>+D.sign_Data[[#This Row],[COSTOS OPERACIONALES ($COP)]]+D.sign_Data[[#This Row],[DESFASE ($COP)]]+D.sign_Data[[#This Row],[UTILIDAD ($COP)]]</f>
        <v>87903.228706420923</v>
      </c>
      <c r="AC371" s="101">
        <v>0.05</v>
      </c>
      <c r="AD371" s="15">
        <f>+D.sign_Data[[#This Row],[VALOR NETO ($COP)]]/(100%-D.sign_Data[[#This Row],[MARGEN DE NEGOCIACIÓN (%)]])-D.sign_Data[[#This Row],[VALOR NETO ($COP)]]</f>
        <v>4626.485721390578</v>
      </c>
      <c r="AE371" s="15">
        <f>+(D.sign_Data[[#This Row],[VALOR NETO ($COP)]]+D.sign_Data[[#This Row],[NEGOCIACIÓN ($COP)]])*1%</f>
        <v>925.29714427811507</v>
      </c>
      <c r="AF371" s="15">
        <f>+(D.sign_Data[[#This Row],[VALOR NETO ($COP)]]+D.sign_Data[[#This Row],[NEGOCIACIÓN ($COP)]])*1%</f>
        <v>925.29714427811507</v>
      </c>
      <c r="AG371" s="3">
        <f>+D.sign_Data[[#This Row],[VALOR NETO ($COP)]]+D.sign_Data[[#This Row],[NEGOCIACIÓN ($COP)]]+D.sign_Data[[#This Row],[ICA ($COP)]]+D.sign_Data[[#This Row],[4 * 1000 ($COP)]]</f>
        <v>94380.308716367726</v>
      </c>
    </row>
    <row r="372" spans="1:33" ht="60" hidden="1" customHeight="1" x14ac:dyDescent="0.25">
      <c r="A372" s="14"/>
      <c r="B372" s="87" t="s">
        <v>418</v>
      </c>
      <c r="C372" s="182" t="s">
        <v>726</v>
      </c>
      <c r="D372" s="189" t="str">
        <f>VLOOKUP(D.sign_Data[[#This Row],[CÓDIGO]],Descripciones[[CÓDIGO]:[NOMBRE DE SERVICIO]],3,FALSE)</f>
        <v>D1. Parcelaciones y Condominios</v>
      </c>
      <c r="E372" s="87" t="s">
        <v>497</v>
      </c>
      <c r="F372" s="88" t="s">
        <v>727</v>
      </c>
      <c r="G372" s="88" t="s">
        <v>536</v>
      </c>
      <c r="H372" s="87" t="s">
        <v>500</v>
      </c>
      <c r="I372" s="89">
        <v>1</v>
      </c>
      <c r="J372" s="88" t="s">
        <v>745</v>
      </c>
      <c r="K372" s="102"/>
      <c r="L372" s="88" t="s">
        <v>746</v>
      </c>
      <c r="M372" s="89" t="s">
        <v>381</v>
      </c>
      <c r="N372" s="90">
        <v>5</v>
      </c>
      <c r="O372" s="27">
        <f>IFERROR(+VLOOKUP(M372,D.sign_Lista_Data[[RESPONSABLE]:[SOFTWARE 
VALOR HORA]],3,FALSE),"0")</f>
        <v>20263.424518743668</v>
      </c>
      <c r="P372" s="3">
        <f t="shared" si="12"/>
        <v>101317.12259371835</v>
      </c>
      <c r="Q372" s="11">
        <f>IFERROR(+VLOOKUP(M372,D.sign_Lista_Data[[RESPONSABLE]:[SOFTWARE 
VALOR HORA]],5,FALSE)*D.sign_Data[[#This Row],[TIEMPO (HORAS)]],0)</f>
        <v>21107.733873691319</v>
      </c>
      <c r="R372" s="42">
        <f>IFERROR(+VLOOKUP(M372,D.sign_Lista_Data[[RESPONSABLE]:[SOFTWARE 
VALOR HORA]],8,FALSE)*D.sign_Data[[#This Row],[TIEMPO (HORAS)]],0)</f>
        <v>17054.274435719919</v>
      </c>
      <c r="S372" s="99">
        <v>0</v>
      </c>
      <c r="T372" s="99">
        <v>0</v>
      </c>
      <c r="U372" s="3">
        <f t="shared" si="13"/>
        <v>139479.13090312958</v>
      </c>
      <c r="V372" s="100">
        <f>D.sign_Data[[#This Row],[TIEMPO (HORAS)]]*Gastos_Operativos[[#Totals],[GASTOS HORA]]</f>
        <v>138947.38536155201</v>
      </c>
      <c r="W372" s="3">
        <f>+D.sign_Data[[#This Row],[COSTO 
DIRECTO ($COP)]]+D.sign_Data[[#This Row],[PRORRATEO GASTOS ($COP)]]</f>
        <v>278426.51626468159</v>
      </c>
      <c r="X372" s="101">
        <v>0.15</v>
      </c>
      <c r="Y372" s="15">
        <f>+D.sign_Data[[#This Row],[COSTOS OPERACIONALES ($COP)]]*D.sign_Data[[#This Row],[DESFASE (%)]]</f>
        <v>41763.977439702234</v>
      </c>
      <c r="Z372" s="101">
        <v>0.3</v>
      </c>
      <c r="AA372" s="15">
        <f>+((D.sign_Data[[#This Row],[COSTOS OPERACIONALES ($COP)]]/(100%-D.sign_Data[[#This Row],[UTILIDAD (%)]])))-D.sign_Data[[#This Row],[COSTOS OPERACIONALES ($COP)]]</f>
        <v>119325.64982772071</v>
      </c>
      <c r="AB372" s="3">
        <f>+D.sign_Data[[#This Row],[COSTOS OPERACIONALES ($COP)]]+D.sign_Data[[#This Row],[DESFASE ($COP)]]+D.sign_Data[[#This Row],[UTILIDAD ($COP)]]</f>
        <v>439516.14353210456</v>
      </c>
      <c r="AC372" s="101">
        <v>0.05</v>
      </c>
      <c r="AD372" s="15">
        <f>+D.sign_Data[[#This Row],[VALOR NETO ($COP)]]/(100%-D.sign_Data[[#This Row],[MARGEN DE NEGOCIACIÓN (%)]])-D.sign_Data[[#This Row],[VALOR NETO ($COP)]]</f>
        <v>23132.42860695289</v>
      </c>
      <c r="AE372" s="15">
        <f>+(D.sign_Data[[#This Row],[VALOR NETO ($COP)]]+D.sign_Data[[#This Row],[NEGOCIACIÓN ($COP)]])*1%</f>
        <v>4626.4857213905743</v>
      </c>
      <c r="AF372" s="15">
        <f>+(D.sign_Data[[#This Row],[VALOR NETO ($COP)]]+D.sign_Data[[#This Row],[NEGOCIACIÓN ($COP)]])*1%</f>
        <v>4626.4857213905743</v>
      </c>
      <c r="AG372" s="3">
        <f>+D.sign_Data[[#This Row],[VALOR NETO ($COP)]]+D.sign_Data[[#This Row],[NEGOCIACIÓN ($COP)]]+D.sign_Data[[#This Row],[ICA ($COP)]]+D.sign_Data[[#This Row],[4 * 1000 ($COP)]]</f>
        <v>471901.5435818386</v>
      </c>
    </row>
    <row r="373" spans="1:33" ht="60" hidden="1" customHeight="1" x14ac:dyDescent="0.25">
      <c r="A373" s="14"/>
      <c r="B373" s="87" t="s">
        <v>418</v>
      </c>
      <c r="C373" s="182" t="s">
        <v>726</v>
      </c>
      <c r="D373" s="189" t="str">
        <f>VLOOKUP(D.sign_Data[[#This Row],[CÓDIGO]],Descripciones[[CÓDIGO]:[NOMBRE DE SERVICIO]],3,FALSE)</f>
        <v>D1. Parcelaciones y Condominios</v>
      </c>
      <c r="E373" s="87" t="s">
        <v>497</v>
      </c>
      <c r="F373" s="88" t="s">
        <v>727</v>
      </c>
      <c r="G373" s="88" t="s">
        <v>536</v>
      </c>
      <c r="H373" s="87" t="s">
        <v>500</v>
      </c>
      <c r="I373" s="89">
        <v>1</v>
      </c>
      <c r="J373" s="88" t="s">
        <v>747</v>
      </c>
      <c r="K373" s="102"/>
      <c r="L373" s="88" t="s">
        <v>650</v>
      </c>
      <c r="M373" s="89" t="s">
        <v>381</v>
      </c>
      <c r="N373" s="90">
        <v>0.5</v>
      </c>
      <c r="O373" s="27">
        <f>IFERROR(+VLOOKUP(M373,D.sign_Lista_Data[[RESPONSABLE]:[SOFTWARE 
VALOR HORA]],3,FALSE),"0")</f>
        <v>20263.424518743668</v>
      </c>
      <c r="P373" s="3">
        <f t="shared" si="12"/>
        <v>10131.712259371834</v>
      </c>
      <c r="Q373" s="11">
        <f>IFERROR(+VLOOKUP(M373,D.sign_Lista_Data[[RESPONSABLE]:[SOFTWARE 
VALOR HORA]],5,FALSE)*D.sign_Data[[#This Row],[TIEMPO (HORAS)]],0)</f>
        <v>2110.7733873691318</v>
      </c>
      <c r="R373" s="42">
        <f>IFERROR(+VLOOKUP(M373,D.sign_Lista_Data[[RESPONSABLE]:[SOFTWARE 
VALOR HORA]],8,FALSE)*D.sign_Data[[#This Row],[TIEMPO (HORAS)]],0)</f>
        <v>1705.4274435719917</v>
      </c>
      <c r="S373" s="99">
        <v>0</v>
      </c>
      <c r="T373" s="99">
        <v>0</v>
      </c>
      <c r="U373" s="3">
        <f t="shared" si="13"/>
        <v>13947.913090312959</v>
      </c>
      <c r="V373" s="100">
        <f>D.sign_Data[[#This Row],[TIEMPO (HORAS)]]*Gastos_Operativos[[#Totals],[GASTOS HORA]]</f>
        <v>13894.738536155201</v>
      </c>
      <c r="W373" s="3">
        <f>+D.sign_Data[[#This Row],[COSTO 
DIRECTO ($COP)]]+D.sign_Data[[#This Row],[PRORRATEO GASTOS ($COP)]]</f>
        <v>27842.65162646816</v>
      </c>
      <c r="X373" s="101">
        <v>0.15</v>
      </c>
      <c r="Y373" s="15">
        <f>+D.sign_Data[[#This Row],[COSTOS OPERACIONALES ($COP)]]*D.sign_Data[[#This Row],[DESFASE (%)]]</f>
        <v>4176.3977439702239</v>
      </c>
      <c r="Z373" s="101">
        <v>0.3</v>
      </c>
      <c r="AA373" s="15">
        <f>+((D.sign_Data[[#This Row],[COSTOS OPERACIONALES ($COP)]]/(100%-D.sign_Data[[#This Row],[UTILIDAD (%)]])))-D.sign_Data[[#This Row],[COSTOS OPERACIONALES ($COP)]]</f>
        <v>11932.564982772074</v>
      </c>
      <c r="AB373" s="3">
        <f>+D.sign_Data[[#This Row],[COSTOS OPERACIONALES ($COP)]]+D.sign_Data[[#This Row],[DESFASE ($COP)]]+D.sign_Data[[#This Row],[UTILIDAD ($COP)]]</f>
        <v>43951.614353210462</v>
      </c>
      <c r="AC373" s="101">
        <v>0.05</v>
      </c>
      <c r="AD373" s="15">
        <f>+D.sign_Data[[#This Row],[VALOR NETO ($COP)]]/(100%-D.sign_Data[[#This Row],[MARGEN DE NEGOCIACIÓN (%)]])-D.sign_Data[[#This Row],[VALOR NETO ($COP)]]</f>
        <v>2313.242860695289</v>
      </c>
      <c r="AE373" s="15">
        <f>+(D.sign_Data[[#This Row],[VALOR NETO ($COP)]]+D.sign_Data[[#This Row],[NEGOCIACIÓN ($COP)]])*1%</f>
        <v>462.64857213905753</v>
      </c>
      <c r="AF373" s="15">
        <f>+(D.sign_Data[[#This Row],[VALOR NETO ($COP)]]+D.sign_Data[[#This Row],[NEGOCIACIÓN ($COP)]])*1%</f>
        <v>462.64857213905753</v>
      </c>
      <c r="AG373" s="3">
        <f>+D.sign_Data[[#This Row],[VALOR NETO ($COP)]]+D.sign_Data[[#This Row],[NEGOCIACIÓN ($COP)]]+D.sign_Data[[#This Row],[ICA ($COP)]]+D.sign_Data[[#This Row],[4 * 1000 ($COP)]]</f>
        <v>47190.154358183863</v>
      </c>
    </row>
    <row r="374" spans="1:33" ht="60" hidden="1" customHeight="1" x14ac:dyDescent="0.25">
      <c r="A374" s="14"/>
      <c r="B374" s="87" t="s">
        <v>418</v>
      </c>
      <c r="C374" s="182" t="s">
        <v>726</v>
      </c>
      <c r="D374" s="189" t="str">
        <f>VLOOKUP(D.sign_Data[[#This Row],[CÓDIGO]],Descripciones[[CÓDIGO]:[NOMBRE DE SERVICIO]],3,FALSE)</f>
        <v>D1. Parcelaciones y Condominios</v>
      </c>
      <c r="E374" s="87" t="s">
        <v>497</v>
      </c>
      <c r="F374" s="88" t="s">
        <v>727</v>
      </c>
      <c r="G374" s="88" t="s">
        <v>536</v>
      </c>
      <c r="H374" s="87" t="s">
        <v>500</v>
      </c>
      <c r="I374" s="89">
        <v>1</v>
      </c>
      <c r="J374" s="88" t="s">
        <v>747</v>
      </c>
      <c r="K374" s="102"/>
      <c r="L374" s="88" t="s">
        <v>748</v>
      </c>
      <c r="M374" s="89" t="s">
        <v>381</v>
      </c>
      <c r="N374" s="90">
        <v>0.25</v>
      </c>
      <c r="O374" s="27">
        <f>IFERROR(+VLOOKUP(M374,D.sign_Lista_Data[[RESPONSABLE]:[SOFTWARE 
VALOR HORA]],3,FALSE),"0")</f>
        <v>20263.424518743668</v>
      </c>
      <c r="P374" s="3">
        <f t="shared" si="12"/>
        <v>5065.856129685917</v>
      </c>
      <c r="Q374" s="11">
        <f>IFERROR(+VLOOKUP(M374,D.sign_Lista_Data[[RESPONSABLE]:[SOFTWARE 
VALOR HORA]],5,FALSE)*D.sign_Data[[#This Row],[TIEMPO (HORAS)]],0)</f>
        <v>1055.3866936845659</v>
      </c>
      <c r="R374" s="42">
        <f>IFERROR(+VLOOKUP(M374,D.sign_Lista_Data[[RESPONSABLE]:[SOFTWARE 
VALOR HORA]],8,FALSE)*D.sign_Data[[#This Row],[TIEMPO (HORAS)]],0)</f>
        <v>852.71372178599586</v>
      </c>
      <c r="S374" s="99">
        <v>0</v>
      </c>
      <c r="T374" s="99">
        <v>0</v>
      </c>
      <c r="U374" s="3">
        <f t="shared" si="13"/>
        <v>6973.9565451564795</v>
      </c>
      <c r="V374" s="100">
        <f>D.sign_Data[[#This Row],[TIEMPO (HORAS)]]*Gastos_Operativos[[#Totals],[GASTOS HORA]]</f>
        <v>6947.3692680776003</v>
      </c>
      <c r="W374" s="3">
        <f>+D.sign_Data[[#This Row],[COSTO 
DIRECTO ($COP)]]+D.sign_Data[[#This Row],[PRORRATEO GASTOS ($COP)]]</f>
        <v>13921.32581323408</v>
      </c>
      <c r="X374" s="101">
        <v>0.15</v>
      </c>
      <c r="Y374" s="15">
        <f>+D.sign_Data[[#This Row],[COSTOS OPERACIONALES ($COP)]]*D.sign_Data[[#This Row],[DESFASE (%)]]</f>
        <v>2088.198871985112</v>
      </c>
      <c r="Z374" s="101">
        <v>0.3</v>
      </c>
      <c r="AA374" s="15">
        <f>+((D.sign_Data[[#This Row],[COSTOS OPERACIONALES ($COP)]]/(100%-D.sign_Data[[#This Row],[UTILIDAD (%)]])))-D.sign_Data[[#This Row],[COSTOS OPERACIONALES ($COP)]]</f>
        <v>5966.2824913860368</v>
      </c>
      <c r="AB374" s="3">
        <f>+D.sign_Data[[#This Row],[COSTOS OPERACIONALES ($COP)]]+D.sign_Data[[#This Row],[DESFASE ($COP)]]+D.sign_Data[[#This Row],[UTILIDAD ($COP)]]</f>
        <v>21975.807176605231</v>
      </c>
      <c r="AC374" s="101">
        <v>0.05</v>
      </c>
      <c r="AD374" s="15">
        <f>+D.sign_Data[[#This Row],[VALOR NETO ($COP)]]/(100%-D.sign_Data[[#This Row],[MARGEN DE NEGOCIACIÓN (%)]])-D.sign_Data[[#This Row],[VALOR NETO ($COP)]]</f>
        <v>1156.6214303476445</v>
      </c>
      <c r="AE374" s="15">
        <f>+(D.sign_Data[[#This Row],[VALOR NETO ($COP)]]+D.sign_Data[[#This Row],[NEGOCIACIÓN ($COP)]])*1%</f>
        <v>231.32428606952877</v>
      </c>
      <c r="AF374" s="15">
        <f>+(D.sign_Data[[#This Row],[VALOR NETO ($COP)]]+D.sign_Data[[#This Row],[NEGOCIACIÓN ($COP)]])*1%</f>
        <v>231.32428606952877</v>
      </c>
      <c r="AG374" s="3">
        <f>+D.sign_Data[[#This Row],[VALOR NETO ($COP)]]+D.sign_Data[[#This Row],[NEGOCIACIÓN ($COP)]]+D.sign_Data[[#This Row],[ICA ($COP)]]+D.sign_Data[[#This Row],[4 * 1000 ($COP)]]</f>
        <v>23595.077179091932</v>
      </c>
    </row>
    <row r="375" spans="1:33" ht="60" hidden="1" customHeight="1" x14ac:dyDescent="0.25">
      <c r="A375" s="14"/>
      <c r="B375" s="87" t="s">
        <v>418</v>
      </c>
      <c r="C375" s="182" t="s">
        <v>726</v>
      </c>
      <c r="D375" s="189" t="str">
        <f>VLOOKUP(D.sign_Data[[#This Row],[CÓDIGO]],Descripciones[[CÓDIGO]:[NOMBRE DE SERVICIO]],3,FALSE)</f>
        <v>D1. Parcelaciones y Condominios</v>
      </c>
      <c r="E375" s="87" t="s">
        <v>497</v>
      </c>
      <c r="F375" s="88" t="s">
        <v>727</v>
      </c>
      <c r="G375" s="88" t="s">
        <v>536</v>
      </c>
      <c r="H375" s="87" t="s">
        <v>500</v>
      </c>
      <c r="I375" s="89">
        <v>1</v>
      </c>
      <c r="J375" s="88" t="s">
        <v>747</v>
      </c>
      <c r="K375" s="102"/>
      <c r="L375" s="88" t="s">
        <v>749</v>
      </c>
      <c r="M375" s="89" t="s">
        <v>381</v>
      </c>
      <c r="N375" s="90">
        <v>0.5</v>
      </c>
      <c r="O375" s="27">
        <f>IFERROR(+VLOOKUP(M375,D.sign_Lista_Data[[RESPONSABLE]:[SOFTWARE 
VALOR HORA]],3,FALSE),"0")</f>
        <v>20263.424518743668</v>
      </c>
      <c r="P375" s="3">
        <f t="shared" si="12"/>
        <v>10131.712259371834</v>
      </c>
      <c r="Q375" s="11">
        <f>IFERROR(+VLOOKUP(M375,D.sign_Lista_Data[[RESPONSABLE]:[SOFTWARE 
VALOR HORA]],5,FALSE)*D.sign_Data[[#This Row],[TIEMPO (HORAS)]],0)</f>
        <v>2110.7733873691318</v>
      </c>
      <c r="R375" s="42">
        <f>IFERROR(+VLOOKUP(M375,D.sign_Lista_Data[[RESPONSABLE]:[SOFTWARE 
VALOR HORA]],8,FALSE)*D.sign_Data[[#This Row],[TIEMPO (HORAS)]],0)</f>
        <v>1705.4274435719917</v>
      </c>
      <c r="S375" s="99">
        <v>0</v>
      </c>
      <c r="T375" s="99">
        <v>0</v>
      </c>
      <c r="U375" s="3">
        <f t="shared" si="13"/>
        <v>13947.913090312959</v>
      </c>
      <c r="V375" s="100">
        <f>D.sign_Data[[#This Row],[TIEMPO (HORAS)]]*Gastos_Operativos[[#Totals],[GASTOS HORA]]</f>
        <v>13894.738536155201</v>
      </c>
      <c r="W375" s="3">
        <f>+D.sign_Data[[#This Row],[COSTO 
DIRECTO ($COP)]]+D.sign_Data[[#This Row],[PRORRATEO GASTOS ($COP)]]</f>
        <v>27842.65162646816</v>
      </c>
      <c r="X375" s="101">
        <v>0.15</v>
      </c>
      <c r="Y375" s="15">
        <f>+D.sign_Data[[#This Row],[COSTOS OPERACIONALES ($COP)]]*D.sign_Data[[#This Row],[DESFASE (%)]]</f>
        <v>4176.3977439702239</v>
      </c>
      <c r="Z375" s="101">
        <v>0.3</v>
      </c>
      <c r="AA375" s="15">
        <f>+((D.sign_Data[[#This Row],[COSTOS OPERACIONALES ($COP)]]/(100%-D.sign_Data[[#This Row],[UTILIDAD (%)]])))-D.sign_Data[[#This Row],[COSTOS OPERACIONALES ($COP)]]</f>
        <v>11932.564982772074</v>
      </c>
      <c r="AB375" s="3">
        <f>+D.sign_Data[[#This Row],[COSTOS OPERACIONALES ($COP)]]+D.sign_Data[[#This Row],[DESFASE ($COP)]]+D.sign_Data[[#This Row],[UTILIDAD ($COP)]]</f>
        <v>43951.614353210462</v>
      </c>
      <c r="AC375" s="101">
        <v>0.05</v>
      </c>
      <c r="AD375" s="15">
        <f>+D.sign_Data[[#This Row],[VALOR NETO ($COP)]]/(100%-D.sign_Data[[#This Row],[MARGEN DE NEGOCIACIÓN (%)]])-D.sign_Data[[#This Row],[VALOR NETO ($COP)]]</f>
        <v>2313.242860695289</v>
      </c>
      <c r="AE375" s="15">
        <f>+(D.sign_Data[[#This Row],[VALOR NETO ($COP)]]+D.sign_Data[[#This Row],[NEGOCIACIÓN ($COP)]])*1%</f>
        <v>462.64857213905753</v>
      </c>
      <c r="AF375" s="15">
        <f>+(D.sign_Data[[#This Row],[VALOR NETO ($COP)]]+D.sign_Data[[#This Row],[NEGOCIACIÓN ($COP)]])*1%</f>
        <v>462.64857213905753</v>
      </c>
      <c r="AG375" s="3">
        <f>+D.sign_Data[[#This Row],[VALOR NETO ($COP)]]+D.sign_Data[[#This Row],[NEGOCIACIÓN ($COP)]]+D.sign_Data[[#This Row],[ICA ($COP)]]+D.sign_Data[[#This Row],[4 * 1000 ($COP)]]</f>
        <v>47190.154358183863</v>
      </c>
    </row>
    <row r="376" spans="1:33" ht="60" hidden="1" customHeight="1" x14ac:dyDescent="0.25">
      <c r="A376" s="14"/>
      <c r="B376" s="87" t="s">
        <v>418</v>
      </c>
      <c r="C376" s="182" t="s">
        <v>726</v>
      </c>
      <c r="D376" s="189" t="str">
        <f>VLOOKUP(D.sign_Data[[#This Row],[CÓDIGO]],Descripciones[[CÓDIGO]:[NOMBRE DE SERVICIO]],3,FALSE)</f>
        <v>D1. Parcelaciones y Condominios</v>
      </c>
      <c r="E376" s="87" t="s">
        <v>497</v>
      </c>
      <c r="F376" s="88" t="s">
        <v>727</v>
      </c>
      <c r="G376" s="88" t="s">
        <v>536</v>
      </c>
      <c r="H376" s="87" t="s">
        <v>500</v>
      </c>
      <c r="I376" s="89">
        <v>1</v>
      </c>
      <c r="J376" s="88" t="s">
        <v>747</v>
      </c>
      <c r="K376" s="102"/>
      <c r="L376" s="88" t="s">
        <v>750</v>
      </c>
      <c r="M376" s="89" t="s">
        <v>381</v>
      </c>
      <c r="N376" s="90">
        <v>0.5</v>
      </c>
      <c r="O376" s="27">
        <f>IFERROR(+VLOOKUP(M376,D.sign_Lista_Data[[RESPONSABLE]:[SOFTWARE 
VALOR HORA]],3,FALSE),"0")</f>
        <v>20263.424518743668</v>
      </c>
      <c r="P376" s="3">
        <f t="shared" si="12"/>
        <v>10131.712259371834</v>
      </c>
      <c r="Q376" s="11">
        <f>IFERROR(+VLOOKUP(M376,D.sign_Lista_Data[[RESPONSABLE]:[SOFTWARE 
VALOR HORA]],5,FALSE)*D.sign_Data[[#This Row],[TIEMPO (HORAS)]],0)</f>
        <v>2110.7733873691318</v>
      </c>
      <c r="R376" s="42">
        <f>IFERROR(+VLOOKUP(M376,D.sign_Lista_Data[[RESPONSABLE]:[SOFTWARE 
VALOR HORA]],8,FALSE)*D.sign_Data[[#This Row],[TIEMPO (HORAS)]],0)</f>
        <v>1705.4274435719917</v>
      </c>
      <c r="S376" s="99">
        <v>0</v>
      </c>
      <c r="T376" s="99">
        <v>0</v>
      </c>
      <c r="U376" s="3">
        <f t="shared" si="13"/>
        <v>13947.913090312959</v>
      </c>
      <c r="V376" s="100">
        <f>D.sign_Data[[#This Row],[TIEMPO (HORAS)]]*Gastos_Operativos[[#Totals],[GASTOS HORA]]</f>
        <v>13894.738536155201</v>
      </c>
      <c r="W376" s="3">
        <f>+D.sign_Data[[#This Row],[COSTO 
DIRECTO ($COP)]]+D.sign_Data[[#This Row],[PRORRATEO GASTOS ($COP)]]</f>
        <v>27842.65162646816</v>
      </c>
      <c r="X376" s="101">
        <v>0.15</v>
      </c>
      <c r="Y376" s="15">
        <f>+D.sign_Data[[#This Row],[COSTOS OPERACIONALES ($COP)]]*D.sign_Data[[#This Row],[DESFASE (%)]]</f>
        <v>4176.3977439702239</v>
      </c>
      <c r="Z376" s="101">
        <v>0.3</v>
      </c>
      <c r="AA376" s="15">
        <f>+((D.sign_Data[[#This Row],[COSTOS OPERACIONALES ($COP)]]/(100%-D.sign_Data[[#This Row],[UTILIDAD (%)]])))-D.sign_Data[[#This Row],[COSTOS OPERACIONALES ($COP)]]</f>
        <v>11932.564982772074</v>
      </c>
      <c r="AB376" s="3">
        <f>+D.sign_Data[[#This Row],[COSTOS OPERACIONALES ($COP)]]+D.sign_Data[[#This Row],[DESFASE ($COP)]]+D.sign_Data[[#This Row],[UTILIDAD ($COP)]]</f>
        <v>43951.614353210462</v>
      </c>
      <c r="AC376" s="101">
        <v>0.05</v>
      </c>
      <c r="AD376" s="15">
        <f>+D.sign_Data[[#This Row],[VALOR NETO ($COP)]]/(100%-D.sign_Data[[#This Row],[MARGEN DE NEGOCIACIÓN (%)]])-D.sign_Data[[#This Row],[VALOR NETO ($COP)]]</f>
        <v>2313.242860695289</v>
      </c>
      <c r="AE376" s="15">
        <f>+(D.sign_Data[[#This Row],[VALOR NETO ($COP)]]+D.sign_Data[[#This Row],[NEGOCIACIÓN ($COP)]])*1%</f>
        <v>462.64857213905753</v>
      </c>
      <c r="AF376" s="15">
        <f>+(D.sign_Data[[#This Row],[VALOR NETO ($COP)]]+D.sign_Data[[#This Row],[NEGOCIACIÓN ($COP)]])*1%</f>
        <v>462.64857213905753</v>
      </c>
      <c r="AG376" s="3">
        <f>+D.sign_Data[[#This Row],[VALOR NETO ($COP)]]+D.sign_Data[[#This Row],[NEGOCIACIÓN ($COP)]]+D.sign_Data[[#This Row],[ICA ($COP)]]+D.sign_Data[[#This Row],[4 * 1000 ($COP)]]</f>
        <v>47190.154358183863</v>
      </c>
    </row>
    <row r="377" spans="1:33" ht="60" hidden="1" customHeight="1" x14ac:dyDescent="0.25">
      <c r="A377" s="14"/>
      <c r="B377" s="87" t="s">
        <v>418</v>
      </c>
      <c r="C377" s="182" t="s">
        <v>726</v>
      </c>
      <c r="D377" s="189" t="str">
        <f>VLOOKUP(D.sign_Data[[#This Row],[CÓDIGO]],Descripciones[[CÓDIGO]:[NOMBRE DE SERVICIO]],3,FALSE)</f>
        <v>D1. Parcelaciones y Condominios</v>
      </c>
      <c r="E377" s="87" t="s">
        <v>497</v>
      </c>
      <c r="F377" s="88" t="s">
        <v>727</v>
      </c>
      <c r="G377" s="88" t="s">
        <v>536</v>
      </c>
      <c r="H377" s="87" t="s">
        <v>500</v>
      </c>
      <c r="I377" s="89">
        <v>1</v>
      </c>
      <c r="J377" s="88" t="s">
        <v>747</v>
      </c>
      <c r="K377" s="102"/>
      <c r="L377" s="88" t="s">
        <v>653</v>
      </c>
      <c r="M377" s="89" t="s">
        <v>381</v>
      </c>
      <c r="N377" s="90">
        <v>2</v>
      </c>
      <c r="O377" s="27">
        <f>IFERROR(+VLOOKUP(M377,D.sign_Lista_Data[[RESPONSABLE]:[SOFTWARE 
VALOR HORA]],3,FALSE),"0")</f>
        <v>20263.424518743668</v>
      </c>
      <c r="P377" s="3">
        <f t="shared" si="12"/>
        <v>40526.849037487336</v>
      </c>
      <c r="Q377" s="11">
        <f>IFERROR(+VLOOKUP(M377,D.sign_Lista_Data[[RESPONSABLE]:[SOFTWARE 
VALOR HORA]],5,FALSE)*D.sign_Data[[#This Row],[TIEMPO (HORAS)]],0)</f>
        <v>8443.0935494765272</v>
      </c>
      <c r="R377" s="42">
        <f>IFERROR(+VLOOKUP(M377,D.sign_Lista_Data[[RESPONSABLE]:[SOFTWARE 
VALOR HORA]],8,FALSE)*D.sign_Data[[#This Row],[TIEMPO (HORAS)]],0)</f>
        <v>6821.7097742879669</v>
      </c>
      <c r="S377" s="99">
        <v>0</v>
      </c>
      <c r="T377" s="99">
        <v>0</v>
      </c>
      <c r="U377" s="3">
        <f t="shared" si="13"/>
        <v>55791.652361251836</v>
      </c>
      <c r="V377" s="100">
        <f>D.sign_Data[[#This Row],[TIEMPO (HORAS)]]*Gastos_Operativos[[#Totals],[GASTOS HORA]]</f>
        <v>55578.954144620802</v>
      </c>
      <c r="W377" s="3">
        <f>+D.sign_Data[[#This Row],[COSTO 
DIRECTO ($COP)]]+D.sign_Data[[#This Row],[PRORRATEO GASTOS ($COP)]]</f>
        <v>111370.60650587264</v>
      </c>
      <c r="X377" s="101">
        <v>0.15</v>
      </c>
      <c r="Y377" s="15">
        <f>+D.sign_Data[[#This Row],[COSTOS OPERACIONALES ($COP)]]*D.sign_Data[[#This Row],[DESFASE (%)]]</f>
        <v>16705.590975880896</v>
      </c>
      <c r="Z377" s="101">
        <v>0.3</v>
      </c>
      <c r="AA377" s="15">
        <f>+((D.sign_Data[[#This Row],[COSTOS OPERACIONALES ($COP)]]/(100%-D.sign_Data[[#This Row],[UTILIDAD (%)]])))-D.sign_Data[[#This Row],[COSTOS OPERACIONALES ($COP)]]</f>
        <v>47730.259931088294</v>
      </c>
      <c r="AB377" s="3">
        <f>+D.sign_Data[[#This Row],[COSTOS OPERACIONALES ($COP)]]+D.sign_Data[[#This Row],[DESFASE ($COP)]]+D.sign_Data[[#This Row],[UTILIDAD ($COP)]]</f>
        <v>175806.45741284185</v>
      </c>
      <c r="AC377" s="101">
        <v>0.05</v>
      </c>
      <c r="AD377" s="15">
        <f>+D.sign_Data[[#This Row],[VALOR NETO ($COP)]]/(100%-D.sign_Data[[#This Row],[MARGEN DE NEGOCIACIÓN (%)]])-D.sign_Data[[#This Row],[VALOR NETO ($COP)]]</f>
        <v>9252.9714427811559</v>
      </c>
      <c r="AE377" s="15">
        <f>+(D.sign_Data[[#This Row],[VALOR NETO ($COP)]]+D.sign_Data[[#This Row],[NEGOCIACIÓN ($COP)]])*1%</f>
        <v>1850.5942885562301</v>
      </c>
      <c r="AF377" s="15">
        <f>+(D.sign_Data[[#This Row],[VALOR NETO ($COP)]]+D.sign_Data[[#This Row],[NEGOCIACIÓN ($COP)]])*1%</f>
        <v>1850.5942885562301</v>
      </c>
      <c r="AG377" s="3">
        <f>+D.sign_Data[[#This Row],[VALOR NETO ($COP)]]+D.sign_Data[[#This Row],[NEGOCIACIÓN ($COP)]]+D.sign_Data[[#This Row],[ICA ($COP)]]+D.sign_Data[[#This Row],[4 * 1000 ($COP)]]</f>
        <v>188760.61743273545</v>
      </c>
    </row>
    <row r="378" spans="1:33" ht="60" hidden="1" customHeight="1" x14ac:dyDescent="0.25">
      <c r="A378" s="14"/>
      <c r="B378" s="87" t="s">
        <v>418</v>
      </c>
      <c r="C378" s="182" t="s">
        <v>726</v>
      </c>
      <c r="D378" s="189" t="str">
        <f>VLOOKUP(D.sign_Data[[#This Row],[CÓDIGO]],Descripciones[[CÓDIGO]:[NOMBRE DE SERVICIO]],3,FALSE)</f>
        <v>D1. Parcelaciones y Condominios</v>
      </c>
      <c r="E378" s="87" t="s">
        <v>497</v>
      </c>
      <c r="F378" s="88" t="s">
        <v>727</v>
      </c>
      <c r="G378" s="88" t="s">
        <v>536</v>
      </c>
      <c r="H378" s="87" t="s">
        <v>500</v>
      </c>
      <c r="I378" s="89">
        <v>1</v>
      </c>
      <c r="J378" s="88" t="s">
        <v>747</v>
      </c>
      <c r="K378" s="102"/>
      <c r="L378" s="88" t="s">
        <v>654</v>
      </c>
      <c r="M378" s="89" t="s">
        <v>381</v>
      </c>
      <c r="N378" s="90">
        <v>2</v>
      </c>
      <c r="O378" s="27">
        <f>IFERROR(+VLOOKUP(M378,D.sign_Lista_Data[[RESPONSABLE]:[SOFTWARE 
VALOR HORA]],3,FALSE),"0")</f>
        <v>20263.424518743668</v>
      </c>
      <c r="P378" s="3">
        <f t="shared" si="12"/>
        <v>40526.849037487336</v>
      </c>
      <c r="Q378" s="11">
        <f>IFERROR(+VLOOKUP(M378,D.sign_Lista_Data[[RESPONSABLE]:[SOFTWARE 
VALOR HORA]],5,FALSE)*D.sign_Data[[#This Row],[TIEMPO (HORAS)]],0)</f>
        <v>8443.0935494765272</v>
      </c>
      <c r="R378" s="42">
        <f>IFERROR(+VLOOKUP(M378,D.sign_Lista_Data[[RESPONSABLE]:[SOFTWARE 
VALOR HORA]],8,FALSE)*D.sign_Data[[#This Row],[TIEMPO (HORAS)]],0)</f>
        <v>6821.7097742879669</v>
      </c>
      <c r="S378" s="99">
        <v>0</v>
      </c>
      <c r="T378" s="99">
        <v>0</v>
      </c>
      <c r="U378" s="3">
        <f t="shared" si="13"/>
        <v>55791.652361251836</v>
      </c>
      <c r="V378" s="100">
        <f>D.sign_Data[[#This Row],[TIEMPO (HORAS)]]*Gastos_Operativos[[#Totals],[GASTOS HORA]]</f>
        <v>55578.954144620802</v>
      </c>
      <c r="W378" s="3">
        <f>+D.sign_Data[[#This Row],[COSTO 
DIRECTO ($COP)]]+D.sign_Data[[#This Row],[PRORRATEO GASTOS ($COP)]]</f>
        <v>111370.60650587264</v>
      </c>
      <c r="X378" s="101">
        <v>0.15</v>
      </c>
      <c r="Y378" s="15">
        <f>+D.sign_Data[[#This Row],[COSTOS OPERACIONALES ($COP)]]*D.sign_Data[[#This Row],[DESFASE (%)]]</f>
        <v>16705.590975880896</v>
      </c>
      <c r="Z378" s="101">
        <v>0.3</v>
      </c>
      <c r="AA378" s="15">
        <f>+((D.sign_Data[[#This Row],[COSTOS OPERACIONALES ($COP)]]/(100%-D.sign_Data[[#This Row],[UTILIDAD (%)]])))-D.sign_Data[[#This Row],[COSTOS OPERACIONALES ($COP)]]</f>
        <v>47730.259931088294</v>
      </c>
      <c r="AB378" s="3">
        <f>+D.sign_Data[[#This Row],[COSTOS OPERACIONALES ($COP)]]+D.sign_Data[[#This Row],[DESFASE ($COP)]]+D.sign_Data[[#This Row],[UTILIDAD ($COP)]]</f>
        <v>175806.45741284185</v>
      </c>
      <c r="AC378" s="101">
        <v>0.05</v>
      </c>
      <c r="AD378" s="15">
        <f>+D.sign_Data[[#This Row],[VALOR NETO ($COP)]]/(100%-D.sign_Data[[#This Row],[MARGEN DE NEGOCIACIÓN (%)]])-D.sign_Data[[#This Row],[VALOR NETO ($COP)]]</f>
        <v>9252.9714427811559</v>
      </c>
      <c r="AE378" s="15">
        <f>+(D.sign_Data[[#This Row],[VALOR NETO ($COP)]]+D.sign_Data[[#This Row],[NEGOCIACIÓN ($COP)]])*1%</f>
        <v>1850.5942885562301</v>
      </c>
      <c r="AF378" s="15">
        <f>+(D.sign_Data[[#This Row],[VALOR NETO ($COP)]]+D.sign_Data[[#This Row],[NEGOCIACIÓN ($COP)]])*1%</f>
        <v>1850.5942885562301</v>
      </c>
      <c r="AG378" s="3">
        <f>+D.sign_Data[[#This Row],[VALOR NETO ($COP)]]+D.sign_Data[[#This Row],[NEGOCIACIÓN ($COP)]]+D.sign_Data[[#This Row],[ICA ($COP)]]+D.sign_Data[[#This Row],[4 * 1000 ($COP)]]</f>
        <v>188760.61743273545</v>
      </c>
    </row>
    <row r="379" spans="1:33" ht="60" hidden="1" customHeight="1" x14ac:dyDescent="0.25">
      <c r="A379" s="14"/>
      <c r="B379" s="87" t="s">
        <v>418</v>
      </c>
      <c r="C379" s="182" t="s">
        <v>726</v>
      </c>
      <c r="D379" s="189" t="str">
        <f>VLOOKUP(D.sign_Data[[#This Row],[CÓDIGO]],Descripciones[[CÓDIGO]:[NOMBRE DE SERVICIO]],3,FALSE)</f>
        <v>D1. Parcelaciones y Condominios</v>
      </c>
      <c r="E379" s="87" t="s">
        <v>497</v>
      </c>
      <c r="F379" s="88" t="s">
        <v>727</v>
      </c>
      <c r="G379" s="88" t="s">
        <v>536</v>
      </c>
      <c r="H379" s="87" t="s">
        <v>500</v>
      </c>
      <c r="I379" s="89">
        <v>1</v>
      </c>
      <c r="J379" s="88" t="s">
        <v>747</v>
      </c>
      <c r="K379" s="102"/>
      <c r="L379" s="88" t="s">
        <v>655</v>
      </c>
      <c r="M379" s="89" t="s">
        <v>381</v>
      </c>
      <c r="N379" s="90">
        <v>1</v>
      </c>
      <c r="O379" s="27">
        <f>IFERROR(+VLOOKUP(M379,D.sign_Lista_Data[[RESPONSABLE]:[SOFTWARE 
VALOR HORA]],3,FALSE),"0")</f>
        <v>20263.424518743668</v>
      </c>
      <c r="P379" s="3">
        <f t="shared" si="12"/>
        <v>20263.424518743668</v>
      </c>
      <c r="Q379" s="11">
        <f>IFERROR(+VLOOKUP(M379,D.sign_Lista_Data[[RESPONSABLE]:[SOFTWARE 
VALOR HORA]],5,FALSE)*D.sign_Data[[#This Row],[TIEMPO (HORAS)]],0)</f>
        <v>4221.5467747382636</v>
      </c>
      <c r="R379" s="42">
        <f>IFERROR(+VLOOKUP(M379,D.sign_Lista_Data[[RESPONSABLE]:[SOFTWARE 
VALOR HORA]],8,FALSE)*D.sign_Data[[#This Row],[TIEMPO (HORAS)]],0)</f>
        <v>3410.8548871439834</v>
      </c>
      <c r="S379" s="99">
        <v>0</v>
      </c>
      <c r="T379" s="99">
        <v>0</v>
      </c>
      <c r="U379" s="3">
        <f t="shared" si="13"/>
        <v>27895.826180625918</v>
      </c>
      <c r="V379" s="100">
        <f>D.sign_Data[[#This Row],[TIEMPO (HORAS)]]*Gastos_Operativos[[#Totals],[GASTOS HORA]]</f>
        <v>27789.477072310401</v>
      </c>
      <c r="W379" s="3">
        <f>+D.sign_Data[[#This Row],[COSTO 
DIRECTO ($COP)]]+D.sign_Data[[#This Row],[PRORRATEO GASTOS ($COP)]]</f>
        <v>55685.303252936319</v>
      </c>
      <c r="X379" s="101">
        <v>0.15</v>
      </c>
      <c r="Y379" s="15">
        <f>+D.sign_Data[[#This Row],[COSTOS OPERACIONALES ($COP)]]*D.sign_Data[[#This Row],[DESFASE (%)]]</f>
        <v>8352.7954879404479</v>
      </c>
      <c r="Z379" s="101">
        <v>0.3</v>
      </c>
      <c r="AA379" s="15">
        <f>+((D.sign_Data[[#This Row],[COSTOS OPERACIONALES ($COP)]]/(100%-D.sign_Data[[#This Row],[UTILIDAD (%)]])))-D.sign_Data[[#This Row],[COSTOS OPERACIONALES ($COP)]]</f>
        <v>23865.129965544147</v>
      </c>
      <c r="AB379" s="3">
        <f>+D.sign_Data[[#This Row],[COSTOS OPERACIONALES ($COP)]]+D.sign_Data[[#This Row],[DESFASE ($COP)]]+D.sign_Data[[#This Row],[UTILIDAD ($COP)]]</f>
        <v>87903.228706420923</v>
      </c>
      <c r="AC379" s="101">
        <v>0.05</v>
      </c>
      <c r="AD379" s="15">
        <f>+D.sign_Data[[#This Row],[VALOR NETO ($COP)]]/(100%-D.sign_Data[[#This Row],[MARGEN DE NEGOCIACIÓN (%)]])-D.sign_Data[[#This Row],[VALOR NETO ($COP)]]</f>
        <v>4626.485721390578</v>
      </c>
      <c r="AE379" s="15">
        <f>+(D.sign_Data[[#This Row],[VALOR NETO ($COP)]]+D.sign_Data[[#This Row],[NEGOCIACIÓN ($COP)]])*1%</f>
        <v>925.29714427811507</v>
      </c>
      <c r="AF379" s="15">
        <f>+(D.sign_Data[[#This Row],[VALOR NETO ($COP)]]+D.sign_Data[[#This Row],[NEGOCIACIÓN ($COP)]])*1%</f>
        <v>925.29714427811507</v>
      </c>
      <c r="AG379" s="3">
        <f>+D.sign_Data[[#This Row],[VALOR NETO ($COP)]]+D.sign_Data[[#This Row],[NEGOCIACIÓN ($COP)]]+D.sign_Data[[#This Row],[ICA ($COP)]]+D.sign_Data[[#This Row],[4 * 1000 ($COP)]]</f>
        <v>94380.308716367726</v>
      </c>
    </row>
    <row r="380" spans="1:33" ht="60" hidden="1" customHeight="1" x14ac:dyDescent="0.25">
      <c r="A380" s="14"/>
      <c r="B380" s="87" t="s">
        <v>418</v>
      </c>
      <c r="C380" s="182" t="s">
        <v>726</v>
      </c>
      <c r="D380" s="189" t="str">
        <f>VLOOKUP(D.sign_Data[[#This Row],[CÓDIGO]],Descripciones[[CÓDIGO]:[NOMBRE DE SERVICIO]],3,FALSE)</f>
        <v>D1. Parcelaciones y Condominios</v>
      </c>
      <c r="E380" s="87" t="s">
        <v>497</v>
      </c>
      <c r="F380" s="88" t="s">
        <v>727</v>
      </c>
      <c r="G380" s="88" t="s">
        <v>536</v>
      </c>
      <c r="H380" s="87" t="s">
        <v>500</v>
      </c>
      <c r="I380" s="89">
        <v>1</v>
      </c>
      <c r="J380" s="88" t="s">
        <v>751</v>
      </c>
      <c r="K380" s="102"/>
      <c r="L380" s="88" t="s">
        <v>752</v>
      </c>
      <c r="M380" s="89" t="s">
        <v>381</v>
      </c>
      <c r="N380" s="90">
        <v>0.5</v>
      </c>
      <c r="O380" s="27">
        <f>IFERROR(+VLOOKUP(M380,D.sign_Lista_Data[[RESPONSABLE]:[SOFTWARE 
VALOR HORA]],3,FALSE),"0")</f>
        <v>20263.424518743668</v>
      </c>
      <c r="P380" s="3">
        <f t="shared" si="12"/>
        <v>10131.712259371834</v>
      </c>
      <c r="Q380" s="11">
        <f>IFERROR(+VLOOKUP(M380,D.sign_Lista_Data[[RESPONSABLE]:[SOFTWARE 
VALOR HORA]],5,FALSE)*D.sign_Data[[#This Row],[TIEMPO (HORAS)]],0)</f>
        <v>2110.7733873691318</v>
      </c>
      <c r="R380" s="42">
        <f>IFERROR(+VLOOKUP(M380,D.sign_Lista_Data[[RESPONSABLE]:[SOFTWARE 
VALOR HORA]],8,FALSE)*D.sign_Data[[#This Row],[TIEMPO (HORAS)]],0)</f>
        <v>1705.4274435719917</v>
      </c>
      <c r="S380" s="99">
        <v>0</v>
      </c>
      <c r="T380" s="99">
        <v>0</v>
      </c>
      <c r="U380" s="3">
        <f t="shared" si="13"/>
        <v>13947.913090312959</v>
      </c>
      <c r="V380" s="100">
        <f>D.sign_Data[[#This Row],[TIEMPO (HORAS)]]*Gastos_Operativos[[#Totals],[GASTOS HORA]]</f>
        <v>13894.738536155201</v>
      </c>
      <c r="W380" s="3">
        <f>+D.sign_Data[[#This Row],[COSTO 
DIRECTO ($COP)]]+D.sign_Data[[#This Row],[PRORRATEO GASTOS ($COP)]]</f>
        <v>27842.65162646816</v>
      </c>
      <c r="X380" s="101">
        <v>0.15</v>
      </c>
      <c r="Y380" s="15">
        <f>+D.sign_Data[[#This Row],[COSTOS OPERACIONALES ($COP)]]*D.sign_Data[[#This Row],[DESFASE (%)]]</f>
        <v>4176.3977439702239</v>
      </c>
      <c r="Z380" s="101">
        <v>0.3</v>
      </c>
      <c r="AA380" s="15">
        <f>+((D.sign_Data[[#This Row],[COSTOS OPERACIONALES ($COP)]]/(100%-D.sign_Data[[#This Row],[UTILIDAD (%)]])))-D.sign_Data[[#This Row],[COSTOS OPERACIONALES ($COP)]]</f>
        <v>11932.564982772074</v>
      </c>
      <c r="AB380" s="3">
        <f>+D.sign_Data[[#This Row],[COSTOS OPERACIONALES ($COP)]]+D.sign_Data[[#This Row],[DESFASE ($COP)]]+D.sign_Data[[#This Row],[UTILIDAD ($COP)]]</f>
        <v>43951.614353210462</v>
      </c>
      <c r="AC380" s="101">
        <v>0.05</v>
      </c>
      <c r="AD380" s="15">
        <f>+D.sign_Data[[#This Row],[VALOR NETO ($COP)]]/(100%-D.sign_Data[[#This Row],[MARGEN DE NEGOCIACIÓN (%)]])-D.sign_Data[[#This Row],[VALOR NETO ($COP)]]</f>
        <v>2313.242860695289</v>
      </c>
      <c r="AE380" s="15">
        <f>+(D.sign_Data[[#This Row],[VALOR NETO ($COP)]]+D.sign_Data[[#This Row],[NEGOCIACIÓN ($COP)]])*1%</f>
        <v>462.64857213905753</v>
      </c>
      <c r="AF380" s="15">
        <f>+(D.sign_Data[[#This Row],[VALOR NETO ($COP)]]+D.sign_Data[[#This Row],[NEGOCIACIÓN ($COP)]])*1%</f>
        <v>462.64857213905753</v>
      </c>
      <c r="AG380" s="3">
        <f>+D.sign_Data[[#This Row],[VALOR NETO ($COP)]]+D.sign_Data[[#This Row],[NEGOCIACIÓN ($COP)]]+D.sign_Data[[#This Row],[ICA ($COP)]]+D.sign_Data[[#This Row],[4 * 1000 ($COP)]]</f>
        <v>47190.154358183863</v>
      </c>
    </row>
    <row r="381" spans="1:33" ht="60" hidden="1" customHeight="1" x14ac:dyDescent="0.25">
      <c r="A381" s="14"/>
      <c r="B381" s="87" t="s">
        <v>418</v>
      </c>
      <c r="C381" s="182" t="s">
        <v>753</v>
      </c>
      <c r="D381" s="189" t="str">
        <f>VLOOKUP(D.sign_Data[[#This Row],[CÓDIGO]],Descripciones[[CÓDIGO]:[NOMBRE DE SERVICIO]],3,FALSE)</f>
        <v>D1. Parcelaciones y Condominios</v>
      </c>
      <c r="E381" s="87" t="s">
        <v>420</v>
      </c>
      <c r="F381" s="88" t="s">
        <v>754</v>
      </c>
      <c r="G381" s="88" t="s">
        <v>445</v>
      </c>
      <c r="H381" s="87" t="s">
        <v>429</v>
      </c>
      <c r="I381" s="89">
        <v>1</v>
      </c>
      <c r="J381" s="88" t="s">
        <v>711</v>
      </c>
      <c r="K381" s="102"/>
      <c r="L381" s="88" t="s">
        <v>755</v>
      </c>
      <c r="M381" s="89" t="s">
        <v>381</v>
      </c>
      <c r="N381" s="98">
        <v>5</v>
      </c>
      <c r="O381" s="27">
        <f>IFERROR(+VLOOKUP(M381,D.sign_Lista_Data[[RESPONSABLE]:[SOFTWARE 
VALOR HORA]],3,FALSE),"0")</f>
        <v>20263.424518743668</v>
      </c>
      <c r="P381" s="3">
        <f t="shared" si="12"/>
        <v>101317.12259371835</v>
      </c>
      <c r="Q381" s="11">
        <f>IFERROR(+VLOOKUP(M381,D.sign_Lista_Data[[RESPONSABLE]:[SOFTWARE 
VALOR HORA]],5,FALSE)*D.sign_Data[[#This Row],[TIEMPO (HORAS)]],0)</f>
        <v>21107.733873691319</v>
      </c>
      <c r="R381" s="42">
        <f>IFERROR(+VLOOKUP(M381,D.sign_Lista_Data[[RESPONSABLE]:[SOFTWARE 
VALOR HORA]],8,FALSE)*D.sign_Data[[#This Row],[TIEMPO (HORAS)]],0)</f>
        <v>17054.274435719919</v>
      </c>
      <c r="S381" s="99">
        <v>0</v>
      </c>
      <c r="T381" s="99">
        <v>0</v>
      </c>
      <c r="U381" s="3">
        <f t="shared" si="13"/>
        <v>139479.13090312958</v>
      </c>
      <c r="V381" s="100">
        <f>D.sign_Data[[#This Row],[TIEMPO (HORAS)]]*Gastos_Operativos[[#Totals],[GASTOS HORA]]</f>
        <v>138947.38536155201</v>
      </c>
      <c r="W381" s="3">
        <f>+D.sign_Data[[#This Row],[COSTO 
DIRECTO ($COP)]]+D.sign_Data[[#This Row],[PRORRATEO GASTOS ($COP)]]</f>
        <v>278426.51626468159</v>
      </c>
      <c r="X381" s="101">
        <v>0.15</v>
      </c>
      <c r="Y381" s="15">
        <f>+D.sign_Data[[#This Row],[COSTOS OPERACIONALES ($COP)]]*D.sign_Data[[#This Row],[DESFASE (%)]]</f>
        <v>41763.977439702234</v>
      </c>
      <c r="Z381" s="101">
        <v>0.3</v>
      </c>
      <c r="AA381" s="15">
        <f>+((D.sign_Data[[#This Row],[COSTOS OPERACIONALES ($COP)]]/(100%-D.sign_Data[[#This Row],[UTILIDAD (%)]])))-D.sign_Data[[#This Row],[COSTOS OPERACIONALES ($COP)]]</f>
        <v>119325.64982772071</v>
      </c>
      <c r="AB381" s="3">
        <f>+D.sign_Data[[#This Row],[COSTOS OPERACIONALES ($COP)]]+D.sign_Data[[#This Row],[DESFASE ($COP)]]+D.sign_Data[[#This Row],[UTILIDAD ($COP)]]</f>
        <v>439516.14353210456</v>
      </c>
      <c r="AC381" s="101">
        <v>0.05</v>
      </c>
      <c r="AD381" s="15">
        <f>+D.sign_Data[[#This Row],[VALOR NETO ($COP)]]/(100%-D.sign_Data[[#This Row],[MARGEN DE NEGOCIACIÓN (%)]])-D.sign_Data[[#This Row],[VALOR NETO ($COP)]]</f>
        <v>23132.42860695289</v>
      </c>
      <c r="AE381" s="15">
        <f>+(D.sign_Data[[#This Row],[VALOR NETO ($COP)]]+D.sign_Data[[#This Row],[NEGOCIACIÓN ($COP)]])*1%</f>
        <v>4626.4857213905743</v>
      </c>
      <c r="AF381" s="15">
        <f>+(D.sign_Data[[#This Row],[VALOR NETO ($COP)]]+D.sign_Data[[#This Row],[NEGOCIACIÓN ($COP)]])*1%</f>
        <v>4626.4857213905743</v>
      </c>
      <c r="AG381" s="3">
        <f>+D.sign_Data[[#This Row],[VALOR NETO ($COP)]]+D.sign_Data[[#This Row],[NEGOCIACIÓN ($COP)]]+D.sign_Data[[#This Row],[ICA ($COP)]]+D.sign_Data[[#This Row],[4 * 1000 ($COP)]]</f>
        <v>471901.5435818386</v>
      </c>
    </row>
    <row r="382" spans="1:33" ht="60" hidden="1" customHeight="1" x14ac:dyDescent="0.25">
      <c r="A382" s="14"/>
      <c r="B382" s="87" t="s">
        <v>418</v>
      </c>
      <c r="C382" s="182" t="s">
        <v>753</v>
      </c>
      <c r="D382" s="189" t="str">
        <f>VLOOKUP(D.sign_Data[[#This Row],[CÓDIGO]],Descripciones[[CÓDIGO]:[NOMBRE DE SERVICIO]],3,FALSE)</f>
        <v>D1. Parcelaciones y Condominios</v>
      </c>
      <c r="E382" s="87" t="s">
        <v>420</v>
      </c>
      <c r="F382" s="88" t="s">
        <v>754</v>
      </c>
      <c r="G382" s="88" t="s">
        <v>445</v>
      </c>
      <c r="H382" s="87" t="s">
        <v>429</v>
      </c>
      <c r="I382" s="89">
        <v>1</v>
      </c>
      <c r="J382" s="88" t="s">
        <v>711</v>
      </c>
      <c r="K382" s="102"/>
      <c r="L382" s="88" t="s">
        <v>756</v>
      </c>
      <c r="M382" s="89" t="s">
        <v>381</v>
      </c>
      <c r="N382" s="98">
        <v>5</v>
      </c>
      <c r="O382" s="27">
        <f>IFERROR(+VLOOKUP(M382,D.sign_Lista_Data[[RESPONSABLE]:[SOFTWARE 
VALOR HORA]],3,FALSE),"0")</f>
        <v>20263.424518743668</v>
      </c>
      <c r="P382" s="3">
        <f t="shared" si="12"/>
        <v>101317.12259371835</v>
      </c>
      <c r="Q382" s="11">
        <f>IFERROR(+VLOOKUP(M382,D.sign_Lista_Data[[RESPONSABLE]:[SOFTWARE 
VALOR HORA]],5,FALSE)*D.sign_Data[[#This Row],[TIEMPO (HORAS)]],0)</f>
        <v>21107.733873691319</v>
      </c>
      <c r="R382" s="42">
        <f>IFERROR(+VLOOKUP(M382,D.sign_Lista_Data[[RESPONSABLE]:[SOFTWARE 
VALOR HORA]],8,FALSE)*D.sign_Data[[#This Row],[TIEMPO (HORAS)]],0)</f>
        <v>17054.274435719919</v>
      </c>
      <c r="S382" s="99">
        <v>0</v>
      </c>
      <c r="T382" s="99">
        <v>0</v>
      </c>
      <c r="U382" s="3">
        <f t="shared" si="13"/>
        <v>139479.13090312958</v>
      </c>
      <c r="V382" s="100">
        <f>D.sign_Data[[#This Row],[TIEMPO (HORAS)]]*Gastos_Operativos[[#Totals],[GASTOS HORA]]</f>
        <v>138947.38536155201</v>
      </c>
      <c r="W382" s="3">
        <f>+D.sign_Data[[#This Row],[COSTO 
DIRECTO ($COP)]]+D.sign_Data[[#This Row],[PRORRATEO GASTOS ($COP)]]</f>
        <v>278426.51626468159</v>
      </c>
      <c r="X382" s="101">
        <v>0.15</v>
      </c>
      <c r="Y382" s="15">
        <f>+D.sign_Data[[#This Row],[COSTOS OPERACIONALES ($COP)]]*D.sign_Data[[#This Row],[DESFASE (%)]]</f>
        <v>41763.977439702234</v>
      </c>
      <c r="Z382" s="101">
        <v>0.3</v>
      </c>
      <c r="AA382" s="15">
        <f>+((D.sign_Data[[#This Row],[COSTOS OPERACIONALES ($COP)]]/(100%-D.sign_Data[[#This Row],[UTILIDAD (%)]])))-D.sign_Data[[#This Row],[COSTOS OPERACIONALES ($COP)]]</f>
        <v>119325.64982772071</v>
      </c>
      <c r="AB382" s="3">
        <f>+D.sign_Data[[#This Row],[COSTOS OPERACIONALES ($COP)]]+D.sign_Data[[#This Row],[DESFASE ($COP)]]+D.sign_Data[[#This Row],[UTILIDAD ($COP)]]</f>
        <v>439516.14353210456</v>
      </c>
      <c r="AC382" s="101">
        <v>0.05</v>
      </c>
      <c r="AD382" s="15">
        <f>+D.sign_Data[[#This Row],[VALOR NETO ($COP)]]/(100%-D.sign_Data[[#This Row],[MARGEN DE NEGOCIACIÓN (%)]])-D.sign_Data[[#This Row],[VALOR NETO ($COP)]]</f>
        <v>23132.42860695289</v>
      </c>
      <c r="AE382" s="15">
        <f>+(D.sign_Data[[#This Row],[VALOR NETO ($COP)]]+D.sign_Data[[#This Row],[NEGOCIACIÓN ($COP)]])*1%</f>
        <v>4626.4857213905743</v>
      </c>
      <c r="AF382" s="15">
        <f>+(D.sign_Data[[#This Row],[VALOR NETO ($COP)]]+D.sign_Data[[#This Row],[NEGOCIACIÓN ($COP)]])*1%</f>
        <v>4626.4857213905743</v>
      </c>
      <c r="AG382" s="3">
        <f>+D.sign_Data[[#This Row],[VALOR NETO ($COP)]]+D.sign_Data[[#This Row],[NEGOCIACIÓN ($COP)]]+D.sign_Data[[#This Row],[ICA ($COP)]]+D.sign_Data[[#This Row],[4 * 1000 ($COP)]]</f>
        <v>471901.5435818386</v>
      </c>
    </row>
    <row r="383" spans="1:33" ht="60" hidden="1" customHeight="1" x14ac:dyDescent="0.25">
      <c r="A383" s="14"/>
      <c r="B383" s="87" t="s">
        <v>418</v>
      </c>
      <c r="C383" s="182" t="s">
        <v>753</v>
      </c>
      <c r="D383" s="189" t="str">
        <f>VLOOKUP(D.sign_Data[[#This Row],[CÓDIGO]],Descripciones[[CÓDIGO]:[NOMBRE DE SERVICIO]],3,FALSE)</f>
        <v>D1. Parcelaciones y Condominios</v>
      </c>
      <c r="E383" s="87" t="s">
        <v>420</v>
      </c>
      <c r="F383" s="88" t="s">
        <v>754</v>
      </c>
      <c r="G383" s="88" t="s">
        <v>445</v>
      </c>
      <c r="H383" s="87" t="s">
        <v>429</v>
      </c>
      <c r="I383" s="89">
        <v>1</v>
      </c>
      <c r="J383" s="88" t="s">
        <v>711</v>
      </c>
      <c r="K383" s="102"/>
      <c r="L383" s="88" t="s">
        <v>757</v>
      </c>
      <c r="M383" s="89" t="s">
        <v>381</v>
      </c>
      <c r="N383" s="98">
        <v>5</v>
      </c>
      <c r="O383" s="27">
        <f>IFERROR(+VLOOKUP(M383,D.sign_Lista_Data[[RESPONSABLE]:[SOFTWARE 
VALOR HORA]],3,FALSE),"0")</f>
        <v>20263.424518743668</v>
      </c>
      <c r="P383" s="3">
        <f t="shared" si="12"/>
        <v>101317.12259371835</v>
      </c>
      <c r="Q383" s="11">
        <f>IFERROR(+VLOOKUP(M383,D.sign_Lista_Data[[RESPONSABLE]:[SOFTWARE 
VALOR HORA]],5,FALSE)*D.sign_Data[[#This Row],[TIEMPO (HORAS)]],0)</f>
        <v>21107.733873691319</v>
      </c>
      <c r="R383" s="42">
        <f>IFERROR(+VLOOKUP(M383,D.sign_Lista_Data[[RESPONSABLE]:[SOFTWARE 
VALOR HORA]],8,FALSE)*D.sign_Data[[#This Row],[TIEMPO (HORAS)]],0)</f>
        <v>17054.274435719919</v>
      </c>
      <c r="S383" s="99">
        <v>0</v>
      </c>
      <c r="T383" s="99">
        <v>0</v>
      </c>
      <c r="U383" s="3">
        <f t="shared" si="13"/>
        <v>139479.13090312958</v>
      </c>
      <c r="V383" s="100">
        <f>D.sign_Data[[#This Row],[TIEMPO (HORAS)]]*Gastos_Operativos[[#Totals],[GASTOS HORA]]</f>
        <v>138947.38536155201</v>
      </c>
      <c r="W383" s="3">
        <f>+D.sign_Data[[#This Row],[COSTO 
DIRECTO ($COP)]]+D.sign_Data[[#This Row],[PRORRATEO GASTOS ($COP)]]</f>
        <v>278426.51626468159</v>
      </c>
      <c r="X383" s="101">
        <v>0.15</v>
      </c>
      <c r="Y383" s="15">
        <f>+D.sign_Data[[#This Row],[COSTOS OPERACIONALES ($COP)]]*D.sign_Data[[#This Row],[DESFASE (%)]]</f>
        <v>41763.977439702234</v>
      </c>
      <c r="Z383" s="101">
        <v>0.3</v>
      </c>
      <c r="AA383" s="15">
        <f>+((D.sign_Data[[#This Row],[COSTOS OPERACIONALES ($COP)]]/(100%-D.sign_Data[[#This Row],[UTILIDAD (%)]])))-D.sign_Data[[#This Row],[COSTOS OPERACIONALES ($COP)]]</f>
        <v>119325.64982772071</v>
      </c>
      <c r="AB383" s="3">
        <f>+D.sign_Data[[#This Row],[COSTOS OPERACIONALES ($COP)]]+D.sign_Data[[#This Row],[DESFASE ($COP)]]+D.sign_Data[[#This Row],[UTILIDAD ($COP)]]</f>
        <v>439516.14353210456</v>
      </c>
      <c r="AC383" s="101">
        <v>0.05</v>
      </c>
      <c r="AD383" s="15">
        <f>+D.sign_Data[[#This Row],[VALOR NETO ($COP)]]/(100%-D.sign_Data[[#This Row],[MARGEN DE NEGOCIACIÓN (%)]])-D.sign_Data[[#This Row],[VALOR NETO ($COP)]]</f>
        <v>23132.42860695289</v>
      </c>
      <c r="AE383" s="15">
        <f>+(D.sign_Data[[#This Row],[VALOR NETO ($COP)]]+D.sign_Data[[#This Row],[NEGOCIACIÓN ($COP)]])*1%</f>
        <v>4626.4857213905743</v>
      </c>
      <c r="AF383" s="15">
        <f>+(D.sign_Data[[#This Row],[VALOR NETO ($COP)]]+D.sign_Data[[#This Row],[NEGOCIACIÓN ($COP)]])*1%</f>
        <v>4626.4857213905743</v>
      </c>
      <c r="AG383" s="3">
        <f>+D.sign_Data[[#This Row],[VALOR NETO ($COP)]]+D.sign_Data[[#This Row],[NEGOCIACIÓN ($COP)]]+D.sign_Data[[#This Row],[ICA ($COP)]]+D.sign_Data[[#This Row],[4 * 1000 ($COP)]]</f>
        <v>471901.5435818386</v>
      </c>
    </row>
    <row r="384" spans="1:33" ht="60" hidden="1" customHeight="1" x14ac:dyDescent="0.25">
      <c r="A384" s="14"/>
      <c r="B384" s="87" t="s">
        <v>418</v>
      </c>
      <c r="C384" s="182" t="s">
        <v>753</v>
      </c>
      <c r="D384" s="189" t="str">
        <f>VLOOKUP(D.sign_Data[[#This Row],[CÓDIGO]],Descripciones[[CÓDIGO]:[NOMBRE DE SERVICIO]],3,FALSE)</f>
        <v>D1. Parcelaciones y Condominios</v>
      </c>
      <c r="E384" s="87" t="s">
        <v>420</v>
      </c>
      <c r="F384" s="88" t="s">
        <v>754</v>
      </c>
      <c r="G384" s="88" t="s">
        <v>445</v>
      </c>
      <c r="H384" s="87" t="s">
        <v>429</v>
      </c>
      <c r="I384" s="89">
        <v>1</v>
      </c>
      <c r="J384" s="88" t="s">
        <v>711</v>
      </c>
      <c r="K384" s="102"/>
      <c r="L384" s="88" t="s">
        <v>716</v>
      </c>
      <c r="M384" s="89" t="s">
        <v>381</v>
      </c>
      <c r="N384" s="98">
        <v>0.5</v>
      </c>
      <c r="O384" s="27">
        <f>IFERROR(+VLOOKUP(M384,D.sign_Lista_Data[[RESPONSABLE]:[SOFTWARE 
VALOR HORA]],3,FALSE),"0")</f>
        <v>20263.424518743668</v>
      </c>
      <c r="P384" s="3">
        <f t="shared" si="12"/>
        <v>10131.712259371834</v>
      </c>
      <c r="Q384" s="11">
        <f>IFERROR(+VLOOKUP(M384,D.sign_Lista_Data[[RESPONSABLE]:[SOFTWARE 
VALOR HORA]],5,FALSE)*D.sign_Data[[#This Row],[TIEMPO (HORAS)]],0)</f>
        <v>2110.7733873691318</v>
      </c>
      <c r="R384" s="42">
        <f>IFERROR(+VLOOKUP(M384,D.sign_Lista_Data[[RESPONSABLE]:[SOFTWARE 
VALOR HORA]],8,FALSE)*D.sign_Data[[#This Row],[TIEMPO (HORAS)]],0)</f>
        <v>1705.4274435719917</v>
      </c>
      <c r="S384" s="99">
        <v>0</v>
      </c>
      <c r="T384" s="99">
        <v>0</v>
      </c>
      <c r="U384" s="3">
        <f t="shared" si="13"/>
        <v>13947.913090312959</v>
      </c>
      <c r="V384" s="100">
        <f>D.sign_Data[[#This Row],[TIEMPO (HORAS)]]*Gastos_Operativos[[#Totals],[GASTOS HORA]]</f>
        <v>13894.738536155201</v>
      </c>
      <c r="W384" s="3">
        <f>+D.sign_Data[[#This Row],[COSTO 
DIRECTO ($COP)]]+D.sign_Data[[#This Row],[PRORRATEO GASTOS ($COP)]]</f>
        <v>27842.65162646816</v>
      </c>
      <c r="X384" s="101">
        <v>0.15</v>
      </c>
      <c r="Y384" s="15">
        <f>+D.sign_Data[[#This Row],[COSTOS OPERACIONALES ($COP)]]*D.sign_Data[[#This Row],[DESFASE (%)]]</f>
        <v>4176.3977439702239</v>
      </c>
      <c r="Z384" s="101">
        <v>0.3</v>
      </c>
      <c r="AA384" s="15">
        <f>+((D.sign_Data[[#This Row],[COSTOS OPERACIONALES ($COP)]]/(100%-D.sign_Data[[#This Row],[UTILIDAD (%)]])))-D.sign_Data[[#This Row],[COSTOS OPERACIONALES ($COP)]]</f>
        <v>11932.564982772074</v>
      </c>
      <c r="AB384" s="3">
        <f>+D.sign_Data[[#This Row],[COSTOS OPERACIONALES ($COP)]]+D.sign_Data[[#This Row],[DESFASE ($COP)]]+D.sign_Data[[#This Row],[UTILIDAD ($COP)]]</f>
        <v>43951.614353210462</v>
      </c>
      <c r="AC384" s="101">
        <v>0.05</v>
      </c>
      <c r="AD384" s="15">
        <f>+D.sign_Data[[#This Row],[VALOR NETO ($COP)]]/(100%-D.sign_Data[[#This Row],[MARGEN DE NEGOCIACIÓN (%)]])-D.sign_Data[[#This Row],[VALOR NETO ($COP)]]</f>
        <v>2313.242860695289</v>
      </c>
      <c r="AE384" s="15">
        <f>+(D.sign_Data[[#This Row],[VALOR NETO ($COP)]]+D.sign_Data[[#This Row],[NEGOCIACIÓN ($COP)]])*1%</f>
        <v>462.64857213905753</v>
      </c>
      <c r="AF384" s="15">
        <f>+(D.sign_Data[[#This Row],[VALOR NETO ($COP)]]+D.sign_Data[[#This Row],[NEGOCIACIÓN ($COP)]])*1%</f>
        <v>462.64857213905753</v>
      </c>
      <c r="AG384" s="3">
        <f>+D.sign_Data[[#This Row],[VALOR NETO ($COP)]]+D.sign_Data[[#This Row],[NEGOCIACIÓN ($COP)]]+D.sign_Data[[#This Row],[ICA ($COP)]]+D.sign_Data[[#This Row],[4 * 1000 ($COP)]]</f>
        <v>47190.154358183863</v>
      </c>
    </row>
    <row r="385" spans="1:33" ht="60" hidden="1" customHeight="1" x14ac:dyDescent="0.25">
      <c r="A385" s="14"/>
      <c r="B385" s="87" t="s">
        <v>418</v>
      </c>
      <c r="C385" s="182" t="s">
        <v>753</v>
      </c>
      <c r="D385" s="189" t="str">
        <f>VLOOKUP(D.sign_Data[[#This Row],[CÓDIGO]],Descripciones[[CÓDIGO]:[NOMBRE DE SERVICIO]],3,FALSE)</f>
        <v>D1. Parcelaciones y Condominios</v>
      </c>
      <c r="E385" s="87" t="s">
        <v>420</v>
      </c>
      <c r="F385" s="88" t="s">
        <v>754</v>
      </c>
      <c r="G385" s="88" t="s">
        <v>445</v>
      </c>
      <c r="H385" s="87" t="s">
        <v>429</v>
      </c>
      <c r="I385" s="89">
        <v>1</v>
      </c>
      <c r="J385" s="88" t="s">
        <v>711</v>
      </c>
      <c r="K385" s="102"/>
      <c r="L385" s="88" t="s">
        <v>758</v>
      </c>
      <c r="M385" s="89" t="s">
        <v>381</v>
      </c>
      <c r="N385" s="98">
        <v>0.2</v>
      </c>
      <c r="O385" s="27">
        <f>IFERROR(+VLOOKUP(M385,D.sign_Lista_Data[[RESPONSABLE]:[SOFTWARE 
VALOR HORA]],3,FALSE),"0")</f>
        <v>20263.424518743668</v>
      </c>
      <c r="P385" s="3">
        <f t="shared" si="12"/>
        <v>4052.6849037487336</v>
      </c>
      <c r="Q385" s="11">
        <f>IFERROR(+VLOOKUP(M385,D.sign_Lista_Data[[RESPONSABLE]:[SOFTWARE 
VALOR HORA]],5,FALSE)*D.sign_Data[[#This Row],[TIEMPO (HORAS)]],0)</f>
        <v>844.30935494765276</v>
      </c>
      <c r="R385" s="42">
        <f>IFERROR(+VLOOKUP(M385,D.sign_Lista_Data[[RESPONSABLE]:[SOFTWARE 
VALOR HORA]],8,FALSE)*D.sign_Data[[#This Row],[TIEMPO (HORAS)]],0)</f>
        <v>682.17097742879673</v>
      </c>
      <c r="S385" s="99">
        <v>0</v>
      </c>
      <c r="T385" s="99">
        <v>0</v>
      </c>
      <c r="U385" s="3">
        <f t="shared" si="13"/>
        <v>5579.1652361251827</v>
      </c>
      <c r="V385" s="100">
        <f>D.sign_Data[[#This Row],[TIEMPO (HORAS)]]*Gastos_Operativos[[#Totals],[GASTOS HORA]]</f>
        <v>5557.8954144620802</v>
      </c>
      <c r="W385" s="3">
        <f>+D.sign_Data[[#This Row],[COSTO 
DIRECTO ($COP)]]+D.sign_Data[[#This Row],[PRORRATEO GASTOS ($COP)]]</f>
        <v>11137.060650587264</v>
      </c>
      <c r="X385" s="101">
        <v>0.15</v>
      </c>
      <c r="Y385" s="15">
        <f>+D.sign_Data[[#This Row],[COSTOS OPERACIONALES ($COP)]]*D.sign_Data[[#This Row],[DESFASE (%)]]</f>
        <v>1670.5590975880896</v>
      </c>
      <c r="Z385" s="101">
        <v>0.3</v>
      </c>
      <c r="AA385" s="15">
        <f>+((D.sign_Data[[#This Row],[COSTOS OPERACIONALES ($COP)]]/(100%-D.sign_Data[[#This Row],[UTILIDAD (%)]])))-D.sign_Data[[#This Row],[COSTOS OPERACIONALES ($COP)]]</f>
        <v>4773.0259931088276</v>
      </c>
      <c r="AB385" s="3">
        <f>+D.sign_Data[[#This Row],[COSTOS OPERACIONALES ($COP)]]+D.sign_Data[[#This Row],[DESFASE ($COP)]]+D.sign_Data[[#This Row],[UTILIDAD ($COP)]]</f>
        <v>17580.645741284181</v>
      </c>
      <c r="AC385" s="101">
        <v>0.05</v>
      </c>
      <c r="AD385" s="15">
        <f>+D.sign_Data[[#This Row],[VALOR NETO ($COP)]]/(100%-D.sign_Data[[#This Row],[MARGEN DE NEGOCIACIÓN (%)]])-D.sign_Data[[#This Row],[VALOR NETO ($COP)]]</f>
        <v>925.29714427811632</v>
      </c>
      <c r="AE385" s="15">
        <f>+(D.sign_Data[[#This Row],[VALOR NETO ($COP)]]+D.sign_Data[[#This Row],[NEGOCIACIÓN ($COP)]])*1%</f>
        <v>185.05942885562297</v>
      </c>
      <c r="AF385" s="15">
        <f>+(D.sign_Data[[#This Row],[VALOR NETO ($COP)]]+D.sign_Data[[#This Row],[NEGOCIACIÓN ($COP)]])*1%</f>
        <v>185.05942885562297</v>
      </c>
      <c r="AG385" s="3">
        <f>+D.sign_Data[[#This Row],[VALOR NETO ($COP)]]+D.sign_Data[[#This Row],[NEGOCIACIÓN ($COP)]]+D.sign_Data[[#This Row],[ICA ($COP)]]+D.sign_Data[[#This Row],[4 * 1000 ($COP)]]</f>
        <v>18876.061743273545</v>
      </c>
    </row>
    <row r="386" spans="1:33" ht="60" hidden="1" customHeight="1" x14ac:dyDescent="0.25">
      <c r="A386" s="14"/>
      <c r="B386" s="87" t="s">
        <v>418</v>
      </c>
      <c r="C386" s="182" t="s">
        <v>753</v>
      </c>
      <c r="D386" s="189" t="str">
        <f>VLOOKUP(D.sign_Data[[#This Row],[CÓDIGO]],Descripciones[[CÓDIGO]:[NOMBRE DE SERVICIO]],3,FALSE)</f>
        <v>D1. Parcelaciones y Condominios</v>
      </c>
      <c r="E386" s="87" t="s">
        <v>420</v>
      </c>
      <c r="F386" s="88" t="s">
        <v>754</v>
      </c>
      <c r="G386" s="88" t="s">
        <v>445</v>
      </c>
      <c r="H386" s="87" t="s">
        <v>429</v>
      </c>
      <c r="I386" s="89">
        <v>1</v>
      </c>
      <c r="J386" s="88" t="s">
        <v>711</v>
      </c>
      <c r="K386" s="102"/>
      <c r="L386" s="88" t="s">
        <v>759</v>
      </c>
      <c r="M386" s="89" t="s">
        <v>381</v>
      </c>
      <c r="N386" s="98">
        <v>0.2</v>
      </c>
      <c r="O386" s="27">
        <f>IFERROR(+VLOOKUP(M386,D.sign_Lista_Data[[RESPONSABLE]:[SOFTWARE 
VALOR HORA]],3,FALSE),"0")</f>
        <v>20263.424518743668</v>
      </c>
      <c r="P386" s="3">
        <f t="shared" si="12"/>
        <v>4052.6849037487336</v>
      </c>
      <c r="Q386" s="11">
        <f>IFERROR(+VLOOKUP(M386,D.sign_Lista_Data[[RESPONSABLE]:[SOFTWARE 
VALOR HORA]],5,FALSE)*D.sign_Data[[#This Row],[TIEMPO (HORAS)]],0)</f>
        <v>844.30935494765276</v>
      </c>
      <c r="R386" s="42">
        <f>IFERROR(+VLOOKUP(M386,D.sign_Lista_Data[[RESPONSABLE]:[SOFTWARE 
VALOR HORA]],8,FALSE)*D.sign_Data[[#This Row],[TIEMPO (HORAS)]],0)</f>
        <v>682.17097742879673</v>
      </c>
      <c r="S386" s="99">
        <v>0</v>
      </c>
      <c r="T386" s="99">
        <v>0</v>
      </c>
      <c r="U386" s="3">
        <f t="shared" si="13"/>
        <v>5579.1652361251827</v>
      </c>
      <c r="V386" s="100">
        <f>D.sign_Data[[#This Row],[TIEMPO (HORAS)]]*Gastos_Operativos[[#Totals],[GASTOS HORA]]</f>
        <v>5557.8954144620802</v>
      </c>
      <c r="W386" s="3">
        <f>+D.sign_Data[[#This Row],[COSTO 
DIRECTO ($COP)]]+D.sign_Data[[#This Row],[PRORRATEO GASTOS ($COP)]]</f>
        <v>11137.060650587264</v>
      </c>
      <c r="X386" s="101">
        <v>0.15</v>
      </c>
      <c r="Y386" s="15">
        <f>+D.sign_Data[[#This Row],[COSTOS OPERACIONALES ($COP)]]*D.sign_Data[[#This Row],[DESFASE (%)]]</f>
        <v>1670.5590975880896</v>
      </c>
      <c r="Z386" s="101">
        <v>0.3</v>
      </c>
      <c r="AA386" s="15">
        <f>+((D.sign_Data[[#This Row],[COSTOS OPERACIONALES ($COP)]]/(100%-D.sign_Data[[#This Row],[UTILIDAD (%)]])))-D.sign_Data[[#This Row],[COSTOS OPERACIONALES ($COP)]]</f>
        <v>4773.0259931088276</v>
      </c>
      <c r="AB386" s="3">
        <f>+D.sign_Data[[#This Row],[COSTOS OPERACIONALES ($COP)]]+D.sign_Data[[#This Row],[DESFASE ($COP)]]+D.sign_Data[[#This Row],[UTILIDAD ($COP)]]</f>
        <v>17580.645741284181</v>
      </c>
      <c r="AC386" s="101">
        <v>0.05</v>
      </c>
      <c r="AD386" s="15">
        <f>+D.sign_Data[[#This Row],[VALOR NETO ($COP)]]/(100%-D.sign_Data[[#This Row],[MARGEN DE NEGOCIACIÓN (%)]])-D.sign_Data[[#This Row],[VALOR NETO ($COP)]]</f>
        <v>925.29714427811632</v>
      </c>
      <c r="AE386" s="15">
        <f>+(D.sign_Data[[#This Row],[VALOR NETO ($COP)]]+D.sign_Data[[#This Row],[NEGOCIACIÓN ($COP)]])*1%</f>
        <v>185.05942885562297</v>
      </c>
      <c r="AF386" s="15">
        <f>+(D.sign_Data[[#This Row],[VALOR NETO ($COP)]]+D.sign_Data[[#This Row],[NEGOCIACIÓN ($COP)]])*1%</f>
        <v>185.05942885562297</v>
      </c>
      <c r="AG386" s="3">
        <f>+D.sign_Data[[#This Row],[VALOR NETO ($COP)]]+D.sign_Data[[#This Row],[NEGOCIACIÓN ($COP)]]+D.sign_Data[[#This Row],[ICA ($COP)]]+D.sign_Data[[#This Row],[4 * 1000 ($COP)]]</f>
        <v>18876.061743273545</v>
      </c>
    </row>
    <row r="387" spans="1:33" ht="60" hidden="1" customHeight="1" x14ac:dyDescent="0.25">
      <c r="A387" s="14"/>
      <c r="B387" s="87" t="s">
        <v>418</v>
      </c>
      <c r="C387" s="182" t="s">
        <v>753</v>
      </c>
      <c r="D387" s="189" t="str">
        <f>VLOOKUP(D.sign_Data[[#This Row],[CÓDIGO]],Descripciones[[CÓDIGO]:[NOMBRE DE SERVICIO]],3,FALSE)</f>
        <v>D1. Parcelaciones y Condominios</v>
      </c>
      <c r="E387" s="87" t="s">
        <v>420</v>
      </c>
      <c r="F387" s="88" t="s">
        <v>754</v>
      </c>
      <c r="G387" s="88" t="s">
        <v>445</v>
      </c>
      <c r="H387" s="87" t="s">
        <v>429</v>
      </c>
      <c r="I387" s="89">
        <v>1</v>
      </c>
      <c r="J387" s="88" t="s">
        <v>719</v>
      </c>
      <c r="K387" s="102"/>
      <c r="L387" s="88" t="s">
        <v>760</v>
      </c>
      <c r="M387" s="89" t="s">
        <v>381</v>
      </c>
      <c r="N387" s="90">
        <v>5</v>
      </c>
      <c r="O387" s="27">
        <f>IFERROR(+VLOOKUP(M387,D.sign_Lista_Data[[RESPONSABLE]:[SOFTWARE 
VALOR HORA]],3,FALSE),"0")</f>
        <v>20263.424518743668</v>
      </c>
      <c r="P387" s="3">
        <f t="shared" si="12"/>
        <v>101317.12259371835</v>
      </c>
      <c r="Q387" s="11">
        <f>IFERROR(+VLOOKUP(M387,D.sign_Lista_Data[[RESPONSABLE]:[SOFTWARE 
VALOR HORA]],5,FALSE)*D.sign_Data[[#This Row],[TIEMPO (HORAS)]],0)</f>
        <v>21107.733873691319</v>
      </c>
      <c r="R387" s="42">
        <f>IFERROR(+VLOOKUP(M387,D.sign_Lista_Data[[RESPONSABLE]:[SOFTWARE 
VALOR HORA]],8,FALSE)*D.sign_Data[[#This Row],[TIEMPO (HORAS)]],0)</f>
        <v>17054.274435719919</v>
      </c>
      <c r="S387" s="99">
        <v>0</v>
      </c>
      <c r="T387" s="99">
        <v>0</v>
      </c>
      <c r="U387" s="3">
        <f t="shared" si="13"/>
        <v>139479.13090312958</v>
      </c>
      <c r="V387" s="100">
        <f>D.sign_Data[[#This Row],[TIEMPO (HORAS)]]*Gastos_Operativos[[#Totals],[GASTOS HORA]]</f>
        <v>138947.38536155201</v>
      </c>
      <c r="W387" s="3">
        <f>+D.sign_Data[[#This Row],[COSTO 
DIRECTO ($COP)]]+D.sign_Data[[#This Row],[PRORRATEO GASTOS ($COP)]]</f>
        <v>278426.51626468159</v>
      </c>
      <c r="X387" s="101">
        <v>0.15</v>
      </c>
      <c r="Y387" s="15">
        <f>+D.sign_Data[[#This Row],[COSTOS OPERACIONALES ($COP)]]*D.sign_Data[[#This Row],[DESFASE (%)]]</f>
        <v>41763.977439702234</v>
      </c>
      <c r="Z387" s="101">
        <v>0.3</v>
      </c>
      <c r="AA387" s="15">
        <f>+((D.sign_Data[[#This Row],[COSTOS OPERACIONALES ($COP)]]/(100%-D.sign_Data[[#This Row],[UTILIDAD (%)]])))-D.sign_Data[[#This Row],[COSTOS OPERACIONALES ($COP)]]</f>
        <v>119325.64982772071</v>
      </c>
      <c r="AB387" s="3">
        <f>+D.sign_Data[[#This Row],[COSTOS OPERACIONALES ($COP)]]+D.sign_Data[[#This Row],[DESFASE ($COP)]]+D.sign_Data[[#This Row],[UTILIDAD ($COP)]]</f>
        <v>439516.14353210456</v>
      </c>
      <c r="AC387" s="101">
        <v>0.05</v>
      </c>
      <c r="AD387" s="15">
        <f>+D.sign_Data[[#This Row],[VALOR NETO ($COP)]]/(100%-D.sign_Data[[#This Row],[MARGEN DE NEGOCIACIÓN (%)]])-D.sign_Data[[#This Row],[VALOR NETO ($COP)]]</f>
        <v>23132.42860695289</v>
      </c>
      <c r="AE387" s="15">
        <f>+(D.sign_Data[[#This Row],[VALOR NETO ($COP)]]+D.sign_Data[[#This Row],[NEGOCIACIÓN ($COP)]])*1%</f>
        <v>4626.4857213905743</v>
      </c>
      <c r="AF387" s="15">
        <f>+(D.sign_Data[[#This Row],[VALOR NETO ($COP)]]+D.sign_Data[[#This Row],[NEGOCIACIÓN ($COP)]])*1%</f>
        <v>4626.4857213905743</v>
      </c>
      <c r="AG387" s="3">
        <f>+D.sign_Data[[#This Row],[VALOR NETO ($COP)]]+D.sign_Data[[#This Row],[NEGOCIACIÓN ($COP)]]+D.sign_Data[[#This Row],[ICA ($COP)]]+D.sign_Data[[#This Row],[4 * 1000 ($COP)]]</f>
        <v>471901.5435818386</v>
      </c>
    </row>
    <row r="388" spans="1:33" ht="60" hidden="1" customHeight="1" x14ac:dyDescent="0.25">
      <c r="A388" s="14"/>
      <c r="B388" s="87" t="s">
        <v>418</v>
      </c>
      <c r="C388" s="182" t="s">
        <v>753</v>
      </c>
      <c r="D388" s="189" t="str">
        <f>VLOOKUP(D.sign_Data[[#This Row],[CÓDIGO]],Descripciones[[CÓDIGO]:[NOMBRE DE SERVICIO]],3,FALSE)</f>
        <v>D1. Parcelaciones y Condominios</v>
      </c>
      <c r="E388" s="87" t="s">
        <v>420</v>
      </c>
      <c r="F388" s="88" t="s">
        <v>754</v>
      </c>
      <c r="G388" s="88" t="s">
        <v>445</v>
      </c>
      <c r="H388" s="87" t="s">
        <v>429</v>
      </c>
      <c r="I388" s="89">
        <v>1</v>
      </c>
      <c r="J388" s="88" t="s">
        <v>719</v>
      </c>
      <c r="K388" s="102"/>
      <c r="L388" s="88" t="s">
        <v>716</v>
      </c>
      <c r="M388" s="89" t="s">
        <v>381</v>
      </c>
      <c r="N388" s="90">
        <v>0.5</v>
      </c>
      <c r="O388" s="27">
        <f>IFERROR(+VLOOKUP(M388,D.sign_Lista_Data[[RESPONSABLE]:[SOFTWARE 
VALOR HORA]],3,FALSE),"0")</f>
        <v>20263.424518743668</v>
      </c>
      <c r="P388" s="3">
        <f t="shared" si="12"/>
        <v>10131.712259371834</v>
      </c>
      <c r="Q388" s="11">
        <f>IFERROR(+VLOOKUP(M388,D.sign_Lista_Data[[RESPONSABLE]:[SOFTWARE 
VALOR HORA]],5,FALSE)*D.sign_Data[[#This Row],[TIEMPO (HORAS)]],0)</f>
        <v>2110.7733873691318</v>
      </c>
      <c r="R388" s="42">
        <f>IFERROR(+VLOOKUP(M388,D.sign_Lista_Data[[RESPONSABLE]:[SOFTWARE 
VALOR HORA]],8,FALSE)*D.sign_Data[[#This Row],[TIEMPO (HORAS)]],0)</f>
        <v>1705.4274435719917</v>
      </c>
      <c r="S388" s="99">
        <v>0</v>
      </c>
      <c r="T388" s="99">
        <v>0</v>
      </c>
      <c r="U388" s="3">
        <f t="shared" si="13"/>
        <v>13947.913090312959</v>
      </c>
      <c r="V388" s="100">
        <f>D.sign_Data[[#This Row],[TIEMPO (HORAS)]]*Gastos_Operativos[[#Totals],[GASTOS HORA]]</f>
        <v>13894.738536155201</v>
      </c>
      <c r="W388" s="3">
        <f>+D.sign_Data[[#This Row],[COSTO 
DIRECTO ($COP)]]+D.sign_Data[[#This Row],[PRORRATEO GASTOS ($COP)]]</f>
        <v>27842.65162646816</v>
      </c>
      <c r="X388" s="101">
        <v>0.15</v>
      </c>
      <c r="Y388" s="15">
        <f>+D.sign_Data[[#This Row],[COSTOS OPERACIONALES ($COP)]]*D.sign_Data[[#This Row],[DESFASE (%)]]</f>
        <v>4176.3977439702239</v>
      </c>
      <c r="Z388" s="101">
        <v>0.3</v>
      </c>
      <c r="AA388" s="15">
        <f>+((D.sign_Data[[#This Row],[COSTOS OPERACIONALES ($COP)]]/(100%-D.sign_Data[[#This Row],[UTILIDAD (%)]])))-D.sign_Data[[#This Row],[COSTOS OPERACIONALES ($COP)]]</f>
        <v>11932.564982772074</v>
      </c>
      <c r="AB388" s="3">
        <f>+D.sign_Data[[#This Row],[COSTOS OPERACIONALES ($COP)]]+D.sign_Data[[#This Row],[DESFASE ($COP)]]+D.sign_Data[[#This Row],[UTILIDAD ($COP)]]</f>
        <v>43951.614353210462</v>
      </c>
      <c r="AC388" s="101">
        <v>0.05</v>
      </c>
      <c r="AD388" s="15">
        <f>+D.sign_Data[[#This Row],[VALOR NETO ($COP)]]/(100%-D.sign_Data[[#This Row],[MARGEN DE NEGOCIACIÓN (%)]])-D.sign_Data[[#This Row],[VALOR NETO ($COP)]]</f>
        <v>2313.242860695289</v>
      </c>
      <c r="AE388" s="15">
        <f>+(D.sign_Data[[#This Row],[VALOR NETO ($COP)]]+D.sign_Data[[#This Row],[NEGOCIACIÓN ($COP)]])*1%</f>
        <v>462.64857213905753</v>
      </c>
      <c r="AF388" s="15">
        <f>+(D.sign_Data[[#This Row],[VALOR NETO ($COP)]]+D.sign_Data[[#This Row],[NEGOCIACIÓN ($COP)]])*1%</f>
        <v>462.64857213905753</v>
      </c>
      <c r="AG388" s="3">
        <f>+D.sign_Data[[#This Row],[VALOR NETO ($COP)]]+D.sign_Data[[#This Row],[NEGOCIACIÓN ($COP)]]+D.sign_Data[[#This Row],[ICA ($COP)]]+D.sign_Data[[#This Row],[4 * 1000 ($COP)]]</f>
        <v>47190.154358183863</v>
      </c>
    </row>
    <row r="389" spans="1:33" ht="60" hidden="1" customHeight="1" x14ac:dyDescent="0.25">
      <c r="A389" s="14"/>
      <c r="B389" s="87" t="s">
        <v>418</v>
      </c>
      <c r="C389" s="182" t="s">
        <v>753</v>
      </c>
      <c r="D389" s="189" t="str">
        <f>VLOOKUP(D.sign_Data[[#This Row],[CÓDIGO]],Descripciones[[CÓDIGO]:[NOMBRE DE SERVICIO]],3,FALSE)</f>
        <v>D1. Parcelaciones y Condominios</v>
      </c>
      <c r="E389" s="87" t="s">
        <v>420</v>
      </c>
      <c r="F389" s="88" t="s">
        <v>754</v>
      </c>
      <c r="G389" s="88" t="s">
        <v>445</v>
      </c>
      <c r="H389" s="87" t="s">
        <v>429</v>
      </c>
      <c r="I389" s="89">
        <v>1</v>
      </c>
      <c r="J389" s="88" t="s">
        <v>719</v>
      </c>
      <c r="K389" s="102"/>
      <c r="L389" s="88" t="s">
        <v>761</v>
      </c>
      <c r="M389" s="89" t="s">
        <v>381</v>
      </c>
      <c r="N389" s="90">
        <v>2</v>
      </c>
      <c r="O389" s="27">
        <f>IFERROR(+VLOOKUP(M389,D.sign_Lista_Data[[RESPONSABLE]:[SOFTWARE 
VALOR HORA]],3,FALSE),"0")</f>
        <v>20263.424518743668</v>
      </c>
      <c r="P389" s="3">
        <f t="shared" si="12"/>
        <v>40526.849037487336</v>
      </c>
      <c r="Q389" s="11">
        <f>IFERROR(+VLOOKUP(M389,D.sign_Lista_Data[[RESPONSABLE]:[SOFTWARE 
VALOR HORA]],5,FALSE)*D.sign_Data[[#This Row],[TIEMPO (HORAS)]],0)</f>
        <v>8443.0935494765272</v>
      </c>
      <c r="R389" s="42">
        <f>IFERROR(+VLOOKUP(M389,D.sign_Lista_Data[[RESPONSABLE]:[SOFTWARE 
VALOR HORA]],8,FALSE)*D.sign_Data[[#This Row],[TIEMPO (HORAS)]],0)</f>
        <v>6821.7097742879669</v>
      </c>
      <c r="S389" s="99">
        <v>0</v>
      </c>
      <c r="T389" s="99">
        <v>0</v>
      </c>
      <c r="U389" s="3">
        <f t="shared" si="13"/>
        <v>55791.652361251836</v>
      </c>
      <c r="V389" s="100">
        <f>D.sign_Data[[#This Row],[TIEMPO (HORAS)]]*Gastos_Operativos[[#Totals],[GASTOS HORA]]</f>
        <v>55578.954144620802</v>
      </c>
      <c r="W389" s="3">
        <f>+D.sign_Data[[#This Row],[COSTO 
DIRECTO ($COP)]]+D.sign_Data[[#This Row],[PRORRATEO GASTOS ($COP)]]</f>
        <v>111370.60650587264</v>
      </c>
      <c r="X389" s="101">
        <v>0.15</v>
      </c>
      <c r="Y389" s="15">
        <f>+D.sign_Data[[#This Row],[COSTOS OPERACIONALES ($COP)]]*D.sign_Data[[#This Row],[DESFASE (%)]]</f>
        <v>16705.590975880896</v>
      </c>
      <c r="Z389" s="101">
        <v>0.3</v>
      </c>
      <c r="AA389" s="15">
        <f>+((D.sign_Data[[#This Row],[COSTOS OPERACIONALES ($COP)]]/(100%-D.sign_Data[[#This Row],[UTILIDAD (%)]])))-D.sign_Data[[#This Row],[COSTOS OPERACIONALES ($COP)]]</f>
        <v>47730.259931088294</v>
      </c>
      <c r="AB389" s="3">
        <f>+D.sign_Data[[#This Row],[COSTOS OPERACIONALES ($COP)]]+D.sign_Data[[#This Row],[DESFASE ($COP)]]+D.sign_Data[[#This Row],[UTILIDAD ($COP)]]</f>
        <v>175806.45741284185</v>
      </c>
      <c r="AC389" s="101">
        <v>0.05</v>
      </c>
      <c r="AD389" s="15">
        <f>+D.sign_Data[[#This Row],[VALOR NETO ($COP)]]/(100%-D.sign_Data[[#This Row],[MARGEN DE NEGOCIACIÓN (%)]])-D.sign_Data[[#This Row],[VALOR NETO ($COP)]]</f>
        <v>9252.9714427811559</v>
      </c>
      <c r="AE389" s="15">
        <f>+(D.sign_Data[[#This Row],[VALOR NETO ($COP)]]+D.sign_Data[[#This Row],[NEGOCIACIÓN ($COP)]])*1%</f>
        <v>1850.5942885562301</v>
      </c>
      <c r="AF389" s="15">
        <f>+(D.sign_Data[[#This Row],[VALOR NETO ($COP)]]+D.sign_Data[[#This Row],[NEGOCIACIÓN ($COP)]])*1%</f>
        <v>1850.5942885562301</v>
      </c>
      <c r="AG389" s="3">
        <f>+D.sign_Data[[#This Row],[VALOR NETO ($COP)]]+D.sign_Data[[#This Row],[NEGOCIACIÓN ($COP)]]+D.sign_Data[[#This Row],[ICA ($COP)]]+D.sign_Data[[#This Row],[4 * 1000 ($COP)]]</f>
        <v>188760.61743273545</v>
      </c>
    </row>
    <row r="390" spans="1:33" ht="60" hidden="1" customHeight="1" x14ac:dyDescent="0.25">
      <c r="A390" s="14"/>
      <c r="B390" s="87" t="s">
        <v>418</v>
      </c>
      <c r="C390" s="182" t="s">
        <v>753</v>
      </c>
      <c r="D390" s="189" t="str">
        <f>VLOOKUP(D.sign_Data[[#This Row],[CÓDIGO]],Descripciones[[CÓDIGO]:[NOMBRE DE SERVICIO]],3,FALSE)</f>
        <v>D1. Parcelaciones y Condominios</v>
      </c>
      <c r="E390" s="87" t="s">
        <v>420</v>
      </c>
      <c r="F390" s="88" t="s">
        <v>754</v>
      </c>
      <c r="G390" s="88" t="s">
        <v>445</v>
      </c>
      <c r="H390" s="87" t="s">
        <v>429</v>
      </c>
      <c r="I390" s="89">
        <v>1</v>
      </c>
      <c r="J390" s="88" t="s">
        <v>721</v>
      </c>
      <c r="K390" s="102"/>
      <c r="L390" s="88" t="s">
        <v>762</v>
      </c>
      <c r="M390" s="89" t="s">
        <v>381</v>
      </c>
      <c r="N390" s="90">
        <v>5</v>
      </c>
      <c r="O390" s="27">
        <f>IFERROR(+VLOOKUP(M390,D.sign_Lista_Data[[RESPONSABLE]:[SOFTWARE 
VALOR HORA]],3,FALSE),"0")</f>
        <v>20263.424518743668</v>
      </c>
      <c r="P390" s="3">
        <f t="shared" si="12"/>
        <v>101317.12259371835</v>
      </c>
      <c r="Q390" s="11">
        <f>IFERROR(+VLOOKUP(M390,D.sign_Lista_Data[[RESPONSABLE]:[SOFTWARE 
VALOR HORA]],5,FALSE)*D.sign_Data[[#This Row],[TIEMPO (HORAS)]],0)</f>
        <v>21107.733873691319</v>
      </c>
      <c r="R390" s="42">
        <f>IFERROR(+VLOOKUP(M390,D.sign_Lista_Data[[RESPONSABLE]:[SOFTWARE 
VALOR HORA]],8,FALSE)*D.sign_Data[[#This Row],[TIEMPO (HORAS)]],0)</f>
        <v>17054.274435719919</v>
      </c>
      <c r="S390" s="99">
        <v>0</v>
      </c>
      <c r="T390" s="99">
        <v>0</v>
      </c>
      <c r="U390" s="3">
        <f t="shared" si="13"/>
        <v>139479.13090312958</v>
      </c>
      <c r="V390" s="100">
        <f>D.sign_Data[[#This Row],[TIEMPO (HORAS)]]*Gastos_Operativos[[#Totals],[GASTOS HORA]]</f>
        <v>138947.38536155201</v>
      </c>
      <c r="W390" s="3">
        <f>+D.sign_Data[[#This Row],[COSTO 
DIRECTO ($COP)]]+D.sign_Data[[#This Row],[PRORRATEO GASTOS ($COP)]]</f>
        <v>278426.51626468159</v>
      </c>
      <c r="X390" s="101">
        <v>0.15</v>
      </c>
      <c r="Y390" s="15">
        <f>+D.sign_Data[[#This Row],[COSTOS OPERACIONALES ($COP)]]*D.sign_Data[[#This Row],[DESFASE (%)]]</f>
        <v>41763.977439702234</v>
      </c>
      <c r="Z390" s="101">
        <v>0.3</v>
      </c>
      <c r="AA390" s="15">
        <f>+((D.sign_Data[[#This Row],[COSTOS OPERACIONALES ($COP)]]/(100%-D.sign_Data[[#This Row],[UTILIDAD (%)]])))-D.sign_Data[[#This Row],[COSTOS OPERACIONALES ($COP)]]</f>
        <v>119325.64982772071</v>
      </c>
      <c r="AB390" s="3">
        <f>+D.sign_Data[[#This Row],[COSTOS OPERACIONALES ($COP)]]+D.sign_Data[[#This Row],[DESFASE ($COP)]]+D.sign_Data[[#This Row],[UTILIDAD ($COP)]]</f>
        <v>439516.14353210456</v>
      </c>
      <c r="AC390" s="101">
        <v>0.05</v>
      </c>
      <c r="AD390" s="15">
        <f>+D.sign_Data[[#This Row],[VALOR NETO ($COP)]]/(100%-D.sign_Data[[#This Row],[MARGEN DE NEGOCIACIÓN (%)]])-D.sign_Data[[#This Row],[VALOR NETO ($COP)]]</f>
        <v>23132.42860695289</v>
      </c>
      <c r="AE390" s="15">
        <f>+(D.sign_Data[[#This Row],[VALOR NETO ($COP)]]+D.sign_Data[[#This Row],[NEGOCIACIÓN ($COP)]])*1%</f>
        <v>4626.4857213905743</v>
      </c>
      <c r="AF390" s="15">
        <f>+(D.sign_Data[[#This Row],[VALOR NETO ($COP)]]+D.sign_Data[[#This Row],[NEGOCIACIÓN ($COP)]])*1%</f>
        <v>4626.4857213905743</v>
      </c>
      <c r="AG390" s="3">
        <f>+D.sign_Data[[#This Row],[VALOR NETO ($COP)]]+D.sign_Data[[#This Row],[NEGOCIACIÓN ($COP)]]+D.sign_Data[[#This Row],[ICA ($COP)]]+D.sign_Data[[#This Row],[4 * 1000 ($COP)]]</f>
        <v>471901.5435818386</v>
      </c>
    </row>
    <row r="391" spans="1:33" ht="60" hidden="1" customHeight="1" x14ac:dyDescent="0.25">
      <c r="A391" s="14"/>
      <c r="B391" s="87" t="s">
        <v>418</v>
      </c>
      <c r="C391" s="182" t="s">
        <v>753</v>
      </c>
      <c r="D391" s="189" t="str">
        <f>VLOOKUP(D.sign_Data[[#This Row],[CÓDIGO]],Descripciones[[CÓDIGO]:[NOMBRE DE SERVICIO]],3,FALSE)</f>
        <v>D1. Parcelaciones y Condominios</v>
      </c>
      <c r="E391" s="87" t="s">
        <v>420</v>
      </c>
      <c r="F391" s="88" t="s">
        <v>754</v>
      </c>
      <c r="G391" s="88" t="s">
        <v>445</v>
      </c>
      <c r="H391" s="87" t="s">
        <v>429</v>
      </c>
      <c r="I391" s="89">
        <v>1</v>
      </c>
      <c r="J391" s="88" t="s">
        <v>721</v>
      </c>
      <c r="K391" s="102"/>
      <c r="L391" s="88" t="s">
        <v>723</v>
      </c>
      <c r="M391" s="89" t="s">
        <v>381</v>
      </c>
      <c r="N391" s="90">
        <v>3</v>
      </c>
      <c r="O391" s="27">
        <f>IFERROR(+VLOOKUP(M391,D.sign_Lista_Data[[RESPONSABLE]:[SOFTWARE 
VALOR HORA]],3,FALSE),"0")</f>
        <v>20263.424518743668</v>
      </c>
      <c r="P391" s="3">
        <f t="shared" si="12"/>
        <v>60790.273556231004</v>
      </c>
      <c r="Q391" s="11">
        <f>IFERROR(+VLOOKUP(M391,D.sign_Lista_Data[[RESPONSABLE]:[SOFTWARE 
VALOR HORA]],5,FALSE)*D.sign_Data[[#This Row],[TIEMPO (HORAS)]],0)</f>
        <v>12664.64032421479</v>
      </c>
      <c r="R391" s="42">
        <f>IFERROR(+VLOOKUP(M391,D.sign_Lista_Data[[RESPONSABLE]:[SOFTWARE 
VALOR HORA]],8,FALSE)*D.sign_Data[[#This Row],[TIEMPO (HORAS)]],0)</f>
        <v>10232.56466143195</v>
      </c>
      <c r="S391" s="99">
        <v>0</v>
      </c>
      <c r="T391" s="99">
        <v>0</v>
      </c>
      <c r="U391" s="3">
        <f t="shared" si="13"/>
        <v>83687.478541877746</v>
      </c>
      <c r="V391" s="100">
        <f>D.sign_Data[[#This Row],[TIEMPO (HORAS)]]*Gastos_Operativos[[#Totals],[GASTOS HORA]]</f>
        <v>83368.431216931203</v>
      </c>
      <c r="W391" s="3">
        <f>+D.sign_Data[[#This Row],[COSTO 
DIRECTO ($COP)]]+D.sign_Data[[#This Row],[PRORRATEO GASTOS ($COP)]]</f>
        <v>167055.90975880896</v>
      </c>
      <c r="X391" s="101">
        <v>0.15</v>
      </c>
      <c r="Y391" s="15">
        <f>+D.sign_Data[[#This Row],[COSTOS OPERACIONALES ($COP)]]*D.sign_Data[[#This Row],[DESFASE (%)]]</f>
        <v>25058.386463821345</v>
      </c>
      <c r="Z391" s="101">
        <v>0.3</v>
      </c>
      <c r="AA391" s="15">
        <f>+((D.sign_Data[[#This Row],[COSTOS OPERACIONALES ($COP)]]/(100%-D.sign_Data[[#This Row],[UTILIDAD (%)]])))-D.sign_Data[[#This Row],[COSTOS OPERACIONALES ($COP)]]</f>
        <v>71595.389896632434</v>
      </c>
      <c r="AB391" s="3">
        <f>+D.sign_Data[[#This Row],[COSTOS OPERACIONALES ($COP)]]+D.sign_Data[[#This Row],[DESFASE ($COP)]]+D.sign_Data[[#This Row],[UTILIDAD ($COP)]]</f>
        <v>263709.68611926271</v>
      </c>
      <c r="AC391" s="101">
        <v>0.05</v>
      </c>
      <c r="AD391" s="15">
        <f>+D.sign_Data[[#This Row],[VALOR NETO ($COP)]]/(100%-D.sign_Data[[#This Row],[MARGEN DE NEGOCIACIÓN (%)]])-D.sign_Data[[#This Row],[VALOR NETO ($COP)]]</f>
        <v>13879.457164171734</v>
      </c>
      <c r="AE391" s="15">
        <f>+(D.sign_Data[[#This Row],[VALOR NETO ($COP)]]+D.sign_Data[[#This Row],[NEGOCIACIÓN ($COP)]])*1%</f>
        <v>2775.8914328343444</v>
      </c>
      <c r="AF391" s="15">
        <f>+(D.sign_Data[[#This Row],[VALOR NETO ($COP)]]+D.sign_Data[[#This Row],[NEGOCIACIÓN ($COP)]])*1%</f>
        <v>2775.8914328343444</v>
      </c>
      <c r="AG391" s="3">
        <f>+D.sign_Data[[#This Row],[VALOR NETO ($COP)]]+D.sign_Data[[#This Row],[NEGOCIACIÓN ($COP)]]+D.sign_Data[[#This Row],[ICA ($COP)]]+D.sign_Data[[#This Row],[4 * 1000 ($COP)]]</f>
        <v>283140.92614910309</v>
      </c>
    </row>
    <row r="392" spans="1:33" ht="60" hidden="1" customHeight="1" x14ac:dyDescent="0.25">
      <c r="A392" s="14"/>
      <c r="B392" s="87" t="s">
        <v>418</v>
      </c>
      <c r="C392" s="182" t="s">
        <v>753</v>
      </c>
      <c r="D392" s="189" t="str">
        <f>VLOOKUP(D.sign_Data[[#This Row],[CÓDIGO]],Descripciones[[CÓDIGO]:[NOMBRE DE SERVICIO]],3,FALSE)</f>
        <v>D1. Parcelaciones y Condominios</v>
      </c>
      <c r="E392" s="87" t="s">
        <v>420</v>
      </c>
      <c r="F392" s="88" t="s">
        <v>754</v>
      </c>
      <c r="G392" s="88" t="s">
        <v>445</v>
      </c>
      <c r="H392" s="87" t="s">
        <v>429</v>
      </c>
      <c r="I392" s="89">
        <v>1</v>
      </c>
      <c r="J392" s="88" t="s">
        <v>721</v>
      </c>
      <c r="K392" s="102"/>
      <c r="L392" s="88" t="s">
        <v>462</v>
      </c>
      <c r="M392" s="89" t="s">
        <v>381</v>
      </c>
      <c r="N392" s="90">
        <v>3</v>
      </c>
      <c r="O392" s="27">
        <f>IFERROR(+VLOOKUP(M392,D.sign_Lista_Data[[RESPONSABLE]:[SOFTWARE 
VALOR HORA]],3,FALSE),"0")</f>
        <v>20263.424518743668</v>
      </c>
      <c r="P392" s="3">
        <f t="shared" si="12"/>
        <v>60790.273556231004</v>
      </c>
      <c r="Q392" s="11">
        <f>IFERROR(+VLOOKUP(M392,D.sign_Lista_Data[[RESPONSABLE]:[SOFTWARE 
VALOR HORA]],5,FALSE)*D.sign_Data[[#This Row],[TIEMPO (HORAS)]],0)</f>
        <v>12664.64032421479</v>
      </c>
      <c r="R392" s="42">
        <f>IFERROR(+VLOOKUP(M392,D.sign_Lista_Data[[RESPONSABLE]:[SOFTWARE 
VALOR HORA]],8,FALSE)*D.sign_Data[[#This Row],[TIEMPO (HORAS)]],0)</f>
        <v>10232.56466143195</v>
      </c>
      <c r="S392" s="99">
        <v>0</v>
      </c>
      <c r="T392" s="99">
        <v>0</v>
      </c>
      <c r="U392" s="3">
        <f t="shared" si="13"/>
        <v>83687.478541877746</v>
      </c>
      <c r="V392" s="100">
        <f>D.sign_Data[[#This Row],[TIEMPO (HORAS)]]*Gastos_Operativos[[#Totals],[GASTOS HORA]]</f>
        <v>83368.431216931203</v>
      </c>
      <c r="W392" s="3">
        <f>+D.sign_Data[[#This Row],[COSTO 
DIRECTO ($COP)]]+D.sign_Data[[#This Row],[PRORRATEO GASTOS ($COP)]]</f>
        <v>167055.90975880896</v>
      </c>
      <c r="X392" s="101">
        <v>0.15</v>
      </c>
      <c r="Y392" s="15">
        <f>+D.sign_Data[[#This Row],[COSTOS OPERACIONALES ($COP)]]*D.sign_Data[[#This Row],[DESFASE (%)]]</f>
        <v>25058.386463821345</v>
      </c>
      <c r="Z392" s="101">
        <v>0.3</v>
      </c>
      <c r="AA392" s="15">
        <f>+((D.sign_Data[[#This Row],[COSTOS OPERACIONALES ($COP)]]/(100%-D.sign_Data[[#This Row],[UTILIDAD (%)]])))-D.sign_Data[[#This Row],[COSTOS OPERACIONALES ($COP)]]</f>
        <v>71595.389896632434</v>
      </c>
      <c r="AB392" s="3">
        <f>+D.sign_Data[[#This Row],[COSTOS OPERACIONALES ($COP)]]+D.sign_Data[[#This Row],[DESFASE ($COP)]]+D.sign_Data[[#This Row],[UTILIDAD ($COP)]]</f>
        <v>263709.68611926271</v>
      </c>
      <c r="AC392" s="101">
        <v>0.05</v>
      </c>
      <c r="AD392" s="15">
        <f>+D.sign_Data[[#This Row],[VALOR NETO ($COP)]]/(100%-D.sign_Data[[#This Row],[MARGEN DE NEGOCIACIÓN (%)]])-D.sign_Data[[#This Row],[VALOR NETO ($COP)]]</f>
        <v>13879.457164171734</v>
      </c>
      <c r="AE392" s="15">
        <f>+(D.sign_Data[[#This Row],[VALOR NETO ($COP)]]+D.sign_Data[[#This Row],[NEGOCIACIÓN ($COP)]])*1%</f>
        <v>2775.8914328343444</v>
      </c>
      <c r="AF392" s="15">
        <f>+(D.sign_Data[[#This Row],[VALOR NETO ($COP)]]+D.sign_Data[[#This Row],[NEGOCIACIÓN ($COP)]])*1%</f>
        <v>2775.8914328343444</v>
      </c>
      <c r="AG392" s="3">
        <f>+D.sign_Data[[#This Row],[VALOR NETO ($COP)]]+D.sign_Data[[#This Row],[NEGOCIACIÓN ($COP)]]+D.sign_Data[[#This Row],[ICA ($COP)]]+D.sign_Data[[#This Row],[4 * 1000 ($COP)]]</f>
        <v>283140.92614910309</v>
      </c>
    </row>
    <row r="393" spans="1:33" ht="60" hidden="1" customHeight="1" x14ac:dyDescent="0.25">
      <c r="A393" s="14"/>
      <c r="B393" s="87" t="s">
        <v>418</v>
      </c>
      <c r="C393" s="182" t="s">
        <v>753</v>
      </c>
      <c r="D393" s="189" t="str">
        <f>VLOOKUP(D.sign_Data[[#This Row],[CÓDIGO]],Descripciones[[CÓDIGO]:[NOMBRE DE SERVICIO]],3,FALSE)</f>
        <v>D1. Parcelaciones y Condominios</v>
      </c>
      <c r="E393" s="87" t="s">
        <v>420</v>
      </c>
      <c r="F393" s="88" t="s">
        <v>754</v>
      </c>
      <c r="G393" s="88" t="s">
        <v>445</v>
      </c>
      <c r="H393" s="87" t="s">
        <v>429</v>
      </c>
      <c r="I393" s="89">
        <v>1</v>
      </c>
      <c r="J393" s="88" t="s">
        <v>721</v>
      </c>
      <c r="K393" s="102"/>
      <c r="L393" s="88" t="s">
        <v>463</v>
      </c>
      <c r="M393" s="89" t="s">
        <v>381</v>
      </c>
      <c r="N393" s="90">
        <v>2.5</v>
      </c>
      <c r="O393" s="27">
        <f>IFERROR(+VLOOKUP(M393,D.sign_Lista_Data[[RESPONSABLE]:[SOFTWARE 
VALOR HORA]],3,FALSE),"0")</f>
        <v>20263.424518743668</v>
      </c>
      <c r="P393" s="3">
        <f t="shared" si="12"/>
        <v>50658.561296859174</v>
      </c>
      <c r="Q393" s="11">
        <f>IFERROR(+VLOOKUP(M393,D.sign_Lista_Data[[RESPONSABLE]:[SOFTWARE 
VALOR HORA]],5,FALSE)*D.sign_Data[[#This Row],[TIEMPO (HORAS)]],0)</f>
        <v>10553.866936845659</v>
      </c>
      <c r="R393" s="42">
        <f>IFERROR(+VLOOKUP(M393,D.sign_Lista_Data[[RESPONSABLE]:[SOFTWARE 
VALOR HORA]],8,FALSE)*D.sign_Data[[#This Row],[TIEMPO (HORAS)]],0)</f>
        <v>8527.1372178599595</v>
      </c>
      <c r="S393" s="99">
        <v>0</v>
      </c>
      <c r="T393" s="99">
        <v>0</v>
      </c>
      <c r="U393" s="3">
        <f t="shared" si="13"/>
        <v>69739.565451564791</v>
      </c>
      <c r="V393" s="100">
        <f>D.sign_Data[[#This Row],[TIEMPO (HORAS)]]*Gastos_Operativos[[#Totals],[GASTOS HORA]]</f>
        <v>69473.692680776003</v>
      </c>
      <c r="W393" s="3">
        <f>+D.sign_Data[[#This Row],[COSTO 
DIRECTO ($COP)]]+D.sign_Data[[#This Row],[PRORRATEO GASTOS ($COP)]]</f>
        <v>139213.25813234079</v>
      </c>
      <c r="X393" s="101">
        <v>0.15</v>
      </c>
      <c r="Y393" s="15">
        <f>+D.sign_Data[[#This Row],[COSTOS OPERACIONALES ($COP)]]*D.sign_Data[[#This Row],[DESFASE (%)]]</f>
        <v>20881.988719851117</v>
      </c>
      <c r="Z393" s="101">
        <v>0.3</v>
      </c>
      <c r="AA393" s="15">
        <f>+((D.sign_Data[[#This Row],[COSTOS OPERACIONALES ($COP)]]/(100%-D.sign_Data[[#This Row],[UTILIDAD (%)]])))-D.sign_Data[[#This Row],[COSTOS OPERACIONALES ($COP)]]</f>
        <v>59662.824913860357</v>
      </c>
      <c r="AB393" s="3">
        <f>+D.sign_Data[[#This Row],[COSTOS OPERACIONALES ($COP)]]+D.sign_Data[[#This Row],[DESFASE ($COP)]]+D.sign_Data[[#This Row],[UTILIDAD ($COP)]]</f>
        <v>219758.07176605228</v>
      </c>
      <c r="AC393" s="101">
        <v>0.05</v>
      </c>
      <c r="AD393" s="15">
        <f>+D.sign_Data[[#This Row],[VALOR NETO ($COP)]]/(100%-D.sign_Data[[#This Row],[MARGEN DE NEGOCIACIÓN (%)]])-D.sign_Data[[#This Row],[VALOR NETO ($COP)]]</f>
        <v>11566.214303476445</v>
      </c>
      <c r="AE393" s="15">
        <f>+(D.sign_Data[[#This Row],[VALOR NETO ($COP)]]+D.sign_Data[[#This Row],[NEGOCIACIÓN ($COP)]])*1%</f>
        <v>2313.2428606952872</v>
      </c>
      <c r="AF393" s="15">
        <f>+(D.sign_Data[[#This Row],[VALOR NETO ($COP)]]+D.sign_Data[[#This Row],[NEGOCIACIÓN ($COP)]])*1%</f>
        <v>2313.2428606952872</v>
      </c>
      <c r="AG393" s="3">
        <f>+D.sign_Data[[#This Row],[VALOR NETO ($COP)]]+D.sign_Data[[#This Row],[NEGOCIACIÓN ($COP)]]+D.sign_Data[[#This Row],[ICA ($COP)]]+D.sign_Data[[#This Row],[4 * 1000 ($COP)]]</f>
        <v>235950.7717909193</v>
      </c>
    </row>
    <row r="394" spans="1:33" ht="60" hidden="1" customHeight="1" x14ac:dyDescent="0.25">
      <c r="A394" s="14"/>
      <c r="B394" s="87" t="s">
        <v>418</v>
      </c>
      <c r="C394" s="182" t="s">
        <v>763</v>
      </c>
      <c r="D394" s="189" t="str">
        <f>VLOOKUP(D.sign_Data[[#This Row],[CÓDIGO]],Descripciones[[CÓDIGO]:[NOMBRE DE SERVICIO]],3,FALSE)</f>
        <v>D1. Parcelaciones y Condominios</v>
      </c>
      <c r="E394" s="87" t="s">
        <v>467</v>
      </c>
      <c r="F394" s="88" t="s">
        <v>764</v>
      </c>
      <c r="G394" s="88" t="s">
        <v>765</v>
      </c>
      <c r="H394" s="87" t="s">
        <v>500</v>
      </c>
      <c r="I394" s="89">
        <v>1</v>
      </c>
      <c r="J394" s="88" t="s">
        <v>766</v>
      </c>
      <c r="K394" s="102"/>
      <c r="L394" s="88" t="s">
        <v>476</v>
      </c>
      <c r="M394" s="89" t="s">
        <v>381</v>
      </c>
      <c r="N394" s="90">
        <v>0.25</v>
      </c>
      <c r="O394" s="27">
        <f>IFERROR(+VLOOKUP(M394,D.sign_Lista_Data[[RESPONSABLE]:[SOFTWARE 
VALOR HORA]],3,FALSE),"0")</f>
        <v>20263.424518743668</v>
      </c>
      <c r="P394" s="3">
        <f t="shared" si="12"/>
        <v>5065.856129685917</v>
      </c>
      <c r="Q394" s="11">
        <f>IFERROR(+VLOOKUP(M394,D.sign_Lista_Data[[RESPONSABLE]:[SOFTWARE 
VALOR HORA]],5,FALSE)*D.sign_Data[[#This Row],[TIEMPO (HORAS)]],0)</f>
        <v>1055.3866936845659</v>
      </c>
      <c r="R394" s="42">
        <f>IFERROR(+VLOOKUP(M394,D.sign_Lista_Data[[RESPONSABLE]:[SOFTWARE 
VALOR HORA]],8,FALSE)*D.sign_Data[[#This Row],[TIEMPO (HORAS)]],0)</f>
        <v>852.71372178599586</v>
      </c>
      <c r="S394" s="99">
        <v>0</v>
      </c>
      <c r="T394" s="99">
        <v>0</v>
      </c>
      <c r="U394" s="3">
        <f t="shared" si="13"/>
        <v>6973.9565451564795</v>
      </c>
      <c r="V394" s="100">
        <f>D.sign_Data[[#This Row],[TIEMPO (HORAS)]]*Gastos_Operativos[[#Totals],[GASTOS HORA]]</f>
        <v>6947.3692680776003</v>
      </c>
      <c r="W394" s="3">
        <f>+D.sign_Data[[#This Row],[COSTO 
DIRECTO ($COP)]]+D.sign_Data[[#This Row],[PRORRATEO GASTOS ($COP)]]</f>
        <v>13921.32581323408</v>
      </c>
      <c r="X394" s="101">
        <v>0.1</v>
      </c>
      <c r="Y394" s="15">
        <f>+D.sign_Data[[#This Row],[COSTOS OPERACIONALES ($COP)]]*D.sign_Data[[#This Row],[DESFASE (%)]]</f>
        <v>1392.132581323408</v>
      </c>
      <c r="Z394" s="101">
        <v>0.2</v>
      </c>
      <c r="AA394" s="15">
        <f>+((D.sign_Data[[#This Row],[COSTOS OPERACIONALES ($COP)]]/(100%-D.sign_Data[[#This Row],[UTILIDAD (%)]])))-D.sign_Data[[#This Row],[COSTOS OPERACIONALES ($COP)]]</f>
        <v>3480.3314533085195</v>
      </c>
      <c r="AB394" s="3">
        <f>+D.sign_Data[[#This Row],[COSTOS OPERACIONALES ($COP)]]+D.sign_Data[[#This Row],[DESFASE ($COP)]]+D.sign_Data[[#This Row],[UTILIDAD ($COP)]]</f>
        <v>18793.789847866006</v>
      </c>
      <c r="AC394" s="101">
        <v>0.05</v>
      </c>
      <c r="AD394" s="15">
        <f>+D.sign_Data[[#This Row],[VALOR NETO ($COP)]]/(100%-D.sign_Data[[#This Row],[MARGEN DE NEGOCIACIÓN (%)]])-D.sign_Data[[#This Row],[VALOR NETO ($COP)]]</f>
        <v>989.14683409821009</v>
      </c>
      <c r="AE394" s="15">
        <f>+(D.sign_Data[[#This Row],[VALOR NETO ($COP)]]+D.sign_Data[[#This Row],[NEGOCIACIÓN ($COP)]])*1%</f>
        <v>197.82936681964216</v>
      </c>
      <c r="AF394" s="15">
        <f>+(D.sign_Data[[#This Row],[VALOR NETO ($COP)]]+D.sign_Data[[#This Row],[NEGOCIACIÓN ($COP)]])*1%</f>
        <v>197.82936681964216</v>
      </c>
      <c r="AG394" s="3">
        <f>+D.sign_Data[[#This Row],[VALOR NETO ($COP)]]+D.sign_Data[[#This Row],[NEGOCIACIÓN ($COP)]]+D.sign_Data[[#This Row],[ICA ($COP)]]+D.sign_Data[[#This Row],[4 * 1000 ($COP)]]</f>
        <v>20178.5954156035</v>
      </c>
    </row>
    <row r="395" spans="1:33" ht="60" hidden="1" customHeight="1" x14ac:dyDescent="0.25">
      <c r="A395" s="14"/>
      <c r="B395" s="87" t="s">
        <v>418</v>
      </c>
      <c r="C395" s="182" t="s">
        <v>763</v>
      </c>
      <c r="D395" s="189" t="str">
        <f>VLOOKUP(D.sign_Data[[#This Row],[CÓDIGO]],Descripciones[[CÓDIGO]:[NOMBRE DE SERVICIO]],3,FALSE)</f>
        <v>D1. Parcelaciones y Condominios</v>
      </c>
      <c r="E395" s="87" t="s">
        <v>467</v>
      </c>
      <c r="F395" s="88" t="s">
        <v>764</v>
      </c>
      <c r="G395" s="88" t="s">
        <v>765</v>
      </c>
      <c r="H395" s="87" t="s">
        <v>500</v>
      </c>
      <c r="I395" s="89">
        <v>1</v>
      </c>
      <c r="J395" s="88" t="s">
        <v>766</v>
      </c>
      <c r="K395" s="102"/>
      <c r="L395" s="88" t="s">
        <v>767</v>
      </c>
      <c r="M395" s="89" t="s">
        <v>381</v>
      </c>
      <c r="N395" s="90">
        <v>0.2</v>
      </c>
      <c r="O395" s="27">
        <f>IFERROR(+VLOOKUP(M395,D.sign_Lista_Data[[RESPONSABLE]:[SOFTWARE 
VALOR HORA]],3,FALSE),"0")</f>
        <v>20263.424518743668</v>
      </c>
      <c r="P395" s="3">
        <f t="shared" si="12"/>
        <v>4052.6849037487336</v>
      </c>
      <c r="Q395" s="11">
        <f>IFERROR(+VLOOKUP(M395,D.sign_Lista_Data[[RESPONSABLE]:[SOFTWARE 
VALOR HORA]],5,FALSE)*D.sign_Data[[#This Row],[TIEMPO (HORAS)]],0)</f>
        <v>844.30935494765276</v>
      </c>
      <c r="R395" s="42">
        <f>IFERROR(+VLOOKUP(M395,D.sign_Lista_Data[[RESPONSABLE]:[SOFTWARE 
VALOR HORA]],8,FALSE)*D.sign_Data[[#This Row],[TIEMPO (HORAS)]],0)</f>
        <v>682.17097742879673</v>
      </c>
      <c r="S395" s="99">
        <v>0</v>
      </c>
      <c r="T395" s="99">
        <v>0</v>
      </c>
      <c r="U395" s="3">
        <f t="shared" si="13"/>
        <v>5579.1652361251827</v>
      </c>
      <c r="V395" s="100">
        <f>D.sign_Data[[#This Row],[TIEMPO (HORAS)]]*Gastos_Operativos[[#Totals],[GASTOS HORA]]</f>
        <v>5557.8954144620802</v>
      </c>
      <c r="W395" s="3">
        <f>+D.sign_Data[[#This Row],[COSTO 
DIRECTO ($COP)]]+D.sign_Data[[#This Row],[PRORRATEO GASTOS ($COP)]]</f>
        <v>11137.060650587264</v>
      </c>
      <c r="X395" s="101">
        <v>0.1</v>
      </c>
      <c r="Y395" s="15">
        <f>+D.sign_Data[[#This Row],[COSTOS OPERACIONALES ($COP)]]*D.sign_Data[[#This Row],[DESFASE (%)]]</f>
        <v>1113.7060650587264</v>
      </c>
      <c r="Z395" s="101">
        <v>0.2</v>
      </c>
      <c r="AA395" s="15">
        <f>+((D.sign_Data[[#This Row],[COSTOS OPERACIONALES ($COP)]]/(100%-D.sign_Data[[#This Row],[UTILIDAD (%)]])))-D.sign_Data[[#This Row],[COSTOS OPERACIONALES ($COP)]]</f>
        <v>2784.265162646816</v>
      </c>
      <c r="AB395" s="3">
        <f>+D.sign_Data[[#This Row],[COSTOS OPERACIONALES ($COP)]]+D.sign_Data[[#This Row],[DESFASE ($COP)]]+D.sign_Data[[#This Row],[UTILIDAD ($COP)]]</f>
        <v>15035.031878292806</v>
      </c>
      <c r="AC395" s="101">
        <v>0.05</v>
      </c>
      <c r="AD395" s="15">
        <f>+D.sign_Data[[#This Row],[VALOR NETO ($COP)]]/(100%-D.sign_Data[[#This Row],[MARGEN DE NEGOCIACIÓN (%)]])-D.sign_Data[[#This Row],[VALOR NETO ($COP)]]</f>
        <v>791.31746727856989</v>
      </c>
      <c r="AE395" s="15">
        <f>+(D.sign_Data[[#This Row],[VALOR NETO ($COP)]]+D.sign_Data[[#This Row],[NEGOCIACIÓN ($COP)]])*1%</f>
        <v>158.26349345571376</v>
      </c>
      <c r="AF395" s="15">
        <f>+(D.sign_Data[[#This Row],[VALOR NETO ($COP)]]+D.sign_Data[[#This Row],[NEGOCIACIÓN ($COP)]])*1%</f>
        <v>158.26349345571376</v>
      </c>
      <c r="AG395" s="3">
        <f>+D.sign_Data[[#This Row],[VALOR NETO ($COP)]]+D.sign_Data[[#This Row],[NEGOCIACIÓN ($COP)]]+D.sign_Data[[#This Row],[ICA ($COP)]]+D.sign_Data[[#This Row],[4 * 1000 ($COP)]]</f>
        <v>16142.876332482803</v>
      </c>
    </row>
    <row r="396" spans="1:33" ht="60" hidden="1" customHeight="1" x14ac:dyDescent="0.25">
      <c r="A396" s="14"/>
      <c r="B396" s="87" t="s">
        <v>418</v>
      </c>
      <c r="C396" s="182" t="s">
        <v>763</v>
      </c>
      <c r="D396" s="189" t="str">
        <f>VLOOKUP(D.sign_Data[[#This Row],[CÓDIGO]],Descripciones[[CÓDIGO]:[NOMBRE DE SERVICIO]],3,FALSE)</f>
        <v>D1. Parcelaciones y Condominios</v>
      </c>
      <c r="E396" s="87" t="s">
        <v>467</v>
      </c>
      <c r="F396" s="88" t="s">
        <v>764</v>
      </c>
      <c r="G396" s="88" t="s">
        <v>765</v>
      </c>
      <c r="H396" s="87" t="s">
        <v>500</v>
      </c>
      <c r="I396" s="89">
        <v>1</v>
      </c>
      <c r="J396" s="88" t="s">
        <v>766</v>
      </c>
      <c r="K396" s="102"/>
      <c r="L396" s="88" t="s">
        <v>768</v>
      </c>
      <c r="M396" s="89" t="s">
        <v>381</v>
      </c>
      <c r="N396" s="90">
        <v>0.2</v>
      </c>
      <c r="O396" s="27">
        <f>IFERROR(+VLOOKUP(M396,D.sign_Lista_Data[[RESPONSABLE]:[SOFTWARE 
VALOR HORA]],3,FALSE),"0")</f>
        <v>20263.424518743668</v>
      </c>
      <c r="P396" s="3">
        <f t="shared" si="12"/>
        <v>4052.6849037487336</v>
      </c>
      <c r="Q396" s="11">
        <f>IFERROR(+VLOOKUP(M396,D.sign_Lista_Data[[RESPONSABLE]:[SOFTWARE 
VALOR HORA]],5,FALSE)*D.sign_Data[[#This Row],[TIEMPO (HORAS)]],0)</f>
        <v>844.30935494765276</v>
      </c>
      <c r="R396" s="42">
        <f>IFERROR(+VLOOKUP(M396,D.sign_Lista_Data[[RESPONSABLE]:[SOFTWARE 
VALOR HORA]],8,FALSE)*D.sign_Data[[#This Row],[TIEMPO (HORAS)]],0)</f>
        <v>682.17097742879673</v>
      </c>
      <c r="S396" s="99">
        <v>0</v>
      </c>
      <c r="T396" s="99">
        <v>0</v>
      </c>
      <c r="U396" s="3">
        <f t="shared" si="13"/>
        <v>5579.1652361251827</v>
      </c>
      <c r="V396" s="100">
        <f>D.sign_Data[[#This Row],[TIEMPO (HORAS)]]*Gastos_Operativos[[#Totals],[GASTOS HORA]]</f>
        <v>5557.8954144620802</v>
      </c>
      <c r="W396" s="3">
        <f>+D.sign_Data[[#This Row],[COSTO 
DIRECTO ($COP)]]+D.sign_Data[[#This Row],[PRORRATEO GASTOS ($COP)]]</f>
        <v>11137.060650587264</v>
      </c>
      <c r="X396" s="101">
        <v>0.1</v>
      </c>
      <c r="Y396" s="15">
        <f>+D.sign_Data[[#This Row],[COSTOS OPERACIONALES ($COP)]]*D.sign_Data[[#This Row],[DESFASE (%)]]</f>
        <v>1113.7060650587264</v>
      </c>
      <c r="Z396" s="101">
        <v>0.2</v>
      </c>
      <c r="AA396" s="15">
        <f>+((D.sign_Data[[#This Row],[COSTOS OPERACIONALES ($COP)]]/(100%-D.sign_Data[[#This Row],[UTILIDAD (%)]])))-D.sign_Data[[#This Row],[COSTOS OPERACIONALES ($COP)]]</f>
        <v>2784.265162646816</v>
      </c>
      <c r="AB396" s="3">
        <f>+D.sign_Data[[#This Row],[COSTOS OPERACIONALES ($COP)]]+D.sign_Data[[#This Row],[DESFASE ($COP)]]+D.sign_Data[[#This Row],[UTILIDAD ($COP)]]</f>
        <v>15035.031878292806</v>
      </c>
      <c r="AC396" s="101">
        <v>0.05</v>
      </c>
      <c r="AD396" s="15">
        <f>+D.sign_Data[[#This Row],[VALOR NETO ($COP)]]/(100%-D.sign_Data[[#This Row],[MARGEN DE NEGOCIACIÓN (%)]])-D.sign_Data[[#This Row],[VALOR NETO ($COP)]]</f>
        <v>791.31746727856989</v>
      </c>
      <c r="AE396" s="15">
        <f>+(D.sign_Data[[#This Row],[VALOR NETO ($COP)]]+D.sign_Data[[#This Row],[NEGOCIACIÓN ($COP)]])*1%</f>
        <v>158.26349345571376</v>
      </c>
      <c r="AF396" s="15">
        <f>+(D.sign_Data[[#This Row],[VALOR NETO ($COP)]]+D.sign_Data[[#This Row],[NEGOCIACIÓN ($COP)]])*1%</f>
        <v>158.26349345571376</v>
      </c>
      <c r="AG396" s="3">
        <f>+D.sign_Data[[#This Row],[VALOR NETO ($COP)]]+D.sign_Data[[#This Row],[NEGOCIACIÓN ($COP)]]+D.sign_Data[[#This Row],[ICA ($COP)]]+D.sign_Data[[#This Row],[4 * 1000 ($COP)]]</f>
        <v>16142.876332482803</v>
      </c>
    </row>
    <row r="397" spans="1:33" ht="60" hidden="1" customHeight="1" x14ac:dyDescent="0.25">
      <c r="A397" s="14"/>
      <c r="B397" s="87" t="s">
        <v>418</v>
      </c>
      <c r="C397" s="182" t="s">
        <v>763</v>
      </c>
      <c r="D397" s="189" t="str">
        <f>VLOOKUP(D.sign_Data[[#This Row],[CÓDIGO]],Descripciones[[CÓDIGO]:[NOMBRE DE SERVICIO]],3,FALSE)</f>
        <v>D1. Parcelaciones y Condominios</v>
      </c>
      <c r="E397" s="87" t="s">
        <v>467</v>
      </c>
      <c r="F397" s="88" t="s">
        <v>764</v>
      </c>
      <c r="G397" s="88" t="s">
        <v>765</v>
      </c>
      <c r="H397" s="87" t="s">
        <v>500</v>
      </c>
      <c r="I397" s="89">
        <v>1</v>
      </c>
      <c r="J397" s="88" t="s">
        <v>766</v>
      </c>
      <c r="K397" s="102"/>
      <c r="L397" s="88" t="s">
        <v>624</v>
      </c>
      <c r="M397" s="89" t="s">
        <v>381</v>
      </c>
      <c r="N397" s="90">
        <v>0.5</v>
      </c>
      <c r="O397" s="27">
        <f>IFERROR(+VLOOKUP(M397,D.sign_Lista_Data[[RESPONSABLE]:[SOFTWARE 
VALOR HORA]],3,FALSE),"0")</f>
        <v>20263.424518743668</v>
      </c>
      <c r="P397" s="3">
        <f t="shared" si="12"/>
        <v>10131.712259371834</v>
      </c>
      <c r="Q397" s="11">
        <f>IFERROR(+VLOOKUP(M397,D.sign_Lista_Data[[RESPONSABLE]:[SOFTWARE 
VALOR HORA]],5,FALSE)*D.sign_Data[[#This Row],[TIEMPO (HORAS)]],0)</f>
        <v>2110.7733873691318</v>
      </c>
      <c r="R397" s="42">
        <f>IFERROR(+VLOOKUP(M397,D.sign_Lista_Data[[RESPONSABLE]:[SOFTWARE 
VALOR HORA]],8,FALSE)*D.sign_Data[[#This Row],[TIEMPO (HORAS)]],0)</f>
        <v>1705.4274435719917</v>
      </c>
      <c r="S397" s="99">
        <v>0</v>
      </c>
      <c r="T397" s="99">
        <v>0</v>
      </c>
      <c r="U397" s="3">
        <f t="shared" si="13"/>
        <v>13947.913090312959</v>
      </c>
      <c r="V397" s="100">
        <f>D.sign_Data[[#This Row],[TIEMPO (HORAS)]]*Gastos_Operativos[[#Totals],[GASTOS HORA]]</f>
        <v>13894.738536155201</v>
      </c>
      <c r="W397" s="3">
        <f>+D.sign_Data[[#This Row],[COSTO 
DIRECTO ($COP)]]+D.sign_Data[[#This Row],[PRORRATEO GASTOS ($COP)]]</f>
        <v>27842.65162646816</v>
      </c>
      <c r="X397" s="101">
        <v>0.1</v>
      </c>
      <c r="Y397" s="15">
        <f>+D.sign_Data[[#This Row],[COSTOS OPERACIONALES ($COP)]]*D.sign_Data[[#This Row],[DESFASE (%)]]</f>
        <v>2784.265162646816</v>
      </c>
      <c r="Z397" s="101">
        <v>0.2</v>
      </c>
      <c r="AA397" s="15">
        <f>+((D.sign_Data[[#This Row],[COSTOS OPERACIONALES ($COP)]]/(100%-D.sign_Data[[#This Row],[UTILIDAD (%)]])))-D.sign_Data[[#This Row],[COSTOS OPERACIONALES ($COP)]]</f>
        <v>6960.662906617039</v>
      </c>
      <c r="AB397" s="3">
        <f>+D.sign_Data[[#This Row],[COSTOS OPERACIONALES ($COP)]]+D.sign_Data[[#This Row],[DESFASE ($COP)]]+D.sign_Data[[#This Row],[UTILIDAD ($COP)]]</f>
        <v>37587.579695732013</v>
      </c>
      <c r="AC397" s="101">
        <v>0.05</v>
      </c>
      <c r="AD397" s="15">
        <f>+D.sign_Data[[#This Row],[VALOR NETO ($COP)]]/(100%-D.sign_Data[[#This Row],[MARGEN DE NEGOCIACIÓN (%)]])-D.sign_Data[[#This Row],[VALOR NETO ($COP)]]</f>
        <v>1978.2936681964202</v>
      </c>
      <c r="AE397" s="15">
        <f>+(D.sign_Data[[#This Row],[VALOR NETO ($COP)]]+D.sign_Data[[#This Row],[NEGOCIACIÓN ($COP)]])*1%</f>
        <v>395.65873363928432</v>
      </c>
      <c r="AF397" s="15">
        <f>+(D.sign_Data[[#This Row],[VALOR NETO ($COP)]]+D.sign_Data[[#This Row],[NEGOCIACIÓN ($COP)]])*1%</f>
        <v>395.65873363928432</v>
      </c>
      <c r="AG397" s="3">
        <f>+D.sign_Data[[#This Row],[VALOR NETO ($COP)]]+D.sign_Data[[#This Row],[NEGOCIACIÓN ($COP)]]+D.sign_Data[[#This Row],[ICA ($COP)]]+D.sign_Data[[#This Row],[4 * 1000 ($COP)]]</f>
        <v>40357.190831207001</v>
      </c>
    </row>
    <row r="398" spans="1:33" ht="60" hidden="1" customHeight="1" x14ac:dyDescent="0.25">
      <c r="A398" s="14"/>
      <c r="B398" s="87" t="s">
        <v>418</v>
      </c>
      <c r="C398" s="182" t="s">
        <v>763</v>
      </c>
      <c r="D398" s="189" t="str">
        <f>VLOOKUP(D.sign_Data[[#This Row],[CÓDIGO]],Descripciones[[CÓDIGO]:[NOMBRE DE SERVICIO]],3,FALSE)</f>
        <v>D1. Parcelaciones y Condominios</v>
      </c>
      <c r="E398" s="87" t="s">
        <v>467</v>
      </c>
      <c r="F398" s="88" t="s">
        <v>764</v>
      </c>
      <c r="G398" s="88" t="s">
        <v>765</v>
      </c>
      <c r="H398" s="87" t="s">
        <v>500</v>
      </c>
      <c r="I398" s="89">
        <v>1</v>
      </c>
      <c r="J398" s="88" t="s">
        <v>766</v>
      </c>
      <c r="K398" s="102"/>
      <c r="L398" s="88" t="s">
        <v>483</v>
      </c>
      <c r="M398" s="89" t="s">
        <v>381</v>
      </c>
      <c r="N398" s="90">
        <v>0.3</v>
      </c>
      <c r="O398" s="27">
        <f>IFERROR(+VLOOKUP(M398,D.sign_Lista_Data[[RESPONSABLE]:[SOFTWARE 
VALOR HORA]],3,FALSE),"0")</f>
        <v>20263.424518743668</v>
      </c>
      <c r="P398" s="3">
        <f t="shared" si="12"/>
        <v>6079.0273556231004</v>
      </c>
      <c r="Q398" s="11">
        <f>IFERROR(+VLOOKUP(M398,D.sign_Lista_Data[[RESPONSABLE]:[SOFTWARE 
VALOR HORA]],5,FALSE)*D.sign_Data[[#This Row],[TIEMPO (HORAS)]],0)</f>
        <v>1266.464032421479</v>
      </c>
      <c r="R398" s="42">
        <f>IFERROR(+VLOOKUP(M398,D.sign_Lista_Data[[RESPONSABLE]:[SOFTWARE 
VALOR HORA]],8,FALSE)*D.sign_Data[[#This Row],[TIEMPO (HORAS)]],0)</f>
        <v>1023.256466143195</v>
      </c>
      <c r="S398" s="99">
        <v>0</v>
      </c>
      <c r="T398" s="99">
        <v>0</v>
      </c>
      <c r="U398" s="3">
        <f t="shared" si="13"/>
        <v>8368.7478541877736</v>
      </c>
      <c r="V398" s="100">
        <f>D.sign_Data[[#This Row],[TIEMPO (HORAS)]]*Gastos_Operativos[[#Totals],[GASTOS HORA]]</f>
        <v>8336.8431216931203</v>
      </c>
      <c r="W398" s="3">
        <f>+D.sign_Data[[#This Row],[COSTO 
DIRECTO ($COP)]]+D.sign_Data[[#This Row],[PRORRATEO GASTOS ($COP)]]</f>
        <v>16705.590975880892</v>
      </c>
      <c r="X398" s="101">
        <v>0.1</v>
      </c>
      <c r="Y398" s="15">
        <f>+D.sign_Data[[#This Row],[COSTOS OPERACIONALES ($COP)]]*D.sign_Data[[#This Row],[DESFASE (%)]]</f>
        <v>1670.5590975880893</v>
      </c>
      <c r="Z398" s="101">
        <v>0.2</v>
      </c>
      <c r="AA398" s="15">
        <f>+((D.sign_Data[[#This Row],[COSTOS OPERACIONALES ($COP)]]/(100%-D.sign_Data[[#This Row],[UTILIDAD (%)]])))-D.sign_Data[[#This Row],[COSTOS OPERACIONALES ($COP)]]</f>
        <v>4176.3977439702212</v>
      </c>
      <c r="AB398" s="3">
        <f>+D.sign_Data[[#This Row],[COSTOS OPERACIONALES ($COP)]]+D.sign_Data[[#This Row],[DESFASE ($COP)]]+D.sign_Data[[#This Row],[UTILIDAD ($COP)]]</f>
        <v>22552.547817439201</v>
      </c>
      <c r="AC398" s="101">
        <v>0.05</v>
      </c>
      <c r="AD398" s="15">
        <f>+D.sign_Data[[#This Row],[VALOR NETO ($COP)]]/(100%-D.sign_Data[[#This Row],[MARGEN DE NEGOCIACIÓN (%)]])-D.sign_Data[[#This Row],[VALOR NETO ($COP)]]</f>
        <v>1186.9762009178521</v>
      </c>
      <c r="AE398" s="15">
        <f>+(D.sign_Data[[#This Row],[VALOR NETO ($COP)]]+D.sign_Data[[#This Row],[NEGOCIACIÓN ($COP)]])*1%</f>
        <v>237.39524018357054</v>
      </c>
      <c r="AF398" s="15">
        <f>+(D.sign_Data[[#This Row],[VALOR NETO ($COP)]]+D.sign_Data[[#This Row],[NEGOCIACIÓN ($COP)]])*1%</f>
        <v>237.39524018357054</v>
      </c>
      <c r="AG398" s="3">
        <f>+D.sign_Data[[#This Row],[VALOR NETO ($COP)]]+D.sign_Data[[#This Row],[NEGOCIACIÓN ($COP)]]+D.sign_Data[[#This Row],[ICA ($COP)]]+D.sign_Data[[#This Row],[4 * 1000 ($COP)]]</f>
        <v>24214.314498724194</v>
      </c>
    </row>
    <row r="399" spans="1:33" ht="60" hidden="1" customHeight="1" x14ac:dyDescent="0.25">
      <c r="A399" s="14"/>
      <c r="B399" s="87" t="s">
        <v>418</v>
      </c>
      <c r="C399" s="182" t="s">
        <v>763</v>
      </c>
      <c r="D399" s="189" t="str">
        <f>VLOOKUP(D.sign_Data[[#This Row],[CÓDIGO]],Descripciones[[CÓDIGO]:[NOMBRE DE SERVICIO]],3,FALSE)</f>
        <v>D1. Parcelaciones y Condominios</v>
      </c>
      <c r="E399" s="87" t="s">
        <v>467</v>
      </c>
      <c r="F399" s="88" t="s">
        <v>764</v>
      </c>
      <c r="G399" s="88" t="s">
        <v>765</v>
      </c>
      <c r="H399" s="87" t="s">
        <v>500</v>
      </c>
      <c r="I399" s="89">
        <v>1</v>
      </c>
      <c r="J399" s="88" t="s">
        <v>766</v>
      </c>
      <c r="K399" s="102"/>
      <c r="L399" s="88" t="s">
        <v>474</v>
      </c>
      <c r="M399" s="89" t="s">
        <v>381</v>
      </c>
      <c r="N399" s="90">
        <v>0.25</v>
      </c>
      <c r="O399" s="27">
        <f>IFERROR(+VLOOKUP(M399,D.sign_Lista_Data[[RESPONSABLE]:[SOFTWARE 
VALOR HORA]],3,FALSE),"0")</f>
        <v>20263.424518743668</v>
      </c>
      <c r="P399" s="3">
        <f t="shared" si="12"/>
        <v>5065.856129685917</v>
      </c>
      <c r="Q399" s="11">
        <f>IFERROR(+VLOOKUP(M399,D.sign_Lista_Data[[RESPONSABLE]:[SOFTWARE 
VALOR HORA]],5,FALSE)*D.sign_Data[[#This Row],[TIEMPO (HORAS)]],0)</f>
        <v>1055.3866936845659</v>
      </c>
      <c r="R399" s="42">
        <f>IFERROR(+VLOOKUP(M399,D.sign_Lista_Data[[RESPONSABLE]:[SOFTWARE 
VALOR HORA]],8,FALSE)*D.sign_Data[[#This Row],[TIEMPO (HORAS)]],0)</f>
        <v>852.71372178599586</v>
      </c>
      <c r="S399" s="99">
        <v>0</v>
      </c>
      <c r="T399" s="99">
        <v>0</v>
      </c>
      <c r="U399" s="3">
        <f t="shared" si="13"/>
        <v>6973.9565451564795</v>
      </c>
      <c r="V399" s="100">
        <f>D.sign_Data[[#This Row],[TIEMPO (HORAS)]]*Gastos_Operativos[[#Totals],[GASTOS HORA]]</f>
        <v>6947.3692680776003</v>
      </c>
      <c r="W399" s="3">
        <f>+D.sign_Data[[#This Row],[COSTO 
DIRECTO ($COP)]]+D.sign_Data[[#This Row],[PRORRATEO GASTOS ($COP)]]</f>
        <v>13921.32581323408</v>
      </c>
      <c r="X399" s="101">
        <v>0.1</v>
      </c>
      <c r="Y399" s="15">
        <f>+D.sign_Data[[#This Row],[COSTOS OPERACIONALES ($COP)]]*D.sign_Data[[#This Row],[DESFASE (%)]]</f>
        <v>1392.132581323408</v>
      </c>
      <c r="Z399" s="101">
        <v>0.2</v>
      </c>
      <c r="AA399" s="15">
        <f>+((D.sign_Data[[#This Row],[COSTOS OPERACIONALES ($COP)]]/(100%-D.sign_Data[[#This Row],[UTILIDAD (%)]])))-D.sign_Data[[#This Row],[COSTOS OPERACIONALES ($COP)]]</f>
        <v>3480.3314533085195</v>
      </c>
      <c r="AB399" s="3">
        <f>+D.sign_Data[[#This Row],[COSTOS OPERACIONALES ($COP)]]+D.sign_Data[[#This Row],[DESFASE ($COP)]]+D.sign_Data[[#This Row],[UTILIDAD ($COP)]]</f>
        <v>18793.789847866006</v>
      </c>
      <c r="AC399" s="101">
        <v>0.05</v>
      </c>
      <c r="AD399" s="15">
        <f>+D.sign_Data[[#This Row],[VALOR NETO ($COP)]]/(100%-D.sign_Data[[#This Row],[MARGEN DE NEGOCIACIÓN (%)]])-D.sign_Data[[#This Row],[VALOR NETO ($COP)]]</f>
        <v>989.14683409821009</v>
      </c>
      <c r="AE399" s="15">
        <f>+(D.sign_Data[[#This Row],[VALOR NETO ($COP)]]+D.sign_Data[[#This Row],[NEGOCIACIÓN ($COP)]])*1%</f>
        <v>197.82936681964216</v>
      </c>
      <c r="AF399" s="15">
        <f>+(D.sign_Data[[#This Row],[VALOR NETO ($COP)]]+D.sign_Data[[#This Row],[NEGOCIACIÓN ($COP)]])*1%</f>
        <v>197.82936681964216</v>
      </c>
      <c r="AG399" s="3">
        <f>+D.sign_Data[[#This Row],[VALOR NETO ($COP)]]+D.sign_Data[[#This Row],[NEGOCIACIÓN ($COP)]]+D.sign_Data[[#This Row],[ICA ($COP)]]+D.sign_Data[[#This Row],[4 * 1000 ($COP)]]</f>
        <v>20178.5954156035</v>
      </c>
    </row>
    <row r="400" spans="1:33" ht="60" hidden="1" customHeight="1" x14ac:dyDescent="0.25">
      <c r="A400" s="14"/>
      <c r="B400" s="87" t="s">
        <v>418</v>
      </c>
      <c r="C400" s="182" t="s">
        <v>763</v>
      </c>
      <c r="D400" s="189" t="str">
        <f>VLOOKUP(D.sign_Data[[#This Row],[CÓDIGO]],Descripciones[[CÓDIGO]:[NOMBRE DE SERVICIO]],3,FALSE)</f>
        <v>D1. Parcelaciones y Condominios</v>
      </c>
      <c r="E400" s="87" t="s">
        <v>467</v>
      </c>
      <c r="F400" s="88" t="s">
        <v>764</v>
      </c>
      <c r="G400" s="88" t="s">
        <v>765</v>
      </c>
      <c r="H400" s="87" t="s">
        <v>500</v>
      </c>
      <c r="I400" s="89">
        <v>1</v>
      </c>
      <c r="J400" s="88" t="s">
        <v>769</v>
      </c>
      <c r="K400" s="102"/>
      <c r="L400" s="88" t="s">
        <v>476</v>
      </c>
      <c r="M400" s="89" t="s">
        <v>381</v>
      </c>
      <c r="N400" s="90">
        <v>0.25</v>
      </c>
      <c r="O400" s="27">
        <f>IFERROR(+VLOOKUP(M400,D.sign_Lista_Data[[RESPONSABLE]:[SOFTWARE 
VALOR HORA]],3,FALSE),"0")</f>
        <v>20263.424518743668</v>
      </c>
      <c r="P400" s="3">
        <f t="shared" si="12"/>
        <v>5065.856129685917</v>
      </c>
      <c r="Q400" s="11">
        <f>IFERROR(+VLOOKUP(M400,D.sign_Lista_Data[[RESPONSABLE]:[SOFTWARE 
VALOR HORA]],5,FALSE)*D.sign_Data[[#This Row],[TIEMPO (HORAS)]],0)</f>
        <v>1055.3866936845659</v>
      </c>
      <c r="R400" s="42">
        <f>IFERROR(+VLOOKUP(M400,D.sign_Lista_Data[[RESPONSABLE]:[SOFTWARE 
VALOR HORA]],8,FALSE)*D.sign_Data[[#This Row],[TIEMPO (HORAS)]],0)</f>
        <v>852.71372178599586</v>
      </c>
      <c r="S400" s="99">
        <v>0</v>
      </c>
      <c r="T400" s="99">
        <v>0</v>
      </c>
      <c r="U400" s="3">
        <f t="shared" si="13"/>
        <v>6973.9565451564795</v>
      </c>
      <c r="V400" s="100">
        <f>D.sign_Data[[#This Row],[TIEMPO (HORAS)]]*Gastos_Operativos[[#Totals],[GASTOS HORA]]</f>
        <v>6947.3692680776003</v>
      </c>
      <c r="W400" s="3">
        <f>+D.sign_Data[[#This Row],[COSTO 
DIRECTO ($COP)]]+D.sign_Data[[#This Row],[PRORRATEO GASTOS ($COP)]]</f>
        <v>13921.32581323408</v>
      </c>
      <c r="X400" s="101">
        <v>0.1</v>
      </c>
      <c r="Y400" s="15">
        <f>+D.sign_Data[[#This Row],[COSTOS OPERACIONALES ($COP)]]*D.sign_Data[[#This Row],[DESFASE (%)]]</f>
        <v>1392.132581323408</v>
      </c>
      <c r="Z400" s="101">
        <v>0.2</v>
      </c>
      <c r="AA400" s="15">
        <f>+((D.sign_Data[[#This Row],[COSTOS OPERACIONALES ($COP)]]/(100%-D.sign_Data[[#This Row],[UTILIDAD (%)]])))-D.sign_Data[[#This Row],[COSTOS OPERACIONALES ($COP)]]</f>
        <v>3480.3314533085195</v>
      </c>
      <c r="AB400" s="3">
        <f>+D.sign_Data[[#This Row],[COSTOS OPERACIONALES ($COP)]]+D.sign_Data[[#This Row],[DESFASE ($COP)]]+D.sign_Data[[#This Row],[UTILIDAD ($COP)]]</f>
        <v>18793.789847866006</v>
      </c>
      <c r="AC400" s="101">
        <v>0.05</v>
      </c>
      <c r="AD400" s="15">
        <f>+D.sign_Data[[#This Row],[VALOR NETO ($COP)]]/(100%-D.sign_Data[[#This Row],[MARGEN DE NEGOCIACIÓN (%)]])-D.sign_Data[[#This Row],[VALOR NETO ($COP)]]</f>
        <v>989.14683409821009</v>
      </c>
      <c r="AE400" s="15">
        <f>+(D.sign_Data[[#This Row],[VALOR NETO ($COP)]]+D.sign_Data[[#This Row],[NEGOCIACIÓN ($COP)]])*1%</f>
        <v>197.82936681964216</v>
      </c>
      <c r="AF400" s="15">
        <f>+(D.sign_Data[[#This Row],[VALOR NETO ($COP)]]+D.sign_Data[[#This Row],[NEGOCIACIÓN ($COP)]])*1%</f>
        <v>197.82936681964216</v>
      </c>
      <c r="AG400" s="3">
        <f>+D.sign_Data[[#This Row],[VALOR NETO ($COP)]]+D.sign_Data[[#This Row],[NEGOCIACIÓN ($COP)]]+D.sign_Data[[#This Row],[ICA ($COP)]]+D.sign_Data[[#This Row],[4 * 1000 ($COP)]]</f>
        <v>20178.5954156035</v>
      </c>
    </row>
    <row r="401" spans="1:33" ht="60" hidden="1" customHeight="1" x14ac:dyDescent="0.25">
      <c r="A401" s="14"/>
      <c r="B401" s="87" t="s">
        <v>418</v>
      </c>
      <c r="C401" s="182" t="s">
        <v>763</v>
      </c>
      <c r="D401" s="189" t="str">
        <f>VLOOKUP(D.sign_Data[[#This Row],[CÓDIGO]],Descripciones[[CÓDIGO]:[NOMBRE DE SERVICIO]],3,FALSE)</f>
        <v>D1. Parcelaciones y Condominios</v>
      </c>
      <c r="E401" s="87" t="s">
        <v>467</v>
      </c>
      <c r="F401" s="88" t="s">
        <v>764</v>
      </c>
      <c r="G401" s="88" t="s">
        <v>765</v>
      </c>
      <c r="H401" s="87" t="s">
        <v>500</v>
      </c>
      <c r="I401" s="89">
        <v>1</v>
      </c>
      <c r="J401" s="88" t="s">
        <v>769</v>
      </c>
      <c r="K401" s="102"/>
      <c r="L401" s="88" t="s">
        <v>770</v>
      </c>
      <c r="M401" s="89" t="s">
        <v>381</v>
      </c>
      <c r="N401" s="90">
        <v>1</v>
      </c>
      <c r="O401" s="27">
        <f>IFERROR(+VLOOKUP(M401,D.sign_Lista_Data[[RESPONSABLE]:[SOFTWARE 
VALOR HORA]],3,FALSE),"0")</f>
        <v>20263.424518743668</v>
      </c>
      <c r="P401" s="3">
        <f t="shared" si="12"/>
        <v>20263.424518743668</v>
      </c>
      <c r="Q401" s="11">
        <f>IFERROR(+VLOOKUP(M401,D.sign_Lista_Data[[RESPONSABLE]:[SOFTWARE 
VALOR HORA]],5,FALSE)*D.sign_Data[[#This Row],[TIEMPO (HORAS)]],0)</f>
        <v>4221.5467747382636</v>
      </c>
      <c r="R401" s="42">
        <f>IFERROR(+VLOOKUP(M401,D.sign_Lista_Data[[RESPONSABLE]:[SOFTWARE 
VALOR HORA]],8,FALSE)*D.sign_Data[[#This Row],[TIEMPO (HORAS)]],0)</f>
        <v>3410.8548871439834</v>
      </c>
      <c r="S401" s="99">
        <v>0</v>
      </c>
      <c r="T401" s="99">
        <v>0</v>
      </c>
      <c r="U401" s="3">
        <f t="shared" si="13"/>
        <v>27895.826180625918</v>
      </c>
      <c r="V401" s="100">
        <f>D.sign_Data[[#This Row],[TIEMPO (HORAS)]]*Gastos_Operativos[[#Totals],[GASTOS HORA]]</f>
        <v>27789.477072310401</v>
      </c>
      <c r="W401" s="3">
        <f>+D.sign_Data[[#This Row],[COSTO 
DIRECTO ($COP)]]+D.sign_Data[[#This Row],[PRORRATEO GASTOS ($COP)]]</f>
        <v>55685.303252936319</v>
      </c>
      <c r="X401" s="101">
        <v>0.1</v>
      </c>
      <c r="Y401" s="15">
        <f>+D.sign_Data[[#This Row],[COSTOS OPERACIONALES ($COP)]]*D.sign_Data[[#This Row],[DESFASE (%)]]</f>
        <v>5568.5303252936319</v>
      </c>
      <c r="Z401" s="101">
        <v>0.2</v>
      </c>
      <c r="AA401" s="15">
        <f>+((D.sign_Data[[#This Row],[COSTOS OPERACIONALES ($COP)]]/(100%-D.sign_Data[[#This Row],[UTILIDAD (%)]])))-D.sign_Data[[#This Row],[COSTOS OPERACIONALES ($COP)]]</f>
        <v>13921.325813234078</v>
      </c>
      <c r="AB401" s="3">
        <f>+D.sign_Data[[#This Row],[COSTOS OPERACIONALES ($COP)]]+D.sign_Data[[#This Row],[DESFASE ($COP)]]+D.sign_Data[[#This Row],[UTILIDAD ($COP)]]</f>
        <v>75175.159391464025</v>
      </c>
      <c r="AC401" s="101">
        <v>0.05</v>
      </c>
      <c r="AD401" s="15">
        <f>+D.sign_Data[[#This Row],[VALOR NETO ($COP)]]/(100%-D.sign_Data[[#This Row],[MARGEN DE NEGOCIACIÓN (%)]])-D.sign_Data[[#This Row],[VALOR NETO ($COP)]]</f>
        <v>3956.5873363928404</v>
      </c>
      <c r="AE401" s="15">
        <f>+(D.sign_Data[[#This Row],[VALOR NETO ($COP)]]+D.sign_Data[[#This Row],[NEGOCIACIÓN ($COP)]])*1%</f>
        <v>791.31746727856864</v>
      </c>
      <c r="AF401" s="15">
        <f>+(D.sign_Data[[#This Row],[VALOR NETO ($COP)]]+D.sign_Data[[#This Row],[NEGOCIACIÓN ($COP)]])*1%</f>
        <v>791.31746727856864</v>
      </c>
      <c r="AG401" s="3">
        <f>+D.sign_Data[[#This Row],[VALOR NETO ($COP)]]+D.sign_Data[[#This Row],[NEGOCIACIÓN ($COP)]]+D.sign_Data[[#This Row],[ICA ($COP)]]+D.sign_Data[[#This Row],[4 * 1000 ($COP)]]</f>
        <v>80714.381662414002</v>
      </c>
    </row>
    <row r="402" spans="1:33" ht="60" hidden="1" customHeight="1" x14ac:dyDescent="0.25">
      <c r="A402" s="14"/>
      <c r="B402" s="87" t="s">
        <v>418</v>
      </c>
      <c r="C402" s="182" t="s">
        <v>763</v>
      </c>
      <c r="D402" s="189" t="str">
        <f>VLOOKUP(D.sign_Data[[#This Row],[CÓDIGO]],Descripciones[[CÓDIGO]:[NOMBRE DE SERVICIO]],3,FALSE)</f>
        <v>D1. Parcelaciones y Condominios</v>
      </c>
      <c r="E402" s="87" t="s">
        <v>467</v>
      </c>
      <c r="F402" s="88" t="s">
        <v>764</v>
      </c>
      <c r="G402" s="88" t="s">
        <v>765</v>
      </c>
      <c r="H402" s="87" t="s">
        <v>500</v>
      </c>
      <c r="I402" s="89">
        <v>1</v>
      </c>
      <c r="J402" s="88" t="s">
        <v>769</v>
      </c>
      <c r="K402" s="102"/>
      <c r="L402" s="88" t="s">
        <v>624</v>
      </c>
      <c r="M402" s="89" t="s">
        <v>381</v>
      </c>
      <c r="N402" s="90">
        <v>1</v>
      </c>
      <c r="O402" s="27">
        <f>IFERROR(+VLOOKUP(M402,D.sign_Lista_Data[[RESPONSABLE]:[SOFTWARE 
VALOR HORA]],3,FALSE),"0")</f>
        <v>20263.424518743668</v>
      </c>
      <c r="P402" s="3">
        <f t="shared" si="12"/>
        <v>20263.424518743668</v>
      </c>
      <c r="Q402" s="11">
        <f>IFERROR(+VLOOKUP(M402,D.sign_Lista_Data[[RESPONSABLE]:[SOFTWARE 
VALOR HORA]],5,FALSE)*D.sign_Data[[#This Row],[TIEMPO (HORAS)]],0)</f>
        <v>4221.5467747382636</v>
      </c>
      <c r="R402" s="42">
        <f>IFERROR(+VLOOKUP(M402,D.sign_Lista_Data[[RESPONSABLE]:[SOFTWARE 
VALOR HORA]],8,FALSE)*D.sign_Data[[#This Row],[TIEMPO (HORAS)]],0)</f>
        <v>3410.8548871439834</v>
      </c>
      <c r="S402" s="99">
        <v>0</v>
      </c>
      <c r="T402" s="99">
        <v>0</v>
      </c>
      <c r="U402" s="3">
        <f t="shared" si="13"/>
        <v>27895.826180625918</v>
      </c>
      <c r="V402" s="100">
        <f>D.sign_Data[[#This Row],[TIEMPO (HORAS)]]*Gastos_Operativos[[#Totals],[GASTOS HORA]]</f>
        <v>27789.477072310401</v>
      </c>
      <c r="W402" s="3">
        <f>+D.sign_Data[[#This Row],[COSTO 
DIRECTO ($COP)]]+D.sign_Data[[#This Row],[PRORRATEO GASTOS ($COP)]]</f>
        <v>55685.303252936319</v>
      </c>
      <c r="X402" s="101">
        <v>0.1</v>
      </c>
      <c r="Y402" s="15">
        <f>+D.sign_Data[[#This Row],[COSTOS OPERACIONALES ($COP)]]*D.sign_Data[[#This Row],[DESFASE (%)]]</f>
        <v>5568.5303252936319</v>
      </c>
      <c r="Z402" s="101">
        <v>0.2</v>
      </c>
      <c r="AA402" s="15">
        <f>+((D.sign_Data[[#This Row],[COSTOS OPERACIONALES ($COP)]]/(100%-D.sign_Data[[#This Row],[UTILIDAD (%)]])))-D.sign_Data[[#This Row],[COSTOS OPERACIONALES ($COP)]]</f>
        <v>13921.325813234078</v>
      </c>
      <c r="AB402" s="3">
        <f>+D.sign_Data[[#This Row],[COSTOS OPERACIONALES ($COP)]]+D.sign_Data[[#This Row],[DESFASE ($COP)]]+D.sign_Data[[#This Row],[UTILIDAD ($COP)]]</f>
        <v>75175.159391464025</v>
      </c>
      <c r="AC402" s="101">
        <v>0.05</v>
      </c>
      <c r="AD402" s="15">
        <f>+D.sign_Data[[#This Row],[VALOR NETO ($COP)]]/(100%-D.sign_Data[[#This Row],[MARGEN DE NEGOCIACIÓN (%)]])-D.sign_Data[[#This Row],[VALOR NETO ($COP)]]</f>
        <v>3956.5873363928404</v>
      </c>
      <c r="AE402" s="15">
        <f>+(D.sign_Data[[#This Row],[VALOR NETO ($COP)]]+D.sign_Data[[#This Row],[NEGOCIACIÓN ($COP)]])*1%</f>
        <v>791.31746727856864</v>
      </c>
      <c r="AF402" s="15">
        <f>+(D.sign_Data[[#This Row],[VALOR NETO ($COP)]]+D.sign_Data[[#This Row],[NEGOCIACIÓN ($COP)]])*1%</f>
        <v>791.31746727856864</v>
      </c>
      <c r="AG402" s="3">
        <f>+D.sign_Data[[#This Row],[VALOR NETO ($COP)]]+D.sign_Data[[#This Row],[NEGOCIACIÓN ($COP)]]+D.sign_Data[[#This Row],[ICA ($COP)]]+D.sign_Data[[#This Row],[4 * 1000 ($COP)]]</f>
        <v>80714.381662414002</v>
      </c>
    </row>
    <row r="403" spans="1:33" ht="60" hidden="1" customHeight="1" x14ac:dyDescent="0.25">
      <c r="A403" s="14"/>
      <c r="B403" s="87" t="s">
        <v>418</v>
      </c>
      <c r="C403" s="182" t="s">
        <v>763</v>
      </c>
      <c r="D403" s="189" t="str">
        <f>VLOOKUP(D.sign_Data[[#This Row],[CÓDIGO]],Descripciones[[CÓDIGO]:[NOMBRE DE SERVICIO]],3,FALSE)</f>
        <v>D1. Parcelaciones y Condominios</v>
      </c>
      <c r="E403" s="87" t="s">
        <v>467</v>
      </c>
      <c r="F403" s="88" t="s">
        <v>764</v>
      </c>
      <c r="G403" s="88" t="s">
        <v>765</v>
      </c>
      <c r="H403" s="87" t="s">
        <v>500</v>
      </c>
      <c r="I403" s="89">
        <v>1</v>
      </c>
      <c r="J403" s="88" t="s">
        <v>769</v>
      </c>
      <c r="K403" s="102"/>
      <c r="L403" s="88" t="s">
        <v>733</v>
      </c>
      <c r="M403" s="89" t="s">
        <v>381</v>
      </c>
      <c r="N403" s="90">
        <v>1</v>
      </c>
      <c r="O403" s="27">
        <f>IFERROR(+VLOOKUP(M403,D.sign_Lista_Data[[RESPONSABLE]:[SOFTWARE 
VALOR HORA]],3,FALSE),"0")</f>
        <v>20263.424518743668</v>
      </c>
      <c r="P403" s="3">
        <f t="shared" si="12"/>
        <v>20263.424518743668</v>
      </c>
      <c r="Q403" s="11">
        <f>IFERROR(+VLOOKUP(M403,D.sign_Lista_Data[[RESPONSABLE]:[SOFTWARE 
VALOR HORA]],5,FALSE)*D.sign_Data[[#This Row],[TIEMPO (HORAS)]],0)</f>
        <v>4221.5467747382636</v>
      </c>
      <c r="R403" s="42">
        <f>IFERROR(+VLOOKUP(M403,D.sign_Lista_Data[[RESPONSABLE]:[SOFTWARE 
VALOR HORA]],8,FALSE)*D.sign_Data[[#This Row],[TIEMPO (HORAS)]],0)</f>
        <v>3410.8548871439834</v>
      </c>
      <c r="S403" s="99">
        <v>0</v>
      </c>
      <c r="T403" s="99">
        <v>0</v>
      </c>
      <c r="U403" s="3">
        <f t="shared" si="13"/>
        <v>27895.826180625918</v>
      </c>
      <c r="V403" s="100">
        <f>D.sign_Data[[#This Row],[TIEMPO (HORAS)]]*Gastos_Operativos[[#Totals],[GASTOS HORA]]</f>
        <v>27789.477072310401</v>
      </c>
      <c r="W403" s="3">
        <f>+D.sign_Data[[#This Row],[COSTO 
DIRECTO ($COP)]]+D.sign_Data[[#This Row],[PRORRATEO GASTOS ($COP)]]</f>
        <v>55685.303252936319</v>
      </c>
      <c r="X403" s="101">
        <v>0.1</v>
      </c>
      <c r="Y403" s="15">
        <f>+D.sign_Data[[#This Row],[COSTOS OPERACIONALES ($COP)]]*D.sign_Data[[#This Row],[DESFASE (%)]]</f>
        <v>5568.5303252936319</v>
      </c>
      <c r="Z403" s="101">
        <v>0.2</v>
      </c>
      <c r="AA403" s="15">
        <f>+((D.sign_Data[[#This Row],[COSTOS OPERACIONALES ($COP)]]/(100%-D.sign_Data[[#This Row],[UTILIDAD (%)]])))-D.sign_Data[[#This Row],[COSTOS OPERACIONALES ($COP)]]</f>
        <v>13921.325813234078</v>
      </c>
      <c r="AB403" s="3">
        <f>+D.sign_Data[[#This Row],[COSTOS OPERACIONALES ($COP)]]+D.sign_Data[[#This Row],[DESFASE ($COP)]]+D.sign_Data[[#This Row],[UTILIDAD ($COP)]]</f>
        <v>75175.159391464025</v>
      </c>
      <c r="AC403" s="101">
        <v>0.05</v>
      </c>
      <c r="AD403" s="15">
        <f>+D.sign_Data[[#This Row],[VALOR NETO ($COP)]]/(100%-D.sign_Data[[#This Row],[MARGEN DE NEGOCIACIÓN (%)]])-D.sign_Data[[#This Row],[VALOR NETO ($COP)]]</f>
        <v>3956.5873363928404</v>
      </c>
      <c r="AE403" s="15">
        <f>+(D.sign_Data[[#This Row],[VALOR NETO ($COP)]]+D.sign_Data[[#This Row],[NEGOCIACIÓN ($COP)]])*1%</f>
        <v>791.31746727856864</v>
      </c>
      <c r="AF403" s="15">
        <f>+(D.sign_Data[[#This Row],[VALOR NETO ($COP)]]+D.sign_Data[[#This Row],[NEGOCIACIÓN ($COP)]])*1%</f>
        <v>791.31746727856864</v>
      </c>
      <c r="AG403" s="3">
        <f>+D.sign_Data[[#This Row],[VALOR NETO ($COP)]]+D.sign_Data[[#This Row],[NEGOCIACIÓN ($COP)]]+D.sign_Data[[#This Row],[ICA ($COP)]]+D.sign_Data[[#This Row],[4 * 1000 ($COP)]]</f>
        <v>80714.381662414002</v>
      </c>
    </row>
    <row r="404" spans="1:33" ht="60" hidden="1" customHeight="1" x14ac:dyDescent="0.25">
      <c r="A404" s="14"/>
      <c r="B404" s="87" t="s">
        <v>418</v>
      </c>
      <c r="C404" s="182" t="s">
        <v>763</v>
      </c>
      <c r="D404" s="189" t="str">
        <f>VLOOKUP(D.sign_Data[[#This Row],[CÓDIGO]],Descripciones[[CÓDIGO]:[NOMBRE DE SERVICIO]],3,FALSE)</f>
        <v>D1. Parcelaciones y Condominios</v>
      </c>
      <c r="E404" s="87" t="s">
        <v>467</v>
      </c>
      <c r="F404" s="88" t="s">
        <v>764</v>
      </c>
      <c r="G404" s="88" t="s">
        <v>765</v>
      </c>
      <c r="H404" s="87" t="s">
        <v>500</v>
      </c>
      <c r="I404" s="89">
        <v>1</v>
      </c>
      <c r="J404" s="88" t="s">
        <v>769</v>
      </c>
      <c r="K404" s="102"/>
      <c r="L404" s="88" t="s">
        <v>771</v>
      </c>
      <c r="M404" s="89" t="s">
        <v>381</v>
      </c>
      <c r="N404" s="90">
        <v>0.3</v>
      </c>
      <c r="O404" s="27">
        <f>IFERROR(+VLOOKUP(M404,D.sign_Lista_Data[[RESPONSABLE]:[SOFTWARE 
VALOR HORA]],3,FALSE),"0")</f>
        <v>20263.424518743668</v>
      </c>
      <c r="P404" s="3">
        <f t="shared" si="12"/>
        <v>6079.0273556231004</v>
      </c>
      <c r="Q404" s="11">
        <f>IFERROR(+VLOOKUP(M404,D.sign_Lista_Data[[RESPONSABLE]:[SOFTWARE 
VALOR HORA]],5,FALSE)*D.sign_Data[[#This Row],[TIEMPO (HORAS)]],0)</f>
        <v>1266.464032421479</v>
      </c>
      <c r="R404" s="42">
        <f>IFERROR(+VLOOKUP(M404,D.sign_Lista_Data[[RESPONSABLE]:[SOFTWARE 
VALOR HORA]],8,FALSE)*D.sign_Data[[#This Row],[TIEMPO (HORAS)]],0)</f>
        <v>1023.256466143195</v>
      </c>
      <c r="S404" s="99">
        <v>0</v>
      </c>
      <c r="T404" s="99">
        <v>0</v>
      </c>
      <c r="U404" s="3">
        <f t="shared" si="13"/>
        <v>8368.7478541877736</v>
      </c>
      <c r="V404" s="100">
        <f>D.sign_Data[[#This Row],[TIEMPO (HORAS)]]*Gastos_Operativos[[#Totals],[GASTOS HORA]]</f>
        <v>8336.8431216931203</v>
      </c>
      <c r="W404" s="3">
        <f>+D.sign_Data[[#This Row],[COSTO 
DIRECTO ($COP)]]+D.sign_Data[[#This Row],[PRORRATEO GASTOS ($COP)]]</f>
        <v>16705.590975880892</v>
      </c>
      <c r="X404" s="101">
        <v>0.1</v>
      </c>
      <c r="Y404" s="15">
        <f>+D.sign_Data[[#This Row],[COSTOS OPERACIONALES ($COP)]]*D.sign_Data[[#This Row],[DESFASE (%)]]</f>
        <v>1670.5590975880893</v>
      </c>
      <c r="Z404" s="101">
        <v>0.2</v>
      </c>
      <c r="AA404" s="15">
        <f>+((D.sign_Data[[#This Row],[COSTOS OPERACIONALES ($COP)]]/(100%-D.sign_Data[[#This Row],[UTILIDAD (%)]])))-D.sign_Data[[#This Row],[COSTOS OPERACIONALES ($COP)]]</f>
        <v>4176.3977439702212</v>
      </c>
      <c r="AB404" s="3">
        <f>+D.sign_Data[[#This Row],[COSTOS OPERACIONALES ($COP)]]+D.sign_Data[[#This Row],[DESFASE ($COP)]]+D.sign_Data[[#This Row],[UTILIDAD ($COP)]]</f>
        <v>22552.547817439201</v>
      </c>
      <c r="AC404" s="101">
        <v>0.05</v>
      </c>
      <c r="AD404" s="15">
        <f>+D.sign_Data[[#This Row],[VALOR NETO ($COP)]]/(100%-D.sign_Data[[#This Row],[MARGEN DE NEGOCIACIÓN (%)]])-D.sign_Data[[#This Row],[VALOR NETO ($COP)]]</f>
        <v>1186.9762009178521</v>
      </c>
      <c r="AE404" s="15">
        <f>+(D.sign_Data[[#This Row],[VALOR NETO ($COP)]]+D.sign_Data[[#This Row],[NEGOCIACIÓN ($COP)]])*1%</f>
        <v>237.39524018357054</v>
      </c>
      <c r="AF404" s="15">
        <f>+(D.sign_Data[[#This Row],[VALOR NETO ($COP)]]+D.sign_Data[[#This Row],[NEGOCIACIÓN ($COP)]])*1%</f>
        <v>237.39524018357054</v>
      </c>
      <c r="AG404" s="3">
        <f>+D.sign_Data[[#This Row],[VALOR NETO ($COP)]]+D.sign_Data[[#This Row],[NEGOCIACIÓN ($COP)]]+D.sign_Data[[#This Row],[ICA ($COP)]]+D.sign_Data[[#This Row],[4 * 1000 ($COP)]]</f>
        <v>24214.314498724194</v>
      </c>
    </row>
    <row r="405" spans="1:33" ht="60" hidden="1" customHeight="1" x14ac:dyDescent="0.25">
      <c r="A405" s="14"/>
      <c r="B405" s="87" t="s">
        <v>418</v>
      </c>
      <c r="C405" s="182" t="s">
        <v>763</v>
      </c>
      <c r="D405" s="189" t="str">
        <f>VLOOKUP(D.sign_Data[[#This Row],[CÓDIGO]],Descripciones[[CÓDIGO]:[NOMBRE DE SERVICIO]],3,FALSE)</f>
        <v>D1. Parcelaciones y Condominios</v>
      </c>
      <c r="E405" s="87" t="s">
        <v>467</v>
      </c>
      <c r="F405" s="88" t="s">
        <v>764</v>
      </c>
      <c r="G405" s="88" t="s">
        <v>765</v>
      </c>
      <c r="H405" s="87" t="s">
        <v>500</v>
      </c>
      <c r="I405" s="89">
        <v>1</v>
      </c>
      <c r="J405" s="88" t="s">
        <v>769</v>
      </c>
      <c r="K405" s="102"/>
      <c r="L405" s="88" t="s">
        <v>483</v>
      </c>
      <c r="M405" s="89" t="s">
        <v>381</v>
      </c>
      <c r="N405" s="90">
        <v>0.2</v>
      </c>
      <c r="O405" s="27">
        <f>IFERROR(+VLOOKUP(M405,D.sign_Lista_Data[[RESPONSABLE]:[SOFTWARE 
VALOR HORA]],3,FALSE),"0")</f>
        <v>20263.424518743668</v>
      </c>
      <c r="P405" s="3">
        <f t="shared" si="12"/>
        <v>4052.6849037487336</v>
      </c>
      <c r="Q405" s="11">
        <f>IFERROR(+VLOOKUP(M405,D.sign_Lista_Data[[RESPONSABLE]:[SOFTWARE 
VALOR HORA]],5,FALSE)*D.sign_Data[[#This Row],[TIEMPO (HORAS)]],0)</f>
        <v>844.30935494765276</v>
      </c>
      <c r="R405" s="42">
        <f>IFERROR(+VLOOKUP(M405,D.sign_Lista_Data[[RESPONSABLE]:[SOFTWARE 
VALOR HORA]],8,FALSE)*D.sign_Data[[#This Row],[TIEMPO (HORAS)]],0)</f>
        <v>682.17097742879673</v>
      </c>
      <c r="S405" s="99">
        <v>0</v>
      </c>
      <c r="T405" s="99">
        <v>0</v>
      </c>
      <c r="U405" s="3">
        <f t="shared" si="13"/>
        <v>5579.1652361251827</v>
      </c>
      <c r="V405" s="100">
        <f>D.sign_Data[[#This Row],[TIEMPO (HORAS)]]*Gastos_Operativos[[#Totals],[GASTOS HORA]]</f>
        <v>5557.8954144620802</v>
      </c>
      <c r="W405" s="3">
        <f>+D.sign_Data[[#This Row],[COSTO 
DIRECTO ($COP)]]+D.sign_Data[[#This Row],[PRORRATEO GASTOS ($COP)]]</f>
        <v>11137.060650587264</v>
      </c>
      <c r="X405" s="101">
        <v>0.1</v>
      </c>
      <c r="Y405" s="15">
        <f>+D.sign_Data[[#This Row],[COSTOS OPERACIONALES ($COP)]]*D.sign_Data[[#This Row],[DESFASE (%)]]</f>
        <v>1113.7060650587264</v>
      </c>
      <c r="Z405" s="101">
        <v>0.2</v>
      </c>
      <c r="AA405" s="15">
        <f>+((D.sign_Data[[#This Row],[COSTOS OPERACIONALES ($COP)]]/(100%-D.sign_Data[[#This Row],[UTILIDAD (%)]])))-D.sign_Data[[#This Row],[COSTOS OPERACIONALES ($COP)]]</f>
        <v>2784.265162646816</v>
      </c>
      <c r="AB405" s="3">
        <f>+D.sign_Data[[#This Row],[COSTOS OPERACIONALES ($COP)]]+D.sign_Data[[#This Row],[DESFASE ($COP)]]+D.sign_Data[[#This Row],[UTILIDAD ($COP)]]</f>
        <v>15035.031878292806</v>
      </c>
      <c r="AC405" s="101">
        <v>0.05</v>
      </c>
      <c r="AD405" s="15">
        <f>+D.sign_Data[[#This Row],[VALOR NETO ($COP)]]/(100%-D.sign_Data[[#This Row],[MARGEN DE NEGOCIACIÓN (%)]])-D.sign_Data[[#This Row],[VALOR NETO ($COP)]]</f>
        <v>791.31746727856989</v>
      </c>
      <c r="AE405" s="15">
        <f>+(D.sign_Data[[#This Row],[VALOR NETO ($COP)]]+D.sign_Data[[#This Row],[NEGOCIACIÓN ($COP)]])*1%</f>
        <v>158.26349345571376</v>
      </c>
      <c r="AF405" s="15">
        <f>+(D.sign_Data[[#This Row],[VALOR NETO ($COP)]]+D.sign_Data[[#This Row],[NEGOCIACIÓN ($COP)]])*1%</f>
        <v>158.26349345571376</v>
      </c>
      <c r="AG405" s="3">
        <f>+D.sign_Data[[#This Row],[VALOR NETO ($COP)]]+D.sign_Data[[#This Row],[NEGOCIACIÓN ($COP)]]+D.sign_Data[[#This Row],[ICA ($COP)]]+D.sign_Data[[#This Row],[4 * 1000 ($COP)]]</f>
        <v>16142.876332482803</v>
      </c>
    </row>
    <row r="406" spans="1:33" ht="60" hidden="1" customHeight="1" x14ac:dyDescent="0.25">
      <c r="A406" s="14"/>
      <c r="B406" s="87" t="s">
        <v>418</v>
      </c>
      <c r="C406" s="182" t="s">
        <v>763</v>
      </c>
      <c r="D406" s="189" t="str">
        <f>VLOOKUP(D.sign_Data[[#This Row],[CÓDIGO]],Descripciones[[CÓDIGO]:[NOMBRE DE SERVICIO]],3,FALSE)</f>
        <v>D1. Parcelaciones y Condominios</v>
      </c>
      <c r="E406" s="87" t="s">
        <v>467</v>
      </c>
      <c r="F406" s="88" t="s">
        <v>764</v>
      </c>
      <c r="G406" s="88" t="s">
        <v>765</v>
      </c>
      <c r="H406" s="87" t="s">
        <v>500</v>
      </c>
      <c r="I406" s="89">
        <v>1</v>
      </c>
      <c r="J406" s="88" t="s">
        <v>769</v>
      </c>
      <c r="K406" s="102"/>
      <c r="L406" s="88" t="s">
        <v>474</v>
      </c>
      <c r="M406" s="89" t="s">
        <v>381</v>
      </c>
      <c r="N406" s="90">
        <v>0.3</v>
      </c>
      <c r="O406" s="27">
        <f>IFERROR(+VLOOKUP(M406,D.sign_Lista_Data[[RESPONSABLE]:[SOFTWARE 
VALOR HORA]],3,FALSE),"0")</f>
        <v>20263.424518743668</v>
      </c>
      <c r="P406" s="3">
        <f t="shared" si="12"/>
        <v>6079.0273556231004</v>
      </c>
      <c r="Q406" s="11">
        <f>IFERROR(+VLOOKUP(M406,D.sign_Lista_Data[[RESPONSABLE]:[SOFTWARE 
VALOR HORA]],5,FALSE)*D.sign_Data[[#This Row],[TIEMPO (HORAS)]],0)</f>
        <v>1266.464032421479</v>
      </c>
      <c r="R406" s="42">
        <f>IFERROR(+VLOOKUP(M406,D.sign_Lista_Data[[RESPONSABLE]:[SOFTWARE 
VALOR HORA]],8,FALSE)*D.sign_Data[[#This Row],[TIEMPO (HORAS)]],0)</f>
        <v>1023.256466143195</v>
      </c>
      <c r="S406" s="99">
        <v>0</v>
      </c>
      <c r="T406" s="99">
        <v>0</v>
      </c>
      <c r="U406" s="3">
        <f t="shared" si="13"/>
        <v>8368.7478541877736</v>
      </c>
      <c r="V406" s="100">
        <f>D.sign_Data[[#This Row],[TIEMPO (HORAS)]]*Gastos_Operativos[[#Totals],[GASTOS HORA]]</f>
        <v>8336.8431216931203</v>
      </c>
      <c r="W406" s="3">
        <f>+D.sign_Data[[#This Row],[COSTO 
DIRECTO ($COP)]]+D.sign_Data[[#This Row],[PRORRATEO GASTOS ($COP)]]</f>
        <v>16705.590975880892</v>
      </c>
      <c r="X406" s="101">
        <v>0.1</v>
      </c>
      <c r="Y406" s="15">
        <f>+D.sign_Data[[#This Row],[COSTOS OPERACIONALES ($COP)]]*D.sign_Data[[#This Row],[DESFASE (%)]]</f>
        <v>1670.5590975880893</v>
      </c>
      <c r="Z406" s="101">
        <v>0.2</v>
      </c>
      <c r="AA406" s="15">
        <f>+((D.sign_Data[[#This Row],[COSTOS OPERACIONALES ($COP)]]/(100%-D.sign_Data[[#This Row],[UTILIDAD (%)]])))-D.sign_Data[[#This Row],[COSTOS OPERACIONALES ($COP)]]</f>
        <v>4176.3977439702212</v>
      </c>
      <c r="AB406" s="3">
        <f>+D.sign_Data[[#This Row],[COSTOS OPERACIONALES ($COP)]]+D.sign_Data[[#This Row],[DESFASE ($COP)]]+D.sign_Data[[#This Row],[UTILIDAD ($COP)]]</f>
        <v>22552.547817439201</v>
      </c>
      <c r="AC406" s="101">
        <v>0.05</v>
      </c>
      <c r="AD406" s="15">
        <f>+D.sign_Data[[#This Row],[VALOR NETO ($COP)]]/(100%-D.sign_Data[[#This Row],[MARGEN DE NEGOCIACIÓN (%)]])-D.sign_Data[[#This Row],[VALOR NETO ($COP)]]</f>
        <v>1186.9762009178521</v>
      </c>
      <c r="AE406" s="15">
        <f>+(D.sign_Data[[#This Row],[VALOR NETO ($COP)]]+D.sign_Data[[#This Row],[NEGOCIACIÓN ($COP)]])*1%</f>
        <v>237.39524018357054</v>
      </c>
      <c r="AF406" s="15">
        <f>+(D.sign_Data[[#This Row],[VALOR NETO ($COP)]]+D.sign_Data[[#This Row],[NEGOCIACIÓN ($COP)]])*1%</f>
        <v>237.39524018357054</v>
      </c>
      <c r="AG406" s="3">
        <f>+D.sign_Data[[#This Row],[VALOR NETO ($COP)]]+D.sign_Data[[#This Row],[NEGOCIACIÓN ($COP)]]+D.sign_Data[[#This Row],[ICA ($COP)]]+D.sign_Data[[#This Row],[4 * 1000 ($COP)]]</f>
        <v>24214.314498724194</v>
      </c>
    </row>
    <row r="407" spans="1:33" ht="60" hidden="1" customHeight="1" x14ac:dyDescent="0.25">
      <c r="A407" s="14"/>
      <c r="B407" s="87" t="s">
        <v>418</v>
      </c>
      <c r="C407" s="182" t="s">
        <v>763</v>
      </c>
      <c r="D407" s="189" t="str">
        <f>VLOOKUP(D.sign_Data[[#This Row],[CÓDIGO]],Descripciones[[CÓDIGO]:[NOMBRE DE SERVICIO]],3,FALSE)</f>
        <v>D1. Parcelaciones y Condominios</v>
      </c>
      <c r="E407" s="87" t="s">
        <v>467</v>
      </c>
      <c r="F407" s="88" t="s">
        <v>764</v>
      </c>
      <c r="G407" s="88" t="s">
        <v>765</v>
      </c>
      <c r="H407" s="87" t="s">
        <v>500</v>
      </c>
      <c r="I407" s="89">
        <v>1</v>
      </c>
      <c r="J407" s="88" t="s">
        <v>772</v>
      </c>
      <c r="K407" s="102"/>
      <c r="L407" s="88" t="s">
        <v>773</v>
      </c>
      <c r="M407" s="89" t="s">
        <v>381</v>
      </c>
      <c r="N407" s="90">
        <v>0.3</v>
      </c>
      <c r="O407" s="27">
        <f>IFERROR(+VLOOKUP(M407,D.sign_Lista_Data[[RESPONSABLE]:[SOFTWARE 
VALOR HORA]],3,FALSE),"0")</f>
        <v>20263.424518743668</v>
      </c>
      <c r="P407" s="3">
        <f t="shared" si="12"/>
        <v>6079.0273556231004</v>
      </c>
      <c r="Q407" s="11">
        <f>IFERROR(+VLOOKUP(M407,D.sign_Lista_Data[[RESPONSABLE]:[SOFTWARE 
VALOR HORA]],5,FALSE)*D.sign_Data[[#This Row],[TIEMPO (HORAS)]],0)</f>
        <v>1266.464032421479</v>
      </c>
      <c r="R407" s="42">
        <f>IFERROR(+VLOOKUP(M407,D.sign_Lista_Data[[RESPONSABLE]:[SOFTWARE 
VALOR HORA]],8,FALSE)*D.sign_Data[[#This Row],[TIEMPO (HORAS)]],0)</f>
        <v>1023.256466143195</v>
      </c>
      <c r="S407" s="99">
        <v>0</v>
      </c>
      <c r="T407" s="99">
        <v>0</v>
      </c>
      <c r="U407" s="3">
        <f t="shared" si="13"/>
        <v>8368.7478541877736</v>
      </c>
      <c r="V407" s="100">
        <f>D.sign_Data[[#This Row],[TIEMPO (HORAS)]]*Gastos_Operativos[[#Totals],[GASTOS HORA]]</f>
        <v>8336.8431216931203</v>
      </c>
      <c r="W407" s="3">
        <f>+D.sign_Data[[#This Row],[COSTO 
DIRECTO ($COP)]]+D.sign_Data[[#This Row],[PRORRATEO GASTOS ($COP)]]</f>
        <v>16705.590975880892</v>
      </c>
      <c r="X407" s="101">
        <v>0.1</v>
      </c>
      <c r="Y407" s="15">
        <f>+D.sign_Data[[#This Row],[COSTOS OPERACIONALES ($COP)]]*D.sign_Data[[#This Row],[DESFASE (%)]]</f>
        <v>1670.5590975880893</v>
      </c>
      <c r="Z407" s="101">
        <v>0.2</v>
      </c>
      <c r="AA407" s="15">
        <f>+((D.sign_Data[[#This Row],[COSTOS OPERACIONALES ($COP)]]/(100%-D.sign_Data[[#This Row],[UTILIDAD (%)]])))-D.sign_Data[[#This Row],[COSTOS OPERACIONALES ($COP)]]</f>
        <v>4176.3977439702212</v>
      </c>
      <c r="AB407" s="3">
        <f>+D.sign_Data[[#This Row],[COSTOS OPERACIONALES ($COP)]]+D.sign_Data[[#This Row],[DESFASE ($COP)]]+D.sign_Data[[#This Row],[UTILIDAD ($COP)]]</f>
        <v>22552.547817439201</v>
      </c>
      <c r="AC407" s="101">
        <v>0.05</v>
      </c>
      <c r="AD407" s="15">
        <f>+D.sign_Data[[#This Row],[VALOR NETO ($COP)]]/(100%-D.sign_Data[[#This Row],[MARGEN DE NEGOCIACIÓN (%)]])-D.sign_Data[[#This Row],[VALOR NETO ($COP)]]</f>
        <v>1186.9762009178521</v>
      </c>
      <c r="AE407" s="15">
        <f>+(D.sign_Data[[#This Row],[VALOR NETO ($COP)]]+D.sign_Data[[#This Row],[NEGOCIACIÓN ($COP)]])*1%</f>
        <v>237.39524018357054</v>
      </c>
      <c r="AF407" s="15">
        <f>+(D.sign_Data[[#This Row],[VALOR NETO ($COP)]]+D.sign_Data[[#This Row],[NEGOCIACIÓN ($COP)]])*1%</f>
        <v>237.39524018357054</v>
      </c>
      <c r="AG407" s="3">
        <f>+D.sign_Data[[#This Row],[VALOR NETO ($COP)]]+D.sign_Data[[#This Row],[NEGOCIACIÓN ($COP)]]+D.sign_Data[[#This Row],[ICA ($COP)]]+D.sign_Data[[#This Row],[4 * 1000 ($COP)]]</f>
        <v>24214.314498724194</v>
      </c>
    </row>
    <row r="408" spans="1:33" ht="60" hidden="1" customHeight="1" x14ac:dyDescent="0.25">
      <c r="A408" s="14"/>
      <c r="B408" s="87" t="s">
        <v>418</v>
      </c>
      <c r="C408" s="182" t="s">
        <v>763</v>
      </c>
      <c r="D408" s="189" t="str">
        <f>VLOOKUP(D.sign_Data[[#This Row],[CÓDIGO]],Descripciones[[CÓDIGO]:[NOMBRE DE SERVICIO]],3,FALSE)</f>
        <v>D1. Parcelaciones y Condominios</v>
      </c>
      <c r="E408" s="87" t="s">
        <v>467</v>
      </c>
      <c r="F408" s="88" t="s">
        <v>764</v>
      </c>
      <c r="G408" s="88" t="s">
        <v>765</v>
      </c>
      <c r="H408" s="87" t="s">
        <v>500</v>
      </c>
      <c r="I408" s="89">
        <v>1</v>
      </c>
      <c r="J408" s="88" t="s">
        <v>772</v>
      </c>
      <c r="K408" s="102"/>
      <c r="L408" s="88" t="s">
        <v>774</v>
      </c>
      <c r="M408" s="89" t="s">
        <v>381</v>
      </c>
      <c r="N408" s="90">
        <v>0.3</v>
      </c>
      <c r="O408" s="27">
        <f>IFERROR(+VLOOKUP(M408,D.sign_Lista_Data[[RESPONSABLE]:[SOFTWARE 
VALOR HORA]],3,FALSE),"0")</f>
        <v>20263.424518743668</v>
      </c>
      <c r="P408" s="3">
        <f t="shared" si="12"/>
        <v>6079.0273556231004</v>
      </c>
      <c r="Q408" s="11">
        <f>IFERROR(+VLOOKUP(M408,D.sign_Lista_Data[[RESPONSABLE]:[SOFTWARE 
VALOR HORA]],5,FALSE)*D.sign_Data[[#This Row],[TIEMPO (HORAS)]],0)</f>
        <v>1266.464032421479</v>
      </c>
      <c r="R408" s="42">
        <f>IFERROR(+VLOOKUP(M408,D.sign_Lista_Data[[RESPONSABLE]:[SOFTWARE 
VALOR HORA]],8,FALSE)*D.sign_Data[[#This Row],[TIEMPO (HORAS)]],0)</f>
        <v>1023.256466143195</v>
      </c>
      <c r="S408" s="99">
        <v>0</v>
      </c>
      <c r="T408" s="99">
        <v>0</v>
      </c>
      <c r="U408" s="3">
        <f t="shared" si="13"/>
        <v>8368.7478541877736</v>
      </c>
      <c r="V408" s="100">
        <f>D.sign_Data[[#This Row],[TIEMPO (HORAS)]]*Gastos_Operativos[[#Totals],[GASTOS HORA]]</f>
        <v>8336.8431216931203</v>
      </c>
      <c r="W408" s="3">
        <f>+D.sign_Data[[#This Row],[COSTO 
DIRECTO ($COP)]]+D.sign_Data[[#This Row],[PRORRATEO GASTOS ($COP)]]</f>
        <v>16705.590975880892</v>
      </c>
      <c r="X408" s="101">
        <v>0.1</v>
      </c>
      <c r="Y408" s="15">
        <f>+D.sign_Data[[#This Row],[COSTOS OPERACIONALES ($COP)]]*D.sign_Data[[#This Row],[DESFASE (%)]]</f>
        <v>1670.5590975880893</v>
      </c>
      <c r="Z408" s="101">
        <v>0.2</v>
      </c>
      <c r="AA408" s="15">
        <f>+((D.sign_Data[[#This Row],[COSTOS OPERACIONALES ($COP)]]/(100%-D.sign_Data[[#This Row],[UTILIDAD (%)]])))-D.sign_Data[[#This Row],[COSTOS OPERACIONALES ($COP)]]</f>
        <v>4176.3977439702212</v>
      </c>
      <c r="AB408" s="3">
        <f>+D.sign_Data[[#This Row],[COSTOS OPERACIONALES ($COP)]]+D.sign_Data[[#This Row],[DESFASE ($COP)]]+D.sign_Data[[#This Row],[UTILIDAD ($COP)]]</f>
        <v>22552.547817439201</v>
      </c>
      <c r="AC408" s="101">
        <v>0.05</v>
      </c>
      <c r="AD408" s="15">
        <f>+D.sign_Data[[#This Row],[VALOR NETO ($COP)]]/(100%-D.sign_Data[[#This Row],[MARGEN DE NEGOCIACIÓN (%)]])-D.sign_Data[[#This Row],[VALOR NETO ($COP)]]</f>
        <v>1186.9762009178521</v>
      </c>
      <c r="AE408" s="15">
        <f>+(D.sign_Data[[#This Row],[VALOR NETO ($COP)]]+D.sign_Data[[#This Row],[NEGOCIACIÓN ($COP)]])*1%</f>
        <v>237.39524018357054</v>
      </c>
      <c r="AF408" s="15">
        <f>+(D.sign_Data[[#This Row],[VALOR NETO ($COP)]]+D.sign_Data[[#This Row],[NEGOCIACIÓN ($COP)]])*1%</f>
        <v>237.39524018357054</v>
      </c>
      <c r="AG408" s="3">
        <f>+D.sign_Data[[#This Row],[VALOR NETO ($COP)]]+D.sign_Data[[#This Row],[NEGOCIACIÓN ($COP)]]+D.sign_Data[[#This Row],[ICA ($COP)]]+D.sign_Data[[#This Row],[4 * 1000 ($COP)]]</f>
        <v>24214.314498724194</v>
      </c>
    </row>
    <row r="409" spans="1:33" ht="60" hidden="1" customHeight="1" x14ac:dyDescent="0.25">
      <c r="A409" s="14"/>
      <c r="B409" s="87" t="s">
        <v>418</v>
      </c>
      <c r="C409" s="182" t="s">
        <v>763</v>
      </c>
      <c r="D409" s="189" t="str">
        <f>VLOOKUP(D.sign_Data[[#This Row],[CÓDIGO]],Descripciones[[CÓDIGO]:[NOMBRE DE SERVICIO]],3,FALSE)</f>
        <v>D1. Parcelaciones y Condominios</v>
      </c>
      <c r="E409" s="87" t="s">
        <v>467</v>
      </c>
      <c r="F409" s="88" t="s">
        <v>764</v>
      </c>
      <c r="G409" s="88" t="s">
        <v>765</v>
      </c>
      <c r="H409" s="87" t="s">
        <v>500</v>
      </c>
      <c r="I409" s="89">
        <v>1</v>
      </c>
      <c r="J409" s="88" t="s">
        <v>772</v>
      </c>
      <c r="K409" s="102"/>
      <c r="L409" s="88" t="s">
        <v>476</v>
      </c>
      <c r="M409" s="89" t="s">
        <v>381</v>
      </c>
      <c r="N409" s="90">
        <v>0.3</v>
      </c>
      <c r="O409" s="27">
        <f>IFERROR(+VLOOKUP(M409,D.sign_Lista_Data[[RESPONSABLE]:[SOFTWARE 
VALOR HORA]],3,FALSE),"0")</f>
        <v>20263.424518743668</v>
      </c>
      <c r="P409" s="3">
        <f t="shared" si="12"/>
        <v>6079.0273556231004</v>
      </c>
      <c r="Q409" s="11">
        <f>IFERROR(+VLOOKUP(M409,D.sign_Lista_Data[[RESPONSABLE]:[SOFTWARE 
VALOR HORA]],5,FALSE)*D.sign_Data[[#This Row],[TIEMPO (HORAS)]],0)</f>
        <v>1266.464032421479</v>
      </c>
      <c r="R409" s="42">
        <f>IFERROR(+VLOOKUP(M409,D.sign_Lista_Data[[RESPONSABLE]:[SOFTWARE 
VALOR HORA]],8,FALSE)*D.sign_Data[[#This Row],[TIEMPO (HORAS)]],0)</f>
        <v>1023.256466143195</v>
      </c>
      <c r="S409" s="99">
        <v>0</v>
      </c>
      <c r="T409" s="99">
        <v>0</v>
      </c>
      <c r="U409" s="3">
        <f t="shared" si="13"/>
        <v>8368.7478541877736</v>
      </c>
      <c r="V409" s="100">
        <f>D.sign_Data[[#This Row],[TIEMPO (HORAS)]]*Gastos_Operativos[[#Totals],[GASTOS HORA]]</f>
        <v>8336.8431216931203</v>
      </c>
      <c r="W409" s="3">
        <f>+D.sign_Data[[#This Row],[COSTO 
DIRECTO ($COP)]]+D.sign_Data[[#This Row],[PRORRATEO GASTOS ($COP)]]</f>
        <v>16705.590975880892</v>
      </c>
      <c r="X409" s="101">
        <v>0.1</v>
      </c>
      <c r="Y409" s="15">
        <f>+D.sign_Data[[#This Row],[COSTOS OPERACIONALES ($COP)]]*D.sign_Data[[#This Row],[DESFASE (%)]]</f>
        <v>1670.5590975880893</v>
      </c>
      <c r="Z409" s="101">
        <v>0.2</v>
      </c>
      <c r="AA409" s="15">
        <f>+((D.sign_Data[[#This Row],[COSTOS OPERACIONALES ($COP)]]/(100%-D.sign_Data[[#This Row],[UTILIDAD (%)]])))-D.sign_Data[[#This Row],[COSTOS OPERACIONALES ($COP)]]</f>
        <v>4176.3977439702212</v>
      </c>
      <c r="AB409" s="3">
        <f>+D.sign_Data[[#This Row],[COSTOS OPERACIONALES ($COP)]]+D.sign_Data[[#This Row],[DESFASE ($COP)]]+D.sign_Data[[#This Row],[UTILIDAD ($COP)]]</f>
        <v>22552.547817439201</v>
      </c>
      <c r="AC409" s="101">
        <v>0.05</v>
      </c>
      <c r="AD409" s="15">
        <f>+D.sign_Data[[#This Row],[VALOR NETO ($COP)]]/(100%-D.sign_Data[[#This Row],[MARGEN DE NEGOCIACIÓN (%)]])-D.sign_Data[[#This Row],[VALOR NETO ($COP)]]</f>
        <v>1186.9762009178521</v>
      </c>
      <c r="AE409" s="15">
        <f>+(D.sign_Data[[#This Row],[VALOR NETO ($COP)]]+D.sign_Data[[#This Row],[NEGOCIACIÓN ($COP)]])*1%</f>
        <v>237.39524018357054</v>
      </c>
      <c r="AF409" s="15">
        <f>+(D.sign_Data[[#This Row],[VALOR NETO ($COP)]]+D.sign_Data[[#This Row],[NEGOCIACIÓN ($COP)]])*1%</f>
        <v>237.39524018357054</v>
      </c>
      <c r="AG409" s="3">
        <f>+D.sign_Data[[#This Row],[VALOR NETO ($COP)]]+D.sign_Data[[#This Row],[NEGOCIACIÓN ($COP)]]+D.sign_Data[[#This Row],[ICA ($COP)]]+D.sign_Data[[#This Row],[4 * 1000 ($COP)]]</f>
        <v>24214.314498724194</v>
      </c>
    </row>
    <row r="410" spans="1:33" ht="60" hidden="1" customHeight="1" x14ac:dyDescent="0.25">
      <c r="A410" s="14"/>
      <c r="B410" s="87" t="s">
        <v>418</v>
      </c>
      <c r="C410" s="182" t="s">
        <v>763</v>
      </c>
      <c r="D410" s="189" t="str">
        <f>VLOOKUP(D.sign_Data[[#This Row],[CÓDIGO]],Descripciones[[CÓDIGO]:[NOMBRE DE SERVICIO]],3,FALSE)</f>
        <v>D1. Parcelaciones y Condominios</v>
      </c>
      <c r="E410" s="87" t="s">
        <v>467</v>
      </c>
      <c r="F410" s="88" t="s">
        <v>764</v>
      </c>
      <c r="G410" s="88" t="s">
        <v>765</v>
      </c>
      <c r="H410" s="87" t="s">
        <v>500</v>
      </c>
      <c r="I410" s="89">
        <v>1</v>
      </c>
      <c r="J410" s="88" t="s">
        <v>772</v>
      </c>
      <c r="K410" s="102"/>
      <c r="L410" s="88" t="s">
        <v>775</v>
      </c>
      <c r="M410" s="89" t="s">
        <v>381</v>
      </c>
      <c r="N410" s="90">
        <v>0.5</v>
      </c>
      <c r="O410" s="27">
        <f>IFERROR(+VLOOKUP(M410,D.sign_Lista_Data[[RESPONSABLE]:[SOFTWARE 
VALOR HORA]],3,FALSE),"0")</f>
        <v>20263.424518743668</v>
      </c>
      <c r="P410" s="3">
        <f t="shared" si="12"/>
        <v>10131.712259371834</v>
      </c>
      <c r="Q410" s="11">
        <f>IFERROR(+VLOOKUP(M410,D.sign_Lista_Data[[RESPONSABLE]:[SOFTWARE 
VALOR HORA]],5,FALSE)*D.sign_Data[[#This Row],[TIEMPO (HORAS)]],0)</f>
        <v>2110.7733873691318</v>
      </c>
      <c r="R410" s="42">
        <f>IFERROR(+VLOOKUP(M410,D.sign_Lista_Data[[RESPONSABLE]:[SOFTWARE 
VALOR HORA]],8,FALSE)*D.sign_Data[[#This Row],[TIEMPO (HORAS)]],0)</f>
        <v>1705.4274435719917</v>
      </c>
      <c r="S410" s="99">
        <v>0</v>
      </c>
      <c r="T410" s="99">
        <v>0</v>
      </c>
      <c r="U410" s="3">
        <f t="shared" si="13"/>
        <v>13947.913090312959</v>
      </c>
      <c r="V410" s="100">
        <f>D.sign_Data[[#This Row],[TIEMPO (HORAS)]]*Gastos_Operativos[[#Totals],[GASTOS HORA]]</f>
        <v>13894.738536155201</v>
      </c>
      <c r="W410" s="3">
        <f>+D.sign_Data[[#This Row],[COSTO 
DIRECTO ($COP)]]+D.sign_Data[[#This Row],[PRORRATEO GASTOS ($COP)]]</f>
        <v>27842.65162646816</v>
      </c>
      <c r="X410" s="101">
        <v>0.1</v>
      </c>
      <c r="Y410" s="15">
        <f>+D.sign_Data[[#This Row],[COSTOS OPERACIONALES ($COP)]]*D.sign_Data[[#This Row],[DESFASE (%)]]</f>
        <v>2784.265162646816</v>
      </c>
      <c r="Z410" s="101">
        <v>0.2</v>
      </c>
      <c r="AA410" s="15">
        <f>+((D.sign_Data[[#This Row],[COSTOS OPERACIONALES ($COP)]]/(100%-D.sign_Data[[#This Row],[UTILIDAD (%)]])))-D.sign_Data[[#This Row],[COSTOS OPERACIONALES ($COP)]]</f>
        <v>6960.662906617039</v>
      </c>
      <c r="AB410" s="3">
        <f>+D.sign_Data[[#This Row],[COSTOS OPERACIONALES ($COP)]]+D.sign_Data[[#This Row],[DESFASE ($COP)]]+D.sign_Data[[#This Row],[UTILIDAD ($COP)]]</f>
        <v>37587.579695732013</v>
      </c>
      <c r="AC410" s="101">
        <v>0.05</v>
      </c>
      <c r="AD410" s="15">
        <f>+D.sign_Data[[#This Row],[VALOR NETO ($COP)]]/(100%-D.sign_Data[[#This Row],[MARGEN DE NEGOCIACIÓN (%)]])-D.sign_Data[[#This Row],[VALOR NETO ($COP)]]</f>
        <v>1978.2936681964202</v>
      </c>
      <c r="AE410" s="15">
        <f>+(D.sign_Data[[#This Row],[VALOR NETO ($COP)]]+D.sign_Data[[#This Row],[NEGOCIACIÓN ($COP)]])*1%</f>
        <v>395.65873363928432</v>
      </c>
      <c r="AF410" s="15">
        <f>+(D.sign_Data[[#This Row],[VALOR NETO ($COP)]]+D.sign_Data[[#This Row],[NEGOCIACIÓN ($COP)]])*1%</f>
        <v>395.65873363928432</v>
      </c>
      <c r="AG410" s="3">
        <f>+D.sign_Data[[#This Row],[VALOR NETO ($COP)]]+D.sign_Data[[#This Row],[NEGOCIACIÓN ($COP)]]+D.sign_Data[[#This Row],[ICA ($COP)]]+D.sign_Data[[#This Row],[4 * 1000 ($COP)]]</f>
        <v>40357.190831207001</v>
      </c>
    </row>
    <row r="411" spans="1:33" ht="60" hidden="1" customHeight="1" x14ac:dyDescent="0.25">
      <c r="A411" s="14"/>
      <c r="B411" s="87" t="s">
        <v>418</v>
      </c>
      <c r="C411" s="182" t="s">
        <v>763</v>
      </c>
      <c r="D411" s="189" t="str">
        <f>VLOOKUP(D.sign_Data[[#This Row],[CÓDIGO]],Descripciones[[CÓDIGO]:[NOMBRE DE SERVICIO]],3,FALSE)</f>
        <v>D1. Parcelaciones y Condominios</v>
      </c>
      <c r="E411" s="87" t="s">
        <v>467</v>
      </c>
      <c r="F411" s="88" t="s">
        <v>764</v>
      </c>
      <c r="G411" s="88" t="s">
        <v>765</v>
      </c>
      <c r="H411" s="87" t="s">
        <v>500</v>
      </c>
      <c r="I411" s="89">
        <v>1</v>
      </c>
      <c r="J411" s="88" t="s">
        <v>772</v>
      </c>
      <c r="K411" s="102"/>
      <c r="L411" s="88" t="s">
        <v>624</v>
      </c>
      <c r="M411" s="89" t="s">
        <v>381</v>
      </c>
      <c r="N411" s="90">
        <v>0.5</v>
      </c>
      <c r="O411" s="27">
        <f>IFERROR(+VLOOKUP(M411,D.sign_Lista_Data[[RESPONSABLE]:[SOFTWARE 
VALOR HORA]],3,FALSE),"0")</f>
        <v>20263.424518743668</v>
      </c>
      <c r="P411" s="3">
        <f t="shared" si="12"/>
        <v>10131.712259371834</v>
      </c>
      <c r="Q411" s="11">
        <f>IFERROR(+VLOOKUP(M411,D.sign_Lista_Data[[RESPONSABLE]:[SOFTWARE 
VALOR HORA]],5,FALSE)*D.sign_Data[[#This Row],[TIEMPO (HORAS)]],0)</f>
        <v>2110.7733873691318</v>
      </c>
      <c r="R411" s="42">
        <f>IFERROR(+VLOOKUP(M411,D.sign_Lista_Data[[RESPONSABLE]:[SOFTWARE 
VALOR HORA]],8,FALSE)*D.sign_Data[[#This Row],[TIEMPO (HORAS)]],0)</f>
        <v>1705.4274435719917</v>
      </c>
      <c r="S411" s="99">
        <v>0</v>
      </c>
      <c r="T411" s="99">
        <v>0</v>
      </c>
      <c r="U411" s="3">
        <f t="shared" si="13"/>
        <v>13947.913090312959</v>
      </c>
      <c r="V411" s="100">
        <f>D.sign_Data[[#This Row],[TIEMPO (HORAS)]]*Gastos_Operativos[[#Totals],[GASTOS HORA]]</f>
        <v>13894.738536155201</v>
      </c>
      <c r="W411" s="3">
        <f>+D.sign_Data[[#This Row],[COSTO 
DIRECTO ($COP)]]+D.sign_Data[[#This Row],[PRORRATEO GASTOS ($COP)]]</f>
        <v>27842.65162646816</v>
      </c>
      <c r="X411" s="101">
        <v>0.1</v>
      </c>
      <c r="Y411" s="15">
        <f>+D.sign_Data[[#This Row],[COSTOS OPERACIONALES ($COP)]]*D.sign_Data[[#This Row],[DESFASE (%)]]</f>
        <v>2784.265162646816</v>
      </c>
      <c r="Z411" s="101">
        <v>0.2</v>
      </c>
      <c r="AA411" s="15">
        <f>+((D.sign_Data[[#This Row],[COSTOS OPERACIONALES ($COP)]]/(100%-D.sign_Data[[#This Row],[UTILIDAD (%)]])))-D.sign_Data[[#This Row],[COSTOS OPERACIONALES ($COP)]]</f>
        <v>6960.662906617039</v>
      </c>
      <c r="AB411" s="3">
        <f>+D.sign_Data[[#This Row],[COSTOS OPERACIONALES ($COP)]]+D.sign_Data[[#This Row],[DESFASE ($COP)]]+D.sign_Data[[#This Row],[UTILIDAD ($COP)]]</f>
        <v>37587.579695732013</v>
      </c>
      <c r="AC411" s="101">
        <v>0.05</v>
      </c>
      <c r="AD411" s="15">
        <f>+D.sign_Data[[#This Row],[VALOR NETO ($COP)]]/(100%-D.sign_Data[[#This Row],[MARGEN DE NEGOCIACIÓN (%)]])-D.sign_Data[[#This Row],[VALOR NETO ($COP)]]</f>
        <v>1978.2936681964202</v>
      </c>
      <c r="AE411" s="15">
        <f>+(D.sign_Data[[#This Row],[VALOR NETO ($COP)]]+D.sign_Data[[#This Row],[NEGOCIACIÓN ($COP)]])*1%</f>
        <v>395.65873363928432</v>
      </c>
      <c r="AF411" s="15">
        <f>+(D.sign_Data[[#This Row],[VALOR NETO ($COP)]]+D.sign_Data[[#This Row],[NEGOCIACIÓN ($COP)]])*1%</f>
        <v>395.65873363928432</v>
      </c>
      <c r="AG411" s="3">
        <f>+D.sign_Data[[#This Row],[VALOR NETO ($COP)]]+D.sign_Data[[#This Row],[NEGOCIACIÓN ($COP)]]+D.sign_Data[[#This Row],[ICA ($COP)]]+D.sign_Data[[#This Row],[4 * 1000 ($COP)]]</f>
        <v>40357.190831207001</v>
      </c>
    </row>
    <row r="412" spans="1:33" ht="60" hidden="1" customHeight="1" x14ac:dyDescent="0.25">
      <c r="A412" s="14"/>
      <c r="B412" s="87" t="s">
        <v>418</v>
      </c>
      <c r="C412" s="182" t="s">
        <v>763</v>
      </c>
      <c r="D412" s="189" t="str">
        <f>VLOOKUP(D.sign_Data[[#This Row],[CÓDIGO]],Descripciones[[CÓDIGO]:[NOMBRE DE SERVICIO]],3,FALSE)</f>
        <v>D1. Parcelaciones y Condominios</v>
      </c>
      <c r="E412" s="87" t="s">
        <v>467</v>
      </c>
      <c r="F412" s="88" t="s">
        <v>764</v>
      </c>
      <c r="G412" s="88" t="s">
        <v>765</v>
      </c>
      <c r="H412" s="87" t="s">
        <v>500</v>
      </c>
      <c r="I412" s="89">
        <v>1</v>
      </c>
      <c r="J412" s="88" t="s">
        <v>772</v>
      </c>
      <c r="K412" s="102"/>
      <c r="L412" s="88" t="s">
        <v>771</v>
      </c>
      <c r="M412" s="89" t="s">
        <v>381</v>
      </c>
      <c r="N412" s="90">
        <v>0.3</v>
      </c>
      <c r="O412" s="27">
        <f>IFERROR(+VLOOKUP(M412,D.sign_Lista_Data[[RESPONSABLE]:[SOFTWARE 
VALOR HORA]],3,FALSE),"0")</f>
        <v>20263.424518743668</v>
      </c>
      <c r="P412" s="3">
        <f t="shared" si="12"/>
        <v>6079.0273556231004</v>
      </c>
      <c r="Q412" s="11">
        <f>IFERROR(+VLOOKUP(M412,D.sign_Lista_Data[[RESPONSABLE]:[SOFTWARE 
VALOR HORA]],5,FALSE)*D.sign_Data[[#This Row],[TIEMPO (HORAS)]],0)</f>
        <v>1266.464032421479</v>
      </c>
      <c r="R412" s="42">
        <f>IFERROR(+VLOOKUP(M412,D.sign_Lista_Data[[RESPONSABLE]:[SOFTWARE 
VALOR HORA]],8,FALSE)*D.sign_Data[[#This Row],[TIEMPO (HORAS)]],0)</f>
        <v>1023.256466143195</v>
      </c>
      <c r="S412" s="99">
        <v>0</v>
      </c>
      <c r="T412" s="99">
        <v>0</v>
      </c>
      <c r="U412" s="3">
        <f t="shared" si="13"/>
        <v>8368.7478541877736</v>
      </c>
      <c r="V412" s="100">
        <f>D.sign_Data[[#This Row],[TIEMPO (HORAS)]]*Gastos_Operativos[[#Totals],[GASTOS HORA]]</f>
        <v>8336.8431216931203</v>
      </c>
      <c r="W412" s="3">
        <f>+D.sign_Data[[#This Row],[COSTO 
DIRECTO ($COP)]]+D.sign_Data[[#This Row],[PRORRATEO GASTOS ($COP)]]</f>
        <v>16705.590975880892</v>
      </c>
      <c r="X412" s="101">
        <v>0.1</v>
      </c>
      <c r="Y412" s="15">
        <f>+D.sign_Data[[#This Row],[COSTOS OPERACIONALES ($COP)]]*D.sign_Data[[#This Row],[DESFASE (%)]]</f>
        <v>1670.5590975880893</v>
      </c>
      <c r="Z412" s="101">
        <v>0.2</v>
      </c>
      <c r="AA412" s="15">
        <f>+((D.sign_Data[[#This Row],[COSTOS OPERACIONALES ($COP)]]/(100%-D.sign_Data[[#This Row],[UTILIDAD (%)]])))-D.sign_Data[[#This Row],[COSTOS OPERACIONALES ($COP)]]</f>
        <v>4176.3977439702212</v>
      </c>
      <c r="AB412" s="3">
        <f>+D.sign_Data[[#This Row],[COSTOS OPERACIONALES ($COP)]]+D.sign_Data[[#This Row],[DESFASE ($COP)]]+D.sign_Data[[#This Row],[UTILIDAD ($COP)]]</f>
        <v>22552.547817439201</v>
      </c>
      <c r="AC412" s="101">
        <v>0.05</v>
      </c>
      <c r="AD412" s="15">
        <f>+D.sign_Data[[#This Row],[VALOR NETO ($COP)]]/(100%-D.sign_Data[[#This Row],[MARGEN DE NEGOCIACIÓN (%)]])-D.sign_Data[[#This Row],[VALOR NETO ($COP)]]</f>
        <v>1186.9762009178521</v>
      </c>
      <c r="AE412" s="15">
        <f>+(D.sign_Data[[#This Row],[VALOR NETO ($COP)]]+D.sign_Data[[#This Row],[NEGOCIACIÓN ($COP)]])*1%</f>
        <v>237.39524018357054</v>
      </c>
      <c r="AF412" s="15">
        <f>+(D.sign_Data[[#This Row],[VALOR NETO ($COP)]]+D.sign_Data[[#This Row],[NEGOCIACIÓN ($COP)]])*1%</f>
        <v>237.39524018357054</v>
      </c>
      <c r="AG412" s="3">
        <f>+D.sign_Data[[#This Row],[VALOR NETO ($COP)]]+D.sign_Data[[#This Row],[NEGOCIACIÓN ($COP)]]+D.sign_Data[[#This Row],[ICA ($COP)]]+D.sign_Data[[#This Row],[4 * 1000 ($COP)]]</f>
        <v>24214.314498724194</v>
      </c>
    </row>
    <row r="413" spans="1:33" ht="60" hidden="1" customHeight="1" x14ac:dyDescent="0.25">
      <c r="A413" s="14"/>
      <c r="B413" s="87" t="s">
        <v>418</v>
      </c>
      <c r="C413" s="182" t="s">
        <v>763</v>
      </c>
      <c r="D413" s="189" t="str">
        <f>VLOOKUP(D.sign_Data[[#This Row],[CÓDIGO]],Descripciones[[CÓDIGO]:[NOMBRE DE SERVICIO]],3,FALSE)</f>
        <v>D1. Parcelaciones y Condominios</v>
      </c>
      <c r="E413" s="87" t="s">
        <v>467</v>
      </c>
      <c r="F413" s="88" t="s">
        <v>764</v>
      </c>
      <c r="G413" s="88" t="s">
        <v>765</v>
      </c>
      <c r="H413" s="87" t="s">
        <v>500</v>
      </c>
      <c r="I413" s="89">
        <v>1</v>
      </c>
      <c r="J413" s="88" t="s">
        <v>772</v>
      </c>
      <c r="K413" s="102"/>
      <c r="L413" s="88" t="s">
        <v>483</v>
      </c>
      <c r="M413" s="89" t="s">
        <v>381</v>
      </c>
      <c r="N413" s="90">
        <v>0.25</v>
      </c>
      <c r="O413" s="27">
        <f>IFERROR(+VLOOKUP(M413,D.sign_Lista_Data[[RESPONSABLE]:[SOFTWARE 
VALOR HORA]],3,FALSE),"0")</f>
        <v>20263.424518743668</v>
      </c>
      <c r="P413" s="3">
        <f t="shared" si="12"/>
        <v>5065.856129685917</v>
      </c>
      <c r="Q413" s="11">
        <f>IFERROR(+VLOOKUP(M413,D.sign_Lista_Data[[RESPONSABLE]:[SOFTWARE 
VALOR HORA]],5,FALSE)*D.sign_Data[[#This Row],[TIEMPO (HORAS)]],0)</f>
        <v>1055.3866936845659</v>
      </c>
      <c r="R413" s="42">
        <f>IFERROR(+VLOOKUP(M413,D.sign_Lista_Data[[RESPONSABLE]:[SOFTWARE 
VALOR HORA]],8,FALSE)*D.sign_Data[[#This Row],[TIEMPO (HORAS)]],0)</f>
        <v>852.71372178599586</v>
      </c>
      <c r="S413" s="99">
        <v>0</v>
      </c>
      <c r="T413" s="99">
        <v>0</v>
      </c>
      <c r="U413" s="3">
        <f t="shared" si="13"/>
        <v>6973.9565451564795</v>
      </c>
      <c r="V413" s="100">
        <f>D.sign_Data[[#This Row],[TIEMPO (HORAS)]]*Gastos_Operativos[[#Totals],[GASTOS HORA]]</f>
        <v>6947.3692680776003</v>
      </c>
      <c r="W413" s="3">
        <f>+D.sign_Data[[#This Row],[COSTO 
DIRECTO ($COP)]]+D.sign_Data[[#This Row],[PRORRATEO GASTOS ($COP)]]</f>
        <v>13921.32581323408</v>
      </c>
      <c r="X413" s="101">
        <v>0.1</v>
      </c>
      <c r="Y413" s="15">
        <f>+D.sign_Data[[#This Row],[COSTOS OPERACIONALES ($COP)]]*D.sign_Data[[#This Row],[DESFASE (%)]]</f>
        <v>1392.132581323408</v>
      </c>
      <c r="Z413" s="101">
        <v>0.2</v>
      </c>
      <c r="AA413" s="15">
        <f>+((D.sign_Data[[#This Row],[COSTOS OPERACIONALES ($COP)]]/(100%-D.sign_Data[[#This Row],[UTILIDAD (%)]])))-D.sign_Data[[#This Row],[COSTOS OPERACIONALES ($COP)]]</f>
        <v>3480.3314533085195</v>
      </c>
      <c r="AB413" s="3">
        <f>+D.sign_Data[[#This Row],[COSTOS OPERACIONALES ($COP)]]+D.sign_Data[[#This Row],[DESFASE ($COP)]]+D.sign_Data[[#This Row],[UTILIDAD ($COP)]]</f>
        <v>18793.789847866006</v>
      </c>
      <c r="AC413" s="101">
        <v>0.05</v>
      </c>
      <c r="AD413" s="15">
        <f>+D.sign_Data[[#This Row],[VALOR NETO ($COP)]]/(100%-D.sign_Data[[#This Row],[MARGEN DE NEGOCIACIÓN (%)]])-D.sign_Data[[#This Row],[VALOR NETO ($COP)]]</f>
        <v>989.14683409821009</v>
      </c>
      <c r="AE413" s="15">
        <f>+(D.sign_Data[[#This Row],[VALOR NETO ($COP)]]+D.sign_Data[[#This Row],[NEGOCIACIÓN ($COP)]])*1%</f>
        <v>197.82936681964216</v>
      </c>
      <c r="AF413" s="15">
        <f>+(D.sign_Data[[#This Row],[VALOR NETO ($COP)]]+D.sign_Data[[#This Row],[NEGOCIACIÓN ($COP)]])*1%</f>
        <v>197.82936681964216</v>
      </c>
      <c r="AG413" s="3">
        <f>+D.sign_Data[[#This Row],[VALOR NETO ($COP)]]+D.sign_Data[[#This Row],[NEGOCIACIÓN ($COP)]]+D.sign_Data[[#This Row],[ICA ($COP)]]+D.sign_Data[[#This Row],[4 * 1000 ($COP)]]</f>
        <v>20178.5954156035</v>
      </c>
    </row>
    <row r="414" spans="1:33" ht="60" hidden="1" customHeight="1" x14ac:dyDescent="0.25">
      <c r="A414" s="14"/>
      <c r="B414" s="87" t="s">
        <v>418</v>
      </c>
      <c r="C414" s="182" t="s">
        <v>763</v>
      </c>
      <c r="D414" s="189" t="str">
        <f>VLOOKUP(D.sign_Data[[#This Row],[CÓDIGO]],Descripciones[[CÓDIGO]:[NOMBRE DE SERVICIO]],3,FALSE)</f>
        <v>D1. Parcelaciones y Condominios</v>
      </c>
      <c r="E414" s="87" t="s">
        <v>467</v>
      </c>
      <c r="F414" s="88" t="s">
        <v>764</v>
      </c>
      <c r="G414" s="88" t="s">
        <v>765</v>
      </c>
      <c r="H414" s="87" t="s">
        <v>500</v>
      </c>
      <c r="I414" s="89">
        <v>1</v>
      </c>
      <c r="J414" s="88" t="s">
        <v>772</v>
      </c>
      <c r="K414" s="102"/>
      <c r="L414" s="88" t="s">
        <v>474</v>
      </c>
      <c r="M414" s="89" t="s">
        <v>381</v>
      </c>
      <c r="N414" s="90">
        <v>0.3</v>
      </c>
      <c r="O414" s="27">
        <f>IFERROR(+VLOOKUP(M414,D.sign_Lista_Data[[RESPONSABLE]:[SOFTWARE 
VALOR HORA]],3,FALSE),"0")</f>
        <v>20263.424518743668</v>
      </c>
      <c r="P414" s="3">
        <f t="shared" ref="P414:P477" si="14">+O414*N414</f>
        <v>6079.0273556231004</v>
      </c>
      <c r="Q414" s="11">
        <f>IFERROR(+VLOOKUP(M414,D.sign_Lista_Data[[RESPONSABLE]:[SOFTWARE 
VALOR HORA]],5,FALSE)*D.sign_Data[[#This Row],[TIEMPO (HORAS)]],0)</f>
        <v>1266.464032421479</v>
      </c>
      <c r="R414" s="42">
        <f>IFERROR(+VLOOKUP(M414,D.sign_Lista_Data[[RESPONSABLE]:[SOFTWARE 
VALOR HORA]],8,FALSE)*D.sign_Data[[#This Row],[TIEMPO (HORAS)]],0)</f>
        <v>1023.256466143195</v>
      </c>
      <c r="S414" s="99">
        <v>0</v>
      </c>
      <c r="T414" s="99">
        <v>0</v>
      </c>
      <c r="U414" s="3">
        <f t="shared" ref="U414:U477" si="15">SUM(P414:T414)</f>
        <v>8368.7478541877736</v>
      </c>
      <c r="V414" s="100">
        <f>D.sign_Data[[#This Row],[TIEMPO (HORAS)]]*Gastos_Operativos[[#Totals],[GASTOS HORA]]</f>
        <v>8336.8431216931203</v>
      </c>
      <c r="W414" s="3">
        <f>+D.sign_Data[[#This Row],[COSTO 
DIRECTO ($COP)]]+D.sign_Data[[#This Row],[PRORRATEO GASTOS ($COP)]]</f>
        <v>16705.590975880892</v>
      </c>
      <c r="X414" s="101">
        <v>0.1</v>
      </c>
      <c r="Y414" s="15">
        <f>+D.sign_Data[[#This Row],[COSTOS OPERACIONALES ($COP)]]*D.sign_Data[[#This Row],[DESFASE (%)]]</f>
        <v>1670.5590975880893</v>
      </c>
      <c r="Z414" s="101">
        <v>0.2</v>
      </c>
      <c r="AA414" s="15">
        <f>+((D.sign_Data[[#This Row],[COSTOS OPERACIONALES ($COP)]]/(100%-D.sign_Data[[#This Row],[UTILIDAD (%)]])))-D.sign_Data[[#This Row],[COSTOS OPERACIONALES ($COP)]]</f>
        <v>4176.3977439702212</v>
      </c>
      <c r="AB414" s="3">
        <f>+D.sign_Data[[#This Row],[COSTOS OPERACIONALES ($COP)]]+D.sign_Data[[#This Row],[DESFASE ($COP)]]+D.sign_Data[[#This Row],[UTILIDAD ($COP)]]</f>
        <v>22552.547817439201</v>
      </c>
      <c r="AC414" s="101">
        <v>0.05</v>
      </c>
      <c r="AD414" s="15">
        <f>+D.sign_Data[[#This Row],[VALOR NETO ($COP)]]/(100%-D.sign_Data[[#This Row],[MARGEN DE NEGOCIACIÓN (%)]])-D.sign_Data[[#This Row],[VALOR NETO ($COP)]]</f>
        <v>1186.9762009178521</v>
      </c>
      <c r="AE414" s="15">
        <f>+(D.sign_Data[[#This Row],[VALOR NETO ($COP)]]+D.sign_Data[[#This Row],[NEGOCIACIÓN ($COP)]])*1%</f>
        <v>237.39524018357054</v>
      </c>
      <c r="AF414" s="15">
        <f>+(D.sign_Data[[#This Row],[VALOR NETO ($COP)]]+D.sign_Data[[#This Row],[NEGOCIACIÓN ($COP)]])*1%</f>
        <v>237.39524018357054</v>
      </c>
      <c r="AG414" s="3">
        <f>+D.sign_Data[[#This Row],[VALOR NETO ($COP)]]+D.sign_Data[[#This Row],[NEGOCIACIÓN ($COP)]]+D.sign_Data[[#This Row],[ICA ($COP)]]+D.sign_Data[[#This Row],[4 * 1000 ($COP)]]</f>
        <v>24214.314498724194</v>
      </c>
    </row>
    <row r="415" spans="1:33" ht="60" hidden="1" customHeight="1" x14ac:dyDescent="0.25">
      <c r="A415" s="14"/>
      <c r="B415" s="87" t="s">
        <v>418</v>
      </c>
      <c r="C415" s="182" t="s">
        <v>763</v>
      </c>
      <c r="D415" s="189" t="str">
        <f>VLOOKUP(D.sign_Data[[#This Row],[CÓDIGO]],Descripciones[[CÓDIGO]:[NOMBRE DE SERVICIO]],3,FALSE)</f>
        <v>D1. Parcelaciones y Condominios</v>
      </c>
      <c r="E415" s="87" t="s">
        <v>467</v>
      </c>
      <c r="F415" s="88" t="s">
        <v>764</v>
      </c>
      <c r="G415" s="88" t="s">
        <v>765</v>
      </c>
      <c r="H415" s="87" t="s">
        <v>500</v>
      </c>
      <c r="I415" s="89">
        <v>1</v>
      </c>
      <c r="J415" s="88" t="s">
        <v>776</v>
      </c>
      <c r="K415" s="102"/>
      <c r="L415" s="88" t="s">
        <v>777</v>
      </c>
      <c r="M415" s="89" t="s">
        <v>381</v>
      </c>
      <c r="N415" s="90">
        <v>0.3</v>
      </c>
      <c r="O415" s="27">
        <f>IFERROR(+VLOOKUP(M415,D.sign_Lista_Data[[RESPONSABLE]:[SOFTWARE 
VALOR HORA]],3,FALSE),"0")</f>
        <v>20263.424518743668</v>
      </c>
      <c r="P415" s="3">
        <f t="shared" si="14"/>
        <v>6079.0273556231004</v>
      </c>
      <c r="Q415" s="11">
        <f>IFERROR(+VLOOKUP(M415,D.sign_Lista_Data[[RESPONSABLE]:[SOFTWARE 
VALOR HORA]],5,FALSE)*D.sign_Data[[#This Row],[TIEMPO (HORAS)]],0)</f>
        <v>1266.464032421479</v>
      </c>
      <c r="R415" s="42">
        <f>IFERROR(+VLOOKUP(M415,D.sign_Lista_Data[[RESPONSABLE]:[SOFTWARE 
VALOR HORA]],8,FALSE)*D.sign_Data[[#This Row],[TIEMPO (HORAS)]],0)</f>
        <v>1023.256466143195</v>
      </c>
      <c r="S415" s="99">
        <v>0</v>
      </c>
      <c r="T415" s="99">
        <v>0</v>
      </c>
      <c r="U415" s="3">
        <f t="shared" si="15"/>
        <v>8368.7478541877736</v>
      </c>
      <c r="V415" s="100">
        <f>D.sign_Data[[#This Row],[TIEMPO (HORAS)]]*Gastos_Operativos[[#Totals],[GASTOS HORA]]</f>
        <v>8336.8431216931203</v>
      </c>
      <c r="W415" s="3">
        <f>+D.sign_Data[[#This Row],[COSTO 
DIRECTO ($COP)]]+D.sign_Data[[#This Row],[PRORRATEO GASTOS ($COP)]]</f>
        <v>16705.590975880892</v>
      </c>
      <c r="X415" s="101">
        <v>0.1</v>
      </c>
      <c r="Y415" s="15">
        <f>+D.sign_Data[[#This Row],[COSTOS OPERACIONALES ($COP)]]*D.sign_Data[[#This Row],[DESFASE (%)]]</f>
        <v>1670.5590975880893</v>
      </c>
      <c r="Z415" s="101">
        <v>0.2</v>
      </c>
      <c r="AA415" s="15">
        <f>+((D.sign_Data[[#This Row],[COSTOS OPERACIONALES ($COP)]]/(100%-D.sign_Data[[#This Row],[UTILIDAD (%)]])))-D.sign_Data[[#This Row],[COSTOS OPERACIONALES ($COP)]]</f>
        <v>4176.3977439702212</v>
      </c>
      <c r="AB415" s="3">
        <f>+D.sign_Data[[#This Row],[COSTOS OPERACIONALES ($COP)]]+D.sign_Data[[#This Row],[DESFASE ($COP)]]+D.sign_Data[[#This Row],[UTILIDAD ($COP)]]</f>
        <v>22552.547817439201</v>
      </c>
      <c r="AC415" s="101">
        <v>0.05</v>
      </c>
      <c r="AD415" s="15">
        <f>+D.sign_Data[[#This Row],[VALOR NETO ($COP)]]/(100%-D.sign_Data[[#This Row],[MARGEN DE NEGOCIACIÓN (%)]])-D.sign_Data[[#This Row],[VALOR NETO ($COP)]]</f>
        <v>1186.9762009178521</v>
      </c>
      <c r="AE415" s="15">
        <f>+(D.sign_Data[[#This Row],[VALOR NETO ($COP)]]+D.sign_Data[[#This Row],[NEGOCIACIÓN ($COP)]])*1%</f>
        <v>237.39524018357054</v>
      </c>
      <c r="AF415" s="15">
        <f>+(D.sign_Data[[#This Row],[VALOR NETO ($COP)]]+D.sign_Data[[#This Row],[NEGOCIACIÓN ($COP)]])*1%</f>
        <v>237.39524018357054</v>
      </c>
      <c r="AG415" s="3">
        <f>+D.sign_Data[[#This Row],[VALOR NETO ($COP)]]+D.sign_Data[[#This Row],[NEGOCIACIÓN ($COP)]]+D.sign_Data[[#This Row],[ICA ($COP)]]+D.sign_Data[[#This Row],[4 * 1000 ($COP)]]</f>
        <v>24214.314498724194</v>
      </c>
    </row>
    <row r="416" spans="1:33" ht="60" hidden="1" customHeight="1" x14ac:dyDescent="0.25">
      <c r="A416" s="14"/>
      <c r="B416" s="87" t="s">
        <v>418</v>
      </c>
      <c r="C416" s="182" t="s">
        <v>763</v>
      </c>
      <c r="D416" s="189" t="str">
        <f>VLOOKUP(D.sign_Data[[#This Row],[CÓDIGO]],Descripciones[[CÓDIGO]:[NOMBRE DE SERVICIO]],3,FALSE)</f>
        <v>D1. Parcelaciones y Condominios</v>
      </c>
      <c r="E416" s="87" t="s">
        <v>467</v>
      </c>
      <c r="F416" s="88" t="s">
        <v>764</v>
      </c>
      <c r="G416" s="88" t="s">
        <v>765</v>
      </c>
      <c r="H416" s="87" t="s">
        <v>500</v>
      </c>
      <c r="I416" s="89">
        <v>1</v>
      </c>
      <c r="J416" s="88" t="s">
        <v>776</v>
      </c>
      <c r="K416" s="102"/>
      <c r="L416" s="88" t="s">
        <v>778</v>
      </c>
      <c r="M416" s="89" t="s">
        <v>381</v>
      </c>
      <c r="N416" s="90">
        <v>0.3</v>
      </c>
      <c r="O416" s="27">
        <f>IFERROR(+VLOOKUP(M416,D.sign_Lista_Data[[RESPONSABLE]:[SOFTWARE 
VALOR HORA]],3,FALSE),"0")</f>
        <v>20263.424518743668</v>
      </c>
      <c r="P416" s="3">
        <f t="shared" si="14"/>
        <v>6079.0273556231004</v>
      </c>
      <c r="Q416" s="11">
        <f>IFERROR(+VLOOKUP(M416,D.sign_Lista_Data[[RESPONSABLE]:[SOFTWARE 
VALOR HORA]],5,FALSE)*D.sign_Data[[#This Row],[TIEMPO (HORAS)]],0)</f>
        <v>1266.464032421479</v>
      </c>
      <c r="R416" s="42">
        <f>IFERROR(+VLOOKUP(M416,D.sign_Lista_Data[[RESPONSABLE]:[SOFTWARE 
VALOR HORA]],8,FALSE)*D.sign_Data[[#This Row],[TIEMPO (HORAS)]],0)</f>
        <v>1023.256466143195</v>
      </c>
      <c r="S416" s="99">
        <v>0</v>
      </c>
      <c r="T416" s="99">
        <v>0</v>
      </c>
      <c r="U416" s="3">
        <f t="shared" si="15"/>
        <v>8368.7478541877736</v>
      </c>
      <c r="V416" s="100">
        <f>D.sign_Data[[#This Row],[TIEMPO (HORAS)]]*Gastos_Operativos[[#Totals],[GASTOS HORA]]</f>
        <v>8336.8431216931203</v>
      </c>
      <c r="W416" s="3">
        <f>+D.sign_Data[[#This Row],[COSTO 
DIRECTO ($COP)]]+D.sign_Data[[#This Row],[PRORRATEO GASTOS ($COP)]]</f>
        <v>16705.590975880892</v>
      </c>
      <c r="X416" s="101">
        <v>0.1</v>
      </c>
      <c r="Y416" s="15">
        <f>+D.sign_Data[[#This Row],[COSTOS OPERACIONALES ($COP)]]*D.sign_Data[[#This Row],[DESFASE (%)]]</f>
        <v>1670.5590975880893</v>
      </c>
      <c r="Z416" s="101">
        <v>0.2</v>
      </c>
      <c r="AA416" s="15">
        <f>+((D.sign_Data[[#This Row],[COSTOS OPERACIONALES ($COP)]]/(100%-D.sign_Data[[#This Row],[UTILIDAD (%)]])))-D.sign_Data[[#This Row],[COSTOS OPERACIONALES ($COP)]]</f>
        <v>4176.3977439702212</v>
      </c>
      <c r="AB416" s="3">
        <f>+D.sign_Data[[#This Row],[COSTOS OPERACIONALES ($COP)]]+D.sign_Data[[#This Row],[DESFASE ($COP)]]+D.sign_Data[[#This Row],[UTILIDAD ($COP)]]</f>
        <v>22552.547817439201</v>
      </c>
      <c r="AC416" s="101">
        <v>0.05</v>
      </c>
      <c r="AD416" s="15">
        <f>+D.sign_Data[[#This Row],[VALOR NETO ($COP)]]/(100%-D.sign_Data[[#This Row],[MARGEN DE NEGOCIACIÓN (%)]])-D.sign_Data[[#This Row],[VALOR NETO ($COP)]]</f>
        <v>1186.9762009178521</v>
      </c>
      <c r="AE416" s="15">
        <f>+(D.sign_Data[[#This Row],[VALOR NETO ($COP)]]+D.sign_Data[[#This Row],[NEGOCIACIÓN ($COP)]])*1%</f>
        <v>237.39524018357054</v>
      </c>
      <c r="AF416" s="15">
        <f>+(D.sign_Data[[#This Row],[VALOR NETO ($COP)]]+D.sign_Data[[#This Row],[NEGOCIACIÓN ($COP)]])*1%</f>
        <v>237.39524018357054</v>
      </c>
      <c r="AG416" s="3">
        <f>+D.sign_Data[[#This Row],[VALOR NETO ($COP)]]+D.sign_Data[[#This Row],[NEGOCIACIÓN ($COP)]]+D.sign_Data[[#This Row],[ICA ($COP)]]+D.sign_Data[[#This Row],[4 * 1000 ($COP)]]</f>
        <v>24214.314498724194</v>
      </c>
    </row>
    <row r="417" spans="1:33" ht="60" hidden="1" customHeight="1" x14ac:dyDescent="0.25">
      <c r="A417" s="14"/>
      <c r="B417" s="87" t="s">
        <v>418</v>
      </c>
      <c r="C417" s="182" t="s">
        <v>763</v>
      </c>
      <c r="D417" s="189" t="str">
        <f>VLOOKUP(D.sign_Data[[#This Row],[CÓDIGO]],Descripciones[[CÓDIGO]:[NOMBRE DE SERVICIO]],3,FALSE)</f>
        <v>D1. Parcelaciones y Condominios</v>
      </c>
      <c r="E417" s="87" t="s">
        <v>467</v>
      </c>
      <c r="F417" s="88" t="s">
        <v>764</v>
      </c>
      <c r="G417" s="88" t="s">
        <v>765</v>
      </c>
      <c r="H417" s="87" t="s">
        <v>500</v>
      </c>
      <c r="I417" s="89">
        <v>1</v>
      </c>
      <c r="J417" s="88" t="s">
        <v>776</v>
      </c>
      <c r="K417" s="102"/>
      <c r="L417" s="88" t="s">
        <v>779</v>
      </c>
      <c r="M417" s="89" t="s">
        <v>381</v>
      </c>
      <c r="N417" s="90">
        <v>0.5</v>
      </c>
      <c r="O417" s="27">
        <f>IFERROR(+VLOOKUP(M417,D.sign_Lista_Data[[RESPONSABLE]:[SOFTWARE 
VALOR HORA]],3,FALSE),"0")</f>
        <v>20263.424518743668</v>
      </c>
      <c r="P417" s="3">
        <f t="shared" si="14"/>
        <v>10131.712259371834</v>
      </c>
      <c r="Q417" s="11">
        <f>IFERROR(+VLOOKUP(M417,D.sign_Lista_Data[[RESPONSABLE]:[SOFTWARE 
VALOR HORA]],5,FALSE)*D.sign_Data[[#This Row],[TIEMPO (HORAS)]],0)</f>
        <v>2110.7733873691318</v>
      </c>
      <c r="R417" s="42">
        <f>IFERROR(+VLOOKUP(M417,D.sign_Lista_Data[[RESPONSABLE]:[SOFTWARE 
VALOR HORA]],8,FALSE)*D.sign_Data[[#This Row],[TIEMPO (HORAS)]],0)</f>
        <v>1705.4274435719917</v>
      </c>
      <c r="S417" s="99">
        <v>0</v>
      </c>
      <c r="T417" s="99">
        <v>0</v>
      </c>
      <c r="U417" s="3">
        <f t="shared" si="15"/>
        <v>13947.913090312959</v>
      </c>
      <c r="V417" s="100">
        <f>D.sign_Data[[#This Row],[TIEMPO (HORAS)]]*Gastos_Operativos[[#Totals],[GASTOS HORA]]</f>
        <v>13894.738536155201</v>
      </c>
      <c r="W417" s="3">
        <f>+D.sign_Data[[#This Row],[COSTO 
DIRECTO ($COP)]]+D.sign_Data[[#This Row],[PRORRATEO GASTOS ($COP)]]</f>
        <v>27842.65162646816</v>
      </c>
      <c r="X417" s="101">
        <v>0.1</v>
      </c>
      <c r="Y417" s="15">
        <f>+D.sign_Data[[#This Row],[COSTOS OPERACIONALES ($COP)]]*D.sign_Data[[#This Row],[DESFASE (%)]]</f>
        <v>2784.265162646816</v>
      </c>
      <c r="Z417" s="101">
        <v>0.2</v>
      </c>
      <c r="AA417" s="15">
        <f>+((D.sign_Data[[#This Row],[COSTOS OPERACIONALES ($COP)]]/(100%-D.sign_Data[[#This Row],[UTILIDAD (%)]])))-D.sign_Data[[#This Row],[COSTOS OPERACIONALES ($COP)]]</f>
        <v>6960.662906617039</v>
      </c>
      <c r="AB417" s="3">
        <f>+D.sign_Data[[#This Row],[COSTOS OPERACIONALES ($COP)]]+D.sign_Data[[#This Row],[DESFASE ($COP)]]+D.sign_Data[[#This Row],[UTILIDAD ($COP)]]</f>
        <v>37587.579695732013</v>
      </c>
      <c r="AC417" s="101">
        <v>0.05</v>
      </c>
      <c r="AD417" s="15">
        <f>+D.sign_Data[[#This Row],[VALOR NETO ($COP)]]/(100%-D.sign_Data[[#This Row],[MARGEN DE NEGOCIACIÓN (%)]])-D.sign_Data[[#This Row],[VALOR NETO ($COP)]]</f>
        <v>1978.2936681964202</v>
      </c>
      <c r="AE417" s="15">
        <f>+(D.sign_Data[[#This Row],[VALOR NETO ($COP)]]+D.sign_Data[[#This Row],[NEGOCIACIÓN ($COP)]])*1%</f>
        <v>395.65873363928432</v>
      </c>
      <c r="AF417" s="15">
        <f>+(D.sign_Data[[#This Row],[VALOR NETO ($COP)]]+D.sign_Data[[#This Row],[NEGOCIACIÓN ($COP)]])*1%</f>
        <v>395.65873363928432</v>
      </c>
      <c r="AG417" s="3">
        <f>+D.sign_Data[[#This Row],[VALOR NETO ($COP)]]+D.sign_Data[[#This Row],[NEGOCIACIÓN ($COP)]]+D.sign_Data[[#This Row],[ICA ($COP)]]+D.sign_Data[[#This Row],[4 * 1000 ($COP)]]</f>
        <v>40357.190831207001</v>
      </c>
    </row>
    <row r="418" spans="1:33" ht="60" hidden="1" customHeight="1" x14ac:dyDescent="0.25">
      <c r="A418" s="14"/>
      <c r="B418" s="87" t="s">
        <v>418</v>
      </c>
      <c r="C418" s="182" t="s">
        <v>763</v>
      </c>
      <c r="D418" s="189" t="str">
        <f>VLOOKUP(D.sign_Data[[#This Row],[CÓDIGO]],Descripciones[[CÓDIGO]:[NOMBRE DE SERVICIO]],3,FALSE)</f>
        <v>D1. Parcelaciones y Condominios</v>
      </c>
      <c r="E418" s="87" t="s">
        <v>467</v>
      </c>
      <c r="F418" s="88" t="s">
        <v>764</v>
      </c>
      <c r="G418" s="88" t="s">
        <v>765</v>
      </c>
      <c r="H418" s="87" t="s">
        <v>500</v>
      </c>
      <c r="I418" s="89">
        <v>1</v>
      </c>
      <c r="J418" s="88" t="s">
        <v>776</v>
      </c>
      <c r="K418" s="102"/>
      <c r="L418" s="88" t="s">
        <v>624</v>
      </c>
      <c r="M418" s="89" t="s">
        <v>381</v>
      </c>
      <c r="N418" s="90">
        <v>0.5</v>
      </c>
      <c r="O418" s="27">
        <f>IFERROR(+VLOOKUP(M418,D.sign_Lista_Data[[RESPONSABLE]:[SOFTWARE 
VALOR HORA]],3,FALSE),"0")</f>
        <v>20263.424518743668</v>
      </c>
      <c r="P418" s="3">
        <f t="shared" si="14"/>
        <v>10131.712259371834</v>
      </c>
      <c r="Q418" s="11">
        <f>IFERROR(+VLOOKUP(M418,D.sign_Lista_Data[[RESPONSABLE]:[SOFTWARE 
VALOR HORA]],5,FALSE)*D.sign_Data[[#This Row],[TIEMPO (HORAS)]],0)</f>
        <v>2110.7733873691318</v>
      </c>
      <c r="R418" s="42">
        <f>IFERROR(+VLOOKUP(M418,D.sign_Lista_Data[[RESPONSABLE]:[SOFTWARE 
VALOR HORA]],8,FALSE)*D.sign_Data[[#This Row],[TIEMPO (HORAS)]],0)</f>
        <v>1705.4274435719917</v>
      </c>
      <c r="S418" s="99">
        <v>0</v>
      </c>
      <c r="T418" s="99">
        <v>0</v>
      </c>
      <c r="U418" s="3">
        <f t="shared" si="15"/>
        <v>13947.913090312959</v>
      </c>
      <c r="V418" s="100">
        <f>D.sign_Data[[#This Row],[TIEMPO (HORAS)]]*Gastos_Operativos[[#Totals],[GASTOS HORA]]</f>
        <v>13894.738536155201</v>
      </c>
      <c r="W418" s="3">
        <f>+D.sign_Data[[#This Row],[COSTO 
DIRECTO ($COP)]]+D.sign_Data[[#This Row],[PRORRATEO GASTOS ($COP)]]</f>
        <v>27842.65162646816</v>
      </c>
      <c r="X418" s="101">
        <v>0.1</v>
      </c>
      <c r="Y418" s="15">
        <f>+D.sign_Data[[#This Row],[COSTOS OPERACIONALES ($COP)]]*D.sign_Data[[#This Row],[DESFASE (%)]]</f>
        <v>2784.265162646816</v>
      </c>
      <c r="Z418" s="101">
        <v>0.2</v>
      </c>
      <c r="AA418" s="15">
        <f>+((D.sign_Data[[#This Row],[COSTOS OPERACIONALES ($COP)]]/(100%-D.sign_Data[[#This Row],[UTILIDAD (%)]])))-D.sign_Data[[#This Row],[COSTOS OPERACIONALES ($COP)]]</f>
        <v>6960.662906617039</v>
      </c>
      <c r="AB418" s="3">
        <f>+D.sign_Data[[#This Row],[COSTOS OPERACIONALES ($COP)]]+D.sign_Data[[#This Row],[DESFASE ($COP)]]+D.sign_Data[[#This Row],[UTILIDAD ($COP)]]</f>
        <v>37587.579695732013</v>
      </c>
      <c r="AC418" s="101">
        <v>0.05</v>
      </c>
      <c r="AD418" s="15">
        <f>+D.sign_Data[[#This Row],[VALOR NETO ($COP)]]/(100%-D.sign_Data[[#This Row],[MARGEN DE NEGOCIACIÓN (%)]])-D.sign_Data[[#This Row],[VALOR NETO ($COP)]]</f>
        <v>1978.2936681964202</v>
      </c>
      <c r="AE418" s="15">
        <f>+(D.sign_Data[[#This Row],[VALOR NETO ($COP)]]+D.sign_Data[[#This Row],[NEGOCIACIÓN ($COP)]])*1%</f>
        <v>395.65873363928432</v>
      </c>
      <c r="AF418" s="15">
        <f>+(D.sign_Data[[#This Row],[VALOR NETO ($COP)]]+D.sign_Data[[#This Row],[NEGOCIACIÓN ($COP)]])*1%</f>
        <v>395.65873363928432</v>
      </c>
      <c r="AG418" s="3">
        <f>+D.sign_Data[[#This Row],[VALOR NETO ($COP)]]+D.sign_Data[[#This Row],[NEGOCIACIÓN ($COP)]]+D.sign_Data[[#This Row],[ICA ($COP)]]+D.sign_Data[[#This Row],[4 * 1000 ($COP)]]</f>
        <v>40357.190831207001</v>
      </c>
    </row>
    <row r="419" spans="1:33" ht="60" hidden="1" customHeight="1" x14ac:dyDescent="0.25">
      <c r="A419" s="14"/>
      <c r="B419" s="87" t="s">
        <v>418</v>
      </c>
      <c r="C419" s="182" t="s">
        <v>763</v>
      </c>
      <c r="D419" s="189" t="str">
        <f>VLOOKUP(D.sign_Data[[#This Row],[CÓDIGO]],Descripciones[[CÓDIGO]:[NOMBRE DE SERVICIO]],3,FALSE)</f>
        <v>D1. Parcelaciones y Condominios</v>
      </c>
      <c r="E419" s="87" t="s">
        <v>467</v>
      </c>
      <c r="F419" s="88" t="s">
        <v>764</v>
      </c>
      <c r="G419" s="88" t="s">
        <v>765</v>
      </c>
      <c r="H419" s="87" t="s">
        <v>500</v>
      </c>
      <c r="I419" s="89">
        <v>1</v>
      </c>
      <c r="J419" s="88" t="s">
        <v>776</v>
      </c>
      <c r="K419" s="102"/>
      <c r="L419" s="88" t="s">
        <v>771</v>
      </c>
      <c r="M419" s="89" t="s">
        <v>381</v>
      </c>
      <c r="N419" s="90">
        <v>0.3</v>
      </c>
      <c r="O419" s="27">
        <f>IFERROR(+VLOOKUP(M419,D.sign_Lista_Data[[RESPONSABLE]:[SOFTWARE 
VALOR HORA]],3,FALSE),"0")</f>
        <v>20263.424518743668</v>
      </c>
      <c r="P419" s="3">
        <f t="shared" si="14"/>
        <v>6079.0273556231004</v>
      </c>
      <c r="Q419" s="11">
        <f>IFERROR(+VLOOKUP(M419,D.sign_Lista_Data[[RESPONSABLE]:[SOFTWARE 
VALOR HORA]],5,FALSE)*D.sign_Data[[#This Row],[TIEMPO (HORAS)]],0)</f>
        <v>1266.464032421479</v>
      </c>
      <c r="R419" s="42">
        <f>IFERROR(+VLOOKUP(M419,D.sign_Lista_Data[[RESPONSABLE]:[SOFTWARE 
VALOR HORA]],8,FALSE)*D.sign_Data[[#This Row],[TIEMPO (HORAS)]],0)</f>
        <v>1023.256466143195</v>
      </c>
      <c r="S419" s="99">
        <v>0</v>
      </c>
      <c r="T419" s="99">
        <v>0</v>
      </c>
      <c r="U419" s="3">
        <f t="shared" si="15"/>
        <v>8368.7478541877736</v>
      </c>
      <c r="V419" s="100">
        <f>D.sign_Data[[#This Row],[TIEMPO (HORAS)]]*Gastos_Operativos[[#Totals],[GASTOS HORA]]</f>
        <v>8336.8431216931203</v>
      </c>
      <c r="W419" s="3">
        <f>+D.sign_Data[[#This Row],[COSTO 
DIRECTO ($COP)]]+D.sign_Data[[#This Row],[PRORRATEO GASTOS ($COP)]]</f>
        <v>16705.590975880892</v>
      </c>
      <c r="X419" s="101">
        <v>0.1</v>
      </c>
      <c r="Y419" s="15">
        <f>+D.sign_Data[[#This Row],[COSTOS OPERACIONALES ($COP)]]*D.sign_Data[[#This Row],[DESFASE (%)]]</f>
        <v>1670.5590975880893</v>
      </c>
      <c r="Z419" s="101">
        <v>0.2</v>
      </c>
      <c r="AA419" s="15">
        <f>+((D.sign_Data[[#This Row],[COSTOS OPERACIONALES ($COP)]]/(100%-D.sign_Data[[#This Row],[UTILIDAD (%)]])))-D.sign_Data[[#This Row],[COSTOS OPERACIONALES ($COP)]]</f>
        <v>4176.3977439702212</v>
      </c>
      <c r="AB419" s="3">
        <f>+D.sign_Data[[#This Row],[COSTOS OPERACIONALES ($COP)]]+D.sign_Data[[#This Row],[DESFASE ($COP)]]+D.sign_Data[[#This Row],[UTILIDAD ($COP)]]</f>
        <v>22552.547817439201</v>
      </c>
      <c r="AC419" s="101">
        <v>0.05</v>
      </c>
      <c r="AD419" s="15">
        <f>+D.sign_Data[[#This Row],[VALOR NETO ($COP)]]/(100%-D.sign_Data[[#This Row],[MARGEN DE NEGOCIACIÓN (%)]])-D.sign_Data[[#This Row],[VALOR NETO ($COP)]]</f>
        <v>1186.9762009178521</v>
      </c>
      <c r="AE419" s="15">
        <f>+(D.sign_Data[[#This Row],[VALOR NETO ($COP)]]+D.sign_Data[[#This Row],[NEGOCIACIÓN ($COP)]])*1%</f>
        <v>237.39524018357054</v>
      </c>
      <c r="AF419" s="15">
        <f>+(D.sign_Data[[#This Row],[VALOR NETO ($COP)]]+D.sign_Data[[#This Row],[NEGOCIACIÓN ($COP)]])*1%</f>
        <v>237.39524018357054</v>
      </c>
      <c r="AG419" s="3">
        <f>+D.sign_Data[[#This Row],[VALOR NETO ($COP)]]+D.sign_Data[[#This Row],[NEGOCIACIÓN ($COP)]]+D.sign_Data[[#This Row],[ICA ($COP)]]+D.sign_Data[[#This Row],[4 * 1000 ($COP)]]</f>
        <v>24214.314498724194</v>
      </c>
    </row>
    <row r="420" spans="1:33" ht="60" hidden="1" customHeight="1" x14ac:dyDescent="0.25">
      <c r="A420" s="14"/>
      <c r="B420" s="87" t="s">
        <v>418</v>
      </c>
      <c r="C420" s="182" t="s">
        <v>763</v>
      </c>
      <c r="D420" s="189" t="str">
        <f>VLOOKUP(D.sign_Data[[#This Row],[CÓDIGO]],Descripciones[[CÓDIGO]:[NOMBRE DE SERVICIO]],3,FALSE)</f>
        <v>D1. Parcelaciones y Condominios</v>
      </c>
      <c r="E420" s="87" t="s">
        <v>467</v>
      </c>
      <c r="F420" s="88" t="s">
        <v>764</v>
      </c>
      <c r="G420" s="88" t="s">
        <v>765</v>
      </c>
      <c r="H420" s="87" t="s">
        <v>500</v>
      </c>
      <c r="I420" s="89">
        <v>1</v>
      </c>
      <c r="J420" s="88" t="s">
        <v>776</v>
      </c>
      <c r="K420" s="102"/>
      <c r="L420" s="88" t="s">
        <v>483</v>
      </c>
      <c r="M420" s="89" t="s">
        <v>381</v>
      </c>
      <c r="N420" s="90">
        <v>0.3</v>
      </c>
      <c r="O420" s="27">
        <f>IFERROR(+VLOOKUP(M420,D.sign_Lista_Data[[RESPONSABLE]:[SOFTWARE 
VALOR HORA]],3,FALSE),"0")</f>
        <v>20263.424518743668</v>
      </c>
      <c r="P420" s="3">
        <f t="shared" si="14"/>
        <v>6079.0273556231004</v>
      </c>
      <c r="Q420" s="11">
        <f>IFERROR(+VLOOKUP(M420,D.sign_Lista_Data[[RESPONSABLE]:[SOFTWARE 
VALOR HORA]],5,FALSE)*D.sign_Data[[#This Row],[TIEMPO (HORAS)]],0)</f>
        <v>1266.464032421479</v>
      </c>
      <c r="R420" s="42">
        <f>IFERROR(+VLOOKUP(M420,D.sign_Lista_Data[[RESPONSABLE]:[SOFTWARE 
VALOR HORA]],8,FALSE)*D.sign_Data[[#This Row],[TIEMPO (HORAS)]],0)</f>
        <v>1023.256466143195</v>
      </c>
      <c r="S420" s="99">
        <v>0</v>
      </c>
      <c r="T420" s="99">
        <v>0</v>
      </c>
      <c r="U420" s="3">
        <f t="shared" si="15"/>
        <v>8368.7478541877736</v>
      </c>
      <c r="V420" s="100">
        <f>D.sign_Data[[#This Row],[TIEMPO (HORAS)]]*Gastos_Operativos[[#Totals],[GASTOS HORA]]</f>
        <v>8336.8431216931203</v>
      </c>
      <c r="W420" s="3">
        <f>+D.sign_Data[[#This Row],[COSTO 
DIRECTO ($COP)]]+D.sign_Data[[#This Row],[PRORRATEO GASTOS ($COP)]]</f>
        <v>16705.590975880892</v>
      </c>
      <c r="X420" s="101">
        <v>0.1</v>
      </c>
      <c r="Y420" s="15">
        <f>+D.sign_Data[[#This Row],[COSTOS OPERACIONALES ($COP)]]*D.sign_Data[[#This Row],[DESFASE (%)]]</f>
        <v>1670.5590975880893</v>
      </c>
      <c r="Z420" s="101">
        <v>0.2</v>
      </c>
      <c r="AA420" s="15">
        <f>+((D.sign_Data[[#This Row],[COSTOS OPERACIONALES ($COP)]]/(100%-D.sign_Data[[#This Row],[UTILIDAD (%)]])))-D.sign_Data[[#This Row],[COSTOS OPERACIONALES ($COP)]]</f>
        <v>4176.3977439702212</v>
      </c>
      <c r="AB420" s="3">
        <f>+D.sign_Data[[#This Row],[COSTOS OPERACIONALES ($COP)]]+D.sign_Data[[#This Row],[DESFASE ($COP)]]+D.sign_Data[[#This Row],[UTILIDAD ($COP)]]</f>
        <v>22552.547817439201</v>
      </c>
      <c r="AC420" s="101">
        <v>0.05</v>
      </c>
      <c r="AD420" s="15">
        <f>+D.sign_Data[[#This Row],[VALOR NETO ($COP)]]/(100%-D.sign_Data[[#This Row],[MARGEN DE NEGOCIACIÓN (%)]])-D.sign_Data[[#This Row],[VALOR NETO ($COP)]]</f>
        <v>1186.9762009178521</v>
      </c>
      <c r="AE420" s="15">
        <f>+(D.sign_Data[[#This Row],[VALOR NETO ($COP)]]+D.sign_Data[[#This Row],[NEGOCIACIÓN ($COP)]])*1%</f>
        <v>237.39524018357054</v>
      </c>
      <c r="AF420" s="15">
        <f>+(D.sign_Data[[#This Row],[VALOR NETO ($COP)]]+D.sign_Data[[#This Row],[NEGOCIACIÓN ($COP)]])*1%</f>
        <v>237.39524018357054</v>
      </c>
      <c r="AG420" s="3">
        <f>+D.sign_Data[[#This Row],[VALOR NETO ($COP)]]+D.sign_Data[[#This Row],[NEGOCIACIÓN ($COP)]]+D.sign_Data[[#This Row],[ICA ($COP)]]+D.sign_Data[[#This Row],[4 * 1000 ($COP)]]</f>
        <v>24214.314498724194</v>
      </c>
    </row>
    <row r="421" spans="1:33" ht="60" hidden="1" customHeight="1" x14ac:dyDescent="0.25">
      <c r="A421" s="14"/>
      <c r="B421" s="87" t="s">
        <v>418</v>
      </c>
      <c r="C421" s="182" t="s">
        <v>763</v>
      </c>
      <c r="D421" s="189" t="str">
        <f>VLOOKUP(D.sign_Data[[#This Row],[CÓDIGO]],Descripciones[[CÓDIGO]:[NOMBRE DE SERVICIO]],3,FALSE)</f>
        <v>D1. Parcelaciones y Condominios</v>
      </c>
      <c r="E421" s="87" t="s">
        <v>467</v>
      </c>
      <c r="F421" s="88" t="s">
        <v>764</v>
      </c>
      <c r="G421" s="88" t="s">
        <v>765</v>
      </c>
      <c r="H421" s="87" t="s">
        <v>500</v>
      </c>
      <c r="I421" s="89">
        <v>1</v>
      </c>
      <c r="J421" s="88" t="s">
        <v>776</v>
      </c>
      <c r="K421" s="102"/>
      <c r="L421" s="88" t="s">
        <v>474</v>
      </c>
      <c r="M421" s="89" t="s">
        <v>381</v>
      </c>
      <c r="N421" s="90">
        <v>0.3</v>
      </c>
      <c r="O421" s="27">
        <f>IFERROR(+VLOOKUP(M421,D.sign_Lista_Data[[RESPONSABLE]:[SOFTWARE 
VALOR HORA]],3,FALSE),"0")</f>
        <v>20263.424518743668</v>
      </c>
      <c r="P421" s="3">
        <f t="shared" si="14"/>
        <v>6079.0273556231004</v>
      </c>
      <c r="Q421" s="11">
        <f>IFERROR(+VLOOKUP(M421,D.sign_Lista_Data[[RESPONSABLE]:[SOFTWARE 
VALOR HORA]],5,FALSE)*D.sign_Data[[#This Row],[TIEMPO (HORAS)]],0)</f>
        <v>1266.464032421479</v>
      </c>
      <c r="R421" s="42">
        <f>IFERROR(+VLOOKUP(M421,D.sign_Lista_Data[[RESPONSABLE]:[SOFTWARE 
VALOR HORA]],8,FALSE)*D.sign_Data[[#This Row],[TIEMPO (HORAS)]],0)</f>
        <v>1023.256466143195</v>
      </c>
      <c r="S421" s="99">
        <v>0</v>
      </c>
      <c r="T421" s="99">
        <v>0</v>
      </c>
      <c r="U421" s="3">
        <f t="shared" si="15"/>
        <v>8368.7478541877736</v>
      </c>
      <c r="V421" s="100">
        <f>D.sign_Data[[#This Row],[TIEMPO (HORAS)]]*Gastos_Operativos[[#Totals],[GASTOS HORA]]</f>
        <v>8336.8431216931203</v>
      </c>
      <c r="W421" s="3">
        <f>+D.sign_Data[[#This Row],[COSTO 
DIRECTO ($COP)]]+D.sign_Data[[#This Row],[PRORRATEO GASTOS ($COP)]]</f>
        <v>16705.590975880892</v>
      </c>
      <c r="X421" s="101">
        <v>0.1</v>
      </c>
      <c r="Y421" s="15">
        <f>+D.sign_Data[[#This Row],[COSTOS OPERACIONALES ($COP)]]*D.sign_Data[[#This Row],[DESFASE (%)]]</f>
        <v>1670.5590975880893</v>
      </c>
      <c r="Z421" s="101">
        <v>0.2</v>
      </c>
      <c r="AA421" s="15">
        <f>+((D.sign_Data[[#This Row],[COSTOS OPERACIONALES ($COP)]]/(100%-D.sign_Data[[#This Row],[UTILIDAD (%)]])))-D.sign_Data[[#This Row],[COSTOS OPERACIONALES ($COP)]]</f>
        <v>4176.3977439702212</v>
      </c>
      <c r="AB421" s="3">
        <f>+D.sign_Data[[#This Row],[COSTOS OPERACIONALES ($COP)]]+D.sign_Data[[#This Row],[DESFASE ($COP)]]+D.sign_Data[[#This Row],[UTILIDAD ($COP)]]</f>
        <v>22552.547817439201</v>
      </c>
      <c r="AC421" s="101">
        <v>0.05</v>
      </c>
      <c r="AD421" s="15">
        <f>+D.sign_Data[[#This Row],[VALOR NETO ($COP)]]/(100%-D.sign_Data[[#This Row],[MARGEN DE NEGOCIACIÓN (%)]])-D.sign_Data[[#This Row],[VALOR NETO ($COP)]]</f>
        <v>1186.9762009178521</v>
      </c>
      <c r="AE421" s="15">
        <f>+(D.sign_Data[[#This Row],[VALOR NETO ($COP)]]+D.sign_Data[[#This Row],[NEGOCIACIÓN ($COP)]])*1%</f>
        <v>237.39524018357054</v>
      </c>
      <c r="AF421" s="15">
        <f>+(D.sign_Data[[#This Row],[VALOR NETO ($COP)]]+D.sign_Data[[#This Row],[NEGOCIACIÓN ($COP)]])*1%</f>
        <v>237.39524018357054</v>
      </c>
      <c r="AG421" s="3">
        <f>+D.sign_Data[[#This Row],[VALOR NETO ($COP)]]+D.sign_Data[[#This Row],[NEGOCIACIÓN ($COP)]]+D.sign_Data[[#This Row],[ICA ($COP)]]+D.sign_Data[[#This Row],[4 * 1000 ($COP)]]</f>
        <v>24214.314498724194</v>
      </c>
    </row>
    <row r="422" spans="1:33" ht="60" hidden="1" customHeight="1" x14ac:dyDescent="0.25">
      <c r="A422" s="14"/>
      <c r="B422" s="87" t="s">
        <v>418</v>
      </c>
      <c r="C422" s="182" t="s">
        <v>763</v>
      </c>
      <c r="D422" s="189" t="str">
        <f>VLOOKUP(D.sign_Data[[#This Row],[CÓDIGO]],Descripciones[[CÓDIGO]:[NOMBRE DE SERVICIO]],3,FALSE)</f>
        <v>D1. Parcelaciones y Condominios</v>
      </c>
      <c r="E422" s="87" t="s">
        <v>467</v>
      </c>
      <c r="F422" s="88" t="s">
        <v>764</v>
      </c>
      <c r="G422" s="88" t="s">
        <v>765</v>
      </c>
      <c r="H422" s="87" t="s">
        <v>500</v>
      </c>
      <c r="I422" s="89">
        <v>1</v>
      </c>
      <c r="J422" s="88" t="s">
        <v>780</v>
      </c>
      <c r="K422" s="102"/>
      <c r="L422" s="88" t="s">
        <v>781</v>
      </c>
      <c r="M422" s="89" t="s">
        <v>381</v>
      </c>
      <c r="N422" s="90">
        <v>0.3</v>
      </c>
      <c r="O422" s="27">
        <f>IFERROR(+VLOOKUP(M422,D.sign_Lista_Data[[RESPONSABLE]:[SOFTWARE 
VALOR HORA]],3,FALSE),"0")</f>
        <v>20263.424518743668</v>
      </c>
      <c r="P422" s="3">
        <f t="shared" si="14"/>
        <v>6079.0273556231004</v>
      </c>
      <c r="Q422" s="11">
        <f>IFERROR(+VLOOKUP(M422,D.sign_Lista_Data[[RESPONSABLE]:[SOFTWARE 
VALOR HORA]],5,FALSE)*D.sign_Data[[#This Row],[TIEMPO (HORAS)]],0)</f>
        <v>1266.464032421479</v>
      </c>
      <c r="R422" s="42">
        <f>IFERROR(+VLOOKUP(M422,D.sign_Lista_Data[[RESPONSABLE]:[SOFTWARE 
VALOR HORA]],8,FALSE)*D.sign_Data[[#This Row],[TIEMPO (HORAS)]],0)</f>
        <v>1023.256466143195</v>
      </c>
      <c r="S422" s="99">
        <v>0</v>
      </c>
      <c r="T422" s="99">
        <v>0</v>
      </c>
      <c r="U422" s="3">
        <f t="shared" si="15"/>
        <v>8368.7478541877736</v>
      </c>
      <c r="V422" s="100">
        <f>D.sign_Data[[#This Row],[TIEMPO (HORAS)]]*Gastos_Operativos[[#Totals],[GASTOS HORA]]</f>
        <v>8336.8431216931203</v>
      </c>
      <c r="W422" s="3">
        <f>+D.sign_Data[[#This Row],[COSTO 
DIRECTO ($COP)]]+D.sign_Data[[#This Row],[PRORRATEO GASTOS ($COP)]]</f>
        <v>16705.590975880892</v>
      </c>
      <c r="X422" s="101">
        <v>0.1</v>
      </c>
      <c r="Y422" s="15">
        <f>+D.sign_Data[[#This Row],[COSTOS OPERACIONALES ($COP)]]*D.sign_Data[[#This Row],[DESFASE (%)]]</f>
        <v>1670.5590975880893</v>
      </c>
      <c r="Z422" s="101">
        <v>0.2</v>
      </c>
      <c r="AA422" s="15">
        <f>+((D.sign_Data[[#This Row],[COSTOS OPERACIONALES ($COP)]]/(100%-D.sign_Data[[#This Row],[UTILIDAD (%)]])))-D.sign_Data[[#This Row],[COSTOS OPERACIONALES ($COP)]]</f>
        <v>4176.3977439702212</v>
      </c>
      <c r="AB422" s="3">
        <f>+D.sign_Data[[#This Row],[COSTOS OPERACIONALES ($COP)]]+D.sign_Data[[#This Row],[DESFASE ($COP)]]+D.sign_Data[[#This Row],[UTILIDAD ($COP)]]</f>
        <v>22552.547817439201</v>
      </c>
      <c r="AC422" s="101">
        <v>0.05</v>
      </c>
      <c r="AD422" s="15">
        <f>+D.sign_Data[[#This Row],[VALOR NETO ($COP)]]/(100%-D.sign_Data[[#This Row],[MARGEN DE NEGOCIACIÓN (%)]])-D.sign_Data[[#This Row],[VALOR NETO ($COP)]]</f>
        <v>1186.9762009178521</v>
      </c>
      <c r="AE422" s="15">
        <f>+(D.sign_Data[[#This Row],[VALOR NETO ($COP)]]+D.sign_Data[[#This Row],[NEGOCIACIÓN ($COP)]])*1%</f>
        <v>237.39524018357054</v>
      </c>
      <c r="AF422" s="15">
        <f>+(D.sign_Data[[#This Row],[VALOR NETO ($COP)]]+D.sign_Data[[#This Row],[NEGOCIACIÓN ($COP)]])*1%</f>
        <v>237.39524018357054</v>
      </c>
      <c r="AG422" s="3">
        <f>+D.sign_Data[[#This Row],[VALOR NETO ($COP)]]+D.sign_Data[[#This Row],[NEGOCIACIÓN ($COP)]]+D.sign_Data[[#This Row],[ICA ($COP)]]+D.sign_Data[[#This Row],[4 * 1000 ($COP)]]</f>
        <v>24214.314498724194</v>
      </c>
    </row>
    <row r="423" spans="1:33" ht="60" hidden="1" customHeight="1" x14ac:dyDescent="0.25">
      <c r="A423" s="14"/>
      <c r="B423" s="87" t="s">
        <v>418</v>
      </c>
      <c r="C423" s="182" t="s">
        <v>763</v>
      </c>
      <c r="D423" s="189" t="str">
        <f>VLOOKUP(D.sign_Data[[#This Row],[CÓDIGO]],Descripciones[[CÓDIGO]:[NOMBRE DE SERVICIO]],3,FALSE)</f>
        <v>D1. Parcelaciones y Condominios</v>
      </c>
      <c r="E423" s="87" t="s">
        <v>467</v>
      </c>
      <c r="F423" s="88" t="s">
        <v>764</v>
      </c>
      <c r="G423" s="88" t="s">
        <v>765</v>
      </c>
      <c r="H423" s="87" t="s">
        <v>500</v>
      </c>
      <c r="I423" s="89">
        <v>1</v>
      </c>
      <c r="J423" s="88" t="s">
        <v>780</v>
      </c>
      <c r="K423" s="102"/>
      <c r="L423" s="88" t="s">
        <v>782</v>
      </c>
      <c r="M423" s="89" t="s">
        <v>381</v>
      </c>
      <c r="N423" s="90">
        <v>0.3</v>
      </c>
      <c r="O423" s="27">
        <f>IFERROR(+VLOOKUP(M423,D.sign_Lista_Data[[RESPONSABLE]:[SOFTWARE 
VALOR HORA]],3,FALSE),"0")</f>
        <v>20263.424518743668</v>
      </c>
      <c r="P423" s="3">
        <f t="shared" si="14"/>
        <v>6079.0273556231004</v>
      </c>
      <c r="Q423" s="11">
        <f>IFERROR(+VLOOKUP(M423,D.sign_Lista_Data[[RESPONSABLE]:[SOFTWARE 
VALOR HORA]],5,FALSE)*D.sign_Data[[#This Row],[TIEMPO (HORAS)]],0)</f>
        <v>1266.464032421479</v>
      </c>
      <c r="R423" s="42">
        <f>IFERROR(+VLOOKUP(M423,D.sign_Lista_Data[[RESPONSABLE]:[SOFTWARE 
VALOR HORA]],8,FALSE)*D.sign_Data[[#This Row],[TIEMPO (HORAS)]],0)</f>
        <v>1023.256466143195</v>
      </c>
      <c r="S423" s="99">
        <v>0</v>
      </c>
      <c r="T423" s="99">
        <v>0</v>
      </c>
      <c r="U423" s="3">
        <f t="shared" si="15"/>
        <v>8368.7478541877736</v>
      </c>
      <c r="V423" s="100">
        <f>D.sign_Data[[#This Row],[TIEMPO (HORAS)]]*Gastos_Operativos[[#Totals],[GASTOS HORA]]</f>
        <v>8336.8431216931203</v>
      </c>
      <c r="W423" s="3">
        <f>+D.sign_Data[[#This Row],[COSTO 
DIRECTO ($COP)]]+D.sign_Data[[#This Row],[PRORRATEO GASTOS ($COP)]]</f>
        <v>16705.590975880892</v>
      </c>
      <c r="X423" s="101">
        <v>0.1</v>
      </c>
      <c r="Y423" s="15">
        <f>+D.sign_Data[[#This Row],[COSTOS OPERACIONALES ($COP)]]*D.sign_Data[[#This Row],[DESFASE (%)]]</f>
        <v>1670.5590975880893</v>
      </c>
      <c r="Z423" s="101">
        <v>0.2</v>
      </c>
      <c r="AA423" s="15">
        <f>+((D.sign_Data[[#This Row],[COSTOS OPERACIONALES ($COP)]]/(100%-D.sign_Data[[#This Row],[UTILIDAD (%)]])))-D.sign_Data[[#This Row],[COSTOS OPERACIONALES ($COP)]]</f>
        <v>4176.3977439702212</v>
      </c>
      <c r="AB423" s="3">
        <f>+D.sign_Data[[#This Row],[COSTOS OPERACIONALES ($COP)]]+D.sign_Data[[#This Row],[DESFASE ($COP)]]+D.sign_Data[[#This Row],[UTILIDAD ($COP)]]</f>
        <v>22552.547817439201</v>
      </c>
      <c r="AC423" s="101">
        <v>0.05</v>
      </c>
      <c r="AD423" s="15">
        <f>+D.sign_Data[[#This Row],[VALOR NETO ($COP)]]/(100%-D.sign_Data[[#This Row],[MARGEN DE NEGOCIACIÓN (%)]])-D.sign_Data[[#This Row],[VALOR NETO ($COP)]]</f>
        <v>1186.9762009178521</v>
      </c>
      <c r="AE423" s="15">
        <f>+(D.sign_Data[[#This Row],[VALOR NETO ($COP)]]+D.sign_Data[[#This Row],[NEGOCIACIÓN ($COP)]])*1%</f>
        <v>237.39524018357054</v>
      </c>
      <c r="AF423" s="15">
        <f>+(D.sign_Data[[#This Row],[VALOR NETO ($COP)]]+D.sign_Data[[#This Row],[NEGOCIACIÓN ($COP)]])*1%</f>
        <v>237.39524018357054</v>
      </c>
      <c r="AG423" s="3">
        <f>+D.sign_Data[[#This Row],[VALOR NETO ($COP)]]+D.sign_Data[[#This Row],[NEGOCIACIÓN ($COP)]]+D.sign_Data[[#This Row],[ICA ($COP)]]+D.sign_Data[[#This Row],[4 * 1000 ($COP)]]</f>
        <v>24214.314498724194</v>
      </c>
    </row>
    <row r="424" spans="1:33" ht="60" hidden="1" customHeight="1" x14ac:dyDescent="0.25">
      <c r="A424" s="14"/>
      <c r="B424" s="87" t="s">
        <v>418</v>
      </c>
      <c r="C424" s="182" t="s">
        <v>763</v>
      </c>
      <c r="D424" s="189" t="str">
        <f>VLOOKUP(D.sign_Data[[#This Row],[CÓDIGO]],Descripciones[[CÓDIGO]:[NOMBRE DE SERVICIO]],3,FALSE)</f>
        <v>D1. Parcelaciones y Condominios</v>
      </c>
      <c r="E424" s="87" t="s">
        <v>467</v>
      </c>
      <c r="F424" s="88" t="s">
        <v>764</v>
      </c>
      <c r="G424" s="88" t="s">
        <v>765</v>
      </c>
      <c r="H424" s="87" t="s">
        <v>500</v>
      </c>
      <c r="I424" s="89">
        <v>1</v>
      </c>
      <c r="J424" s="88" t="s">
        <v>780</v>
      </c>
      <c r="K424" s="102"/>
      <c r="L424" s="88" t="s">
        <v>777</v>
      </c>
      <c r="M424" s="89" t="s">
        <v>381</v>
      </c>
      <c r="N424" s="90">
        <v>0.3</v>
      </c>
      <c r="O424" s="27">
        <f>IFERROR(+VLOOKUP(M424,D.sign_Lista_Data[[RESPONSABLE]:[SOFTWARE 
VALOR HORA]],3,FALSE),"0")</f>
        <v>20263.424518743668</v>
      </c>
      <c r="P424" s="3">
        <f t="shared" si="14"/>
        <v>6079.0273556231004</v>
      </c>
      <c r="Q424" s="11">
        <f>IFERROR(+VLOOKUP(M424,D.sign_Lista_Data[[RESPONSABLE]:[SOFTWARE 
VALOR HORA]],5,FALSE)*D.sign_Data[[#This Row],[TIEMPO (HORAS)]],0)</f>
        <v>1266.464032421479</v>
      </c>
      <c r="R424" s="42">
        <f>IFERROR(+VLOOKUP(M424,D.sign_Lista_Data[[RESPONSABLE]:[SOFTWARE 
VALOR HORA]],8,FALSE)*D.sign_Data[[#This Row],[TIEMPO (HORAS)]],0)</f>
        <v>1023.256466143195</v>
      </c>
      <c r="S424" s="99">
        <v>0</v>
      </c>
      <c r="T424" s="99">
        <v>0</v>
      </c>
      <c r="U424" s="3">
        <f t="shared" si="15"/>
        <v>8368.7478541877736</v>
      </c>
      <c r="V424" s="100">
        <f>D.sign_Data[[#This Row],[TIEMPO (HORAS)]]*Gastos_Operativos[[#Totals],[GASTOS HORA]]</f>
        <v>8336.8431216931203</v>
      </c>
      <c r="W424" s="3">
        <f>+D.sign_Data[[#This Row],[COSTO 
DIRECTO ($COP)]]+D.sign_Data[[#This Row],[PRORRATEO GASTOS ($COP)]]</f>
        <v>16705.590975880892</v>
      </c>
      <c r="X424" s="101">
        <v>0.1</v>
      </c>
      <c r="Y424" s="15">
        <f>+D.sign_Data[[#This Row],[COSTOS OPERACIONALES ($COP)]]*D.sign_Data[[#This Row],[DESFASE (%)]]</f>
        <v>1670.5590975880893</v>
      </c>
      <c r="Z424" s="101">
        <v>0.2</v>
      </c>
      <c r="AA424" s="15">
        <f>+((D.sign_Data[[#This Row],[COSTOS OPERACIONALES ($COP)]]/(100%-D.sign_Data[[#This Row],[UTILIDAD (%)]])))-D.sign_Data[[#This Row],[COSTOS OPERACIONALES ($COP)]]</f>
        <v>4176.3977439702212</v>
      </c>
      <c r="AB424" s="3">
        <f>+D.sign_Data[[#This Row],[COSTOS OPERACIONALES ($COP)]]+D.sign_Data[[#This Row],[DESFASE ($COP)]]+D.sign_Data[[#This Row],[UTILIDAD ($COP)]]</f>
        <v>22552.547817439201</v>
      </c>
      <c r="AC424" s="101">
        <v>0.05</v>
      </c>
      <c r="AD424" s="15">
        <f>+D.sign_Data[[#This Row],[VALOR NETO ($COP)]]/(100%-D.sign_Data[[#This Row],[MARGEN DE NEGOCIACIÓN (%)]])-D.sign_Data[[#This Row],[VALOR NETO ($COP)]]</f>
        <v>1186.9762009178521</v>
      </c>
      <c r="AE424" s="15">
        <f>+(D.sign_Data[[#This Row],[VALOR NETO ($COP)]]+D.sign_Data[[#This Row],[NEGOCIACIÓN ($COP)]])*1%</f>
        <v>237.39524018357054</v>
      </c>
      <c r="AF424" s="15">
        <f>+(D.sign_Data[[#This Row],[VALOR NETO ($COP)]]+D.sign_Data[[#This Row],[NEGOCIACIÓN ($COP)]])*1%</f>
        <v>237.39524018357054</v>
      </c>
      <c r="AG424" s="3">
        <f>+D.sign_Data[[#This Row],[VALOR NETO ($COP)]]+D.sign_Data[[#This Row],[NEGOCIACIÓN ($COP)]]+D.sign_Data[[#This Row],[ICA ($COP)]]+D.sign_Data[[#This Row],[4 * 1000 ($COP)]]</f>
        <v>24214.314498724194</v>
      </c>
    </row>
    <row r="425" spans="1:33" ht="60" hidden="1" customHeight="1" x14ac:dyDescent="0.25">
      <c r="A425" s="14"/>
      <c r="B425" s="87" t="s">
        <v>418</v>
      </c>
      <c r="C425" s="182" t="s">
        <v>763</v>
      </c>
      <c r="D425" s="189" t="str">
        <f>VLOOKUP(D.sign_Data[[#This Row],[CÓDIGO]],Descripciones[[CÓDIGO]:[NOMBRE DE SERVICIO]],3,FALSE)</f>
        <v>D1. Parcelaciones y Condominios</v>
      </c>
      <c r="E425" s="87" t="s">
        <v>467</v>
      </c>
      <c r="F425" s="88" t="s">
        <v>764</v>
      </c>
      <c r="G425" s="88" t="s">
        <v>765</v>
      </c>
      <c r="H425" s="87" t="s">
        <v>500</v>
      </c>
      <c r="I425" s="89">
        <v>1</v>
      </c>
      <c r="J425" s="88" t="s">
        <v>780</v>
      </c>
      <c r="K425" s="102"/>
      <c r="L425" s="88" t="s">
        <v>483</v>
      </c>
      <c r="M425" s="89" t="s">
        <v>381</v>
      </c>
      <c r="N425" s="90">
        <v>0.3</v>
      </c>
      <c r="O425" s="27">
        <f>IFERROR(+VLOOKUP(M425,D.sign_Lista_Data[[RESPONSABLE]:[SOFTWARE 
VALOR HORA]],3,FALSE),"0")</f>
        <v>20263.424518743668</v>
      </c>
      <c r="P425" s="3">
        <f t="shared" si="14"/>
        <v>6079.0273556231004</v>
      </c>
      <c r="Q425" s="11">
        <f>IFERROR(+VLOOKUP(M425,D.sign_Lista_Data[[RESPONSABLE]:[SOFTWARE 
VALOR HORA]],5,FALSE)*D.sign_Data[[#This Row],[TIEMPO (HORAS)]],0)</f>
        <v>1266.464032421479</v>
      </c>
      <c r="R425" s="42">
        <f>IFERROR(+VLOOKUP(M425,D.sign_Lista_Data[[RESPONSABLE]:[SOFTWARE 
VALOR HORA]],8,FALSE)*D.sign_Data[[#This Row],[TIEMPO (HORAS)]],0)</f>
        <v>1023.256466143195</v>
      </c>
      <c r="S425" s="99">
        <v>0</v>
      </c>
      <c r="T425" s="99">
        <v>0</v>
      </c>
      <c r="U425" s="3">
        <f t="shared" si="15"/>
        <v>8368.7478541877736</v>
      </c>
      <c r="V425" s="100">
        <f>D.sign_Data[[#This Row],[TIEMPO (HORAS)]]*Gastos_Operativos[[#Totals],[GASTOS HORA]]</f>
        <v>8336.8431216931203</v>
      </c>
      <c r="W425" s="3">
        <f>+D.sign_Data[[#This Row],[COSTO 
DIRECTO ($COP)]]+D.sign_Data[[#This Row],[PRORRATEO GASTOS ($COP)]]</f>
        <v>16705.590975880892</v>
      </c>
      <c r="X425" s="101">
        <v>0.1</v>
      </c>
      <c r="Y425" s="15">
        <f>+D.sign_Data[[#This Row],[COSTOS OPERACIONALES ($COP)]]*D.sign_Data[[#This Row],[DESFASE (%)]]</f>
        <v>1670.5590975880893</v>
      </c>
      <c r="Z425" s="101">
        <v>0.2</v>
      </c>
      <c r="AA425" s="15">
        <f>+((D.sign_Data[[#This Row],[COSTOS OPERACIONALES ($COP)]]/(100%-D.sign_Data[[#This Row],[UTILIDAD (%)]])))-D.sign_Data[[#This Row],[COSTOS OPERACIONALES ($COP)]]</f>
        <v>4176.3977439702212</v>
      </c>
      <c r="AB425" s="3">
        <f>+D.sign_Data[[#This Row],[COSTOS OPERACIONALES ($COP)]]+D.sign_Data[[#This Row],[DESFASE ($COP)]]+D.sign_Data[[#This Row],[UTILIDAD ($COP)]]</f>
        <v>22552.547817439201</v>
      </c>
      <c r="AC425" s="101">
        <v>0.05</v>
      </c>
      <c r="AD425" s="15">
        <f>+D.sign_Data[[#This Row],[VALOR NETO ($COP)]]/(100%-D.sign_Data[[#This Row],[MARGEN DE NEGOCIACIÓN (%)]])-D.sign_Data[[#This Row],[VALOR NETO ($COP)]]</f>
        <v>1186.9762009178521</v>
      </c>
      <c r="AE425" s="15">
        <f>+(D.sign_Data[[#This Row],[VALOR NETO ($COP)]]+D.sign_Data[[#This Row],[NEGOCIACIÓN ($COP)]])*1%</f>
        <v>237.39524018357054</v>
      </c>
      <c r="AF425" s="15">
        <f>+(D.sign_Data[[#This Row],[VALOR NETO ($COP)]]+D.sign_Data[[#This Row],[NEGOCIACIÓN ($COP)]])*1%</f>
        <v>237.39524018357054</v>
      </c>
      <c r="AG425" s="3">
        <f>+D.sign_Data[[#This Row],[VALOR NETO ($COP)]]+D.sign_Data[[#This Row],[NEGOCIACIÓN ($COP)]]+D.sign_Data[[#This Row],[ICA ($COP)]]+D.sign_Data[[#This Row],[4 * 1000 ($COP)]]</f>
        <v>24214.314498724194</v>
      </c>
    </row>
    <row r="426" spans="1:33" ht="60" hidden="1" customHeight="1" x14ac:dyDescent="0.25">
      <c r="A426" s="14"/>
      <c r="B426" s="87" t="s">
        <v>418</v>
      </c>
      <c r="C426" s="182" t="s">
        <v>763</v>
      </c>
      <c r="D426" s="189" t="str">
        <f>VLOOKUP(D.sign_Data[[#This Row],[CÓDIGO]],Descripciones[[CÓDIGO]:[NOMBRE DE SERVICIO]],3,FALSE)</f>
        <v>D1. Parcelaciones y Condominios</v>
      </c>
      <c r="E426" s="87" t="s">
        <v>467</v>
      </c>
      <c r="F426" s="88" t="s">
        <v>764</v>
      </c>
      <c r="G426" s="88" t="s">
        <v>765</v>
      </c>
      <c r="H426" s="87" t="s">
        <v>500</v>
      </c>
      <c r="I426" s="89">
        <v>1</v>
      </c>
      <c r="J426" s="88" t="s">
        <v>783</v>
      </c>
      <c r="K426" s="102"/>
      <c r="L426" s="88" t="s">
        <v>784</v>
      </c>
      <c r="M426" s="89" t="s">
        <v>381</v>
      </c>
      <c r="N426" s="90">
        <v>0.5</v>
      </c>
      <c r="O426" s="27">
        <f>IFERROR(+VLOOKUP(M426,D.sign_Lista_Data[[RESPONSABLE]:[SOFTWARE 
VALOR HORA]],3,FALSE),"0")</f>
        <v>20263.424518743668</v>
      </c>
      <c r="P426" s="3">
        <f t="shared" si="14"/>
        <v>10131.712259371834</v>
      </c>
      <c r="Q426" s="11">
        <f>IFERROR(+VLOOKUP(M426,D.sign_Lista_Data[[RESPONSABLE]:[SOFTWARE 
VALOR HORA]],5,FALSE)*D.sign_Data[[#This Row],[TIEMPO (HORAS)]],0)</f>
        <v>2110.7733873691318</v>
      </c>
      <c r="R426" s="42">
        <f>IFERROR(+VLOOKUP(M426,D.sign_Lista_Data[[RESPONSABLE]:[SOFTWARE 
VALOR HORA]],8,FALSE)*D.sign_Data[[#This Row],[TIEMPO (HORAS)]],0)</f>
        <v>1705.4274435719917</v>
      </c>
      <c r="S426" s="99">
        <v>0</v>
      </c>
      <c r="T426" s="99">
        <v>0</v>
      </c>
      <c r="U426" s="3">
        <f t="shared" si="15"/>
        <v>13947.913090312959</v>
      </c>
      <c r="V426" s="100">
        <f>D.sign_Data[[#This Row],[TIEMPO (HORAS)]]*Gastos_Operativos[[#Totals],[GASTOS HORA]]</f>
        <v>13894.738536155201</v>
      </c>
      <c r="W426" s="3">
        <f>+D.sign_Data[[#This Row],[COSTO 
DIRECTO ($COP)]]+D.sign_Data[[#This Row],[PRORRATEO GASTOS ($COP)]]</f>
        <v>27842.65162646816</v>
      </c>
      <c r="X426" s="101">
        <v>0.1</v>
      </c>
      <c r="Y426" s="15">
        <f>+D.sign_Data[[#This Row],[COSTOS OPERACIONALES ($COP)]]*D.sign_Data[[#This Row],[DESFASE (%)]]</f>
        <v>2784.265162646816</v>
      </c>
      <c r="Z426" s="101">
        <v>0.2</v>
      </c>
      <c r="AA426" s="15">
        <f>+((D.sign_Data[[#This Row],[COSTOS OPERACIONALES ($COP)]]/(100%-D.sign_Data[[#This Row],[UTILIDAD (%)]])))-D.sign_Data[[#This Row],[COSTOS OPERACIONALES ($COP)]]</f>
        <v>6960.662906617039</v>
      </c>
      <c r="AB426" s="3">
        <f>+D.sign_Data[[#This Row],[COSTOS OPERACIONALES ($COP)]]+D.sign_Data[[#This Row],[DESFASE ($COP)]]+D.sign_Data[[#This Row],[UTILIDAD ($COP)]]</f>
        <v>37587.579695732013</v>
      </c>
      <c r="AC426" s="101">
        <v>0.05</v>
      </c>
      <c r="AD426" s="15">
        <f>+D.sign_Data[[#This Row],[VALOR NETO ($COP)]]/(100%-D.sign_Data[[#This Row],[MARGEN DE NEGOCIACIÓN (%)]])-D.sign_Data[[#This Row],[VALOR NETO ($COP)]]</f>
        <v>1978.2936681964202</v>
      </c>
      <c r="AE426" s="15">
        <f>+(D.sign_Data[[#This Row],[VALOR NETO ($COP)]]+D.sign_Data[[#This Row],[NEGOCIACIÓN ($COP)]])*1%</f>
        <v>395.65873363928432</v>
      </c>
      <c r="AF426" s="15">
        <f>+(D.sign_Data[[#This Row],[VALOR NETO ($COP)]]+D.sign_Data[[#This Row],[NEGOCIACIÓN ($COP)]])*1%</f>
        <v>395.65873363928432</v>
      </c>
      <c r="AG426" s="3">
        <f>+D.sign_Data[[#This Row],[VALOR NETO ($COP)]]+D.sign_Data[[#This Row],[NEGOCIACIÓN ($COP)]]+D.sign_Data[[#This Row],[ICA ($COP)]]+D.sign_Data[[#This Row],[4 * 1000 ($COP)]]</f>
        <v>40357.190831207001</v>
      </c>
    </row>
    <row r="427" spans="1:33" ht="60" hidden="1" customHeight="1" x14ac:dyDescent="0.25">
      <c r="A427" s="14"/>
      <c r="B427" s="87" t="s">
        <v>418</v>
      </c>
      <c r="C427" s="182" t="s">
        <v>763</v>
      </c>
      <c r="D427" s="189" t="str">
        <f>VLOOKUP(D.sign_Data[[#This Row],[CÓDIGO]],Descripciones[[CÓDIGO]:[NOMBRE DE SERVICIO]],3,FALSE)</f>
        <v>D1. Parcelaciones y Condominios</v>
      </c>
      <c r="E427" s="87" t="s">
        <v>467</v>
      </c>
      <c r="F427" s="88" t="s">
        <v>764</v>
      </c>
      <c r="G427" s="88" t="s">
        <v>765</v>
      </c>
      <c r="H427" s="87" t="s">
        <v>500</v>
      </c>
      <c r="I427" s="89">
        <v>1</v>
      </c>
      <c r="J427" s="88" t="s">
        <v>783</v>
      </c>
      <c r="K427" s="102"/>
      <c r="L427" s="88" t="s">
        <v>785</v>
      </c>
      <c r="M427" s="89" t="s">
        <v>381</v>
      </c>
      <c r="N427" s="90">
        <v>0.5</v>
      </c>
      <c r="O427" s="27">
        <f>IFERROR(+VLOOKUP(M427,D.sign_Lista_Data[[RESPONSABLE]:[SOFTWARE 
VALOR HORA]],3,FALSE),"0")</f>
        <v>20263.424518743668</v>
      </c>
      <c r="P427" s="3">
        <f t="shared" si="14"/>
        <v>10131.712259371834</v>
      </c>
      <c r="Q427" s="11">
        <f>IFERROR(+VLOOKUP(M427,D.sign_Lista_Data[[RESPONSABLE]:[SOFTWARE 
VALOR HORA]],5,FALSE)*D.sign_Data[[#This Row],[TIEMPO (HORAS)]],0)</f>
        <v>2110.7733873691318</v>
      </c>
      <c r="R427" s="42">
        <f>IFERROR(+VLOOKUP(M427,D.sign_Lista_Data[[RESPONSABLE]:[SOFTWARE 
VALOR HORA]],8,FALSE)*D.sign_Data[[#This Row],[TIEMPO (HORAS)]],0)</f>
        <v>1705.4274435719917</v>
      </c>
      <c r="S427" s="99">
        <v>0</v>
      </c>
      <c r="T427" s="99">
        <v>0</v>
      </c>
      <c r="U427" s="3">
        <f t="shared" si="15"/>
        <v>13947.913090312959</v>
      </c>
      <c r="V427" s="100">
        <f>D.sign_Data[[#This Row],[TIEMPO (HORAS)]]*Gastos_Operativos[[#Totals],[GASTOS HORA]]</f>
        <v>13894.738536155201</v>
      </c>
      <c r="W427" s="3">
        <f>+D.sign_Data[[#This Row],[COSTO 
DIRECTO ($COP)]]+D.sign_Data[[#This Row],[PRORRATEO GASTOS ($COP)]]</f>
        <v>27842.65162646816</v>
      </c>
      <c r="X427" s="101">
        <v>0.1</v>
      </c>
      <c r="Y427" s="15">
        <f>+D.sign_Data[[#This Row],[COSTOS OPERACIONALES ($COP)]]*D.sign_Data[[#This Row],[DESFASE (%)]]</f>
        <v>2784.265162646816</v>
      </c>
      <c r="Z427" s="101">
        <v>0.2</v>
      </c>
      <c r="AA427" s="15">
        <f>+((D.sign_Data[[#This Row],[COSTOS OPERACIONALES ($COP)]]/(100%-D.sign_Data[[#This Row],[UTILIDAD (%)]])))-D.sign_Data[[#This Row],[COSTOS OPERACIONALES ($COP)]]</f>
        <v>6960.662906617039</v>
      </c>
      <c r="AB427" s="3">
        <f>+D.sign_Data[[#This Row],[COSTOS OPERACIONALES ($COP)]]+D.sign_Data[[#This Row],[DESFASE ($COP)]]+D.sign_Data[[#This Row],[UTILIDAD ($COP)]]</f>
        <v>37587.579695732013</v>
      </c>
      <c r="AC427" s="101">
        <v>0.05</v>
      </c>
      <c r="AD427" s="15">
        <f>+D.sign_Data[[#This Row],[VALOR NETO ($COP)]]/(100%-D.sign_Data[[#This Row],[MARGEN DE NEGOCIACIÓN (%)]])-D.sign_Data[[#This Row],[VALOR NETO ($COP)]]</f>
        <v>1978.2936681964202</v>
      </c>
      <c r="AE427" s="15">
        <f>+(D.sign_Data[[#This Row],[VALOR NETO ($COP)]]+D.sign_Data[[#This Row],[NEGOCIACIÓN ($COP)]])*1%</f>
        <v>395.65873363928432</v>
      </c>
      <c r="AF427" s="15">
        <f>+(D.sign_Data[[#This Row],[VALOR NETO ($COP)]]+D.sign_Data[[#This Row],[NEGOCIACIÓN ($COP)]])*1%</f>
        <v>395.65873363928432</v>
      </c>
      <c r="AG427" s="3">
        <f>+D.sign_Data[[#This Row],[VALOR NETO ($COP)]]+D.sign_Data[[#This Row],[NEGOCIACIÓN ($COP)]]+D.sign_Data[[#This Row],[ICA ($COP)]]+D.sign_Data[[#This Row],[4 * 1000 ($COP)]]</f>
        <v>40357.190831207001</v>
      </c>
    </row>
    <row r="428" spans="1:33" ht="60" hidden="1" customHeight="1" x14ac:dyDescent="0.25">
      <c r="A428" s="14"/>
      <c r="B428" s="87" t="s">
        <v>418</v>
      </c>
      <c r="C428" s="182" t="s">
        <v>763</v>
      </c>
      <c r="D428" s="189" t="str">
        <f>VLOOKUP(D.sign_Data[[#This Row],[CÓDIGO]],Descripciones[[CÓDIGO]:[NOMBRE DE SERVICIO]],3,FALSE)</f>
        <v>D1. Parcelaciones y Condominios</v>
      </c>
      <c r="E428" s="87" t="s">
        <v>467</v>
      </c>
      <c r="F428" s="88" t="s">
        <v>764</v>
      </c>
      <c r="G428" s="88" t="s">
        <v>765</v>
      </c>
      <c r="H428" s="87" t="s">
        <v>500</v>
      </c>
      <c r="I428" s="89">
        <v>1</v>
      </c>
      <c r="J428" s="88" t="s">
        <v>783</v>
      </c>
      <c r="K428" s="102"/>
      <c r="L428" s="88" t="s">
        <v>786</v>
      </c>
      <c r="M428" s="89" t="s">
        <v>381</v>
      </c>
      <c r="N428" s="90">
        <v>0.4</v>
      </c>
      <c r="O428" s="27">
        <f>IFERROR(+VLOOKUP(M428,D.sign_Lista_Data[[RESPONSABLE]:[SOFTWARE 
VALOR HORA]],3,FALSE),"0")</f>
        <v>20263.424518743668</v>
      </c>
      <c r="P428" s="3">
        <f t="shared" si="14"/>
        <v>8105.3698074974673</v>
      </c>
      <c r="Q428" s="11">
        <f>IFERROR(+VLOOKUP(M428,D.sign_Lista_Data[[RESPONSABLE]:[SOFTWARE 
VALOR HORA]],5,FALSE)*D.sign_Data[[#This Row],[TIEMPO (HORAS)]],0)</f>
        <v>1688.6187098953055</v>
      </c>
      <c r="R428" s="42">
        <f>IFERROR(+VLOOKUP(M428,D.sign_Lista_Data[[RESPONSABLE]:[SOFTWARE 
VALOR HORA]],8,FALSE)*D.sign_Data[[#This Row],[TIEMPO (HORAS)]],0)</f>
        <v>1364.3419548575935</v>
      </c>
      <c r="S428" s="99">
        <v>0</v>
      </c>
      <c r="T428" s="99">
        <v>0</v>
      </c>
      <c r="U428" s="3">
        <f t="shared" si="15"/>
        <v>11158.330472250365</v>
      </c>
      <c r="V428" s="100">
        <f>D.sign_Data[[#This Row],[TIEMPO (HORAS)]]*Gastos_Operativos[[#Totals],[GASTOS HORA]]</f>
        <v>11115.79082892416</v>
      </c>
      <c r="W428" s="3">
        <f>+D.sign_Data[[#This Row],[COSTO 
DIRECTO ($COP)]]+D.sign_Data[[#This Row],[PRORRATEO GASTOS ($COP)]]</f>
        <v>22274.121301174528</v>
      </c>
      <c r="X428" s="101">
        <v>0.1</v>
      </c>
      <c r="Y428" s="15">
        <f>+D.sign_Data[[#This Row],[COSTOS OPERACIONALES ($COP)]]*D.sign_Data[[#This Row],[DESFASE (%)]]</f>
        <v>2227.4121301174528</v>
      </c>
      <c r="Z428" s="101">
        <v>0.2</v>
      </c>
      <c r="AA428" s="15">
        <f>+((D.sign_Data[[#This Row],[COSTOS OPERACIONALES ($COP)]]/(100%-D.sign_Data[[#This Row],[UTILIDAD (%)]])))-D.sign_Data[[#This Row],[COSTOS OPERACIONALES ($COP)]]</f>
        <v>5568.5303252936319</v>
      </c>
      <c r="AB428" s="3">
        <f>+D.sign_Data[[#This Row],[COSTOS OPERACIONALES ($COP)]]+D.sign_Data[[#This Row],[DESFASE ($COP)]]+D.sign_Data[[#This Row],[UTILIDAD ($COP)]]</f>
        <v>30070.063756585612</v>
      </c>
      <c r="AC428" s="101">
        <v>0.05</v>
      </c>
      <c r="AD428" s="15">
        <f>+D.sign_Data[[#This Row],[VALOR NETO ($COP)]]/(100%-D.sign_Data[[#This Row],[MARGEN DE NEGOCIACIÓN (%)]])-D.sign_Data[[#This Row],[VALOR NETO ($COP)]]</f>
        <v>1582.6349345571398</v>
      </c>
      <c r="AE428" s="15">
        <f>+(D.sign_Data[[#This Row],[VALOR NETO ($COP)]]+D.sign_Data[[#This Row],[NEGOCIACIÓN ($COP)]])*1%</f>
        <v>316.52698691142751</v>
      </c>
      <c r="AF428" s="15">
        <f>+(D.sign_Data[[#This Row],[VALOR NETO ($COP)]]+D.sign_Data[[#This Row],[NEGOCIACIÓN ($COP)]])*1%</f>
        <v>316.52698691142751</v>
      </c>
      <c r="AG428" s="3">
        <f>+D.sign_Data[[#This Row],[VALOR NETO ($COP)]]+D.sign_Data[[#This Row],[NEGOCIACIÓN ($COP)]]+D.sign_Data[[#This Row],[ICA ($COP)]]+D.sign_Data[[#This Row],[4 * 1000 ($COP)]]</f>
        <v>32285.752664965607</v>
      </c>
    </row>
    <row r="429" spans="1:33" ht="60" hidden="1" customHeight="1" x14ac:dyDescent="0.25">
      <c r="A429" s="14"/>
      <c r="B429" s="87" t="s">
        <v>418</v>
      </c>
      <c r="C429" s="182" t="s">
        <v>763</v>
      </c>
      <c r="D429" s="189" t="str">
        <f>VLOOKUP(D.sign_Data[[#This Row],[CÓDIGO]],Descripciones[[CÓDIGO]:[NOMBRE DE SERVICIO]],3,FALSE)</f>
        <v>D1. Parcelaciones y Condominios</v>
      </c>
      <c r="E429" s="87" t="s">
        <v>467</v>
      </c>
      <c r="F429" s="88" t="s">
        <v>764</v>
      </c>
      <c r="G429" s="88" t="s">
        <v>765</v>
      </c>
      <c r="H429" s="87" t="s">
        <v>500</v>
      </c>
      <c r="I429" s="89">
        <v>1</v>
      </c>
      <c r="J429" s="88" t="s">
        <v>783</v>
      </c>
      <c r="K429" s="102"/>
      <c r="L429" s="88" t="s">
        <v>787</v>
      </c>
      <c r="M429" s="89" t="s">
        <v>381</v>
      </c>
      <c r="N429" s="90">
        <v>0.5</v>
      </c>
      <c r="O429" s="27">
        <f>IFERROR(+VLOOKUP(M429,D.sign_Lista_Data[[RESPONSABLE]:[SOFTWARE 
VALOR HORA]],3,FALSE),"0")</f>
        <v>20263.424518743668</v>
      </c>
      <c r="P429" s="3">
        <f t="shared" si="14"/>
        <v>10131.712259371834</v>
      </c>
      <c r="Q429" s="11">
        <f>IFERROR(+VLOOKUP(M429,D.sign_Lista_Data[[RESPONSABLE]:[SOFTWARE 
VALOR HORA]],5,FALSE)*D.sign_Data[[#This Row],[TIEMPO (HORAS)]],0)</f>
        <v>2110.7733873691318</v>
      </c>
      <c r="R429" s="42">
        <f>IFERROR(+VLOOKUP(M429,D.sign_Lista_Data[[RESPONSABLE]:[SOFTWARE 
VALOR HORA]],8,FALSE)*D.sign_Data[[#This Row],[TIEMPO (HORAS)]],0)</f>
        <v>1705.4274435719917</v>
      </c>
      <c r="S429" s="99">
        <v>0</v>
      </c>
      <c r="T429" s="99">
        <v>0</v>
      </c>
      <c r="U429" s="3">
        <f t="shared" si="15"/>
        <v>13947.913090312959</v>
      </c>
      <c r="V429" s="100">
        <f>D.sign_Data[[#This Row],[TIEMPO (HORAS)]]*Gastos_Operativos[[#Totals],[GASTOS HORA]]</f>
        <v>13894.738536155201</v>
      </c>
      <c r="W429" s="3">
        <f>+D.sign_Data[[#This Row],[COSTO 
DIRECTO ($COP)]]+D.sign_Data[[#This Row],[PRORRATEO GASTOS ($COP)]]</f>
        <v>27842.65162646816</v>
      </c>
      <c r="X429" s="101">
        <v>0.1</v>
      </c>
      <c r="Y429" s="15">
        <f>+D.sign_Data[[#This Row],[COSTOS OPERACIONALES ($COP)]]*D.sign_Data[[#This Row],[DESFASE (%)]]</f>
        <v>2784.265162646816</v>
      </c>
      <c r="Z429" s="101">
        <v>0.2</v>
      </c>
      <c r="AA429" s="15">
        <f>+((D.sign_Data[[#This Row],[COSTOS OPERACIONALES ($COP)]]/(100%-D.sign_Data[[#This Row],[UTILIDAD (%)]])))-D.sign_Data[[#This Row],[COSTOS OPERACIONALES ($COP)]]</f>
        <v>6960.662906617039</v>
      </c>
      <c r="AB429" s="3">
        <f>+D.sign_Data[[#This Row],[COSTOS OPERACIONALES ($COP)]]+D.sign_Data[[#This Row],[DESFASE ($COP)]]+D.sign_Data[[#This Row],[UTILIDAD ($COP)]]</f>
        <v>37587.579695732013</v>
      </c>
      <c r="AC429" s="101">
        <v>0.05</v>
      </c>
      <c r="AD429" s="15">
        <f>+D.sign_Data[[#This Row],[VALOR NETO ($COP)]]/(100%-D.sign_Data[[#This Row],[MARGEN DE NEGOCIACIÓN (%)]])-D.sign_Data[[#This Row],[VALOR NETO ($COP)]]</f>
        <v>1978.2936681964202</v>
      </c>
      <c r="AE429" s="15">
        <f>+(D.sign_Data[[#This Row],[VALOR NETO ($COP)]]+D.sign_Data[[#This Row],[NEGOCIACIÓN ($COP)]])*1%</f>
        <v>395.65873363928432</v>
      </c>
      <c r="AF429" s="15">
        <f>+(D.sign_Data[[#This Row],[VALOR NETO ($COP)]]+D.sign_Data[[#This Row],[NEGOCIACIÓN ($COP)]])*1%</f>
        <v>395.65873363928432</v>
      </c>
      <c r="AG429" s="3">
        <f>+D.sign_Data[[#This Row],[VALOR NETO ($COP)]]+D.sign_Data[[#This Row],[NEGOCIACIÓN ($COP)]]+D.sign_Data[[#This Row],[ICA ($COP)]]+D.sign_Data[[#This Row],[4 * 1000 ($COP)]]</f>
        <v>40357.190831207001</v>
      </c>
    </row>
    <row r="430" spans="1:33" ht="60" hidden="1" customHeight="1" x14ac:dyDescent="0.25">
      <c r="A430" s="14"/>
      <c r="B430" s="87" t="s">
        <v>418</v>
      </c>
      <c r="C430" s="182" t="s">
        <v>763</v>
      </c>
      <c r="D430" s="189" t="str">
        <f>VLOOKUP(D.sign_Data[[#This Row],[CÓDIGO]],Descripciones[[CÓDIGO]:[NOMBRE DE SERVICIO]],3,FALSE)</f>
        <v>D1. Parcelaciones y Condominios</v>
      </c>
      <c r="E430" s="87" t="s">
        <v>467</v>
      </c>
      <c r="F430" s="88" t="s">
        <v>764</v>
      </c>
      <c r="G430" s="88" t="s">
        <v>765</v>
      </c>
      <c r="H430" s="87" t="s">
        <v>500</v>
      </c>
      <c r="I430" s="89">
        <v>1</v>
      </c>
      <c r="J430" s="88" t="s">
        <v>783</v>
      </c>
      <c r="K430" s="102"/>
      <c r="L430" s="88" t="s">
        <v>788</v>
      </c>
      <c r="M430" s="89" t="s">
        <v>381</v>
      </c>
      <c r="N430" s="90">
        <v>0.1</v>
      </c>
      <c r="O430" s="27">
        <f>IFERROR(+VLOOKUP(M430,D.sign_Lista_Data[[RESPONSABLE]:[SOFTWARE 
VALOR HORA]],3,FALSE),"0")</f>
        <v>20263.424518743668</v>
      </c>
      <c r="P430" s="3">
        <f t="shared" si="14"/>
        <v>2026.3424518743668</v>
      </c>
      <c r="Q430" s="11">
        <f>IFERROR(+VLOOKUP(M430,D.sign_Lista_Data[[RESPONSABLE]:[SOFTWARE 
VALOR HORA]],5,FALSE)*D.sign_Data[[#This Row],[TIEMPO (HORAS)]],0)</f>
        <v>422.15467747382638</v>
      </c>
      <c r="R430" s="42">
        <f>IFERROR(+VLOOKUP(M430,D.sign_Lista_Data[[RESPONSABLE]:[SOFTWARE 
VALOR HORA]],8,FALSE)*D.sign_Data[[#This Row],[TIEMPO (HORAS)]],0)</f>
        <v>341.08548871439837</v>
      </c>
      <c r="S430" s="99">
        <v>0</v>
      </c>
      <c r="T430" s="99">
        <v>0</v>
      </c>
      <c r="U430" s="3">
        <f t="shared" si="15"/>
        <v>2789.5826180625913</v>
      </c>
      <c r="V430" s="100">
        <f>D.sign_Data[[#This Row],[TIEMPO (HORAS)]]*Gastos_Operativos[[#Totals],[GASTOS HORA]]</f>
        <v>2778.9477072310401</v>
      </c>
      <c r="W430" s="3">
        <f>+D.sign_Data[[#This Row],[COSTO 
DIRECTO ($COP)]]+D.sign_Data[[#This Row],[PRORRATEO GASTOS ($COP)]]</f>
        <v>5568.5303252936319</v>
      </c>
      <c r="X430" s="101">
        <v>0.1</v>
      </c>
      <c r="Y430" s="15">
        <f>+D.sign_Data[[#This Row],[COSTOS OPERACIONALES ($COP)]]*D.sign_Data[[#This Row],[DESFASE (%)]]</f>
        <v>556.85303252936319</v>
      </c>
      <c r="Z430" s="101">
        <v>0.2</v>
      </c>
      <c r="AA430" s="15">
        <f>+((D.sign_Data[[#This Row],[COSTOS OPERACIONALES ($COP)]]/(100%-D.sign_Data[[#This Row],[UTILIDAD (%)]])))-D.sign_Data[[#This Row],[COSTOS OPERACIONALES ($COP)]]</f>
        <v>1392.132581323408</v>
      </c>
      <c r="AB430" s="3">
        <f>+D.sign_Data[[#This Row],[COSTOS OPERACIONALES ($COP)]]+D.sign_Data[[#This Row],[DESFASE ($COP)]]+D.sign_Data[[#This Row],[UTILIDAD ($COP)]]</f>
        <v>7517.5159391464031</v>
      </c>
      <c r="AC430" s="101">
        <v>0.05</v>
      </c>
      <c r="AD430" s="15">
        <f>+D.sign_Data[[#This Row],[VALOR NETO ($COP)]]/(100%-D.sign_Data[[#This Row],[MARGEN DE NEGOCIACIÓN (%)]])-D.sign_Data[[#This Row],[VALOR NETO ($COP)]]</f>
        <v>395.65873363928495</v>
      </c>
      <c r="AE430" s="15">
        <f>+(D.sign_Data[[#This Row],[VALOR NETO ($COP)]]+D.sign_Data[[#This Row],[NEGOCIACIÓN ($COP)]])*1%</f>
        <v>79.131746727856878</v>
      </c>
      <c r="AF430" s="15">
        <f>+(D.sign_Data[[#This Row],[VALOR NETO ($COP)]]+D.sign_Data[[#This Row],[NEGOCIACIÓN ($COP)]])*1%</f>
        <v>79.131746727856878</v>
      </c>
      <c r="AG430" s="3">
        <f>+D.sign_Data[[#This Row],[VALOR NETO ($COP)]]+D.sign_Data[[#This Row],[NEGOCIACIÓN ($COP)]]+D.sign_Data[[#This Row],[ICA ($COP)]]+D.sign_Data[[#This Row],[4 * 1000 ($COP)]]</f>
        <v>8071.4381662414016</v>
      </c>
    </row>
    <row r="431" spans="1:33" ht="60" hidden="1" customHeight="1" x14ac:dyDescent="0.25">
      <c r="A431" s="14"/>
      <c r="B431" s="87" t="s">
        <v>418</v>
      </c>
      <c r="C431" s="182" t="s">
        <v>763</v>
      </c>
      <c r="D431" s="189" t="str">
        <f>VLOOKUP(D.sign_Data[[#This Row],[CÓDIGO]],Descripciones[[CÓDIGO]:[NOMBRE DE SERVICIO]],3,FALSE)</f>
        <v>D1. Parcelaciones y Condominios</v>
      </c>
      <c r="E431" s="87" t="s">
        <v>467</v>
      </c>
      <c r="F431" s="88" t="s">
        <v>764</v>
      </c>
      <c r="G431" s="88" t="s">
        <v>765</v>
      </c>
      <c r="H431" s="87" t="s">
        <v>500</v>
      </c>
      <c r="I431" s="89">
        <v>1</v>
      </c>
      <c r="J431" s="88" t="s">
        <v>783</v>
      </c>
      <c r="K431" s="102"/>
      <c r="L431" s="88" t="s">
        <v>483</v>
      </c>
      <c r="M431" s="89" t="s">
        <v>381</v>
      </c>
      <c r="N431" s="90">
        <v>0.1</v>
      </c>
      <c r="O431" s="27">
        <f>IFERROR(+VLOOKUP(M431,D.sign_Lista_Data[[RESPONSABLE]:[SOFTWARE 
VALOR HORA]],3,FALSE),"0")</f>
        <v>20263.424518743668</v>
      </c>
      <c r="P431" s="3">
        <f t="shared" si="14"/>
        <v>2026.3424518743668</v>
      </c>
      <c r="Q431" s="11">
        <f>IFERROR(+VLOOKUP(M431,D.sign_Lista_Data[[RESPONSABLE]:[SOFTWARE 
VALOR HORA]],5,FALSE)*D.sign_Data[[#This Row],[TIEMPO (HORAS)]],0)</f>
        <v>422.15467747382638</v>
      </c>
      <c r="R431" s="42">
        <f>IFERROR(+VLOOKUP(M431,D.sign_Lista_Data[[RESPONSABLE]:[SOFTWARE 
VALOR HORA]],8,FALSE)*D.sign_Data[[#This Row],[TIEMPO (HORAS)]],0)</f>
        <v>341.08548871439837</v>
      </c>
      <c r="S431" s="99">
        <v>0</v>
      </c>
      <c r="T431" s="99">
        <v>0</v>
      </c>
      <c r="U431" s="3">
        <f t="shared" si="15"/>
        <v>2789.5826180625913</v>
      </c>
      <c r="V431" s="100">
        <f>D.sign_Data[[#This Row],[TIEMPO (HORAS)]]*Gastos_Operativos[[#Totals],[GASTOS HORA]]</f>
        <v>2778.9477072310401</v>
      </c>
      <c r="W431" s="3">
        <f>+D.sign_Data[[#This Row],[COSTO 
DIRECTO ($COP)]]+D.sign_Data[[#This Row],[PRORRATEO GASTOS ($COP)]]</f>
        <v>5568.5303252936319</v>
      </c>
      <c r="X431" s="101">
        <v>0.1</v>
      </c>
      <c r="Y431" s="15">
        <f>+D.sign_Data[[#This Row],[COSTOS OPERACIONALES ($COP)]]*D.sign_Data[[#This Row],[DESFASE (%)]]</f>
        <v>556.85303252936319</v>
      </c>
      <c r="Z431" s="101">
        <v>0.2</v>
      </c>
      <c r="AA431" s="15">
        <f>+((D.sign_Data[[#This Row],[COSTOS OPERACIONALES ($COP)]]/(100%-D.sign_Data[[#This Row],[UTILIDAD (%)]])))-D.sign_Data[[#This Row],[COSTOS OPERACIONALES ($COP)]]</f>
        <v>1392.132581323408</v>
      </c>
      <c r="AB431" s="3">
        <f>+D.sign_Data[[#This Row],[COSTOS OPERACIONALES ($COP)]]+D.sign_Data[[#This Row],[DESFASE ($COP)]]+D.sign_Data[[#This Row],[UTILIDAD ($COP)]]</f>
        <v>7517.5159391464031</v>
      </c>
      <c r="AC431" s="101">
        <v>0.05</v>
      </c>
      <c r="AD431" s="15">
        <f>+D.sign_Data[[#This Row],[VALOR NETO ($COP)]]/(100%-D.sign_Data[[#This Row],[MARGEN DE NEGOCIACIÓN (%)]])-D.sign_Data[[#This Row],[VALOR NETO ($COP)]]</f>
        <v>395.65873363928495</v>
      </c>
      <c r="AE431" s="15">
        <f>+(D.sign_Data[[#This Row],[VALOR NETO ($COP)]]+D.sign_Data[[#This Row],[NEGOCIACIÓN ($COP)]])*1%</f>
        <v>79.131746727856878</v>
      </c>
      <c r="AF431" s="15">
        <f>+(D.sign_Data[[#This Row],[VALOR NETO ($COP)]]+D.sign_Data[[#This Row],[NEGOCIACIÓN ($COP)]])*1%</f>
        <v>79.131746727856878</v>
      </c>
      <c r="AG431" s="3">
        <f>+D.sign_Data[[#This Row],[VALOR NETO ($COP)]]+D.sign_Data[[#This Row],[NEGOCIACIÓN ($COP)]]+D.sign_Data[[#This Row],[ICA ($COP)]]+D.sign_Data[[#This Row],[4 * 1000 ($COP)]]</f>
        <v>8071.4381662414016</v>
      </c>
    </row>
    <row r="432" spans="1:33" ht="60" hidden="1" customHeight="1" x14ac:dyDescent="0.25">
      <c r="A432" s="14"/>
      <c r="B432" s="87" t="s">
        <v>418</v>
      </c>
      <c r="C432" s="182" t="s">
        <v>763</v>
      </c>
      <c r="D432" s="189" t="str">
        <f>VLOOKUP(D.sign_Data[[#This Row],[CÓDIGO]],Descripciones[[CÓDIGO]:[NOMBRE DE SERVICIO]],3,FALSE)</f>
        <v>D1. Parcelaciones y Condominios</v>
      </c>
      <c r="E432" s="87" t="s">
        <v>467</v>
      </c>
      <c r="F432" s="88" t="s">
        <v>764</v>
      </c>
      <c r="G432" s="88" t="s">
        <v>765</v>
      </c>
      <c r="H432" s="87" t="s">
        <v>448</v>
      </c>
      <c r="I432" s="89">
        <v>1</v>
      </c>
      <c r="J432" s="88" t="s">
        <v>789</v>
      </c>
      <c r="K432" s="102"/>
      <c r="L432" s="88" t="s">
        <v>464</v>
      </c>
      <c r="M432" s="89" t="s">
        <v>381</v>
      </c>
      <c r="N432" s="90">
        <v>0.25</v>
      </c>
      <c r="O432" s="27">
        <f>IFERROR(+VLOOKUP(M432,D.sign_Lista_Data[[RESPONSABLE]:[SOFTWARE 
VALOR HORA]],3,FALSE),"0")</f>
        <v>20263.424518743668</v>
      </c>
      <c r="P432" s="3">
        <f t="shared" si="14"/>
        <v>5065.856129685917</v>
      </c>
      <c r="Q432" s="11">
        <f>IFERROR(+VLOOKUP(M432,D.sign_Lista_Data[[RESPONSABLE]:[SOFTWARE 
VALOR HORA]],5,FALSE)*D.sign_Data[[#This Row],[TIEMPO (HORAS)]],0)</f>
        <v>1055.3866936845659</v>
      </c>
      <c r="R432" s="42">
        <f>IFERROR(+VLOOKUP(M432,D.sign_Lista_Data[[RESPONSABLE]:[SOFTWARE 
VALOR HORA]],8,FALSE)*D.sign_Data[[#This Row],[TIEMPO (HORAS)]],0)</f>
        <v>852.71372178599586</v>
      </c>
      <c r="S432" s="99">
        <v>0</v>
      </c>
      <c r="T432" s="99">
        <v>0</v>
      </c>
      <c r="U432" s="3">
        <f t="shared" si="15"/>
        <v>6973.9565451564795</v>
      </c>
      <c r="V432" s="100">
        <f>D.sign_Data[[#This Row],[TIEMPO (HORAS)]]*Gastos_Operativos[[#Totals],[GASTOS HORA]]</f>
        <v>6947.3692680776003</v>
      </c>
      <c r="W432" s="3">
        <f>+D.sign_Data[[#This Row],[COSTO 
DIRECTO ($COP)]]+D.sign_Data[[#This Row],[PRORRATEO GASTOS ($COP)]]</f>
        <v>13921.32581323408</v>
      </c>
      <c r="X432" s="101">
        <v>0.1</v>
      </c>
      <c r="Y432" s="15">
        <f>+D.sign_Data[[#This Row],[COSTOS OPERACIONALES ($COP)]]*D.sign_Data[[#This Row],[DESFASE (%)]]</f>
        <v>1392.132581323408</v>
      </c>
      <c r="Z432" s="101">
        <v>0.2</v>
      </c>
      <c r="AA432" s="15">
        <f>+((D.sign_Data[[#This Row],[COSTOS OPERACIONALES ($COP)]]/(100%-D.sign_Data[[#This Row],[UTILIDAD (%)]])))-D.sign_Data[[#This Row],[COSTOS OPERACIONALES ($COP)]]</f>
        <v>3480.3314533085195</v>
      </c>
      <c r="AB432" s="3">
        <f>+D.sign_Data[[#This Row],[COSTOS OPERACIONALES ($COP)]]+D.sign_Data[[#This Row],[DESFASE ($COP)]]+D.sign_Data[[#This Row],[UTILIDAD ($COP)]]</f>
        <v>18793.789847866006</v>
      </c>
      <c r="AC432" s="101">
        <v>0.05</v>
      </c>
      <c r="AD432" s="15">
        <f>+D.sign_Data[[#This Row],[VALOR NETO ($COP)]]/(100%-D.sign_Data[[#This Row],[MARGEN DE NEGOCIACIÓN (%)]])-D.sign_Data[[#This Row],[VALOR NETO ($COP)]]</f>
        <v>989.14683409821009</v>
      </c>
      <c r="AE432" s="15">
        <f>+(D.sign_Data[[#This Row],[VALOR NETO ($COP)]]+D.sign_Data[[#This Row],[NEGOCIACIÓN ($COP)]])*1%</f>
        <v>197.82936681964216</v>
      </c>
      <c r="AF432" s="15">
        <f>+(D.sign_Data[[#This Row],[VALOR NETO ($COP)]]+D.sign_Data[[#This Row],[NEGOCIACIÓN ($COP)]])*1%</f>
        <v>197.82936681964216</v>
      </c>
      <c r="AG432" s="3">
        <f>+D.sign_Data[[#This Row],[VALOR NETO ($COP)]]+D.sign_Data[[#This Row],[NEGOCIACIÓN ($COP)]]+D.sign_Data[[#This Row],[ICA ($COP)]]+D.sign_Data[[#This Row],[4 * 1000 ($COP)]]</f>
        <v>20178.5954156035</v>
      </c>
    </row>
    <row r="433" spans="1:33" ht="60" hidden="1" customHeight="1" x14ac:dyDescent="0.25">
      <c r="A433" s="14"/>
      <c r="B433" s="87" t="s">
        <v>418</v>
      </c>
      <c r="C433" s="182" t="s">
        <v>790</v>
      </c>
      <c r="D433" s="189" t="str">
        <f>VLOOKUP(D.sign_Data[[#This Row],[CÓDIGO]],Descripciones[[CÓDIGO]:[NOMBRE DE SERVICIO]],3,FALSE)</f>
        <v>D1. Parcelaciones y Condominios</v>
      </c>
      <c r="E433" s="87" t="s">
        <v>497</v>
      </c>
      <c r="F433" s="88" t="s">
        <v>791</v>
      </c>
      <c r="G433" s="88" t="s">
        <v>792</v>
      </c>
      <c r="H433" s="87" t="s">
        <v>500</v>
      </c>
      <c r="I433" s="89">
        <v>1</v>
      </c>
      <c r="J433" s="88" t="s">
        <v>793</v>
      </c>
      <c r="K433" s="102"/>
      <c r="L433" s="88" t="s">
        <v>476</v>
      </c>
      <c r="M433" s="89" t="s">
        <v>381</v>
      </c>
      <c r="N433" s="90">
        <v>0.5</v>
      </c>
      <c r="O433" s="27">
        <f>IFERROR(+VLOOKUP(M433,D.sign_Lista_Data[[RESPONSABLE]:[SOFTWARE 
VALOR HORA]],3,FALSE),"0")</f>
        <v>20263.424518743668</v>
      </c>
      <c r="P433" s="3">
        <f t="shared" si="14"/>
        <v>10131.712259371834</v>
      </c>
      <c r="Q433" s="11">
        <f>IFERROR(+VLOOKUP(M433,D.sign_Lista_Data[[RESPONSABLE]:[SOFTWARE 
VALOR HORA]],5,FALSE)*D.sign_Data[[#This Row],[TIEMPO (HORAS)]],0)</f>
        <v>2110.7733873691318</v>
      </c>
      <c r="R433" s="42">
        <f>IFERROR(+VLOOKUP(M433,D.sign_Lista_Data[[RESPONSABLE]:[SOFTWARE 
VALOR HORA]],8,FALSE)*D.sign_Data[[#This Row],[TIEMPO (HORAS)]],0)</f>
        <v>1705.4274435719917</v>
      </c>
      <c r="S433" s="99">
        <v>0</v>
      </c>
      <c r="T433" s="99">
        <v>0</v>
      </c>
      <c r="U433" s="3">
        <f t="shared" si="15"/>
        <v>13947.913090312959</v>
      </c>
      <c r="V433" s="100">
        <f>D.sign_Data[[#This Row],[TIEMPO (HORAS)]]*Gastos_Operativos[[#Totals],[GASTOS HORA]]</f>
        <v>13894.738536155201</v>
      </c>
      <c r="W433" s="3">
        <f>+D.sign_Data[[#This Row],[COSTO 
DIRECTO ($COP)]]+D.sign_Data[[#This Row],[PRORRATEO GASTOS ($COP)]]</f>
        <v>27842.65162646816</v>
      </c>
      <c r="X433" s="101">
        <v>0.1</v>
      </c>
      <c r="Y433" s="15">
        <f>+D.sign_Data[[#This Row],[COSTOS OPERACIONALES ($COP)]]*D.sign_Data[[#This Row],[DESFASE (%)]]</f>
        <v>2784.265162646816</v>
      </c>
      <c r="Z433" s="101">
        <v>0.2</v>
      </c>
      <c r="AA433" s="15">
        <f>+((D.sign_Data[[#This Row],[COSTOS OPERACIONALES ($COP)]]/(100%-D.sign_Data[[#This Row],[UTILIDAD (%)]])))-D.sign_Data[[#This Row],[COSTOS OPERACIONALES ($COP)]]</f>
        <v>6960.662906617039</v>
      </c>
      <c r="AB433" s="3">
        <f>+D.sign_Data[[#This Row],[COSTOS OPERACIONALES ($COP)]]+D.sign_Data[[#This Row],[DESFASE ($COP)]]+D.sign_Data[[#This Row],[UTILIDAD ($COP)]]</f>
        <v>37587.579695732013</v>
      </c>
      <c r="AC433" s="101">
        <v>0.05</v>
      </c>
      <c r="AD433" s="15">
        <f>+D.sign_Data[[#This Row],[VALOR NETO ($COP)]]/(100%-D.sign_Data[[#This Row],[MARGEN DE NEGOCIACIÓN (%)]])-D.sign_Data[[#This Row],[VALOR NETO ($COP)]]</f>
        <v>1978.2936681964202</v>
      </c>
      <c r="AE433" s="15">
        <f>+(D.sign_Data[[#This Row],[VALOR NETO ($COP)]]+D.sign_Data[[#This Row],[NEGOCIACIÓN ($COP)]])*1%</f>
        <v>395.65873363928432</v>
      </c>
      <c r="AF433" s="15">
        <f>+(D.sign_Data[[#This Row],[VALOR NETO ($COP)]]+D.sign_Data[[#This Row],[NEGOCIACIÓN ($COP)]])*1%</f>
        <v>395.65873363928432</v>
      </c>
      <c r="AG433" s="3">
        <f>+D.sign_Data[[#This Row],[VALOR NETO ($COP)]]+D.sign_Data[[#This Row],[NEGOCIACIÓN ($COP)]]+D.sign_Data[[#This Row],[ICA ($COP)]]+D.sign_Data[[#This Row],[4 * 1000 ($COP)]]</f>
        <v>40357.190831207001</v>
      </c>
    </row>
    <row r="434" spans="1:33" ht="60" hidden="1" customHeight="1" x14ac:dyDescent="0.25">
      <c r="A434" s="14"/>
      <c r="B434" s="87" t="s">
        <v>418</v>
      </c>
      <c r="C434" s="182" t="s">
        <v>790</v>
      </c>
      <c r="D434" s="189" t="str">
        <f>VLOOKUP(D.sign_Data[[#This Row],[CÓDIGO]],Descripciones[[CÓDIGO]:[NOMBRE DE SERVICIO]],3,FALSE)</f>
        <v>D1. Parcelaciones y Condominios</v>
      </c>
      <c r="E434" s="87" t="s">
        <v>497</v>
      </c>
      <c r="F434" s="88" t="s">
        <v>791</v>
      </c>
      <c r="G434" s="88" t="s">
        <v>792</v>
      </c>
      <c r="H434" s="87" t="s">
        <v>500</v>
      </c>
      <c r="I434" s="89">
        <v>1</v>
      </c>
      <c r="J434" s="88" t="s">
        <v>793</v>
      </c>
      <c r="K434" s="102"/>
      <c r="L434" s="88" t="s">
        <v>767</v>
      </c>
      <c r="M434" s="89" t="s">
        <v>381</v>
      </c>
      <c r="N434" s="90">
        <v>0.5</v>
      </c>
      <c r="O434" s="27">
        <f>IFERROR(+VLOOKUP(M434,D.sign_Lista_Data[[RESPONSABLE]:[SOFTWARE 
VALOR HORA]],3,FALSE),"0")</f>
        <v>20263.424518743668</v>
      </c>
      <c r="P434" s="3">
        <f t="shared" si="14"/>
        <v>10131.712259371834</v>
      </c>
      <c r="Q434" s="11">
        <f>IFERROR(+VLOOKUP(M434,D.sign_Lista_Data[[RESPONSABLE]:[SOFTWARE 
VALOR HORA]],5,FALSE)*D.sign_Data[[#This Row],[TIEMPO (HORAS)]],0)</f>
        <v>2110.7733873691318</v>
      </c>
      <c r="R434" s="42">
        <f>IFERROR(+VLOOKUP(M434,D.sign_Lista_Data[[RESPONSABLE]:[SOFTWARE 
VALOR HORA]],8,FALSE)*D.sign_Data[[#This Row],[TIEMPO (HORAS)]],0)</f>
        <v>1705.4274435719917</v>
      </c>
      <c r="S434" s="99">
        <v>0</v>
      </c>
      <c r="T434" s="99">
        <v>0</v>
      </c>
      <c r="U434" s="3">
        <f t="shared" si="15"/>
        <v>13947.913090312959</v>
      </c>
      <c r="V434" s="100">
        <f>D.sign_Data[[#This Row],[TIEMPO (HORAS)]]*Gastos_Operativos[[#Totals],[GASTOS HORA]]</f>
        <v>13894.738536155201</v>
      </c>
      <c r="W434" s="3">
        <f>+D.sign_Data[[#This Row],[COSTO 
DIRECTO ($COP)]]+D.sign_Data[[#This Row],[PRORRATEO GASTOS ($COP)]]</f>
        <v>27842.65162646816</v>
      </c>
      <c r="X434" s="101">
        <v>0.1</v>
      </c>
      <c r="Y434" s="15">
        <f>+D.sign_Data[[#This Row],[COSTOS OPERACIONALES ($COP)]]*D.sign_Data[[#This Row],[DESFASE (%)]]</f>
        <v>2784.265162646816</v>
      </c>
      <c r="Z434" s="101">
        <v>0.2</v>
      </c>
      <c r="AA434" s="15">
        <f>+((D.sign_Data[[#This Row],[COSTOS OPERACIONALES ($COP)]]/(100%-D.sign_Data[[#This Row],[UTILIDAD (%)]])))-D.sign_Data[[#This Row],[COSTOS OPERACIONALES ($COP)]]</f>
        <v>6960.662906617039</v>
      </c>
      <c r="AB434" s="3">
        <f>+D.sign_Data[[#This Row],[COSTOS OPERACIONALES ($COP)]]+D.sign_Data[[#This Row],[DESFASE ($COP)]]+D.sign_Data[[#This Row],[UTILIDAD ($COP)]]</f>
        <v>37587.579695732013</v>
      </c>
      <c r="AC434" s="101">
        <v>0.05</v>
      </c>
      <c r="AD434" s="15">
        <f>+D.sign_Data[[#This Row],[VALOR NETO ($COP)]]/(100%-D.sign_Data[[#This Row],[MARGEN DE NEGOCIACIÓN (%)]])-D.sign_Data[[#This Row],[VALOR NETO ($COP)]]</f>
        <v>1978.2936681964202</v>
      </c>
      <c r="AE434" s="15">
        <f>+(D.sign_Data[[#This Row],[VALOR NETO ($COP)]]+D.sign_Data[[#This Row],[NEGOCIACIÓN ($COP)]])*1%</f>
        <v>395.65873363928432</v>
      </c>
      <c r="AF434" s="15">
        <f>+(D.sign_Data[[#This Row],[VALOR NETO ($COP)]]+D.sign_Data[[#This Row],[NEGOCIACIÓN ($COP)]])*1%</f>
        <v>395.65873363928432</v>
      </c>
      <c r="AG434" s="3">
        <f>+D.sign_Data[[#This Row],[VALOR NETO ($COP)]]+D.sign_Data[[#This Row],[NEGOCIACIÓN ($COP)]]+D.sign_Data[[#This Row],[ICA ($COP)]]+D.sign_Data[[#This Row],[4 * 1000 ($COP)]]</f>
        <v>40357.190831207001</v>
      </c>
    </row>
    <row r="435" spans="1:33" ht="60" hidden="1" customHeight="1" x14ac:dyDescent="0.25">
      <c r="A435" s="14"/>
      <c r="B435" s="87" t="s">
        <v>418</v>
      </c>
      <c r="C435" s="182" t="s">
        <v>790</v>
      </c>
      <c r="D435" s="189" t="str">
        <f>VLOOKUP(D.sign_Data[[#This Row],[CÓDIGO]],Descripciones[[CÓDIGO]:[NOMBRE DE SERVICIO]],3,FALSE)</f>
        <v>D1. Parcelaciones y Condominios</v>
      </c>
      <c r="E435" s="87" t="s">
        <v>497</v>
      </c>
      <c r="F435" s="88" t="s">
        <v>791</v>
      </c>
      <c r="G435" s="88" t="s">
        <v>792</v>
      </c>
      <c r="H435" s="87" t="s">
        <v>500</v>
      </c>
      <c r="I435" s="89">
        <v>1</v>
      </c>
      <c r="J435" s="88" t="s">
        <v>793</v>
      </c>
      <c r="K435" s="102"/>
      <c r="L435" s="88" t="s">
        <v>794</v>
      </c>
      <c r="M435" s="89" t="s">
        <v>381</v>
      </c>
      <c r="N435" s="90">
        <v>0.5</v>
      </c>
      <c r="O435" s="27">
        <f>IFERROR(+VLOOKUP(M435,D.sign_Lista_Data[[RESPONSABLE]:[SOFTWARE 
VALOR HORA]],3,FALSE),"0")</f>
        <v>20263.424518743668</v>
      </c>
      <c r="P435" s="3">
        <f t="shared" si="14"/>
        <v>10131.712259371834</v>
      </c>
      <c r="Q435" s="11">
        <f>IFERROR(+VLOOKUP(M435,D.sign_Lista_Data[[RESPONSABLE]:[SOFTWARE 
VALOR HORA]],5,FALSE)*D.sign_Data[[#This Row],[TIEMPO (HORAS)]],0)</f>
        <v>2110.7733873691318</v>
      </c>
      <c r="R435" s="42">
        <f>IFERROR(+VLOOKUP(M435,D.sign_Lista_Data[[RESPONSABLE]:[SOFTWARE 
VALOR HORA]],8,FALSE)*D.sign_Data[[#This Row],[TIEMPO (HORAS)]],0)</f>
        <v>1705.4274435719917</v>
      </c>
      <c r="S435" s="99">
        <v>0</v>
      </c>
      <c r="T435" s="99">
        <v>0</v>
      </c>
      <c r="U435" s="3">
        <f t="shared" si="15"/>
        <v>13947.913090312959</v>
      </c>
      <c r="V435" s="100">
        <f>D.sign_Data[[#This Row],[TIEMPO (HORAS)]]*Gastos_Operativos[[#Totals],[GASTOS HORA]]</f>
        <v>13894.738536155201</v>
      </c>
      <c r="W435" s="3">
        <f>+D.sign_Data[[#This Row],[COSTO 
DIRECTO ($COP)]]+D.sign_Data[[#This Row],[PRORRATEO GASTOS ($COP)]]</f>
        <v>27842.65162646816</v>
      </c>
      <c r="X435" s="101">
        <v>0.1</v>
      </c>
      <c r="Y435" s="15">
        <f>+D.sign_Data[[#This Row],[COSTOS OPERACIONALES ($COP)]]*D.sign_Data[[#This Row],[DESFASE (%)]]</f>
        <v>2784.265162646816</v>
      </c>
      <c r="Z435" s="101">
        <v>0.2</v>
      </c>
      <c r="AA435" s="15">
        <f>+((D.sign_Data[[#This Row],[COSTOS OPERACIONALES ($COP)]]/(100%-D.sign_Data[[#This Row],[UTILIDAD (%)]])))-D.sign_Data[[#This Row],[COSTOS OPERACIONALES ($COP)]]</f>
        <v>6960.662906617039</v>
      </c>
      <c r="AB435" s="3">
        <f>+D.sign_Data[[#This Row],[COSTOS OPERACIONALES ($COP)]]+D.sign_Data[[#This Row],[DESFASE ($COP)]]+D.sign_Data[[#This Row],[UTILIDAD ($COP)]]</f>
        <v>37587.579695732013</v>
      </c>
      <c r="AC435" s="101">
        <v>0.05</v>
      </c>
      <c r="AD435" s="15">
        <f>+D.sign_Data[[#This Row],[VALOR NETO ($COP)]]/(100%-D.sign_Data[[#This Row],[MARGEN DE NEGOCIACIÓN (%)]])-D.sign_Data[[#This Row],[VALOR NETO ($COP)]]</f>
        <v>1978.2936681964202</v>
      </c>
      <c r="AE435" s="15">
        <f>+(D.sign_Data[[#This Row],[VALOR NETO ($COP)]]+D.sign_Data[[#This Row],[NEGOCIACIÓN ($COP)]])*1%</f>
        <v>395.65873363928432</v>
      </c>
      <c r="AF435" s="15">
        <f>+(D.sign_Data[[#This Row],[VALOR NETO ($COP)]]+D.sign_Data[[#This Row],[NEGOCIACIÓN ($COP)]])*1%</f>
        <v>395.65873363928432</v>
      </c>
      <c r="AG435" s="3">
        <f>+D.sign_Data[[#This Row],[VALOR NETO ($COP)]]+D.sign_Data[[#This Row],[NEGOCIACIÓN ($COP)]]+D.sign_Data[[#This Row],[ICA ($COP)]]+D.sign_Data[[#This Row],[4 * 1000 ($COP)]]</f>
        <v>40357.190831207001</v>
      </c>
    </row>
    <row r="436" spans="1:33" ht="60" hidden="1" customHeight="1" x14ac:dyDescent="0.25">
      <c r="A436" s="14"/>
      <c r="B436" s="87" t="s">
        <v>418</v>
      </c>
      <c r="C436" s="182" t="s">
        <v>790</v>
      </c>
      <c r="D436" s="189" t="str">
        <f>VLOOKUP(D.sign_Data[[#This Row],[CÓDIGO]],Descripciones[[CÓDIGO]:[NOMBRE DE SERVICIO]],3,FALSE)</f>
        <v>D1. Parcelaciones y Condominios</v>
      </c>
      <c r="E436" s="87" t="s">
        <v>497</v>
      </c>
      <c r="F436" s="88" t="s">
        <v>791</v>
      </c>
      <c r="G436" s="88" t="s">
        <v>792</v>
      </c>
      <c r="H436" s="87" t="s">
        <v>500</v>
      </c>
      <c r="I436" s="89">
        <v>1</v>
      </c>
      <c r="J436" s="88" t="s">
        <v>793</v>
      </c>
      <c r="K436" s="102"/>
      <c r="L436" s="88" t="s">
        <v>768</v>
      </c>
      <c r="M436" s="89" t="s">
        <v>381</v>
      </c>
      <c r="N436" s="90">
        <v>0.8</v>
      </c>
      <c r="O436" s="27">
        <f>IFERROR(+VLOOKUP(M436,D.sign_Lista_Data[[RESPONSABLE]:[SOFTWARE 
VALOR HORA]],3,FALSE),"0")</f>
        <v>20263.424518743668</v>
      </c>
      <c r="P436" s="3">
        <f t="shared" si="14"/>
        <v>16210.739614994935</v>
      </c>
      <c r="Q436" s="11">
        <f>IFERROR(+VLOOKUP(M436,D.sign_Lista_Data[[RESPONSABLE]:[SOFTWARE 
VALOR HORA]],5,FALSE)*D.sign_Data[[#This Row],[TIEMPO (HORAS)]],0)</f>
        <v>3377.2374197906111</v>
      </c>
      <c r="R436" s="42">
        <f>IFERROR(+VLOOKUP(M436,D.sign_Lista_Data[[RESPONSABLE]:[SOFTWARE 
VALOR HORA]],8,FALSE)*D.sign_Data[[#This Row],[TIEMPO (HORAS)]],0)</f>
        <v>2728.6839097151869</v>
      </c>
      <c r="S436" s="99">
        <v>0</v>
      </c>
      <c r="T436" s="99">
        <v>0</v>
      </c>
      <c r="U436" s="3">
        <f t="shared" si="15"/>
        <v>22316.660944500731</v>
      </c>
      <c r="V436" s="100">
        <f>D.sign_Data[[#This Row],[TIEMPO (HORAS)]]*Gastos_Operativos[[#Totals],[GASTOS HORA]]</f>
        <v>22231.581657848321</v>
      </c>
      <c r="W436" s="3">
        <f>+D.sign_Data[[#This Row],[COSTO 
DIRECTO ($COP)]]+D.sign_Data[[#This Row],[PRORRATEO GASTOS ($COP)]]</f>
        <v>44548.242602349055</v>
      </c>
      <c r="X436" s="101">
        <v>0.1</v>
      </c>
      <c r="Y436" s="15">
        <f>+D.sign_Data[[#This Row],[COSTOS OPERACIONALES ($COP)]]*D.sign_Data[[#This Row],[DESFASE (%)]]</f>
        <v>4454.8242602349055</v>
      </c>
      <c r="Z436" s="101">
        <v>0.2</v>
      </c>
      <c r="AA436" s="15">
        <f>+((D.sign_Data[[#This Row],[COSTOS OPERACIONALES ($COP)]]/(100%-D.sign_Data[[#This Row],[UTILIDAD (%)]])))-D.sign_Data[[#This Row],[COSTOS OPERACIONALES ($COP)]]</f>
        <v>11137.060650587264</v>
      </c>
      <c r="AB436" s="3">
        <f>+D.sign_Data[[#This Row],[COSTOS OPERACIONALES ($COP)]]+D.sign_Data[[#This Row],[DESFASE ($COP)]]+D.sign_Data[[#This Row],[UTILIDAD ($COP)]]</f>
        <v>60140.127513171225</v>
      </c>
      <c r="AC436" s="101">
        <v>0.05</v>
      </c>
      <c r="AD436" s="15">
        <f>+D.sign_Data[[#This Row],[VALOR NETO ($COP)]]/(100%-D.sign_Data[[#This Row],[MARGEN DE NEGOCIACIÓN (%)]])-D.sign_Data[[#This Row],[VALOR NETO ($COP)]]</f>
        <v>3165.2698691142796</v>
      </c>
      <c r="AE436" s="15">
        <f>+(D.sign_Data[[#This Row],[VALOR NETO ($COP)]]+D.sign_Data[[#This Row],[NEGOCIACIÓN ($COP)]])*1%</f>
        <v>633.05397382285503</v>
      </c>
      <c r="AF436" s="15">
        <f>+(D.sign_Data[[#This Row],[VALOR NETO ($COP)]]+D.sign_Data[[#This Row],[NEGOCIACIÓN ($COP)]])*1%</f>
        <v>633.05397382285503</v>
      </c>
      <c r="AG436" s="3">
        <f>+D.sign_Data[[#This Row],[VALOR NETO ($COP)]]+D.sign_Data[[#This Row],[NEGOCIACIÓN ($COP)]]+D.sign_Data[[#This Row],[ICA ($COP)]]+D.sign_Data[[#This Row],[4 * 1000 ($COP)]]</f>
        <v>64571.505329931213</v>
      </c>
    </row>
    <row r="437" spans="1:33" ht="60" hidden="1" customHeight="1" x14ac:dyDescent="0.25">
      <c r="A437" s="14"/>
      <c r="B437" s="87" t="s">
        <v>418</v>
      </c>
      <c r="C437" s="182" t="s">
        <v>790</v>
      </c>
      <c r="D437" s="189" t="str">
        <f>VLOOKUP(D.sign_Data[[#This Row],[CÓDIGO]],Descripciones[[CÓDIGO]:[NOMBRE DE SERVICIO]],3,FALSE)</f>
        <v>D1. Parcelaciones y Condominios</v>
      </c>
      <c r="E437" s="87" t="s">
        <v>497</v>
      </c>
      <c r="F437" s="88" t="s">
        <v>791</v>
      </c>
      <c r="G437" s="88" t="s">
        <v>792</v>
      </c>
      <c r="H437" s="87" t="s">
        <v>500</v>
      </c>
      <c r="I437" s="89">
        <v>1</v>
      </c>
      <c r="J437" s="88" t="s">
        <v>793</v>
      </c>
      <c r="K437" s="102"/>
      <c r="L437" s="88" t="s">
        <v>624</v>
      </c>
      <c r="M437" s="89" t="s">
        <v>381</v>
      </c>
      <c r="N437" s="90">
        <v>1</v>
      </c>
      <c r="O437" s="27">
        <f>IFERROR(+VLOOKUP(M437,D.sign_Lista_Data[[RESPONSABLE]:[SOFTWARE 
VALOR HORA]],3,FALSE),"0")</f>
        <v>20263.424518743668</v>
      </c>
      <c r="P437" s="3">
        <f t="shared" si="14"/>
        <v>20263.424518743668</v>
      </c>
      <c r="Q437" s="11">
        <f>IFERROR(+VLOOKUP(M437,D.sign_Lista_Data[[RESPONSABLE]:[SOFTWARE 
VALOR HORA]],5,FALSE)*D.sign_Data[[#This Row],[TIEMPO (HORAS)]],0)</f>
        <v>4221.5467747382636</v>
      </c>
      <c r="R437" s="42">
        <f>IFERROR(+VLOOKUP(M437,D.sign_Lista_Data[[RESPONSABLE]:[SOFTWARE 
VALOR HORA]],8,FALSE)*D.sign_Data[[#This Row],[TIEMPO (HORAS)]],0)</f>
        <v>3410.8548871439834</v>
      </c>
      <c r="S437" s="99">
        <v>0</v>
      </c>
      <c r="T437" s="99">
        <v>0</v>
      </c>
      <c r="U437" s="3">
        <f t="shared" si="15"/>
        <v>27895.826180625918</v>
      </c>
      <c r="V437" s="100">
        <f>D.sign_Data[[#This Row],[TIEMPO (HORAS)]]*Gastos_Operativos[[#Totals],[GASTOS HORA]]</f>
        <v>27789.477072310401</v>
      </c>
      <c r="W437" s="3">
        <f>+D.sign_Data[[#This Row],[COSTO 
DIRECTO ($COP)]]+D.sign_Data[[#This Row],[PRORRATEO GASTOS ($COP)]]</f>
        <v>55685.303252936319</v>
      </c>
      <c r="X437" s="101">
        <v>0.1</v>
      </c>
      <c r="Y437" s="15">
        <f>+D.sign_Data[[#This Row],[COSTOS OPERACIONALES ($COP)]]*D.sign_Data[[#This Row],[DESFASE (%)]]</f>
        <v>5568.5303252936319</v>
      </c>
      <c r="Z437" s="101">
        <v>0.2</v>
      </c>
      <c r="AA437" s="15">
        <f>+((D.sign_Data[[#This Row],[COSTOS OPERACIONALES ($COP)]]/(100%-D.sign_Data[[#This Row],[UTILIDAD (%)]])))-D.sign_Data[[#This Row],[COSTOS OPERACIONALES ($COP)]]</f>
        <v>13921.325813234078</v>
      </c>
      <c r="AB437" s="3">
        <f>+D.sign_Data[[#This Row],[COSTOS OPERACIONALES ($COP)]]+D.sign_Data[[#This Row],[DESFASE ($COP)]]+D.sign_Data[[#This Row],[UTILIDAD ($COP)]]</f>
        <v>75175.159391464025</v>
      </c>
      <c r="AC437" s="101">
        <v>0.05</v>
      </c>
      <c r="AD437" s="15">
        <f>+D.sign_Data[[#This Row],[VALOR NETO ($COP)]]/(100%-D.sign_Data[[#This Row],[MARGEN DE NEGOCIACIÓN (%)]])-D.sign_Data[[#This Row],[VALOR NETO ($COP)]]</f>
        <v>3956.5873363928404</v>
      </c>
      <c r="AE437" s="15">
        <f>+(D.sign_Data[[#This Row],[VALOR NETO ($COP)]]+D.sign_Data[[#This Row],[NEGOCIACIÓN ($COP)]])*1%</f>
        <v>791.31746727856864</v>
      </c>
      <c r="AF437" s="15">
        <f>+(D.sign_Data[[#This Row],[VALOR NETO ($COP)]]+D.sign_Data[[#This Row],[NEGOCIACIÓN ($COP)]])*1%</f>
        <v>791.31746727856864</v>
      </c>
      <c r="AG437" s="3">
        <f>+D.sign_Data[[#This Row],[VALOR NETO ($COP)]]+D.sign_Data[[#This Row],[NEGOCIACIÓN ($COP)]]+D.sign_Data[[#This Row],[ICA ($COP)]]+D.sign_Data[[#This Row],[4 * 1000 ($COP)]]</f>
        <v>80714.381662414002</v>
      </c>
    </row>
    <row r="438" spans="1:33" ht="60" hidden="1" customHeight="1" x14ac:dyDescent="0.25">
      <c r="A438" s="14"/>
      <c r="B438" s="87" t="s">
        <v>418</v>
      </c>
      <c r="C438" s="182" t="s">
        <v>790</v>
      </c>
      <c r="D438" s="189" t="str">
        <f>VLOOKUP(D.sign_Data[[#This Row],[CÓDIGO]],Descripciones[[CÓDIGO]:[NOMBRE DE SERVICIO]],3,FALSE)</f>
        <v>D1. Parcelaciones y Condominios</v>
      </c>
      <c r="E438" s="87" t="s">
        <v>497</v>
      </c>
      <c r="F438" s="88" t="s">
        <v>791</v>
      </c>
      <c r="G438" s="88" t="s">
        <v>792</v>
      </c>
      <c r="H438" s="87" t="s">
        <v>500</v>
      </c>
      <c r="I438" s="89">
        <v>1</v>
      </c>
      <c r="J438" s="88" t="s">
        <v>793</v>
      </c>
      <c r="K438" s="102"/>
      <c r="L438" s="88" t="s">
        <v>483</v>
      </c>
      <c r="M438" s="89" t="s">
        <v>381</v>
      </c>
      <c r="N438" s="90">
        <v>0.5</v>
      </c>
      <c r="O438" s="27">
        <f>IFERROR(+VLOOKUP(M438,D.sign_Lista_Data[[RESPONSABLE]:[SOFTWARE 
VALOR HORA]],3,FALSE),"0")</f>
        <v>20263.424518743668</v>
      </c>
      <c r="P438" s="3">
        <f t="shared" si="14"/>
        <v>10131.712259371834</v>
      </c>
      <c r="Q438" s="11">
        <f>IFERROR(+VLOOKUP(M438,D.sign_Lista_Data[[RESPONSABLE]:[SOFTWARE 
VALOR HORA]],5,FALSE)*D.sign_Data[[#This Row],[TIEMPO (HORAS)]],0)</f>
        <v>2110.7733873691318</v>
      </c>
      <c r="R438" s="42">
        <f>IFERROR(+VLOOKUP(M438,D.sign_Lista_Data[[RESPONSABLE]:[SOFTWARE 
VALOR HORA]],8,FALSE)*D.sign_Data[[#This Row],[TIEMPO (HORAS)]],0)</f>
        <v>1705.4274435719917</v>
      </c>
      <c r="S438" s="99">
        <v>0</v>
      </c>
      <c r="T438" s="99">
        <v>0</v>
      </c>
      <c r="U438" s="3">
        <f t="shared" si="15"/>
        <v>13947.913090312959</v>
      </c>
      <c r="V438" s="100">
        <f>D.sign_Data[[#This Row],[TIEMPO (HORAS)]]*Gastos_Operativos[[#Totals],[GASTOS HORA]]</f>
        <v>13894.738536155201</v>
      </c>
      <c r="W438" s="3">
        <f>+D.sign_Data[[#This Row],[COSTO 
DIRECTO ($COP)]]+D.sign_Data[[#This Row],[PRORRATEO GASTOS ($COP)]]</f>
        <v>27842.65162646816</v>
      </c>
      <c r="X438" s="101">
        <v>0.1</v>
      </c>
      <c r="Y438" s="15">
        <f>+D.sign_Data[[#This Row],[COSTOS OPERACIONALES ($COP)]]*D.sign_Data[[#This Row],[DESFASE (%)]]</f>
        <v>2784.265162646816</v>
      </c>
      <c r="Z438" s="101">
        <v>0.2</v>
      </c>
      <c r="AA438" s="15">
        <f>+((D.sign_Data[[#This Row],[COSTOS OPERACIONALES ($COP)]]/(100%-D.sign_Data[[#This Row],[UTILIDAD (%)]])))-D.sign_Data[[#This Row],[COSTOS OPERACIONALES ($COP)]]</f>
        <v>6960.662906617039</v>
      </c>
      <c r="AB438" s="3">
        <f>+D.sign_Data[[#This Row],[COSTOS OPERACIONALES ($COP)]]+D.sign_Data[[#This Row],[DESFASE ($COP)]]+D.sign_Data[[#This Row],[UTILIDAD ($COP)]]</f>
        <v>37587.579695732013</v>
      </c>
      <c r="AC438" s="101">
        <v>0.05</v>
      </c>
      <c r="AD438" s="15">
        <f>+D.sign_Data[[#This Row],[VALOR NETO ($COP)]]/(100%-D.sign_Data[[#This Row],[MARGEN DE NEGOCIACIÓN (%)]])-D.sign_Data[[#This Row],[VALOR NETO ($COP)]]</f>
        <v>1978.2936681964202</v>
      </c>
      <c r="AE438" s="15">
        <f>+(D.sign_Data[[#This Row],[VALOR NETO ($COP)]]+D.sign_Data[[#This Row],[NEGOCIACIÓN ($COP)]])*1%</f>
        <v>395.65873363928432</v>
      </c>
      <c r="AF438" s="15">
        <f>+(D.sign_Data[[#This Row],[VALOR NETO ($COP)]]+D.sign_Data[[#This Row],[NEGOCIACIÓN ($COP)]])*1%</f>
        <v>395.65873363928432</v>
      </c>
      <c r="AG438" s="3">
        <f>+D.sign_Data[[#This Row],[VALOR NETO ($COP)]]+D.sign_Data[[#This Row],[NEGOCIACIÓN ($COP)]]+D.sign_Data[[#This Row],[ICA ($COP)]]+D.sign_Data[[#This Row],[4 * 1000 ($COP)]]</f>
        <v>40357.190831207001</v>
      </c>
    </row>
    <row r="439" spans="1:33" ht="60" hidden="1" customHeight="1" x14ac:dyDescent="0.25">
      <c r="A439" s="14"/>
      <c r="B439" s="87" t="s">
        <v>418</v>
      </c>
      <c r="C439" s="182" t="s">
        <v>790</v>
      </c>
      <c r="D439" s="189" t="str">
        <f>VLOOKUP(D.sign_Data[[#This Row],[CÓDIGO]],Descripciones[[CÓDIGO]:[NOMBRE DE SERVICIO]],3,FALSE)</f>
        <v>D1. Parcelaciones y Condominios</v>
      </c>
      <c r="E439" s="87" t="s">
        <v>497</v>
      </c>
      <c r="F439" s="88" t="s">
        <v>791</v>
      </c>
      <c r="G439" s="88" t="s">
        <v>792</v>
      </c>
      <c r="H439" s="87" t="s">
        <v>500</v>
      </c>
      <c r="I439" s="89">
        <v>1</v>
      </c>
      <c r="J439" s="88" t="s">
        <v>793</v>
      </c>
      <c r="K439" s="102"/>
      <c r="L439" s="88" t="s">
        <v>474</v>
      </c>
      <c r="M439" s="89" t="s">
        <v>381</v>
      </c>
      <c r="N439" s="90">
        <v>0.1</v>
      </c>
      <c r="O439" s="27">
        <f>IFERROR(+VLOOKUP(M439,D.sign_Lista_Data[[RESPONSABLE]:[SOFTWARE 
VALOR HORA]],3,FALSE),"0")</f>
        <v>20263.424518743668</v>
      </c>
      <c r="P439" s="3">
        <f t="shared" si="14"/>
        <v>2026.3424518743668</v>
      </c>
      <c r="Q439" s="11">
        <f>IFERROR(+VLOOKUP(M439,D.sign_Lista_Data[[RESPONSABLE]:[SOFTWARE 
VALOR HORA]],5,FALSE)*D.sign_Data[[#This Row],[TIEMPO (HORAS)]],0)</f>
        <v>422.15467747382638</v>
      </c>
      <c r="R439" s="42">
        <f>IFERROR(+VLOOKUP(M439,D.sign_Lista_Data[[RESPONSABLE]:[SOFTWARE 
VALOR HORA]],8,FALSE)*D.sign_Data[[#This Row],[TIEMPO (HORAS)]],0)</f>
        <v>341.08548871439837</v>
      </c>
      <c r="S439" s="99">
        <v>0</v>
      </c>
      <c r="T439" s="99">
        <v>0</v>
      </c>
      <c r="U439" s="3">
        <f t="shared" si="15"/>
        <v>2789.5826180625913</v>
      </c>
      <c r="V439" s="100">
        <f>D.sign_Data[[#This Row],[TIEMPO (HORAS)]]*Gastos_Operativos[[#Totals],[GASTOS HORA]]</f>
        <v>2778.9477072310401</v>
      </c>
      <c r="W439" s="3">
        <f>+D.sign_Data[[#This Row],[COSTO 
DIRECTO ($COP)]]+D.sign_Data[[#This Row],[PRORRATEO GASTOS ($COP)]]</f>
        <v>5568.5303252936319</v>
      </c>
      <c r="X439" s="101">
        <v>0.1</v>
      </c>
      <c r="Y439" s="15">
        <f>+D.sign_Data[[#This Row],[COSTOS OPERACIONALES ($COP)]]*D.sign_Data[[#This Row],[DESFASE (%)]]</f>
        <v>556.85303252936319</v>
      </c>
      <c r="Z439" s="101">
        <v>0.2</v>
      </c>
      <c r="AA439" s="15">
        <f>+((D.sign_Data[[#This Row],[COSTOS OPERACIONALES ($COP)]]/(100%-D.sign_Data[[#This Row],[UTILIDAD (%)]])))-D.sign_Data[[#This Row],[COSTOS OPERACIONALES ($COP)]]</f>
        <v>1392.132581323408</v>
      </c>
      <c r="AB439" s="3">
        <f>+D.sign_Data[[#This Row],[COSTOS OPERACIONALES ($COP)]]+D.sign_Data[[#This Row],[DESFASE ($COP)]]+D.sign_Data[[#This Row],[UTILIDAD ($COP)]]</f>
        <v>7517.5159391464031</v>
      </c>
      <c r="AC439" s="101">
        <v>0.05</v>
      </c>
      <c r="AD439" s="15">
        <f>+D.sign_Data[[#This Row],[VALOR NETO ($COP)]]/(100%-D.sign_Data[[#This Row],[MARGEN DE NEGOCIACIÓN (%)]])-D.sign_Data[[#This Row],[VALOR NETO ($COP)]]</f>
        <v>395.65873363928495</v>
      </c>
      <c r="AE439" s="15">
        <f>+(D.sign_Data[[#This Row],[VALOR NETO ($COP)]]+D.sign_Data[[#This Row],[NEGOCIACIÓN ($COP)]])*1%</f>
        <v>79.131746727856878</v>
      </c>
      <c r="AF439" s="15">
        <f>+(D.sign_Data[[#This Row],[VALOR NETO ($COP)]]+D.sign_Data[[#This Row],[NEGOCIACIÓN ($COP)]])*1%</f>
        <v>79.131746727856878</v>
      </c>
      <c r="AG439" s="3">
        <f>+D.sign_Data[[#This Row],[VALOR NETO ($COP)]]+D.sign_Data[[#This Row],[NEGOCIACIÓN ($COP)]]+D.sign_Data[[#This Row],[ICA ($COP)]]+D.sign_Data[[#This Row],[4 * 1000 ($COP)]]</f>
        <v>8071.4381662414016</v>
      </c>
    </row>
    <row r="440" spans="1:33" ht="60" hidden="1" customHeight="1" x14ac:dyDescent="0.25">
      <c r="A440" s="14"/>
      <c r="B440" s="87" t="s">
        <v>418</v>
      </c>
      <c r="C440" s="182" t="s">
        <v>790</v>
      </c>
      <c r="D440" s="189" t="str">
        <f>VLOOKUP(D.sign_Data[[#This Row],[CÓDIGO]],Descripciones[[CÓDIGO]:[NOMBRE DE SERVICIO]],3,FALSE)</f>
        <v>D1. Parcelaciones y Condominios</v>
      </c>
      <c r="E440" s="87" t="s">
        <v>497</v>
      </c>
      <c r="F440" s="88" t="s">
        <v>791</v>
      </c>
      <c r="G440" s="88" t="s">
        <v>792</v>
      </c>
      <c r="H440" s="87" t="s">
        <v>500</v>
      </c>
      <c r="I440" s="89">
        <v>1</v>
      </c>
      <c r="J440" s="88" t="s">
        <v>795</v>
      </c>
      <c r="K440" s="102"/>
      <c r="L440" s="88" t="s">
        <v>476</v>
      </c>
      <c r="M440" s="89" t="s">
        <v>381</v>
      </c>
      <c r="N440" s="90">
        <v>0.5</v>
      </c>
      <c r="O440" s="27">
        <f>IFERROR(+VLOOKUP(M440,D.sign_Lista_Data[[RESPONSABLE]:[SOFTWARE 
VALOR HORA]],3,FALSE),"0")</f>
        <v>20263.424518743668</v>
      </c>
      <c r="P440" s="3">
        <f t="shared" si="14"/>
        <v>10131.712259371834</v>
      </c>
      <c r="Q440" s="11">
        <f>IFERROR(+VLOOKUP(M440,D.sign_Lista_Data[[RESPONSABLE]:[SOFTWARE 
VALOR HORA]],5,FALSE)*D.sign_Data[[#This Row],[TIEMPO (HORAS)]],0)</f>
        <v>2110.7733873691318</v>
      </c>
      <c r="R440" s="42">
        <f>IFERROR(+VLOOKUP(M440,D.sign_Lista_Data[[RESPONSABLE]:[SOFTWARE 
VALOR HORA]],8,FALSE)*D.sign_Data[[#This Row],[TIEMPO (HORAS)]],0)</f>
        <v>1705.4274435719917</v>
      </c>
      <c r="S440" s="99">
        <v>0</v>
      </c>
      <c r="T440" s="99">
        <v>0</v>
      </c>
      <c r="U440" s="3">
        <f t="shared" si="15"/>
        <v>13947.913090312959</v>
      </c>
      <c r="V440" s="100">
        <f>D.sign_Data[[#This Row],[TIEMPO (HORAS)]]*Gastos_Operativos[[#Totals],[GASTOS HORA]]</f>
        <v>13894.738536155201</v>
      </c>
      <c r="W440" s="3">
        <f>+D.sign_Data[[#This Row],[COSTO 
DIRECTO ($COP)]]+D.sign_Data[[#This Row],[PRORRATEO GASTOS ($COP)]]</f>
        <v>27842.65162646816</v>
      </c>
      <c r="X440" s="101">
        <v>0.1</v>
      </c>
      <c r="Y440" s="15">
        <f>+D.sign_Data[[#This Row],[COSTOS OPERACIONALES ($COP)]]*D.sign_Data[[#This Row],[DESFASE (%)]]</f>
        <v>2784.265162646816</v>
      </c>
      <c r="Z440" s="101">
        <v>0.2</v>
      </c>
      <c r="AA440" s="15">
        <f>+((D.sign_Data[[#This Row],[COSTOS OPERACIONALES ($COP)]]/(100%-D.sign_Data[[#This Row],[UTILIDAD (%)]])))-D.sign_Data[[#This Row],[COSTOS OPERACIONALES ($COP)]]</f>
        <v>6960.662906617039</v>
      </c>
      <c r="AB440" s="3">
        <f>+D.sign_Data[[#This Row],[COSTOS OPERACIONALES ($COP)]]+D.sign_Data[[#This Row],[DESFASE ($COP)]]+D.sign_Data[[#This Row],[UTILIDAD ($COP)]]</f>
        <v>37587.579695732013</v>
      </c>
      <c r="AC440" s="101">
        <v>0.05</v>
      </c>
      <c r="AD440" s="15">
        <f>+D.sign_Data[[#This Row],[VALOR NETO ($COP)]]/(100%-D.sign_Data[[#This Row],[MARGEN DE NEGOCIACIÓN (%)]])-D.sign_Data[[#This Row],[VALOR NETO ($COP)]]</f>
        <v>1978.2936681964202</v>
      </c>
      <c r="AE440" s="15">
        <f>+(D.sign_Data[[#This Row],[VALOR NETO ($COP)]]+D.sign_Data[[#This Row],[NEGOCIACIÓN ($COP)]])*1%</f>
        <v>395.65873363928432</v>
      </c>
      <c r="AF440" s="15">
        <f>+(D.sign_Data[[#This Row],[VALOR NETO ($COP)]]+D.sign_Data[[#This Row],[NEGOCIACIÓN ($COP)]])*1%</f>
        <v>395.65873363928432</v>
      </c>
      <c r="AG440" s="3">
        <f>+D.sign_Data[[#This Row],[VALOR NETO ($COP)]]+D.sign_Data[[#This Row],[NEGOCIACIÓN ($COP)]]+D.sign_Data[[#This Row],[ICA ($COP)]]+D.sign_Data[[#This Row],[4 * 1000 ($COP)]]</f>
        <v>40357.190831207001</v>
      </c>
    </row>
    <row r="441" spans="1:33" ht="60" hidden="1" customHeight="1" x14ac:dyDescent="0.25">
      <c r="A441" s="14"/>
      <c r="B441" s="87" t="s">
        <v>418</v>
      </c>
      <c r="C441" s="182" t="s">
        <v>790</v>
      </c>
      <c r="D441" s="189" t="str">
        <f>VLOOKUP(D.sign_Data[[#This Row],[CÓDIGO]],Descripciones[[CÓDIGO]:[NOMBRE DE SERVICIO]],3,FALSE)</f>
        <v>D1. Parcelaciones y Condominios</v>
      </c>
      <c r="E441" s="87" t="s">
        <v>497</v>
      </c>
      <c r="F441" s="88" t="s">
        <v>791</v>
      </c>
      <c r="G441" s="88" t="s">
        <v>792</v>
      </c>
      <c r="H441" s="87" t="s">
        <v>500</v>
      </c>
      <c r="I441" s="89">
        <v>1</v>
      </c>
      <c r="J441" s="88" t="s">
        <v>795</v>
      </c>
      <c r="K441" s="102"/>
      <c r="L441" s="88" t="s">
        <v>770</v>
      </c>
      <c r="M441" s="89" t="s">
        <v>381</v>
      </c>
      <c r="N441" s="90">
        <v>1</v>
      </c>
      <c r="O441" s="27">
        <f>IFERROR(+VLOOKUP(M441,D.sign_Lista_Data[[RESPONSABLE]:[SOFTWARE 
VALOR HORA]],3,FALSE),"0")</f>
        <v>20263.424518743668</v>
      </c>
      <c r="P441" s="3">
        <f t="shared" si="14"/>
        <v>20263.424518743668</v>
      </c>
      <c r="Q441" s="11">
        <f>IFERROR(+VLOOKUP(M441,D.sign_Lista_Data[[RESPONSABLE]:[SOFTWARE 
VALOR HORA]],5,FALSE)*D.sign_Data[[#This Row],[TIEMPO (HORAS)]],0)</f>
        <v>4221.5467747382636</v>
      </c>
      <c r="R441" s="42">
        <f>IFERROR(+VLOOKUP(M441,D.sign_Lista_Data[[RESPONSABLE]:[SOFTWARE 
VALOR HORA]],8,FALSE)*D.sign_Data[[#This Row],[TIEMPO (HORAS)]],0)</f>
        <v>3410.8548871439834</v>
      </c>
      <c r="S441" s="99">
        <v>0</v>
      </c>
      <c r="T441" s="99">
        <v>0</v>
      </c>
      <c r="U441" s="3">
        <f t="shared" si="15"/>
        <v>27895.826180625918</v>
      </c>
      <c r="V441" s="100">
        <f>D.sign_Data[[#This Row],[TIEMPO (HORAS)]]*Gastos_Operativos[[#Totals],[GASTOS HORA]]</f>
        <v>27789.477072310401</v>
      </c>
      <c r="W441" s="3">
        <f>+D.sign_Data[[#This Row],[COSTO 
DIRECTO ($COP)]]+D.sign_Data[[#This Row],[PRORRATEO GASTOS ($COP)]]</f>
        <v>55685.303252936319</v>
      </c>
      <c r="X441" s="101">
        <v>0.1</v>
      </c>
      <c r="Y441" s="15">
        <f>+D.sign_Data[[#This Row],[COSTOS OPERACIONALES ($COP)]]*D.sign_Data[[#This Row],[DESFASE (%)]]</f>
        <v>5568.5303252936319</v>
      </c>
      <c r="Z441" s="101">
        <v>0.2</v>
      </c>
      <c r="AA441" s="15">
        <f>+((D.sign_Data[[#This Row],[COSTOS OPERACIONALES ($COP)]]/(100%-D.sign_Data[[#This Row],[UTILIDAD (%)]])))-D.sign_Data[[#This Row],[COSTOS OPERACIONALES ($COP)]]</f>
        <v>13921.325813234078</v>
      </c>
      <c r="AB441" s="3">
        <f>+D.sign_Data[[#This Row],[COSTOS OPERACIONALES ($COP)]]+D.sign_Data[[#This Row],[DESFASE ($COP)]]+D.sign_Data[[#This Row],[UTILIDAD ($COP)]]</f>
        <v>75175.159391464025</v>
      </c>
      <c r="AC441" s="101">
        <v>0.05</v>
      </c>
      <c r="AD441" s="15">
        <f>+D.sign_Data[[#This Row],[VALOR NETO ($COP)]]/(100%-D.sign_Data[[#This Row],[MARGEN DE NEGOCIACIÓN (%)]])-D.sign_Data[[#This Row],[VALOR NETO ($COP)]]</f>
        <v>3956.5873363928404</v>
      </c>
      <c r="AE441" s="15">
        <f>+(D.sign_Data[[#This Row],[VALOR NETO ($COP)]]+D.sign_Data[[#This Row],[NEGOCIACIÓN ($COP)]])*1%</f>
        <v>791.31746727856864</v>
      </c>
      <c r="AF441" s="15">
        <f>+(D.sign_Data[[#This Row],[VALOR NETO ($COP)]]+D.sign_Data[[#This Row],[NEGOCIACIÓN ($COP)]])*1%</f>
        <v>791.31746727856864</v>
      </c>
      <c r="AG441" s="3">
        <f>+D.sign_Data[[#This Row],[VALOR NETO ($COP)]]+D.sign_Data[[#This Row],[NEGOCIACIÓN ($COP)]]+D.sign_Data[[#This Row],[ICA ($COP)]]+D.sign_Data[[#This Row],[4 * 1000 ($COP)]]</f>
        <v>80714.381662414002</v>
      </c>
    </row>
    <row r="442" spans="1:33" ht="60" hidden="1" customHeight="1" x14ac:dyDescent="0.25">
      <c r="A442" s="14"/>
      <c r="B442" s="87" t="s">
        <v>418</v>
      </c>
      <c r="C442" s="182" t="s">
        <v>790</v>
      </c>
      <c r="D442" s="189" t="str">
        <f>VLOOKUP(D.sign_Data[[#This Row],[CÓDIGO]],Descripciones[[CÓDIGO]:[NOMBRE DE SERVICIO]],3,FALSE)</f>
        <v>D1. Parcelaciones y Condominios</v>
      </c>
      <c r="E442" s="87" t="s">
        <v>497</v>
      </c>
      <c r="F442" s="88" t="s">
        <v>791</v>
      </c>
      <c r="G442" s="88" t="s">
        <v>792</v>
      </c>
      <c r="H442" s="87" t="s">
        <v>500</v>
      </c>
      <c r="I442" s="89">
        <v>1</v>
      </c>
      <c r="J442" s="88" t="s">
        <v>795</v>
      </c>
      <c r="K442" s="102"/>
      <c r="L442" s="88" t="s">
        <v>624</v>
      </c>
      <c r="M442" s="89" t="s">
        <v>381</v>
      </c>
      <c r="N442" s="90">
        <v>2.5</v>
      </c>
      <c r="O442" s="27">
        <f>IFERROR(+VLOOKUP(M442,D.sign_Lista_Data[[RESPONSABLE]:[SOFTWARE 
VALOR HORA]],3,FALSE),"0")</f>
        <v>20263.424518743668</v>
      </c>
      <c r="P442" s="3">
        <f t="shared" si="14"/>
        <v>50658.561296859174</v>
      </c>
      <c r="Q442" s="11">
        <f>IFERROR(+VLOOKUP(M442,D.sign_Lista_Data[[RESPONSABLE]:[SOFTWARE 
VALOR HORA]],5,FALSE)*D.sign_Data[[#This Row],[TIEMPO (HORAS)]],0)</f>
        <v>10553.866936845659</v>
      </c>
      <c r="R442" s="42">
        <f>IFERROR(+VLOOKUP(M442,D.sign_Lista_Data[[RESPONSABLE]:[SOFTWARE 
VALOR HORA]],8,FALSE)*D.sign_Data[[#This Row],[TIEMPO (HORAS)]],0)</f>
        <v>8527.1372178599595</v>
      </c>
      <c r="S442" s="99">
        <v>0</v>
      </c>
      <c r="T442" s="99">
        <v>0</v>
      </c>
      <c r="U442" s="3">
        <f t="shared" si="15"/>
        <v>69739.565451564791</v>
      </c>
      <c r="V442" s="100">
        <f>D.sign_Data[[#This Row],[TIEMPO (HORAS)]]*Gastos_Operativos[[#Totals],[GASTOS HORA]]</f>
        <v>69473.692680776003</v>
      </c>
      <c r="W442" s="3">
        <f>+D.sign_Data[[#This Row],[COSTO 
DIRECTO ($COP)]]+D.sign_Data[[#This Row],[PRORRATEO GASTOS ($COP)]]</f>
        <v>139213.25813234079</v>
      </c>
      <c r="X442" s="101">
        <v>0.1</v>
      </c>
      <c r="Y442" s="15">
        <f>+D.sign_Data[[#This Row],[COSTOS OPERACIONALES ($COP)]]*D.sign_Data[[#This Row],[DESFASE (%)]]</f>
        <v>13921.32581323408</v>
      </c>
      <c r="Z442" s="101">
        <v>0.2</v>
      </c>
      <c r="AA442" s="15">
        <f>+((D.sign_Data[[#This Row],[COSTOS OPERACIONALES ($COP)]]/(100%-D.sign_Data[[#This Row],[UTILIDAD (%)]])))-D.sign_Data[[#This Row],[COSTOS OPERACIONALES ($COP)]]</f>
        <v>34803.314533085184</v>
      </c>
      <c r="AB442" s="3">
        <f>+D.sign_Data[[#This Row],[COSTOS OPERACIONALES ($COP)]]+D.sign_Data[[#This Row],[DESFASE ($COP)]]+D.sign_Data[[#This Row],[UTILIDAD ($COP)]]</f>
        <v>187937.89847866006</v>
      </c>
      <c r="AC442" s="101">
        <v>0.05</v>
      </c>
      <c r="AD442" s="15">
        <f>+D.sign_Data[[#This Row],[VALOR NETO ($COP)]]/(100%-D.sign_Data[[#This Row],[MARGEN DE NEGOCIACIÓN (%)]])-D.sign_Data[[#This Row],[VALOR NETO ($COP)]]</f>
        <v>9891.46834098213</v>
      </c>
      <c r="AE442" s="15">
        <f>+(D.sign_Data[[#This Row],[VALOR NETO ($COP)]]+D.sign_Data[[#This Row],[NEGOCIACIÓN ($COP)]])*1%</f>
        <v>1978.293668196422</v>
      </c>
      <c r="AF442" s="15">
        <f>+(D.sign_Data[[#This Row],[VALOR NETO ($COP)]]+D.sign_Data[[#This Row],[NEGOCIACIÓN ($COP)]])*1%</f>
        <v>1978.293668196422</v>
      </c>
      <c r="AG442" s="3">
        <f>+D.sign_Data[[#This Row],[VALOR NETO ($COP)]]+D.sign_Data[[#This Row],[NEGOCIACIÓN ($COP)]]+D.sign_Data[[#This Row],[ICA ($COP)]]+D.sign_Data[[#This Row],[4 * 1000 ($COP)]]</f>
        <v>201785.95415603503</v>
      </c>
    </row>
    <row r="443" spans="1:33" ht="60" hidden="1" customHeight="1" x14ac:dyDescent="0.25">
      <c r="A443" s="14"/>
      <c r="B443" s="87" t="s">
        <v>418</v>
      </c>
      <c r="C443" s="182" t="s">
        <v>790</v>
      </c>
      <c r="D443" s="189" t="str">
        <f>VLOOKUP(D.sign_Data[[#This Row],[CÓDIGO]],Descripciones[[CÓDIGO]:[NOMBRE DE SERVICIO]],3,FALSE)</f>
        <v>D1. Parcelaciones y Condominios</v>
      </c>
      <c r="E443" s="87" t="s">
        <v>497</v>
      </c>
      <c r="F443" s="88" t="s">
        <v>791</v>
      </c>
      <c r="G443" s="88" t="s">
        <v>792</v>
      </c>
      <c r="H443" s="87" t="s">
        <v>500</v>
      </c>
      <c r="I443" s="89">
        <v>1</v>
      </c>
      <c r="J443" s="88" t="s">
        <v>795</v>
      </c>
      <c r="K443" s="102"/>
      <c r="L443" s="88" t="s">
        <v>733</v>
      </c>
      <c r="M443" s="89" t="s">
        <v>381</v>
      </c>
      <c r="N443" s="90">
        <v>4</v>
      </c>
      <c r="O443" s="27">
        <f>IFERROR(+VLOOKUP(M443,D.sign_Lista_Data[[RESPONSABLE]:[SOFTWARE 
VALOR HORA]],3,FALSE),"0")</f>
        <v>20263.424518743668</v>
      </c>
      <c r="P443" s="3">
        <f t="shared" si="14"/>
        <v>81053.698074974673</v>
      </c>
      <c r="Q443" s="11">
        <f>IFERROR(+VLOOKUP(M443,D.sign_Lista_Data[[RESPONSABLE]:[SOFTWARE 
VALOR HORA]],5,FALSE)*D.sign_Data[[#This Row],[TIEMPO (HORAS)]],0)</f>
        <v>16886.187098953054</v>
      </c>
      <c r="R443" s="42">
        <f>IFERROR(+VLOOKUP(M443,D.sign_Lista_Data[[RESPONSABLE]:[SOFTWARE 
VALOR HORA]],8,FALSE)*D.sign_Data[[#This Row],[TIEMPO (HORAS)]],0)</f>
        <v>13643.419548575934</v>
      </c>
      <c r="S443" s="99">
        <v>0</v>
      </c>
      <c r="T443" s="99">
        <v>0</v>
      </c>
      <c r="U443" s="3">
        <f t="shared" si="15"/>
        <v>111583.30472250367</v>
      </c>
      <c r="V443" s="100">
        <f>D.sign_Data[[#This Row],[TIEMPO (HORAS)]]*Gastos_Operativos[[#Totals],[GASTOS HORA]]</f>
        <v>111157.9082892416</v>
      </c>
      <c r="W443" s="3">
        <f>+D.sign_Data[[#This Row],[COSTO 
DIRECTO ($COP)]]+D.sign_Data[[#This Row],[PRORRATEO GASTOS ($COP)]]</f>
        <v>222741.21301174528</v>
      </c>
      <c r="X443" s="101">
        <v>0.1</v>
      </c>
      <c r="Y443" s="15">
        <f>+D.sign_Data[[#This Row],[COSTOS OPERACIONALES ($COP)]]*D.sign_Data[[#This Row],[DESFASE (%)]]</f>
        <v>22274.121301174528</v>
      </c>
      <c r="Z443" s="101">
        <v>0.2</v>
      </c>
      <c r="AA443" s="15">
        <f>+((D.sign_Data[[#This Row],[COSTOS OPERACIONALES ($COP)]]/(100%-D.sign_Data[[#This Row],[UTILIDAD (%)]])))-D.sign_Data[[#This Row],[COSTOS OPERACIONALES ($COP)]]</f>
        <v>55685.303252936312</v>
      </c>
      <c r="AB443" s="3">
        <f>+D.sign_Data[[#This Row],[COSTOS OPERACIONALES ($COP)]]+D.sign_Data[[#This Row],[DESFASE ($COP)]]+D.sign_Data[[#This Row],[UTILIDAD ($COP)]]</f>
        <v>300700.6375658561</v>
      </c>
      <c r="AC443" s="101">
        <v>0.05</v>
      </c>
      <c r="AD443" s="15">
        <f>+D.sign_Data[[#This Row],[VALOR NETO ($COP)]]/(100%-D.sign_Data[[#This Row],[MARGEN DE NEGOCIACIÓN (%)]])-D.sign_Data[[#This Row],[VALOR NETO ($COP)]]</f>
        <v>15826.349345571361</v>
      </c>
      <c r="AE443" s="15">
        <f>+(D.sign_Data[[#This Row],[VALOR NETO ($COP)]]+D.sign_Data[[#This Row],[NEGOCIACIÓN ($COP)]])*1%</f>
        <v>3165.2698691142746</v>
      </c>
      <c r="AF443" s="15">
        <f>+(D.sign_Data[[#This Row],[VALOR NETO ($COP)]]+D.sign_Data[[#This Row],[NEGOCIACIÓN ($COP)]])*1%</f>
        <v>3165.2698691142746</v>
      </c>
      <c r="AG443" s="3">
        <f>+D.sign_Data[[#This Row],[VALOR NETO ($COP)]]+D.sign_Data[[#This Row],[NEGOCIACIÓN ($COP)]]+D.sign_Data[[#This Row],[ICA ($COP)]]+D.sign_Data[[#This Row],[4 * 1000 ($COP)]]</f>
        <v>322857.52664965601</v>
      </c>
    </row>
    <row r="444" spans="1:33" ht="60" hidden="1" customHeight="1" x14ac:dyDescent="0.25">
      <c r="A444" s="14"/>
      <c r="B444" s="87" t="s">
        <v>418</v>
      </c>
      <c r="C444" s="182" t="s">
        <v>790</v>
      </c>
      <c r="D444" s="189" t="str">
        <f>VLOOKUP(D.sign_Data[[#This Row],[CÓDIGO]],Descripciones[[CÓDIGO]:[NOMBRE DE SERVICIO]],3,FALSE)</f>
        <v>D1. Parcelaciones y Condominios</v>
      </c>
      <c r="E444" s="87" t="s">
        <v>497</v>
      </c>
      <c r="F444" s="88" t="s">
        <v>791</v>
      </c>
      <c r="G444" s="88" t="s">
        <v>792</v>
      </c>
      <c r="H444" s="87" t="s">
        <v>500</v>
      </c>
      <c r="I444" s="89">
        <v>1</v>
      </c>
      <c r="J444" s="88" t="s">
        <v>795</v>
      </c>
      <c r="K444" s="102"/>
      <c r="L444" s="88" t="s">
        <v>771</v>
      </c>
      <c r="M444" s="89" t="s">
        <v>381</v>
      </c>
      <c r="N444" s="90">
        <v>1</v>
      </c>
      <c r="O444" s="27">
        <f>IFERROR(+VLOOKUP(M444,D.sign_Lista_Data[[RESPONSABLE]:[SOFTWARE 
VALOR HORA]],3,FALSE),"0")</f>
        <v>20263.424518743668</v>
      </c>
      <c r="P444" s="3">
        <f t="shared" si="14"/>
        <v>20263.424518743668</v>
      </c>
      <c r="Q444" s="11">
        <f>IFERROR(+VLOOKUP(M444,D.sign_Lista_Data[[RESPONSABLE]:[SOFTWARE 
VALOR HORA]],5,FALSE)*D.sign_Data[[#This Row],[TIEMPO (HORAS)]],0)</f>
        <v>4221.5467747382636</v>
      </c>
      <c r="R444" s="42">
        <f>IFERROR(+VLOOKUP(M444,D.sign_Lista_Data[[RESPONSABLE]:[SOFTWARE 
VALOR HORA]],8,FALSE)*D.sign_Data[[#This Row],[TIEMPO (HORAS)]],0)</f>
        <v>3410.8548871439834</v>
      </c>
      <c r="S444" s="99">
        <v>0</v>
      </c>
      <c r="T444" s="99">
        <v>0</v>
      </c>
      <c r="U444" s="3">
        <f t="shared" si="15"/>
        <v>27895.826180625918</v>
      </c>
      <c r="V444" s="100">
        <f>D.sign_Data[[#This Row],[TIEMPO (HORAS)]]*Gastos_Operativos[[#Totals],[GASTOS HORA]]</f>
        <v>27789.477072310401</v>
      </c>
      <c r="W444" s="3">
        <f>+D.sign_Data[[#This Row],[COSTO 
DIRECTO ($COP)]]+D.sign_Data[[#This Row],[PRORRATEO GASTOS ($COP)]]</f>
        <v>55685.303252936319</v>
      </c>
      <c r="X444" s="101">
        <v>0.1</v>
      </c>
      <c r="Y444" s="15">
        <f>+D.sign_Data[[#This Row],[COSTOS OPERACIONALES ($COP)]]*D.sign_Data[[#This Row],[DESFASE (%)]]</f>
        <v>5568.5303252936319</v>
      </c>
      <c r="Z444" s="101">
        <v>0.2</v>
      </c>
      <c r="AA444" s="15">
        <f>+((D.sign_Data[[#This Row],[COSTOS OPERACIONALES ($COP)]]/(100%-D.sign_Data[[#This Row],[UTILIDAD (%)]])))-D.sign_Data[[#This Row],[COSTOS OPERACIONALES ($COP)]]</f>
        <v>13921.325813234078</v>
      </c>
      <c r="AB444" s="3">
        <f>+D.sign_Data[[#This Row],[COSTOS OPERACIONALES ($COP)]]+D.sign_Data[[#This Row],[DESFASE ($COP)]]+D.sign_Data[[#This Row],[UTILIDAD ($COP)]]</f>
        <v>75175.159391464025</v>
      </c>
      <c r="AC444" s="101">
        <v>0.05</v>
      </c>
      <c r="AD444" s="15">
        <f>+D.sign_Data[[#This Row],[VALOR NETO ($COP)]]/(100%-D.sign_Data[[#This Row],[MARGEN DE NEGOCIACIÓN (%)]])-D.sign_Data[[#This Row],[VALOR NETO ($COP)]]</f>
        <v>3956.5873363928404</v>
      </c>
      <c r="AE444" s="15">
        <f>+(D.sign_Data[[#This Row],[VALOR NETO ($COP)]]+D.sign_Data[[#This Row],[NEGOCIACIÓN ($COP)]])*1%</f>
        <v>791.31746727856864</v>
      </c>
      <c r="AF444" s="15">
        <f>+(D.sign_Data[[#This Row],[VALOR NETO ($COP)]]+D.sign_Data[[#This Row],[NEGOCIACIÓN ($COP)]])*1%</f>
        <v>791.31746727856864</v>
      </c>
      <c r="AG444" s="3">
        <f>+D.sign_Data[[#This Row],[VALOR NETO ($COP)]]+D.sign_Data[[#This Row],[NEGOCIACIÓN ($COP)]]+D.sign_Data[[#This Row],[ICA ($COP)]]+D.sign_Data[[#This Row],[4 * 1000 ($COP)]]</f>
        <v>80714.381662414002</v>
      </c>
    </row>
    <row r="445" spans="1:33" ht="60" hidden="1" customHeight="1" x14ac:dyDescent="0.25">
      <c r="A445" s="14"/>
      <c r="B445" s="87" t="s">
        <v>418</v>
      </c>
      <c r="C445" s="182" t="s">
        <v>790</v>
      </c>
      <c r="D445" s="189" t="str">
        <f>VLOOKUP(D.sign_Data[[#This Row],[CÓDIGO]],Descripciones[[CÓDIGO]:[NOMBRE DE SERVICIO]],3,FALSE)</f>
        <v>D1. Parcelaciones y Condominios</v>
      </c>
      <c r="E445" s="87" t="s">
        <v>497</v>
      </c>
      <c r="F445" s="88" t="s">
        <v>791</v>
      </c>
      <c r="G445" s="88" t="s">
        <v>792</v>
      </c>
      <c r="H445" s="87" t="s">
        <v>500</v>
      </c>
      <c r="I445" s="89">
        <v>1</v>
      </c>
      <c r="J445" s="88" t="s">
        <v>795</v>
      </c>
      <c r="K445" s="102"/>
      <c r="L445" s="88" t="s">
        <v>483</v>
      </c>
      <c r="M445" s="89" t="s">
        <v>381</v>
      </c>
      <c r="N445" s="90">
        <v>0.5</v>
      </c>
      <c r="O445" s="27">
        <f>IFERROR(+VLOOKUP(M445,D.sign_Lista_Data[[RESPONSABLE]:[SOFTWARE 
VALOR HORA]],3,FALSE),"0")</f>
        <v>20263.424518743668</v>
      </c>
      <c r="P445" s="3">
        <f t="shared" si="14"/>
        <v>10131.712259371834</v>
      </c>
      <c r="Q445" s="11">
        <f>IFERROR(+VLOOKUP(M445,D.sign_Lista_Data[[RESPONSABLE]:[SOFTWARE 
VALOR HORA]],5,FALSE)*D.sign_Data[[#This Row],[TIEMPO (HORAS)]],0)</f>
        <v>2110.7733873691318</v>
      </c>
      <c r="R445" s="42">
        <f>IFERROR(+VLOOKUP(M445,D.sign_Lista_Data[[RESPONSABLE]:[SOFTWARE 
VALOR HORA]],8,FALSE)*D.sign_Data[[#This Row],[TIEMPO (HORAS)]],0)</f>
        <v>1705.4274435719917</v>
      </c>
      <c r="S445" s="99">
        <v>0</v>
      </c>
      <c r="T445" s="99">
        <v>0</v>
      </c>
      <c r="U445" s="3">
        <f t="shared" si="15"/>
        <v>13947.913090312959</v>
      </c>
      <c r="V445" s="100">
        <f>D.sign_Data[[#This Row],[TIEMPO (HORAS)]]*Gastos_Operativos[[#Totals],[GASTOS HORA]]</f>
        <v>13894.738536155201</v>
      </c>
      <c r="W445" s="3">
        <f>+D.sign_Data[[#This Row],[COSTO 
DIRECTO ($COP)]]+D.sign_Data[[#This Row],[PRORRATEO GASTOS ($COP)]]</f>
        <v>27842.65162646816</v>
      </c>
      <c r="X445" s="101">
        <v>0.1</v>
      </c>
      <c r="Y445" s="15">
        <f>+D.sign_Data[[#This Row],[COSTOS OPERACIONALES ($COP)]]*D.sign_Data[[#This Row],[DESFASE (%)]]</f>
        <v>2784.265162646816</v>
      </c>
      <c r="Z445" s="101">
        <v>0.2</v>
      </c>
      <c r="AA445" s="15">
        <f>+((D.sign_Data[[#This Row],[COSTOS OPERACIONALES ($COP)]]/(100%-D.sign_Data[[#This Row],[UTILIDAD (%)]])))-D.sign_Data[[#This Row],[COSTOS OPERACIONALES ($COP)]]</f>
        <v>6960.662906617039</v>
      </c>
      <c r="AB445" s="3">
        <f>+D.sign_Data[[#This Row],[COSTOS OPERACIONALES ($COP)]]+D.sign_Data[[#This Row],[DESFASE ($COP)]]+D.sign_Data[[#This Row],[UTILIDAD ($COP)]]</f>
        <v>37587.579695732013</v>
      </c>
      <c r="AC445" s="101">
        <v>0.05</v>
      </c>
      <c r="AD445" s="15">
        <f>+D.sign_Data[[#This Row],[VALOR NETO ($COP)]]/(100%-D.sign_Data[[#This Row],[MARGEN DE NEGOCIACIÓN (%)]])-D.sign_Data[[#This Row],[VALOR NETO ($COP)]]</f>
        <v>1978.2936681964202</v>
      </c>
      <c r="AE445" s="15">
        <f>+(D.sign_Data[[#This Row],[VALOR NETO ($COP)]]+D.sign_Data[[#This Row],[NEGOCIACIÓN ($COP)]])*1%</f>
        <v>395.65873363928432</v>
      </c>
      <c r="AF445" s="15">
        <f>+(D.sign_Data[[#This Row],[VALOR NETO ($COP)]]+D.sign_Data[[#This Row],[NEGOCIACIÓN ($COP)]])*1%</f>
        <v>395.65873363928432</v>
      </c>
      <c r="AG445" s="3">
        <f>+D.sign_Data[[#This Row],[VALOR NETO ($COP)]]+D.sign_Data[[#This Row],[NEGOCIACIÓN ($COP)]]+D.sign_Data[[#This Row],[ICA ($COP)]]+D.sign_Data[[#This Row],[4 * 1000 ($COP)]]</f>
        <v>40357.190831207001</v>
      </c>
    </row>
    <row r="446" spans="1:33" ht="60" hidden="1" customHeight="1" x14ac:dyDescent="0.25">
      <c r="A446" s="14"/>
      <c r="B446" s="87" t="s">
        <v>418</v>
      </c>
      <c r="C446" s="182" t="s">
        <v>790</v>
      </c>
      <c r="D446" s="189" t="str">
        <f>VLOOKUP(D.sign_Data[[#This Row],[CÓDIGO]],Descripciones[[CÓDIGO]:[NOMBRE DE SERVICIO]],3,FALSE)</f>
        <v>D1. Parcelaciones y Condominios</v>
      </c>
      <c r="E446" s="87" t="s">
        <v>497</v>
      </c>
      <c r="F446" s="88" t="s">
        <v>791</v>
      </c>
      <c r="G446" s="88" t="s">
        <v>792</v>
      </c>
      <c r="H446" s="87" t="s">
        <v>500</v>
      </c>
      <c r="I446" s="89">
        <v>1</v>
      </c>
      <c r="J446" s="88" t="s">
        <v>795</v>
      </c>
      <c r="K446" s="102"/>
      <c r="L446" s="88" t="s">
        <v>474</v>
      </c>
      <c r="M446" s="89" t="s">
        <v>381</v>
      </c>
      <c r="N446" s="90">
        <v>0.1</v>
      </c>
      <c r="O446" s="27">
        <f>IFERROR(+VLOOKUP(M446,D.sign_Lista_Data[[RESPONSABLE]:[SOFTWARE 
VALOR HORA]],3,FALSE),"0")</f>
        <v>20263.424518743668</v>
      </c>
      <c r="P446" s="3">
        <f t="shared" si="14"/>
        <v>2026.3424518743668</v>
      </c>
      <c r="Q446" s="11">
        <f>IFERROR(+VLOOKUP(M446,D.sign_Lista_Data[[RESPONSABLE]:[SOFTWARE 
VALOR HORA]],5,FALSE)*D.sign_Data[[#This Row],[TIEMPO (HORAS)]],0)</f>
        <v>422.15467747382638</v>
      </c>
      <c r="R446" s="42">
        <f>IFERROR(+VLOOKUP(M446,D.sign_Lista_Data[[RESPONSABLE]:[SOFTWARE 
VALOR HORA]],8,FALSE)*D.sign_Data[[#This Row],[TIEMPO (HORAS)]],0)</f>
        <v>341.08548871439837</v>
      </c>
      <c r="S446" s="99">
        <v>0</v>
      </c>
      <c r="T446" s="99">
        <v>0</v>
      </c>
      <c r="U446" s="3">
        <f t="shared" si="15"/>
        <v>2789.5826180625913</v>
      </c>
      <c r="V446" s="100">
        <f>D.sign_Data[[#This Row],[TIEMPO (HORAS)]]*Gastos_Operativos[[#Totals],[GASTOS HORA]]</f>
        <v>2778.9477072310401</v>
      </c>
      <c r="W446" s="3">
        <f>+D.sign_Data[[#This Row],[COSTO 
DIRECTO ($COP)]]+D.sign_Data[[#This Row],[PRORRATEO GASTOS ($COP)]]</f>
        <v>5568.5303252936319</v>
      </c>
      <c r="X446" s="101">
        <v>0.1</v>
      </c>
      <c r="Y446" s="15">
        <f>+D.sign_Data[[#This Row],[COSTOS OPERACIONALES ($COP)]]*D.sign_Data[[#This Row],[DESFASE (%)]]</f>
        <v>556.85303252936319</v>
      </c>
      <c r="Z446" s="101">
        <v>0.2</v>
      </c>
      <c r="AA446" s="15">
        <f>+((D.sign_Data[[#This Row],[COSTOS OPERACIONALES ($COP)]]/(100%-D.sign_Data[[#This Row],[UTILIDAD (%)]])))-D.sign_Data[[#This Row],[COSTOS OPERACIONALES ($COP)]]</f>
        <v>1392.132581323408</v>
      </c>
      <c r="AB446" s="3">
        <f>+D.sign_Data[[#This Row],[COSTOS OPERACIONALES ($COP)]]+D.sign_Data[[#This Row],[DESFASE ($COP)]]+D.sign_Data[[#This Row],[UTILIDAD ($COP)]]</f>
        <v>7517.5159391464031</v>
      </c>
      <c r="AC446" s="101">
        <v>0.05</v>
      </c>
      <c r="AD446" s="15">
        <f>+D.sign_Data[[#This Row],[VALOR NETO ($COP)]]/(100%-D.sign_Data[[#This Row],[MARGEN DE NEGOCIACIÓN (%)]])-D.sign_Data[[#This Row],[VALOR NETO ($COP)]]</f>
        <v>395.65873363928495</v>
      </c>
      <c r="AE446" s="15">
        <f>+(D.sign_Data[[#This Row],[VALOR NETO ($COP)]]+D.sign_Data[[#This Row],[NEGOCIACIÓN ($COP)]])*1%</f>
        <v>79.131746727856878</v>
      </c>
      <c r="AF446" s="15">
        <f>+(D.sign_Data[[#This Row],[VALOR NETO ($COP)]]+D.sign_Data[[#This Row],[NEGOCIACIÓN ($COP)]])*1%</f>
        <v>79.131746727856878</v>
      </c>
      <c r="AG446" s="3">
        <f>+D.sign_Data[[#This Row],[VALOR NETO ($COP)]]+D.sign_Data[[#This Row],[NEGOCIACIÓN ($COP)]]+D.sign_Data[[#This Row],[ICA ($COP)]]+D.sign_Data[[#This Row],[4 * 1000 ($COP)]]</f>
        <v>8071.4381662414016</v>
      </c>
    </row>
    <row r="447" spans="1:33" ht="60" hidden="1" customHeight="1" x14ac:dyDescent="0.25">
      <c r="A447" s="14"/>
      <c r="B447" s="87" t="s">
        <v>418</v>
      </c>
      <c r="C447" s="182" t="s">
        <v>790</v>
      </c>
      <c r="D447" s="189" t="str">
        <f>VLOOKUP(D.sign_Data[[#This Row],[CÓDIGO]],Descripciones[[CÓDIGO]:[NOMBRE DE SERVICIO]],3,FALSE)</f>
        <v>D1. Parcelaciones y Condominios</v>
      </c>
      <c r="E447" s="87" t="s">
        <v>497</v>
      </c>
      <c r="F447" s="88" t="s">
        <v>791</v>
      </c>
      <c r="G447" s="88" t="s">
        <v>792</v>
      </c>
      <c r="H447" s="87" t="s">
        <v>500</v>
      </c>
      <c r="I447" s="89">
        <v>1</v>
      </c>
      <c r="J447" s="88" t="s">
        <v>796</v>
      </c>
      <c r="K447" s="102"/>
      <c r="L447" s="88" t="s">
        <v>476</v>
      </c>
      <c r="M447" s="89" t="s">
        <v>381</v>
      </c>
      <c r="N447" s="90">
        <v>0.5</v>
      </c>
      <c r="O447" s="27">
        <f>IFERROR(+VLOOKUP(M447,D.sign_Lista_Data[[RESPONSABLE]:[SOFTWARE 
VALOR HORA]],3,FALSE),"0")</f>
        <v>20263.424518743668</v>
      </c>
      <c r="P447" s="3">
        <f t="shared" si="14"/>
        <v>10131.712259371834</v>
      </c>
      <c r="Q447" s="11">
        <f>IFERROR(+VLOOKUP(M447,D.sign_Lista_Data[[RESPONSABLE]:[SOFTWARE 
VALOR HORA]],5,FALSE)*D.sign_Data[[#This Row],[TIEMPO (HORAS)]],0)</f>
        <v>2110.7733873691318</v>
      </c>
      <c r="R447" s="42">
        <f>IFERROR(+VLOOKUP(M447,D.sign_Lista_Data[[RESPONSABLE]:[SOFTWARE 
VALOR HORA]],8,FALSE)*D.sign_Data[[#This Row],[TIEMPO (HORAS)]],0)</f>
        <v>1705.4274435719917</v>
      </c>
      <c r="S447" s="99">
        <v>0</v>
      </c>
      <c r="T447" s="99">
        <v>0</v>
      </c>
      <c r="U447" s="3">
        <f t="shared" si="15"/>
        <v>13947.913090312959</v>
      </c>
      <c r="V447" s="100">
        <f>D.sign_Data[[#This Row],[TIEMPO (HORAS)]]*Gastos_Operativos[[#Totals],[GASTOS HORA]]</f>
        <v>13894.738536155201</v>
      </c>
      <c r="W447" s="3">
        <f>+D.sign_Data[[#This Row],[COSTO 
DIRECTO ($COP)]]+D.sign_Data[[#This Row],[PRORRATEO GASTOS ($COP)]]</f>
        <v>27842.65162646816</v>
      </c>
      <c r="X447" s="101">
        <v>0.1</v>
      </c>
      <c r="Y447" s="15">
        <f>+D.sign_Data[[#This Row],[COSTOS OPERACIONALES ($COP)]]*D.sign_Data[[#This Row],[DESFASE (%)]]</f>
        <v>2784.265162646816</v>
      </c>
      <c r="Z447" s="101">
        <v>0.2</v>
      </c>
      <c r="AA447" s="15">
        <f>+((D.sign_Data[[#This Row],[COSTOS OPERACIONALES ($COP)]]/(100%-D.sign_Data[[#This Row],[UTILIDAD (%)]])))-D.sign_Data[[#This Row],[COSTOS OPERACIONALES ($COP)]]</f>
        <v>6960.662906617039</v>
      </c>
      <c r="AB447" s="3">
        <f>+D.sign_Data[[#This Row],[COSTOS OPERACIONALES ($COP)]]+D.sign_Data[[#This Row],[DESFASE ($COP)]]+D.sign_Data[[#This Row],[UTILIDAD ($COP)]]</f>
        <v>37587.579695732013</v>
      </c>
      <c r="AC447" s="101">
        <v>0.05</v>
      </c>
      <c r="AD447" s="15">
        <f>+D.sign_Data[[#This Row],[VALOR NETO ($COP)]]/(100%-D.sign_Data[[#This Row],[MARGEN DE NEGOCIACIÓN (%)]])-D.sign_Data[[#This Row],[VALOR NETO ($COP)]]</f>
        <v>1978.2936681964202</v>
      </c>
      <c r="AE447" s="15">
        <f>+(D.sign_Data[[#This Row],[VALOR NETO ($COP)]]+D.sign_Data[[#This Row],[NEGOCIACIÓN ($COP)]])*1%</f>
        <v>395.65873363928432</v>
      </c>
      <c r="AF447" s="15">
        <f>+(D.sign_Data[[#This Row],[VALOR NETO ($COP)]]+D.sign_Data[[#This Row],[NEGOCIACIÓN ($COP)]])*1%</f>
        <v>395.65873363928432</v>
      </c>
      <c r="AG447" s="3">
        <f>+D.sign_Data[[#This Row],[VALOR NETO ($COP)]]+D.sign_Data[[#This Row],[NEGOCIACIÓN ($COP)]]+D.sign_Data[[#This Row],[ICA ($COP)]]+D.sign_Data[[#This Row],[4 * 1000 ($COP)]]</f>
        <v>40357.190831207001</v>
      </c>
    </row>
    <row r="448" spans="1:33" ht="60" hidden="1" customHeight="1" x14ac:dyDescent="0.25">
      <c r="A448" s="14"/>
      <c r="B448" s="87" t="s">
        <v>418</v>
      </c>
      <c r="C448" s="182" t="s">
        <v>790</v>
      </c>
      <c r="D448" s="189" t="str">
        <f>VLOOKUP(D.sign_Data[[#This Row],[CÓDIGO]],Descripciones[[CÓDIGO]:[NOMBRE DE SERVICIO]],3,FALSE)</f>
        <v>D1. Parcelaciones y Condominios</v>
      </c>
      <c r="E448" s="87" t="s">
        <v>497</v>
      </c>
      <c r="F448" s="88" t="s">
        <v>791</v>
      </c>
      <c r="G448" s="88" t="s">
        <v>792</v>
      </c>
      <c r="H448" s="87" t="s">
        <v>500</v>
      </c>
      <c r="I448" s="89">
        <v>1</v>
      </c>
      <c r="J448" s="88" t="s">
        <v>796</v>
      </c>
      <c r="K448" s="102"/>
      <c r="L448" s="88" t="s">
        <v>624</v>
      </c>
      <c r="M448" s="89" t="s">
        <v>381</v>
      </c>
      <c r="N448" s="90">
        <v>2.5</v>
      </c>
      <c r="O448" s="27">
        <f>IFERROR(+VLOOKUP(M448,D.sign_Lista_Data[[RESPONSABLE]:[SOFTWARE 
VALOR HORA]],3,FALSE),"0")</f>
        <v>20263.424518743668</v>
      </c>
      <c r="P448" s="3">
        <f t="shared" si="14"/>
        <v>50658.561296859174</v>
      </c>
      <c r="Q448" s="11">
        <f>IFERROR(+VLOOKUP(M448,D.sign_Lista_Data[[RESPONSABLE]:[SOFTWARE 
VALOR HORA]],5,FALSE)*D.sign_Data[[#This Row],[TIEMPO (HORAS)]],0)</f>
        <v>10553.866936845659</v>
      </c>
      <c r="R448" s="42">
        <f>IFERROR(+VLOOKUP(M448,D.sign_Lista_Data[[RESPONSABLE]:[SOFTWARE 
VALOR HORA]],8,FALSE)*D.sign_Data[[#This Row],[TIEMPO (HORAS)]],0)</f>
        <v>8527.1372178599595</v>
      </c>
      <c r="S448" s="99">
        <v>0</v>
      </c>
      <c r="T448" s="99">
        <v>0</v>
      </c>
      <c r="U448" s="3">
        <f t="shared" si="15"/>
        <v>69739.565451564791</v>
      </c>
      <c r="V448" s="100">
        <f>D.sign_Data[[#This Row],[TIEMPO (HORAS)]]*Gastos_Operativos[[#Totals],[GASTOS HORA]]</f>
        <v>69473.692680776003</v>
      </c>
      <c r="W448" s="3">
        <f>+D.sign_Data[[#This Row],[COSTO 
DIRECTO ($COP)]]+D.sign_Data[[#This Row],[PRORRATEO GASTOS ($COP)]]</f>
        <v>139213.25813234079</v>
      </c>
      <c r="X448" s="101">
        <v>0.1</v>
      </c>
      <c r="Y448" s="15">
        <f>+D.sign_Data[[#This Row],[COSTOS OPERACIONALES ($COP)]]*D.sign_Data[[#This Row],[DESFASE (%)]]</f>
        <v>13921.32581323408</v>
      </c>
      <c r="Z448" s="101">
        <v>0.2</v>
      </c>
      <c r="AA448" s="15">
        <f>+((D.sign_Data[[#This Row],[COSTOS OPERACIONALES ($COP)]]/(100%-D.sign_Data[[#This Row],[UTILIDAD (%)]])))-D.sign_Data[[#This Row],[COSTOS OPERACIONALES ($COP)]]</f>
        <v>34803.314533085184</v>
      </c>
      <c r="AB448" s="3">
        <f>+D.sign_Data[[#This Row],[COSTOS OPERACIONALES ($COP)]]+D.sign_Data[[#This Row],[DESFASE ($COP)]]+D.sign_Data[[#This Row],[UTILIDAD ($COP)]]</f>
        <v>187937.89847866006</v>
      </c>
      <c r="AC448" s="101">
        <v>0.05</v>
      </c>
      <c r="AD448" s="15">
        <f>+D.sign_Data[[#This Row],[VALOR NETO ($COP)]]/(100%-D.sign_Data[[#This Row],[MARGEN DE NEGOCIACIÓN (%)]])-D.sign_Data[[#This Row],[VALOR NETO ($COP)]]</f>
        <v>9891.46834098213</v>
      </c>
      <c r="AE448" s="15">
        <f>+(D.sign_Data[[#This Row],[VALOR NETO ($COP)]]+D.sign_Data[[#This Row],[NEGOCIACIÓN ($COP)]])*1%</f>
        <v>1978.293668196422</v>
      </c>
      <c r="AF448" s="15">
        <f>+(D.sign_Data[[#This Row],[VALOR NETO ($COP)]]+D.sign_Data[[#This Row],[NEGOCIACIÓN ($COP)]])*1%</f>
        <v>1978.293668196422</v>
      </c>
      <c r="AG448" s="3">
        <f>+D.sign_Data[[#This Row],[VALOR NETO ($COP)]]+D.sign_Data[[#This Row],[NEGOCIACIÓN ($COP)]]+D.sign_Data[[#This Row],[ICA ($COP)]]+D.sign_Data[[#This Row],[4 * 1000 ($COP)]]</f>
        <v>201785.95415603503</v>
      </c>
    </row>
    <row r="449" spans="1:33" ht="60" hidden="1" customHeight="1" x14ac:dyDescent="0.25">
      <c r="A449" s="14"/>
      <c r="B449" s="87" t="s">
        <v>418</v>
      </c>
      <c r="C449" s="182" t="s">
        <v>790</v>
      </c>
      <c r="D449" s="189" t="str">
        <f>VLOOKUP(D.sign_Data[[#This Row],[CÓDIGO]],Descripciones[[CÓDIGO]:[NOMBRE DE SERVICIO]],3,FALSE)</f>
        <v>D1. Parcelaciones y Condominios</v>
      </c>
      <c r="E449" s="87" t="s">
        <v>497</v>
      </c>
      <c r="F449" s="88" t="s">
        <v>791</v>
      </c>
      <c r="G449" s="88" t="s">
        <v>792</v>
      </c>
      <c r="H449" s="87" t="s">
        <v>500</v>
      </c>
      <c r="I449" s="89">
        <v>1</v>
      </c>
      <c r="J449" s="88" t="s">
        <v>796</v>
      </c>
      <c r="K449" s="102"/>
      <c r="L449" s="88" t="s">
        <v>797</v>
      </c>
      <c r="M449" s="89" t="s">
        <v>381</v>
      </c>
      <c r="N449" s="90">
        <v>0.5</v>
      </c>
      <c r="O449" s="27">
        <f>IFERROR(+VLOOKUP(M449,D.sign_Lista_Data[[RESPONSABLE]:[SOFTWARE 
VALOR HORA]],3,FALSE),"0")</f>
        <v>20263.424518743668</v>
      </c>
      <c r="P449" s="3">
        <f t="shared" si="14"/>
        <v>10131.712259371834</v>
      </c>
      <c r="Q449" s="11">
        <f>IFERROR(+VLOOKUP(M449,D.sign_Lista_Data[[RESPONSABLE]:[SOFTWARE 
VALOR HORA]],5,FALSE)*D.sign_Data[[#This Row],[TIEMPO (HORAS)]],0)</f>
        <v>2110.7733873691318</v>
      </c>
      <c r="R449" s="42">
        <f>IFERROR(+VLOOKUP(M449,D.sign_Lista_Data[[RESPONSABLE]:[SOFTWARE 
VALOR HORA]],8,FALSE)*D.sign_Data[[#This Row],[TIEMPO (HORAS)]],0)</f>
        <v>1705.4274435719917</v>
      </c>
      <c r="S449" s="99">
        <v>0</v>
      </c>
      <c r="T449" s="99">
        <v>0</v>
      </c>
      <c r="U449" s="3">
        <f t="shared" si="15"/>
        <v>13947.913090312959</v>
      </c>
      <c r="V449" s="100">
        <f>D.sign_Data[[#This Row],[TIEMPO (HORAS)]]*Gastos_Operativos[[#Totals],[GASTOS HORA]]</f>
        <v>13894.738536155201</v>
      </c>
      <c r="W449" s="3">
        <f>+D.sign_Data[[#This Row],[COSTO 
DIRECTO ($COP)]]+D.sign_Data[[#This Row],[PRORRATEO GASTOS ($COP)]]</f>
        <v>27842.65162646816</v>
      </c>
      <c r="X449" s="101">
        <v>0.1</v>
      </c>
      <c r="Y449" s="15">
        <f>+D.sign_Data[[#This Row],[COSTOS OPERACIONALES ($COP)]]*D.sign_Data[[#This Row],[DESFASE (%)]]</f>
        <v>2784.265162646816</v>
      </c>
      <c r="Z449" s="101">
        <v>0.2</v>
      </c>
      <c r="AA449" s="15">
        <f>+((D.sign_Data[[#This Row],[COSTOS OPERACIONALES ($COP)]]/(100%-D.sign_Data[[#This Row],[UTILIDAD (%)]])))-D.sign_Data[[#This Row],[COSTOS OPERACIONALES ($COP)]]</f>
        <v>6960.662906617039</v>
      </c>
      <c r="AB449" s="3">
        <f>+D.sign_Data[[#This Row],[COSTOS OPERACIONALES ($COP)]]+D.sign_Data[[#This Row],[DESFASE ($COP)]]+D.sign_Data[[#This Row],[UTILIDAD ($COP)]]</f>
        <v>37587.579695732013</v>
      </c>
      <c r="AC449" s="101">
        <v>0.05</v>
      </c>
      <c r="AD449" s="15">
        <f>+D.sign_Data[[#This Row],[VALOR NETO ($COP)]]/(100%-D.sign_Data[[#This Row],[MARGEN DE NEGOCIACIÓN (%)]])-D.sign_Data[[#This Row],[VALOR NETO ($COP)]]</f>
        <v>1978.2936681964202</v>
      </c>
      <c r="AE449" s="15">
        <f>+(D.sign_Data[[#This Row],[VALOR NETO ($COP)]]+D.sign_Data[[#This Row],[NEGOCIACIÓN ($COP)]])*1%</f>
        <v>395.65873363928432</v>
      </c>
      <c r="AF449" s="15">
        <f>+(D.sign_Data[[#This Row],[VALOR NETO ($COP)]]+D.sign_Data[[#This Row],[NEGOCIACIÓN ($COP)]])*1%</f>
        <v>395.65873363928432</v>
      </c>
      <c r="AG449" s="3">
        <f>+D.sign_Data[[#This Row],[VALOR NETO ($COP)]]+D.sign_Data[[#This Row],[NEGOCIACIÓN ($COP)]]+D.sign_Data[[#This Row],[ICA ($COP)]]+D.sign_Data[[#This Row],[4 * 1000 ($COP)]]</f>
        <v>40357.190831207001</v>
      </c>
    </row>
    <row r="450" spans="1:33" ht="60" hidden="1" customHeight="1" x14ac:dyDescent="0.25">
      <c r="A450" s="14"/>
      <c r="B450" s="87" t="s">
        <v>418</v>
      </c>
      <c r="C450" s="182" t="s">
        <v>790</v>
      </c>
      <c r="D450" s="189" t="str">
        <f>VLOOKUP(D.sign_Data[[#This Row],[CÓDIGO]],Descripciones[[CÓDIGO]:[NOMBRE DE SERVICIO]],3,FALSE)</f>
        <v>D1. Parcelaciones y Condominios</v>
      </c>
      <c r="E450" s="87" t="s">
        <v>497</v>
      </c>
      <c r="F450" s="88" t="s">
        <v>791</v>
      </c>
      <c r="G450" s="88" t="s">
        <v>792</v>
      </c>
      <c r="H450" s="87" t="s">
        <v>500</v>
      </c>
      <c r="I450" s="89">
        <v>1</v>
      </c>
      <c r="J450" s="88" t="s">
        <v>796</v>
      </c>
      <c r="K450" s="102"/>
      <c r="L450" s="88" t="s">
        <v>779</v>
      </c>
      <c r="M450" s="89" t="s">
        <v>381</v>
      </c>
      <c r="N450" s="90">
        <v>0.5</v>
      </c>
      <c r="O450" s="27">
        <f>IFERROR(+VLOOKUP(M450,D.sign_Lista_Data[[RESPONSABLE]:[SOFTWARE 
VALOR HORA]],3,FALSE),"0")</f>
        <v>20263.424518743668</v>
      </c>
      <c r="P450" s="3">
        <f t="shared" si="14"/>
        <v>10131.712259371834</v>
      </c>
      <c r="Q450" s="11">
        <f>IFERROR(+VLOOKUP(M450,D.sign_Lista_Data[[RESPONSABLE]:[SOFTWARE 
VALOR HORA]],5,FALSE)*D.sign_Data[[#This Row],[TIEMPO (HORAS)]],0)</f>
        <v>2110.7733873691318</v>
      </c>
      <c r="R450" s="42">
        <f>IFERROR(+VLOOKUP(M450,D.sign_Lista_Data[[RESPONSABLE]:[SOFTWARE 
VALOR HORA]],8,FALSE)*D.sign_Data[[#This Row],[TIEMPO (HORAS)]],0)</f>
        <v>1705.4274435719917</v>
      </c>
      <c r="S450" s="99">
        <v>0</v>
      </c>
      <c r="T450" s="99">
        <v>0</v>
      </c>
      <c r="U450" s="3">
        <f t="shared" si="15"/>
        <v>13947.913090312959</v>
      </c>
      <c r="V450" s="100">
        <f>D.sign_Data[[#This Row],[TIEMPO (HORAS)]]*Gastos_Operativos[[#Totals],[GASTOS HORA]]</f>
        <v>13894.738536155201</v>
      </c>
      <c r="W450" s="3">
        <f>+D.sign_Data[[#This Row],[COSTO 
DIRECTO ($COP)]]+D.sign_Data[[#This Row],[PRORRATEO GASTOS ($COP)]]</f>
        <v>27842.65162646816</v>
      </c>
      <c r="X450" s="101">
        <v>0.1</v>
      </c>
      <c r="Y450" s="15">
        <f>+D.sign_Data[[#This Row],[COSTOS OPERACIONALES ($COP)]]*D.sign_Data[[#This Row],[DESFASE (%)]]</f>
        <v>2784.265162646816</v>
      </c>
      <c r="Z450" s="101">
        <v>0.2</v>
      </c>
      <c r="AA450" s="15">
        <f>+((D.sign_Data[[#This Row],[COSTOS OPERACIONALES ($COP)]]/(100%-D.sign_Data[[#This Row],[UTILIDAD (%)]])))-D.sign_Data[[#This Row],[COSTOS OPERACIONALES ($COP)]]</f>
        <v>6960.662906617039</v>
      </c>
      <c r="AB450" s="3">
        <f>+D.sign_Data[[#This Row],[COSTOS OPERACIONALES ($COP)]]+D.sign_Data[[#This Row],[DESFASE ($COP)]]+D.sign_Data[[#This Row],[UTILIDAD ($COP)]]</f>
        <v>37587.579695732013</v>
      </c>
      <c r="AC450" s="101">
        <v>0.05</v>
      </c>
      <c r="AD450" s="15">
        <f>+D.sign_Data[[#This Row],[VALOR NETO ($COP)]]/(100%-D.sign_Data[[#This Row],[MARGEN DE NEGOCIACIÓN (%)]])-D.sign_Data[[#This Row],[VALOR NETO ($COP)]]</f>
        <v>1978.2936681964202</v>
      </c>
      <c r="AE450" s="15">
        <f>+(D.sign_Data[[#This Row],[VALOR NETO ($COP)]]+D.sign_Data[[#This Row],[NEGOCIACIÓN ($COP)]])*1%</f>
        <v>395.65873363928432</v>
      </c>
      <c r="AF450" s="15">
        <f>+(D.sign_Data[[#This Row],[VALOR NETO ($COP)]]+D.sign_Data[[#This Row],[NEGOCIACIÓN ($COP)]])*1%</f>
        <v>395.65873363928432</v>
      </c>
      <c r="AG450" s="3">
        <f>+D.sign_Data[[#This Row],[VALOR NETO ($COP)]]+D.sign_Data[[#This Row],[NEGOCIACIÓN ($COP)]]+D.sign_Data[[#This Row],[ICA ($COP)]]+D.sign_Data[[#This Row],[4 * 1000 ($COP)]]</f>
        <v>40357.190831207001</v>
      </c>
    </row>
    <row r="451" spans="1:33" ht="60" hidden="1" customHeight="1" x14ac:dyDescent="0.25">
      <c r="A451" s="14"/>
      <c r="B451" s="87" t="s">
        <v>418</v>
      </c>
      <c r="C451" s="182" t="s">
        <v>790</v>
      </c>
      <c r="D451" s="189" t="str">
        <f>VLOOKUP(D.sign_Data[[#This Row],[CÓDIGO]],Descripciones[[CÓDIGO]:[NOMBRE DE SERVICIO]],3,FALSE)</f>
        <v>D1. Parcelaciones y Condominios</v>
      </c>
      <c r="E451" s="87" t="s">
        <v>497</v>
      </c>
      <c r="F451" s="88" t="s">
        <v>791</v>
      </c>
      <c r="G451" s="88" t="s">
        <v>792</v>
      </c>
      <c r="H451" s="87" t="s">
        <v>500</v>
      </c>
      <c r="I451" s="89">
        <v>1</v>
      </c>
      <c r="J451" s="88" t="s">
        <v>796</v>
      </c>
      <c r="K451" s="102"/>
      <c r="L451" s="88" t="s">
        <v>798</v>
      </c>
      <c r="M451" s="89" t="s">
        <v>381</v>
      </c>
      <c r="N451" s="90">
        <v>0.5</v>
      </c>
      <c r="O451" s="27">
        <f>IFERROR(+VLOOKUP(M451,D.sign_Lista_Data[[RESPONSABLE]:[SOFTWARE 
VALOR HORA]],3,FALSE),"0")</f>
        <v>20263.424518743668</v>
      </c>
      <c r="P451" s="3">
        <f t="shared" si="14"/>
        <v>10131.712259371834</v>
      </c>
      <c r="Q451" s="11">
        <f>IFERROR(+VLOOKUP(M451,D.sign_Lista_Data[[RESPONSABLE]:[SOFTWARE 
VALOR HORA]],5,FALSE)*D.sign_Data[[#This Row],[TIEMPO (HORAS)]],0)</f>
        <v>2110.7733873691318</v>
      </c>
      <c r="R451" s="42">
        <f>IFERROR(+VLOOKUP(M451,D.sign_Lista_Data[[RESPONSABLE]:[SOFTWARE 
VALOR HORA]],8,FALSE)*D.sign_Data[[#This Row],[TIEMPO (HORAS)]],0)</f>
        <v>1705.4274435719917</v>
      </c>
      <c r="S451" s="99">
        <v>0</v>
      </c>
      <c r="T451" s="99">
        <v>0</v>
      </c>
      <c r="U451" s="3">
        <f t="shared" si="15"/>
        <v>13947.913090312959</v>
      </c>
      <c r="V451" s="100">
        <f>D.sign_Data[[#This Row],[TIEMPO (HORAS)]]*Gastos_Operativos[[#Totals],[GASTOS HORA]]</f>
        <v>13894.738536155201</v>
      </c>
      <c r="W451" s="3">
        <f>+D.sign_Data[[#This Row],[COSTO 
DIRECTO ($COP)]]+D.sign_Data[[#This Row],[PRORRATEO GASTOS ($COP)]]</f>
        <v>27842.65162646816</v>
      </c>
      <c r="X451" s="101">
        <v>0.1</v>
      </c>
      <c r="Y451" s="15">
        <f>+D.sign_Data[[#This Row],[COSTOS OPERACIONALES ($COP)]]*D.sign_Data[[#This Row],[DESFASE (%)]]</f>
        <v>2784.265162646816</v>
      </c>
      <c r="Z451" s="101">
        <v>0.2</v>
      </c>
      <c r="AA451" s="15">
        <f>+((D.sign_Data[[#This Row],[COSTOS OPERACIONALES ($COP)]]/(100%-D.sign_Data[[#This Row],[UTILIDAD (%)]])))-D.sign_Data[[#This Row],[COSTOS OPERACIONALES ($COP)]]</f>
        <v>6960.662906617039</v>
      </c>
      <c r="AB451" s="3">
        <f>+D.sign_Data[[#This Row],[COSTOS OPERACIONALES ($COP)]]+D.sign_Data[[#This Row],[DESFASE ($COP)]]+D.sign_Data[[#This Row],[UTILIDAD ($COP)]]</f>
        <v>37587.579695732013</v>
      </c>
      <c r="AC451" s="101">
        <v>0.05</v>
      </c>
      <c r="AD451" s="15">
        <f>+D.sign_Data[[#This Row],[VALOR NETO ($COP)]]/(100%-D.sign_Data[[#This Row],[MARGEN DE NEGOCIACIÓN (%)]])-D.sign_Data[[#This Row],[VALOR NETO ($COP)]]</f>
        <v>1978.2936681964202</v>
      </c>
      <c r="AE451" s="15">
        <f>+(D.sign_Data[[#This Row],[VALOR NETO ($COP)]]+D.sign_Data[[#This Row],[NEGOCIACIÓN ($COP)]])*1%</f>
        <v>395.65873363928432</v>
      </c>
      <c r="AF451" s="15">
        <f>+(D.sign_Data[[#This Row],[VALOR NETO ($COP)]]+D.sign_Data[[#This Row],[NEGOCIACIÓN ($COP)]])*1%</f>
        <v>395.65873363928432</v>
      </c>
      <c r="AG451" s="3">
        <f>+D.sign_Data[[#This Row],[VALOR NETO ($COP)]]+D.sign_Data[[#This Row],[NEGOCIACIÓN ($COP)]]+D.sign_Data[[#This Row],[ICA ($COP)]]+D.sign_Data[[#This Row],[4 * 1000 ($COP)]]</f>
        <v>40357.190831207001</v>
      </c>
    </row>
    <row r="452" spans="1:33" ht="60" hidden="1" customHeight="1" x14ac:dyDescent="0.25">
      <c r="A452" s="14"/>
      <c r="B452" s="87" t="s">
        <v>418</v>
      </c>
      <c r="C452" s="182" t="s">
        <v>790</v>
      </c>
      <c r="D452" s="189" t="str">
        <f>VLOOKUP(D.sign_Data[[#This Row],[CÓDIGO]],Descripciones[[CÓDIGO]:[NOMBRE DE SERVICIO]],3,FALSE)</f>
        <v>D1. Parcelaciones y Condominios</v>
      </c>
      <c r="E452" s="87" t="s">
        <v>497</v>
      </c>
      <c r="F452" s="88" t="s">
        <v>791</v>
      </c>
      <c r="G452" s="88" t="s">
        <v>792</v>
      </c>
      <c r="H452" s="87" t="s">
        <v>500</v>
      </c>
      <c r="I452" s="89">
        <v>1</v>
      </c>
      <c r="J452" s="88" t="s">
        <v>796</v>
      </c>
      <c r="K452" s="102"/>
      <c r="L452" s="88" t="s">
        <v>483</v>
      </c>
      <c r="M452" s="89" t="s">
        <v>381</v>
      </c>
      <c r="N452" s="90">
        <v>0.5</v>
      </c>
      <c r="O452" s="27">
        <f>IFERROR(+VLOOKUP(M452,D.sign_Lista_Data[[RESPONSABLE]:[SOFTWARE 
VALOR HORA]],3,FALSE),"0")</f>
        <v>20263.424518743668</v>
      </c>
      <c r="P452" s="3">
        <f t="shared" si="14"/>
        <v>10131.712259371834</v>
      </c>
      <c r="Q452" s="11">
        <f>IFERROR(+VLOOKUP(M452,D.sign_Lista_Data[[RESPONSABLE]:[SOFTWARE 
VALOR HORA]],5,FALSE)*D.sign_Data[[#This Row],[TIEMPO (HORAS)]],0)</f>
        <v>2110.7733873691318</v>
      </c>
      <c r="R452" s="42">
        <f>IFERROR(+VLOOKUP(M452,D.sign_Lista_Data[[RESPONSABLE]:[SOFTWARE 
VALOR HORA]],8,FALSE)*D.sign_Data[[#This Row],[TIEMPO (HORAS)]],0)</f>
        <v>1705.4274435719917</v>
      </c>
      <c r="S452" s="99">
        <v>0</v>
      </c>
      <c r="T452" s="99">
        <v>0</v>
      </c>
      <c r="U452" s="3">
        <f t="shared" si="15"/>
        <v>13947.913090312959</v>
      </c>
      <c r="V452" s="100">
        <f>D.sign_Data[[#This Row],[TIEMPO (HORAS)]]*Gastos_Operativos[[#Totals],[GASTOS HORA]]</f>
        <v>13894.738536155201</v>
      </c>
      <c r="W452" s="3">
        <f>+D.sign_Data[[#This Row],[COSTO 
DIRECTO ($COP)]]+D.sign_Data[[#This Row],[PRORRATEO GASTOS ($COP)]]</f>
        <v>27842.65162646816</v>
      </c>
      <c r="X452" s="101">
        <v>0.1</v>
      </c>
      <c r="Y452" s="15">
        <f>+D.sign_Data[[#This Row],[COSTOS OPERACIONALES ($COP)]]*D.sign_Data[[#This Row],[DESFASE (%)]]</f>
        <v>2784.265162646816</v>
      </c>
      <c r="Z452" s="101">
        <v>0.2</v>
      </c>
      <c r="AA452" s="15">
        <f>+((D.sign_Data[[#This Row],[COSTOS OPERACIONALES ($COP)]]/(100%-D.sign_Data[[#This Row],[UTILIDAD (%)]])))-D.sign_Data[[#This Row],[COSTOS OPERACIONALES ($COP)]]</f>
        <v>6960.662906617039</v>
      </c>
      <c r="AB452" s="3">
        <f>+D.sign_Data[[#This Row],[COSTOS OPERACIONALES ($COP)]]+D.sign_Data[[#This Row],[DESFASE ($COP)]]+D.sign_Data[[#This Row],[UTILIDAD ($COP)]]</f>
        <v>37587.579695732013</v>
      </c>
      <c r="AC452" s="101">
        <v>0.05</v>
      </c>
      <c r="AD452" s="15">
        <f>+D.sign_Data[[#This Row],[VALOR NETO ($COP)]]/(100%-D.sign_Data[[#This Row],[MARGEN DE NEGOCIACIÓN (%)]])-D.sign_Data[[#This Row],[VALOR NETO ($COP)]]</f>
        <v>1978.2936681964202</v>
      </c>
      <c r="AE452" s="15">
        <f>+(D.sign_Data[[#This Row],[VALOR NETO ($COP)]]+D.sign_Data[[#This Row],[NEGOCIACIÓN ($COP)]])*1%</f>
        <v>395.65873363928432</v>
      </c>
      <c r="AF452" s="15">
        <f>+(D.sign_Data[[#This Row],[VALOR NETO ($COP)]]+D.sign_Data[[#This Row],[NEGOCIACIÓN ($COP)]])*1%</f>
        <v>395.65873363928432</v>
      </c>
      <c r="AG452" s="3">
        <f>+D.sign_Data[[#This Row],[VALOR NETO ($COP)]]+D.sign_Data[[#This Row],[NEGOCIACIÓN ($COP)]]+D.sign_Data[[#This Row],[ICA ($COP)]]+D.sign_Data[[#This Row],[4 * 1000 ($COP)]]</f>
        <v>40357.190831207001</v>
      </c>
    </row>
    <row r="453" spans="1:33" ht="60" hidden="1" customHeight="1" x14ac:dyDescent="0.25">
      <c r="A453" s="14"/>
      <c r="B453" s="87" t="s">
        <v>418</v>
      </c>
      <c r="C453" s="182" t="s">
        <v>790</v>
      </c>
      <c r="D453" s="189" t="str">
        <f>VLOOKUP(D.sign_Data[[#This Row],[CÓDIGO]],Descripciones[[CÓDIGO]:[NOMBRE DE SERVICIO]],3,FALSE)</f>
        <v>D1. Parcelaciones y Condominios</v>
      </c>
      <c r="E453" s="87" t="s">
        <v>497</v>
      </c>
      <c r="F453" s="88" t="s">
        <v>791</v>
      </c>
      <c r="G453" s="88" t="s">
        <v>792</v>
      </c>
      <c r="H453" s="87" t="s">
        <v>500</v>
      </c>
      <c r="I453" s="89">
        <v>1</v>
      </c>
      <c r="J453" s="88" t="s">
        <v>796</v>
      </c>
      <c r="K453" s="102"/>
      <c r="L453" s="88" t="s">
        <v>474</v>
      </c>
      <c r="M453" s="89" t="s">
        <v>381</v>
      </c>
      <c r="N453" s="90">
        <v>0.1</v>
      </c>
      <c r="O453" s="27">
        <f>IFERROR(+VLOOKUP(M453,D.sign_Lista_Data[[RESPONSABLE]:[SOFTWARE 
VALOR HORA]],3,FALSE),"0")</f>
        <v>20263.424518743668</v>
      </c>
      <c r="P453" s="3">
        <f t="shared" si="14"/>
        <v>2026.3424518743668</v>
      </c>
      <c r="Q453" s="11">
        <f>IFERROR(+VLOOKUP(M453,D.sign_Lista_Data[[RESPONSABLE]:[SOFTWARE 
VALOR HORA]],5,FALSE)*D.sign_Data[[#This Row],[TIEMPO (HORAS)]],0)</f>
        <v>422.15467747382638</v>
      </c>
      <c r="R453" s="42">
        <f>IFERROR(+VLOOKUP(M453,D.sign_Lista_Data[[RESPONSABLE]:[SOFTWARE 
VALOR HORA]],8,FALSE)*D.sign_Data[[#This Row],[TIEMPO (HORAS)]],0)</f>
        <v>341.08548871439837</v>
      </c>
      <c r="S453" s="99">
        <v>0</v>
      </c>
      <c r="T453" s="99">
        <v>0</v>
      </c>
      <c r="U453" s="3">
        <f t="shared" si="15"/>
        <v>2789.5826180625913</v>
      </c>
      <c r="V453" s="100">
        <f>D.sign_Data[[#This Row],[TIEMPO (HORAS)]]*Gastos_Operativos[[#Totals],[GASTOS HORA]]</f>
        <v>2778.9477072310401</v>
      </c>
      <c r="W453" s="3">
        <f>+D.sign_Data[[#This Row],[COSTO 
DIRECTO ($COP)]]+D.sign_Data[[#This Row],[PRORRATEO GASTOS ($COP)]]</f>
        <v>5568.5303252936319</v>
      </c>
      <c r="X453" s="101">
        <v>0.1</v>
      </c>
      <c r="Y453" s="15">
        <f>+D.sign_Data[[#This Row],[COSTOS OPERACIONALES ($COP)]]*D.sign_Data[[#This Row],[DESFASE (%)]]</f>
        <v>556.85303252936319</v>
      </c>
      <c r="Z453" s="101">
        <v>0.2</v>
      </c>
      <c r="AA453" s="15">
        <f>+((D.sign_Data[[#This Row],[COSTOS OPERACIONALES ($COP)]]/(100%-D.sign_Data[[#This Row],[UTILIDAD (%)]])))-D.sign_Data[[#This Row],[COSTOS OPERACIONALES ($COP)]]</f>
        <v>1392.132581323408</v>
      </c>
      <c r="AB453" s="3">
        <f>+D.sign_Data[[#This Row],[COSTOS OPERACIONALES ($COP)]]+D.sign_Data[[#This Row],[DESFASE ($COP)]]+D.sign_Data[[#This Row],[UTILIDAD ($COP)]]</f>
        <v>7517.5159391464031</v>
      </c>
      <c r="AC453" s="101">
        <v>0.05</v>
      </c>
      <c r="AD453" s="15">
        <f>+D.sign_Data[[#This Row],[VALOR NETO ($COP)]]/(100%-D.sign_Data[[#This Row],[MARGEN DE NEGOCIACIÓN (%)]])-D.sign_Data[[#This Row],[VALOR NETO ($COP)]]</f>
        <v>395.65873363928495</v>
      </c>
      <c r="AE453" s="15">
        <f>+(D.sign_Data[[#This Row],[VALOR NETO ($COP)]]+D.sign_Data[[#This Row],[NEGOCIACIÓN ($COP)]])*1%</f>
        <v>79.131746727856878</v>
      </c>
      <c r="AF453" s="15">
        <f>+(D.sign_Data[[#This Row],[VALOR NETO ($COP)]]+D.sign_Data[[#This Row],[NEGOCIACIÓN ($COP)]])*1%</f>
        <v>79.131746727856878</v>
      </c>
      <c r="AG453" s="3">
        <f>+D.sign_Data[[#This Row],[VALOR NETO ($COP)]]+D.sign_Data[[#This Row],[NEGOCIACIÓN ($COP)]]+D.sign_Data[[#This Row],[ICA ($COP)]]+D.sign_Data[[#This Row],[4 * 1000 ($COP)]]</f>
        <v>8071.4381662414016</v>
      </c>
    </row>
    <row r="454" spans="1:33" ht="60" hidden="1" customHeight="1" x14ac:dyDescent="0.25">
      <c r="A454" s="14"/>
      <c r="B454" s="87" t="s">
        <v>418</v>
      </c>
      <c r="C454" s="182" t="s">
        <v>790</v>
      </c>
      <c r="D454" s="189" t="str">
        <f>VLOOKUP(D.sign_Data[[#This Row],[CÓDIGO]],Descripciones[[CÓDIGO]:[NOMBRE DE SERVICIO]],3,FALSE)</f>
        <v>D1. Parcelaciones y Condominios</v>
      </c>
      <c r="E454" s="87" t="s">
        <v>497</v>
      </c>
      <c r="F454" s="88" t="s">
        <v>791</v>
      </c>
      <c r="G454" s="88" t="s">
        <v>792</v>
      </c>
      <c r="H454" s="87" t="s">
        <v>500</v>
      </c>
      <c r="I454" s="89">
        <v>1</v>
      </c>
      <c r="J454" s="88" t="s">
        <v>799</v>
      </c>
      <c r="K454" s="102"/>
      <c r="L454" s="88" t="s">
        <v>773</v>
      </c>
      <c r="M454" s="89" t="s">
        <v>381</v>
      </c>
      <c r="N454" s="90">
        <v>0.5</v>
      </c>
      <c r="O454" s="27">
        <f>IFERROR(+VLOOKUP(M454,D.sign_Lista_Data[[RESPONSABLE]:[SOFTWARE 
VALOR HORA]],3,FALSE),"0")</f>
        <v>20263.424518743668</v>
      </c>
      <c r="P454" s="3">
        <f t="shared" si="14"/>
        <v>10131.712259371834</v>
      </c>
      <c r="Q454" s="11">
        <f>IFERROR(+VLOOKUP(M454,D.sign_Lista_Data[[RESPONSABLE]:[SOFTWARE 
VALOR HORA]],5,FALSE)*D.sign_Data[[#This Row],[TIEMPO (HORAS)]],0)</f>
        <v>2110.7733873691318</v>
      </c>
      <c r="R454" s="42">
        <f>IFERROR(+VLOOKUP(M454,D.sign_Lista_Data[[RESPONSABLE]:[SOFTWARE 
VALOR HORA]],8,FALSE)*D.sign_Data[[#This Row],[TIEMPO (HORAS)]],0)</f>
        <v>1705.4274435719917</v>
      </c>
      <c r="S454" s="99">
        <v>0</v>
      </c>
      <c r="T454" s="99">
        <v>0</v>
      </c>
      <c r="U454" s="3">
        <f t="shared" si="15"/>
        <v>13947.913090312959</v>
      </c>
      <c r="V454" s="100">
        <f>D.sign_Data[[#This Row],[TIEMPO (HORAS)]]*Gastos_Operativos[[#Totals],[GASTOS HORA]]</f>
        <v>13894.738536155201</v>
      </c>
      <c r="W454" s="3">
        <f>+D.sign_Data[[#This Row],[COSTO 
DIRECTO ($COP)]]+D.sign_Data[[#This Row],[PRORRATEO GASTOS ($COP)]]</f>
        <v>27842.65162646816</v>
      </c>
      <c r="X454" s="101">
        <v>0.1</v>
      </c>
      <c r="Y454" s="15">
        <f>+D.sign_Data[[#This Row],[COSTOS OPERACIONALES ($COP)]]*D.sign_Data[[#This Row],[DESFASE (%)]]</f>
        <v>2784.265162646816</v>
      </c>
      <c r="Z454" s="101">
        <v>0.2</v>
      </c>
      <c r="AA454" s="15">
        <f>+((D.sign_Data[[#This Row],[COSTOS OPERACIONALES ($COP)]]/(100%-D.sign_Data[[#This Row],[UTILIDAD (%)]])))-D.sign_Data[[#This Row],[COSTOS OPERACIONALES ($COP)]]</f>
        <v>6960.662906617039</v>
      </c>
      <c r="AB454" s="3">
        <f>+D.sign_Data[[#This Row],[COSTOS OPERACIONALES ($COP)]]+D.sign_Data[[#This Row],[DESFASE ($COP)]]+D.sign_Data[[#This Row],[UTILIDAD ($COP)]]</f>
        <v>37587.579695732013</v>
      </c>
      <c r="AC454" s="101">
        <v>0.05</v>
      </c>
      <c r="AD454" s="15">
        <f>+D.sign_Data[[#This Row],[VALOR NETO ($COP)]]/(100%-D.sign_Data[[#This Row],[MARGEN DE NEGOCIACIÓN (%)]])-D.sign_Data[[#This Row],[VALOR NETO ($COP)]]</f>
        <v>1978.2936681964202</v>
      </c>
      <c r="AE454" s="15">
        <f>+(D.sign_Data[[#This Row],[VALOR NETO ($COP)]]+D.sign_Data[[#This Row],[NEGOCIACIÓN ($COP)]])*1%</f>
        <v>395.65873363928432</v>
      </c>
      <c r="AF454" s="15">
        <f>+(D.sign_Data[[#This Row],[VALOR NETO ($COP)]]+D.sign_Data[[#This Row],[NEGOCIACIÓN ($COP)]])*1%</f>
        <v>395.65873363928432</v>
      </c>
      <c r="AG454" s="3">
        <f>+D.sign_Data[[#This Row],[VALOR NETO ($COP)]]+D.sign_Data[[#This Row],[NEGOCIACIÓN ($COP)]]+D.sign_Data[[#This Row],[ICA ($COP)]]+D.sign_Data[[#This Row],[4 * 1000 ($COP)]]</f>
        <v>40357.190831207001</v>
      </c>
    </row>
    <row r="455" spans="1:33" ht="60" hidden="1" customHeight="1" x14ac:dyDescent="0.25">
      <c r="A455" s="14"/>
      <c r="B455" s="87" t="s">
        <v>418</v>
      </c>
      <c r="C455" s="182" t="s">
        <v>790</v>
      </c>
      <c r="D455" s="189" t="str">
        <f>VLOOKUP(D.sign_Data[[#This Row],[CÓDIGO]],Descripciones[[CÓDIGO]:[NOMBRE DE SERVICIO]],3,FALSE)</f>
        <v>D1. Parcelaciones y Condominios</v>
      </c>
      <c r="E455" s="87" t="s">
        <v>497</v>
      </c>
      <c r="F455" s="88" t="s">
        <v>791</v>
      </c>
      <c r="G455" s="88" t="s">
        <v>792</v>
      </c>
      <c r="H455" s="87" t="s">
        <v>500</v>
      </c>
      <c r="I455" s="89">
        <v>1</v>
      </c>
      <c r="J455" s="88" t="s">
        <v>799</v>
      </c>
      <c r="K455" s="102"/>
      <c r="L455" s="88" t="s">
        <v>774</v>
      </c>
      <c r="M455" s="89" t="s">
        <v>381</v>
      </c>
      <c r="N455" s="90">
        <v>0.5</v>
      </c>
      <c r="O455" s="27">
        <f>IFERROR(+VLOOKUP(M455,D.sign_Lista_Data[[RESPONSABLE]:[SOFTWARE 
VALOR HORA]],3,FALSE),"0")</f>
        <v>20263.424518743668</v>
      </c>
      <c r="P455" s="3">
        <f t="shared" si="14"/>
        <v>10131.712259371834</v>
      </c>
      <c r="Q455" s="11">
        <f>IFERROR(+VLOOKUP(M455,D.sign_Lista_Data[[RESPONSABLE]:[SOFTWARE 
VALOR HORA]],5,FALSE)*D.sign_Data[[#This Row],[TIEMPO (HORAS)]],0)</f>
        <v>2110.7733873691318</v>
      </c>
      <c r="R455" s="42">
        <f>IFERROR(+VLOOKUP(M455,D.sign_Lista_Data[[RESPONSABLE]:[SOFTWARE 
VALOR HORA]],8,FALSE)*D.sign_Data[[#This Row],[TIEMPO (HORAS)]],0)</f>
        <v>1705.4274435719917</v>
      </c>
      <c r="S455" s="99">
        <v>0</v>
      </c>
      <c r="T455" s="99">
        <v>0</v>
      </c>
      <c r="U455" s="3">
        <f t="shared" si="15"/>
        <v>13947.913090312959</v>
      </c>
      <c r="V455" s="100">
        <f>D.sign_Data[[#This Row],[TIEMPO (HORAS)]]*Gastos_Operativos[[#Totals],[GASTOS HORA]]</f>
        <v>13894.738536155201</v>
      </c>
      <c r="W455" s="3">
        <f>+D.sign_Data[[#This Row],[COSTO 
DIRECTO ($COP)]]+D.sign_Data[[#This Row],[PRORRATEO GASTOS ($COP)]]</f>
        <v>27842.65162646816</v>
      </c>
      <c r="X455" s="101">
        <v>0.1</v>
      </c>
      <c r="Y455" s="15">
        <f>+D.sign_Data[[#This Row],[COSTOS OPERACIONALES ($COP)]]*D.sign_Data[[#This Row],[DESFASE (%)]]</f>
        <v>2784.265162646816</v>
      </c>
      <c r="Z455" s="101">
        <v>0.2</v>
      </c>
      <c r="AA455" s="15">
        <f>+((D.sign_Data[[#This Row],[COSTOS OPERACIONALES ($COP)]]/(100%-D.sign_Data[[#This Row],[UTILIDAD (%)]])))-D.sign_Data[[#This Row],[COSTOS OPERACIONALES ($COP)]]</f>
        <v>6960.662906617039</v>
      </c>
      <c r="AB455" s="3">
        <f>+D.sign_Data[[#This Row],[COSTOS OPERACIONALES ($COP)]]+D.sign_Data[[#This Row],[DESFASE ($COP)]]+D.sign_Data[[#This Row],[UTILIDAD ($COP)]]</f>
        <v>37587.579695732013</v>
      </c>
      <c r="AC455" s="101">
        <v>0.05</v>
      </c>
      <c r="AD455" s="15">
        <f>+D.sign_Data[[#This Row],[VALOR NETO ($COP)]]/(100%-D.sign_Data[[#This Row],[MARGEN DE NEGOCIACIÓN (%)]])-D.sign_Data[[#This Row],[VALOR NETO ($COP)]]</f>
        <v>1978.2936681964202</v>
      </c>
      <c r="AE455" s="15">
        <f>+(D.sign_Data[[#This Row],[VALOR NETO ($COP)]]+D.sign_Data[[#This Row],[NEGOCIACIÓN ($COP)]])*1%</f>
        <v>395.65873363928432</v>
      </c>
      <c r="AF455" s="15">
        <f>+(D.sign_Data[[#This Row],[VALOR NETO ($COP)]]+D.sign_Data[[#This Row],[NEGOCIACIÓN ($COP)]])*1%</f>
        <v>395.65873363928432</v>
      </c>
      <c r="AG455" s="3">
        <f>+D.sign_Data[[#This Row],[VALOR NETO ($COP)]]+D.sign_Data[[#This Row],[NEGOCIACIÓN ($COP)]]+D.sign_Data[[#This Row],[ICA ($COP)]]+D.sign_Data[[#This Row],[4 * 1000 ($COP)]]</f>
        <v>40357.190831207001</v>
      </c>
    </row>
    <row r="456" spans="1:33" ht="60" hidden="1" customHeight="1" x14ac:dyDescent="0.25">
      <c r="A456" s="14"/>
      <c r="B456" s="87" t="s">
        <v>418</v>
      </c>
      <c r="C456" s="182" t="s">
        <v>790</v>
      </c>
      <c r="D456" s="189" t="str">
        <f>VLOOKUP(D.sign_Data[[#This Row],[CÓDIGO]],Descripciones[[CÓDIGO]:[NOMBRE DE SERVICIO]],3,FALSE)</f>
        <v>D1. Parcelaciones y Condominios</v>
      </c>
      <c r="E456" s="87" t="s">
        <v>497</v>
      </c>
      <c r="F456" s="88" t="s">
        <v>791</v>
      </c>
      <c r="G456" s="88" t="s">
        <v>792</v>
      </c>
      <c r="H456" s="87" t="s">
        <v>500</v>
      </c>
      <c r="I456" s="89">
        <v>1</v>
      </c>
      <c r="J456" s="88" t="s">
        <v>799</v>
      </c>
      <c r="K456" s="102"/>
      <c r="L456" s="88" t="s">
        <v>476</v>
      </c>
      <c r="M456" s="89" t="s">
        <v>381</v>
      </c>
      <c r="N456" s="90">
        <v>0.5</v>
      </c>
      <c r="O456" s="27">
        <f>IFERROR(+VLOOKUP(M456,D.sign_Lista_Data[[RESPONSABLE]:[SOFTWARE 
VALOR HORA]],3,FALSE),"0")</f>
        <v>20263.424518743668</v>
      </c>
      <c r="P456" s="3">
        <f t="shared" si="14"/>
        <v>10131.712259371834</v>
      </c>
      <c r="Q456" s="11">
        <f>IFERROR(+VLOOKUP(M456,D.sign_Lista_Data[[RESPONSABLE]:[SOFTWARE 
VALOR HORA]],5,FALSE)*D.sign_Data[[#This Row],[TIEMPO (HORAS)]],0)</f>
        <v>2110.7733873691318</v>
      </c>
      <c r="R456" s="42">
        <f>IFERROR(+VLOOKUP(M456,D.sign_Lista_Data[[RESPONSABLE]:[SOFTWARE 
VALOR HORA]],8,FALSE)*D.sign_Data[[#This Row],[TIEMPO (HORAS)]],0)</f>
        <v>1705.4274435719917</v>
      </c>
      <c r="S456" s="99">
        <v>0</v>
      </c>
      <c r="T456" s="99">
        <v>0</v>
      </c>
      <c r="U456" s="3">
        <f t="shared" si="15"/>
        <v>13947.913090312959</v>
      </c>
      <c r="V456" s="100">
        <f>D.sign_Data[[#This Row],[TIEMPO (HORAS)]]*Gastos_Operativos[[#Totals],[GASTOS HORA]]</f>
        <v>13894.738536155201</v>
      </c>
      <c r="W456" s="3">
        <f>+D.sign_Data[[#This Row],[COSTO 
DIRECTO ($COP)]]+D.sign_Data[[#This Row],[PRORRATEO GASTOS ($COP)]]</f>
        <v>27842.65162646816</v>
      </c>
      <c r="X456" s="101">
        <v>0.1</v>
      </c>
      <c r="Y456" s="15">
        <f>+D.sign_Data[[#This Row],[COSTOS OPERACIONALES ($COP)]]*D.sign_Data[[#This Row],[DESFASE (%)]]</f>
        <v>2784.265162646816</v>
      </c>
      <c r="Z456" s="101">
        <v>0.2</v>
      </c>
      <c r="AA456" s="15">
        <f>+((D.sign_Data[[#This Row],[COSTOS OPERACIONALES ($COP)]]/(100%-D.sign_Data[[#This Row],[UTILIDAD (%)]])))-D.sign_Data[[#This Row],[COSTOS OPERACIONALES ($COP)]]</f>
        <v>6960.662906617039</v>
      </c>
      <c r="AB456" s="3">
        <f>+D.sign_Data[[#This Row],[COSTOS OPERACIONALES ($COP)]]+D.sign_Data[[#This Row],[DESFASE ($COP)]]+D.sign_Data[[#This Row],[UTILIDAD ($COP)]]</f>
        <v>37587.579695732013</v>
      </c>
      <c r="AC456" s="101">
        <v>0.05</v>
      </c>
      <c r="AD456" s="15">
        <f>+D.sign_Data[[#This Row],[VALOR NETO ($COP)]]/(100%-D.sign_Data[[#This Row],[MARGEN DE NEGOCIACIÓN (%)]])-D.sign_Data[[#This Row],[VALOR NETO ($COP)]]</f>
        <v>1978.2936681964202</v>
      </c>
      <c r="AE456" s="15">
        <f>+(D.sign_Data[[#This Row],[VALOR NETO ($COP)]]+D.sign_Data[[#This Row],[NEGOCIACIÓN ($COP)]])*1%</f>
        <v>395.65873363928432</v>
      </c>
      <c r="AF456" s="15">
        <f>+(D.sign_Data[[#This Row],[VALOR NETO ($COP)]]+D.sign_Data[[#This Row],[NEGOCIACIÓN ($COP)]])*1%</f>
        <v>395.65873363928432</v>
      </c>
      <c r="AG456" s="3">
        <f>+D.sign_Data[[#This Row],[VALOR NETO ($COP)]]+D.sign_Data[[#This Row],[NEGOCIACIÓN ($COP)]]+D.sign_Data[[#This Row],[ICA ($COP)]]+D.sign_Data[[#This Row],[4 * 1000 ($COP)]]</f>
        <v>40357.190831207001</v>
      </c>
    </row>
    <row r="457" spans="1:33" ht="60" hidden="1" customHeight="1" x14ac:dyDescent="0.25">
      <c r="A457" s="14"/>
      <c r="B457" s="87" t="s">
        <v>418</v>
      </c>
      <c r="C457" s="182" t="s">
        <v>790</v>
      </c>
      <c r="D457" s="189" t="str">
        <f>VLOOKUP(D.sign_Data[[#This Row],[CÓDIGO]],Descripciones[[CÓDIGO]:[NOMBRE DE SERVICIO]],3,FALSE)</f>
        <v>D1. Parcelaciones y Condominios</v>
      </c>
      <c r="E457" s="87" t="s">
        <v>497</v>
      </c>
      <c r="F457" s="88" t="s">
        <v>791</v>
      </c>
      <c r="G457" s="88" t="s">
        <v>792</v>
      </c>
      <c r="H457" s="87" t="s">
        <v>500</v>
      </c>
      <c r="I457" s="89">
        <v>1</v>
      </c>
      <c r="J457" s="88" t="s">
        <v>799</v>
      </c>
      <c r="K457" s="102"/>
      <c r="L457" s="88" t="s">
        <v>775</v>
      </c>
      <c r="M457" s="89" t="s">
        <v>381</v>
      </c>
      <c r="N457" s="90">
        <v>1</v>
      </c>
      <c r="O457" s="27">
        <f>IFERROR(+VLOOKUP(M457,D.sign_Lista_Data[[RESPONSABLE]:[SOFTWARE 
VALOR HORA]],3,FALSE),"0")</f>
        <v>20263.424518743668</v>
      </c>
      <c r="P457" s="3">
        <f t="shared" si="14"/>
        <v>20263.424518743668</v>
      </c>
      <c r="Q457" s="11">
        <f>IFERROR(+VLOOKUP(M457,D.sign_Lista_Data[[RESPONSABLE]:[SOFTWARE 
VALOR HORA]],5,FALSE)*D.sign_Data[[#This Row],[TIEMPO (HORAS)]],0)</f>
        <v>4221.5467747382636</v>
      </c>
      <c r="R457" s="42">
        <f>IFERROR(+VLOOKUP(M457,D.sign_Lista_Data[[RESPONSABLE]:[SOFTWARE 
VALOR HORA]],8,FALSE)*D.sign_Data[[#This Row],[TIEMPO (HORAS)]],0)</f>
        <v>3410.8548871439834</v>
      </c>
      <c r="S457" s="99">
        <v>0</v>
      </c>
      <c r="T457" s="99">
        <v>0</v>
      </c>
      <c r="U457" s="3">
        <f t="shared" si="15"/>
        <v>27895.826180625918</v>
      </c>
      <c r="V457" s="100">
        <f>D.sign_Data[[#This Row],[TIEMPO (HORAS)]]*Gastos_Operativos[[#Totals],[GASTOS HORA]]</f>
        <v>27789.477072310401</v>
      </c>
      <c r="W457" s="3">
        <f>+D.sign_Data[[#This Row],[COSTO 
DIRECTO ($COP)]]+D.sign_Data[[#This Row],[PRORRATEO GASTOS ($COP)]]</f>
        <v>55685.303252936319</v>
      </c>
      <c r="X457" s="101">
        <v>0.1</v>
      </c>
      <c r="Y457" s="15">
        <f>+D.sign_Data[[#This Row],[COSTOS OPERACIONALES ($COP)]]*D.sign_Data[[#This Row],[DESFASE (%)]]</f>
        <v>5568.5303252936319</v>
      </c>
      <c r="Z457" s="101">
        <v>0.2</v>
      </c>
      <c r="AA457" s="15">
        <f>+((D.sign_Data[[#This Row],[COSTOS OPERACIONALES ($COP)]]/(100%-D.sign_Data[[#This Row],[UTILIDAD (%)]])))-D.sign_Data[[#This Row],[COSTOS OPERACIONALES ($COP)]]</f>
        <v>13921.325813234078</v>
      </c>
      <c r="AB457" s="3">
        <f>+D.sign_Data[[#This Row],[COSTOS OPERACIONALES ($COP)]]+D.sign_Data[[#This Row],[DESFASE ($COP)]]+D.sign_Data[[#This Row],[UTILIDAD ($COP)]]</f>
        <v>75175.159391464025</v>
      </c>
      <c r="AC457" s="101">
        <v>0.05</v>
      </c>
      <c r="AD457" s="15">
        <f>+D.sign_Data[[#This Row],[VALOR NETO ($COP)]]/(100%-D.sign_Data[[#This Row],[MARGEN DE NEGOCIACIÓN (%)]])-D.sign_Data[[#This Row],[VALOR NETO ($COP)]]</f>
        <v>3956.5873363928404</v>
      </c>
      <c r="AE457" s="15">
        <f>+(D.sign_Data[[#This Row],[VALOR NETO ($COP)]]+D.sign_Data[[#This Row],[NEGOCIACIÓN ($COP)]])*1%</f>
        <v>791.31746727856864</v>
      </c>
      <c r="AF457" s="15">
        <f>+(D.sign_Data[[#This Row],[VALOR NETO ($COP)]]+D.sign_Data[[#This Row],[NEGOCIACIÓN ($COP)]])*1%</f>
        <v>791.31746727856864</v>
      </c>
      <c r="AG457" s="3">
        <f>+D.sign_Data[[#This Row],[VALOR NETO ($COP)]]+D.sign_Data[[#This Row],[NEGOCIACIÓN ($COP)]]+D.sign_Data[[#This Row],[ICA ($COP)]]+D.sign_Data[[#This Row],[4 * 1000 ($COP)]]</f>
        <v>80714.381662414002</v>
      </c>
    </row>
    <row r="458" spans="1:33" ht="60" hidden="1" customHeight="1" x14ac:dyDescent="0.25">
      <c r="A458" s="14"/>
      <c r="B458" s="87" t="s">
        <v>418</v>
      </c>
      <c r="C458" s="182" t="s">
        <v>790</v>
      </c>
      <c r="D458" s="189" t="str">
        <f>VLOOKUP(D.sign_Data[[#This Row],[CÓDIGO]],Descripciones[[CÓDIGO]:[NOMBRE DE SERVICIO]],3,FALSE)</f>
        <v>D1. Parcelaciones y Condominios</v>
      </c>
      <c r="E458" s="87" t="s">
        <v>497</v>
      </c>
      <c r="F458" s="88" t="s">
        <v>791</v>
      </c>
      <c r="G458" s="88" t="s">
        <v>792</v>
      </c>
      <c r="H458" s="87" t="s">
        <v>500</v>
      </c>
      <c r="I458" s="89">
        <v>1</v>
      </c>
      <c r="J458" s="88" t="s">
        <v>799</v>
      </c>
      <c r="K458" s="102"/>
      <c r="L458" s="88" t="s">
        <v>624</v>
      </c>
      <c r="M458" s="89" t="s">
        <v>381</v>
      </c>
      <c r="N458" s="90">
        <v>2.5</v>
      </c>
      <c r="O458" s="27">
        <f>IFERROR(+VLOOKUP(M458,D.sign_Lista_Data[[RESPONSABLE]:[SOFTWARE 
VALOR HORA]],3,FALSE),"0")</f>
        <v>20263.424518743668</v>
      </c>
      <c r="P458" s="3">
        <f t="shared" si="14"/>
        <v>50658.561296859174</v>
      </c>
      <c r="Q458" s="11">
        <f>IFERROR(+VLOOKUP(M458,D.sign_Lista_Data[[RESPONSABLE]:[SOFTWARE 
VALOR HORA]],5,FALSE)*D.sign_Data[[#This Row],[TIEMPO (HORAS)]],0)</f>
        <v>10553.866936845659</v>
      </c>
      <c r="R458" s="42">
        <f>IFERROR(+VLOOKUP(M458,D.sign_Lista_Data[[RESPONSABLE]:[SOFTWARE 
VALOR HORA]],8,FALSE)*D.sign_Data[[#This Row],[TIEMPO (HORAS)]],0)</f>
        <v>8527.1372178599595</v>
      </c>
      <c r="S458" s="99">
        <v>0</v>
      </c>
      <c r="T458" s="99">
        <v>0</v>
      </c>
      <c r="U458" s="3">
        <f t="shared" si="15"/>
        <v>69739.565451564791</v>
      </c>
      <c r="V458" s="100">
        <f>D.sign_Data[[#This Row],[TIEMPO (HORAS)]]*Gastos_Operativos[[#Totals],[GASTOS HORA]]</f>
        <v>69473.692680776003</v>
      </c>
      <c r="W458" s="3">
        <f>+D.sign_Data[[#This Row],[COSTO 
DIRECTO ($COP)]]+D.sign_Data[[#This Row],[PRORRATEO GASTOS ($COP)]]</f>
        <v>139213.25813234079</v>
      </c>
      <c r="X458" s="101">
        <v>0.1</v>
      </c>
      <c r="Y458" s="15">
        <f>+D.sign_Data[[#This Row],[COSTOS OPERACIONALES ($COP)]]*D.sign_Data[[#This Row],[DESFASE (%)]]</f>
        <v>13921.32581323408</v>
      </c>
      <c r="Z458" s="101">
        <v>0.2</v>
      </c>
      <c r="AA458" s="15">
        <f>+((D.sign_Data[[#This Row],[COSTOS OPERACIONALES ($COP)]]/(100%-D.sign_Data[[#This Row],[UTILIDAD (%)]])))-D.sign_Data[[#This Row],[COSTOS OPERACIONALES ($COP)]]</f>
        <v>34803.314533085184</v>
      </c>
      <c r="AB458" s="3">
        <f>+D.sign_Data[[#This Row],[COSTOS OPERACIONALES ($COP)]]+D.sign_Data[[#This Row],[DESFASE ($COP)]]+D.sign_Data[[#This Row],[UTILIDAD ($COP)]]</f>
        <v>187937.89847866006</v>
      </c>
      <c r="AC458" s="101">
        <v>0.05</v>
      </c>
      <c r="AD458" s="15">
        <f>+D.sign_Data[[#This Row],[VALOR NETO ($COP)]]/(100%-D.sign_Data[[#This Row],[MARGEN DE NEGOCIACIÓN (%)]])-D.sign_Data[[#This Row],[VALOR NETO ($COP)]]</f>
        <v>9891.46834098213</v>
      </c>
      <c r="AE458" s="15">
        <f>+(D.sign_Data[[#This Row],[VALOR NETO ($COP)]]+D.sign_Data[[#This Row],[NEGOCIACIÓN ($COP)]])*1%</f>
        <v>1978.293668196422</v>
      </c>
      <c r="AF458" s="15">
        <f>+(D.sign_Data[[#This Row],[VALOR NETO ($COP)]]+D.sign_Data[[#This Row],[NEGOCIACIÓN ($COP)]])*1%</f>
        <v>1978.293668196422</v>
      </c>
      <c r="AG458" s="3">
        <f>+D.sign_Data[[#This Row],[VALOR NETO ($COP)]]+D.sign_Data[[#This Row],[NEGOCIACIÓN ($COP)]]+D.sign_Data[[#This Row],[ICA ($COP)]]+D.sign_Data[[#This Row],[4 * 1000 ($COP)]]</f>
        <v>201785.95415603503</v>
      </c>
    </row>
    <row r="459" spans="1:33" ht="60" hidden="1" customHeight="1" x14ac:dyDescent="0.25">
      <c r="A459" s="14"/>
      <c r="B459" s="87" t="s">
        <v>418</v>
      </c>
      <c r="C459" s="182" t="s">
        <v>790</v>
      </c>
      <c r="D459" s="189" t="str">
        <f>VLOOKUP(D.sign_Data[[#This Row],[CÓDIGO]],Descripciones[[CÓDIGO]:[NOMBRE DE SERVICIO]],3,FALSE)</f>
        <v>D1. Parcelaciones y Condominios</v>
      </c>
      <c r="E459" s="87" t="s">
        <v>497</v>
      </c>
      <c r="F459" s="88" t="s">
        <v>791</v>
      </c>
      <c r="G459" s="88" t="s">
        <v>792</v>
      </c>
      <c r="H459" s="87" t="s">
        <v>500</v>
      </c>
      <c r="I459" s="89">
        <v>1</v>
      </c>
      <c r="J459" s="88" t="s">
        <v>799</v>
      </c>
      <c r="K459" s="102"/>
      <c r="L459" s="88" t="s">
        <v>771</v>
      </c>
      <c r="M459" s="89" t="s">
        <v>381</v>
      </c>
      <c r="N459" s="90">
        <v>1</v>
      </c>
      <c r="O459" s="27">
        <f>IFERROR(+VLOOKUP(M459,D.sign_Lista_Data[[RESPONSABLE]:[SOFTWARE 
VALOR HORA]],3,FALSE),"0")</f>
        <v>20263.424518743668</v>
      </c>
      <c r="P459" s="3">
        <f t="shared" si="14"/>
        <v>20263.424518743668</v>
      </c>
      <c r="Q459" s="11">
        <f>IFERROR(+VLOOKUP(M459,D.sign_Lista_Data[[RESPONSABLE]:[SOFTWARE 
VALOR HORA]],5,FALSE)*D.sign_Data[[#This Row],[TIEMPO (HORAS)]],0)</f>
        <v>4221.5467747382636</v>
      </c>
      <c r="R459" s="42">
        <f>IFERROR(+VLOOKUP(M459,D.sign_Lista_Data[[RESPONSABLE]:[SOFTWARE 
VALOR HORA]],8,FALSE)*D.sign_Data[[#This Row],[TIEMPO (HORAS)]],0)</f>
        <v>3410.8548871439834</v>
      </c>
      <c r="S459" s="99">
        <v>0</v>
      </c>
      <c r="T459" s="99">
        <v>0</v>
      </c>
      <c r="U459" s="3">
        <f t="shared" si="15"/>
        <v>27895.826180625918</v>
      </c>
      <c r="V459" s="100">
        <f>D.sign_Data[[#This Row],[TIEMPO (HORAS)]]*Gastos_Operativos[[#Totals],[GASTOS HORA]]</f>
        <v>27789.477072310401</v>
      </c>
      <c r="W459" s="3">
        <f>+D.sign_Data[[#This Row],[COSTO 
DIRECTO ($COP)]]+D.sign_Data[[#This Row],[PRORRATEO GASTOS ($COP)]]</f>
        <v>55685.303252936319</v>
      </c>
      <c r="X459" s="101">
        <v>0.1</v>
      </c>
      <c r="Y459" s="15">
        <f>+D.sign_Data[[#This Row],[COSTOS OPERACIONALES ($COP)]]*D.sign_Data[[#This Row],[DESFASE (%)]]</f>
        <v>5568.5303252936319</v>
      </c>
      <c r="Z459" s="101">
        <v>0.2</v>
      </c>
      <c r="AA459" s="15">
        <f>+((D.sign_Data[[#This Row],[COSTOS OPERACIONALES ($COP)]]/(100%-D.sign_Data[[#This Row],[UTILIDAD (%)]])))-D.sign_Data[[#This Row],[COSTOS OPERACIONALES ($COP)]]</f>
        <v>13921.325813234078</v>
      </c>
      <c r="AB459" s="3">
        <f>+D.sign_Data[[#This Row],[COSTOS OPERACIONALES ($COP)]]+D.sign_Data[[#This Row],[DESFASE ($COP)]]+D.sign_Data[[#This Row],[UTILIDAD ($COP)]]</f>
        <v>75175.159391464025</v>
      </c>
      <c r="AC459" s="101">
        <v>0.05</v>
      </c>
      <c r="AD459" s="15">
        <f>+D.sign_Data[[#This Row],[VALOR NETO ($COP)]]/(100%-D.sign_Data[[#This Row],[MARGEN DE NEGOCIACIÓN (%)]])-D.sign_Data[[#This Row],[VALOR NETO ($COP)]]</f>
        <v>3956.5873363928404</v>
      </c>
      <c r="AE459" s="15">
        <f>+(D.sign_Data[[#This Row],[VALOR NETO ($COP)]]+D.sign_Data[[#This Row],[NEGOCIACIÓN ($COP)]])*1%</f>
        <v>791.31746727856864</v>
      </c>
      <c r="AF459" s="15">
        <f>+(D.sign_Data[[#This Row],[VALOR NETO ($COP)]]+D.sign_Data[[#This Row],[NEGOCIACIÓN ($COP)]])*1%</f>
        <v>791.31746727856864</v>
      </c>
      <c r="AG459" s="3">
        <f>+D.sign_Data[[#This Row],[VALOR NETO ($COP)]]+D.sign_Data[[#This Row],[NEGOCIACIÓN ($COP)]]+D.sign_Data[[#This Row],[ICA ($COP)]]+D.sign_Data[[#This Row],[4 * 1000 ($COP)]]</f>
        <v>80714.381662414002</v>
      </c>
    </row>
    <row r="460" spans="1:33" ht="60" hidden="1" customHeight="1" x14ac:dyDescent="0.25">
      <c r="A460" s="14"/>
      <c r="B460" s="87" t="s">
        <v>418</v>
      </c>
      <c r="C460" s="182" t="s">
        <v>790</v>
      </c>
      <c r="D460" s="189" t="str">
        <f>VLOOKUP(D.sign_Data[[#This Row],[CÓDIGO]],Descripciones[[CÓDIGO]:[NOMBRE DE SERVICIO]],3,FALSE)</f>
        <v>D1. Parcelaciones y Condominios</v>
      </c>
      <c r="E460" s="87" t="s">
        <v>497</v>
      </c>
      <c r="F460" s="88" t="s">
        <v>791</v>
      </c>
      <c r="G460" s="88" t="s">
        <v>792</v>
      </c>
      <c r="H460" s="87" t="s">
        <v>500</v>
      </c>
      <c r="I460" s="89">
        <v>1</v>
      </c>
      <c r="J460" s="88" t="s">
        <v>799</v>
      </c>
      <c r="K460" s="102"/>
      <c r="L460" s="88" t="s">
        <v>483</v>
      </c>
      <c r="M460" s="89" t="s">
        <v>381</v>
      </c>
      <c r="N460" s="90">
        <v>0.5</v>
      </c>
      <c r="O460" s="27">
        <f>IFERROR(+VLOOKUP(M460,D.sign_Lista_Data[[RESPONSABLE]:[SOFTWARE 
VALOR HORA]],3,FALSE),"0")</f>
        <v>20263.424518743668</v>
      </c>
      <c r="P460" s="3">
        <f t="shared" si="14"/>
        <v>10131.712259371834</v>
      </c>
      <c r="Q460" s="11">
        <f>IFERROR(+VLOOKUP(M460,D.sign_Lista_Data[[RESPONSABLE]:[SOFTWARE 
VALOR HORA]],5,FALSE)*D.sign_Data[[#This Row],[TIEMPO (HORAS)]],0)</f>
        <v>2110.7733873691318</v>
      </c>
      <c r="R460" s="42">
        <f>IFERROR(+VLOOKUP(M460,D.sign_Lista_Data[[RESPONSABLE]:[SOFTWARE 
VALOR HORA]],8,FALSE)*D.sign_Data[[#This Row],[TIEMPO (HORAS)]],0)</f>
        <v>1705.4274435719917</v>
      </c>
      <c r="S460" s="99">
        <v>0</v>
      </c>
      <c r="T460" s="99">
        <v>0</v>
      </c>
      <c r="U460" s="3">
        <f t="shared" si="15"/>
        <v>13947.913090312959</v>
      </c>
      <c r="V460" s="100">
        <f>D.sign_Data[[#This Row],[TIEMPO (HORAS)]]*Gastos_Operativos[[#Totals],[GASTOS HORA]]</f>
        <v>13894.738536155201</v>
      </c>
      <c r="W460" s="3">
        <f>+D.sign_Data[[#This Row],[COSTO 
DIRECTO ($COP)]]+D.sign_Data[[#This Row],[PRORRATEO GASTOS ($COP)]]</f>
        <v>27842.65162646816</v>
      </c>
      <c r="X460" s="101">
        <v>0.1</v>
      </c>
      <c r="Y460" s="15">
        <f>+D.sign_Data[[#This Row],[COSTOS OPERACIONALES ($COP)]]*D.sign_Data[[#This Row],[DESFASE (%)]]</f>
        <v>2784.265162646816</v>
      </c>
      <c r="Z460" s="101">
        <v>0.2</v>
      </c>
      <c r="AA460" s="15">
        <f>+((D.sign_Data[[#This Row],[COSTOS OPERACIONALES ($COP)]]/(100%-D.sign_Data[[#This Row],[UTILIDAD (%)]])))-D.sign_Data[[#This Row],[COSTOS OPERACIONALES ($COP)]]</f>
        <v>6960.662906617039</v>
      </c>
      <c r="AB460" s="3">
        <f>+D.sign_Data[[#This Row],[COSTOS OPERACIONALES ($COP)]]+D.sign_Data[[#This Row],[DESFASE ($COP)]]+D.sign_Data[[#This Row],[UTILIDAD ($COP)]]</f>
        <v>37587.579695732013</v>
      </c>
      <c r="AC460" s="101">
        <v>0.05</v>
      </c>
      <c r="AD460" s="15">
        <f>+D.sign_Data[[#This Row],[VALOR NETO ($COP)]]/(100%-D.sign_Data[[#This Row],[MARGEN DE NEGOCIACIÓN (%)]])-D.sign_Data[[#This Row],[VALOR NETO ($COP)]]</f>
        <v>1978.2936681964202</v>
      </c>
      <c r="AE460" s="15">
        <f>+(D.sign_Data[[#This Row],[VALOR NETO ($COP)]]+D.sign_Data[[#This Row],[NEGOCIACIÓN ($COP)]])*1%</f>
        <v>395.65873363928432</v>
      </c>
      <c r="AF460" s="15">
        <f>+(D.sign_Data[[#This Row],[VALOR NETO ($COP)]]+D.sign_Data[[#This Row],[NEGOCIACIÓN ($COP)]])*1%</f>
        <v>395.65873363928432</v>
      </c>
      <c r="AG460" s="3">
        <f>+D.sign_Data[[#This Row],[VALOR NETO ($COP)]]+D.sign_Data[[#This Row],[NEGOCIACIÓN ($COP)]]+D.sign_Data[[#This Row],[ICA ($COP)]]+D.sign_Data[[#This Row],[4 * 1000 ($COP)]]</f>
        <v>40357.190831207001</v>
      </c>
    </row>
    <row r="461" spans="1:33" ht="60" hidden="1" customHeight="1" x14ac:dyDescent="0.25">
      <c r="A461" s="14"/>
      <c r="B461" s="87" t="s">
        <v>418</v>
      </c>
      <c r="C461" s="182" t="s">
        <v>790</v>
      </c>
      <c r="D461" s="189" t="str">
        <f>VLOOKUP(D.sign_Data[[#This Row],[CÓDIGO]],Descripciones[[CÓDIGO]:[NOMBRE DE SERVICIO]],3,FALSE)</f>
        <v>D1. Parcelaciones y Condominios</v>
      </c>
      <c r="E461" s="87" t="s">
        <v>497</v>
      </c>
      <c r="F461" s="88" t="s">
        <v>791</v>
      </c>
      <c r="G461" s="88" t="s">
        <v>792</v>
      </c>
      <c r="H461" s="87" t="s">
        <v>500</v>
      </c>
      <c r="I461" s="89">
        <v>1</v>
      </c>
      <c r="J461" s="88" t="s">
        <v>799</v>
      </c>
      <c r="K461" s="102"/>
      <c r="L461" s="88" t="s">
        <v>474</v>
      </c>
      <c r="M461" s="89" t="s">
        <v>381</v>
      </c>
      <c r="N461" s="90">
        <v>0.1</v>
      </c>
      <c r="O461" s="27">
        <f>IFERROR(+VLOOKUP(M461,D.sign_Lista_Data[[RESPONSABLE]:[SOFTWARE 
VALOR HORA]],3,FALSE),"0")</f>
        <v>20263.424518743668</v>
      </c>
      <c r="P461" s="3">
        <f t="shared" si="14"/>
        <v>2026.3424518743668</v>
      </c>
      <c r="Q461" s="11">
        <f>IFERROR(+VLOOKUP(M461,D.sign_Lista_Data[[RESPONSABLE]:[SOFTWARE 
VALOR HORA]],5,FALSE)*D.sign_Data[[#This Row],[TIEMPO (HORAS)]],0)</f>
        <v>422.15467747382638</v>
      </c>
      <c r="R461" s="42">
        <f>IFERROR(+VLOOKUP(M461,D.sign_Lista_Data[[RESPONSABLE]:[SOFTWARE 
VALOR HORA]],8,FALSE)*D.sign_Data[[#This Row],[TIEMPO (HORAS)]],0)</f>
        <v>341.08548871439837</v>
      </c>
      <c r="S461" s="99">
        <v>0</v>
      </c>
      <c r="T461" s="99">
        <v>0</v>
      </c>
      <c r="U461" s="3">
        <f t="shared" si="15"/>
        <v>2789.5826180625913</v>
      </c>
      <c r="V461" s="100">
        <f>D.sign_Data[[#This Row],[TIEMPO (HORAS)]]*Gastos_Operativos[[#Totals],[GASTOS HORA]]</f>
        <v>2778.9477072310401</v>
      </c>
      <c r="W461" s="3">
        <f>+D.sign_Data[[#This Row],[COSTO 
DIRECTO ($COP)]]+D.sign_Data[[#This Row],[PRORRATEO GASTOS ($COP)]]</f>
        <v>5568.5303252936319</v>
      </c>
      <c r="X461" s="101">
        <v>0.1</v>
      </c>
      <c r="Y461" s="15">
        <f>+D.sign_Data[[#This Row],[COSTOS OPERACIONALES ($COP)]]*D.sign_Data[[#This Row],[DESFASE (%)]]</f>
        <v>556.85303252936319</v>
      </c>
      <c r="Z461" s="101">
        <v>0.2</v>
      </c>
      <c r="AA461" s="15">
        <f>+((D.sign_Data[[#This Row],[COSTOS OPERACIONALES ($COP)]]/(100%-D.sign_Data[[#This Row],[UTILIDAD (%)]])))-D.sign_Data[[#This Row],[COSTOS OPERACIONALES ($COP)]]</f>
        <v>1392.132581323408</v>
      </c>
      <c r="AB461" s="3">
        <f>+D.sign_Data[[#This Row],[COSTOS OPERACIONALES ($COP)]]+D.sign_Data[[#This Row],[DESFASE ($COP)]]+D.sign_Data[[#This Row],[UTILIDAD ($COP)]]</f>
        <v>7517.5159391464031</v>
      </c>
      <c r="AC461" s="101">
        <v>0.05</v>
      </c>
      <c r="AD461" s="15">
        <f>+D.sign_Data[[#This Row],[VALOR NETO ($COP)]]/(100%-D.sign_Data[[#This Row],[MARGEN DE NEGOCIACIÓN (%)]])-D.sign_Data[[#This Row],[VALOR NETO ($COP)]]</f>
        <v>395.65873363928495</v>
      </c>
      <c r="AE461" s="15">
        <f>+(D.sign_Data[[#This Row],[VALOR NETO ($COP)]]+D.sign_Data[[#This Row],[NEGOCIACIÓN ($COP)]])*1%</f>
        <v>79.131746727856878</v>
      </c>
      <c r="AF461" s="15">
        <f>+(D.sign_Data[[#This Row],[VALOR NETO ($COP)]]+D.sign_Data[[#This Row],[NEGOCIACIÓN ($COP)]])*1%</f>
        <v>79.131746727856878</v>
      </c>
      <c r="AG461" s="3">
        <f>+D.sign_Data[[#This Row],[VALOR NETO ($COP)]]+D.sign_Data[[#This Row],[NEGOCIACIÓN ($COP)]]+D.sign_Data[[#This Row],[ICA ($COP)]]+D.sign_Data[[#This Row],[4 * 1000 ($COP)]]</f>
        <v>8071.4381662414016</v>
      </c>
    </row>
    <row r="462" spans="1:33" ht="60" hidden="1" customHeight="1" x14ac:dyDescent="0.25">
      <c r="A462" s="14"/>
      <c r="B462" s="87" t="s">
        <v>418</v>
      </c>
      <c r="C462" s="182" t="s">
        <v>790</v>
      </c>
      <c r="D462" s="189" t="str">
        <f>VLOOKUP(D.sign_Data[[#This Row],[CÓDIGO]],Descripciones[[CÓDIGO]:[NOMBRE DE SERVICIO]],3,FALSE)</f>
        <v>D1. Parcelaciones y Condominios</v>
      </c>
      <c r="E462" s="87" t="s">
        <v>497</v>
      </c>
      <c r="F462" s="88" t="s">
        <v>791</v>
      </c>
      <c r="G462" s="88" t="s">
        <v>792</v>
      </c>
      <c r="H462" s="87" t="s">
        <v>500</v>
      </c>
      <c r="I462" s="89">
        <v>1</v>
      </c>
      <c r="J462" s="88" t="s">
        <v>800</v>
      </c>
      <c r="K462" s="102"/>
      <c r="L462" s="88" t="s">
        <v>777</v>
      </c>
      <c r="M462" s="89" t="s">
        <v>381</v>
      </c>
      <c r="N462" s="90">
        <v>0.5</v>
      </c>
      <c r="O462" s="27">
        <f>IFERROR(+VLOOKUP(M462,D.sign_Lista_Data[[RESPONSABLE]:[SOFTWARE 
VALOR HORA]],3,FALSE),"0")</f>
        <v>20263.424518743668</v>
      </c>
      <c r="P462" s="3">
        <f t="shared" si="14"/>
        <v>10131.712259371834</v>
      </c>
      <c r="Q462" s="11">
        <f>IFERROR(+VLOOKUP(M462,D.sign_Lista_Data[[RESPONSABLE]:[SOFTWARE 
VALOR HORA]],5,FALSE)*D.sign_Data[[#This Row],[TIEMPO (HORAS)]],0)</f>
        <v>2110.7733873691318</v>
      </c>
      <c r="R462" s="42">
        <f>IFERROR(+VLOOKUP(M462,D.sign_Lista_Data[[RESPONSABLE]:[SOFTWARE 
VALOR HORA]],8,FALSE)*D.sign_Data[[#This Row],[TIEMPO (HORAS)]],0)</f>
        <v>1705.4274435719917</v>
      </c>
      <c r="S462" s="99">
        <v>0</v>
      </c>
      <c r="T462" s="99">
        <v>0</v>
      </c>
      <c r="U462" s="3">
        <f t="shared" si="15"/>
        <v>13947.913090312959</v>
      </c>
      <c r="V462" s="100">
        <f>D.sign_Data[[#This Row],[TIEMPO (HORAS)]]*Gastos_Operativos[[#Totals],[GASTOS HORA]]</f>
        <v>13894.738536155201</v>
      </c>
      <c r="W462" s="3">
        <f>+D.sign_Data[[#This Row],[COSTO 
DIRECTO ($COP)]]+D.sign_Data[[#This Row],[PRORRATEO GASTOS ($COP)]]</f>
        <v>27842.65162646816</v>
      </c>
      <c r="X462" s="101">
        <v>0.1</v>
      </c>
      <c r="Y462" s="15">
        <f>+D.sign_Data[[#This Row],[COSTOS OPERACIONALES ($COP)]]*D.sign_Data[[#This Row],[DESFASE (%)]]</f>
        <v>2784.265162646816</v>
      </c>
      <c r="Z462" s="101">
        <v>0.2</v>
      </c>
      <c r="AA462" s="15">
        <f>+((D.sign_Data[[#This Row],[COSTOS OPERACIONALES ($COP)]]/(100%-D.sign_Data[[#This Row],[UTILIDAD (%)]])))-D.sign_Data[[#This Row],[COSTOS OPERACIONALES ($COP)]]</f>
        <v>6960.662906617039</v>
      </c>
      <c r="AB462" s="3">
        <f>+D.sign_Data[[#This Row],[COSTOS OPERACIONALES ($COP)]]+D.sign_Data[[#This Row],[DESFASE ($COP)]]+D.sign_Data[[#This Row],[UTILIDAD ($COP)]]</f>
        <v>37587.579695732013</v>
      </c>
      <c r="AC462" s="101">
        <v>0.05</v>
      </c>
      <c r="AD462" s="15">
        <f>+D.sign_Data[[#This Row],[VALOR NETO ($COP)]]/(100%-D.sign_Data[[#This Row],[MARGEN DE NEGOCIACIÓN (%)]])-D.sign_Data[[#This Row],[VALOR NETO ($COP)]]</f>
        <v>1978.2936681964202</v>
      </c>
      <c r="AE462" s="15">
        <f>+(D.sign_Data[[#This Row],[VALOR NETO ($COP)]]+D.sign_Data[[#This Row],[NEGOCIACIÓN ($COP)]])*1%</f>
        <v>395.65873363928432</v>
      </c>
      <c r="AF462" s="15">
        <f>+(D.sign_Data[[#This Row],[VALOR NETO ($COP)]]+D.sign_Data[[#This Row],[NEGOCIACIÓN ($COP)]])*1%</f>
        <v>395.65873363928432</v>
      </c>
      <c r="AG462" s="3">
        <f>+D.sign_Data[[#This Row],[VALOR NETO ($COP)]]+D.sign_Data[[#This Row],[NEGOCIACIÓN ($COP)]]+D.sign_Data[[#This Row],[ICA ($COP)]]+D.sign_Data[[#This Row],[4 * 1000 ($COP)]]</f>
        <v>40357.190831207001</v>
      </c>
    </row>
    <row r="463" spans="1:33" ht="60" hidden="1" customHeight="1" x14ac:dyDescent="0.25">
      <c r="A463" s="14"/>
      <c r="B463" s="87" t="s">
        <v>418</v>
      </c>
      <c r="C463" s="182" t="s">
        <v>790</v>
      </c>
      <c r="D463" s="189" t="str">
        <f>VLOOKUP(D.sign_Data[[#This Row],[CÓDIGO]],Descripciones[[CÓDIGO]:[NOMBRE DE SERVICIO]],3,FALSE)</f>
        <v>D1. Parcelaciones y Condominios</v>
      </c>
      <c r="E463" s="87" t="s">
        <v>497</v>
      </c>
      <c r="F463" s="88" t="s">
        <v>791</v>
      </c>
      <c r="G463" s="88" t="s">
        <v>792</v>
      </c>
      <c r="H463" s="87" t="s">
        <v>500</v>
      </c>
      <c r="I463" s="89">
        <v>1</v>
      </c>
      <c r="J463" s="88" t="s">
        <v>800</v>
      </c>
      <c r="K463" s="102"/>
      <c r="L463" s="88" t="s">
        <v>778</v>
      </c>
      <c r="M463" s="89" t="s">
        <v>381</v>
      </c>
      <c r="N463" s="90">
        <v>0.5</v>
      </c>
      <c r="O463" s="27">
        <f>IFERROR(+VLOOKUP(M463,D.sign_Lista_Data[[RESPONSABLE]:[SOFTWARE 
VALOR HORA]],3,FALSE),"0")</f>
        <v>20263.424518743668</v>
      </c>
      <c r="P463" s="3">
        <f t="shared" si="14"/>
        <v>10131.712259371834</v>
      </c>
      <c r="Q463" s="11">
        <f>IFERROR(+VLOOKUP(M463,D.sign_Lista_Data[[RESPONSABLE]:[SOFTWARE 
VALOR HORA]],5,FALSE)*D.sign_Data[[#This Row],[TIEMPO (HORAS)]],0)</f>
        <v>2110.7733873691318</v>
      </c>
      <c r="R463" s="42">
        <f>IFERROR(+VLOOKUP(M463,D.sign_Lista_Data[[RESPONSABLE]:[SOFTWARE 
VALOR HORA]],8,FALSE)*D.sign_Data[[#This Row],[TIEMPO (HORAS)]],0)</f>
        <v>1705.4274435719917</v>
      </c>
      <c r="S463" s="99">
        <v>0</v>
      </c>
      <c r="T463" s="99">
        <v>0</v>
      </c>
      <c r="U463" s="3">
        <f t="shared" si="15"/>
        <v>13947.913090312959</v>
      </c>
      <c r="V463" s="100">
        <f>D.sign_Data[[#This Row],[TIEMPO (HORAS)]]*Gastos_Operativos[[#Totals],[GASTOS HORA]]</f>
        <v>13894.738536155201</v>
      </c>
      <c r="W463" s="3">
        <f>+D.sign_Data[[#This Row],[COSTO 
DIRECTO ($COP)]]+D.sign_Data[[#This Row],[PRORRATEO GASTOS ($COP)]]</f>
        <v>27842.65162646816</v>
      </c>
      <c r="X463" s="101">
        <v>0.1</v>
      </c>
      <c r="Y463" s="15">
        <f>+D.sign_Data[[#This Row],[COSTOS OPERACIONALES ($COP)]]*D.sign_Data[[#This Row],[DESFASE (%)]]</f>
        <v>2784.265162646816</v>
      </c>
      <c r="Z463" s="101">
        <v>0.2</v>
      </c>
      <c r="AA463" s="15">
        <f>+((D.sign_Data[[#This Row],[COSTOS OPERACIONALES ($COP)]]/(100%-D.sign_Data[[#This Row],[UTILIDAD (%)]])))-D.sign_Data[[#This Row],[COSTOS OPERACIONALES ($COP)]]</f>
        <v>6960.662906617039</v>
      </c>
      <c r="AB463" s="3">
        <f>+D.sign_Data[[#This Row],[COSTOS OPERACIONALES ($COP)]]+D.sign_Data[[#This Row],[DESFASE ($COP)]]+D.sign_Data[[#This Row],[UTILIDAD ($COP)]]</f>
        <v>37587.579695732013</v>
      </c>
      <c r="AC463" s="101">
        <v>0.05</v>
      </c>
      <c r="AD463" s="15">
        <f>+D.sign_Data[[#This Row],[VALOR NETO ($COP)]]/(100%-D.sign_Data[[#This Row],[MARGEN DE NEGOCIACIÓN (%)]])-D.sign_Data[[#This Row],[VALOR NETO ($COP)]]</f>
        <v>1978.2936681964202</v>
      </c>
      <c r="AE463" s="15">
        <f>+(D.sign_Data[[#This Row],[VALOR NETO ($COP)]]+D.sign_Data[[#This Row],[NEGOCIACIÓN ($COP)]])*1%</f>
        <v>395.65873363928432</v>
      </c>
      <c r="AF463" s="15">
        <f>+(D.sign_Data[[#This Row],[VALOR NETO ($COP)]]+D.sign_Data[[#This Row],[NEGOCIACIÓN ($COP)]])*1%</f>
        <v>395.65873363928432</v>
      </c>
      <c r="AG463" s="3">
        <f>+D.sign_Data[[#This Row],[VALOR NETO ($COP)]]+D.sign_Data[[#This Row],[NEGOCIACIÓN ($COP)]]+D.sign_Data[[#This Row],[ICA ($COP)]]+D.sign_Data[[#This Row],[4 * 1000 ($COP)]]</f>
        <v>40357.190831207001</v>
      </c>
    </row>
    <row r="464" spans="1:33" ht="60" hidden="1" customHeight="1" x14ac:dyDescent="0.25">
      <c r="A464" s="14"/>
      <c r="B464" s="87" t="s">
        <v>418</v>
      </c>
      <c r="C464" s="182" t="s">
        <v>790</v>
      </c>
      <c r="D464" s="189" t="str">
        <f>VLOOKUP(D.sign_Data[[#This Row],[CÓDIGO]],Descripciones[[CÓDIGO]:[NOMBRE DE SERVICIO]],3,FALSE)</f>
        <v>D1. Parcelaciones y Condominios</v>
      </c>
      <c r="E464" s="87" t="s">
        <v>497</v>
      </c>
      <c r="F464" s="88" t="s">
        <v>791</v>
      </c>
      <c r="G464" s="88" t="s">
        <v>792</v>
      </c>
      <c r="H464" s="87" t="s">
        <v>500</v>
      </c>
      <c r="I464" s="89">
        <v>1</v>
      </c>
      <c r="J464" s="88" t="s">
        <v>800</v>
      </c>
      <c r="K464" s="102"/>
      <c r="L464" s="88" t="s">
        <v>779</v>
      </c>
      <c r="M464" s="89" t="s">
        <v>381</v>
      </c>
      <c r="N464" s="90">
        <v>1</v>
      </c>
      <c r="O464" s="27">
        <f>IFERROR(+VLOOKUP(M464,D.sign_Lista_Data[[RESPONSABLE]:[SOFTWARE 
VALOR HORA]],3,FALSE),"0")</f>
        <v>20263.424518743668</v>
      </c>
      <c r="P464" s="3">
        <f t="shared" si="14"/>
        <v>20263.424518743668</v>
      </c>
      <c r="Q464" s="11">
        <f>IFERROR(+VLOOKUP(M464,D.sign_Lista_Data[[RESPONSABLE]:[SOFTWARE 
VALOR HORA]],5,FALSE)*D.sign_Data[[#This Row],[TIEMPO (HORAS)]],0)</f>
        <v>4221.5467747382636</v>
      </c>
      <c r="R464" s="42">
        <f>IFERROR(+VLOOKUP(M464,D.sign_Lista_Data[[RESPONSABLE]:[SOFTWARE 
VALOR HORA]],8,FALSE)*D.sign_Data[[#This Row],[TIEMPO (HORAS)]],0)</f>
        <v>3410.8548871439834</v>
      </c>
      <c r="S464" s="99">
        <v>0</v>
      </c>
      <c r="T464" s="99">
        <v>0</v>
      </c>
      <c r="U464" s="3">
        <f t="shared" si="15"/>
        <v>27895.826180625918</v>
      </c>
      <c r="V464" s="100">
        <f>D.sign_Data[[#This Row],[TIEMPO (HORAS)]]*Gastos_Operativos[[#Totals],[GASTOS HORA]]</f>
        <v>27789.477072310401</v>
      </c>
      <c r="W464" s="3">
        <f>+D.sign_Data[[#This Row],[COSTO 
DIRECTO ($COP)]]+D.sign_Data[[#This Row],[PRORRATEO GASTOS ($COP)]]</f>
        <v>55685.303252936319</v>
      </c>
      <c r="X464" s="101">
        <v>0.1</v>
      </c>
      <c r="Y464" s="15">
        <f>+D.sign_Data[[#This Row],[COSTOS OPERACIONALES ($COP)]]*D.sign_Data[[#This Row],[DESFASE (%)]]</f>
        <v>5568.5303252936319</v>
      </c>
      <c r="Z464" s="101">
        <v>0.2</v>
      </c>
      <c r="AA464" s="15">
        <f>+((D.sign_Data[[#This Row],[COSTOS OPERACIONALES ($COP)]]/(100%-D.sign_Data[[#This Row],[UTILIDAD (%)]])))-D.sign_Data[[#This Row],[COSTOS OPERACIONALES ($COP)]]</f>
        <v>13921.325813234078</v>
      </c>
      <c r="AB464" s="3">
        <f>+D.sign_Data[[#This Row],[COSTOS OPERACIONALES ($COP)]]+D.sign_Data[[#This Row],[DESFASE ($COP)]]+D.sign_Data[[#This Row],[UTILIDAD ($COP)]]</f>
        <v>75175.159391464025</v>
      </c>
      <c r="AC464" s="101">
        <v>0.05</v>
      </c>
      <c r="AD464" s="15">
        <f>+D.sign_Data[[#This Row],[VALOR NETO ($COP)]]/(100%-D.sign_Data[[#This Row],[MARGEN DE NEGOCIACIÓN (%)]])-D.sign_Data[[#This Row],[VALOR NETO ($COP)]]</f>
        <v>3956.5873363928404</v>
      </c>
      <c r="AE464" s="15">
        <f>+(D.sign_Data[[#This Row],[VALOR NETO ($COP)]]+D.sign_Data[[#This Row],[NEGOCIACIÓN ($COP)]])*1%</f>
        <v>791.31746727856864</v>
      </c>
      <c r="AF464" s="15">
        <f>+(D.sign_Data[[#This Row],[VALOR NETO ($COP)]]+D.sign_Data[[#This Row],[NEGOCIACIÓN ($COP)]])*1%</f>
        <v>791.31746727856864</v>
      </c>
      <c r="AG464" s="3">
        <f>+D.sign_Data[[#This Row],[VALOR NETO ($COP)]]+D.sign_Data[[#This Row],[NEGOCIACIÓN ($COP)]]+D.sign_Data[[#This Row],[ICA ($COP)]]+D.sign_Data[[#This Row],[4 * 1000 ($COP)]]</f>
        <v>80714.381662414002</v>
      </c>
    </row>
    <row r="465" spans="1:33" ht="60" hidden="1" customHeight="1" x14ac:dyDescent="0.25">
      <c r="A465" s="14"/>
      <c r="B465" s="87" t="s">
        <v>418</v>
      </c>
      <c r="C465" s="182" t="s">
        <v>790</v>
      </c>
      <c r="D465" s="189" t="str">
        <f>VLOOKUP(D.sign_Data[[#This Row],[CÓDIGO]],Descripciones[[CÓDIGO]:[NOMBRE DE SERVICIO]],3,FALSE)</f>
        <v>D1. Parcelaciones y Condominios</v>
      </c>
      <c r="E465" s="87" t="s">
        <v>497</v>
      </c>
      <c r="F465" s="88" t="s">
        <v>791</v>
      </c>
      <c r="G465" s="88" t="s">
        <v>792</v>
      </c>
      <c r="H465" s="87" t="s">
        <v>500</v>
      </c>
      <c r="I465" s="89">
        <v>1</v>
      </c>
      <c r="J465" s="88" t="s">
        <v>800</v>
      </c>
      <c r="K465" s="102"/>
      <c r="L465" s="88" t="s">
        <v>624</v>
      </c>
      <c r="M465" s="89" t="s">
        <v>381</v>
      </c>
      <c r="N465" s="90">
        <v>1</v>
      </c>
      <c r="O465" s="27">
        <f>IFERROR(+VLOOKUP(M465,D.sign_Lista_Data[[RESPONSABLE]:[SOFTWARE 
VALOR HORA]],3,FALSE),"0")</f>
        <v>20263.424518743668</v>
      </c>
      <c r="P465" s="3">
        <f t="shared" si="14"/>
        <v>20263.424518743668</v>
      </c>
      <c r="Q465" s="11">
        <f>IFERROR(+VLOOKUP(M465,D.sign_Lista_Data[[RESPONSABLE]:[SOFTWARE 
VALOR HORA]],5,FALSE)*D.sign_Data[[#This Row],[TIEMPO (HORAS)]],0)</f>
        <v>4221.5467747382636</v>
      </c>
      <c r="R465" s="42">
        <f>IFERROR(+VLOOKUP(M465,D.sign_Lista_Data[[RESPONSABLE]:[SOFTWARE 
VALOR HORA]],8,FALSE)*D.sign_Data[[#This Row],[TIEMPO (HORAS)]],0)</f>
        <v>3410.8548871439834</v>
      </c>
      <c r="S465" s="99">
        <v>0</v>
      </c>
      <c r="T465" s="99">
        <v>0</v>
      </c>
      <c r="U465" s="3">
        <f t="shared" si="15"/>
        <v>27895.826180625918</v>
      </c>
      <c r="V465" s="100">
        <f>D.sign_Data[[#This Row],[TIEMPO (HORAS)]]*Gastos_Operativos[[#Totals],[GASTOS HORA]]</f>
        <v>27789.477072310401</v>
      </c>
      <c r="W465" s="3">
        <f>+D.sign_Data[[#This Row],[COSTO 
DIRECTO ($COP)]]+D.sign_Data[[#This Row],[PRORRATEO GASTOS ($COP)]]</f>
        <v>55685.303252936319</v>
      </c>
      <c r="X465" s="101">
        <v>0.1</v>
      </c>
      <c r="Y465" s="15">
        <f>+D.sign_Data[[#This Row],[COSTOS OPERACIONALES ($COP)]]*D.sign_Data[[#This Row],[DESFASE (%)]]</f>
        <v>5568.5303252936319</v>
      </c>
      <c r="Z465" s="101">
        <v>0.2</v>
      </c>
      <c r="AA465" s="15">
        <f>+((D.sign_Data[[#This Row],[COSTOS OPERACIONALES ($COP)]]/(100%-D.sign_Data[[#This Row],[UTILIDAD (%)]])))-D.sign_Data[[#This Row],[COSTOS OPERACIONALES ($COP)]]</f>
        <v>13921.325813234078</v>
      </c>
      <c r="AB465" s="3">
        <f>+D.sign_Data[[#This Row],[COSTOS OPERACIONALES ($COP)]]+D.sign_Data[[#This Row],[DESFASE ($COP)]]+D.sign_Data[[#This Row],[UTILIDAD ($COP)]]</f>
        <v>75175.159391464025</v>
      </c>
      <c r="AC465" s="101">
        <v>0.05</v>
      </c>
      <c r="AD465" s="15">
        <f>+D.sign_Data[[#This Row],[VALOR NETO ($COP)]]/(100%-D.sign_Data[[#This Row],[MARGEN DE NEGOCIACIÓN (%)]])-D.sign_Data[[#This Row],[VALOR NETO ($COP)]]</f>
        <v>3956.5873363928404</v>
      </c>
      <c r="AE465" s="15">
        <f>+(D.sign_Data[[#This Row],[VALOR NETO ($COP)]]+D.sign_Data[[#This Row],[NEGOCIACIÓN ($COP)]])*1%</f>
        <v>791.31746727856864</v>
      </c>
      <c r="AF465" s="15">
        <f>+(D.sign_Data[[#This Row],[VALOR NETO ($COP)]]+D.sign_Data[[#This Row],[NEGOCIACIÓN ($COP)]])*1%</f>
        <v>791.31746727856864</v>
      </c>
      <c r="AG465" s="3">
        <f>+D.sign_Data[[#This Row],[VALOR NETO ($COP)]]+D.sign_Data[[#This Row],[NEGOCIACIÓN ($COP)]]+D.sign_Data[[#This Row],[ICA ($COP)]]+D.sign_Data[[#This Row],[4 * 1000 ($COP)]]</f>
        <v>80714.381662414002</v>
      </c>
    </row>
    <row r="466" spans="1:33" ht="60" hidden="1" customHeight="1" x14ac:dyDescent="0.25">
      <c r="A466" s="14"/>
      <c r="B466" s="87" t="s">
        <v>418</v>
      </c>
      <c r="C466" s="182" t="s">
        <v>790</v>
      </c>
      <c r="D466" s="189" t="str">
        <f>VLOOKUP(D.sign_Data[[#This Row],[CÓDIGO]],Descripciones[[CÓDIGO]:[NOMBRE DE SERVICIO]],3,FALSE)</f>
        <v>D1. Parcelaciones y Condominios</v>
      </c>
      <c r="E466" s="87" t="s">
        <v>497</v>
      </c>
      <c r="F466" s="88" t="s">
        <v>791</v>
      </c>
      <c r="G466" s="88" t="s">
        <v>792</v>
      </c>
      <c r="H466" s="87" t="s">
        <v>500</v>
      </c>
      <c r="I466" s="89">
        <v>1</v>
      </c>
      <c r="J466" s="88" t="s">
        <v>800</v>
      </c>
      <c r="K466" s="102"/>
      <c r="L466" s="88" t="s">
        <v>771</v>
      </c>
      <c r="M466" s="89" t="s">
        <v>381</v>
      </c>
      <c r="N466" s="90">
        <v>1</v>
      </c>
      <c r="O466" s="27">
        <f>IFERROR(+VLOOKUP(M466,D.sign_Lista_Data[[RESPONSABLE]:[SOFTWARE 
VALOR HORA]],3,FALSE),"0")</f>
        <v>20263.424518743668</v>
      </c>
      <c r="P466" s="3">
        <f t="shared" si="14"/>
        <v>20263.424518743668</v>
      </c>
      <c r="Q466" s="11">
        <f>IFERROR(+VLOOKUP(M466,D.sign_Lista_Data[[RESPONSABLE]:[SOFTWARE 
VALOR HORA]],5,FALSE)*D.sign_Data[[#This Row],[TIEMPO (HORAS)]],0)</f>
        <v>4221.5467747382636</v>
      </c>
      <c r="R466" s="42">
        <f>IFERROR(+VLOOKUP(M466,D.sign_Lista_Data[[RESPONSABLE]:[SOFTWARE 
VALOR HORA]],8,FALSE)*D.sign_Data[[#This Row],[TIEMPO (HORAS)]],0)</f>
        <v>3410.8548871439834</v>
      </c>
      <c r="S466" s="99">
        <v>0</v>
      </c>
      <c r="T466" s="99">
        <v>0</v>
      </c>
      <c r="U466" s="3">
        <f t="shared" si="15"/>
        <v>27895.826180625918</v>
      </c>
      <c r="V466" s="100">
        <f>D.sign_Data[[#This Row],[TIEMPO (HORAS)]]*Gastos_Operativos[[#Totals],[GASTOS HORA]]</f>
        <v>27789.477072310401</v>
      </c>
      <c r="W466" s="3">
        <f>+D.sign_Data[[#This Row],[COSTO 
DIRECTO ($COP)]]+D.sign_Data[[#This Row],[PRORRATEO GASTOS ($COP)]]</f>
        <v>55685.303252936319</v>
      </c>
      <c r="X466" s="101">
        <v>0.1</v>
      </c>
      <c r="Y466" s="15">
        <f>+D.sign_Data[[#This Row],[COSTOS OPERACIONALES ($COP)]]*D.sign_Data[[#This Row],[DESFASE (%)]]</f>
        <v>5568.5303252936319</v>
      </c>
      <c r="Z466" s="101">
        <v>0.2</v>
      </c>
      <c r="AA466" s="15">
        <f>+((D.sign_Data[[#This Row],[COSTOS OPERACIONALES ($COP)]]/(100%-D.sign_Data[[#This Row],[UTILIDAD (%)]])))-D.sign_Data[[#This Row],[COSTOS OPERACIONALES ($COP)]]</f>
        <v>13921.325813234078</v>
      </c>
      <c r="AB466" s="3">
        <f>+D.sign_Data[[#This Row],[COSTOS OPERACIONALES ($COP)]]+D.sign_Data[[#This Row],[DESFASE ($COP)]]+D.sign_Data[[#This Row],[UTILIDAD ($COP)]]</f>
        <v>75175.159391464025</v>
      </c>
      <c r="AC466" s="101">
        <v>0.05</v>
      </c>
      <c r="AD466" s="15">
        <f>+D.sign_Data[[#This Row],[VALOR NETO ($COP)]]/(100%-D.sign_Data[[#This Row],[MARGEN DE NEGOCIACIÓN (%)]])-D.sign_Data[[#This Row],[VALOR NETO ($COP)]]</f>
        <v>3956.5873363928404</v>
      </c>
      <c r="AE466" s="15">
        <f>+(D.sign_Data[[#This Row],[VALOR NETO ($COP)]]+D.sign_Data[[#This Row],[NEGOCIACIÓN ($COP)]])*1%</f>
        <v>791.31746727856864</v>
      </c>
      <c r="AF466" s="15">
        <f>+(D.sign_Data[[#This Row],[VALOR NETO ($COP)]]+D.sign_Data[[#This Row],[NEGOCIACIÓN ($COP)]])*1%</f>
        <v>791.31746727856864</v>
      </c>
      <c r="AG466" s="3">
        <f>+D.sign_Data[[#This Row],[VALOR NETO ($COP)]]+D.sign_Data[[#This Row],[NEGOCIACIÓN ($COP)]]+D.sign_Data[[#This Row],[ICA ($COP)]]+D.sign_Data[[#This Row],[4 * 1000 ($COP)]]</f>
        <v>80714.381662414002</v>
      </c>
    </row>
    <row r="467" spans="1:33" ht="60" hidden="1" customHeight="1" x14ac:dyDescent="0.25">
      <c r="A467" s="14"/>
      <c r="B467" s="87" t="s">
        <v>418</v>
      </c>
      <c r="C467" s="182" t="s">
        <v>790</v>
      </c>
      <c r="D467" s="189" t="str">
        <f>VLOOKUP(D.sign_Data[[#This Row],[CÓDIGO]],Descripciones[[CÓDIGO]:[NOMBRE DE SERVICIO]],3,FALSE)</f>
        <v>D1. Parcelaciones y Condominios</v>
      </c>
      <c r="E467" s="87" t="s">
        <v>497</v>
      </c>
      <c r="F467" s="88" t="s">
        <v>791</v>
      </c>
      <c r="G467" s="88" t="s">
        <v>792</v>
      </c>
      <c r="H467" s="87" t="s">
        <v>500</v>
      </c>
      <c r="I467" s="89">
        <v>1</v>
      </c>
      <c r="J467" s="88" t="s">
        <v>800</v>
      </c>
      <c r="K467" s="102"/>
      <c r="L467" s="88" t="s">
        <v>483</v>
      </c>
      <c r="M467" s="89" t="s">
        <v>381</v>
      </c>
      <c r="N467" s="90">
        <v>0.5</v>
      </c>
      <c r="O467" s="27">
        <f>IFERROR(+VLOOKUP(M467,D.sign_Lista_Data[[RESPONSABLE]:[SOFTWARE 
VALOR HORA]],3,FALSE),"0")</f>
        <v>20263.424518743668</v>
      </c>
      <c r="P467" s="3">
        <f t="shared" si="14"/>
        <v>10131.712259371834</v>
      </c>
      <c r="Q467" s="11">
        <f>IFERROR(+VLOOKUP(M467,D.sign_Lista_Data[[RESPONSABLE]:[SOFTWARE 
VALOR HORA]],5,FALSE)*D.sign_Data[[#This Row],[TIEMPO (HORAS)]],0)</f>
        <v>2110.7733873691318</v>
      </c>
      <c r="R467" s="42">
        <f>IFERROR(+VLOOKUP(M467,D.sign_Lista_Data[[RESPONSABLE]:[SOFTWARE 
VALOR HORA]],8,FALSE)*D.sign_Data[[#This Row],[TIEMPO (HORAS)]],0)</f>
        <v>1705.4274435719917</v>
      </c>
      <c r="S467" s="99">
        <v>0</v>
      </c>
      <c r="T467" s="99">
        <v>0</v>
      </c>
      <c r="U467" s="3">
        <f t="shared" si="15"/>
        <v>13947.913090312959</v>
      </c>
      <c r="V467" s="100">
        <f>D.sign_Data[[#This Row],[TIEMPO (HORAS)]]*Gastos_Operativos[[#Totals],[GASTOS HORA]]</f>
        <v>13894.738536155201</v>
      </c>
      <c r="W467" s="3">
        <f>+D.sign_Data[[#This Row],[COSTO 
DIRECTO ($COP)]]+D.sign_Data[[#This Row],[PRORRATEO GASTOS ($COP)]]</f>
        <v>27842.65162646816</v>
      </c>
      <c r="X467" s="101">
        <v>0.1</v>
      </c>
      <c r="Y467" s="15">
        <f>+D.sign_Data[[#This Row],[COSTOS OPERACIONALES ($COP)]]*D.sign_Data[[#This Row],[DESFASE (%)]]</f>
        <v>2784.265162646816</v>
      </c>
      <c r="Z467" s="101">
        <v>0.2</v>
      </c>
      <c r="AA467" s="15">
        <f>+((D.sign_Data[[#This Row],[COSTOS OPERACIONALES ($COP)]]/(100%-D.sign_Data[[#This Row],[UTILIDAD (%)]])))-D.sign_Data[[#This Row],[COSTOS OPERACIONALES ($COP)]]</f>
        <v>6960.662906617039</v>
      </c>
      <c r="AB467" s="3">
        <f>+D.sign_Data[[#This Row],[COSTOS OPERACIONALES ($COP)]]+D.sign_Data[[#This Row],[DESFASE ($COP)]]+D.sign_Data[[#This Row],[UTILIDAD ($COP)]]</f>
        <v>37587.579695732013</v>
      </c>
      <c r="AC467" s="101">
        <v>0.05</v>
      </c>
      <c r="AD467" s="15">
        <f>+D.sign_Data[[#This Row],[VALOR NETO ($COP)]]/(100%-D.sign_Data[[#This Row],[MARGEN DE NEGOCIACIÓN (%)]])-D.sign_Data[[#This Row],[VALOR NETO ($COP)]]</f>
        <v>1978.2936681964202</v>
      </c>
      <c r="AE467" s="15">
        <f>+(D.sign_Data[[#This Row],[VALOR NETO ($COP)]]+D.sign_Data[[#This Row],[NEGOCIACIÓN ($COP)]])*1%</f>
        <v>395.65873363928432</v>
      </c>
      <c r="AF467" s="15">
        <f>+(D.sign_Data[[#This Row],[VALOR NETO ($COP)]]+D.sign_Data[[#This Row],[NEGOCIACIÓN ($COP)]])*1%</f>
        <v>395.65873363928432</v>
      </c>
      <c r="AG467" s="3">
        <f>+D.sign_Data[[#This Row],[VALOR NETO ($COP)]]+D.sign_Data[[#This Row],[NEGOCIACIÓN ($COP)]]+D.sign_Data[[#This Row],[ICA ($COP)]]+D.sign_Data[[#This Row],[4 * 1000 ($COP)]]</f>
        <v>40357.190831207001</v>
      </c>
    </row>
    <row r="468" spans="1:33" ht="60" hidden="1" customHeight="1" x14ac:dyDescent="0.25">
      <c r="A468" s="14"/>
      <c r="B468" s="87" t="s">
        <v>418</v>
      </c>
      <c r="C468" s="182" t="s">
        <v>790</v>
      </c>
      <c r="D468" s="189" t="str">
        <f>VLOOKUP(D.sign_Data[[#This Row],[CÓDIGO]],Descripciones[[CÓDIGO]:[NOMBRE DE SERVICIO]],3,FALSE)</f>
        <v>D1. Parcelaciones y Condominios</v>
      </c>
      <c r="E468" s="87" t="s">
        <v>497</v>
      </c>
      <c r="F468" s="88" t="s">
        <v>791</v>
      </c>
      <c r="G468" s="88" t="s">
        <v>792</v>
      </c>
      <c r="H468" s="87" t="s">
        <v>500</v>
      </c>
      <c r="I468" s="89">
        <v>1</v>
      </c>
      <c r="J468" s="88" t="s">
        <v>800</v>
      </c>
      <c r="K468" s="102"/>
      <c r="L468" s="88" t="s">
        <v>474</v>
      </c>
      <c r="M468" s="89" t="s">
        <v>381</v>
      </c>
      <c r="N468" s="90">
        <v>0.1</v>
      </c>
      <c r="O468" s="27">
        <f>IFERROR(+VLOOKUP(M468,D.sign_Lista_Data[[RESPONSABLE]:[SOFTWARE 
VALOR HORA]],3,FALSE),"0")</f>
        <v>20263.424518743668</v>
      </c>
      <c r="P468" s="3">
        <f t="shared" si="14"/>
        <v>2026.3424518743668</v>
      </c>
      <c r="Q468" s="11">
        <f>IFERROR(+VLOOKUP(M468,D.sign_Lista_Data[[RESPONSABLE]:[SOFTWARE 
VALOR HORA]],5,FALSE)*D.sign_Data[[#This Row],[TIEMPO (HORAS)]],0)</f>
        <v>422.15467747382638</v>
      </c>
      <c r="R468" s="42">
        <f>IFERROR(+VLOOKUP(M468,D.sign_Lista_Data[[RESPONSABLE]:[SOFTWARE 
VALOR HORA]],8,FALSE)*D.sign_Data[[#This Row],[TIEMPO (HORAS)]],0)</f>
        <v>341.08548871439837</v>
      </c>
      <c r="S468" s="99">
        <v>0</v>
      </c>
      <c r="T468" s="99">
        <v>0</v>
      </c>
      <c r="U468" s="3">
        <f t="shared" si="15"/>
        <v>2789.5826180625913</v>
      </c>
      <c r="V468" s="100">
        <f>D.sign_Data[[#This Row],[TIEMPO (HORAS)]]*Gastos_Operativos[[#Totals],[GASTOS HORA]]</f>
        <v>2778.9477072310401</v>
      </c>
      <c r="W468" s="3">
        <f>+D.sign_Data[[#This Row],[COSTO 
DIRECTO ($COP)]]+D.sign_Data[[#This Row],[PRORRATEO GASTOS ($COP)]]</f>
        <v>5568.5303252936319</v>
      </c>
      <c r="X468" s="101">
        <v>0.1</v>
      </c>
      <c r="Y468" s="15">
        <f>+D.sign_Data[[#This Row],[COSTOS OPERACIONALES ($COP)]]*D.sign_Data[[#This Row],[DESFASE (%)]]</f>
        <v>556.85303252936319</v>
      </c>
      <c r="Z468" s="101">
        <v>0.2</v>
      </c>
      <c r="AA468" s="15">
        <f>+((D.sign_Data[[#This Row],[COSTOS OPERACIONALES ($COP)]]/(100%-D.sign_Data[[#This Row],[UTILIDAD (%)]])))-D.sign_Data[[#This Row],[COSTOS OPERACIONALES ($COP)]]</f>
        <v>1392.132581323408</v>
      </c>
      <c r="AB468" s="3">
        <f>+D.sign_Data[[#This Row],[COSTOS OPERACIONALES ($COP)]]+D.sign_Data[[#This Row],[DESFASE ($COP)]]+D.sign_Data[[#This Row],[UTILIDAD ($COP)]]</f>
        <v>7517.5159391464031</v>
      </c>
      <c r="AC468" s="101">
        <v>0.05</v>
      </c>
      <c r="AD468" s="15">
        <f>+D.sign_Data[[#This Row],[VALOR NETO ($COP)]]/(100%-D.sign_Data[[#This Row],[MARGEN DE NEGOCIACIÓN (%)]])-D.sign_Data[[#This Row],[VALOR NETO ($COP)]]</f>
        <v>395.65873363928495</v>
      </c>
      <c r="AE468" s="15">
        <f>+(D.sign_Data[[#This Row],[VALOR NETO ($COP)]]+D.sign_Data[[#This Row],[NEGOCIACIÓN ($COP)]])*1%</f>
        <v>79.131746727856878</v>
      </c>
      <c r="AF468" s="15">
        <f>+(D.sign_Data[[#This Row],[VALOR NETO ($COP)]]+D.sign_Data[[#This Row],[NEGOCIACIÓN ($COP)]])*1%</f>
        <v>79.131746727856878</v>
      </c>
      <c r="AG468" s="3">
        <f>+D.sign_Data[[#This Row],[VALOR NETO ($COP)]]+D.sign_Data[[#This Row],[NEGOCIACIÓN ($COP)]]+D.sign_Data[[#This Row],[ICA ($COP)]]+D.sign_Data[[#This Row],[4 * 1000 ($COP)]]</f>
        <v>8071.4381662414016</v>
      </c>
    </row>
    <row r="469" spans="1:33" ht="60" hidden="1" customHeight="1" x14ac:dyDescent="0.25">
      <c r="A469" s="14"/>
      <c r="B469" s="87" t="s">
        <v>418</v>
      </c>
      <c r="C469" s="182" t="s">
        <v>790</v>
      </c>
      <c r="D469" s="189" t="str">
        <f>VLOOKUP(D.sign_Data[[#This Row],[CÓDIGO]],Descripciones[[CÓDIGO]:[NOMBRE DE SERVICIO]],3,FALSE)</f>
        <v>D1. Parcelaciones y Condominios</v>
      </c>
      <c r="E469" s="87" t="s">
        <v>497</v>
      </c>
      <c r="F469" s="88" t="s">
        <v>791</v>
      </c>
      <c r="G469" s="88" t="s">
        <v>792</v>
      </c>
      <c r="H469" s="87" t="s">
        <v>500</v>
      </c>
      <c r="I469" s="89">
        <v>1</v>
      </c>
      <c r="J469" s="88" t="s">
        <v>801</v>
      </c>
      <c r="K469" s="102"/>
      <c r="L469" s="88" t="s">
        <v>781</v>
      </c>
      <c r="M469" s="89" t="s">
        <v>381</v>
      </c>
      <c r="N469" s="90">
        <v>0.1</v>
      </c>
      <c r="O469" s="27">
        <f>IFERROR(+VLOOKUP(M469,D.sign_Lista_Data[[RESPONSABLE]:[SOFTWARE 
VALOR HORA]],3,FALSE),"0")</f>
        <v>20263.424518743668</v>
      </c>
      <c r="P469" s="3">
        <f t="shared" si="14"/>
        <v>2026.3424518743668</v>
      </c>
      <c r="Q469" s="11">
        <f>IFERROR(+VLOOKUP(M469,D.sign_Lista_Data[[RESPONSABLE]:[SOFTWARE 
VALOR HORA]],5,FALSE)*D.sign_Data[[#This Row],[TIEMPO (HORAS)]],0)</f>
        <v>422.15467747382638</v>
      </c>
      <c r="R469" s="42">
        <f>IFERROR(+VLOOKUP(M469,D.sign_Lista_Data[[RESPONSABLE]:[SOFTWARE 
VALOR HORA]],8,FALSE)*D.sign_Data[[#This Row],[TIEMPO (HORAS)]],0)</f>
        <v>341.08548871439837</v>
      </c>
      <c r="S469" s="99">
        <v>0</v>
      </c>
      <c r="T469" s="99">
        <v>0</v>
      </c>
      <c r="U469" s="3">
        <f t="shared" si="15"/>
        <v>2789.5826180625913</v>
      </c>
      <c r="V469" s="100">
        <f>D.sign_Data[[#This Row],[TIEMPO (HORAS)]]*Gastos_Operativos[[#Totals],[GASTOS HORA]]</f>
        <v>2778.9477072310401</v>
      </c>
      <c r="W469" s="3">
        <f>+D.sign_Data[[#This Row],[COSTO 
DIRECTO ($COP)]]+D.sign_Data[[#This Row],[PRORRATEO GASTOS ($COP)]]</f>
        <v>5568.5303252936319</v>
      </c>
      <c r="X469" s="101">
        <v>0.1</v>
      </c>
      <c r="Y469" s="15">
        <f>+D.sign_Data[[#This Row],[COSTOS OPERACIONALES ($COP)]]*D.sign_Data[[#This Row],[DESFASE (%)]]</f>
        <v>556.85303252936319</v>
      </c>
      <c r="Z469" s="101">
        <v>0.2</v>
      </c>
      <c r="AA469" s="15">
        <f>+((D.sign_Data[[#This Row],[COSTOS OPERACIONALES ($COP)]]/(100%-D.sign_Data[[#This Row],[UTILIDAD (%)]])))-D.sign_Data[[#This Row],[COSTOS OPERACIONALES ($COP)]]</f>
        <v>1392.132581323408</v>
      </c>
      <c r="AB469" s="3">
        <f>+D.sign_Data[[#This Row],[COSTOS OPERACIONALES ($COP)]]+D.sign_Data[[#This Row],[DESFASE ($COP)]]+D.sign_Data[[#This Row],[UTILIDAD ($COP)]]</f>
        <v>7517.5159391464031</v>
      </c>
      <c r="AC469" s="101">
        <v>0.05</v>
      </c>
      <c r="AD469" s="15">
        <f>+D.sign_Data[[#This Row],[VALOR NETO ($COP)]]/(100%-D.sign_Data[[#This Row],[MARGEN DE NEGOCIACIÓN (%)]])-D.sign_Data[[#This Row],[VALOR NETO ($COP)]]</f>
        <v>395.65873363928495</v>
      </c>
      <c r="AE469" s="15">
        <f>+(D.sign_Data[[#This Row],[VALOR NETO ($COP)]]+D.sign_Data[[#This Row],[NEGOCIACIÓN ($COP)]])*1%</f>
        <v>79.131746727856878</v>
      </c>
      <c r="AF469" s="15">
        <f>+(D.sign_Data[[#This Row],[VALOR NETO ($COP)]]+D.sign_Data[[#This Row],[NEGOCIACIÓN ($COP)]])*1%</f>
        <v>79.131746727856878</v>
      </c>
      <c r="AG469" s="3">
        <f>+D.sign_Data[[#This Row],[VALOR NETO ($COP)]]+D.sign_Data[[#This Row],[NEGOCIACIÓN ($COP)]]+D.sign_Data[[#This Row],[ICA ($COP)]]+D.sign_Data[[#This Row],[4 * 1000 ($COP)]]</f>
        <v>8071.4381662414016</v>
      </c>
    </row>
    <row r="470" spans="1:33" ht="60" hidden="1" customHeight="1" x14ac:dyDescent="0.25">
      <c r="A470" s="14"/>
      <c r="B470" s="87" t="s">
        <v>418</v>
      </c>
      <c r="C470" s="182" t="s">
        <v>790</v>
      </c>
      <c r="D470" s="189" t="str">
        <f>VLOOKUP(D.sign_Data[[#This Row],[CÓDIGO]],Descripciones[[CÓDIGO]:[NOMBRE DE SERVICIO]],3,FALSE)</f>
        <v>D1. Parcelaciones y Condominios</v>
      </c>
      <c r="E470" s="87" t="s">
        <v>497</v>
      </c>
      <c r="F470" s="88" t="s">
        <v>791</v>
      </c>
      <c r="G470" s="88" t="s">
        <v>792</v>
      </c>
      <c r="H470" s="87" t="s">
        <v>500</v>
      </c>
      <c r="I470" s="89">
        <v>1</v>
      </c>
      <c r="J470" s="88" t="s">
        <v>801</v>
      </c>
      <c r="K470" s="102"/>
      <c r="L470" s="88" t="s">
        <v>782</v>
      </c>
      <c r="M470" s="89" t="s">
        <v>381</v>
      </c>
      <c r="N470" s="90">
        <v>0.1</v>
      </c>
      <c r="O470" s="27">
        <f>IFERROR(+VLOOKUP(M470,D.sign_Lista_Data[[RESPONSABLE]:[SOFTWARE 
VALOR HORA]],3,FALSE),"0")</f>
        <v>20263.424518743668</v>
      </c>
      <c r="P470" s="3">
        <f t="shared" si="14"/>
        <v>2026.3424518743668</v>
      </c>
      <c r="Q470" s="11">
        <f>IFERROR(+VLOOKUP(M470,D.sign_Lista_Data[[RESPONSABLE]:[SOFTWARE 
VALOR HORA]],5,FALSE)*D.sign_Data[[#This Row],[TIEMPO (HORAS)]],0)</f>
        <v>422.15467747382638</v>
      </c>
      <c r="R470" s="42">
        <f>IFERROR(+VLOOKUP(M470,D.sign_Lista_Data[[RESPONSABLE]:[SOFTWARE 
VALOR HORA]],8,FALSE)*D.sign_Data[[#This Row],[TIEMPO (HORAS)]],0)</f>
        <v>341.08548871439837</v>
      </c>
      <c r="S470" s="99">
        <v>0</v>
      </c>
      <c r="T470" s="99">
        <v>0</v>
      </c>
      <c r="U470" s="3">
        <f t="shared" si="15"/>
        <v>2789.5826180625913</v>
      </c>
      <c r="V470" s="100">
        <f>D.sign_Data[[#This Row],[TIEMPO (HORAS)]]*Gastos_Operativos[[#Totals],[GASTOS HORA]]</f>
        <v>2778.9477072310401</v>
      </c>
      <c r="W470" s="3">
        <f>+D.sign_Data[[#This Row],[COSTO 
DIRECTO ($COP)]]+D.sign_Data[[#This Row],[PRORRATEO GASTOS ($COP)]]</f>
        <v>5568.5303252936319</v>
      </c>
      <c r="X470" s="101">
        <v>0.1</v>
      </c>
      <c r="Y470" s="15">
        <f>+D.sign_Data[[#This Row],[COSTOS OPERACIONALES ($COP)]]*D.sign_Data[[#This Row],[DESFASE (%)]]</f>
        <v>556.85303252936319</v>
      </c>
      <c r="Z470" s="101">
        <v>0.2</v>
      </c>
      <c r="AA470" s="15">
        <f>+((D.sign_Data[[#This Row],[COSTOS OPERACIONALES ($COP)]]/(100%-D.sign_Data[[#This Row],[UTILIDAD (%)]])))-D.sign_Data[[#This Row],[COSTOS OPERACIONALES ($COP)]]</f>
        <v>1392.132581323408</v>
      </c>
      <c r="AB470" s="3">
        <f>+D.sign_Data[[#This Row],[COSTOS OPERACIONALES ($COP)]]+D.sign_Data[[#This Row],[DESFASE ($COP)]]+D.sign_Data[[#This Row],[UTILIDAD ($COP)]]</f>
        <v>7517.5159391464031</v>
      </c>
      <c r="AC470" s="101">
        <v>0.05</v>
      </c>
      <c r="AD470" s="15">
        <f>+D.sign_Data[[#This Row],[VALOR NETO ($COP)]]/(100%-D.sign_Data[[#This Row],[MARGEN DE NEGOCIACIÓN (%)]])-D.sign_Data[[#This Row],[VALOR NETO ($COP)]]</f>
        <v>395.65873363928495</v>
      </c>
      <c r="AE470" s="15">
        <f>+(D.sign_Data[[#This Row],[VALOR NETO ($COP)]]+D.sign_Data[[#This Row],[NEGOCIACIÓN ($COP)]])*1%</f>
        <v>79.131746727856878</v>
      </c>
      <c r="AF470" s="15">
        <f>+(D.sign_Data[[#This Row],[VALOR NETO ($COP)]]+D.sign_Data[[#This Row],[NEGOCIACIÓN ($COP)]])*1%</f>
        <v>79.131746727856878</v>
      </c>
      <c r="AG470" s="3">
        <f>+D.sign_Data[[#This Row],[VALOR NETO ($COP)]]+D.sign_Data[[#This Row],[NEGOCIACIÓN ($COP)]]+D.sign_Data[[#This Row],[ICA ($COP)]]+D.sign_Data[[#This Row],[4 * 1000 ($COP)]]</f>
        <v>8071.4381662414016</v>
      </c>
    </row>
    <row r="471" spans="1:33" ht="60" hidden="1" customHeight="1" x14ac:dyDescent="0.25">
      <c r="A471" s="14"/>
      <c r="B471" s="87" t="s">
        <v>418</v>
      </c>
      <c r="C471" s="182" t="s">
        <v>790</v>
      </c>
      <c r="D471" s="189" t="str">
        <f>VLOOKUP(D.sign_Data[[#This Row],[CÓDIGO]],Descripciones[[CÓDIGO]:[NOMBRE DE SERVICIO]],3,FALSE)</f>
        <v>D1. Parcelaciones y Condominios</v>
      </c>
      <c r="E471" s="87" t="s">
        <v>497</v>
      </c>
      <c r="F471" s="88" t="s">
        <v>791</v>
      </c>
      <c r="G471" s="88" t="s">
        <v>792</v>
      </c>
      <c r="H471" s="87" t="s">
        <v>500</v>
      </c>
      <c r="I471" s="89">
        <v>1</v>
      </c>
      <c r="J471" s="88" t="s">
        <v>801</v>
      </c>
      <c r="K471" s="102"/>
      <c r="L471" s="88" t="s">
        <v>777</v>
      </c>
      <c r="M471" s="89" t="s">
        <v>381</v>
      </c>
      <c r="N471" s="90">
        <v>0.1</v>
      </c>
      <c r="O471" s="27">
        <f>IFERROR(+VLOOKUP(M471,D.sign_Lista_Data[[RESPONSABLE]:[SOFTWARE 
VALOR HORA]],3,FALSE),"0")</f>
        <v>20263.424518743668</v>
      </c>
      <c r="P471" s="3">
        <f t="shared" si="14"/>
        <v>2026.3424518743668</v>
      </c>
      <c r="Q471" s="11">
        <f>IFERROR(+VLOOKUP(M471,D.sign_Lista_Data[[RESPONSABLE]:[SOFTWARE 
VALOR HORA]],5,FALSE)*D.sign_Data[[#This Row],[TIEMPO (HORAS)]],0)</f>
        <v>422.15467747382638</v>
      </c>
      <c r="R471" s="42">
        <f>IFERROR(+VLOOKUP(M471,D.sign_Lista_Data[[RESPONSABLE]:[SOFTWARE 
VALOR HORA]],8,FALSE)*D.sign_Data[[#This Row],[TIEMPO (HORAS)]],0)</f>
        <v>341.08548871439837</v>
      </c>
      <c r="S471" s="99">
        <v>0</v>
      </c>
      <c r="T471" s="99">
        <v>0</v>
      </c>
      <c r="U471" s="3">
        <f t="shared" si="15"/>
        <v>2789.5826180625913</v>
      </c>
      <c r="V471" s="100">
        <f>D.sign_Data[[#This Row],[TIEMPO (HORAS)]]*Gastos_Operativos[[#Totals],[GASTOS HORA]]</f>
        <v>2778.9477072310401</v>
      </c>
      <c r="W471" s="3">
        <f>+D.sign_Data[[#This Row],[COSTO 
DIRECTO ($COP)]]+D.sign_Data[[#This Row],[PRORRATEO GASTOS ($COP)]]</f>
        <v>5568.5303252936319</v>
      </c>
      <c r="X471" s="101">
        <v>0.1</v>
      </c>
      <c r="Y471" s="15">
        <f>+D.sign_Data[[#This Row],[COSTOS OPERACIONALES ($COP)]]*D.sign_Data[[#This Row],[DESFASE (%)]]</f>
        <v>556.85303252936319</v>
      </c>
      <c r="Z471" s="101">
        <v>0.2</v>
      </c>
      <c r="AA471" s="15">
        <f>+((D.sign_Data[[#This Row],[COSTOS OPERACIONALES ($COP)]]/(100%-D.sign_Data[[#This Row],[UTILIDAD (%)]])))-D.sign_Data[[#This Row],[COSTOS OPERACIONALES ($COP)]]</f>
        <v>1392.132581323408</v>
      </c>
      <c r="AB471" s="3">
        <f>+D.sign_Data[[#This Row],[COSTOS OPERACIONALES ($COP)]]+D.sign_Data[[#This Row],[DESFASE ($COP)]]+D.sign_Data[[#This Row],[UTILIDAD ($COP)]]</f>
        <v>7517.5159391464031</v>
      </c>
      <c r="AC471" s="101">
        <v>0.05</v>
      </c>
      <c r="AD471" s="15">
        <f>+D.sign_Data[[#This Row],[VALOR NETO ($COP)]]/(100%-D.sign_Data[[#This Row],[MARGEN DE NEGOCIACIÓN (%)]])-D.sign_Data[[#This Row],[VALOR NETO ($COP)]]</f>
        <v>395.65873363928495</v>
      </c>
      <c r="AE471" s="15">
        <f>+(D.sign_Data[[#This Row],[VALOR NETO ($COP)]]+D.sign_Data[[#This Row],[NEGOCIACIÓN ($COP)]])*1%</f>
        <v>79.131746727856878</v>
      </c>
      <c r="AF471" s="15">
        <f>+(D.sign_Data[[#This Row],[VALOR NETO ($COP)]]+D.sign_Data[[#This Row],[NEGOCIACIÓN ($COP)]])*1%</f>
        <v>79.131746727856878</v>
      </c>
      <c r="AG471" s="3">
        <f>+D.sign_Data[[#This Row],[VALOR NETO ($COP)]]+D.sign_Data[[#This Row],[NEGOCIACIÓN ($COP)]]+D.sign_Data[[#This Row],[ICA ($COP)]]+D.sign_Data[[#This Row],[4 * 1000 ($COP)]]</f>
        <v>8071.4381662414016</v>
      </c>
    </row>
    <row r="472" spans="1:33" ht="60" hidden="1" customHeight="1" x14ac:dyDescent="0.25">
      <c r="A472" s="14"/>
      <c r="B472" s="87" t="s">
        <v>418</v>
      </c>
      <c r="C472" s="182" t="s">
        <v>790</v>
      </c>
      <c r="D472" s="189" t="str">
        <f>VLOOKUP(D.sign_Data[[#This Row],[CÓDIGO]],Descripciones[[CÓDIGO]:[NOMBRE DE SERVICIO]],3,FALSE)</f>
        <v>D1. Parcelaciones y Condominios</v>
      </c>
      <c r="E472" s="87" t="s">
        <v>497</v>
      </c>
      <c r="F472" s="88" t="s">
        <v>791</v>
      </c>
      <c r="G472" s="88" t="s">
        <v>792</v>
      </c>
      <c r="H472" s="87" t="s">
        <v>500</v>
      </c>
      <c r="I472" s="89">
        <v>1</v>
      </c>
      <c r="J472" s="88" t="s">
        <v>801</v>
      </c>
      <c r="K472" s="102"/>
      <c r="L472" s="88" t="s">
        <v>483</v>
      </c>
      <c r="M472" s="89" t="s">
        <v>381</v>
      </c>
      <c r="N472" s="90">
        <v>0.1</v>
      </c>
      <c r="O472" s="27">
        <f>IFERROR(+VLOOKUP(M472,D.sign_Lista_Data[[RESPONSABLE]:[SOFTWARE 
VALOR HORA]],3,FALSE),"0")</f>
        <v>20263.424518743668</v>
      </c>
      <c r="P472" s="3">
        <f t="shared" si="14"/>
        <v>2026.3424518743668</v>
      </c>
      <c r="Q472" s="11">
        <f>IFERROR(+VLOOKUP(M472,D.sign_Lista_Data[[RESPONSABLE]:[SOFTWARE 
VALOR HORA]],5,FALSE)*D.sign_Data[[#This Row],[TIEMPO (HORAS)]],0)</f>
        <v>422.15467747382638</v>
      </c>
      <c r="R472" s="42">
        <f>IFERROR(+VLOOKUP(M472,D.sign_Lista_Data[[RESPONSABLE]:[SOFTWARE 
VALOR HORA]],8,FALSE)*D.sign_Data[[#This Row],[TIEMPO (HORAS)]],0)</f>
        <v>341.08548871439837</v>
      </c>
      <c r="S472" s="99">
        <v>0</v>
      </c>
      <c r="T472" s="99">
        <v>0</v>
      </c>
      <c r="U472" s="3">
        <f t="shared" si="15"/>
        <v>2789.5826180625913</v>
      </c>
      <c r="V472" s="100">
        <f>D.sign_Data[[#This Row],[TIEMPO (HORAS)]]*Gastos_Operativos[[#Totals],[GASTOS HORA]]</f>
        <v>2778.9477072310401</v>
      </c>
      <c r="W472" s="3">
        <f>+D.sign_Data[[#This Row],[COSTO 
DIRECTO ($COP)]]+D.sign_Data[[#This Row],[PRORRATEO GASTOS ($COP)]]</f>
        <v>5568.5303252936319</v>
      </c>
      <c r="X472" s="101">
        <v>0.1</v>
      </c>
      <c r="Y472" s="15">
        <f>+D.sign_Data[[#This Row],[COSTOS OPERACIONALES ($COP)]]*D.sign_Data[[#This Row],[DESFASE (%)]]</f>
        <v>556.85303252936319</v>
      </c>
      <c r="Z472" s="101">
        <v>0.2</v>
      </c>
      <c r="AA472" s="15">
        <f>+((D.sign_Data[[#This Row],[COSTOS OPERACIONALES ($COP)]]/(100%-D.sign_Data[[#This Row],[UTILIDAD (%)]])))-D.sign_Data[[#This Row],[COSTOS OPERACIONALES ($COP)]]</f>
        <v>1392.132581323408</v>
      </c>
      <c r="AB472" s="3">
        <f>+D.sign_Data[[#This Row],[COSTOS OPERACIONALES ($COP)]]+D.sign_Data[[#This Row],[DESFASE ($COP)]]+D.sign_Data[[#This Row],[UTILIDAD ($COP)]]</f>
        <v>7517.5159391464031</v>
      </c>
      <c r="AC472" s="101">
        <v>0.05</v>
      </c>
      <c r="AD472" s="15">
        <f>+D.sign_Data[[#This Row],[VALOR NETO ($COP)]]/(100%-D.sign_Data[[#This Row],[MARGEN DE NEGOCIACIÓN (%)]])-D.sign_Data[[#This Row],[VALOR NETO ($COP)]]</f>
        <v>395.65873363928495</v>
      </c>
      <c r="AE472" s="15">
        <f>+(D.sign_Data[[#This Row],[VALOR NETO ($COP)]]+D.sign_Data[[#This Row],[NEGOCIACIÓN ($COP)]])*1%</f>
        <v>79.131746727856878</v>
      </c>
      <c r="AF472" s="15">
        <f>+(D.sign_Data[[#This Row],[VALOR NETO ($COP)]]+D.sign_Data[[#This Row],[NEGOCIACIÓN ($COP)]])*1%</f>
        <v>79.131746727856878</v>
      </c>
      <c r="AG472" s="3">
        <f>+D.sign_Data[[#This Row],[VALOR NETO ($COP)]]+D.sign_Data[[#This Row],[NEGOCIACIÓN ($COP)]]+D.sign_Data[[#This Row],[ICA ($COP)]]+D.sign_Data[[#This Row],[4 * 1000 ($COP)]]</f>
        <v>8071.4381662414016</v>
      </c>
    </row>
    <row r="473" spans="1:33" ht="60" hidden="1" customHeight="1" x14ac:dyDescent="0.25">
      <c r="A473" s="14"/>
      <c r="B473" s="87" t="s">
        <v>418</v>
      </c>
      <c r="C473" s="182" t="s">
        <v>790</v>
      </c>
      <c r="D473" s="189" t="str">
        <f>VLOOKUP(D.sign_Data[[#This Row],[CÓDIGO]],Descripciones[[CÓDIGO]:[NOMBRE DE SERVICIO]],3,FALSE)</f>
        <v>D1. Parcelaciones y Condominios</v>
      </c>
      <c r="E473" s="87" t="s">
        <v>497</v>
      </c>
      <c r="F473" s="88" t="s">
        <v>791</v>
      </c>
      <c r="G473" s="88" t="s">
        <v>792</v>
      </c>
      <c r="H473" s="87" t="s">
        <v>500</v>
      </c>
      <c r="I473" s="89">
        <v>1</v>
      </c>
      <c r="J473" s="88" t="s">
        <v>802</v>
      </c>
      <c r="K473" s="102"/>
      <c r="L473" s="88" t="s">
        <v>784</v>
      </c>
      <c r="M473" s="89" t="s">
        <v>381</v>
      </c>
      <c r="N473" s="90">
        <v>0.5</v>
      </c>
      <c r="O473" s="27">
        <f>IFERROR(+VLOOKUP(M473,D.sign_Lista_Data[[RESPONSABLE]:[SOFTWARE 
VALOR HORA]],3,FALSE),"0")</f>
        <v>20263.424518743668</v>
      </c>
      <c r="P473" s="3">
        <f t="shared" si="14"/>
        <v>10131.712259371834</v>
      </c>
      <c r="Q473" s="11">
        <f>IFERROR(+VLOOKUP(M473,D.sign_Lista_Data[[RESPONSABLE]:[SOFTWARE 
VALOR HORA]],5,FALSE)*D.sign_Data[[#This Row],[TIEMPO (HORAS)]],0)</f>
        <v>2110.7733873691318</v>
      </c>
      <c r="R473" s="42">
        <f>IFERROR(+VLOOKUP(M473,D.sign_Lista_Data[[RESPONSABLE]:[SOFTWARE 
VALOR HORA]],8,FALSE)*D.sign_Data[[#This Row],[TIEMPO (HORAS)]],0)</f>
        <v>1705.4274435719917</v>
      </c>
      <c r="S473" s="99">
        <v>0</v>
      </c>
      <c r="T473" s="99">
        <v>0</v>
      </c>
      <c r="U473" s="3">
        <f t="shared" si="15"/>
        <v>13947.913090312959</v>
      </c>
      <c r="V473" s="100">
        <f>D.sign_Data[[#This Row],[TIEMPO (HORAS)]]*Gastos_Operativos[[#Totals],[GASTOS HORA]]</f>
        <v>13894.738536155201</v>
      </c>
      <c r="W473" s="3">
        <f>+D.sign_Data[[#This Row],[COSTO 
DIRECTO ($COP)]]+D.sign_Data[[#This Row],[PRORRATEO GASTOS ($COP)]]</f>
        <v>27842.65162646816</v>
      </c>
      <c r="X473" s="101">
        <v>0.1</v>
      </c>
      <c r="Y473" s="15">
        <f>+D.sign_Data[[#This Row],[COSTOS OPERACIONALES ($COP)]]*D.sign_Data[[#This Row],[DESFASE (%)]]</f>
        <v>2784.265162646816</v>
      </c>
      <c r="Z473" s="101">
        <v>0.2</v>
      </c>
      <c r="AA473" s="15">
        <f>+((D.sign_Data[[#This Row],[COSTOS OPERACIONALES ($COP)]]/(100%-D.sign_Data[[#This Row],[UTILIDAD (%)]])))-D.sign_Data[[#This Row],[COSTOS OPERACIONALES ($COP)]]</f>
        <v>6960.662906617039</v>
      </c>
      <c r="AB473" s="3">
        <f>+D.sign_Data[[#This Row],[COSTOS OPERACIONALES ($COP)]]+D.sign_Data[[#This Row],[DESFASE ($COP)]]+D.sign_Data[[#This Row],[UTILIDAD ($COP)]]</f>
        <v>37587.579695732013</v>
      </c>
      <c r="AC473" s="101">
        <v>0.05</v>
      </c>
      <c r="AD473" s="15">
        <f>+D.sign_Data[[#This Row],[VALOR NETO ($COP)]]/(100%-D.sign_Data[[#This Row],[MARGEN DE NEGOCIACIÓN (%)]])-D.sign_Data[[#This Row],[VALOR NETO ($COP)]]</f>
        <v>1978.2936681964202</v>
      </c>
      <c r="AE473" s="15">
        <f>+(D.sign_Data[[#This Row],[VALOR NETO ($COP)]]+D.sign_Data[[#This Row],[NEGOCIACIÓN ($COP)]])*1%</f>
        <v>395.65873363928432</v>
      </c>
      <c r="AF473" s="15">
        <f>+(D.sign_Data[[#This Row],[VALOR NETO ($COP)]]+D.sign_Data[[#This Row],[NEGOCIACIÓN ($COP)]])*1%</f>
        <v>395.65873363928432</v>
      </c>
      <c r="AG473" s="3">
        <f>+D.sign_Data[[#This Row],[VALOR NETO ($COP)]]+D.sign_Data[[#This Row],[NEGOCIACIÓN ($COP)]]+D.sign_Data[[#This Row],[ICA ($COP)]]+D.sign_Data[[#This Row],[4 * 1000 ($COP)]]</f>
        <v>40357.190831207001</v>
      </c>
    </row>
    <row r="474" spans="1:33" ht="60" hidden="1" customHeight="1" x14ac:dyDescent="0.25">
      <c r="A474" s="14"/>
      <c r="B474" s="87" t="s">
        <v>418</v>
      </c>
      <c r="C474" s="182" t="s">
        <v>790</v>
      </c>
      <c r="D474" s="189" t="str">
        <f>VLOOKUP(D.sign_Data[[#This Row],[CÓDIGO]],Descripciones[[CÓDIGO]:[NOMBRE DE SERVICIO]],3,FALSE)</f>
        <v>D1. Parcelaciones y Condominios</v>
      </c>
      <c r="E474" s="87" t="s">
        <v>497</v>
      </c>
      <c r="F474" s="88" t="s">
        <v>791</v>
      </c>
      <c r="G474" s="88" t="s">
        <v>792</v>
      </c>
      <c r="H474" s="87" t="s">
        <v>500</v>
      </c>
      <c r="I474" s="89">
        <v>1</v>
      </c>
      <c r="J474" s="88" t="s">
        <v>802</v>
      </c>
      <c r="K474" s="102"/>
      <c r="L474" s="88" t="s">
        <v>785</v>
      </c>
      <c r="M474" s="89" t="s">
        <v>381</v>
      </c>
      <c r="N474" s="90">
        <v>0.2</v>
      </c>
      <c r="O474" s="27">
        <f>IFERROR(+VLOOKUP(M474,D.sign_Lista_Data[[RESPONSABLE]:[SOFTWARE 
VALOR HORA]],3,FALSE),"0")</f>
        <v>20263.424518743668</v>
      </c>
      <c r="P474" s="3">
        <f t="shared" si="14"/>
        <v>4052.6849037487336</v>
      </c>
      <c r="Q474" s="11">
        <f>IFERROR(+VLOOKUP(M474,D.sign_Lista_Data[[RESPONSABLE]:[SOFTWARE 
VALOR HORA]],5,FALSE)*D.sign_Data[[#This Row],[TIEMPO (HORAS)]],0)</f>
        <v>844.30935494765276</v>
      </c>
      <c r="R474" s="42">
        <f>IFERROR(+VLOOKUP(M474,D.sign_Lista_Data[[RESPONSABLE]:[SOFTWARE 
VALOR HORA]],8,FALSE)*D.sign_Data[[#This Row],[TIEMPO (HORAS)]],0)</f>
        <v>682.17097742879673</v>
      </c>
      <c r="S474" s="99">
        <v>0</v>
      </c>
      <c r="T474" s="99">
        <v>0</v>
      </c>
      <c r="U474" s="3">
        <f t="shared" si="15"/>
        <v>5579.1652361251827</v>
      </c>
      <c r="V474" s="100">
        <f>D.sign_Data[[#This Row],[TIEMPO (HORAS)]]*Gastos_Operativos[[#Totals],[GASTOS HORA]]</f>
        <v>5557.8954144620802</v>
      </c>
      <c r="W474" s="3">
        <f>+D.sign_Data[[#This Row],[COSTO 
DIRECTO ($COP)]]+D.sign_Data[[#This Row],[PRORRATEO GASTOS ($COP)]]</f>
        <v>11137.060650587264</v>
      </c>
      <c r="X474" s="101">
        <v>0.1</v>
      </c>
      <c r="Y474" s="15">
        <f>+D.sign_Data[[#This Row],[COSTOS OPERACIONALES ($COP)]]*D.sign_Data[[#This Row],[DESFASE (%)]]</f>
        <v>1113.7060650587264</v>
      </c>
      <c r="Z474" s="101">
        <v>0.2</v>
      </c>
      <c r="AA474" s="15">
        <f>+((D.sign_Data[[#This Row],[COSTOS OPERACIONALES ($COP)]]/(100%-D.sign_Data[[#This Row],[UTILIDAD (%)]])))-D.sign_Data[[#This Row],[COSTOS OPERACIONALES ($COP)]]</f>
        <v>2784.265162646816</v>
      </c>
      <c r="AB474" s="3">
        <f>+D.sign_Data[[#This Row],[COSTOS OPERACIONALES ($COP)]]+D.sign_Data[[#This Row],[DESFASE ($COP)]]+D.sign_Data[[#This Row],[UTILIDAD ($COP)]]</f>
        <v>15035.031878292806</v>
      </c>
      <c r="AC474" s="101">
        <v>0.05</v>
      </c>
      <c r="AD474" s="15">
        <f>+D.sign_Data[[#This Row],[VALOR NETO ($COP)]]/(100%-D.sign_Data[[#This Row],[MARGEN DE NEGOCIACIÓN (%)]])-D.sign_Data[[#This Row],[VALOR NETO ($COP)]]</f>
        <v>791.31746727856989</v>
      </c>
      <c r="AE474" s="15">
        <f>+(D.sign_Data[[#This Row],[VALOR NETO ($COP)]]+D.sign_Data[[#This Row],[NEGOCIACIÓN ($COP)]])*1%</f>
        <v>158.26349345571376</v>
      </c>
      <c r="AF474" s="15">
        <f>+(D.sign_Data[[#This Row],[VALOR NETO ($COP)]]+D.sign_Data[[#This Row],[NEGOCIACIÓN ($COP)]])*1%</f>
        <v>158.26349345571376</v>
      </c>
      <c r="AG474" s="3">
        <f>+D.sign_Data[[#This Row],[VALOR NETO ($COP)]]+D.sign_Data[[#This Row],[NEGOCIACIÓN ($COP)]]+D.sign_Data[[#This Row],[ICA ($COP)]]+D.sign_Data[[#This Row],[4 * 1000 ($COP)]]</f>
        <v>16142.876332482803</v>
      </c>
    </row>
    <row r="475" spans="1:33" ht="60" hidden="1" customHeight="1" x14ac:dyDescent="0.25">
      <c r="A475" s="14"/>
      <c r="B475" s="87" t="s">
        <v>418</v>
      </c>
      <c r="C475" s="182" t="s">
        <v>790</v>
      </c>
      <c r="D475" s="189" t="str">
        <f>VLOOKUP(D.sign_Data[[#This Row],[CÓDIGO]],Descripciones[[CÓDIGO]:[NOMBRE DE SERVICIO]],3,FALSE)</f>
        <v>D1. Parcelaciones y Condominios</v>
      </c>
      <c r="E475" s="87" t="s">
        <v>497</v>
      </c>
      <c r="F475" s="88" t="s">
        <v>791</v>
      </c>
      <c r="G475" s="88" t="s">
        <v>792</v>
      </c>
      <c r="H475" s="87" t="s">
        <v>500</v>
      </c>
      <c r="I475" s="89">
        <v>1</v>
      </c>
      <c r="J475" s="88" t="s">
        <v>802</v>
      </c>
      <c r="K475" s="102"/>
      <c r="L475" s="88" t="s">
        <v>786</v>
      </c>
      <c r="M475" s="89" t="s">
        <v>381</v>
      </c>
      <c r="N475" s="90">
        <v>0.5</v>
      </c>
      <c r="O475" s="27">
        <f>IFERROR(+VLOOKUP(M475,D.sign_Lista_Data[[RESPONSABLE]:[SOFTWARE 
VALOR HORA]],3,FALSE),"0")</f>
        <v>20263.424518743668</v>
      </c>
      <c r="P475" s="3">
        <f t="shared" si="14"/>
        <v>10131.712259371834</v>
      </c>
      <c r="Q475" s="11">
        <f>IFERROR(+VLOOKUP(M475,D.sign_Lista_Data[[RESPONSABLE]:[SOFTWARE 
VALOR HORA]],5,FALSE)*D.sign_Data[[#This Row],[TIEMPO (HORAS)]],0)</f>
        <v>2110.7733873691318</v>
      </c>
      <c r="R475" s="42">
        <f>IFERROR(+VLOOKUP(M475,D.sign_Lista_Data[[RESPONSABLE]:[SOFTWARE 
VALOR HORA]],8,FALSE)*D.sign_Data[[#This Row],[TIEMPO (HORAS)]],0)</f>
        <v>1705.4274435719917</v>
      </c>
      <c r="S475" s="99">
        <v>0</v>
      </c>
      <c r="T475" s="99">
        <v>0</v>
      </c>
      <c r="U475" s="3">
        <f t="shared" si="15"/>
        <v>13947.913090312959</v>
      </c>
      <c r="V475" s="100">
        <f>D.sign_Data[[#This Row],[TIEMPO (HORAS)]]*Gastos_Operativos[[#Totals],[GASTOS HORA]]</f>
        <v>13894.738536155201</v>
      </c>
      <c r="W475" s="3">
        <f>+D.sign_Data[[#This Row],[COSTO 
DIRECTO ($COP)]]+D.sign_Data[[#This Row],[PRORRATEO GASTOS ($COP)]]</f>
        <v>27842.65162646816</v>
      </c>
      <c r="X475" s="101">
        <v>0.1</v>
      </c>
      <c r="Y475" s="15">
        <f>+D.sign_Data[[#This Row],[COSTOS OPERACIONALES ($COP)]]*D.sign_Data[[#This Row],[DESFASE (%)]]</f>
        <v>2784.265162646816</v>
      </c>
      <c r="Z475" s="101">
        <v>0.2</v>
      </c>
      <c r="AA475" s="15">
        <f>+((D.sign_Data[[#This Row],[COSTOS OPERACIONALES ($COP)]]/(100%-D.sign_Data[[#This Row],[UTILIDAD (%)]])))-D.sign_Data[[#This Row],[COSTOS OPERACIONALES ($COP)]]</f>
        <v>6960.662906617039</v>
      </c>
      <c r="AB475" s="3">
        <f>+D.sign_Data[[#This Row],[COSTOS OPERACIONALES ($COP)]]+D.sign_Data[[#This Row],[DESFASE ($COP)]]+D.sign_Data[[#This Row],[UTILIDAD ($COP)]]</f>
        <v>37587.579695732013</v>
      </c>
      <c r="AC475" s="101">
        <v>0.05</v>
      </c>
      <c r="AD475" s="15">
        <f>+D.sign_Data[[#This Row],[VALOR NETO ($COP)]]/(100%-D.sign_Data[[#This Row],[MARGEN DE NEGOCIACIÓN (%)]])-D.sign_Data[[#This Row],[VALOR NETO ($COP)]]</f>
        <v>1978.2936681964202</v>
      </c>
      <c r="AE475" s="15">
        <f>+(D.sign_Data[[#This Row],[VALOR NETO ($COP)]]+D.sign_Data[[#This Row],[NEGOCIACIÓN ($COP)]])*1%</f>
        <v>395.65873363928432</v>
      </c>
      <c r="AF475" s="15">
        <f>+(D.sign_Data[[#This Row],[VALOR NETO ($COP)]]+D.sign_Data[[#This Row],[NEGOCIACIÓN ($COP)]])*1%</f>
        <v>395.65873363928432</v>
      </c>
      <c r="AG475" s="3">
        <f>+D.sign_Data[[#This Row],[VALOR NETO ($COP)]]+D.sign_Data[[#This Row],[NEGOCIACIÓN ($COP)]]+D.sign_Data[[#This Row],[ICA ($COP)]]+D.sign_Data[[#This Row],[4 * 1000 ($COP)]]</f>
        <v>40357.190831207001</v>
      </c>
    </row>
    <row r="476" spans="1:33" ht="60" hidden="1" customHeight="1" x14ac:dyDescent="0.25">
      <c r="A476" s="14"/>
      <c r="B476" s="87" t="s">
        <v>418</v>
      </c>
      <c r="C476" s="182" t="s">
        <v>790</v>
      </c>
      <c r="D476" s="189" t="str">
        <f>VLOOKUP(D.sign_Data[[#This Row],[CÓDIGO]],Descripciones[[CÓDIGO]:[NOMBRE DE SERVICIO]],3,FALSE)</f>
        <v>D1. Parcelaciones y Condominios</v>
      </c>
      <c r="E476" s="87" t="s">
        <v>497</v>
      </c>
      <c r="F476" s="88" t="s">
        <v>791</v>
      </c>
      <c r="G476" s="88" t="s">
        <v>792</v>
      </c>
      <c r="H476" s="87" t="s">
        <v>500</v>
      </c>
      <c r="I476" s="89">
        <v>1</v>
      </c>
      <c r="J476" s="88" t="s">
        <v>802</v>
      </c>
      <c r="K476" s="102"/>
      <c r="L476" s="88" t="s">
        <v>787</v>
      </c>
      <c r="M476" s="89" t="s">
        <v>381</v>
      </c>
      <c r="N476" s="90">
        <v>0.5</v>
      </c>
      <c r="O476" s="27">
        <f>IFERROR(+VLOOKUP(M476,D.sign_Lista_Data[[RESPONSABLE]:[SOFTWARE 
VALOR HORA]],3,FALSE),"0")</f>
        <v>20263.424518743668</v>
      </c>
      <c r="P476" s="3">
        <f t="shared" si="14"/>
        <v>10131.712259371834</v>
      </c>
      <c r="Q476" s="11">
        <f>IFERROR(+VLOOKUP(M476,D.sign_Lista_Data[[RESPONSABLE]:[SOFTWARE 
VALOR HORA]],5,FALSE)*D.sign_Data[[#This Row],[TIEMPO (HORAS)]],0)</f>
        <v>2110.7733873691318</v>
      </c>
      <c r="R476" s="42">
        <f>IFERROR(+VLOOKUP(M476,D.sign_Lista_Data[[RESPONSABLE]:[SOFTWARE 
VALOR HORA]],8,FALSE)*D.sign_Data[[#This Row],[TIEMPO (HORAS)]],0)</f>
        <v>1705.4274435719917</v>
      </c>
      <c r="S476" s="99">
        <v>0</v>
      </c>
      <c r="T476" s="99">
        <v>0</v>
      </c>
      <c r="U476" s="3">
        <f t="shared" si="15"/>
        <v>13947.913090312959</v>
      </c>
      <c r="V476" s="100">
        <f>D.sign_Data[[#This Row],[TIEMPO (HORAS)]]*Gastos_Operativos[[#Totals],[GASTOS HORA]]</f>
        <v>13894.738536155201</v>
      </c>
      <c r="W476" s="3">
        <f>+D.sign_Data[[#This Row],[COSTO 
DIRECTO ($COP)]]+D.sign_Data[[#This Row],[PRORRATEO GASTOS ($COP)]]</f>
        <v>27842.65162646816</v>
      </c>
      <c r="X476" s="101">
        <v>0.1</v>
      </c>
      <c r="Y476" s="15">
        <f>+D.sign_Data[[#This Row],[COSTOS OPERACIONALES ($COP)]]*D.sign_Data[[#This Row],[DESFASE (%)]]</f>
        <v>2784.265162646816</v>
      </c>
      <c r="Z476" s="101">
        <v>0.2</v>
      </c>
      <c r="AA476" s="15">
        <f>+((D.sign_Data[[#This Row],[COSTOS OPERACIONALES ($COP)]]/(100%-D.sign_Data[[#This Row],[UTILIDAD (%)]])))-D.sign_Data[[#This Row],[COSTOS OPERACIONALES ($COP)]]</f>
        <v>6960.662906617039</v>
      </c>
      <c r="AB476" s="3">
        <f>+D.sign_Data[[#This Row],[COSTOS OPERACIONALES ($COP)]]+D.sign_Data[[#This Row],[DESFASE ($COP)]]+D.sign_Data[[#This Row],[UTILIDAD ($COP)]]</f>
        <v>37587.579695732013</v>
      </c>
      <c r="AC476" s="101">
        <v>0.05</v>
      </c>
      <c r="AD476" s="15">
        <f>+D.sign_Data[[#This Row],[VALOR NETO ($COP)]]/(100%-D.sign_Data[[#This Row],[MARGEN DE NEGOCIACIÓN (%)]])-D.sign_Data[[#This Row],[VALOR NETO ($COP)]]</f>
        <v>1978.2936681964202</v>
      </c>
      <c r="AE476" s="15">
        <f>+(D.sign_Data[[#This Row],[VALOR NETO ($COP)]]+D.sign_Data[[#This Row],[NEGOCIACIÓN ($COP)]])*1%</f>
        <v>395.65873363928432</v>
      </c>
      <c r="AF476" s="15">
        <f>+(D.sign_Data[[#This Row],[VALOR NETO ($COP)]]+D.sign_Data[[#This Row],[NEGOCIACIÓN ($COP)]])*1%</f>
        <v>395.65873363928432</v>
      </c>
      <c r="AG476" s="3">
        <f>+D.sign_Data[[#This Row],[VALOR NETO ($COP)]]+D.sign_Data[[#This Row],[NEGOCIACIÓN ($COP)]]+D.sign_Data[[#This Row],[ICA ($COP)]]+D.sign_Data[[#This Row],[4 * 1000 ($COP)]]</f>
        <v>40357.190831207001</v>
      </c>
    </row>
    <row r="477" spans="1:33" ht="60" hidden="1" customHeight="1" x14ac:dyDescent="0.25">
      <c r="A477" s="14"/>
      <c r="B477" s="87" t="s">
        <v>418</v>
      </c>
      <c r="C477" s="182" t="s">
        <v>790</v>
      </c>
      <c r="D477" s="189" t="str">
        <f>VLOOKUP(D.sign_Data[[#This Row],[CÓDIGO]],Descripciones[[CÓDIGO]:[NOMBRE DE SERVICIO]],3,FALSE)</f>
        <v>D1. Parcelaciones y Condominios</v>
      </c>
      <c r="E477" s="87" t="s">
        <v>497</v>
      </c>
      <c r="F477" s="88" t="s">
        <v>791</v>
      </c>
      <c r="G477" s="88" t="s">
        <v>792</v>
      </c>
      <c r="H477" s="87" t="s">
        <v>500</v>
      </c>
      <c r="I477" s="89">
        <v>1</v>
      </c>
      <c r="J477" s="88" t="s">
        <v>802</v>
      </c>
      <c r="K477" s="102"/>
      <c r="L477" s="88" t="s">
        <v>788</v>
      </c>
      <c r="M477" s="89" t="s">
        <v>381</v>
      </c>
      <c r="N477" s="90">
        <v>0.1</v>
      </c>
      <c r="O477" s="27">
        <f>IFERROR(+VLOOKUP(M477,D.sign_Lista_Data[[RESPONSABLE]:[SOFTWARE 
VALOR HORA]],3,FALSE),"0")</f>
        <v>20263.424518743668</v>
      </c>
      <c r="P477" s="3">
        <f t="shared" si="14"/>
        <v>2026.3424518743668</v>
      </c>
      <c r="Q477" s="11">
        <f>IFERROR(+VLOOKUP(M477,D.sign_Lista_Data[[RESPONSABLE]:[SOFTWARE 
VALOR HORA]],5,FALSE)*D.sign_Data[[#This Row],[TIEMPO (HORAS)]],0)</f>
        <v>422.15467747382638</v>
      </c>
      <c r="R477" s="42">
        <f>IFERROR(+VLOOKUP(M477,D.sign_Lista_Data[[RESPONSABLE]:[SOFTWARE 
VALOR HORA]],8,FALSE)*D.sign_Data[[#This Row],[TIEMPO (HORAS)]],0)</f>
        <v>341.08548871439837</v>
      </c>
      <c r="S477" s="99">
        <v>0</v>
      </c>
      <c r="T477" s="99">
        <v>0</v>
      </c>
      <c r="U477" s="3">
        <f t="shared" si="15"/>
        <v>2789.5826180625913</v>
      </c>
      <c r="V477" s="100">
        <f>D.sign_Data[[#This Row],[TIEMPO (HORAS)]]*Gastos_Operativos[[#Totals],[GASTOS HORA]]</f>
        <v>2778.9477072310401</v>
      </c>
      <c r="W477" s="3">
        <f>+D.sign_Data[[#This Row],[COSTO 
DIRECTO ($COP)]]+D.sign_Data[[#This Row],[PRORRATEO GASTOS ($COP)]]</f>
        <v>5568.5303252936319</v>
      </c>
      <c r="X477" s="101">
        <v>0.1</v>
      </c>
      <c r="Y477" s="15">
        <f>+D.sign_Data[[#This Row],[COSTOS OPERACIONALES ($COP)]]*D.sign_Data[[#This Row],[DESFASE (%)]]</f>
        <v>556.85303252936319</v>
      </c>
      <c r="Z477" s="101">
        <v>0.2</v>
      </c>
      <c r="AA477" s="15">
        <f>+((D.sign_Data[[#This Row],[COSTOS OPERACIONALES ($COP)]]/(100%-D.sign_Data[[#This Row],[UTILIDAD (%)]])))-D.sign_Data[[#This Row],[COSTOS OPERACIONALES ($COP)]]</f>
        <v>1392.132581323408</v>
      </c>
      <c r="AB477" s="3">
        <f>+D.sign_Data[[#This Row],[COSTOS OPERACIONALES ($COP)]]+D.sign_Data[[#This Row],[DESFASE ($COP)]]+D.sign_Data[[#This Row],[UTILIDAD ($COP)]]</f>
        <v>7517.5159391464031</v>
      </c>
      <c r="AC477" s="101">
        <v>0.05</v>
      </c>
      <c r="AD477" s="15">
        <f>+D.sign_Data[[#This Row],[VALOR NETO ($COP)]]/(100%-D.sign_Data[[#This Row],[MARGEN DE NEGOCIACIÓN (%)]])-D.sign_Data[[#This Row],[VALOR NETO ($COP)]]</f>
        <v>395.65873363928495</v>
      </c>
      <c r="AE477" s="15">
        <f>+(D.sign_Data[[#This Row],[VALOR NETO ($COP)]]+D.sign_Data[[#This Row],[NEGOCIACIÓN ($COP)]])*1%</f>
        <v>79.131746727856878</v>
      </c>
      <c r="AF477" s="15">
        <f>+(D.sign_Data[[#This Row],[VALOR NETO ($COP)]]+D.sign_Data[[#This Row],[NEGOCIACIÓN ($COP)]])*1%</f>
        <v>79.131746727856878</v>
      </c>
      <c r="AG477" s="3">
        <f>+D.sign_Data[[#This Row],[VALOR NETO ($COP)]]+D.sign_Data[[#This Row],[NEGOCIACIÓN ($COP)]]+D.sign_Data[[#This Row],[ICA ($COP)]]+D.sign_Data[[#This Row],[4 * 1000 ($COP)]]</f>
        <v>8071.4381662414016</v>
      </c>
    </row>
    <row r="478" spans="1:33" ht="60" hidden="1" customHeight="1" x14ac:dyDescent="0.25">
      <c r="A478" s="14"/>
      <c r="B478" s="87" t="s">
        <v>418</v>
      </c>
      <c r="C478" s="182" t="s">
        <v>790</v>
      </c>
      <c r="D478" s="189" t="str">
        <f>VLOOKUP(D.sign_Data[[#This Row],[CÓDIGO]],Descripciones[[CÓDIGO]:[NOMBRE DE SERVICIO]],3,FALSE)</f>
        <v>D1. Parcelaciones y Condominios</v>
      </c>
      <c r="E478" s="87" t="s">
        <v>497</v>
      </c>
      <c r="F478" s="88" t="s">
        <v>791</v>
      </c>
      <c r="G478" s="88" t="s">
        <v>792</v>
      </c>
      <c r="H478" s="87" t="s">
        <v>500</v>
      </c>
      <c r="I478" s="89">
        <v>1</v>
      </c>
      <c r="J478" s="88" t="s">
        <v>802</v>
      </c>
      <c r="K478" s="102"/>
      <c r="L478" s="88" t="s">
        <v>483</v>
      </c>
      <c r="M478" s="89" t="s">
        <v>381</v>
      </c>
      <c r="N478" s="90">
        <v>0.1</v>
      </c>
      <c r="O478" s="27">
        <f>IFERROR(+VLOOKUP(M478,D.sign_Lista_Data[[RESPONSABLE]:[SOFTWARE 
VALOR HORA]],3,FALSE),"0")</f>
        <v>20263.424518743668</v>
      </c>
      <c r="P478" s="3">
        <f t="shared" ref="P478:P557" si="16">+O478*N478</f>
        <v>2026.3424518743668</v>
      </c>
      <c r="Q478" s="11">
        <f>IFERROR(+VLOOKUP(M478,D.sign_Lista_Data[[RESPONSABLE]:[SOFTWARE 
VALOR HORA]],5,FALSE)*D.sign_Data[[#This Row],[TIEMPO (HORAS)]],0)</f>
        <v>422.15467747382638</v>
      </c>
      <c r="R478" s="42">
        <f>IFERROR(+VLOOKUP(M478,D.sign_Lista_Data[[RESPONSABLE]:[SOFTWARE 
VALOR HORA]],8,FALSE)*D.sign_Data[[#This Row],[TIEMPO (HORAS)]],0)</f>
        <v>341.08548871439837</v>
      </c>
      <c r="S478" s="99">
        <v>0</v>
      </c>
      <c r="T478" s="99">
        <v>0</v>
      </c>
      <c r="U478" s="3">
        <f t="shared" ref="U478:U557" si="17">SUM(P478:T478)</f>
        <v>2789.5826180625913</v>
      </c>
      <c r="V478" s="100">
        <f>D.sign_Data[[#This Row],[TIEMPO (HORAS)]]*Gastos_Operativos[[#Totals],[GASTOS HORA]]</f>
        <v>2778.9477072310401</v>
      </c>
      <c r="W478" s="3">
        <f>+D.sign_Data[[#This Row],[COSTO 
DIRECTO ($COP)]]+D.sign_Data[[#This Row],[PRORRATEO GASTOS ($COP)]]</f>
        <v>5568.5303252936319</v>
      </c>
      <c r="X478" s="101">
        <v>0.1</v>
      </c>
      <c r="Y478" s="15">
        <f>+D.sign_Data[[#This Row],[COSTOS OPERACIONALES ($COP)]]*D.sign_Data[[#This Row],[DESFASE (%)]]</f>
        <v>556.85303252936319</v>
      </c>
      <c r="Z478" s="101">
        <v>0.2</v>
      </c>
      <c r="AA478" s="15">
        <f>+((D.sign_Data[[#This Row],[COSTOS OPERACIONALES ($COP)]]/(100%-D.sign_Data[[#This Row],[UTILIDAD (%)]])))-D.sign_Data[[#This Row],[COSTOS OPERACIONALES ($COP)]]</f>
        <v>1392.132581323408</v>
      </c>
      <c r="AB478" s="3">
        <f>+D.sign_Data[[#This Row],[COSTOS OPERACIONALES ($COP)]]+D.sign_Data[[#This Row],[DESFASE ($COP)]]+D.sign_Data[[#This Row],[UTILIDAD ($COP)]]</f>
        <v>7517.5159391464031</v>
      </c>
      <c r="AC478" s="101">
        <v>0.05</v>
      </c>
      <c r="AD478" s="15">
        <f>+D.sign_Data[[#This Row],[VALOR NETO ($COP)]]/(100%-D.sign_Data[[#This Row],[MARGEN DE NEGOCIACIÓN (%)]])-D.sign_Data[[#This Row],[VALOR NETO ($COP)]]</f>
        <v>395.65873363928495</v>
      </c>
      <c r="AE478" s="15">
        <f>+(D.sign_Data[[#This Row],[VALOR NETO ($COP)]]+D.sign_Data[[#This Row],[NEGOCIACIÓN ($COP)]])*1%</f>
        <v>79.131746727856878</v>
      </c>
      <c r="AF478" s="15">
        <f>+(D.sign_Data[[#This Row],[VALOR NETO ($COP)]]+D.sign_Data[[#This Row],[NEGOCIACIÓN ($COP)]])*1%</f>
        <v>79.131746727856878</v>
      </c>
      <c r="AG478" s="3">
        <f>+D.sign_Data[[#This Row],[VALOR NETO ($COP)]]+D.sign_Data[[#This Row],[NEGOCIACIÓN ($COP)]]+D.sign_Data[[#This Row],[ICA ($COP)]]+D.sign_Data[[#This Row],[4 * 1000 ($COP)]]</f>
        <v>8071.4381662414016</v>
      </c>
    </row>
    <row r="479" spans="1:33" ht="60" hidden="1" customHeight="1" x14ac:dyDescent="0.25">
      <c r="A479" s="14"/>
      <c r="B479" s="87" t="s">
        <v>418</v>
      </c>
      <c r="C479" s="182" t="s">
        <v>790</v>
      </c>
      <c r="D479" s="189" t="str">
        <f>VLOOKUP(D.sign_Data[[#This Row],[CÓDIGO]],Descripciones[[CÓDIGO]:[NOMBRE DE SERVICIO]],3,FALSE)</f>
        <v>D1. Parcelaciones y Condominios</v>
      </c>
      <c r="E479" s="87" t="s">
        <v>497</v>
      </c>
      <c r="F479" s="88" t="s">
        <v>791</v>
      </c>
      <c r="G479" s="88" t="s">
        <v>792</v>
      </c>
      <c r="H479" s="87" t="s">
        <v>448</v>
      </c>
      <c r="I479" s="89">
        <v>1</v>
      </c>
      <c r="J479" s="88" t="s">
        <v>803</v>
      </c>
      <c r="K479" s="102"/>
      <c r="L479" s="88" t="s">
        <v>464</v>
      </c>
      <c r="M479" s="89" t="s">
        <v>381</v>
      </c>
      <c r="N479" s="90">
        <v>0.25</v>
      </c>
      <c r="O479" s="27">
        <f>IFERROR(+VLOOKUP(M479,D.sign_Lista_Data[[RESPONSABLE]:[SOFTWARE 
VALOR HORA]],3,FALSE),"0")</f>
        <v>20263.424518743668</v>
      </c>
      <c r="P479" s="3">
        <f t="shared" si="16"/>
        <v>5065.856129685917</v>
      </c>
      <c r="Q479" s="11">
        <f>IFERROR(+VLOOKUP(M479,D.sign_Lista_Data[[RESPONSABLE]:[SOFTWARE 
VALOR HORA]],5,FALSE)*D.sign_Data[[#This Row],[TIEMPO (HORAS)]],0)</f>
        <v>1055.3866936845659</v>
      </c>
      <c r="R479" s="42">
        <f>IFERROR(+VLOOKUP(M479,D.sign_Lista_Data[[RESPONSABLE]:[SOFTWARE 
VALOR HORA]],8,FALSE)*D.sign_Data[[#This Row],[TIEMPO (HORAS)]],0)</f>
        <v>852.71372178599586</v>
      </c>
      <c r="S479" s="99">
        <v>0</v>
      </c>
      <c r="T479" s="99">
        <v>0</v>
      </c>
      <c r="U479" s="3">
        <f t="shared" si="17"/>
        <v>6973.9565451564795</v>
      </c>
      <c r="V479" s="100">
        <f>D.sign_Data[[#This Row],[TIEMPO (HORAS)]]*Gastos_Operativos[[#Totals],[GASTOS HORA]]</f>
        <v>6947.3692680776003</v>
      </c>
      <c r="W479" s="3">
        <f>+D.sign_Data[[#This Row],[COSTO 
DIRECTO ($COP)]]+D.sign_Data[[#This Row],[PRORRATEO GASTOS ($COP)]]</f>
        <v>13921.32581323408</v>
      </c>
      <c r="X479" s="101">
        <v>0.1</v>
      </c>
      <c r="Y479" s="15">
        <f>+D.sign_Data[[#This Row],[COSTOS OPERACIONALES ($COP)]]*D.sign_Data[[#This Row],[DESFASE (%)]]</f>
        <v>1392.132581323408</v>
      </c>
      <c r="Z479" s="101">
        <v>0.2</v>
      </c>
      <c r="AA479" s="15">
        <f>+((D.sign_Data[[#This Row],[COSTOS OPERACIONALES ($COP)]]/(100%-D.sign_Data[[#This Row],[UTILIDAD (%)]])))-D.sign_Data[[#This Row],[COSTOS OPERACIONALES ($COP)]]</f>
        <v>3480.3314533085195</v>
      </c>
      <c r="AB479" s="3">
        <f>+D.sign_Data[[#This Row],[COSTOS OPERACIONALES ($COP)]]+D.sign_Data[[#This Row],[DESFASE ($COP)]]+D.sign_Data[[#This Row],[UTILIDAD ($COP)]]</f>
        <v>18793.789847866006</v>
      </c>
      <c r="AC479" s="101">
        <v>0.05</v>
      </c>
      <c r="AD479" s="15">
        <f>+D.sign_Data[[#This Row],[VALOR NETO ($COP)]]/(100%-D.sign_Data[[#This Row],[MARGEN DE NEGOCIACIÓN (%)]])-D.sign_Data[[#This Row],[VALOR NETO ($COP)]]</f>
        <v>989.14683409821009</v>
      </c>
      <c r="AE479" s="15">
        <f>+(D.sign_Data[[#This Row],[VALOR NETO ($COP)]]+D.sign_Data[[#This Row],[NEGOCIACIÓN ($COP)]])*1%</f>
        <v>197.82936681964216</v>
      </c>
      <c r="AF479" s="15">
        <f>+(D.sign_Data[[#This Row],[VALOR NETO ($COP)]]+D.sign_Data[[#This Row],[NEGOCIACIÓN ($COP)]])*1%</f>
        <v>197.82936681964216</v>
      </c>
      <c r="AG479" s="3">
        <f>+D.sign_Data[[#This Row],[VALOR NETO ($COP)]]+D.sign_Data[[#This Row],[NEGOCIACIÓN ($COP)]]+D.sign_Data[[#This Row],[ICA ($COP)]]+D.sign_Data[[#This Row],[4 * 1000 ($COP)]]</f>
        <v>20178.5954156035</v>
      </c>
    </row>
    <row r="480" spans="1:33" ht="60" hidden="1" customHeight="1" x14ac:dyDescent="0.25">
      <c r="A480" s="14"/>
      <c r="B480" s="87" t="s">
        <v>442</v>
      </c>
      <c r="C480" s="182" t="s">
        <v>804</v>
      </c>
      <c r="D480" s="189" t="str">
        <f>VLOOKUP(D.sign_Data[[#This Row],[CÓDIGO]],Descripciones[[CÓDIGO]:[NOMBRE DE SERVICIO]],3,FALSE)</f>
        <v>D1. Parcelaciones y Condominios</v>
      </c>
      <c r="E480" s="87" t="s">
        <v>420</v>
      </c>
      <c r="F480" s="88" t="s">
        <v>805</v>
      </c>
      <c r="G480" s="88" t="s">
        <v>422</v>
      </c>
      <c r="H480" s="87" t="s">
        <v>448</v>
      </c>
      <c r="I480" s="89">
        <v>1</v>
      </c>
      <c r="J480" s="88" t="s">
        <v>538</v>
      </c>
      <c r="K480" s="102"/>
      <c r="L480" s="88" t="s">
        <v>806</v>
      </c>
      <c r="M480" s="89" t="s">
        <v>381</v>
      </c>
      <c r="N480" s="90">
        <v>0.5</v>
      </c>
      <c r="O480" s="27">
        <f>IFERROR(+VLOOKUP(M480,D.sign_Lista_Data[[RESPONSABLE]:[SOFTWARE 
VALOR HORA]],3,FALSE),"0")</f>
        <v>20263.424518743668</v>
      </c>
      <c r="P480" s="3">
        <f t="shared" si="16"/>
        <v>10131.712259371834</v>
      </c>
      <c r="Q480" s="11">
        <f>IFERROR(+VLOOKUP(M480,D.sign_Lista_Data[[RESPONSABLE]:[SOFTWARE 
VALOR HORA]],5,FALSE)*D.sign_Data[[#This Row],[TIEMPO (HORAS)]],0)</f>
        <v>2110.7733873691318</v>
      </c>
      <c r="R480" s="42">
        <f>IFERROR(+VLOOKUP(M480,D.sign_Lista_Data[[RESPONSABLE]:[SOFTWARE 
VALOR HORA]],8,FALSE)*D.sign_Data[[#This Row],[TIEMPO (HORAS)]],0)</f>
        <v>1705.4274435719917</v>
      </c>
      <c r="S480" s="99">
        <v>0</v>
      </c>
      <c r="T480" s="99">
        <v>0</v>
      </c>
      <c r="U480" s="3">
        <f t="shared" si="17"/>
        <v>13947.913090312959</v>
      </c>
      <c r="V480" s="100">
        <f>D.sign_Data[[#This Row],[TIEMPO (HORAS)]]*Gastos_Operativos[[#Totals],[GASTOS HORA]]</f>
        <v>13894.738536155201</v>
      </c>
      <c r="W480" s="3">
        <f>+D.sign_Data[[#This Row],[COSTO 
DIRECTO ($COP)]]+D.sign_Data[[#This Row],[PRORRATEO GASTOS ($COP)]]</f>
        <v>27842.65162646816</v>
      </c>
      <c r="X480" s="101">
        <v>0.05</v>
      </c>
      <c r="Y480" s="15">
        <f>+D.sign_Data[[#This Row],[COSTOS OPERACIONALES ($COP)]]*D.sign_Data[[#This Row],[DESFASE (%)]]</f>
        <v>1392.132581323408</v>
      </c>
      <c r="Z480" s="101">
        <v>0.15</v>
      </c>
      <c r="AA480" s="15">
        <f>+((D.sign_Data[[#This Row],[COSTOS OPERACIONALES ($COP)]]/(100%-D.sign_Data[[#This Row],[UTILIDAD (%)]])))-D.sign_Data[[#This Row],[COSTOS OPERACIONALES ($COP)]]</f>
        <v>4913.4091105532061</v>
      </c>
      <c r="AB480" s="3">
        <f>+D.sign_Data[[#This Row],[COSTOS OPERACIONALES ($COP)]]+D.sign_Data[[#This Row],[DESFASE ($COP)]]+D.sign_Data[[#This Row],[UTILIDAD ($COP)]]</f>
        <v>34148.193318344769</v>
      </c>
      <c r="AC480" s="101">
        <v>0.05</v>
      </c>
      <c r="AD480" s="15">
        <f>+D.sign_Data[[#This Row],[VALOR NETO ($COP)]]/(100%-D.sign_Data[[#This Row],[MARGEN DE NEGOCIACIÓN (%)]])-D.sign_Data[[#This Row],[VALOR NETO ($COP)]]</f>
        <v>1797.2733325444642</v>
      </c>
      <c r="AE480" s="15">
        <f>+(D.sign_Data[[#This Row],[VALOR NETO ($COP)]]+D.sign_Data[[#This Row],[NEGOCIACIÓN ($COP)]])*1%</f>
        <v>359.45466650889233</v>
      </c>
      <c r="AF480" s="15">
        <f>+(D.sign_Data[[#This Row],[VALOR NETO ($COP)]]+D.sign_Data[[#This Row],[NEGOCIACIÓN ($COP)]])*1%</f>
        <v>359.45466650889233</v>
      </c>
      <c r="AG480" s="3">
        <f>+D.sign_Data[[#This Row],[VALOR NETO ($COP)]]+D.sign_Data[[#This Row],[NEGOCIACIÓN ($COP)]]+D.sign_Data[[#This Row],[ICA ($COP)]]+D.sign_Data[[#This Row],[4 * 1000 ($COP)]]</f>
        <v>36664.375983907019</v>
      </c>
    </row>
    <row r="481" spans="1:33" ht="60" hidden="1" customHeight="1" x14ac:dyDescent="0.25">
      <c r="A481" s="14"/>
      <c r="B481" s="87" t="s">
        <v>442</v>
      </c>
      <c r="C481" s="182" t="s">
        <v>804</v>
      </c>
      <c r="D481" s="189" t="str">
        <f>VLOOKUP(D.sign_Data[[#This Row],[CÓDIGO]],Descripciones[[CÓDIGO]:[NOMBRE DE SERVICIO]],3,FALSE)</f>
        <v>D1. Parcelaciones y Condominios</v>
      </c>
      <c r="E481" s="87" t="s">
        <v>420</v>
      </c>
      <c r="F481" s="88" t="s">
        <v>805</v>
      </c>
      <c r="G481" s="88" t="s">
        <v>422</v>
      </c>
      <c r="H481" s="87" t="s">
        <v>448</v>
      </c>
      <c r="I481" s="89">
        <v>1</v>
      </c>
      <c r="J481" s="88" t="s">
        <v>538</v>
      </c>
      <c r="K481" s="102"/>
      <c r="L481" s="88" t="s">
        <v>540</v>
      </c>
      <c r="M481" s="89" t="s">
        <v>381</v>
      </c>
      <c r="N481" s="90">
        <v>0.5</v>
      </c>
      <c r="O481" s="27">
        <f>IFERROR(+VLOOKUP(M481,D.sign_Lista_Data[[RESPONSABLE]:[SOFTWARE 
VALOR HORA]],3,FALSE),"0")</f>
        <v>20263.424518743668</v>
      </c>
      <c r="P481" s="3">
        <f t="shared" si="16"/>
        <v>10131.712259371834</v>
      </c>
      <c r="Q481" s="11">
        <f>IFERROR(+VLOOKUP(M481,D.sign_Lista_Data[[RESPONSABLE]:[SOFTWARE 
VALOR HORA]],5,FALSE)*D.sign_Data[[#This Row],[TIEMPO (HORAS)]],0)</f>
        <v>2110.7733873691318</v>
      </c>
      <c r="R481" s="42">
        <f>IFERROR(+VLOOKUP(M481,D.sign_Lista_Data[[RESPONSABLE]:[SOFTWARE 
VALOR HORA]],8,FALSE)*D.sign_Data[[#This Row],[TIEMPO (HORAS)]],0)</f>
        <v>1705.4274435719917</v>
      </c>
      <c r="S481" s="99">
        <v>0</v>
      </c>
      <c r="T481" s="99">
        <v>0</v>
      </c>
      <c r="U481" s="3">
        <f t="shared" si="17"/>
        <v>13947.913090312959</v>
      </c>
      <c r="V481" s="100">
        <f>D.sign_Data[[#This Row],[TIEMPO (HORAS)]]*Gastos_Operativos[[#Totals],[GASTOS HORA]]</f>
        <v>13894.738536155201</v>
      </c>
      <c r="W481" s="3">
        <f>+D.sign_Data[[#This Row],[COSTO 
DIRECTO ($COP)]]+D.sign_Data[[#This Row],[PRORRATEO GASTOS ($COP)]]</f>
        <v>27842.65162646816</v>
      </c>
      <c r="X481" s="101">
        <v>0.05</v>
      </c>
      <c r="Y481" s="15">
        <f>+D.sign_Data[[#This Row],[COSTOS OPERACIONALES ($COP)]]*D.sign_Data[[#This Row],[DESFASE (%)]]</f>
        <v>1392.132581323408</v>
      </c>
      <c r="Z481" s="101">
        <v>0.15</v>
      </c>
      <c r="AA481" s="15">
        <f>+((D.sign_Data[[#This Row],[COSTOS OPERACIONALES ($COP)]]/(100%-D.sign_Data[[#This Row],[UTILIDAD (%)]])))-D.sign_Data[[#This Row],[COSTOS OPERACIONALES ($COP)]]</f>
        <v>4913.4091105532061</v>
      </c>
      <c r="AB481" s="3">
        <f>+D.sign_Data[[#This Row],[COSTOS OPERACIONALES ($COP)]]+D.sign_Data[[#This Row],[DESFASE ($COP)]]+D.sign_Data[[#This Row],[UTILIDAD ($COP)]]</f>
        <v>34148.193318344769</v>
      </c>
      <c r="AC481" s="101">
        <v>0.05</v>
      </c>
      <c r="AD481" s="15">
        <f>+D.sign_Data[[#This Row],[VALOR NETO ($COP)]]/(100%-D.sign_Data[[#This Row],[MARGEN DE NEGOCIACIÓN (%)]])-D.sign_Data[[#This Row],[VALOR NETO ($COP)]]</f>
        <v>1797.2733325444642</v>
      </c>
      <c r="AE481" s="15">
        <f>+(D.sign_Data[[#This Row],[VALOR NETO ($COP)]]+D.sign_Data[[#This Row],[NEGOCIACIÓN ($COP)]])*1%</f>
        <v>359.45466650889233</v>
      </c>
      <c r="AF481" s="15">
        <f>+(D.sign_Data[[#This Row],[VALOR NETO ($COP)]]+D.sign_Data[[#This Row],[NEGOCIACIÓN ($COP)]])*1%</f>
        <v>359.45466650889233</v>
      </c>
      <c r="AG481" s="3">
        <f>+D.sign_Data[[#This Row],[VALOR NETO ($COP)]]+D.sign_Data[[#This Row],[NEGOCIACIÓN ($COP)]]+D.sign_Data[[#This Row],[ICA ($COP)]]+D.sign_Data[[#This Row],[4 * 1000 ($COP)]]</f>
        <v>36664.375983907019</v>
      </c>
    </row>
    <row r="482" spans="1:33" ht="60" hidden="1" customHeight="1" x14ac:dyDescent="0.25">
      <c r="A482" s="14"/>
      <c r="B482" s="87" t="s">
        <v>442</v>
      </c>
      <c r="C482" s="182" t="s">
        <v>804</v>
      </c>
      <c r="D482" s="189" t="str">
        <f>VLOOKUP(D.sign_Data[[#This Row],[CÓDIGO]],Descripciones[[CÓDIGO]:[NOMBRE DE SERVICIO]],3,FALSE)</f>
        <v>D1. Parcelaciones y Condominios</v>
      </c>
      <c r="E482" s="87" t="s">
        <v>420</v>
      </c>
      <c r="F482" s="88" t="s">
        <v>805</v>
      </c>
      <c r="G482" s="88" t="s">
        <v>422</v>
      </c>
      <c r="H482" s="87" t="s">
        <v>429</v>
      </c>
      <c r="I482" s="89">
        <v>1</v>
      </c>
      <c r="J482" s="88" t="s">
        <v>538</v>
      </c>
      <c r="K482" s="102"/>
      <c r="L482" s="88" t="s">
        <v>807</v>
      </c>
      <c r="M482" s="89" t="s">
        <v>381</v>
      </c>
      <c r="N482" s="90">
        <v>9.4</v>
      </c>
      <c r="O482" s="27">
        <f>IFERROR(+VLOOKUP(M482,D.sign_Lista_Data[[RESPONSABLE]:[SOFTWARE 
VALOR HORA]],3,FALSE),"0")</f>
        <v>20263.424518743668</v>
      </c>
      <c r="P482" s="3">
        <f t="shared" si="16"/>
        <v>190476.19047619047</v>
      </c>
      <c r="Q482" s="11">
        <f>IFERROR(+VLOOKUP(M482,D.sign_Lista_Data[[RESPONSABLE]:[SOFTWARE 
VALOR HORA]],5,FALSE)*D.sign_Data[[#This Row],[TIEMPO (HORAS)]],0)</f>
        <v>39682.539682539682</v>
      </c>
      <c r="R482" s="42">
        <f>IFERROR(+VLOOKUP(M482,D.sign_Lista_Data[[RESPONSABLE]:[SOFTWARE 
VALOR HORA]],8,FALSE)*D.sign_Data[[#This Row],[TIEMPO (HORAS)]],0)</f>
        <v>32062.035939153444</v>
      </c>
      <c r="S482" s="99">
        <v>0</v>
      </c>
      <c r="T482" s="99">
        <v>0</v>
      </c>
      <c r="U482" s="3">
        <f t="shared" si="17"/>
        <v>262220.76609788358</v>
      </c>
      <c r="V482" s="100">
        <f>D.sign_Data[[#This Row],[TIEMPO (HORAS)]]*Gastos_Operativos[[#Totals],[GASTOS HORA]]</f>
        <v>261221.08447971777</v>
      </c>
      <c r="W482" s="3">
        <f>+D.sign_Data[[#This Row],[COSTO 
DIRECTO ($COP)]]+D.sign_Data[[#This Row],[PRORRATEO GASTOS ($COP)]]</f>
        <v>523441.85057760135</v>
      </c>
      <c r="X482" s="101">
        <v>0.05</v>
      </c>
      <c r="Y482" s="15">
        <f>+D.sign_Data[[#This Row],[COSTOS OPERACIONALES ($COP)]]*D.sign_Data[[#This Row],[DESFASE (%)]]</f>
        <v>26172.092528880068</v>
      </c>
      <c r="Z482" s="101">
        <v>0.15</v>
      </c>
      <c r="AA482" s="15">
        <f>+((D.sign_Data[[#This Row],[COSTOS OPERACIONALES ($COP)]]/(100%-D.sign_Data[[#This Row],[UTILIDAD (%)]])))-D.sign_Data[[#This Row],[COSTOS OPERACIONALES ($COP)]]</f>
        <v>92372.091278400272</v>
      </c>
      <c r="AB482" s="3">
        <f>+D.sign_Data[[#This Row],[COSTOS OPERACIONALES ($COP)]]+D.sign_Data[[#This Row],[DESFASE ($COP)]]+D.sign_Data[[#This Row],[UTILIDAD ($COP)]]</f>
        <v>641986.03438488173</v>
      </c>
      <c r="AC482" s="101">
        <v>0.05</v>
      </c>
      <c r="AD482" s="15">
        <f>+D.sign_Data[[#This Row],[VALOR NETO ($COP)]]/(100%-D.sign_Data[[#This Row],[MARGEN DE NEGOCIACIÓN (%)]])-D.sign_Data[[#This Row],[VALOR NETO ($COP)]]</f>
        <v>33788.738651835942</v>
      </c>
      <c r="AE482" s="15">
        <f>+(D.sign_Data[[#This Row],[VALOR NETO ($COP)]]+D.sign_Data[[#This Row],[NEGOCIACIÓN ($COP)]])*1%</f>
        <v>6757.7477303671767</v>
      </c>
      <c r="AF482" s="15">
        <f>+(D.sign_Data[[#This Row],[VALOR NETO ($COP)]]+D.sign_Data[[#This Row],[NEGOCIACIÓN ($COP)]])*1%</f>
        <v>6757.7477303671767</v>
      </c>
      <c r="AG482" s="3">
        <f>+D.sign_Data[[#This Row],[VALOR NETO ($COP)]]+D.sign_Data[[#This Row],[NEGOCIACIÓN ($COP)]]+D.sign_Data[[#This Row],[ICA ($COP)]]+D.sign_Data[[#This Row],[4 * 1000 ($COP)]]</f>
        <v>689290.26849745191</v>
      </c>
    </row>
    <row r="483" spans="1:33" ht="60" hidden="1" customHeight="1" x14ac:dyDescent="0.25">
      <c r="A483" s="14"/>
      <c r="B483" s="87" t="s">
        <v>442</v>
      </c>
      <c r="C483" s="182" t="s">
        <v>804</v>
      </c>
      <c r="D483" s="189" t="str">
        <f>VLOOKUP(D.sign_Data[[#This Row],[CÓDIGO]],Descripciones[[CÓDIGO]:[NOMBRE DE SERVICIO]],3,FALSE)</f>
        <v>D1. Parcelaciones y Condominios</v>
      </c>
      <c r="E483" s="87" t="s">
        <v>420</v>
      </c>
      <c r="F483" s="88" t="s">
        <v>805</v>
      </c>
      <c r="G483" s="88" t="s">
        <v>422</v>
      </c>
      <c r="H483" s="87" t="s">
        <v>808</v>
      </c>
      <c r="I483" s="89">
        <v>1</v>
      </c>
      <c r="J483" s="88" t="s">
        <v>538</v>
      </c>
      <c r="K483" s="102"/>
      <c r="L483" s="88" t="s">
        <v>809</v>
      </c>
      <c r="M483" s="89" t="s">
        <v>381</v>
      </c>
      <c r="N483" s="90">
        <v>3</v>
      </c>
      <c r="O483" s="27">
        <f>IFERROR(+VLOOKUP(M483,D.sign_Lista_Data[[RESPONSABLE]:[SOFTWARE 
VALOR HORA]],3,FALSE),"0")</f>
        <v>20263.424518743668</v>
      </c>
      <c r="P483" s="3">
        <f t="shared" si="16"/>
        <v>60790.273556231004</v>
      </c>
      <c r="Q483" s="11">
        <f>IFERROR(+VLOOKUP(M483,D.sign_Lista_Data[[RESPONSABLE]:[SOFTWARE 
VALOR HORA]],5,FALSE)*D.sign_Data[[#This Row],[TIEMPO (HORAS)]],0)</f>
        <v>12664.64032421479</v>
      </c>
      <c r="R483" s="42">
        <f>IFERROR(+VLOOKUP(M483,D.sign_Lista_Data[[RESPONSABLE]:[SOFTWARE 
VALOR HORA]],8,FALSE)*D.sign_Data[[#This Row],[TIEMPO (HORAS)]],0)</f>
        <v>10232.56466143195</v>
      </c>
      <c r="S483" s="99">
        <v>0</v>
      </c>
      <c r="T483" s="99">
        <v>0</v>
      </c>
      <c r="U483" s="3">
        <f t="shared" si="17"/>
        <v>83687.478541877746</v>
      </c>
      <c r="V483" s="100">
        <f>D.sign_Data[[#This Row],[TIEMPO (HORAS)]]*Gastos_Operativos[[#Totals],[GASTOS HORA]]</f>
        <v>83368.431216931203</v>
      </c>
      <c r="W483" s="3">
        <f>+D.sign_Data[[#This Row],[COSTO 
DIRECTO ($COP)]]+D.sign_Data[[#This Row],[PRORRATEO GASTOS ($COP)]]</f>
        <v>167055.90975880896</v>
      </c>
      <c r="X483" s="101">
        <v>0.05</v>
      </c>
      <c r="Y483" s="15">
        <f>+D.sign_Data[[#This Row],[COSTOS OPERACIONALES ($COP)]]*D.sign_Data[[#This Row],[DESFASE (%)]]</f>
        <v>8352.7954879404479</v>
      </c>
      <c r="Z483" s="101">
        <v>0.15</v>
      </c>
      <c r="AA483" s="15">
        <f>+((D.sign_Data[[#This Row],[COSTOS OPERACIONALES ($COP)]]/(100%-D.sign_Data[[#This Row],[UTILIDAD (%)]])))-D.sign_Data[[#This Row],[COSTOS OPERACIONALES ($COP)]]</f>
        <v>29480.454663319222</v>
      </c>
      <c r="AB483" s="3">
        <f>+D.sign_Data[[#This Row],[COSTOS OPERACIONALES ($COP)]]+D.sign_Data[[#This Row],[DESFASE ($COP)]]+D.sign_Data[[#This Row],[UTILIDAD ($COP)]]</f>
        <v>204889.15991006864</v>
      </c>
      <c r="AC483" s="101">
        <v>0.05</v>
      </c>
      <c r="AD483" s="15">
        <f>+D.sign_Data[[#This Row],[VALOR NETO ($COP)]]/(100%-D.sign_Data[[#This Row],[MARGEN DE NEGOCIACIÓN (%)]])-D.sign_Data[[#This Row],[VALOR NETO ($COP)]]</f>
        <v>10783.639995266771</v>
      </c>
      <c r="AE483" s="15">
        <f>+(D.sign_Data[[#This Row],[VALOR NETO ($COP)]]+D.sign_Data[[#This Row],[NEGOCIACIÓN ($COP)]])*1%</f>
        <v>2156.7279990533543</v>
      </c>
      <c r="AF483" s="15">
        <f>+(D.sign_Data[[#This Row],[VALOR NETO ($COP)]]+D.sign_Data[[#This Row],[NEGOCIACIÓN ($COP)]])*1%</f>
        <v>2156.7279990533543</v>
      </c>
      <c r="AG483" s="3">
        <f>+D.sign_Data[[#This Row],[VALOR NETO ($COP)]]+D.sign_Data[[#This Row],[NEGOCIACIÓN ($COP)]]+D.sign_Data[[#This Row],[ICA ($COP)]]+D.sign_Data[[#This Row],[4 * 1000 ($COP)]]</f>
        <v>219986.2559034421</v>
      </c>
    </row>
    <row r="484" spans="1:33" ht="60" hidden="1" customHeight="1" x14ac:dyDescent="0.25">
      <c r="A484" s="14"/>
      <c r="B484" s="87" t="s">
        <v>442</v>
      </c>
      <c r="C484" s="182" t="s">
        <v>804</v>
      </c>
      <c r="D484" s="189" t="str">
        <f>VLOOKUP(D.sign_Data[[#This Row],[CÓDIGO]],Descripciones[[CÓDIGO]:[NOMBRE DE SERVICIO]],3,FALSE)</f>
        <v>D1. Parcelaciones y Condominios</v>
      </c>
      <c r="E484" s="87" t="s">
        <v>420</v>
      </c>
      <c r="F484" s="88" t="s">
        <v>805</v>
      </c>
      <c r="G484" s="88" t="s">
        <v>422</v>
      </c>
      <c r="H484" s="87" t="s">
        <v>808</v>
      </c>
      <c r="I484" s="89">
        <v>1</v>
      </c>
      <c r="J484" s="88" t="s">
        <v>538</v>
      </c>
      <c r="K484" s="102"/>
      <c r="L484" s="88" t="s">
        <v>810</v>
      </c>
      <c r="M484" s="89" t="s">
        <v>381</v>
      </c>
      <c r="N484" s="90">
        <v>3</v>
      </c>
      <c r="O484" s="27">
        <f>IFERROR(+VLOOKUP(M484,D.sign_Lista_Data[[RESPONSABLE]:[SOFTWARE 
VALOR HORA]],3,FALSE),"0")</f>
        <v>20263.424518743668</v>
      </c>
      <c r="P484" s="3">
        <f t="shared" si="16"/>
        <v>60790.273556231004</v>
      </c>
      <c r="Q484" s="11">
        <f>IFERROR(+VLOOKUP(M484,D.sign_Lista_Data[[RESPONSABLE]:[SOFTWARE 
VALOR HORA]],5,FALSE)*D.sign_Data[[#This Row],[TIEMPO (HORAS)]],0)</f>
        <v>12664.64032421479</v>
      </c>
      <c r="R484" s="42">
        <f>IFERROR(+VLOOKUP(M484,D.sign_Lista_Data[[RESPONSABLE]:[SOFTWARE 
VALOR HORA]],8,FALSE)*D.sign_Data[[#This Row],[TIEMPO (HORAS)]],0)</f>
        <v>10232.56466143195</v>
      </c>
      <c r="S484" s="99">
        <v>0</v>
      </c>
      <c r="T484" s="99">
        <v>0</v>
      </c>
      <c r="U484" s="3">
        <f t="shared" si="17"/>
        <v>83687.478541877746</v>
      </c>
      <c r="V484" s="100">
        <f>D.sign_Data[[#This Row],[TIEMPO (HORAS)]]*Gastos_Operativos[[#Totals],[GASTOS HORA]]</f>
        <v>83368.431216931203</v>
      </c>
      <c r="W484" s="3">
        <f>+D.sign_Data[[#This Row],[COSTO 
DIRECTO ($COP)]]+D.sign_Data[[#This Row],[PRORRATEO GASTOS ($COP)]]</f>
        <v>167055.90975880896</v>
      </c>
      <c r="X484" s="101">
        <v>0.05</v>
      </c>
      <c r="Y484" s="15">
        <f>+D.sign_Data[[#This Row],[COSTOS OPERACIONALES ($COP)]]*D.sign_Data[[#This Row],[DESFASE (%)]]</f>
        <v>8352.7954879404479</v>
      </c>
      <c r="Z484" s="101">
        <v>0.15</v>
      </c>
      <c r="AA484" s="15">
        <f>+((D.sign_Data[[#This Row],[COSTOS OPERACIONALES ($COP)]]/(100%-D.sign_Data[[#This Row],[UTILIDAD (%)]])))-D.sign_Data[[#This Row],[COSTOS OPERACIONALES ($COP)]]</f>
        <v>29480.454663319222</v>
      </c>
      <c r="AB484" s="3">
        <f>+D.sign_Data[[#This Row],[COSTOS OPERACIONALES ($COP)]]+D.sign_Data[[#This Row],[DESFASE ($COP)]]+D.sign_Data[[#This Row],[UTILIDAD ($COP)]]</f>
        <v>204889.15991006864</v>
      </c>
      <c r="AC484" s="101">
        <v>0.05</v>
      </c>
      <c r="AD484" s="15">
        <f>+D.sign_Data[[#This Row],[VALOR NETO ($COP)]]/(100%-D.sign_Data[[#This Row],[MARGEN DE NEGOCIACIÓN (%)]])-D.sign_Data[[#This Row],[VALOR NETO ($COP)]]</f>
        <v>10783.639995266771</v>
      </c>
      <c r="AE484" s="15">
        <f>+(D.sign_Data[[#This Row],[VALOR NETO ($COP)]]+D.sign_Data[[#This Row],[NEGOCIACIÓN ($COP)]])*1%</f>
        <v>2156.7279990533543</v>
      </c>
      <c r="AF484" s="15">
        <f>+(D.sign_Data[[#This Row],[VALOR NETO ($COP)]]+D.sign_Data[[#This Row],[NEGOCIACIÓN ($COP)]])*1%</f>
        <v>2156.7279990533543</v>
      </c>
      <c r="AG484" s="3">
        <f>+D.sign_Data[[#This Row],[VALOR NETO ($COP)]]+D.sign_Data[[#This Row],[NEGOCIACIÓN ($COP)]]+D.sign_Data[[#This Row],[ICA ($COP)]]+D.sign_Data[[#This Row],[4 * 1000 ($COP)]]</f>
        <v>219986.2559034421</v>
      </c>
    </row>
    <row r="485" spans="1:33" ht="60" hidden="1" customHeight="1" x14ac:dyDescent="0.25">
      <c r="A485" s="14"/>
      <c r="B485" s="87" t="s">
        <v>442</v>
      </c>
      <c r="C485" s="182" t="s">
        <v>804</v>
      </c>
      <c r="D485" s="189" t="str">
        <f>VLOOKUP(D.sign_Data[[#This Row],[CÓDIGO]],Descripciones[[CÓDIGO]:[NOMBRE DE SERVICIO]],3,FALSE)</f>
        <v>D1. Parcelaciones y Condominios</v>
      </c>
      <c r="E485" s="87" t="s">
        <v>420</v>
      </c>
      <c r="F485" s="88" t="s">
        <v>805</v>
      </c>
      <c r="G485" s="88" t="s">
        <v>422</v>
      </c>
      <c r="H485" s="87" t="s">
        <v>808</v>
      </c>
      <c r="I485" s="89">
        <v>1</v>
      </c>
      <c r="J485" s="88" t="s">
        <v>430</v>
      </c>
      <c r="K485" s="102"/>
      <c r="L485" s="88" t="s">
        <v>811</v>
      </c>
      <c r="M485" s="89" t="s">
        <v>381</v>
      </c>
      <c r="N485" s="90">
        <v>18.8</v>
      </c>
      <c r="O485" s="27">
        <f>IFERROR(+VLOOKUP(M485,D.sign_Lista_Data[[RESPONSABLE]:[SOFTWARE 
VALOR HORA]],3,FALSE),"0")</f>
        <v>20263.424518743668</v>
      </c>
      <c r="P485" s="3">
        <f t="shared" si="16"/>
        <v>380952.38095238095</v>
      </c>
      <c r="Q485" s="11">
        <f>IFERROR(+VLOOKUP(M485,D.sign_Lista_Data[[RESPONSABLE]:[SOFTWARE 
VALOR HORA]],5,FALSE)*D.sign_Data[[#This Row],[TIEMPO (HORAS)]],0)</f>
        <v>79365.079365079364</v>
      </c>
      <c r="R485" s="42">
        <f>IFERROR(+VLOOKUP(M485,D.sign_Lista_Data[[RESPONSABLE]:[SOFTWARE 
VALOR HORA]],8,FALSE)*D.sign_Data[[#This Row],[TIEMPO (HORAS)]],0)</f>
        <v>64124.071878306888</v>
      </c>
      <c r="S485" s="99">
        <v>0</v>
      </c>
      <c r="T485" s="99">
        <v>0</v>
      </c>
      <c r="U485" s="3">
        <f t="shared" si="17"/>
        <v>524441.53219576715</v>
      </c>
      <c r="V485" s="100">
        <f>D.sign_Data[[#This Row],[TIEMPO (HORAS)]]*Gastos_Operativos[[#Totals],[GASTOS HORA]]</f>
        <v>522442.16895943554</v>
      </c>
      <c r="W485" s="3">
        <f>+D.sign_Data[[#This Row],[COSTO 
DIRECTO ($COP)]]+D.sign_Data[[#This Row],[PRORRATEO GASTOS ($COP)]]</f>
        <v>1046883.7011552027</v>
      </c>
      <c r="X485" s="101">
        <v>0.05</v>
      </c>
      <c r="Y485" s="15">
        <f>+D.sign_Data[[#This Row],[COSTOS OPERACIONALES ($COP)]]*D.sign_Data[[#This Row],[DESFASE (%)]]</f>
        <v>52344.185057760136</v>
      </c>
      <c r="Z485" s="101">
        <v>0.15</v>
      </c>
      <c r="AA485" s="15">
        <f>+((D.sign_Data[[#This Row],[COSTOS OPERACIONALES ($COP)]]/(100%-D.sign_Data[[#This Row],[UTILIDAD (%)]])))-D.sign_Data[[#This Row],[COSTOS OPERACIONALES ($COP)]]</f>
        <v>184744.18255680054</v>
      </c>
      <c r="AB485" s="3">
        <f>+D.sign_Data[[#This Row],[COSTOS OPERACIONALES ($COP)]]+D.sign_Data[[#This Row],[DESFASE ($COP)]]+D.sign_Data[[#This Row],[UTILIDAD ($COP)]]</f>
        <v>1283972.0687697635</v>
      </c>
      <c r="AC485" s="101">
        <v>0.05</v>
      </c>
      <c r="AD485" s="15">
        <f>+D.sign_Data[[#This Row],[VALOR NETO ($COP)]]/(100%-D.sign_Data[[#This Row],[MARGEN DE NEGOCIACIÓN (%)]])-D.sign_Data[[#This Row],[VALOR NETO ($COP)]]</f>
        <v>67577.477303671883</v>
      </c>
      <c r="AE485" s="15">
        <f>+(D.sign_Data[[#This Row],[VALOR NETO ($COP)]]+D.sign_Data[[#This Row],[NEGOCIACIÓN ($COP)]])*1%</f>
        <v>13515.495460734353</v>
      </c>
      <c r="AF485" s="15">
        <f>+(D.sign_Data[[#This Row],[VALOR NETO ($COP)]]+D.sign_Data[[#This Row],[NEGOCIACIÓN ($COP)]])*1%</f>
        <v>13515.495460734353</v>
      </c>
      <c r="AG485" s="3">
        <f>+D.sign_Data[[#This Row],[VALOR NETO ($COP)]]+D.sign_Data[[#This Row],[NEGOCIACIÓN ($COP)]]+D.sign_Data[[#This Row],[ICA ($COP)]]+D.sign_Data[[#This Row],[4 * 1000 ($COP)]]</f>
        <v>1378580.5369949038</v>
      </c>
    </row>
    <row r="486" spans="1:33" ht="60" hidden="1" customHeight="1" x14ac:dyDescent="0.25">
      <c r="A486" s="14"/>
      <c r="B486" s="87" t="s">
        <v>442</v>
      </c>
      <c r="C486" s="182" t="s">
        <v>804</v>
      </c>
      <c r="D486" s="189" t="str">
        <f>VLOOKUP(D.sign_Data[[#This Row],[CÓDIGO]],Descripciones[[CÓDIGO]:[NOMBRE DE SERVICIO]],3,FALSE)</f>
        <v>D1. Parcelaciones y Condominios</v>
      </c>
      <c r="E486" s="87" t="s">
        <v>420</v>
      </c>
      <c r="F486" s="88" t="s">
        <v>805</v>
      </c>
      <c r="G486" s="88" t="s">
        <v>422</v>
      </c>
      <c r="H486" s="87" t="s">
        <v>808</v>
      </c>
      <c r="I486" s="89">
        <v>1</v>
      </c>
      <c r="J486" s="88" t="s">
        <v>538</v>
      </c>
      <c r="K486" s="102"/>
      <c r="L486" s="88" t="s">
        <v>812</v>
      </c>
      <c r="M486" s="89" t="s">
        <v>381</v>
      </c>
      <c r="N486" s="90">
        <v>6</v>
      </c>
      <c r="O486" s="27">
        <f>IFERROR(+VLOOKUP(M486,D.sign_Lista_Data[[RESPONSABLE]:[SOFTWARE 
VALOR HORA]],3,FALSE),"0")</f>
        <v>20263.424518743668</v>
      </c>
      <c r="P486" s="3">
        <f t="shared" si="16"/>
        <v>121580.54711246201</v>
      </c>
      <c r="Q486" s="11">
        <f>IFERROR(+VLOOKUP(M486,D.sign_Lista_Data[[RESPONSABLE]:[SOFTWARE 
VALOR HORA]],5,FALSE)*D.sign_Data[[#This Row],[TIEMPO (HORAS)]],0)</f>
        <v>25329.28064842958</v>
      </c>
      <c r="R486" s="42">
        <f>IFERROR(+VLOOKUP(M486,D.sign_Lista_Data[[RESPONSABLE]:[SOFTWARE 
VALOR HORA]],8,FALSE)*D.sign_Data[[#This Row],[TIEMPO (HORAS)]],0)</f>
        <v>20465.129322863901</v>
      </c>
      <c r="S486" s="99">
        <v>0</v>
      </c>
      <c r="T486" s="99">
        <v>0</v>
      </c>
      <c r="U486" s="3">
        <f t="shared" si="17"/>
        <v>167374.95708375549</v>
      </c>
      <c r="V486" s="100">
        <f>D.sign_Data[[#This Row],[TIEMPO (HORAS)]]*Gastos_Operativos[[#Totals],[GASTOS HORA]]</f>
        <v>166736.86243386241</v>
      </c>
      <c r="W486" s="3">
        <f>+D.sign_Data[[#This Row],[COSTO 
DIRECTO ($COP)]]+D.sign_Data[[#This Row],[PRORRATEO GASTOS ($COP)]]</f>
        <v>334111.81951761793</v>
      </c>
      <c r="X486" s="101">
        <v>0.05</v>
      </c>
      <c r="Y486" s="15">
        <f>+D.sign_Data[[#This Row],[COSTOS OPERACIONALES ($COP)]]*D.sign_Data[[#This Row],[DESFASE (%)]]</f>
        <v>16705.590975880896</v>
      </c>
      <c r="Z486" s="101">
        <v>0.15</v>
      </c>
      <c r="AA486" s="15">
        <f>+((D.sign_Data[[#This Row],[COSTOS OPERACIONALES ($COP)]]/(100%-D.sign_Data[[#This Row],[UTILIDAD (%)]])))-D.sign_Data[[#This Row],[COSTOS OPERACIONALES ($COP)]]</f>
        <v>58960.909326638444</v>
      </c>
      <c r="AB486" s="3">
        <f>+D.sign_Data[[#This Row],[COSTOS OPERACIONALES ($COP)]]+D.sign_Data[[#This Row],[DESFASE ($COP)]]+D.sign_Data[[#This Row],[UTILIDAD ($COP)]]</f>
        <v>409778.31982013729</v>
      </c>
      <c r="AC486" s="101">
        <v>0.05</v>
      </c>
      <c r="AD486" s="15">
        <f>+D.sign_Data[[#This Row],[VALOR NETO ($COP)]]/(100%-D.sign_Data[[#This Row],[MARGEN DE NEGOCIACIÓN (%)]])-D.sign_Data[[#This Row],[VALOR NETO ($COP)]]</f>
        <v>21567.279990533541</v>
      </c>
      <c r="AE486" s="15">
        <f>+(D.sign_Data[[#This Row],[VALOR NETO ($COP)]]+D.sign_Data[[#This Row],[NEGOCIACIÓN ($COP)]])*1%</f>
        <v>4313.4559981067086</v>
      </c>
      <c r="AF486" s="15">
        <f>+(D.sign_Data[[#This Row],[VALOR NETO ($COP)]]+D.sign_Data[[#This Row],[NEGOCIACIÓN ($COP)]])*1%</f>
        <v>4313.4559981067086</v>
      </c>
      <c r="AG486" s="3">
        <f>+D.sign_Data[[#This Row],[VALOR NETO ($COP)]]+D.sign_Data[[#This Row],[NEGOCIACIÓN ($COP)]]+D.sign_Data[[#This Row],[ICA ($COP)]]+D.sign_Data[[#This Row],[4 * 1000 ($COP)]]</f>
        <v>439972.5118068842</v>
      </c>
    </row>
    <row r="487" spans="1:33" ht="60" hidden="1" customHeight="1" x14ac:dyDescent="0.25">
      <c r="A487" s="14"/>
      <c r="B487" s="87" t="s">
        <v>442</v>
      </c>
      <c r="C487" s="182" t="s">
        <v>804</v>
      </c>
      <c r="D487" s="189" t="str">
        <f>VLOOKUP(D.sign_Data[[#This Row],[CÓDIGO]],Descripciones[[CÓDIGO]:[NOMBRE DE SERVICIO]],3,FALSE)</f>
        <v>D1. Parcelaciones y Condominios</v>
      </c>
      <c r="E487" s="87" t="s">
        <v>420</v>
      </c>
      <c r="F487" s="88" t="s">
        <v>805</v>
      </c>
      <c r="G487" s="88" t="s">
        <v>422</v>
      </c>
      <c r="H487" s="87" t="s">
        <v>808</v>
      </c>
      <c r="I487" s="89">
        <v>1</v>
      </c>
      <c r="J487" s="88" t="s">
        <v>538</v>
      </c>
      <c r="K487" s="102"/>
      <c r="L487" s="88" t="s">
        <v>813</v>
      </c>
      <c r="M487" s="89" t="s">
        <v>381</v>
      </c>
      <c r="N487" s="90">
        <v>5</v>
      </c>
      <c r="O487" s="27">
        <f>IFERROR(+VLOOKUP(M487,D.sign_Lista_Data[[RESPONSABLE]:[SOFTWARE 
VALOR HORA]],3,FALSE),"0")</f>
        <v>20263.424518743668</v>
      </c>
      <c r="P487" s="3">
        <f t="shared" si="16"/>
        <v>101317.12259371835</v>
      </c>
      <c r="Q487" s="11">
        <f>IFERROR(+VLOOKUP(M487,D.sign_Lista_Data[[RESPONSABLE]:[SOFTWARE 
VALOR HORA]],5,FALSE)*D.sign_Data[[#This Row],[TIEMPO (HORAS)]],0)</f>
        <v>21107.733873691319</v>
      </c>
      <c r="R487" s="42">
        <f>IFERROR(+VLOOKUP(M487,D.sign_Lista_Data[[RESPONSABLE]:[SOFTWARE 
VALOR HORA]],8,FALSE)*D.sign_Data[[#This Row],[TIEMPO (HORAS)]],0)</f>
        <v>17054.274435719919</v>
      </c>
      <c r="S487" s="99">
        <v>0</v>
      </c>
      <c r="T487" s="99">
        <v>0</v>
      </c>
      <c r="U487" s="3">
        <f t="shared" si="17"/>
        <v>139479.13090312958</v>
      </c>
      <c r="V487" s="100">
        <f>D.sign_Data[[#This Row],[TIEMPO (HORAS)]]*Gastos_Operativos[[#Totals],[GASTOS HORA]]</f>
        <v>138947.38536155201</v>
      </c>
      <c r="W487" s="3">
        <f>+D.sign_Data[[#This Row],[COSTO 
DIRECTO ($COP)]]+D.sign_Data[[#This Row],[PRORRATEO GASTOS ($COP)]]</f>
        <v>278426.51626468159</v>
      </c>
      <c r="X487" s="101">
        <v>0.05</v>
      </c>
      <c r="Y487" s="15">
        <f>+D.sign_Data[[#This Row],[COSTOS OPERACIONALES ($COP)]]*D.sign_Data[[#This Row],[DESFASE (%)]]</f>
        <v>13921.32581323408</v>
      </c>
      <c r="Z487" s="101">
        <v>0.15</v>
      </c>
      <c r="AA487" s="15">
        <f>+((D.sign_Data[[#This Row],[COSTOS OPERACIONALES ($COP)]]/(100%-D.sign_Data[[#This Row],[UTILIDAD (%)]])))-D.sign_Data[[#This Row],[COSTOS OPERACIONALES ($COP)]]</f>
        <v>49134.091105532076</v>
      </c>
      <c r="AB487" s="3">
        <f>+D.sign_Data[[#This Row],[COSTOS OPERACIONALES ($COP)]]+D.sign_Data[[#This Row],[DESFASE ($COP)]]+D.sign_Data[[#This Row],[UTILIDAD ($COP)]]</f>
        <v>341481.93318344775</v>
      </c>
      <c r="AC487" s="101">
        <v>0.05</v>
      </c>
      <c r="AD487" s="15">
        <f>+D.sign_Data[[#This Row],[VALOR NETO ($COP)]]/(100%-D.sign_Data[[#This Row],[MARGEN DE NEGOCIACIÓN (%)]])-D.sign_Data[[#This Row],[VALOR NETO ($COP)]]</f>
        <v>17972.733325444628</v>
      </c>
      <c r="AE487" s="15">
        <f>+(D.sign_Data[[#This Row],[VALOR NETO ($COP)]]+D.sign_Data[[#This Row],[NEGOCIACIÓN ($COP)]])*1%</f>
        <v>3594.5466650889239</v>
      </c>
      <c r="AF487" s="15">
        <f>+(D.sign_Data[[#This Row],[VALOR NETO ($COP)]]+D.sign_Data[[#This Row],[NEGOCIACIÓN ($COP)]])*1%</f>
        <v>3594.5466650889239</v>
      </c>
      <c r="AG487" s="3">
        <f>+D.sign_Data[[#This Row],[VALOR NETO ($COP)]]+D.sign_Data[[#This Row],[NEGOCIACIÓN ($COP)]]+D.sign_Data[[#This Row],[ICA ($COP)]]+D.sign_Data[[#This Row],[4 * 1000 ($COP)]]</f>
        <v>366643.7598390702</v>
      </c>
    </row>
    <row r="488" spans="1:33" ht="60" hidden="1" customHeight="1" x14ac:dyDescent="0.25">
      <c r="A488" s="14"/>
      <c r="B488" s="87" t="s">
        <v>442</v>
      </c>
      <c r="C488" s="182" t="s">
        <v>804</v>
      </c>
      <c r="D488" s="189" t="str">
        <f>VLOOKUP(D.sign_Data[[#This Row],[CÓDIGO]],Descripciones[[CÓDIGO]:[NOMBRE DE SERVICIO]],3,FALSE)</f>
        <v>D1. Parcelaciones y Condominios</v>
      </c>
      <c r="E488" s="87" t="s">
        <v>420</v>
      </c>
      <c r="F488" s="88" t="s">
        <v>805</v>
      </c>
      <c r="G488" s="88" t="s">
        <v>814</v>
      </c>
      <c r="H488" s="87" t="s">
        <v>808</v>
      </c>
      <c r="I488" s="89">
        <v>1</v>
      </c>
      <c r="J488" s="88" t="s">
        <v>430</v>
      </c>
      <c r="K488" s="102"/>
      <c r="L488" s="91" t="s">
        <v>815</v>
      </c>
      <c r="M488" s="89" t="s">
        <v>381</v>
      </c>
      <c r="N488" s="90">
        <v>2</v>
      </c>
      <c r="O488" s="27">
        <f>IFERROR(+VLOOKUP(M488,D.sign_Lista_Data[[RESPONSABLE]:[SOFTWARE 
VALOR HORA]],3,FALSE),"0")</f>
        <v>20263.424518743668</v>
      </c>
      <c r="P488" s="3">
        <f t="shared" si="16"/>
        <v>40526.849037487336</v>
      </c>
      <c r="Q488" s="11">
        <f>IFERROR(+VLOOKUP(M488,D.sign_Lista_Data[[RESPONSABLE]:[SOFTWARE 
VALOR HORA]],5,FALSE)*D.sign_Data[[#This Row],[TIEMPO (HORAS)]],0)</f>
        <v>8443.0935494765272</v>
      </c>
      <c r="R488" s="42">
        <f>IFERROR(+VLOOKUP(M488,D.sign_Lista_Data[[RESPONSABLE]:[SOFTWARE 
VALOR HORA]],8,FALSE)*D.sign_Data[[#This Row],[TIEMPO (HORAS)]],0)</f>
        <v>6821.7097742879669</v>
      </c>
      <c r="S488" s="99">
        <v>0</v>
      </c>
      <c r="T488" s="99">
        <v>0</v>
      </c>
      <c r="U488" s="3">
        <f t="shared" si="17"/>
        <v>55791.652361251836</v>
      </c>
      <c r="V488" s="100">
        <f>D.sign_Data[[#This Row],[TIEMPO (HORAS)]]*Gastos_Operativos[[#Totals],[GASTOS HORA]]</f>
        <v>55578.954144620802</v>
      </c>
      <c r="W488" s="3">
        <f>+D.sign_Data[[#This Row],[COSTO 
DIRECTO ($COP)]]+D.sign_Data[[#This Row],[PRORRATEO GASTOS ($COP)]]</f>
        <v>111370.60650587264</v>
      </c>
      <c r="X488" s="101">
        <v>0.05</v>
      </c>
      <c r="Y488" s="15">
        <f>+D.sign_Data[[#This Row],[COSTOS OPERACIONALES ($COP)]]*D.sign_Data[[#This Row],[DESFASE (%)]]</f>
        <v>5568.5303252936319</v>
      </c>
      <c r="Z488" s="101">
        <v>0.15</v>
      </c>
      <c r="AA488" s="15">
        <f>+((D.sign_Data[[#This Row],[COSTOS OPERACIONALES ($COP)]]/(100%-D.sign_Data[[#This Row],[UTILIDAD (%)]])))-D.sign_Data[[#This Row],[COSTOS OPERACIONALES ($COP)]]</f>
        <v>19653.636442212824</v>
      </c>
      <c r="AB488" s="3">
        <f>+D.sign_Data[[#This Row],[COSTOS OPERACIONALES ($COP)]]+D.sign_Data[[#This Row],[DESFASE ($COP)]]+D.sign_Data[[#This Row],[UTILIDAD ($COP)]]</f>
        <v>136592.77327337908</v>
      </c>
      <c r="AC488" s="101">
        <v>0.05</v>
      </c>
      <c r="AD488" s="15">
        <f>+D.sign_Data[[#This Row],[VALOR NETO ($COP)]]/(100%-D.sign_Data[[#This Row],[MARGEN DE NEGOCIACIÓN (%)]])-D.sign_Data[[#This Row],[VALOR NETO ($COP)]]</f>
        <v>7189.0933301778568</v>
      </c>
      <c r="AE488" s="15">
        <f>+(D.sign_Data[[#This Row],[VALOR NETO ($COP)]]+D.sign_Data[[#This Row],[NEGOCIACIÓN ($COP)]])*1%</f>
        <v>1437.8186660355693</v>
      </c>
      <c r="AF488" s="15">
        <f>+(D.sign_Data[[#This Row],[VALOR NETO ($COP)]]+D.sign_Data[[#This Row],[NEGOCIACIÓN ($COP)]])*1%</f>
        <v>1437.8186660355693</v>
      </c>
      <c r="AG488" s="3">
        <f>+D.sign_Data[[#This Row],[VALOR NETO ($COP)]]+D.sign_Data[[#This Row],[NEGOCIACIÓN ($COP)]]+D.sign_Data[[#This Row],[ICA ($COP)]]+D.sign_Data[[#This Row],[4 * 1000 ($COP)]]</f>
        <v>146657.50393562808</v>
      </c>
    </row>
    <row r="489" spans="1:33" ht="60" hidden="1" customHeight="1" x14ac:dyDescent="0.25">
      <c r="A489" s="14"/>
      <c r="B489" s="87" t="s">
        <v>442</v>
      </c>
      <c r="C489" s="182" t="s">
        <v>804</v>
      </c>
      <c r="D489" s="189" t="str">
        <f>VLOOKUP(D.sign_Data[[#This Row],[CÓDIGO]],Descripciones[[CÓDIGO]:[NOMBRE DE SERVICIO]],3,FALSE)</f>
        <v>D1. Parcelaciones y Condominios</v>
      </c>
      <c r="E489" s="87" t="s">
        <v>420</v>
      </c>
      <c r="F489" s="88" t="s">
        <v>805</v>
      </c>
      <c r="G489" s="88" t="s">
        <v>814</v>
      </c>
      <c r="H489" s="87" t="s">
        <v>808</v>
      </c>
      <c r="I489" s="89">
        <v>1</v>
      </c>
      <c r="J489" s="88" t="s">
        <v>430</v>
      </c>
      <c r="K489" s="102"/>
      <c r="L489" s="91" t="s">
        <v>816</v>
      </c>
      <c r="M489" s="89" t="s">
        <v>381</v>
      </c>
      <c r="N489" s="90">
        <v>2</v>
      </c>
      <c r="O489" s="27">
        <f>IFERROR(+VLOOKUP(M489,D.sign_Lista_Data[[RESPONSABLE]:[SOFTWARE 
VALOR HORA]],3,FALSE),"0")</f>
        <v>20263.424518743668</v>
      </c>
      <c r="P489" s="3">
        <f t="shared" si="16"/>
        <v>40526.849037487336</v>
      </c>
      <c r="Q489" s="11">
        <f>IFERROR(+VLOOKUP(M489,D.sign_Lista_Data[[RESPONSABLE]:[SOFTWARE 
VALOR HORA]],5,FALSE)*D.sign_Data[[#This Row],[TIEMPO (HORAS)]],0)</f>
        <v>8443.0935494765272</v>
      </c>
      <c r="R489" s="42">
        <f>IFERROR(+VLOOKUP(M489,D.sign_Lista_Data[[RESPONSABLE]:[SOFTWARE 
VALOR HORA]],8,FALSE)*D.sign_Data[[#This Row],[TIEMPO (HORAS)]],0)</f>
        <v>6821.7097742879669</v>
      </c>
      <c r="S489" s="99">
        <v>0</v>
      </c>
      <c r="T489" s="99">
        <v>0</v>
      </c>
      <c r="U489" s="3">
        <f t="shared" si="17"/>
        <v>55791.652361251836</v>
      </c>
      <c r="V489" s="100">
        <f>D.sign_Data[[#This Row],[TIEMPO (HORAS)]]*Gastos_Operativos[[#Totals],[GASTOS HORA]]</f>
        <v>55578.954144620802</v>
      </c>
      <c r="W489" s="3">
        <f>+D.sign_Data[[#This Row],[COSTO 
DIRECTO ($COP)]]+D.sign_Data[[#This Row],[PRORRATEO GASTOS ($COP)]]</f>
        <v>111370.60650587264</v>
      </c>
      <c r="X489" s="101">
        <v>0.05</v>
      </c>
      <c r="Y489" s="15">
        <f>+D.sign_Data[[#This Row],[COSTOS OPERACIONALES ($COP)]]*D.sign_Data[[#This Row],[DESFASE (%)]]</f>
        <v>5568.5303252936319</v>
      </c>
      <c r="Z489" s="101">
        <v>0.15</v>
      </c>
      <c r="AA489" s="15">
        <f>+((D.sign_Data[[#This Row],[COSTOS OPERACIONALES ($COP)]]/(100%-D.sign_Data[[#This Row],[UTILIDAD (%)]])))-D.sign_Data[[#This Row],[COSTOS OPERACIONALES ($COP)]]</f>
        <v>19653.636442212824</v>
      </c>
      <c r="AB489" s="3">
        <f>+D.sign_Data[[#This Row],[COSTOS OPERACIONALES ($COP)]]+D.sign_Data[[#This Row],[DESFASE ($COP)]]+D.sign_Data[[#This Row],[UTILIDAD ($COP)]]</f>
        <v>136592.77327337908</v>
      </c>
      <c r="AC489" s="101">
        <v>0.05</v>
      </c>
      <c r="AD489" s="15">
        <f>+D.sign_Data[[#This Row],[VALOR NETO ($COP)]]/(100%-D.sign_Data[[#This Row],[MARGEN DE NEGOCIACIÓN (%)]])-D.sign_Data[[#This Row],[VALOR NETO ($COP)]]</f>
        <v>7189.0933301778568</v>
      </c>
      <c r="AE489" s="15">
        <f>+(D.sign_Data[[#This Row],[VALOR NETO ($COP)]]+D.sign_Data[[#This Row],[NEGOCIACIÓN ($COP)]])*1%</f>
        <v>1437.8186660355693</v>
      </c>
      <c r="AF489" s="15">
        <f>+(D.sign_Data[[#This Row],[VALOR NETO ($COP)]]+D.sign_Data[[#This Row],[NEGOCIACIÓN ($COP)]])*1%</f>
        <v>1437.8186660355693</v>
      </c>
      <c r="AG489" s="3">
        <f>+D.sign_Data[[#This Row],[VALOR NETO ($COP)]]+D.sign_Data[[#This Row],[NEGOCIACIÓN ($COP)]]+D.sign_Data[[#This Row],[ICA ($COP)]]+D.sign_Data[[#This Row],[4 * 1000 ($COP)]]</f>
        <v>146657.50393562808</v>
      </c>
    </row>
    <row r="490" spans="1:33" ht="60" hidden="1" customHeight="1" x14ac:dyDescent="0.25">
      <c r="A490" s="14"/>
      <c r="B490" s="87" t="s">
        <v>442</v>
      </c>
      <c r="C490" s="182" t="s">
        <v>804</v>
      </c>
      <c r="D490" s="189" t="str">
        <f>VLOOKUP(D.sign_Data[[#This Row],[CÓDIGO]],Descripciones[[CÓDIGO]:[NOMBRE DE SERVICIO]],3,FALSE)</f>
        <v>D1. Parcelaciones y Condominios</v>
      </c>
      <c r="E490" s="87" t="s">
        <v>420</v>
      </c>
      <c r="F490" s="88" t="s">
        <v>805</v>
      </c>
      <c r="G490" s="88" t="s">
        <v>814</v>
      </c>
      <c r="H490" s="87" t="s">
        <v>808</v>
      </c>
      <c r="I490" s="89">
        <v>1</v>
      </c>
      <c r="J490" s="88" t="s">
        <v>647</v>
      </c>
      <c r="K490" s="102"/>
      <c r="L490" s="91" t="s">
        <v>817</v>
      </c>
      <c r="M490" s="89" t="s">
        <v>381</v>
      </c>
      <c r="N490" s="90">
        <v>1</v>
      </c>
      <c r="O490" s="27">
        <f>IFERROR(+VLOOKUP(M490,D.sign_Lista_Data[[RESPONSABLE]:[SOFTWARE 
VALOR HORA]],3,FALSE),"0")</f>
        <v>20263.424518743668</v>
      </c>
      <c r="P490" s="3">
        <f t="shared" si="16"/>
        <v>20263.424518743668</v>
      </c>
      <c r="Q490" s="11">
        <f>IFERROR(+VLOOKUP(M490,D.sign_Lista_Data[[RESPONSABLE]:[SOFTWARE 
VALOR HORA]],5,FALSE)*D.sign_Data[[#This Row],[TIEMPO (HORAS)]],0)</f>
        <v>4221.5467747382636</v>
      </c>
      <c r="R490" s="42">
        <f>IFERROR(+VLOOKUP(M490,D.sign_Lista_Data[[RESPONSABLE]:[SOFTWARE 
VALOR HORA]],8,FALSE)*D.sign_Data[[#This Row],[TIEMPO (HORAS)]],0)</f>
        <v>3410.8548871439834</v>
      </c>
      <c r="S490" s="99">
        <v>0</v>
      </c>
      <c r="T490" s="99">
        <v>0</v>
      </c>
      <c r="U490" s="3">
        <f t="shared" si="17"/>
        <v>27895.826180625918</v>
      </c>
      <c r="V490" s="100">
        <f>D.sign_Data[[#This Row],[TIEMPO (HORAS)]]*Gastos_Operativos[[#Totals],[GASTOS HORA]]</f>
        <v>27789.477072310401</v>
      </c>
      <c r="W490" s="3">
        <f>+D.sign_Data[[#This Row],[COSTO 
DIRECTO ($COP)]]+D.sign_Data[[#This Row],[PRORRATEO GASTOS ($COP)]]</f>
        <v>55685.303252936319</v>
      </c>
      <c r="X490" s="101">
        <v>0.05</v>
      </c>
      <c r="Y490" s="15">
        <f>+D.sign_Data[[#This Row],[COSTOS OPERACIONALES ($COP)]]*D.sign_Data[[#This Row],[DESFASE (%)]]</f>
        <v>2784.265162646816</v>
      </c>
      <c r="Z490" s="101">
        <v>0.15</v>
      </c>
      <c r="AA490" s="15">
        <f>+((D.sign_Data[[#This Row],[COSTOS OPERACIONALES ($COP)]]/(100%-D.sign_Data[[#This Row],[UTILIDAD (%)]])))-D.sign_Data[[#This Row],[COSTOS OPERACIONALES ($COP)]]</f>
        <v>9826.8182211064122</v>
      </c>
      <c r="AB490" s="3">
        <f>+D.sign_Data[[#This Row],[COSTOS OPERACIONALES ($COP)]]+D.sign_Data[[#This Row],[DESFASE ($COP)]]+D.sign_Data[[#This Row],[UTILIDAD ($COP)]]</f>
        <v>68296.386636689538</v>
      </c>
      <c r="AC490" s="101">
        <v>0.05</v>
      </c>
      <c r="AD490" s="15">
        <f>+D.sign_Data[[#This Row],[VALOR NETO ($COP)]]/(100%-D.sign_Data[[#This Row],[MARGEN DE NEGOCIACIÓN (%)]])-D.sign_Data[[#This Row],[VALOR NETO ($COP)]]</f>
        <v>3594.5466650889284</v>
      </c>
      <c r="AE490" s="15">
        <f>+(D.sign_Data[[#This Row],[VALOR NETO ($COP)]]+D.sign_Data[[#This Row],[NEGOCIACIÓN ($COP)]])*1%</f>
        <v>718.90933301778466</v>
      </c>
      <c r="AF490" s="15">
        <f>+(D.sign_Data[[#This Row],[VALOR NETO ($COP)]]+D.sign_Data[[#This Row],[NEGOCIACIÓN ($COP)]])*1%</f>
        <v>718.90933301778466</v>
      </c>
      <c r="AG490" s="3">
        <f>+D.sign_Data[[#This Row],[VALOR NETO ($COP)]]+D.sign_Data[[#This Row],[NEGOCIACIÓN ($COP)]]+D.sign_Data[[#This Row],[ICA ($COP)]]+D.sign_Data[[#This Row],[4 * 1000 ($COP)]]</f>
        <v>73328.751967814038</v>
      </c>
    </row>
    <row r="491" spans="1:33" ht="60" hidden="1" customHeight="1" x14ac:dyDescent="0.25">
      <c r="A491" s="14"/>
      <c r="B491" s="87" t="s">
        <v>442</v>
      </c>
      <c r="C491" s="182" t="s">
        <v>804</v>
      </c>
      <c r="D491" s="189" t="str">
        <f>VLOOKUP(D.sign_Data[[#This Row],[CÓDIGO]],Descripciones[[CÓDIGO]:[NOMBRE DE SERVICIO]],3,FALSE)</f>
        <v>D1. Parcelaciones y Condominios</v>
      </c>
      <c r="E491" s="87" t="s">
        <v>420</v>
      </c>
      <c r="F491" s="88" t="s">
        <v>805</v>
      </c>
      <c r="G491" s="88" t="s">
        <v>814</v>
      </c>
      <c r="H491" s="87" t="s">
        <v>808</v>
      </c>
      <c r="I491" s="89">
        <v>1</v>
      </c>
      <c r="J491" s="88" t="s">
        <v>818</v>
      </c>
      <c r="K491" s="102"/>
      <c r="L491" s="91" t="s">
        <v>819</v>
      </c>
      <c r="M491" s="89" t="s">
        <v>381</v>
      </c>
      <c r="N491" s="90">
        <v>1</v>
      </c>
      <c r="O491" s="27">
        <f>IFERROR(+VLOOKUP(M491,D.sign_Lista_Data[[RESPONSABLE]:[SOFTWARE 
VALOR HORA]],3,FALSE),"0")</f>
        <v>20263.424518743668</v>
      </c>
      <c r="P491" s="3">
        <f t="shared" si="16"/>
        <v>20263.424518743668</v>
      </c>
      <c r="Q491" s="11">
        <f>IFERROR(+VLOOKUP(M491,D.sign_Lista_Data[[RESPONSABLE]:[SOFTWARE 
VALOR HORA]],5,FALSE)*D.sign_Data[[#This Row],[TIEMPO (HORAS)]],0)</f>
        <v>4221.5467747382636</v>
      </c>
      <c r="R491" s="42">
        <f>IFERROR(+VLOOKUP(M491,D.sign_Lista_Data[[RESPONSABLE]:[SOFTWARE 
VALOR HORA]],8,FALSE)*D.sign_Data[[#This Row],[TIEMPO (HORAS)]],0)</f>
        <v>3410.8548871439834</v>
      </c>
      <c r="S491" s="99">
        <v>0</v>
      </c>
      <c r="T491" s="99">
        <v>0</v>
      </c>
      <c r="U491" s="3">
        <f t="shared" si="17"/>
        <v>27895.826180625918</v>
      </c>
      <c r="V491" s="100">
        <f>D.sign_Data[[#This Row],[TIEMPO (HORAS)]]*Gastos_Operativos[[#Totals],[GASTOS HORA]]</f>
        <v>27789.477072310401</v>
      </c>
      <c r="W491" s="3">
        <f>+D.sign_Data[[#This Row],[COSTO 
DIRECTO ($COP)]]+D.sign_Data[[#This Row],[PRORRATEO GASTOS ($COP)]]</f>
        <v>55685.303252936319</v>
      </c>
      <c r="X491" s="101">
        <v>0.05</v>
      </c>
      <c r="Y491" s="15">
        <f>+D.sign_Data[[#This Row],[COSTOS OPERACIONALES ($COP)]]*D.sign_Data[[#This Row],[DESFASE (%)]]</f>
        <v>2784.265162646816</v>
      </c>
      <c r="Z491" s="101">
        <v>0.15</v>
      </c>
      <c r="AA491" s="15">
        <f>+((D.sign_Data[[#This Row],[COSTOS OPERACIONALES ($COP)]]/(100%-D.sign_Data[[#This Row],[UTILIDAD (%)]])))-D.sign_Data[[#This Row],[COSTOS OPERACIONALES ($COP)]]</f>
        <v>9826.8182211064122</v>
      </c>
      <c r="AB491" s="3">
        <f>+D.sign_Data[[#This Row],[COSTOS OPERACIONALES ($COP)]]+D.sign_Data[[#This Row],[DESFASE ($COP)]]+D.sign_Data[[#This Row],[UTILIDAD ($COP)]]</f>
        <v>68296.386636689538</v>
      </c>
      <c r="AC491" s="101">
        <v>0.05</v>
      </c>
      <c r="AD491" s="15">
        <f>+D.sign_Data[[#This Row],[VALOR NETO ($COP)]]/(100%-D.sign_Data[[#This Row],[MARGEN DE NEGOCIACIÓN (%)]])-D.sign_Data[[#This Row],[VALOR NETO ($COP)]]</f>
        <v>3594.5466650889284</v>
      </c>
      <c r="AE491" s="15">
        <f>+(D.sign_Data[[#This Row],[VALOR NETO ($COP)]]+D.sign_Data[[#This Row],[NEGOCIACIÓN ($COP)]])*1%</f>
        <v>718.90933301778466</v>
      </c>
      <c r="AF491" s="15">
        <f>+(D.sign_Data[[#This Row],[VALOR NETO ($COP)]]+D.sign_Data[[#This Row],[NEGOCIACIÓN ($COP)]])*1%</f>
        <v>718.90933301778466</v>
      </c>
      <c r="AG491" s="3">
        <f>+D.sign_Data[[#This Row],[VALOR NETO ($COP)]]+D.sign_Data[[#This Row],[NEGOCIACIÓN ($COP)]]+D.sign_Data[[#This Row],[ICA ($COP)]]+D.sign_Data[[#This Row],[4 * 1000 ($COP)]]</f>
        <v>73328.751967814038</v>
      </c>
    </row>
    <row r="492" spans="1:33" ht="60" hidden="1" customHeight="1" x14ac:dyDescent="0.25">
      <c r="A492" s="14"/>
      <c r="B492" s="87" t="s">
        <v>442</v>
      </c>
      <c r="C492" s="182" t="s">
        <v>804</v>
      </c>
      <c r="D492" s="189" t="str">
        <f>VLOOKUP(D.sign_Data[[#This Row],[CÓDIGO]],Descripciones[[CÓDIGO]:[NOMBRE DE SERVICIO]],3,FALSE)</f>
        <v>D1. Parcelaciones y Condominios</v>
      </c>
      <c r="E492" s="87" t="s">
        <v>420</v>
      </c>
      <c r="F492" s="88" t="s">
        <v>805</v>
      </c>
      <c r="G492" s="88" t="s">
        <v>814</v>
      </c>
      <c r="H492" s="87" t="s">
        <v>808</v>
      </c>
      <c r="I492" s="89">
        <v>1</v>
      </c>
      <c r="J492" s="88" t="s">
        <v>818</v>
      </c>
      <c r="K492" s="102"/>
      <c r="L492" s="91" t="s">
        <v>820</v>
      </c>
      <c r="M492" s="89" t="s">
        <v>381</v>
      </c>
      <c r="N492" s="90">
        <v>1</v>
      </c>
      <c r="O492" s="27">
        <f>IFERROR(+VLOOKUP(M492,D.sign_Lista_Data[[RESPONSABLE]:[SOFTWARE 
VALOR HORA]],3,FALSE),"0")</f>
        <v>20263.424518743668</v>
      </c>
      <c r="P492" s="3">
        <f t="shared" si="16"/>
        <v>20263.424518743668</v>
      </c>
      <c r="Q492" s="11">
        <f>IFERROR(+VLOOKUP(M492,D.sign_Lista_Data[[RESPONSABLE]:[SOFTWARE 
VALOR HORA]],5,FALSE)*D.sign_Data[[#This Row],[TIEMPO (HORAS)]],0)</f>
        <v>4221.5467747382636</v>
      </c>
      <c r="R492" s="42">
        <f>IFERROR(+VLOOKUP(M492,D.sign_Lista_Data[[RESPONSABLE]:[SOFTWARE 
VALOR HORA]],8,FALSE)*D.sign_Data[[#This Row],[TIEMPO (HORAS)]],0)</f>
        <v>3410.8548871439834</v>
      </c>
      <c r="S492" s="99">
        <v>0</v>
      </c>
      <c r="T492" s="99">
        <v>0</v>
      </c>
      <c r="U492" s="3">
        <f t="shared" si="17"/>
        <v>27895.826180625918</v>
      </c>
      <c r="V492" s="100">
        <f>D.sign_Data[[#This Row],[TIEMPO (HORAS)]]*Gastos_Operativos[[#Totals],[GASTOS HORA]]</f>
        <v>27789.477072310401</v>
      </c>
      <c r="W492" s="3">
        <f>+D.sign_Data[[#This Row],[COSTO 
DIRECTO ($COP)]]+D.sign_Data[[#This Row],[PRORRATEO GASTOS ($COP)]]</f>
        <v>55685.303252936319</v>
      </c>
      <c r="X492" s="101">
        <v>0.05</v>
      </c>
      <c r="Y492" s="15">
        <f>+D.sign_Data[[#This Row],[COSTOS OPERACIONALES ($COP)]]*D.sign_Data[[#This Row],[DESFASE (%)]]</f>
        <v>2784.265162646816</v>
      </c>
      <c r="Z492" s="101">
        <v>0.15</v>
      </c>
      <c r="AA492" s="15">
        <f>+((D.sign_Data[[#This Row],[COSTOS OPERACIONALES ($COP)]]/(100%-D.sign_Data[[#This Row],[UTILIDAD (%)]])))-D.sign_Data[[#This Row],[COSTOS OPERACIONALES ($COP)]]</f>
        <v>9826.8182211064122</v>
      </c>
      <c r="AB492" s="3">
        <f>+D.sign_Data[[#This Row],[COSTOS OPERACIONALES ($COP)]]+D.sign_Data[[#This Row],[DESFASE ($COP)]]+D.sign_Data[[#This Row],[UTILIDAD ($COP)]]</f>
        <v>68296.386636689538</v>
      </c>
      <c r="AC492" s="101">
        <v>0.05</v>
      </c>
      <c r="AD492" s="15">
        <f>+D.sign_Data[[#This Row],[VALOR NETO ($COP)]]/(100%-D.sign_Data[[#This Row],[MARGEN DE NEGOCIACIÓN (%)]])-D.sign_Data[[#This Row],[VALOR NETO ($COP)]]</f>
        <v>3594.5466650889284</v>
      </c>
      <c r="AE492" s="15">
        <f>+(D.sign_Data[[#This Row],[VALOR NETO ($COP)]]+D.sign_Data[[#This Row],[NEGOCIACIÓN ($COP)]])*1%</f>
        <v>718.90933301778466</v>
      </c>
      <c r="AF492" s="15">
        <f>+(D.sign_Data[[#This Row],[VALOR NETO ($COP)]]+D.sign_Data[[#This Row],[NEGOCIACIÓN ($COP)]])*1%</f>
        <v>718.90933301778466</v>
      </c>
      <c r="AG492" s="3">
        <f>+D.sign_Data[[#This Row],[VALOR NETO ($COP)]]+D.sign_Data[[#This Row],[NEGOCIACIÓN ($COP)]]+D.sign_Data[[#This Row],[ICA ($COP)]]+D.sign_Data[[#This Row],[4 * 1000 ($COP)]]</f>
        <v>73328.751967814038</v>
      </c>
    </row>
    <row r="493" spans="1:33" ht="60" hidden="1" customHeight="1" x14ac:dyDescent="0.25">
      <c r="A493" s="14"/>
      <c r="B493" s="87" t="s">
        <v>442</v>
      </c>
      <c r="C493" s="182" t="s">
        <v>804</v>
      </c>
      <c r="D493" s="189" t="str">
        <f>VLOOKUP(D.sign_Data[[#This Row],[CÓDIGO]],Descripciones[[CÓDIGO]:[NOMBRE DE SERVICIO]],3,FALSE)</f>
        <v>D1. Parcelaciones y Condominios</v>
      </c>
      <c r="E493" s="87" t="s">
        <v>420</v>
      </c>
      <c r="F493" s="88" t="s">
        <v>805</v>
      </c>
      <c r="G493" s="88" t="s">
        <v>814</v>
      </c>
      <c r="H493" s="87" t="s">
        <v>808</v>
      </c>
      <c r="I493" s="89">
        <v>1</v>
      </c>
      <c r="J493" s="88" t="s">
        <v>818</v>
      </c>
      <c r="K493" s="102"/>
      <c r="L493" s="91" t="s">
        <v>821</v>
      </c>
      <c r="M493" s="89" t="s">
        <v>381</v>
      </c>
      <c r="N493" s="90">
        <v>1</v>
      </c>
      <c r="O493" s="27">
        <f>IFERROR(+VLOOKUP(M493,D.sign_Lista_Data[[RESPONSABLE]:[SOFTWARE 
VALOR HORA]],3,FALSE),"0")</f>
        <v>20263.424518743668</v>
      </c>
      <c r="P493" s="3">
        <f t="shared" si="16"/>
        <v>20263.424518743668</v>
      </c>
      <c r="Q493" s="11">
        <f>IFERROR(+VLOOKUP(M493,D.sign_Lista_Data[[RESPONSABLE]:[SOFTWARE 
VALOR HORA]],5,FALSE)*D.sign_Data[[#This Row],[TIEMPO (HORAS)]],0)</f>
        <v>4221.5467747382636</v>
      </c>
      <c r="R493" s="42">
        <f>IFERROR(+VLOOKUP(M493,D.sign_Lista_Data[[RESPONSABLE]:[SOFTWARE 
VALOR HORA]],8,FALSE)*D.sign_Data[[#This Row],[TIEMPO (HORAS)]],0)</f>
        <v>3410.8548871439834</v>
      </c>
      <c r="S493" s="99">
        <v>0</v>
      </c>
      <c r="T493" s="99">
        <v>0</v>
      </c>
      <c r="U493" s="3">
        <f t="shared" si="17"/>
        <v>27895.826180625918</v>
      </c>
      <c r="V493" s="100">
        <f>D.sign_Data[[#This Row],[TIEMPO (HORAS)]]*Gastos_Operativos[[#Totals],[GASTOS HORA]]</f>
        <v>27789.477072310401</v>
      </c>
      <c r="W493" s="3">
        <f>+D.sign_Data[[#This Row],[COSTO 
DIRECTO ($COP)]]+D.sign_Data[[#This Row],[PRORRATEO GASTOS ($COP)]]</f>
        <v>55685.303252936319</v>
      </c>
      <c r="X493" s="101">
        <v>0.05</v>
      </c>
      <c r="Y493" s="15">
        <f>+D.sign_Data[[#This Row],[COSTOS OPERACIONALES ($COP)]]*D.sign_Data[[#This Row],[DESFASE (%)]]</f>
        <v>2784.265162646816</v>
      </c>
      <c r="Z493" s="101">
        <v>0.15</v>
      </c>
      <c r="AA493" s="15">
        <f>+((D.sign_Data[[#This Row],[COSTOS OPERACIONALES ($COP)]]/(100%-D.sign_Data[[#This Row],[UTILIDAD (%)]])))-D.sign_Data[[#This Row],[COSTOS OPERACIONALES ($COP)]]</f>
        <v>9826.8182211064122</v>
      </c>
      <c r="AB493" s="3">
        <f>+D.sign_Data[[#This Row],[COSTOS OPERACIONALES ($COP)]]+D.sign_Data[[#This Row],[DESFASE ($COP)]]+D.sign_Data[[#This Row],[UTILIDAD ($COP)]]</f>
        <v>68296.386636689538</v>
      </c>
      <c r="AC493" s="101">
        <v>0.05</v>
      </c>
      <c r="AD493" s="15">
        <f>+D.sign_Data[[#This Row],[VALOR NETO ($COP)]]/(100%-D.sign_Data[[#This Row],[MARGEN DE NEGOCIACIÓN (%)]])-D.sign_Data[[#This Row],[VALOR NETO ($COP)]]</f>
        <v>3594.5466650889284</v>
      </c>
      <c r="AE493" s="15">
        <f>+(D.sign_Data[[#This Row],[VALOR NETO ($COP)]]+D.sign_Data[[#This Row],[NEGOCIACIÓN ($COP)]])*1%</f>
        <v>718.90933301778466</v>
      </c>
      <c r="AF493" s="15">
        <f>+(D.sign_Data[[#This Row],[VALOR NETO ($COP)]]+D.sign_Data[[#This Row],[NEGOCIACIÓN ($COP)]])*1%</f>
        <v>718.90933301778466</v>
      </c>
      <c r="AG493" s="3">
        <f>+D.sign_Data[[#This Row],[VALOR NETO ($COP)]]+D.sign_Data[[#This Row],[NEGOCIACIÓN ($COP)]]+D.sign_Data[[#This Row],[ICA ($COP)]]+D.sign_Data[[#This Row],[4 * 1000 ($COP)]]</f>
        <v>73328.751967814038</v>
      </c>
    </row>
    <row r="494" spans="1:33" ht="60" hidden="1" customHeight="1" x14ac:dyDescent="0.25">
      <c r="A494" s="14"/>
      <c r="B494" s="87" t="s">
        <v>442</v>
      </c>
      <c r="C494" s="182" t="s">
        <v>822</v>
      </c>
      <c r="D494" s="189" t="str">
        <f>VLOOKUP(D.sign_Data[[#This Row],[CÓDIGO]],Descripciones[[CÓDIGO]:[NOMBRE DE SERVICIO]],3,FALSE)</f>
        <v>D1. Parcelaciones y Condominios</v>
      </c>
      <c r="E494" s="87" t="s">
        <v>467</v>
      </c>
      <c r="F494" s="88" t="s">
        <v>823</v>
      </c>
      <c r="G494" s="88" t="s">
        <v>824</v>
      </c>
      <c r="H494" s="87" t="s">
        <v>448</v>
      </c>
      <c r="I494" s="89">
        <v>1</v>
      </c>
      <c r="J494" s="88" t="s">
        <v>825</v>
      </c>
      <c r="K494" s="102"/>
      <c r="L494" s="88" t="s">
        <v>826</v>
      </c>
      <c r="M494" s="89" t="s">
        <v>381</v>
      </c>
      <c r="N494" s="90">
        <v>0.5</v>
      </c>
      <c r="O494" s="27">
        <f>IFERROR(+VLOOKUP(M494,D.sign_Lista_Data[[RESPONSABLE]:[SOFTWARE 
VALOR HORA]],3,FALSE),"0")</f>
        <v>20263.424518743668</v>
      </c>
      <c r="P494" s="3">
        <f t="shared" si="16"/>
        <v>10131.712259371834</v>
      </c>
      <c r="Q494" s="11">
        <f>IFERROR(+VLOOKUP(M494,D.sign_Lista_Data[[RESPONSABLE]:[SOFTWARE 
VALOR HORA]],5,FALSE)*D.sign_Data[[#This Row],[TIEMPO (HORAS)]],0)</f>
        <v>2110.7733873691318</v>
      </c>
      <c r="R494" s="42">
        <f>IFERROR(+VLOOKUP(M494,D.sign_Lista_Data[[RESPONSABLE]:[SOFTWARE 
VALOR HORA]],8,FALSE)*D.sign_Data[[#This Row],[TIEMPO (HORAS)]],0)</f>
        <v>1705.4274435719917</v>
      </c>
      <c r="S494" s="99">
        <v>0</v>
      </c>
      <c r="T494" s="99">
        <v>0</v>
      </c>
      <c r="U494" s="3">
        <f t="shared" si="17"/>
        <v>13947.913090312959</v>
      </c>
      <c r="V494" s="100">
        <f>D.sign_Data[[#This Row],[TIEMPO (HORAS)]]*Gastos_Operativos[[#Totals],[GASTOS HORA]]</f>
        <v>13894.738536155201</v>
      </c>
      <c r="W494" s="3">
        <f>+D.sign_Data[[#This Row],[COSTO 
DIRECTO ($COP)]]+D.sign_Data[[#This Row],[PRORRATEO GASTOS ($COP)]]</f>
        <v>27842.65162646816</v>
      </c>
      <c r="X494" s="101">
        <v>0.15</v>
      </c>
      <c r="Y494" s="15">
        <f>+D.sign_Data[[#This Row],[COSTOS OPERACIONALES ($COP)]]*D.sign_Data[[#This Row],[DESFASE (%)]]</f>
        <v>4176.3977439702239</v>
      </c>
      <c r="Z494" s="101">
        <v>0.2</v>
      </c>
      <c r="AA494" s="15">
        <f>+((D.sign_Data[[#This Row],[COSTOS OPERACIONALES ($COP)]]/(100%-D.sign_Data[[#This Row],[UTILIDAD (%)]])))-D.sign_Data[[#This Row],[COSTOS OPERACIONALES ($COP)]]</f>
        <v>6960.662906617039</v>
      </c>
      <c r="AB494" s="3">
        <f>+D.sign_Data[[#This Row],[COSTOS OPERACIONALES ($COP)]]+D.sign_Data[[#This Row],[DESFASE ($COP)]]+D.sign_Data[[#This Row],[UTILIDAD ($COP)]]</f>
        <v>38979.712277055427</v>
      </c>
      <c r="AC494" s="101">
        <v>0.05</v>
      </c>
      <c r="AD494" s="15">
        <f>+D.sign_Data[[#This Row],[VALOR NETO ($COP)]]/(100%-D.sign_Data[[#This Row],[MARGEN DE NEGOCIACIÓN (%)]])-D.sign_Data[[#This Row],[VALOR NETO ($COP)]]</f>
        <v>2051.5638040555496</v>
      </c>
      <c r="AE494" s="15">
        <f>+(D.sign_Data[[#This Row],[VALOR NETO ($COP)]]+D.sign_Data[[#This Row],[NEGOCIACIÓN ($COP)]])*1%</f>
        <v>410.3127608111098</v>
      </c>
      <c r="AF494" s="15">
        <f>+(D.sign_Data[[#This Row],[VALOR NETO ($COP)]]+D.sign_Data[[#This Row],[NEGOCIACIÓN ($COP)]])*1%</f>
        <v>410.3127608111098</v>
      </c>
      <c r="AG494" s="3">
        <f>+D.sign_Data[[#This Row],[VALOR NETO ($COP)]]+D.sign_Data[[#This Row],[NEGOCIACIÓN ($COP)]]+D.sign_Data[[#This Row],[ICA ($COP)]]+D.sign_Data[[#This Row],[4 * 1000 ($COP)]]</f>
        <v>41851.901602733196</v>
      </c>
    </row>
    <row r="495" spans="1:33" ht="60" hidden="1" customHeight="1" x14ac:dyDescent="0.25">
      <c r="A495" s="14"/>
      <c r="B495" s="87" t="s">
        <v>442</v>
      </c>
      <c r="C495" s="182" t="s">
        <v>822</v>
      </c>
      <c r="D495" s="189" t="str">
        <f>VLOOKUP(D.sign_Data[[#This Row],[CÓDIGO]],Descripciones[[CÓDIGO]:[NOMBRE DE SERVICIO]],3,FALSE)</f>
        <v>D1. Parcelaciones y Condominios</v>
      </c>
      <c r="E495" s="87" t="s">
        <v>467</v>
      </c>
      <c r="F495" s="88" t="s">
        <v>823</v>
      </c>
      <c r="G495" s="88" t="s">
        <v>824</v>
      </c>
      <c r="H495" s="87" t="s">
        <v>448</v>
      </c>
      <c r="I495" s="89">
        <v>1</v>
      </c>
      <c r="J495" s="88" t="s">
        <v>825</v>
      </c>
      <c r="K495" s="102"/>
      <c r="L495" s="88" t="s">
        <v>827</v>
      </c>
      <c r="M495" s="89" t="s">
        <v>381</v>
      </c>
      <c r="N495" s="90">
        <v>0.25</v>
      </c>
      <c r="O495" s="27">
        <f>IFERROR(+VLOOKUP(M495,D.sign_Lista_Data[[RESPONSABLE]:[SOFTWARE 
VALOR HORA]],3,FALSE),"0")</f>
        <v>20263.424518743668</v>
      </c>
      <c r="P495" s="3">
        <f t="shared" si="16"/>
        <v>5065.856129685917</v>
      </c>
      <c r="Q495" s="11">
        <f>IFERROR(+VLOOKUP(M495,D.sign_Lista_Data[[RESPONSABLE]:[SOFTWARE 
VALOR HORA]],5,FALSE)*D.sign_Data[[#This Row],[TIEMPO (HORAS)]],0)</f>
        <v>1055.3866936845659</v>
      </c>
      <c r="R495" s="42">
        <f>IFERROR(+VLOOKUP(M495,D.sign_Lista_Data[[RESPONSABLE]:[SOFTWARE 
VALOR HORA]],8,FALSE)*D.sign_Data[[#This Row],[TIEMPO (HORAS)]],0)</f>
        <v>852.71372178599586</v>
      </c>
      <c r="S495" s="99">
        <v>0</v>
      </c>
      <c r="T495" s="99">
        <v>0</v>
      </c>
      <c r="U495" s="3">
        <f t="shared" si="17"/>
        <v>6973.9565451564795</v>
      </c>
      <c r="V495" s="100">
        <f>D.sign_Data[[#This Row],[TIEMPO (HORAS)]]*Gastos_Operativos[[#Totals],[GASTOS HORA]]</f>
        <v>6947.3692680776003</v>
      </c>
      <c r="W495" s="3">
        <f>+D.sign_Data[[#This Row],[COSTO 
DIRECTO ($COP)]]+D.sign_Data[[#This Row],[PRORRATEO GASTOS ($COP)]]</f>
        <v>13921.32581323408</v>
      </c>
      <c r="X495" s="101">
        <v>0.15</v>
      </c>
      <c r="Y495" s="15">
        <f>+D.sign_Data[[#This Row],[COSTOS OPERACIONALES ($COP)]]*D.sign_Data[[#This Row],[DESFASE (%)]]</f>
        <v>2088.198871985112</v>
      </c>
      <c r="Z495" s="101">
        <v>0.2</v>
      </c>
      <c r="AA495" s="15">
        <f>+((D.sign_Data[[#This Row],[COSTOS OPERACIONALES ($COP)]]/(100%-D.sign_Data[[#This Row],[UTILIDAD (%)]])))-D.sign_Data[[#This Row],[COSTOS OPERACIONALES ($COP)]]</f>
        <v>3480.3314533085195</v>
      </c>
      <c r="AB495" s="3">
        <f>+D.sign_Data[[#This Row],[COSTOS OPERACIONALES ($COP)]]+D.sign_Data[[#This Row],[DESFASE ($COP)]]+D.sign_Data[[#This Row],[UTILIDAD ($COP)]]</f>
        <v>19489.856138527713</v>
      </c>
      <c r="AC495" s="101">
        <v>0.05</v>
      </c>
      <c r="AD495" s="15">
        <f>+D.sign_Data[[#This Row],[VALOR NETO ($COP)]]/(100%-D.sign_Data[[#This Row],[MARGEN DE NEGOCIACIÓN (%)]])-D.sign_Data[[#This Row],[VALOR NETO ($COP)]]</f>
        <v>1025.7819020277748</v>
      </c>
      <c r="AE495" s="15">
        <f>+(D.sign_Data[[#This Row],[VALOR NETO ($COP)]]+D.sign_Data[[#This Row],[NEGOCIACIÓN ($COP)]])*1%</f>
        <v>205.1563804055549</v>
      </c>
      <c r="AF495" s="15">
        <f>+(D.sign_Data[[#This Row],[VALOR NETO ($COP)]]+D.sign_Data[[#This Row],[NEGOCIACIÓN ($COP)]])*1%</f>
        <v>205.1563804055549</v>
      </c>
      <c r="AG495" s="3">
        <f>+D.sign_Data[[#This Row],[VALOR NETO ($COP)]]+D.sign_Data[[#This Row],[NEGOCIACIÓN ($COP)]]+D.sign_Data[[#This Row],[ICA ($COP)]]+D.sign_Data[[#This Row],[4 * 1000 ($COP)]]</f>
        <v>20925.950801366598</v>
      </c>
    </row>
    <row r="496" spans="1:33" ht="60" hidden="1" customHeight="1" x14ac:dyDescent="0.25">
      <c r="A496" s="14"/>
      <c r="B496" s="87" t="s">
        <v>442</v>
      </c>
      <c r="C496" s="182" t="s">
        <v>822</v>
      </c>
      <c r="D496" s="189" t="str">
        <f>VLOOKUP(D.sign_Data[[#This Row],[CÓDIGO]],Descripciones[[CÓDIGO]:[NOMBRE DE SERVICIO]],3,FALSE)</f>
        <v>D1. Parcelaciones y Condominios</v>
      </c>
      <c r="E496" s="87" t="s">
        <v>467</v>
      </c>
      <c r="F496" s="88" t="s">
        <v>823</v>
      </c>
      <c r="G496" s="88" t="s">
        <v>824</v>
      </c>
      <c r="H496" s="87" t="s">
        <v>448</v>
      </c>
      <c r="I496" s="89">
        <v>1</v>
      </c>
      <c r="J496" s="88" t="s">
        <v>825</v>
      </c>
      <c r="K496" s="102"/>
      <c r="L496" s="91" t="s">
        <v>828</v>
      </c>
      <c r="M496" s="89" t="s">
        <v>381</v>
      </c>
      <c r="N496" s="90">
        <v>2</v>
      </c>
      <c r="O496" s="27">
        <f>IFERROR(+VLOOKUP(M496,D.sign_Lista_Data[[RESPONSABLE]:[SOFTWARE 
VALOR HORA]],3,FALSE),"0")</f>
        <v>20263.424518743668</v>
      </c>
      <c r="P496" s="3">
        <f t="shared" si="16"/>
        <v>40526.849037487336</v>
      </c>
      <c r="Q496" s="11">
        <f>IFERROR(+VLOOKUP(M496,D.sign_Lista_Data[[RESPONSABLE]:[SOFTWARE 
VALOR HORA]],5,FALSE)*D.sign_Data[[#This Row],[TIEMPO (HORAS)]],0)</f>
        <v>8443.0935494765272</v>
      </c>
      <c r="R496" s="42">
        <f>IFERROR(+VLOOKUP(M496,D.sign_Lista_Data[[RESPONSABLE]:[SOFTWARE 
VALOR HORA]],8,FALSE)*D.sign_Data[[#This Row],[TIEMPO (HORAS)]],0)</f>
        <v>6821.7097742879669</v>
      </c>
      <c r="S496" s="99">
        <v>0</v>
      </c>
      <c r="T496" s="99">
        <v>0</v>
      </c>
      <c r="U496" s="3">
        <f t="shared" si="17"/>
        <v>55791.652361251836</v>
      </c>
      <c r="V496" s="100">
        <f>D.sign_Data[[#This Row],[TIEMPO (HORAS)]]*Gastos_Operativos[[#Totals],[GASTOS HORA]]</f>
        <v>55578.954144620802</v>
      </c>
      <c r="W496" s="3">
        <f>+D.sign_Data[[#This Row],[COSTO 
DIRECTO ($COP)]]+D.sign_Data[[#This Row],[PRORRATEO GASTOS ($COP)]]</f>
        <v>111370.60650587264</v>
      </c>
      <c r="X496" s="101">
        <v>0.15</v>
      </c>
      <c r="Y496" s="15">
        <f>+D.sign_Data[[#This Row],[COSTOS OPERACIONALES ($COP)]]*D.sign_Data[[#This Row],[DESFASE (%)]]</f>
        <v>16705.590975880896</v>
      </c>
      <c r="Z496" s="101">
        <v>0.2</v>
      </c>
      <c r="AA496" s="15">
        <f>+((D.sign_Data[[#This Row],[COSTOS OPERACIONALES ($COP)]]/(100%-D.sign_Data[[#This Row],[UTILIDAD (%)]])))-D.sign_Data[[#This Row],[COSTOS OPERACIONALES ($COP)]]</f>
        <v>27842.651626468156</v>
      </c>
      <c r="AB496" s="3">
        <f>+D.sign_Data[[#This Row],[COSTOS OPERACIONALES ($COP)]]+D.sign_Data[[#This Row],[DESFASE ($COP)]]+D.sign_Data[[#This Row],[UTILIDAD ($COP)]]</f>
        <v>155918.84910822171</v>
      </c>
      <c r="AC496" s="101">
        <v>0.05</v>
      </c>
      <c r="AD496" s="15">
        <f>+D.sign_Data[[#This Row],[VALOR NETO ($COP)]]/(100%-D.sign_Data[[#This Row],[MARGEN DE NEGOCIACIÓN (%)]])-D.sign_Data[[#This Row],[VALOR NETO ($COP)]]</f>
        <v>8206.2552162221982</v>
      </c>
      <c r="AE496" s="15">
        <f>+(D.sign_Data[[#This Row],[VALOR NETO ($COP)]]+D.sign_Data[[#This Row],[NEGOCIACIÓN ($COP)]])*1%</f>
        <v>1641.2510432444392</v>
      </c>
      <c r="AF496" s="15">
        <f>+(D.sign_Data[[#This Row],[VALOR NETO ($COP)]]+D.sign_Data[[#This Row],[NEGOCIACIÓN ($COP)]])*1%</f>
        <v>1641.2510432444392</v>
      </c>
      <c r="AG496" s="3">
        <f>+D.sign_Data[[#This Row],[VALOR NETO ($COP)]]+D.sign_Data[[#This Row],[NEGOCIACIÓN ($COP)]]+D.sign_Data[[#This Row],[ICA ($COP)]]+D.sign_Data[[#This Row],[4 * 1000 ($COP)]]</f>
        <v>167407.60641093279</v>
      </c>
    </row>
    <row r="497" spans="1:33" ht="60" hidden="1" customHeight="1" x14ac:dyDescent="0.25">
      <c r="A497" s="14"/>
      <c r="B497" s="87" t="s">
        <v>442</v>
      </c>
      <c r="C497" s="182" t="s">
        <v>822</v>
      </c>
      <c r="D497" s="189" t="str">
        <f>VLOOKUP(D.sign_Data[[#This Row],[CÓDIGO]],Descripciones[[CÓDIGO]:[NOMBRE DE SERVICIO]],3,FALSE)</f>
        <v>D1. Parcelaciones y Condominios</v>
      </c>
      <c r="E497" s="87" t="s">
        <v>467</v>
      </c>
      <c r="F497" s="88" t="s">
        <v>823</v>
      </c>
      <c r="G497" s="88" t="s">
        <v>824</v>
      </c>
      <c r="H497" s="87" t="s">
        <v>448</v>
      </c>
      <c r="I497" s="89">
        <v>1</v>
      </c>
      <c r="J497" s="88" t="s">
        <v>825</v>
      </c>
      <c r="K497" s="102"/>
      <c r="L497" s="91" t="s">
        <v>829</v>
      </c>
      <c r="M497" s="89" t="s">
        <v>381</v>
      </c>
      <c r="N497" s="90">
        <v>2</v>
      </c>
      <c r="O497" s="27">
        <f>IFERROR(+VLOOKUP(M497,D.sign_Lista_Data[[RESPONSABLE]:[SOFTWARE 
VALOR HORA]],3,FALSE),"0")</f>
        <v>20263.424518743668</v>
      </c>
      <c r="P497" s="3">
        <f t="shared" si="16"/>
        <v>40526.849037487336</v>
      </c>
      <c r="Q497" s="11">
        <f>IFERROR(+VLOOKUP(M497,D.sign_Lista_Data[[RESPONSABLE]:[SOFTWARE 
VALOR HORA]],5,FALSE)*D.sign_Data[[#This Row],[TIEMPO (HORAS)]],0)</f>
        <v>8443.0935494765272</v>
      </c>
      <c r="R497" s="42">
        <f>IFERROR(+VLOOKUP(M497,D.sign_Lista_Data[[RESPONSABLE]:[SOFTWARE 
VALOR HORA]],8,FALSE)*D.sign_Data[[#This Row],[TIEMPO (HORAS)]],0)</f>
        <v>6821.7097742879669</v>
      </c>
      <c r="S497" s="99">
        <v>0</v>
      </c>
      <c r="T497" s="99">
        <v>0</v>
      </c>
      <c r="U497" s="3">
        <f t="shared" si="17"/>
        <v>55791.652361251836</v>
      </c>
      <c r="V497" s="100">
        <f>D.sign_Data[[#This Row],[TIEMPO (HORAS)]]*Gastos_Operativos[[#Totals],[GASTOS HORA]]</f>
        <v>55578.954144620802</v>
      </c>
      <c r="W497" s="3">
        <f>+D.sign_Data[[#This Row],[COSTO 
DIRECTO ($COP)]]+D.sign_Data[[#This Row],[PRORRATEO GASTOS ($COP)]]</f>
        <v>111370.60650587264</v>
      </c>
      <c r="X497" s="101">
        <v>0.15</v>
      </c>
      <c r="Y497" s="15">
        <f>+D.sign_Data[[#This Row],[COSTOS OPERACIONALES ($COP)]]*D.sign_Data[[#This Row],[DESFASE (%)]]</f>
        <v>16705.590975880896</v>
      </c>
      <c r="Z497" s="101">
        <v>0.2</v>
      </c>
      <c r="AA497" s="15">
        <f>+((D.sign_Data[[#This Row],[COSTOS OPERACIONALES ($COP)]]/(100%-D.sign_Data[[#This Row],[UTILIDAD (%)]])))-D.sign_Data[[#This Row],[COSTOS OPERACIONALES ($COP)]]</f>
        <v>27842.651626468156</v>
      </c>
      <c r="AB497" s="3">
        <f>+D.sign_Data[[#This Row],[COSTOS OPERACIONALES ($COP)]]+D.sign_Data[[#This Row],[DESFASE ($COP)]]+D.sign_Data[[#This Row],[UTILIDAD ($COP)]]</f>
        <v>155918.84910822171</v>
      </c>
      <c r="AC497" s="101">
        <v>0.05</v>
      </c>
      <c r="AD497" s="15">
        <f>+D.sign_Data[[#This Row],[VALOR NETO ($COP)]]/(100%-D.sign_Data[[#This Row],[MARGEN DE NEGOCIACIÓN (%)]])-D.sign_Data[[#This Row],[VALOR NETO ($COP)]]</f>
        <v>8206.2552162221982</v>
      </c>
      <c r="AE497" s="15">
        <f>+(D.sign_Data[[#This Row],[VALOR NETO ($COP)]]+D.sign_Data[[#This Row],[NEGOCIACIÓN ($COP)]])*1%</f>
        <v>1641.2510432444392</v>
      </c>
      <c r="AF497" s="15">
        <f>+(D.sign_Data[[#This Row],[VALOR NETO ($COP)]]+D.sign_Data[[#This Row],[NEGOCIACIÓN ($COP)]])*1%</f>
        <v>1641.2510432444392</v>
      </c>
      <c r="AG497" s="3">
        <f>+D.sign_Data[[#This Row],[VALOR NETO ($COP)]]+D.sign_Data[[#This Row],[NEGOCIACIÓN ($COP)]]+D.sign_Data[[#This Row],[ICA ($COP)]]+D.sign_Data[[#This Row],[4 * 1000 ($COP)]]</f>
        <v>167407.60641093279</v>
      </c>
    </row>
    <row r="498" spans="1:33" ht="60" hidden="1" customHeight="1" x14ac:dyDescent="0.25">
      <c r="A498" s="14"/>
      <c r="B498" s="87" t="s">
        <v>442</v>
      </c>
      <c r="C498" s="182" t="s">
        <v>822</v>
      </c>
      <c r="D498" s="189" t="str">
        <f>VLOOKUP(D.sign_Data[[#This Row],[CÓDIGO]],Descripciones[[CÓDIGO]:[NOMBRE DE SERVICIO]],3,FALSE)</f>
        <v>D1. Parcelaciones y Condominios</v>
      </c>
      <c r="E498" s="87" t="s">
        <v>467</v>
      </c>
      <c r="F498" s="88" t="s">
        <v>823</v>
      </c>
      <c r="G498" s="88" t="s">
        <v>824</v>
      </c>
      <c r="H498" s="87" t="s">
        <v>448</v>
      </c>
      <c r="I498" s="89">
        <v>1</v>
      </c>
      <c r="J498" s="88" t="s">
        <v>825</v>
      </c>
      <c r="K498" s="102"/>
      <c r="L498" s="91" t="s">
        <v>830</v>
      </c>
      <c r="M498" s="89" t="s">
        <v>381</v>
      </c>
      <c r="N498" s="90">
        <v>2</v>
      </c>
      <c r="O498" s="27">
        <f>IFERROR(+VLOOKUP(M498,D.sign_Lista_Data[[RESPONSABLE]:[SOFTWARE 
VALOR HORA]],3,FALSE),"0")</f>
        <v>20263.424518743668</v>
      </c>
      <c r="P498" s="3">
        <f t="shared" si="16"/>
        <v>40526.849037487336</v>
      </c>
      <c r="Q498" s="11">
        <f>IFERROR(+VLOOKUP(M498,D.sign_Lista_Data[[RESPONSABLE]:[SOFTWARE 
VALOR HORA]],5,FALSE)*D.sign_Data[[#This Row],[TIEMPO (HORAS)]],0)</f>
        <v>8443.0935494765272</v>
      </c>
      <c r="R498" s="42">
        <f>IFERROR(+VLOOKUP(M498,D.sign_Lista_Data[[RESPONSABLE]:[SOFTWARE 
VALOR HORA]],8,FALSE)*D.sign_Data[[#This Row],[TIEMPO (HORAS)]],0)</f>
        <v>6821.7097742879669</v>
      </c>
      <c r="S498" s="99">
        <v>0</v>
      </c>
      <c r="T498" s="99">
        <v>0</v>
      </c>
      <c r="U498" s="3">
        <f t="shared" si="17"/>
        <v>55791.652361251836</v>
      </c>
      <c r="V498" s="100">
        <f>D.sign_Data[[#This Row],[TIEMPO (HORAS)]]*Gastos_Operativos[[#Totals],[GASTOS HORA]]</f>
        <v>55578.954144620802</v>
      </c>
      <c r="W498" s="3">
        <f>+D.sign_Data[[#This Row],[COSTO 
DIRECTO ($COP)]]+D.sign_Data[[#This Row],[PRORRATEO GASTOS ($COP)]]</f>
        <v>111370.60650587264</v>
      </c>
      <c r="X498" s="101">
        <v>0.15</v>
      </c>
      <c r="Y498" s="15">
        <f>+D.sign_Data[[#This Row],[COSTOS OPERACIONALES ($COP)]]*D.sign_Data[[#This Row],[DESFASE (%)]]</f>
        <v>16705.590975880896</v>
      </c>
      <c r="Z498" s="101">
        <v>0.2</v>
      </c>
      <c r="AA498" s="15">
        <f>+((D.sign_Data[[#This Row],[COSTOS OPERACIONALES ($COP)]]/(100%-D.sign_Data[[#This Row],[UTILIDAD (%)]])))-D.sign_Data[[#This Row],[COSTOS OPERACIONALES ($COP)]]</f>
        <v>27842.651626468156</v>
      </c>
      <c r="AB498" s="3">
        <f>+D.sign_Data[[#This Row],[COSTOS OPERACIONALES ($COP)]]+D.sign_Data[[#This Row],[DESFASE ($COP)]]+D.sign_Data[[#This Row],[UTILIDAD ($COP)]]</f>
        <v>155918.84910822171</v>
      </c>
      <c r="AC498" s="101">
        <v>0.05</v>
      </c>
      <c r="AD498" s="15">
        <f>+D.sign_Data[[#This Row],[VALOR NETO ($COP)]]/(100%-D.sign_Data[[#This Row],[MARGEN DE NEGOCIACIÓN (%)]])-D.sign_Data[[#This Row],[VALOR NETO ($COP)]]</f>
        <v>8206.2552162221982</v>
      </c>
      <c r="AE498" s="15">
        <f>+(D.sign_Data[[#This Row],[VALOR NETO ($COP)]]+D.sign_Data[[#This Row],[NEGOCIACIÓN ($COP)]])*1%</f>
        <v>1641.2510432444392</v>
      </c>
      <c r="AF498" s="15">
        <f>+(D.sign_Data[[#This Row],[VALOR NETO ($COP)]]+D.sign_Data[[#This Row],[NEGOCIACIÓN ($COP)]])*1%</f>
        <v>1641.2510432444392</v>
      </c>
      <c r="AG498" s="3">
        <f>+D.sign_Data[[#This Row],[VALOR NETO ($COP)]]+D.sign_Data[[#This Row],[NEGOCIACIÓN ($COP)]]+D.sign_Data[[#This Row],[ICA ($COP)]]+D.sign_Data[[#This Row],[4 * 1000 ($COP)]]</f>
        <v>167407.60641093279</v>
      </c>
    </row>
    <row r="499" spans="1:33" ht="60" hidden="1" customHeight="1" x14ac:dyDescent="0.25">
      <c r="A499" s="14"/>
      <c r="B499" s="87" t="s">
        <v>442</v>
      </c>
      <c r="C499" s="182" t="s">
        <v>822</v>
      </c>
      <c r="D499" s="189" t="str">
        <f>VLOOKUP(D.sign_Data[[#This Row],[CÓDIGO]],Descripciones[[CÓDIGO]:[NOMBRE DE SERVICIO]],3,FALSE)</f>
        <v>D1. Parcelaciones y Condominios</v>
      </c>
      <c r="E499" s="87" t="s">
        <v>467</v>
      </c>
      <c r="F499" s="88" t="s">
        <v>823</v>
      </c>
      <c r="G499" s="88" t="s">
        <v>824</v>
      </c>
      <c r="H499" s="87" t="s">
        <v>448</v>
      </c>
      <c r="I499" s="89">
        <v>1</v>
      </c>
      <c r="J499" s="88" t="s">
        <v>825</v>
      </c>
      <c r="K499" s="102"/>
      <c r="L499" s="91" t="s">
        <v>831</v>
      </c>
      <c r="M499" s="89" t="s">
        <v>381</v>
      </c>
      <c r="N499" s="90">
        <v>2</v>
      </c>
      <c r="O499" s="27">
        <f>IFERROR(+VLOOKUP(M499,D.sign_Lista_Data[[RESPONSABLE]:[SOFTWARE 
VALOR HORA]],3,FALSE),"0")</f>
        <v>20263.424518743668</v>
      </c>
      <c r="P499" s="3">
        <f t="shared" si="16"/>
        <v>40526.849037487336</v>
      </c>
      <c r="Q499" s="11">
        <f>IFERROR(+VLOOKUP(M499,D.sign_Lista_Data[[RESPONSABLE]:[SOFTWARE 
VALOR HORA]],5,FALSE)*D.sign_Data[[#This Row],[TIEMPO (HORAS)]],0)</f>
        <v>8443.0935494765272</v>
      </c>
      <c r="R499" s="42">
        <f>IFERROR(+VLOOKUP(M499,D.sign_Lista_Data[[RESPONSABLE]:[SOFTWARE 
VALOR HORA]],8,FALSE)*D.sign_Data[[#This Row],[TIEMPO (HORAS)]],0)</f>
        <v>6821.7097742879669</v>
      </c>
      <c r="S499" s="99">
        <v>0</v>
      </c>
      <c r="T499" s="99">
        <v>0</v>
      </c>
      <c r="U499" s="3">
        <f t="shared" si="17"/>
        <v>55791.652361251836</v>
      </c>
      <c r="V499" s="100">
        <f>D.sign_Data[[#This Row],[TIEMPO (HORAS)]]*Gastos_Operativos[[#Totals],[GASTOS HORA]]</f>
        <v>55578.954144620802</v>
      </c>
      <c r="W499" s="3">
        <f>+D.sign_Data[[#This Row],[COSTO 
DIRECTO ($COP)]]+D.sign_Data[[#This Row],[PRORRATEO GASTOS ($COP)]]</f>
        <v>111370.60650587264</v>
      </c>
      <c r="X499" s="101">
        <v>0.15</v>
      </c>
      <c r="Y499" s="15">
        <f>+D.sign_Data[[#This Row],[COSTOS OPERACIONALES ($COP)]]*D.sign_Data[[#This Row],[DESFASE (%)]]</f>
        <v>16705.590975880896</v>
      </c>
      <c r="Z499" s="101">
        <v>0.2</v>
      </c>
      <c r="AA499" s="15">
        <f>+((D.sign_Data[[#This Row],[COSTOS OPERACIONALES ($COP)]]/(100%-D.sign_Data[[#This Row],[UTILIDAD (%)]])))-D.sign_Data[[#This Row],[COSTOS OPERACIONALES ($COP)]]</f>
        <v>27842.651626468156</v>
      </c>
      <c r="AB499" s="3">
        <f>+D.sign_Data[[#This Row],[COSTOS OPERACIONALES ($COP)]]+D.sign_Data[[#This Row],[DESFASE ($COP)]]+D.sign_Data[[#This Row],[UTILIDAD ($COP)]]</f>
        <v>155918.84910822171</v>
      </c>
      <c r="AC499" s="101">
        <v>0.05</v>
      </c>
      <c r="AD499" s="15">
        <f>+D.sign_Data[[#This Row],[VALOR NETO ($COP)]]/(100%-D.sign_Data[[#This Row],[MARGEN DE NEGOCIACIÓN (%)]])-D.sign_Data[[#This Row],[VALOR NETO ($COP)]]</f>
        <v>8206.2552162221982</v>
      </c>
      <c r="AE499" s="15">
        <f>+(D.sign_Data[[#This Row],[VALOR NETO ($COP)]]+D.sign_Data[[#This Row],[NEGOCIACIÓN ($COP)]])*1%</f>
        <v>1641.2510432444392</v>
      </c>
      <c r="AF499" s="15">
        <f>+(D.sign_Data[[#This Row],[VALOR NETO ($COP)]]+D.sign_Data[[#This Row],[NEGOCIACIÓN ($COP)]])*1%</f>
        <v>1641.2510432444392</v>
      </c>
      <c r="AG499" s="3">
        <f>+D.sign_Data[[#This Row],[VALOR NETO ($COP)]]+D.sign_Data[[#This Row],[NEGOCIACIÓN ($COP)]]+D.sign_Data[[#This Row],[ICA ($COP)]]+D.sign_Data[[#This Row],[4 * 1000 ($COP)]]</f>
        <v>167407.60641093279</v>
      </c>
    </row>
    <row r="500" spans="1:33" ht="60" hidden="1" customHeight="1" x14ac:dyDescent="0.25">
      <c r="A500" s="14"/>
      <c r="B500" s="87" t="s">
        <v>442</v>
      </c>
      <c r="C500" s="182" t="s">
        <v>822</v>
      </c>
      <c r="D500" s="189" t="str">
        <f>VLOOKUP(D.sign_Data[[#This Row],[CÓDIGO]],Descripciones[[CÓDIGO]:[NOMBRE DE SERVICIO]],3,FALSE)</f>
        <v>D1. Parcelaciones y Condominios</v>
      </c>
      <c r="E500" s="87" t="s">
        <v>467</v>
      </c>
      <c r="F500" s="88" t="s">
        <v>823</v>
      </c>
      <c r="G500" s="88" t="s">
        <v>824</v>
      </c>
      <c r="H500" s="87" t="s">
        <v>448</v>
      </c>
      <c r="I500" s="89">
        <v>1</v>
      </c>
      <c r="J500" s="88" t="s">
        <v>825</v>
      </c>
      <c r="K500" s="102"/>
      <c r="L500" s="91" t="s">
        <v>832</v>
      </c>
      <c r="M500" s="89" t="s">
        <v>381</v>
      </c>
      <c r="N500" s="90">
        <v>2</v>
      </c>
      <c r="O500" s="27">
        <f>IFERROR(+VLOOKUP(M500,D.sign_Lista_Data[[RESPONSABLE]:[SOFTWARE 
VALOR HORA]],3,FALSE),"0")</f>
        <v>20263.424518743668</v>
      </c>
      <c r="P500" s="3">
        <f t="shared" si="16"/>
        <v>40526.849037487336</v>
      </c>
      <c r="Q500" s="11">
        <f>IFERROR(+VLOOKUP(M500,D.sign_Lista_Data[[RESPONSABLE]:[SOFTWARE 
VALOR HORA]],5,FALSE)*D.sign_Data[[#This Row],[TIEMPO (HORAS)]],0)</f>
        <v>8443.0935494765272</v>
      </c>
      <c r="R500" s="42">
        <f>IFERROR(+VLOOKUP(M500,D.sign_Lista_Data[[RESPONSABLE]:[SOFTWARE 
VALOR HORA]],8,FALSE)*D.sign_Data[[#This Row],[TIEMPO (HORAS)]],0)</f>
        <v>6821.7097742879669</v>
      </c>
      <c r="S500" s="99">
        <v>0</v>
      </c>
      <c r="T500" s="99">
        <v>0</v>
      </c>
      <c r="U500" s="3">
        <f t="shared" si="17"/>
        <v>55791.652361251836</v>
      </c>
      <c r="V500" s="100">
        <f>D.sign_Data[[#This Row],[TIEMPO (HORAS)]]*Gastos_Operativos[[#Totals],[GASTOS HORA]]</f>
        <v>55578.954144620802</v>
      </c>
      <c r="W500" s="3">
        <f>+D.sign_Data[[#This Row],[COSTO 
DIRECTO ($COP)]]+D.sign_Data[[#This Row],[PRORRATEO GASTOS ($COP)]]</f>
        <v>111370.60650587264</v>
      </c>
      <c r="X500" s="101">
        <v>0.15</v>
      </c>
      <c r="Y500" s="15">
        <f>+D.sign_Data[[#This Row],[COSTOS OPERACIONALES ($COP)]]*D.sign_Data[[#This Row],[DESFASE (%)]]</f>
        <v>16705.590975880896</v>
      </c>
      <c r="Z500" s="101">
        <v>0.2</v>
      </c>
      <c r="AA500" s="15">
        <f>+((D.sign_Data[[#This Row],[COSTOS OPERACIONALES ($COP)]]/(100%-D.sign_Data[[#This Row],[UTILIDAD (%)]])))-D.sign_Data[[#This Row],[COSTOS OPERACIONALES ($COP)]]</f>
        <v>27842.651626468156</v>
      </c>
      <c r="AB500" s="3">
        <f>+D.sign_Data[[#This Row],[COSTOS OPERACIONALES ($COP)]]+D.sign_Data[[#This Row],[DESFASE ($COP)]]+D.sign_Data[[#This Row],[UTILIDAD ($COP)]]</f>
        <v>155918.84910822171</v>
      </c>
      <c r="AC500" s="101">
        <v>0.05</v>
      </c>
      <c r="AD500" s="15">
        <f>+D.sign_Data[[#This Row],[VALOR NETO ($COP)]]/(100%-D.sign_Data[[#This Row],[MARGEN DE NEGOCIACIÓN (%)]])-D.sign_Data[[#This Row],[VALOR NETO ($COP)]]</f>
        <v>8206.2552162221982</v>
      </c>
      <c r="AE500" s="15">
        <f>+(D.sign_Data[[#This Row],[VALOR NETO ($COP)]]+D.sign_Data[[#This Row],[NEGOCIACIÓN ($COP)]])*1%</f>
        <v>1641.2510432444392</v>
      </c>
      <c r="AF500" s="15">
        <f>+(D.sign_Data[[#This Row],[VALOR NETO ($COP)]]+D.sign_Data[[#This Row],[NEGOCIACIÓN ($COP)]])*1%</f>
        <v>1641.2510432444392</v>
      </c>
      <c r="AG500" s="3">
        <f>+D.sign_Data[[#This Row],[VALOR NETO ($COP)]]+D.sign_Data[[#This Row],[NEGOCIACIÓN ($COP)]]+D.sign_Data[[#This Row],[ICA ($COP)]]+D.sign_Data[[#This Row],[4 * 1000 ($COP)]]</f>
        <v>167407.60641093279</v>
      </c>
    </row>
    <row r="501" spans="1:33" ht="60" hidden="1" customHeight="1" x14ac:dyDescent="0.25">
      <c r="A501" s="14"/>
      <c r="B501" s="87" t="s">
        <v>442</v>
      </c>
      <c r="C501" s="182" t="s">
        <v>822</v>
      </c>
      <c r="D501" s="189" t="str">
        <f>VLOOKUP(D.sign_Data[[#This Row],[CÓDIGO]],Descripciones[[CÓDIGO]:[NOMBRE DE SERVICIO]],3,FALSE)</f>
        <v>D1. Parcelaciones y Condominios</v>
      </c>
      <c r="E501" s="87" t="s">
        <v>467</v>
      </c>
      <c r="F501" s="88" t="s">
        <v>823</v>
      </c>
      <c r="G501" s="88" t="s">
        <v>824</v>
      </c>
      <c r="H501" s="87" t="s">
        <v>448</v>
      </c>
      <c r="I501" s="89">
        <v>1</v>
      </c>
      <c r="J501" s="88" t="s">
        <v>825</v>
      </c>
      <c r="K501" s="102"/>
      <c r="L501" s="91" t="s">
        <v>833</v>
      </c>
      <c r="M501" s="89" t="s">
        <v>381</v>
      </c>
      <c r="N501" s="90">
        <v>1.5</v>
      </c>
      <c r="O501" s="27">
        <f>IFERROR(+VLOOKUP(M501,D.sign_Lista_Data[[RESPONSABLE]:[SOFTWARE 
VALOR HORA]],3,FALSE),"0")</f>
        <v>20263.424518743668</v>
      </c>
      <c r="P501" s="3">
        <f t="shared" si="16"/>
        <v>30395.136778115502</v>
      </c>
      <c r="Q501" s="11">
        <f>IFERROR(+VLOOKUP(M501,D.sign_Lista_Data[[RESPONSABLE]:[SOFTWARE 
VALOR HORA]],5,FALSE)*D.sign_Data[[#This Row],[TIEMPO (HORAS)]],0)</f>
        <v>6332.3201621073949</v>
      </c>
      <c r="R501" s="42">
        <f>IFERROR(+VLOOKUP(M501,D.sign_Lista_Data[[RESPONSABLE]:[SOFTWARE 
VALOR HORA]],8,FALSE)*D.sign_Data[[#This Row],[TIEMPO (HORAS)]],0)</f>
        <v>5116.2823307159751</v>
      </c>
      <c r="S501" s="99">
        <v>0</v>
      </c>
      <c r="T501" s="99">
        <v>0</v>
      </c>
      <c r="U501" s="3">
        <f t="shared" si="17"/>
        <v>41843.739270938873</v>
      </c>
      <c r="V501" s="100">
        <f>D.sign_Data[[#This Row],[TIEMPO (HORAS)]]*Gastos_Operativos[[#Totals],[GASTOS HORA]]</f>
        <v>41684.215608465602</v>
      </c>
      <c r="W501" s="3">
        <f>+D.sign_Data[[#This Row],[COSTO 
DIRECTO ($COP)]]+D.sign_Data[[#This Row],[PRORRATEO GASTOS ($COP)]]</f>
        <v>83527.954879404482</v>
      </c>
      <c r="X501" s="101">
        <v>0.15</v>
      </c>
      <c r="Y501" s="15">
        <f>+D.sign_Data[[#This Row],[COSTOS OPERACIONALES ($COP)]]*D.sign_Data[[#This Row],[DESFASE (%)]]</f>
        <v>12529.193231910673</v>
      </c>
      <c r="Z501" s="101">
        <v>0.2</v>
      </c>
      <c r="AA501" s="15">
        <f>+((D.sign_Data[[#This Row],[COSTOS OPERACIONALES ($COP)]]/(100%-D.sign_Data[[#This Row],[UTILIDAD (%)]])))-D.sign_Data[[#This Row],[COSTOS OPERACIONALES ($COP)]]</f>
        <v>20881.988719851113</v>
      </c>
      <c r="AB501" s="3">
        <f>+D.sign_Data[[#This Row],[COSTOS OPERACIONALES ($COP)]]+D.sign_Data[[#This Row],[DESFASE ($COP)]]+D.sign_Data[[#This Row],[UTILIDAD ($COP)]]</f>
        <v>116939.13683116627</v>
      </c>
      <c r="AC501" s="101">
        <v>0.05</v>
      </c>
      <c r="AD501" s="15">
        <f>+D.sign_Data[[#This Row],[VALOR NETO ($COP)]]/(100%-D.sign_Data[[#This Row],[MARGEN DE NEGOCIACIÓN (%)]])-D.sign_Data[[#This Row],[VALOR NETO ($COP)]]</f>
        <v>6154.6914121666487</v>
      </c>
      <c r="AE501" s="15">
        <f>+(D.sign_Data[[#This Row],[VALOR NETO ($COP)]]+D.sign_Data[[#This Row],[NEGOCIACIÓN ($COP)]])*1%</f>
        <v>1230.9382824333293</v>
      </c>
      <c r="AF501" s="15">
        <f>+(D.sign_Data[[#This Row],[VALOR NETO ($COP)]]+D.sign_Data[[#This Row],[NEGOCIACIÓN ($COP)]])*1%</f>
        <v>1230.9382824333293</v>
      </c>
      <c r="AG501" s="3">
        <f>+D.sign_Data[[#This Row],[VALOR NETO ($COP)]]+D.sign_Data[[#This Row],[NEGOCIACIÓN ($COP)]]+D.sign_Data[[#This Row],[ICA ($COP)]]+D.sign_Data[[#This Row],[4 * 1000 ($COP)]]</f>
        <v>125555.70480819957</v>
      </c>
    </row>
    <row r="502" spans="1:33" ht="60" hidden="1" customHeight="1" x14ac:dyDescent="0.25">
      <c r="A502" s="14"/>
      <c r="B502" s="87" t="s">
        <v>442</v>
      </c>
      <c r="C502" s="182" t="s">
        <v>822</v>
      </c>
      <c r="D502" s="189" t="str">
        <f>VLOOKUP(D.sign_Data[[#This Row],[CÓDIGO]],Descripciones[[CÓDIGO]:[NOMBRE DE SERVICIO]],3,FALSE)</f>
        <v>D1. Parcelaciones y Condominios</v>
      </c>
      <c r="E502" s="87" t="s">
        <v>467</v>
      </c>
      <c r="F502" s="88" t="s">
        <v>823</v>
      </c>
      <c r="G502" s="88" t="s">
        <v>824</v>
      </c>
      <c r="H502" s="87" t="s">
        <v>448</v>
      </c>
      <c r="I502" s="89">
        <v>1</v>
      </c>
      <c r="J502" s="88" t="s">
        <v>825</v>
      </c>
      <c r="K502" s="102"/>
      <c r="L502" s="91" t="s">
        <v>834</v>
      </c>
      <c r="M502" s="89" t="s">
        <v>381</v>
      </c>
      <c r="N502" s="90">
        <v>1.5</v>
      </c>
      <c r="O502" s="27">
        <f>IFERROR(+VLOOKUP(M502,D.sign_Lista_Data[[RESPONSABLE]:[SOFTWARE 
VALOR HORA]],3,FALSE),"0")</f>
        <v>20263.424518743668</v>
      </c>
      <c r="P502" s="3">
        <f t="shared" si="16"/>
        <v>30395.136778115502</v>
      </c>
      <c r="Q502" s="11">
        <f>IFERROR(+VLOOKUP(M502,D.sign_Lista_Data[[RESPONSABLE]:[SOFTWARE 
VALOR HORA]],5,FALSE)*D.sign_Data[[#This Row],[TIEMPO (HORAS)]],0)</f>
        <v>6332.3201621073949</v>
      </c>
      <c r="R502" s="42">
        <f>IFERROR(+VLOOKUP(M502,D.sign_Lista_Data[[RESPONSABLE]:[SOFTWARE 
VALOR HORA]],8,FALSE)*D.sign_Data[[#This Row],[TIEMPO (HORAS)]],0)</f>
        <v>5116.2823307159751</v>
      </c>
      <c r="S502" s="99">
        <v>0</v>
      </c>
      <c r="T502" s="99">
        <v>0</v>
      </c>
      <c r="U502" s="3">
        <f t="shared" si="17"/>
        <v>41843.739270938873</v>
      </c>
      <c r="V502" s="100">
        <f>D.sign_Data[[#This Row],[TIEMPO (HORAS)]]*Gastos_Operativos[[#Totals],[GASTOS HORA]]</f>
        <v>41684.215608465602</v>
      </c>
      <c r="W502" s="3">
        <f>+D.sign_Data[[#This Row],[COSTO 
DIRECTO ($COP)]]+D.sign_Data[[#This Row],[PRORRATEO GASTOS ($COP)]]</f>
        <v>83527.954879404482</v>
      </c>
      <c r="X502" s="101">
        <v>0.15</v>
      </c>
      <c r="Y502" s="15">
        <f>+D.sign_Data[[#This Row],[COSTOS OPERACIONALES ($COP)]]*D.sign_Data[[#This Row],[DESFASE (%)]]</f>
        <v>12529.193231910673</v>
      </c>
      <c r="Z502" s="101">
        <v>0.2</v>
      </c>
      <c r="AA502" s="15">
        <f>+((D.sign_Data[[#This Row],[COSTOS OPERACIONALES ($COP)]]/(100%-D.sign_Data[[#This Row],[UTILIDAD (%)]])))-D.sign_Data[[#This Row],[COSTOS OPERACIONALES ($COP)]]</f>
        <v>20881.988719851113</v>
      </c>
      <c r="AB502" s="3">
        <f>+D.sign_Data[[#This Row],[COSTOS OPERACIONALES ($COP)]]+D.sign_Data[[#This Row],[DESFASE ($COP)]]+D.sign_Data[[#This Row],[UTILIDAD ($COP)]]</f>
        <v>116939.13683116627</v>
      </c>
      <c r="AC502" s="101">
        <v>0.05</v>
      </c>
      <c r="AD502" s="15">
        <f>+D.sign_Data[[#This Row],[VALOR NETO ($COP)]]/(100%-D.sign_Data[[#This Row],[MARGEN DE NEGOCIACIÓN (%)]])-D.sign_Data[[#This Row],[VALOR NETO ($COP)]]</f>
        <v>6154.6914121666487</v>
      </c>
      <c r="AE502" s="15">
        <f>+(D.sign_Data[[#This Row],[VALOR NETO ($COP)]]+D.sign_Data[[#This Row],[NEGOCIACIÓN ($COP)]])*1%</f>
        <v>1230.9382824333293</v>
      </c>
      <c r="AF502" s="15">
        <f>+(D.sign_Data[[#This Row],[VALOR NETO ($COP)]]+D.sign_Data[[#This Row],[NEGOCIACIÓN ($COP)]])*1%</f>
        <v>1230.9382824333293</v>
      </c>
      <c r="AG502" s="3">
        <f>+D.sign_Data[[#This Row],[VALOR NETO ($COP)]]+D.sign_Data[[#This Row],[NEGOCIACIÓN ($COP)]]+D.sign_Data[[#This Row],[ICA ($COP)]]+D.sign_Data[[#This Row],[4 * 1000 ($COP)]]</f>
        <v>125555.70480819957</v>
      </c>
    </row>
    <row r="503" spans="1:33" ht="60" hidden="1" customHeight="1" x14ac:dyDescent="0.25">
      <c r="A503" s="14"/>
      <c r="B503" s="87" t="s">
        <v>442</v>
      </c>
      <c r="C503" s="182" t="s">
        <v>822</v>
      </c>
      <c r="D503" s="189" t="str">
        <f>VLOOKUP(D.sign_Data[[#This Row],[CÓDIGO]],Descripciones[[CÓDIGO]:[NOMBRE DE SERVICIO]],3,FALSE)</f>
        <v>D1. Parcelaciones y Condominios</v>
      </c>
      <c r="E503" s="87" t="s">
        <v>467</v>
      </c>
      <c r="F503" s="88" t="s">
        <v>823</v>
      </c>
      <c r="G503" s="88" t="s">
        <v>824</v>
      </c>
      <c r="H503" s="87" t="s">
        <v>448</v>
      </c>
      <c r="I503" s="89">
        <v>1</v>
      </c>
      <c r="J503" s="88" t="s">
        <v>825</v>
      </c>
      <c r="K503" s="102"/>
      <c r="L503" s="91" t="s">
        <v>835</v>
      </c>
      <c r="M503" s="89" t="s">
        <v>381</v>
      </c>
      <c r="N503" s="90">
        <v>1.5</v>
      </c>
      <c r="O503" s="27">
        <f>IFERROR(+VLOOKUP(M503,D.sign_Lista_Data[[RESPONSABLE]:[SOFTWARE 
VALOR HORA]],3,FALSE),"0")</f>
        <v>20263.424518743668</v>
      </c>
      <c r="P503" s="3">
        <f t="shared" si="16"/>
        <v>30395.136778115502</v>
      </c>
      <c r="Q503" s="11">
        <f>IFERROR(+VLOOKUP(M503,D.sign_Lista_Data[[RESPONSABLE]:[SOFTWARE 
VALOR HORA]],5,FALSE)*D.sign_Data[[#This Row],[TIEMPO (HORAS)]],0)</f>
        <v>6332.3201621073949</v>
      </c>
      <c r="R503" s="42">
        <f>IFERROR(+VLOOKUP(M503,D.sign_Lista_Data[[RESPONSABLE]:[SOFTWARE 
VALOR HORA]],8,FALSE)*D.sign_Data[[#This Row],[TIEMPO (HORAS)]],0)</f>
        <v>5116.2823307159751</v>
      </c>
      <c r="S503" s="99">
        <v>0</v>
      </c>
      <c r="T503" s="99">
        <v>0</v>
      </c>
      <c r="U503" s="3">
        <f t="shared" si="17"/>
        <v>41843.739270938873</v>
      </c>
      <c r="V503" s="100">
        <f>D.sign_Data[[#This Row],[TIEMPO (HORAS)]]*Gastos_Operativos[[#Totals],[GASTOS HORA]]</f>
        <v>41684.215608465602</v>
      </c>
      <c r="W503" s="3">
        <f>+D.sign_Data[[#This Row],[COSTO 
DIRECTO ($COP)]]+D.sign_Data[[#This Row],[PRORRATEO GASTOS ($COP)]]</f>
        <v>83527.954879404482</v>
      </c>
      <c r="X503" s="101">
        <v>0.15</v>
      </c>
      <c r="Y503" s="15">
        <f>+D.sign_Data[[#This Row],[COSTOS OPERACIONALES ($COP)]]*D.sign_Data[[#This Row],[DESFASE (%)]]</f>
        <v>12529.193231910673</v>
      </c>
      <c r="Z503" s="101">
        <v>0.2</v>
      </c>
      <c r="AA503" s="15">
        <f>+((D.sign_Data[[#This Row],[COSTOS OPERACIONALES ($COP)]]/(100%-D.sign_Data[[#This Row],[UTILIDAD (%)]])))-D.sign_Data[[#This Row],[COSTOS OPERACIONALES ($COP)]]</f>
        <v>20881.988719851113</v>
      </c>
      <c r="AB503" s="3">
        <f>+D.sign_Data[[#This Row],[COSTOS OPERACIONALES ($COP)]]+D.sign_Data[[#This Row],[DESFASE ($COP)]]+D.sign_Data[[#This Row],[UTILIDAD ($COP)]]</f>
        <v>116939.13683116627</v>
      </c>
      <c r="AC503" s="101">
        <v>0.05</v>
      </c>
      <c r="AD503" s="15">
        <f>+D.sign_Data[[#This Row],[VALOR NETO ($COP)]]/(100%-D.sign_Data[[#This Row],[MARGEN DE NEGOCIACIÓN (%)]])-D.sign_Data[[#This Row],[VALOR NETO ($COP)]]</f>
        <v>6154.6914121666487</v>
      </c>
      <c r="AE503" s="15">
        <f>+(D.sign_Data[[#This Row],[VALOR NETO ($COP)]]+D.sign_Data[[#This Row],[NEGOCIACIÓN ($COP)]])*1%</f>
        <v>1230.9382824333293</v>
      </c>
      <c r="AF503" s="15">
        <f>+(D.sign_Data[[#This Row],[VALOR NETO ($COP)]]+D.sign_Data[[#This Row],[NEGOCIACIÓN ($COP)]])*1%</f>
        <v>1230.9382824333293</v>
      </c>
      <c r="AG503" s="3">
        <f>+D.sign_Data[[#This Row],[VALOR NETO ($COP)]]+D.sign_Data[[#This Row],[NEGOCIACIÓN ($COP)]]+D.sign_Data[[#This Row],[ICA ($COP)]]+D.sign_Data[[#This Row],[4 * 1000 ($COP)]]</f>
        <v>125555.70480819957</v>
      </c>
    </row>
    <row r="504" spans="1:33" ht="60" hidden="1" customHeight="1" x14ac:dyDescent="0.25">
      <c r="A504" s="14"/>
      <c r="B504" s="87" t="s">
        <v>442</v>
      </c>
      <c r="C504" s="182" t="s">
        <v>822</v>
      </c>
      <c r="D504" s="189" t="str">
        <f>VLOOKUP(D.sign_Data[[#This Row],[CÓDIGO]],Descripciones[[CÓDIGO]:[NOMBRE DE SERVICIO]],3,FALSE)</f>
        <v>D1. Parcelaciones y Condominios</v>
      </c>
      <c r="E504" s="87" t="s">
        <v>467</v>
      </c>
      <c r="F504" s="88" t="s">
        <v>823</v>
      </c>
      <c r="G504" s="88" t="s">
        <v>824</v>
      </c>
      <c r="H504" s="87" t="s">
        <v>448</v>
      </c>
      <c r="I504" s="89">
        <v>1</v>
      </c>
      <c r="J504" s="88" t="s">
        <v>836</v>
      </c>
      <c r="K504" s="102"/>
      <c r="L504" s="91" t="s">
        <v>837</v>
      </c>
      <c r="M504" s="89" t="s">
        <v>381</v>
      </c>
      <c r="N504" s="90">
        <v>1.5</v>
      </c>
      <c r="O504" s="27">
        <f>IFERROR(+VLOOKUP(M504,D.sign_Lista_Data[[RESPONSABLE]:[SOFTWARE 
VALOR HORA]],3,FALSE),"0")</f>
        <v>20263.424518743668</v>
      </c>
      <c r="P504" s="3">
        <f t="shared" si="16"/>
        <v>30395.136778115502</v>
      </c>
      <c r="Q504" s="11">
        <f>IFERROR(+VLOOKUP(M504,D.sign_Lista_Data[[RESPONSABLE]:[SOFTWARE 
VALOR HORA]],5,FALSE)*D.sign_Data[[#This Row],[TIEMPO (HORAS)]],0)</f>
        <v>6332.3201621073949</v>
      </c>
      <c r="R504" s="42">
        <f>IFERROR(+VLOOKUP(M504,D.sign_Lista_Data[[RESPONSABLE]:[SOFTWARE 
VALOR HORA]],8,FALSE)*D.sign_Data[[#This Row],[TIEMPO (HORAS)]],0)</f>
        <v>5116.2823307159751</v>
      </c>
      <c r="S504" s="99">
        <v>0</v>
      </c>
      <c r="T504" s="99">
        <v>0</v>
      </c>
      <c r="U504" s="3">
        <f t="shared" si="17"/>
        <v>41843.739270938873</v>
      </c>
      <c r="V504" s="100">
        <f>D.sign_Data[[#This Row],[TIEMPO (HORAS)]]*Gastos_Operativos[[#Totals],[GASTOS HORA]]</f>
        <v>41684.215608465602</v>
      </c>
      <c r="W504" s="3">
        <f>+D.sign_Data[[#This Row],[COSTO 
DIRECTO ($COP)]]+D.sign_Data[[#This Row],[PRORRATEO GASTOS ($COP)]]</f>
        <v>83527.954879404482</v>
      </c>
      <c r="X504" s="101">
        <v>0.15</v>
      </c>
      <c r="Y504" s="15">
        <f>+D.sign_Data[[#This Row],[COSTOS OPERACIONALES ($COP)]]*D.sign_Data[[#This Row],[DESFASE (%)]]</f>
        <v>12529.193231910673</v>
      </c>
      <c r="Z504" s="101">
        <v>0.2</v>
      </c>
      <c r="AA504" s="15">
        <f>+((D.sign_Data[[#This Row],[COSTOS OPERACIONALES ($COP)]]/(100%-D.sign_Data[[#This Row],[UTILIDAD (%)]])))-D.sign_Data[[#This Row],[COSTOS OPERACIONALES ($COP)]]</f>
        <v>20881.988719851113</v>
      </c>
      <c r="AB504" s="3">
        <f>+D.sign_Data[[#This Row],[COSTOS OPERACIONALES ($COP)]]+D.sign_Data[[#This Row],[DESFASE ($COP)]]+D.sign_Data[[#This Row],[UTILIDAD ($COP)]]</f>
        <v>116939.13683116627</v>
      </c>
      <c r="AC504" s="101">
        <v>0.05</v>
      </c>
      <c r="AD504" s="15">
        <f>+D.sign_Data[[#This Row],[VALOR NETO ($COP)]]/(100%-D.sign_Data[[#This Row],[MARGEN DE NEGOCIACIÓN (%)]])-D.sign_Data[[#This Row],[VALOR NETO ($COP)]]</f>
        <v>6154.6914121666487</v>
      </c>
      <c r="AE504" s="15">
        <f>+(D.sign_Data[[#This Row],[VALOR NETO ($COP)]]+D.sign_Data[[#This Row],[NEGOCIACIÓN ($COP)]])*1%</f>
        <v>1230.9382824333293</v>
      </c>
      <c r="AF504" s="15">
        <f>+(D.sign_Data[[#This Row],[VALOR NETO ($COP)]]+D.sign_Data[[#This Row],[NEGOCIACIÓN ($COP)]])*1%</f>
        <v>1230.9382824333293</v>
      </c>
      <c r="AG504" s="3">
        <f>+D.sign_Data[[#This Row],[VALOR NETO ($COP)]]+D.sign_Data[[#This Row],[NEGOCIACIÓN ($COP)]]+D.sign_Data[[#This Row],[ICA ($COP)]]+D.sign_Data[[#This Row],[4 * 1000 ($COP)]]</f>
        <v>125555.70480819957</v>
      </c>
    </row>
    <row r="505" spans="1:33" ht="60" hidden="1" customHeight="1" x14ac:dyDescent="0.25">
      <c r="A505" s="14"/>
      <c r="B505" s="87" t="s">
        <v>442</v>
      </c>
      <c r="C505" s="182" t="s">
        <v>822</v>
      </c>
      <c r="D505" s="189" t="str">
        <f>VLOOKUP(D.sign_Data[[#This Row],[CÓDIGO]],Descripciones[[CÓDIGO]:[NOMBRE DE SERVICIO]],3,FALSE)</f>
        <v>D1. Parcelaciones y Condominios</v>
      </c>
      <c r="E505" s="87" t="s">
        <v>467</v>
      </c>
      <c r="F505" s="88" t="s">
        <v>823</v>
      </c>
      <c r="G505" s="88" t="s">
        <v>824</v>
      </c>
      <c r="H505" s="87" t="s">
        <v>448</v>
      </c>
      <c r="I505" s="89">
        <v>1</v>
      </c>
      <c r="J505" s="88" t="s">
        <v>836</v>
      </c>
      <c r="K505" s="102"/>
      <c r="L505" s="91" t="s">
        <v>838</v>
      </c>
      <c r="M505" s="89" t="s">
        <v>381</v>
      </c>
      <c r="N505" s="90">
        <v>1.5</v>
      </c>
      <c r="O505" s="27">
        <f>IFERROR(+VLOOKUP(M505,D.sign_Lista_Data[[RESPONSABLE]:[SOFTWARE 
VALOR HORA]],3,FALSE),"0")</f>
        <v>20263.424518743668</v>
      </c>
      <c r="P505" s="3">
        <f t="shared" si="16"/>
        <v>30395.136778115502</v>
      </c>
      <c r="Q505" s="11">
        <f>IFERROR(+VLOOKUP(M505,D.sign_Lista_Data[[RESPONSABLE]:[SOFTWARE 
VALOR HORA]],5,FALSE)*D.sign_Data[[#This Row],[TIEMPO (HORAS)]],0)</f>
        <v>6332.3201621073949</v>
      </c>
      <c r="R505" s="42">
        <f>IFERROR(+VLOOKUP(M505,D.sign_Lista_Data[[RESPONSABLE]:[SOFTWARE 
VALOR HORA]],8,FALSE)*D.sign_Data[[#This Row],[TIEMPO (HORAS)]],0)</f>
        <v>5116.2823307159751</v>
      </c>
      <c r="S505" s="99">
        <v>0</v>
      </c>
      <c r="T505" s="99">
        <v>0</v>
      </c>
      <c r="U505" s="3">
        <f t="shared" si="17"/>
        <v>41843.739270938873</v>
      </c>
      <c r="V505" s="100">
        <f>D.sign_Data[[#This Row],[TIEMPO (HORAS)]]*Gastos_Operativos[[#Totals],[GASTOS HORA]]</f>
        <v>41684.215608465602</v>
      </c>
      <c r="W505" s="3">
        <f>+D.sign_Data[[#This Row],[COSTO 
DIRECTO ($COP)]]+D.sign_Data[[#This Row],[PRORRATEO GASTOS ($COP)]]</f>
        <v>83527.954879404482</v>
      </c>
      <c r="X505" s="101">
        <v>0.15</v>
      </c>
      <c r="Y505" s="15">
        <f>+D.sign_Data[[#This Row],[COSTOS OPERACIONALES ($COP)]]*D.sign_Data[[#This Row],[DESFASE (%)]]</f>
        <v>12529.193231910673</v>
      </c>
      <c r="Z505" s="101">
        <v>0.2</v>
      </c>
      <c r="AA505" s="15">
        <f>+((D.sign_Data[[#This Row],[COSTOS OPERACIONALES ($COP)]]/(100%-D.sign_Data[[#This Row],[UTILIDAD (%)]])))-D.sign_Data[[#This Row],[COSTOS OPERACIONALES ($COP)]]</f>
        <v>20881.988719851113</v>
      </c>
      <c r="AB505" s="3">
        <f>+D.sign_Data[[#This Row],[COSTOS OPERACIONALES ($COP)]]+D.sign_Data[[#This Row],[DESFASE ($COP)]]+D.sign_Data[[#This Row],[UTILIDAD ($COP)]]</f>
        <v>116939.13683116627</v>
      </c>
      <c r="AC505" s="101">
        <v>0.05</v>
      </c>
      <c r="AD505" s="15">
        <f>+D.sign_Data[[#This Row],[VALOR NETO ($COP)]]/(100%-D.sign_Data[[#This Row],[MARGEN DE NEGOCIACIÓN (%)]])-D.sign_Data[[#This Row],[VALOR NETO ($COP)]]</f>
        <v>6154.6914121666487</v>
      </c>
      <c r="AE505" s="15">
        <f>+(D.sign_Data[[#This Row],[VALOR NETO ($COP)]]+D.sign_Data[[#This Row],[NEGOCIACIÓN ($COP)]])*1%</f>
        <v>1230.9382824333293</v>
      </c>
      <c r="AF505" s="15">
        <f>+(D.sign_Data[[#This Row],[VALOR NETO ($COP)]]+D.sign_Data[[#This Row],[NEGOCIACIÓN ($COP)]])*1%</f>
        <v>1230.9382824333293</v>
      </c>
      <c r="AG505" s="3">
        <f>+D.sign_Data[[#This Row],[VALOR NETO ($COP)]]+D.sign_Data[[#This Row],[NEGOCIACIÓN ($COP)]]+D.sign_Data[[#This Row],[ICA ($COP)]]+D.sign_Data[[#This Row],[4 * 1000 ($COP)]]</f>
        <v>125555.70480819957</v>
      </c>
    </row>
    <row r="506" spans="1:33" ht="60" hidden="1" customHeight="1" x14ac:dyDescent="0.25">
      <c r="A506" s="14"/>
      <c r="B506" s="87" t="s">
        <v>442</v>
      </c>
      <c r="C506" s="182" t="s">
        <v>822</v>
      </c>
      <c r="D506" s="189" t="str">
        <f>VLOOKUP(D.sign_Data[[#This Row],[CÓDIGO]],Descripciones[[CÓDIGO]:[NOMBRE DE SERVICIO]],3,FALSE)</f>
        <v>D1. Parcelaciones y Condominios</v>
      </c>
      <c r="E506" s="87" t="s">
        <v>467</v>
      </c>
      <c r="F506" s="88" t="s">
        <v>823</v>
      </c>
      <c r="G506" s="88" t="s">
        <v>824</v>
      </c>
      <c r="H506" s="87" t="s">
        <v>448</v>
      </c>
      <c r="I506" s="89">
        <v>1</v>
      </c>
      <c r="J506" s="88" t="s">
        <v>836</v>
      </c>
      <c r="K506" s="102"/>
      <c r="L506" s="91" t="s">
        <v>839</v>
      </c>
      <c r="M506" s="89" t="s">
        <v>381</v>
      </c>
      <c r="N506" s="90">
        <v>1.5</v>
      </c>
      <c r="O506" s="27">
        <f>IFERROR(+VLOOKUP(M506,D.sign_Lista_Data[[RESPONSABLE]:[SOFTWARE 
VALOR HORA]],3,FALSE),"0")</f>
        <v>20263.424518743668</v>
      </c>
      <c r="P506" s="3">
        <f t="shared" si="16"/>
        <v>30395.136778115502</v>
      </c>
      <c r="Q506" s="11">
        <f>IFERROR(+VLOOKUP(M506,D.sign_Lista_Data[[RESPONSABLE]:[SOFTWARE 
VALOR HORA]],5,FALSE)*D.sign_Data[[#This Row],[TIEMPO (HORAS)]],0)</f>
        <v>6332.3201621073949</v>
      </c>
      <c r="R506" s="42">
        <f>IFERROR(+VLOOKUP(M506,D.sign_Lista_Data[[RESPONSABLE]:[SOFTWARE 
VALOR HORA]],8,FALSE)*D.sign_Data[[#This Row],[TIEMPO (HORAS)]],0)</f>
        <v>5116.2823307159751</v>
      </c>
      <c r="S506" s="99">
        <v>0</v>
      </c>
      <c r="T506" s="99">
        <v>0</v>
      </c>
      <c r="U506" s="3">
        <f t="shared" si="17"/>
        <v>41843.739270938873</v>
      </c>
      <c r="V506" s="100">
        <f>D.sign_Data[[#This Row],[TIEMPO (HORAS)]]*Gastos_Operativos[[#Totals],[GASTOS HORA]]</f>
        <v>41684.215608465602</v>
      </c>
      <c r="W506" s="3">
        <f>+D.sign_Data[[#This Row],[COSTO 
DIRECTO ($COP)]]+D.sign_Data[[#This Row],[PRORRATEO GASTOS ($COP)]]</f>
        <v>83527.954879404482</v>
      </c>
      <c r="X506" s="101">
        <v>0.15</v>
      </c>
      <c r="Y506" s="15">
        <f>+D.sign_Data[[#This Row],[COSTOS OPERACIONALES ($COP)]]*D.sign_Data[[#This Row],[DESFASE (%)]]</f>
        <v>12529.193231910673</v>
      </c>
      <c r="Z506" s="101">
        <v>0.2</v>
      </c>
      <c r="AA506" s="15">
        <f>+((D.sign_Data[[#This Row],[COSTOS OPERACIONALES ($COP)]]/(100%-D.sign_Data[[#This Row],[UTILIDAD (%)]])))-D.sign_Data[[#This Row],[COSTOS OPERACIONALES ($COP)]]</f>
        <v>20881.988719851113</v>
      </c>
      <c r="AB506" s="3">
        <f>+D.sign_Data[[#This Row],[COSTOS OPERACIONALES ($COP)]]+D.sign_Data[[#This Row],[DESFASE ($COP)]]+D.sign_Data[[#This Row],[UTILIDAD ($COP)]]</f>
        <v>116939.13683116627</v>
      </c>
      <c r="AC506" s="101">
        <v>0.05</v>
      </c>
      <c r="AD506" s="15">
        <f>+D.sign_Data[[#This Row],[VALOR NETO ($COP)]]/(100%-D.sign_Data[[#This Row],[MARGEN DE NEGOCIACIÓN (%)]])-D.sign_Data[[#This Row],[VALOR NETO ($COP)]]</f>
        <v>6154.6914121666487</v>
      </c>
      <c r="AE506" s="15">
        <f>+(D.sign_Data[[#This Row],[VALOR NETO ($COP)]]+D.sign_Data[[#This Row],[NEGOCIACIÓN ($COP)]])*1%</f>
        <v>1230.9382824333293</v>
      </c>
      <c r="AF506" s="15">
        <f>+(D.sign_Data[[#This Row],[VALOR NETO ($COP)]]+D.sign_Data[[#This Row],[NEGOCIACIÓN ($COP)]])*1%</f>
        <v>1230.9382824333293</v>
      </c>
      <c r="AG506" s="3">
        <f>+D.sign_Data[[#This Row],[VALOR NETO ($COP)]]+D.sign_Data[[#This Row],[NEGOCIACIÓN ($COP)]]+D.sign_Data[[#This Row],[ICA ($COP)]]+D.sign_Data[[#This Row],[4 * 1000 ($COP)]]</f>
        <v>125555.70480819957</v>
      </c>
    </row>
    <row r="507" spans="1:33" ht="60" hidden="1" customHeight="1" x14ac:dyDescent="0.25">
      <c r="A507" s="14"/>
      <c r="B507" s="87" t="s">
        <v>442</v>
      </c>
      <c r="C507" s="182" t="s">
        <v>822</v>
      </c>
      <c r="D507" s="189" t="str">
        <f>VLOOKUP(D.sign_Data[[#This Row],[CÓDIGO]],Descripciones[[CÓDIGO]:[NOMBRE DE SERVICIO]],3,FALSE)</f>
        <v>D1. Parcelaciones y Condominios</v>
      </c>
      <c r="E507" s="87" t="s">
        <v>467</v>
      </c>
      <c r="F507" s="88" t="s">
        <v>823</v>
      </c>
      <c r="G507" s="88" t="s">
        <v>824</v>
      </c>
      <c r="H507" s="87" t="s">
        <v>448</v>
      </c>
      <c r="I507" s="89">
        <v>1</v>
      </c>
      <c r="J507" s="88" t="s">
        <v>836</v>
      </c>
      <c r="K507" s="102"/>
      <c r="L507" s="91" t="s">
        <v>738</v>
      </c>
      <c r="M507" s="89" t="s">
        <v>381</v>
      </c>
      <c r="N507" s="90">
        <v>1.5</v>
      </c>
      <c r="O507" s="27">
        <f>IFERROR(+VLOOKUP(M507,D.sign_Lista_Data[[RESPONSABLE]:[SOFTWARE 
VALOR HORA]],3,FALSE),"0")</f>
        <v>20263.424518743668</v>
      </c>
      <c r="P507" s="3">
        <f t="shared" si="16"/>
        <v>30395.136778115502</v>
      </c>
      <c r="Q507" s="11">
        <f>IFERROR(+VLOOKUP(M507,D.sign_Lista_Data[[RESPONSABLE]:[SOFTWARE 
VALOR HORA]],5,FALSE)*D.sign_Data[[#This Row],[TIEMPO (HORAS)]],0)</f>
        <v>6332.3201621073949</v>
      </c>
      <c r="R507" s="42">
        <f>IFERROR(+VLOOKUP(M507,D.sign_Lista_Data[[RESPONSABLE]:[SOFTWARE 
VALOR HORA]],8,FALSE)*D.sign_Data[[#This Row],[TIEMPO (HORAS)]],0)</f>
        <v>5116.2823307159751</v>
      </c>
      <c r="S507" s="99">
        <v>0</v>
      </c>
      <c r="T507" s="99">
        <v>0</v>
      </c>
      <c r="U507" s="3">
        <f t="shared" si="17"/>
        <v>41843.739270938873</v>
      </c>
      <c r="V507" s="100">
        <f>D.sign_Data[[#This Row],[TIEMPO (HORAS)]]*Gastos_Operativos[[#Totals],[GASTOS HORA]]</f>
        <v>41684.215608465602</v>
      </c>
      <c r="W507" s="3">
        <f>+D.sign_Data[[#This Row],[COSTO 
DIRECTO ($COP)]]+D.sign_Data[[#This Row],[PRORRATEO GASTOS ($COP)]]</f>
        <v>83527.954879404482</v>
      </c>
      <c r="X507" s="101">
        <v>0.15</v>
      </c>
      <c r="Y507" s="15">
        <f>+D.sign_Data[[#This Row],[COSTOS OPERACIONALES ($COP)]]*D.sign_Data[[#This Row],[DESFASE (%)]]</f>
        <v>12529.193231910673</v>
      </c>
      <c r="Z507" s="101">
        <v>0.2</v>
      </c>
      <c r="AA507" s="15">
        <f>+((D.sign_Data[[#This Row],[COSTOS OPERACIONALES ($COP)]]/(100%-D.sign_Data[[#This Row],[UTILIDAD (%)]])))-D.sign_Data[[#This Row],[COSTOS OPERACIONALES ($COP)]]</f>
        <v>20881.988719851113</v>
      </c>
      <c r="AB507" s="3">
        <f>+D.sign_Data[[#This Row],[COSTOS OPERACIONALES ($COP)]]+D.sign_Data[[#This Row],[DESFASE ($COP)]]+D.sign_Data[[#This Row],[UTILIDAD ($COP)]]</f>
        <v>116939.13683116627</v>
      </c>
      <c r="AC507" s="101">
        <v>0.05</v>
      </c>
      <c r="AD507" s="15">
        <f>+D.sign_Data[[#This Row],[VALOR NETO ($COP)]]/(100%-D.sign_Data[[#This Row],[MARGEN DE NEGOCIACIÓN (%)]])-D.sign_Data[[#This Row],[VALOR NETO ($COP)]]</f>
        <v>6154.6914121666487</v>
      </c>
      <c r="AE507" s="15">
        <f>+(D.sign_Data[[#This Row],[VALOR NETO ($COP)]]+D.sign_Data[[#This Row],[NEGOCIACIÓN ($COP)]])*1%</f>
        <v>1230.9382824333293</v>
      </c>
      <c r="AF507" s="15">
        <f>+(D.sign_Data[[#This Row],[VALOR NETO ($COP)]]+D.sign_Data[[#This Row],[NEGOCIACIÓN ($COP)]])*1%</f>
        <v>1230.9382824333293</v>
      </c>
      <c r="AG507" s="3">
        <f>+D.sign_Data[[#This Row],[VALOR NETO ($COP)]]+D.sign_Data[[#This Row],[NEGOCIACIÓN ($COP)]]+D.sign_Data[[#This Row],[ICA ($COP)]]+D.sign_Data[[#This Row],[4 * 1000 ($COP)]]</f>
        <v>125555.70480819957</v>
      </c>
    </row>
    <row r="508" spans="1:33" ht="60" hidden="1" customHeight="1" x14ac:dyDescent="0.25">
      <c r="A508" s="14"/>
      <c r="B508" s="87" t="s">
        <v>442</v>
      </c>
      <c r="C508" s="182" t="s">
        <v>822</v>
      </c>
      <c r="D508" s="189" t="str">
        <f>VLOOKUP(D.sign_Data[[#This Row],[CÓDIGO]],Descripciones[[CÓDIGO]:[NOMBRE DE SERVICIO]],3,FALSE)</f>
        <v>D1. Parcelaciones y Condominios</v>
      </c>
      <c r="E508" s="87" t="s">
        <v>467</v>
      </c>
      <c r="F508" s="88" t="s">
        <v>823</v>
      </c>
      <c r="G508" s="88" t="s">
        <v>824</v>
      </c>
      <c r="H508" s="87" t="s">
        <v>448</v>
      </c>
      <c r="I508" s="89">
        <v>1</v>
      </c>
      <c r="J508" s="88" t="s">
        <v>836</v>
      </c>
      <c r="K508" s="102"/>
      <c r="L508" s="91" t="s">
        <v>648</v>
      </c>
      <c r="M508" s="89" t="s">
        <v>381</v>
      </c>
      <c r="N508" s="90">
        <v>1.5</v>
      </c>
      <c r="O508" s="27">
        <f>IFERROR(+VLOOKUP(M508,D.sign_Lista_Data[[RESPONSABLE]:[SOFTWARE 
VALOR HORA]],3,FALSE),"0")</f>
        <v>20263.424518743668</v>
      </c>
      <c r="P508" s="3">
        <f t="shared" si="16"/>
        <v>30395.136778115502</v>
      </c>
      <c r="Q508" s="11">
        <f>IFERROR(+VLOOKUP(M508,D.sign_Lista_Data[[RESPONSABLE]:[SOFTWARE 
VALOR HORA]],5,FALSE)*D.sign_Data[[#This Row],[TIEMPO (HORAS)]],0)</f>
        <v>6332.3201621073949</v>
      </c>
      <c r="R508" s="42">
        <f>IFERROR(+VLOOKUP(M508,D.sign_Lista_Data[[RESPONSABLE]:[SOFTWARE 
VALOR HORA]],8,FALSE)*D.sign_Data[[#This Row],[TIEMPO (HORAS)]],0)</f>
        <v>5116.2823307159751</v>
      </c>
      <c r="S508" s="99">
        <v>0</v>
      </c>
      <c r="T508" s="99">
        <v>0</v>
      </c>
      <c r="U508" s="3">
        <f t="shared" si="17"/>
        <v>41843.739270938873</v>
      </c>
      <c r="V508" s="100">
        <f>D.sign_Data[[#This Row],[TIEMPO (HORAS)]]*Gastos_Operativos[[#Totals],[GASTOS HORA]]</f>
        <v>41684.215608465602</v>
      </c>
      <c r="W508" s="3">
        <f>+D.sign_Data[[#This Row],[COSTO 
DIRECTO ($COP)]]+D.sign_Data[[#This Row],[PRORRATEO GASTOS ($COP)]]</f>
        <v>83527.954879404482</v>
      </c>
      <c r="X508" s="101">
        <v>0.15</v>
      </c>
      <c r="Y508" s="15">
        <f>+D.sign_Data[[#This Row],[COSTOS OPERACIONALES ($COP)]]*D.sign_Data[[#This Row],[DESFASE (%)]]</f>
        <v>12529.193231910673</v>
      </c>
      <c r="Z508" s="101">
        <v>0.2</v>
      </c>
      <c r="AA508" s="15">
        <f>+((D.sign_Data[[#This Row],[COSTOS OPERACIONALES ($COP)]]/(100%-D.sign_Data[[#This Row],[UTILIDAD (%)]])))-D.sign_Data[[#This Row],[COSTOS OPERACIONALES ($COP)]]</f>
        <v>20881.988719851113</v>
      </c>
      <c r="AB508" s="3">
        <f>+D.sign_Data[[#This Row],[COSTOS OPERACIONALES ($COP)]]+D.sign_Data[[#This Row],[DESFASE ($COP)]]+D.sign_Data[[#This Row],[UTILIDAD ($COP)]]</f>
        <v>116939.13683116627</v>
      </c>
      <c r="AC508" s="101">
        <v>0.05</v>
      </c>
      <c r="AD508" s="15">
        <f>+D.sign_Data[[#This Row],[VALOR NETO ($COP)]]/(100%-D.sign_Data[[#This Row],[MARGEN DE NEGOCIACIÓN (%)]])-D.sign_Data[[#This Row],[VALOR NETO ($COP)]]</f>
        <v>6154.6914121666487</v>
      </c>
      <c r="AE508" s="15">
        <f>+(D.sign_Data[[#This Row],[VALOR NETO ($COP)]]+D.sign_Data[[#This Row],[NEGOCIACIÓN ($COP)]])*1%</f>
        <v>1230.9382824333293</v>
      </c>
      <c r="AF508" s="15">
        <f>+(D.sign_Data[[#This Row],[VALOR NETO ($COP)]]+D.sign_Data[[#This Row],[NEGOCIACIÓN ($COP)]])*1%</f>
        <v>1230.9382824333293</v>
      </c>
      <c r="AG508" s="3">
        <f>+D.sign_Data[[#This Row],[VALOR NETO ($COP)]]+D.sign_Data[[#This Row],[NEGOCIACIÓN ($COP)]]+D.sign_Data[[#This Row],[ICA ($COP)]]+D.sign_Data[[#This Row],[4 * 1000 ($COP)]]</f>
        <v>125555.70480819957</v>
      </c>
    </row>
    <row r="509" spans="1:33" ht="60" hidden="1" customHeight="1" x14ac:dyDescent="0.25">
      <c r="A509" s="14"/>
      <c r="B509" s="87" t="s">
        <v>442</v>
      </c>
      <c r="C509" s="182" t="s">
        <v>822</v>
      </c>
      <c r="D509" s="189" t="str">
        <f>VLOOKUP(D.sign_Data[[#This Row],[CÓDIGO]],Descripciones[[CÓDIGO]:[NOMBRE DE SERVICIO]],3,FALSE)</f>
        <v>D1. Parcelaciones y Condominios</v>
      </c>
      <c r="E509" s="87" t="s">
        <v>467</v>
      </c>
      <c r="F509" s="88" t="s">
        <v>823</v>
      </c>
      <c r="G509" s="88" t="s">
        <v>824</v>
      </c>
      <c r="H509" s="87" t="s">
        <v>448</v>
      </c>
      <c r="I509" s="89">
        <v>1</v>
      </c>
      <c r="J509" s="88" t="s">
        <v>840</v>
      </c>
      <c r="K509" s="102"/>
      <c r="L509" s="91" t="s">
        <v>841</v>
      </c>
      <c r="M509" s="89" t="s">
        <v>381</v>
      </c>
      <c r="N509" s="90">
        <v>1.5</v>
      </c>
      <c r="O509" s="27">
        <f>IFERROR(+VLOOKUP(M509,D.sign_Lista_Data[[RESPONSABLE]:[SOFTWARE 
VALOR HORA]],3,FALSE),"0")</f>
        <v>20263.424518743668</v>
      </c>
      <c r="P509" s="3">
        <f t="shared" si="16"/>
        <v>30395.136778115502</v>
      </c>
      <c r="Q509" s="11">
        <f>IFERROR(+VLOOKUP(M509,D.sign_Lista_Data[[RESPONSABLE]:[SOFTWARE 
VALOR HORA]],5,FALSE)*D.sign_Data[[#This Row],[TIEMPO (HORAS)]],0)</f>
        <v>6332.3201621073949</v>
      </c>
      <c r="R509" s="42">
        <f>IFERROR(+VLOOKUP(M509,D.sign_Lista_Data[[RESPONSABLE]:[SOFTWARE 
VALOR HORA]],8,FALSE)*D.sign_Data[[#This Row],[TIEMPO (HORAS)]],0)</f>
        <v>5116.2823307159751</v>
      </c>
      <c r="S509" s="99">
        <v>0</v>
      </c>
      <c r="T509" s="99">
        <v>0</v>
      </c>
      <c r="U509" s="3">
        <f t="shared" si="17"/>
        <v>41843.739270938873</v>
      </c>
      <c r="V509" s="100">
        <f>D.sign_Data[[#This Row],[TIEMPO (HORAS)]]*Gastos_Operativos[[#Totals],[GASTOS HORA]]</f>
        <v>41684.215608465602</v>
      </c>
      <c r="W509" s="3">
        <f>+D.sign_Data[[#This Row],[COSTO 
DIRECTO ($COP)]]+D.sign_Data[[#This Row],[PRORRATEO GASTOS ($COP)]]</f>
        <v>83527.954879404482</v>
      </c>
      <c r="X509" s="101">
        <v>0.15</v>
      </c>
      <c r="Y509" s="15">
        <f>+D.sign_Data[[#This Row],[COSTOS OPERACIONALES ($COP)]]*D.sign_Data[[#This Row],[DESFASE (%)]]</f>
        <v>12529.193231910673</v>
      </c>
      <c r="Z509" s="101">
        <v>0.2</v>
      </c>
      <c r="AA509" s="15">
        <f>+((D.sign_Data[[#This Row],[COSTOS OPERACIONALES ($COP)]]/(100%-D.sign_Data[[#This Row],[UTILIDAD (%)]])))-D.sign_Data[[#This Row],[COSTOS OPERACIONALES ($COP)]]</f>
        <v>20881.988719851113</v>
      </c>
      <c r="AB509" s="3">
        <f>+D.sign_Data[[#This Row],[COSTOS OPERACIONALES ($COP)]]+D.sign_Data[[#This Row],[DESFASE ($COP)]]+D.sign_Data[[#This Row],[UTILIDAD ($COP)]]</f>
        <v>116939.13683116627</v>
      </c>
      <c r="AC509" s="101">
        <v>0.05</v>
      </c>
      <c r="AD509" s="15">
        <f>+D.sign_Data[[#This Row],[VALOR NETO ($COP)]]/(100%-D.sign_Data[[#This Row],[MARGEN DE NEGOCIACIÓN (%)]])-D.sign_Data[[#This Row],[VALOR NETO ($COP)]]</f>
        <v>6154.6914121666487</v>
      </c>
      <c r="AE509" s="15">
        <f>+(D.sign_Data[[#This Row],[VALOR NETO ($COP)]]+D.sign_Data[[#This Row],[NEGOCIACIÓN ($COP)]])*1%</f>
        <v>1230.9382824333293</v>
      </c>
      <c r="AF509" s="15">
        <f>+(D.sign_Data[[#This Row],[VALOR NETO ($COP)]]+D.sign_Data[[#This Row],[NEGOCIACIÓN ($COP)]])*1%</f>
        <v>1230.9382824333293</v>
      </c>
      <c r="AG509" s="3">
        <f>+D.sign_Data[[#This Row],[VALOR NETO ($COP)]]+D.sign_Data[[#This Row],[NEGOCIACIÓN ($COP)]]+D.sign_Data[[#This Row],[ICA ($COP)]]+D.sign_Data[[#This Row],[4 * 1000 ($COP)]]</f>
        <v>125555.70480819957</v>
      </c>
    </row>
    <row r="510" spans="1:33" ht="60" hidden="1" customHeight="1" x14ac:dyDescent="0.25">
      <c r="A510" s="14"/>
      <c r="B510" s="87" t="s">
        <v>442</v>
      </c>
      <c r="C510" s="182" t="s">
        <v>822</v>
      </c>
      <c r="D510" s="189" t="str">
        <f>VLOOKUP(D.sign_Data[[#This Row],[CÓDIGO]],Descripciones[[CÓDIGO]:[NOMBRE DE SERVICIO]],3,FALSE)</f>
        <v>D1. Parcelaciones y Condominios</v>
      </c>
      <c r="E510" s="87" t="s">
        <v>467</v>
      </c>
      <c r="F510" s="88" t="s">
        <v>823</v>
      </c>
      <c r="G510" s="88" t="s">
        <v>824</v>
      </c>
      <c r="H510" s="87" t="s">
        <v>448</v>
      </c>
      <c r="I510" s="89">
        <v>1</v>
      </c>
      <c r="J510" s="88" t="s">
        <v>840</v>
      </c>
      <c r="K510" s="102"/>
      <c r="L510" s="91" t="s">
        <v>842</v>
      </c>
      <c r="M510" s="89" t="s">
        <v>381</v>
      </c>
      <c r="N510" s="90">
        <v>0.5</v>
      </c>
      <c r="O510" s="27">
        <f>IFERROR(+VLOOKUP(M510,D.sign_Lista_Data[[RESPONSABLE]:[SOFTWARE 
VALOR HORA]],3,FALSE),"0")</f>
        <v>20263.424518743668</v>
      </c>
      <c r="P510" s="3">
        <f t="shared" si="16"/>
        <v>10131.712259371834</v>
      </c>
      <c r="Q510" s="11">
        <f>IFERROR(+VLOOKUP(M510,D.sign_Lista_Data[[RESPONSABLE]:[SOFTWARE 
VALOR HORA]],5,FALSE)*D.sign_Data[[#This Row],[TIEMPO (HORAS)]],0)</f>
        <v>2110.7733873691318</v>
      </c>
      <c r="R510" s="42">
        <f>IFERROR(+VLOOKUP(M510,D.sign_Lista_Data[[RESPONSABLE]:[SOFTWARE 
VALOR HORA]],8,FALSE)*D.sign_Data[[#This Row],[TIEMPO (HORAS)]],0)</f>
        <v>1705.4274435719917</v>
      </c>
      <c r="S510" s="99">
        <v>0</v>
      </c>
      <c r="T510" s="99">
        <v>0</v>
      </c>
      <c r="U510" s="3">
        <f t="shared" si="17"/>
        <v>13947.913090312959</v>
      </c>
      <c r="V510" s="100">
        <f>D.sign_Data[[#This Row],[TIEMPO (HORAS)]]*Gastos_Operativos[[#Totals],[GASTOS HORA]]</f>
        <v>13894.738536155201</v>
      </c>
      <c r="W510" s="3">
        <f>+D.sign_Data[[#This Row],[COSTO 
DIRECTO ($COP)]]+D.sign_Data[[#This Row],[PRORRATEO GASTOS ($COP)]]</f>
        <v>27842.65162646816</v>
      </c>
      <c r="X510" s="101">
        <v>0.15</v>
      </c>
      <c r="Y510" s="15">
        <f>+D.sign_Data[[#This Row],[COSTOS OPERACIONALES ($COP)]]*D.sign_Data[[#This Row],[DESFASE (%)]]</f>
        <v>4176.3977439702239</v>
      </c>
      <c r="Z510" s="101">
        <v>0.2</v>
      </c>
      <c r="AA510" s="15">
        <f>+((D.sign_Data[[#This Row],[COSTOS OPERACIONALES ($COP)]]/(100%-D.sign_Data[[#This Row],[UTILIDAD (%)]])))-D.sign_Data[[#This Row],[COSTOS OPERACIONALES ($COP)]]</f>
        <v>6960.662906617039</v>
      </c>
      <c r="AB510" s="3">
        <f>+D.sign_Data[[#This Row],[COSTOS OPERACIONALES ($COP)]]+D.sign_Data[[#This Row],[DESFASE ($COP)]]+D.sign_Data[[#This Row],[UTILIDAD ($COP)]]</f>
        <v>38979.712277055427</v>
      </c>
      <c r="AC510" s="101">
        <v>0.05</v>
      </c>
      <c r="AD510" s="15">
        <f>+D.sign_Data[[#This Row],[VALOR NETO ($COP)]]/(100%-D.sign_Data[[#This Row],[MARGEN DE NEGOCIACIÓN (%)]])-D.sign_Data[[#This Row],[VALOR NETO ($COP)]]</f>
        <v>2051.5638040555496</v>
      </c>
      <c r="AE510" s="15">
        <f>+(D.sign_Data[[#This Row],[VALOR NETO ($COP)]]+D.sign_Data[[#This Row],[NEGOCIACIÓN ($COP)]])*1%</f>
        <v>410.3127608111098</v>
      </c>
      <c r="AF510" s="15">
        <f>+(D.sign_Data[[#This Row],[VALOR NETO ($COP)]]+D.sign_Data[[#This Row],[NEGOCIACIÓN ($COP)]])*1%</f>
        <v>410.3127608111098</v>
      </c>
      <c r="AG510" s="3">
        <f>+D.sign_Data[[#This Row],[VALOR NETO ($COP)]]+D.sign_Data[[#This Row],[NEGOCIACIÓN ($COP)]]+D.sign_Data[[#This Row],[ICA ($COP)]]+D.sign_Data[[#This Row],[4 * 1000 ($COP)]]</f>
        <v>41851.901602733196</v>
      </c>
    </row>
    <row r="511" spans="1:33" ht="60" hidden="1" customHeight="1" x14ac:dyDescent="0.25">
      <c r="A511" s="14"/>
      <c r="B511" s="87" t="s">
        <v>442</v>
      </c>
      <c r="C511" s="182" t="s">
        <v>822</v>
      </c>
      <c r="D511" s="189" t="str">
        <f>VLOOKUP(D.sign_Data[[#This Row],[CÓDIGO]],Descripciones[[CÓDIGO]:[NOMBRE DE SERVICIO]],3,FALSE)</f>
        <v>D1. Parcelaciones y Condominios</v>
      </c>
      <c r="E511" s="87" t="s">
        <v>467</v>
      </c>
      <c r="F511" s="88" t="s">
        <v>823</v>
      </c>
      <c r="G511" s="88" t="s">
        <v>824</v>
      </c>
      <c r="H511" s="87" t="s">
        <v>448</v>
      </c>
      <c r="I511" s="89">
        <v>1</v>
      </c>
      <c r="J511" s="88" t="s">
        <v>840</v>
      </c>
      <c r="K511" s="102"/>
      <c r="L511" s="91" t="s">
        <v>843</v>
      </c>
      <c r="M511" s="89" t="s">
        <v>381</v>
      </c>
      <c r="N511" s="90">
        <v>0.5</v>
      </c>
      <c r="O511" s="27">
        <f>IFERROR(+VLOOKUP(M511,D.sign_Lista_Data[[RESPONSABLE]:[SOFTWARE 
VALOR HORA]],3,FALSE),"0")</f>
        <v>20263.424518743668</v>
      </c>
      <c r="P511" s="3">
        <f t="shared" si="16"/>
        <v>10131.712259371834</v>
      </c>
      <c r="Q511" s="11">
        <f>IFERROR(+VLOOKUP(M511,D.sign_Lista_Data[[RESPONSABLE]:[SOFTWARE 
VALOR HORA]],5,FALSE)*D.sign_Data[[#This Row],[TIEMPO (HORAS)]],0)</f>
        <v>2110.7733873691318</v>
      </c>
      <c r="R511" s="42">
        <f>IFERROR(+VLOOKUP(M511,D.sign_Lista_Data[[RESPONSABLE]:[SOFTWARE 
VALOR HORA]],8,FALSE)*D.sign_Data[[#This Row],[TIEMPO (HORAS)]],0)</f>
        <v>1705.4274435719917</v>
      </c>
      <c r="S511" s="99">
        <v>0</v>
      </c>
      <c r="T511" s="99">
        <v>0</v>
      </c>
      <c r="U511" s="3">
        <f t="shared" si="17"/>
        <v>13947.913090312959</v>
      </c>
      <c r="V511" s="100">
        <f>D.sign_Data[[#This Row],[TIEMPO (HORAS)]]*Gastos_Operativos[[#Totals],[GASTOS HORA]]</f>
        <v>13894.738536155201</v>
      </c>
      <c r="W511" s="3">
        <f>+D.sign_Data[[#This Row],[COSTO 
DIRECTO ($COP)]]+D.sign_Data[[#This Row],[PRORRATEO GASTOS ($COP)]]</f>
        <v>27842.65162646816</v>
      </c>
      <c r="X511" s="101">
        <v>0.15</v>
      </c>
      <c r="Y511" s="15">
        <f>+D.sign_Data[[#This Row],[COSTOS OPERACIONALES ($COP)]]*D.sign_Data[[#This Row],[DESFASE (%)]]</f>
        <v>4176.3977439702239</v>
      </c>
      <c r="Z511" s="101">
        <v>0.2</v>
      </c>
      <c r="AA511" s="15">
        <f>+((D.sign_Data[[#This Row],[COSTOS OPERACIONALES ($COP)]]/(100%-D.sign_Data[[#This Row],[UTILIDAD (%)]])))-D.sign_Data[[#This Row],[COSTOS OPERACIONALES ($COP)]]</f>
        <v>6960.662906617039</v>
      </c>
      <c r="AB511" s="3">
        <f>+D.sign_Data[[#This Row],[COSTOS OPERACIONALES ($COP)]]+D.sign_Data[[#This Row],[DESFASE ($COP)]]+D.sign_Data[[#This Row],[UTILIDAD ($COP)]]</f>
        <v>38979.712277055427</v>
      </c>
      <c r="AC511" s="101">
        <v>0.05</v>
      </c>
      <c r="AD511" s="15">
        <f>+D.sign_Data[[#This Row],[VALOR NETO ($COP)]]/(100%-D.sign_Data[[#This Row],[MARGEN DE NEGOCIACIÓN (%)]])-D.sign_Data[[#This Row],[VALOR NETO ($COP)]]</f>
        <v>2051.5638040555496</v>
      </c>
      <c r="AE511" s="15">
        <f>+(D.sign_Data[[#This Row],[VALOR NETO ($COP)]]+D.sign_Data[[#This Row],[NEGOCIACIÓN ($COP)]])*1%</f>
        <v>410.3127608111098</v>
      </c>
      <c r="AF511" s="15">
        <f>+(D.sign_Data[[#This Row],[VALOR NETO ($COP)]]+D.sign_Data[[#This Row],[NEGOCIACIÓN ($COP)]])*1%</f>
        <v>410.3127608111098</v>
      </c>
      <c r="AG511" s="3">
        <f>+D.sign_Data[[#This Row],[VALOR NETO ($COP)]]+D.sign_Data[[#This Row],[NEGOCIACIÓN ($COP)]]+D.sign_Data[[#This Row],[ICA ($COP)]]+D.sign_Data[[#This Row],[4 * 1000 ($COP)]]</f>
        <v>41851.901602733196</v>
      </c>
    </row>
    <row r="512" spans="1:33" ht="60" hidden="1" customHeight="1" x14ac:dyDescent="0.25">
      <c r="A512" s="14"/>
      <c r="B512" s="87" t="s">
        <v>442</v>
      </c>
      <c r="C512" s="182" t="s">
        <v>822</v>
      </c>
      <c r="D512" s="189" t="str">
        <f>VLOOKUP(D.sign_Data[[#This Row],[CÓDIGO]],Descripciones[[CÓDIGO]:[NOMBRE DE SERVICIO]],3,FALSE)</f>
        <v>D1. Parcelaciones y Condominios</v>
      </c>
      <c r="E512" s="87" t="s">
        <v>467</v>
      </c>
      <c r="F512" s="88" t="s">
        <v>823</v>
      </c>
      <c r="G512" s="88" t="s">
        <v>824</v>
      </c>
      <c r="H512" s="87" t="s">
        <v>448</v>
      </c>
      <c r="I512" s="89">
        <v>1</v>
      </c>
      <c r="J512" s="88" t="s">
        <v>840</v>
      </c>
      <c r="K512" s="102"/>
      <c r="L512" s="91" t="s">
        <v>844</v>
      </c>
      <c r="M512" s="89" t="s">
        <v>381</v>
      </c>
      <c r="N512" s="90">
        <v>0.3</v>
      </c>
      <c r="O512" s="27">
        <f>IFERROR(+VLOOKUP(M512,D.sign_Lista_Data[[RESPONSABLE]:[SOFTWARE 
VALOR HORA]],3,FALSE),"0")</f>
        <v>20263.424518743668</v>
      </c>
      <c r="P512" s="3">
        <f t="shared" si="16"/>
        <v>6079.0273556231004</v>
      </c>
      <c r="Q512" s="11">
        <f>IFERROR(+VLOOKUP(M512,D.sign_Lista_Data[[RESPONSABLE]:[SOFTWARE 
VALOR HORA]],5,FALSE)*D.sign_Data[[#This Row],[TIEMPO (HORAS)]],0)</f>
        <v>1266.464032421479</v>
      </c>
      <c r="R512" s="42">
        <f>IFERROR(+VLOOKUP(M512,D.sign_Lista_Data[[RESPONSABLE]:[SOFTWARE 
VALOR HORA]],8,FALSE)*D.sign_Data[[#This Row],[TIEMPO (HORAS)]],0)</f>
        <v>1023.256466143195</v>
      </c>
      <c r="S512" s="99">
        <v>0</v>
      </c>
      <c r="T512" s="99">
        <v>0</v>
      </c>
      <c r="U512" s="3">
        <f t="shared" si="17"/>
        <v>8368.7478541877736</v>
      </c>
      <c r="V512" s="100">
        <f>D.sign_Data[[#This Row],[TIEMPO (HORAS)]]*Gastos_Operativos[[#Totals],[GASTOS HORA]]</f>
        <v>8336.8431216931203</v>
      </c>
      <c r="W512" s="3">
        <f>+D.sign_Data[[#This Row],[COSTO 
DIRECTO ($COP)]]+D.sign_Data[[#This Row],[PRORRATEO GASTOS ($COP)]]</f>
        <v>16705.590975880892</v>
      </c>
      <c r="X512" s="101">
        <v>0.15</v>
      </c>
      <c r="Y512" s="15">
        <f>+D.sign_Data[[#This Row],[COSTOS OPERACIONALES ($COP)]]*D.sign_Data[[#This Row],[DESFASE (%)]]</f>
        <v>2505.8386463821339</v>
      </c>
      <c r="Z512" s="101">
        <v>0.2</v>
      </c>
      <c r="AA512" s="15">
        <f>+((D.sign_Data[[#This Row],[COSTOS OPERACIONALES ($COP)]]/(100%-D.sign_Data[[#This Row],[UTILIDAD (%)]])))-D.sign_Data[[#This Row],[COSTOS OPERACIONALES ($COP)]]</f>
        <v>4176.3977439702212</v>
      </c>
      <c r="AB512" s="3">
        <f>+D.sign_Data[[#This Row],[COSTOS OPERACIONALES ($COP)]]+D.sign_Data[[#This Row],[DESFASE ($COP)]]+D.sign_Data[[#This Row],[UTILIDAD ($COP)]]</f>
        <v>23387.827366233247</v>
      </c>
      <c r="AC512" s="101">
        <v>0.05</v>
      </c>
      <c r="AD512" s="15">
        <f>+D.sign_Data[[#This Row],[VALOR NETO ($COP)]]/(100%-D.sign_Data[[#This Row],[MARGEN DE NEGOCIACIÓN (%)]])-D.sign_Data[[#This Row],[VALOR NETO ($COP)]]</f>
        <v>1230.9382824333297</v>
      </c>
      <c r="AE512" s="15">
        <f>+(D.sign_Data[[#This Row],[VALOR NETO ($COP)]]+D.sign_Data[[#This Row],[NEGOCIACIÓN ($COP)]])*1%</f>
        <v>246.18765648666576</v>
      </c>
      <c r="AF512" s="15">
        <f>+(D.sign_Data[[#This Row],[VALOR NETO ($COP)]]+D.sign_Data[[#This Row],[NEGOCIACIÓN ($COP)]])*1%</f>
        <v>246.18765648666576</v>
      </c>
      <c r="AG512" s="3">
        <f>+D.sign_Data[[#This Row],[VALOR NETO ($COP)]]+D.sign_Data[[#This Row],[NEGOCIACIÓN ($COP)]]+D.sign_Data[[#This Row],[ICA ($COP)]]+D.sign_Data[[#This Row],[4 * 1000 ($COP)]]</f>
        <v>25111.140961639907</v>
      </c>
    </row>
    <row r="513" spans="1:33" ht="60" hidden="1" customHeight="1" x14ac:dyDescent="0.25">
      <c r="A513" s="14"/>
      <c r="B513" s="87" t="s">
        <v>442</v>
      </c>
      <c r="C513" s="182" t="s">
        <v>822</v>
      </c>
      <c r="D513" s="189" t="str">
        <f>VLOOKUP(D.sign_Data[[#This Row],[CÓDIGO]],Descripciones[[CÓDIGO]:[NOMBRE DE SERVICIO]],3,FALSE)</f>
        <v>D1. Parcelaciones y Condominios</v>
      </c>
      <c r="E513" s="87" t="s">
        <v>467</v>
      </c>
      <c r="F513" s="88" t="s">
        <v>823</v>
      </c>
      <c r="G513" s="88" t="s">
        <v>824</v>
      </c>
      <c r="H513" s="87" t="s">
        <v>448</v>
      </c>
      <c r="I513" s="89">
        <v>1</v>
      </c>
      <c r="J513" s="88" t="s">
        <v>840</v>
      </c>
      <c r="K513" s="102"/>
      <c r="L513" s="91" t="s">
        <v>743</v>
      </c>
      <c r="M513" s="89" t="s">
        <v>381</v>
      </c>
      <c r="N513" s="90">
        <v>0.3</v>
      </c>
      <c r="O513" s="27">
        <f>IFERROR(+VLOOKUP(M513,D.sign_Lista_Data[[RESPONSABLE]:[SOFTWARE 
VALOR HORA]],3,FALSE),"0")</f>
        <v>20263.424518743668</v>
      </c>
      <c r="P513" s="3">
        <f t="shared" si="16"/>
        <v>6079.0273556231004</v>
      </c>
      <c r="Q513" s="11">
        <f>IFERROR(+VLOOKUP(M513,D.sign_Lista_Data[[RESPONSABLE]:[SOFTWARE 
VALOR HORA]],5,FALSE)*D.sign_Data[[#This Row],[TIEMPO (HORAS)]],0)</f>
        <v>1266.464032421479</v>
      </c>
      <c r="R513" s="42">
        <f>IFERROR(+VLOOKUP(M513,D.sign_Lista_Data[[RESPONSABLE]:[SOFTWARE 
VALOR HORA]],8,FALSE)*D.sign_Data[[#This Row],[TIEMPO (HORAS)]],0)</f>
        <v>1023.256466143195</v>
      </c>
      <c r="S513" s="99">
        <v>0</v>
      </c>
      <c r="T513" s="99">
        <v>0</v>
      </c>
      <c r="U513" s="3">
        <f t="shared" si="17"/>
        <v>8368.7478541877736</v>
      </c>
      <c r="V513" s="100">
        <f>D.sign_Data[[#This Row],[TIEMPO (HORAS)]]*Gastos_Operativos[[#Totals],[GASTOS HORA]]</f>
        <v>8336.8431216931203</v>
      </c>
      <c r="W513" s="3">
        <f>+D.sign_Data[[#This Row],[COSTO 
DIRECTO ($COP)]]+D.sign_Data[[#This Row],[PRORRATEO GASTOS ($COP)]]</f>
        <v>16705.590975880892</v>
      </c>
      <c r="X513" s="101">
        <v>0.15</v>
      </c>
      <c r="Y513" s="15">
        <f>+D.sign_Data[[#This Row],[COSTOS OPERACIONALES ($COP)]]*D.sign_Data[[#This Row],[DESFASE (%)]]</f>
        <v>2505.8386463821339</v>
      </c>
      <c r="Z513" s="101">
        <v>0.2</v>
      </c>
      <c r="AA513" s="15">
        <f>+((D.sign_Data[[#This Row],[COSTOS OPERACIONALES ($COP)]]/(100%-D.sign_Data[[#This Row],[UTILIDAD (%)]])))-D.sign_Data[[#This Row],[COSTOS OPERACIONALES ($COP)]]</f>
        <v>4176.3977439702212</v>
      </c>
      <c r="AB513" s="3">
        <f>+D.sign_Data[[#This Row],[COSTOS OPERACIONALES ($COP)]]+D.sign_Data[[#This Row],[DESFASE ($COP)]]+D.sign_Data[[#This Row],[UTILIDAD ($COP)]]</f>
        <v>23387.827366233247</v>
      </c>
      <c r="AC513" s="101">
        <v>0.05</v>
      </c>
      <c r="AD513" s="15">
        <f>+D.sign_Data[[#This Row],[VALOR NETO ($COP)]]/(100%-D.sign_Data[[#This Row],[MARGEN DE NEGOCIACIÓN (%)]])-D.sign_Data[[#This Row],[VALOR NETO ($COP)]]</f>
        <v>1230.9382824333297</v>
      </c>
      <c r="AE513" s="15">
        <f>+(D.sign_Data[[#This Row],[VALOR NETO ($COP)]]+D.sign_Data[[#This Row],[NEGOCIACIÓN ($COP)]])*1%</f>
        <v>246.18765648666576</v>
      </c>
      <c r="AF513" s="15">
        <f>+(D.sign_Data[[#This Row],[VALOR NETO ($COP)]]+D.sign_Data[[#This Row],[NEGOCIACIÓN ($COP)]])*1%</f>
        <v>246.18765648666576</v>
      </c>
      <c r="AG513" s="3">
        <f>+D.sign_Data[[#This Row],[VALOR NETO ($COP)]]+D.sign_Data[[#This Row],[NEGOCIACIÓN ($COP)]]+D.sign_Data[[#This Row],[ICA ($COP)]]+D.sign_Data[[#This Row],[4 * 1000 ($COP)]]</f>
        <v>25111.140961639907</v>
      </c>
    </row>
    <row r="514" spans="1:33" ht="60" hidden="1" customHeight="1" x14ac:dyDescent="0.25">
      <c r="A514" s="14"/>
      <c r="B514" s="87" t="s">
        <v>442</v>
      </c>
      <c r="C514" s="182" t="s">
        <v>822</v>
      </c>
      <c r="D514" s="189" t="str">
        <f>VLOOKUP(D.sign_Data[[#This Row],[CÓDIGO]],Descripciones[[CÓDIGO]:[NOMBRE DE SERVICIO]],3,FALSE)</f>
        <v>D1. Parcelaciones y Condominios</v>
      </c>
      <c r="E514" s="87" t="s">
        <v>467</v>
      </c>
      <c r="F514" s="88" t="s">
        <v>823</v>
      </c>
      <c r="G514" s="88" t="s">
        <v>824</v>
      </c>
      <c r="H514" s="87" t="s">
        <v>448</v>
      </c>
      <c r="I514" s="89">
        <v>1</v>
      </c>
      <c r="J514" s="88" t="s">
        <v>649</v>
      </c>
      <c r="K514" s="102"/>
      <c r="L514" s="91" t="s">
        <v>845</v>
      </c>
      <c r="M514" s="89" t="s">
        <v>381</v>
      </c>
      <c r="N514" s="90">
        <v>0.5</v>
      </c>
      <c r="O514" s="27">
        <f>IFERROR(+VLOOKUP(M514,D.sign_Lista_Data[[RESPONSABLE]:[SOFTWARE 
VALOR HORA]],3,FALSE),"0")</f>
        <v>20263.424518743668</v>
      </c>
      <c r="P514" s="3">
        <f t="shared" si="16"/>
        <v>10131.712259371834</v>
      </c>
      <c r="Q514" s="11">
        <f>IFERROR(+VLOOKUP(M514,D.sign_Lista_Data[[RESPONSABLE]:[SOFTWARE 
VALOR HORA]],5,FALSE)*D.sign_Data[[#This Row],[TIEMPO (HORAS)]],0)</f>
        <v>2110.7733873691318</v>
      </c>
      <c r="R514" s="42">
        <f>IFERROR(+VLOOKUP(M514,D.sign_Lista_Data[[RESPONSABLE]:[SOFTWARE 
VALOR HORA]],8,FALSE)*D.sign_Data[[#This Row],[TIEMPO (HORAS)]],0)</f>
        <v>1705.4274435719917</v>
      </c>
      <c r="S514" s="99">
        <v>0</v>
      </c>
      <c r="T514" s="99">
        <v>0</v>
      </c>
      <c r="U514" s="3">
        <f t="shared" si="17"/>
        <v>13947.913090312959</v>
      </c>
      <c r="V514" s="100">
        <f>D.sign_Data[[#This Row],[TIEMPO (HORAS)]]*Gastos_Operativos[[#Totals],[GASTOS HORA]]</f>
        <v>13894.738536155201</v>
      </c>
      <c r="W514" s="3">
        <f>+D.sign_Data[[#This Row],[COSTO 
DIRECTO ($COP)]]+D.sign_Data[[#This Row],[PRORRATEO GASTOS ($COP)]]</f>
        <v>27842.65162646816</v>
      </c>
      <c r="X514" s="101">
        <v>0.15</v>
      </c>
      <c r="Y514" s="15">
        <f>+D.sign_Data[[#This Row],[COSTOS OPERACIONALES ($COP)]]*D.sign_Data[[#This Row],[DESFASE (%)]]</f>
        <v>4176.3977439702239</v>
      </c>
      <c r="Z514" s="101">
        <v>0.2</v>
      </c>
      <c r="AA514" s="15">
        <f>+((D.sign_Data[[#This Row],[COSTOS OPERACIONALES ($COP)]]/(100%-D.sign_Data[[#This Row],[UTILIDAD (%)]])))-D.sign_Data[[#This Row],[COSTOS OPERACIONALES ($COP)]]</f>
        <v>6960.662906617039</v>
      </c>
      <c r="AB514" s="3">
        <f>+D.sign_Data[[#This Row],[COSTOS OPERACIONALES ($COP)]]+D.sign_Data[[#This Row],[DESFASE ($COP)]]+D.sign_Data[[#This Row],[UTILIDAD ($COP)]]</f>
        <v>38979.712277055427</v>
      </c>
      <c r="AC514" s="101">
        <v>0.05</v>
      </c>
      <c r="AD514" s="15">
        <f>+D.sign_Data[[#This Row],[VALOR NETO ($COP)]]/(100%-D.sign_Data[[#This Row],[MARGEN DE NEGOCIACIÓN (%)]])-D.sign_Data[[#This Row],[VALOR NETO ($COP)]]</f>
        <v>2051.5638040555496</v>
      </c>
      <c r="AE514" s="15">
        <f>+(D.sign_Data[[#This Row],[VALOR NETO ($COP)]]+D.sign_Data[[#This Row],[NEGOCIACIÓN ($COP)]])*1%</f>
        <v>410.3127608111098</v>
      </c>
      <c r="AF514" s="15">
        <f>+(D.sign_Data[[#This Row],[VALOR NETO ($COP)]]+D.sign_Data[[#This Row],[NEGOCIACIÓN ($COP)]])*1%</f>
        <v>410.3127608111098</v>
      </c>
      <c r="AG514" s="3">
        <f>+D.sign_Data[[#This Row],[VALOR NETO ($COP)]]+D.sign_Data[[#This Row],[NEGOCIACIÓN ($COP)]]+D.sign_Data[[#This Row],[ICA ($COP)]]+D.sign_Data[[#This Row],[4 * 1000 ($COP)]]</f>
        <v>41851.901602733196</v>
      </c>
    </row>
    <row r="515" spans="1:33" ht="60" hidden="1" customHeight="1" x14ac:dyDescent="0.25">
      <c r="A515" s="14"/>
      <c r="B515" s="87" t="s">
        <v>442</v>
      </c>
      <c r="C515" s="182" t="s">
        <v>822</v>
      </c>
      <c r="D515" s="189" t="str">
        <f>VLOOKUP(D.sign_Data[[#This Row],[CÓDIGO]],Descripciones[[CÓDIGO]:[NOMBRE DE SERVICIO]],3,FALSE)</f>
        <v>D1. Parcelaciones y Condominios</v>
      </c>
      <c r="E515" s="87" t="s">
        <v>467</v>
      </c>
      <c r="F515" s="88" t="s">
        <v>823</v>
      </c>
      <c r="G515" s="88" t="s">
        <v>824</v>
      </c>
      <c r="H515" s="87" t="s">
        <v>448</v>
      </c>
      <c r="I515" s="89">
        <v>1</v>
      </c>
      <c r="J515" s="88" t="s">
        <v>649</v>
      </c>
      <c r="K515" s="102"/>
      <c r="L515" s="91" t="s">
        <v>846</v>
      </c>
      <c r="M515" s="89" t="s">
        <v>381</v>
      </c>
      <c r="N515" s="90">
        <v>0.5</v>
      </c>
      <c r="O515" s="27">
        <f>IFERROR(+VLOOKUP(M515,D.sign_Lista_Data[[RESPONSABLE]:[SOFTWARE 
VALOR HORA]],3,FALSE),"0")</f>
        <v>20263.424518743668</v>
      </c>
      <c r="P515" s="3">
        <f t="shared" si="16"/>
        <v>10131.712259371834</v>
      </c>
      <c r="Q515" s="11">
        <f>IFERROR(+VLOOKUP(M515,D.sign_Lista_Data[[RESPONSABLE]:[SOFTWARE 
VALOR HORA]],5,FALSE)*D.sign_Data[[#This Row],[TIEMPO (HORAS)]],0)</f>
        <v>2110.7733873691318</v>
      </c>
      <c r="R515" s="42">
        <f>IFERROR(+VLOOKUP(M515,D.sign_Lista_Data[[RESPONSABLE]:[SOFTWARE 
VALOR HORA]],8,FALSE)*D.sign_Data[[#This Row],[TIEMPO (HORAS)]],0)</f>
        <v>1705.4274435719917</v>
      </c>
      <c r="S515" s="99">
        <v>0</v>
      </c>
      <c r="T515" s="99">
        <v>0</v>
      </c>
      <c r="U515" s="3">
        <f t="shared" si="17"/>
        <v>13947.913090312959</v>
      </c>
      <c r="V515" s="100">
        <f>D.sign_Data[[#This Row],[TIEMPO (HORAS)]]*Gastos_Operativos[[#Totals],[GASTOS HORA]]</f>
        <v>13894.738536155201</v>
      </c>
      <c r="W515" s="3">
        <f>+D.sign_Data[[#This Row],[COSTO 
DIRECTO ($COP)]]+D.sign_Data[[#This Row],[PRORRATEO GASTOS ($COP)]]</f>
        <v>27842.65162646816</v>
      </c>
      <c r="X515" s="101">
        <v>0.15</v>
      </c>
      <c r="Y515" s="15">
        <f>+D.sign_Data[[#This Row],[COSTOS OPERACIONALES ($COP)]]*D.sign_Data[[#This Row],[DESFASE (%)]]</f>
        <v>4176.3977439702239</v>
      </c>
      <c r="Z515" s="101">
        <v>0.2</v>
      </c>
      <c r="AA515" s="15">
        <f>+((D.sign_Data[[#This Row],[COSTOS OPERACIONALES ($COP)]]/(100%-D.sign_Data[[#This Row],[UTILIDAD (%)]])))-D.sign_Data[[#This Row],[COSTOS OPERACIONALES ($COP)]]</f>
        <v>6960.662906617039</v>
      </c>
      <c r="AB515" s="3">
        <f>+D.sign_Data[[#This Row],[COSTOS OPERACIONALES ($COP)]]+D.sign_Data[[#This Row],[DESFASE ($COP)]]+D.sign_Data[[#This Row],[UTILIDAD ($COP)]]</f>
        <v>38979.712277055427</v>
      </c>
      <c r="AC515" s="101">
        <v>0.05</v>
      </c>
      <c r="AD515" s="15">
        <f>+D.sign_Data[[#This Row],[VALOR NETO ($COP)]]/(100%-D.sign_Data[[#This Row],[MARGEN DE NEGOCIACIÓN (%)]])-D.sign_Data[[#This Row],[VALOR NETO ($COP)]]</f>
        <v>2051.5638040555496</v>
      </c>
      <c r="AE515" s="15">
        <f>+(D.sign_Data[[#This Row],[VALOR NETO ($COP)]]+D.sign_Data[[#This Row],[NEGOCIACIÓN ($COP)]])*1%</f>
        <v>410.3127608111098</v>
      </c>
      <c r="AF515" s="15">
        <f>+(D.sign_Data[[#This Row],[VALOR NETO ($COP)]]+D.sign_Data[[#This Row],[NEGOCIACIÓN ($COP)]])*1%</f>
        <v>410.3127608111098</v>
      </c>
      <c r="AG515" s="3">
        <f>+D.sign_Data[[#This Row],[VALOR NETO ($COP)]]+D.sign_Data[[#This Row],[NEGOCIACIÓN ($COP)]]+D.sign_Data[[#This Row],[ICA ($COP)]]+D.sign_Data[[#This Row],[4 * 1000 ($COP)]]</f>
        <v>41851.901602733196</v>
      </c>
    </row>
    <row r="516" spans="1:33" ht="60" hidden="1" customHeight="1" x14ac:dyDescent="0.25">
      <c r="A516" s="14"/>
      <c r="B516" s="87" t="s">
        <v>442</v>
      </c>
      <c r="C516" s="182" t="s">
        <v>822</v>
      </c>
      <c r="D516" s="189" t="str">
        <f>VLOOKUP(D.sign_Data[[#This Row],[CÓDIGO]],Descripciones[[CÓDIGO]:[NOMBRE DE SERVICIO]],3,FALSE)</f>
        <v>D1. Parcelaciones y Condominios</v>
      </c>
      <c r="E516" s="87" t="s">
        <v>467</v>
      </c>
      <c r="F516" s="88" t="s">
        <v>823</v>
      </c>
      <c r="G516" s="88" t="s">
        <v>824</v>
      </c>
      <c r="H516" s="87" t="s">
        <v>448</v>
      </c>
      <c r="I516" s="89">
        <v>1</v>
      </c>
      <c r="J516" s="88" t="s">
        <v>649</v>
      </c>
      <c r="K516" s="102"/>
      <c r="L516" s="91" t="s">
        <v>847</v>
      </c>
      <c r="M516" s="89" t="s">
        <v>381</v>
      </c>
      <c r="N516" s="90">
        <v>0.5</v>
      </c>
      <c r="O516" s="27">
        <f>IFERROR(+VLOOKUP(M516,D.sign_Lista_Data[[RESPONSABLE]:[SOFTWARE 
VALOR HORA]],3,FALSE),"0")</f>
        <v>20263.424518743668</v>
      </c>
      <c r="P516" s="3">
        <f t="shared" si="16"/>
        <v>10131.712259371834</v>
      </c>
      <c r="Q516" s="11">
        <f>IFERROR(+VLOOKUP(M516,D.sign_Lista_Data[[RESPONSABLE]:[SOFTWARE 
VALOR HORA]],5,FALSE)*D.sign_Data[[#This Row],[TIEMPO (HORAS)]],0)</f>
        <v>2110.7733873691318</v>
      </c>
      <c r="R516" s="42">
        <f>IFERROR(+VLOOKUP(M516,D.sign_Lista_Data[[RESPONSABLE]:[SOFTWARE 
VALOR HORA]],8,FALSE)*D.sign_Data[[#This Row],[TIEMPO (HORAS)]],0)</f>
        <v>1705.4274435719917</v>
      </c>
      <c r="S516" s="99">
        <v>0</v>
      </c>
      <c r="T516" s="99">
        <v>0</v>
      </c>
      <c r="U516" s="3">
        <f t="shared" si="17"/>
        <v>13947.913090312959</v>
      </c>
      <c r="V516" s="100">
        <f>D.sign_Data[[#This Row],[TIEMPO (HORAS)]]*Gastos_Operativos[[#Totals],[GASTOS HORA]]</f>
        <v>13894.738536155201</v>
      </c>
      <c r="W516" s="3">
        <f>+D.sign_Data[[#This Row],[COSTO 
DIRECTO ($COP)]]+D.sign_Data[[#This Row],[PRORRATEO GASTOS ($COP)]]</f>
        <v>27842.65162646816</v>
      </c>
      <c r="X516" s="101">
        <v>0.15</v>
      </c>
      <c r="Y516" s="15">
        <f>+D.sign_Data[[#This Row],[COSTOS OPERACIONALES ($COP)]]*D.sign_Data[[#This Row],[DESFASE (%)]]</f>
        <v>4176.3977439702239</v>
      </c>
      <c r="Z516" s="101">
        <v>0.2</v>
      </c>
      <c r="AA516" s="15">
        <f>+((D.sign_Data[[#This Row],[COSTOS OPERACIONALES ($COP)]]/(100%-D.sign_Data[[#This Row],[UTILIDAD (%)]])))-D.sign_Data[[#This Row],[COSTOS OPERACIONALES ($COP)]]</f>
        <v>6960.662906617039</v>
      </c>
      <c r="AB516" s="3">
        <f>+D.sign_Data[[#This Row],[COSTOS OPERACIONALES ($COP)]]+D.sign_Data[[#This Row],[DESFASE ($COP)]]+D.sign_Data[[#This Row],[UTILIDAD ($COP)]]</f>
        <v>38979.712277055427</v>
      </c>
      <c r="AC516" s="101">
        <v>0.05</v>
      </c>
      <c r="AD516" s="15">
        <f>+D.sign_Data[[#This Row],[VALOR NETO ($COP)]]/(100%-D.sign_Data[[#This Row],[MARGEN DE NEGOCIACIÓN (%)]])-D.sign_Data[[#This Row],[VALOR NETO ($COP)]]</f>
        <v>2051.5638040555496</v>
      </c>
      <c r="AE516" s="15">
        <f>+(D.sign_Data[[#This Row],[VALOR NETO ($COP)]]+D.sign_Data[[#This Row],[NEGOCIACIÓN ($COP)]])*1%</f>
        <v>410.3127608111098</v>
      </c>
      <c r="AF516" s="15">
        <f>+(D.sign_Data[[#This Row],[VALOR NETO ($COP)]]+D.sign_Data[[#This Row],[NEGOCIACIÓN ($COP)]])*1%</f>
        <v>410.3127608111098</v>
      </c>
      <c r="AG516" s="3">
        <f>+D.sign_Data[[#This Row],[VALOR NETO ($COP)]]+D.sign_Data[[#This Row],[NEGOCIACIÓN ($COP)]]+D.sign_Data[[#This Row],[ICA ($COP)]]+D.sign_Data[[#This Row],[4 * 1000 ($COP)]]</f>
        <v>41851.901602733196</v>
      </c>
    </row>
    <row r="517" spans="1:33" ht="60" hidden="1" customHeight="1" x14ac:dyDescent="0.25">
      <c r="A517" s="14"/>
      <c r="B517" s="87" t="s">
        <v>442</v>
      </c>
      <c r="C517" s="182" t="s">
        <v>822</v>
      </c>
      <c r="D517" s="189" t="str">
        <f>VLOOKUP(D.sign_Data[[#This Row],[CÓDIGO]],Descripciones[[CÓDIGO]:[NOMBRE DE SERVICIO]],3,FALSE)</f>
        <v>D1. Parcelaciones y Condominios</v>
      </c>
      <c r="E517" s="87" t="s">
        <v>467</v>
      </c>
      <c r="F517" s="88" t="s">
        <v>823</v>
      </c>
      <c r="G517" s="88" t="s">
        <v>824</v>
      </c>
      <c r="H517" s="87" t="s">
        <v>448</v>
      </c>
      <c r="I517" s="89">
        <v>1</v>
      </c>
      <c r="J517" s="88" t="s">
        <v>649</v>
      </c>
      <c r="K517" s="102"/>
      <c r="L517" s="91" t="s">
        <v>653</v>
      </c>
      <c r="M517" s="89" t="s">
        <v>381</v>
      </c>
      <c r="N517" s="90">
        <v>0.6</v>
      </c>
      <c r="O517" s="27">
        <f>IFERROR(+VLOOKUP(M517,D.sign_Lista_Data[[RESPONSABLE]:[SOFTWARE 
VALOR HORA]],3,FALSE),"0")</f>
        <v>20263.424518743668</v>
      </c>
      <c r="P517" s="3">
        <f t="shared" si="16"/>
        <v>12158.054711246201</v>
      </c>
      <c r="Q517" s="11">
        <f>IFERROR(+VLOOKUP(M517,D.sign_Lista_Data[[RESPONSABLE]:[SOFTWARE 
VALOR HORA]],5,FALSE)*D.sign_Data[[#This Row],[TIEMPO (HORAS)]],0)</f>
        <v>2532.9280648429581</v>
      </c>
      <c r="R517" s="42">
        <f>IFERROR(+VLOOKUP(M517,D.sign_Lista_Data[[RESPONSABLE]:[SOFTWARE 
VALOR HORA]],8,FALSE)*D.sign_Data[[#This Row],[TIEMPO (HORAS)]],0)</f>
        <v>2046.51293228639</v>
      </c>
      <c r="S517" s="99">
        <v>0</v>
      </c>
      <c r="T517" s="99">
        <v>0</v>
      </c>
      <c r="U517" s="3">
        <f t="shared" si="17"/>
        <v>16737.495708375547</v>
      </c>
      <c r="V517" s="100">
        <f>D.sign_Data[[#This Row],[TIEMPO (HORAS)]]*Gastos_Operativos[[#Totals],[GASTOS HORA]]</f>
        <v>16673.686243386241</v>
      </c>
      <c r="W517" s="3">
        <f>+D.sign_Data[[#This Row],[COSTO 
DIRECTO ($COP)]]+D.sign_Data[[#This Row],[PRORRATEO GASTOS ($COP)]]</f>
        <v>33411.181951761784</v>
      </c>
      <c r="X517" s="101">
        <v>0.15</v>
      </c>
      <c r="Y517" s="15">
        <f>+D.sign_Data[[#This Row],[COSTOS OPERACIONALES ($COP)]]*D.sign_Data[[#This Row],[DESFASE (%)]]</f>
        <v>5011.6772927642678</v>
      </c>
      <c r="Z517" s="101">
        <v>0.2</v>
      </c>
      <c r="AA517" s="15">
        <f>+((D.sign_Data[[#This Row],[COSTOS OPERACIONALES ($COP)]]/(100%-D.sign_Data[[#This Row],[UTILIDAD (%)]])))-D.sign_Data[[#This Row],[COSTOS OPERACIONALES ($COP)]]</f>
        <v>8352.7954879404424</v>
      </c>
      <c r="AB517" s="3">
        <f>+D.sign_Data[[#This Row],[COSTOS OPERACIONALES ($COP)]]+D.sign_Data[[#This Row],[DESFASE ($COP)]]+D.sign_Data[[#This Row],[UTILIDAD ($COP)]]</f>
        <v>46775.654732466493</v>
      </c>
      <c r="AC517" s="101">
        <v>0.05</v>
      </c>
      <c r="AD517" s="15">
        <f>+D.sign_Data[[#This Row],[VALOR NETO ($COP)]]/(100%-D.sign_Data[[#This Row],[MARGEN DE NEGOCIACIÓN (%)]])-D.sign_Data[[#This Row],[VALOR NETO ($COP)]]</f>
        <v>2461.8765648666595</v>
      </c>
      <c r="AE517" s="15">
        <f>+(D.sign_Data[[#This Row],[VALOR NETO ($COP)]]+D.sign_Data[[#This Row],[NEGOCIACIÓN ($COP)]])*1%</f>
        <v>492.37531297333152</v>
      </c>
      <c r="AF517" s="15">
        <f>+(D.sign_Data[[#This Row],[VALOR NETO ($COP)]]+D.sign_Data[[#This Row],[NEGOCIACIÓN ($COP)]])*1%</f>
        <v>492.37531297333152</v>
      </c>
      <c r="AG517" s="3">
        <f>+D.sign_Data[[#This Row],[VALOR NETO ($COP)]]+D.sign_Data[[#This Row],[NEGOCIACIÓN ($COP)]]+D.sign_Data[[#This Row],[ICA ($COP)]]+D.sign_Data[[#This Row],[4 * 1000 ($COP)]]</f>
        <v>50222.281923279814</v>
      </c>
    </row>
    <row r="518" spans="1:33" ht="60" hidden="1" customHeight="1" x14ac:dyDescent="0.25">
      <c r="A518" s="14"/>
      <c r="B518" s="87" t="s">
        <v>442</v>
      </c>
      <c r="C518" s="182" t="s">
        <v>822</v>
      </c>
      <c r="D518" s="189" t="str">
        <f>VLOOKUP(D.sign_Data[[#This Row],[CÓDIGO]],Descripciones[[CÓDIGO]:[NOMBRE DE SERVICIO]],3,FALSE)</f>
        <v>D1. Parcelaciones y Condominios</v>
      </c>
      <c r="E518" s="87" t="s">
        <v>467</v>
      </c>
      <c r="F518" s="88" t="s">
        <v>823</v>
      </c>
      <c r="G518" s="88" t="s">
        <v>824</v>
      </c>
      <c r="H518" s="87" t="s">
        <v>448</v>
      </c>
      <c r="I518" s="89">
        <v>1</v>
      </c>
      <c r="J518" s="88" t="s">
        <v>649</v>
      </c>
      <c r="K518" s="102"/>
      <c r="L518" s="91" t="s">
        <v>654</v>
      </c>
      <c r="M518" s="89" t="s">
        <v>381</v>
      </c>
      <c r="N518" s="90">
        <v>0.6</v>
      </c>
      <c r="O518" s="27">
        <f>IFERROR(+VLOOKUP(M518,D.sign_Lista_Data[[RESPONSABLE]:[SOFTWARE 
VALOR HORA]],3,FALSE),"0")</f>
        <v>20263.424518743668</v>
      </c>
      <c r="P518" s="3">
        <f t="shared" si="16"/>
        <v>12158.054711246201</v>
      </c>
      <c r="Q518" s="11">
        <f>IFERROR(+VLOOKUP(M518,D.sign_Lista_Data[[RESPONSABLE]:[SOFTWARE 
VALOR HORA]],5,FALSE)*D.sign_Data[[#This Row],[TIEMPO (HORAS)]],0)</f>
        <v>2532.9280648429581</v>
      </c>
      <c r="R518" s="42">
        <f>IFERROR(+VLOOKUP(M518,D.sign_Lista_Data[[RESPONSABLE]:[SOFTWARE 
VALOR HORA]],8,FALSE)*D.sign_Data[[#This Row],[TIEMPO (HORAS)]],0)</f>
        <v>2046.51293228639</v>
      </c>
      <c r="S518" s="99">
        <v>0</v>
      </c>
      <c r="T518" s="99">
        <v>0</v>
      </c>
      <c r="U518" s="3">
        <f t="shared" si="17"/>
        <v>16737.495708375547</v>
      </c>
      <c r="V518" s="100">
        <f>D.sign_Data[[#This Row],[TIEMPO (HORAS)]]*Gastos_Operativos[[#Totals],[GASTOS HORA]]</f>
        <v>16673.686243386241</v>
      </c>
      <c r="W518" s="3">
        <f>+D.sign_Data[[#This Row],[COSTO 
DIRECTO ($COP)]]+D.sign_Data[[#This Row],[PRORRATEO GASTOS ($COP)]]</f>
        <v>33411.181951761784</v>
      </c>
      <c r="X518" s="101">
        <v>0.15</v>
      </c>
      <c r="Y518" s="15">
        <f>+D.sign_Data[[#This Row],[COSTOS OPERACIONALES ($COP)]]*D.sign_Data[[#This Row],[DESFASE (%)]]</f>
        <v>5011.6772927642678</v>
      </c>
      <c r="Z518" s="101">
        <v>0.2</v>
      </c>
      <c r="AA518" s="15">
        <f>+((D.sign_Data[[#This Row],[COSTOS OPERACIONALES ($COP)]]/(100%-D.sign_Data[[#This Row],[UTILIDAD (%)]])))-D.sign_Data[[#This Row],[COSTOS OPERACIONALES ($COP)]]</f>
        <v>8352.7954879404424</v>
      </c>
      <c r="AB518" s="3">
        <f>+D.sign_Data[[#This Row],[COSTOS OPERACIONALES ($COP)]]+D.sign_Data[[#This Row],[DESFASE ($COP)]]+D.sign_Data[[#This Row],[UTILIDAD ($COP)]]</f>
        <v>46775.654732466493</v>
      </c>
      <c r="AC518" s="101">
        <v>0.05</v>
      </c>
      <c r="AD518" s="15">
        <f>+D.sign_Data[[#This Row],[VALOR NETO ($COP)]]/(100%-D.sign_Data[[#This Row],[MARGEN DE NEGOCIACIÓN (%)]])-D.sign_Data[[#This Row],[VALOR NETO ($COP)]]</f>
        <v>2461.8765648666595</v>
      </c>
      <c r="AE518" s="15">
        <f>+(D.sign_Data[[#This Row],[VALOR NETO ($COP)]]+D.sign_Data[[#This Row],[NEGOCIACIÓN ($COP)]])*1%</f>
        <v>492.37531297333152</v>
      </c>
      <c r="AF518" s="15">
        <f>+(D.sign_Data[[#This Row],[VALOR NETO ($COP)]]+D.sign_Data[[#This Row],[NEGOCIACIÓN ($COP)]])*1%</f>
        <v>492.37531297333152</v>
      </c>
      <c r="AG518" s="3">
        <f>+D.sign_Data[[#This Row],[VALOR NETO ($COP)]]+D.sign_Data[[#This Row],[NEGOCIACIÓN ($COP)]]+D.sign_Data[[#This Row],[ICA ($COP)]]+D.sign_Data[[#This Row],[4 * 1000 ($COP)]]</f>
        <v>50222.281923279814</v>
      </c>
    </row>
    <row r="519" spans="1:33" ht="60" hidden="1" customHeight="1" x14ac:dyDescent="0.25">
      <c r="A519" s="14"/>
      <c r="B519" s="87" t="s">
        <v>442</v>
      </c>
      <c r="C519" s="182" t="s">
        <v>822</v>
      </c>
      <c r="D519" s="189" t="str">
        <f>VLOOKUP(D.sign_Data[[#This Row],[CÓDIGO]],Descripciones[[CÓDIGO]:[NOMBRE DE SERVICIO]],3,FALSE)</f>
        <v>D1. Parcelaciones y Condominios</v>
      </c>
      <c r="E519" s="87" t="s">
        <v>467</v>
      </c>
      <c r="F519" s="88" t="s">
        <v>823</v>
      </c>
      <c r="G519" s="88" t="s">
        <v>824</v>
      </c>
      <c r="H519" s="87" t="s">
        <v>448</v>
      </c>
      <c r="I519" s="89">
        <v>1</v>
      </c>
      <c r="J519" s="88" t="s">
        <v>649</v>
      </c>
      <c r="K519" s="102"/>
      <c r="L519" s="91" t="s">
        <v>848</v>
      </c>
      <c r="M519" s="89" t="s">
        <v>381</v>
      </c>
      <c r="N519" s="90">
        <v>0.6</v>
      </c>
      <c r="O519" s="27">
        <f>IFERROR(+VLOOKUP(M519,D.sign_Lista_Data[[RESPONSABLE]:[SOFTWARE 
VALOR HORA]],3,FALSE),"0")</f>
        <v>20263.424518743668</v>
      </c>
      <c r="P519" s="3">
        <f t="shared" si="16"/>
        <v>12158.054711246201</v>
      </c>
      <c r="Q519" s="11">
        <f>IFERROR(+VLOOKUP(M519,D.sign_Lista_Data[[RESPONSABLE]:[SOFTWARE 
VALOR HORA]],5,FALSE)*D.sign_Data[[#This Row],[TIEMPO (HORAS)]],0)</f>
        <v>2532.9280648429581</v>
      </c>
      <c r="R519" s="42">
        <f>IFERROR(+VLOOKUP(M519,D.sign_Lista_Data[[RESPONSABLE]:[SOFTWARE 
VALOR HORA]],8,FALSE)*D.sign_Data[[#This Row],[TIEMPO (HORAS)]],0)</f>
        <v>2046.51293228639</v>
      </c>
      <c r="S519" s="99">
        <v>0</v>
      </c>
      <c r="T519" s="99">
        <v>0</v>
      </c>
      <c r="U519" s="3">
        <f t="shared" si="17"/>
        <v>16737.495708375547</v>
      </c>
      <c r="V519" s="100">
        <f>D.sign_Data[[#This Row],[TIEMPO (HORAS)]]*Gastos_Operativos[[#Totals],[GASTOS HORA]]</f>
        <v>16673.686243386241</v>
      </c>
      <c r="W519" s="3">
        <f>+D.sign_Data[[#This Row],[COSTO 
DIRECTO ($COP)]]+D.sign_Data[[#This Row],[PRORRATEO GASTOS ($COP)]]</f>
        <v>33411.181951761784</v>
      </c>
      <c r="X519" s="101">
        <v>0.15</v>
      </c>
      <c r="Y519" s="15">
        <f>+D.sign_Data[[#This Row],[COSTOS OPERACIONALES ($COP)]]*D.sign_Data[[#This Row],[DESFASE (%)]]</f>
        <v>5011.6772927642678</v>
      </c>
      <c r="Z519" s="101">
        <v>0.2</v>
      </c>
      <c r="AA519" s="15">
        <f>+((D.sign_Data[[#This Row],[COSTOS OPERACIONALES ($COP)]]/(100%-D.sign_Data[[#This Row],[UTILIDAD (%)]])))-D.sign_Data[[#This Row],[COSTOS OPERACIONALES ($COP)]]</f>
        <v>8352.7954879404424</v>
      </c>
      <c r="AB519" s="3">
        <f>+D.sign_Data[[#This Row],[COSTOS OPERACIONALES ($COP)]]+D.sign_Data[[#This Row],[DESFASE ($COP)]]+D.sign_Data[[#This Row],[UTILIDAD ($COP)]]</f>
        <v>46775.654732466493</v>
      </c>
      <c r="AC519" s="101">
        <v>0.05</v>
      </c>
      <c r="AD519" s="15">
        <f>+D.sign_Data[[#This Row],[VALOR NETO ($COP)]]/(100%-D.sign_Data[[#This Row],[MARGEN DE NEGOCIACIÓN (%)]])-D.sign_Data[[#This Row],[VALOR NETO ($COP)]]</f>
        <v>2461.8765648666595</v>
      </c>
      <c r="AE519" s="15">
        <f>+(D.sign_Data[[#This Row],[VALOR NETO ($COP)]]+D.sign_Data[[#This Row],[NEGOCIACIÓN ($COP)]])*1%</f>
        <v>492.37531297333152</v>
      </c>
      <c r="AF519" s="15">
        <f>+(D.sign_Data[[#This Row],[VALOR NETO ($COP)]]+D.sign_Data[[#This Row],[NEGOCIACIÓN ($COP)]])*1%</f>
        <v>492.37531297333152</v>
      </c>
      <c r="AG519" s="3">
        <f>+D.sign_Data[[#This Row],[VALOR NETO ($COP)]]+D.sign_Data[[#This Row],[NEGOCIACIÓN ($COP)]]+D.sign_Data[[#This Row],[ICA ($COP)]]+D.sign_Data[[#This Row],[4 * 1000 ($COP)]]</f>
        <v>50222.281923279814</v>
      </c>
    </row>
    <row r="520" spans="1:33" ht="60" hidden="1" customHeight="1" x14ac:dyDescent="0.25">
      <c r="A520" s="14"/>
      <c r="B520" s="87" t="s">
        <v>493</v>
      </c>
      <c r="C520" s="182" t="s">
        <v>849</v>
      </c>
      <c r="D520" s="189" t="str">
        <f>VLOOKUP(D.sign_Data[[#This Row],[CÓDIGO]],Descripciones[[CÓDIGO]:[NOMBRE DE SERVICIO]],3,FALSE)</f>
        <v>D1. Parcelaciones y Condominios</v>
      </c>
      <c r="E520" s="87" t="s">
        <v>467</v>
      </c>
      <c r="F520" s="88" t="s">
        <v>850</v>
      </c>
      <c r="G520" s="88" t="s">
        <v>824</v>
      </c>
      <c r="H520" s="87" t="s">
        <v>448</v>
      </c>
      <c r="I520" s="89">
        <v>1</v>
      </c>
      <c r="J520" s="88" t="s">
        <v>825</v>
      </c>
      <c r="K520" s="102"/>
      <c r="L520" s="88" t="s">
        <v>826</v>
      </c>
      <c r="M520" s="89" t="s">
        <v>381</v>
      </c>
      <c r="N520" s="90">
        <v>0.5</v>
      </c>
      <c r="O520" s="27">
        <f>IFERROR(+VLOOKUP(M520,D.sign_Lista_Data[[RESPONSABLE]:[SOFTWARE 
VALOR HORA]],3,FALSE),"0")</f>
        <v>20263.424518743668</v>
      </c>
      <c r="P520" s="3">
        <f t="shared" ref="P520:P535" si="18">+O520*N520</f>
        <v>10131.712259371834</v>
      </c>
      <c r="Q520" s="11">
        <f>IFERROR(+VLOOKUP(M520,D.sign_Lista_Data[[RESPONSABLE]:[SOFTWARE 
VALOR HORA]],5,FALSE)*D.sign_Data[[#This Row],[TIEMPO (HORAS)]],0)</f>
        <v>2110.7733873691318</v>
      </c>
      <c r="R520" s="11">
        <f>IFERROR(+VLOOKUP(M520,D.sign_Lista_Data[[RESPONSABLE]:[SOFTWARE 
VALOR HORA]],8,FALSE)*D.sign_Data[[#This Row],[TIEMPO (HORAS)]],0)</f>
        <v>1705.4274435719917</v>
      </c>
      <c r="S520" s="99"/>
      <c r="T520" s="99"/>
      <c r="U520" s="3">
        <f t="shared" ref="U520:U535" si="19">SUM(P520:T520)</f>
        <v>13947.913090312959</v>
      </c>
      <c r="V520" s="100">
        <f>D.sign_Data[[#This Row],[TIEMPO (HORAS)]]*Gastos_Operativos[[#Totals],[GASTOS HORA]]</f>
        <v>13894.738536155201</v>
      </c>
      <c r="W520" s="3">
        <f>+D.sign_Data[[#This Row],[COSTO 
DIRECTO ($COP)]]+D.sign_Data[[#This Row],[PRORRATEO GASTOS ($COP)]]</f>
        <v>27842.65162646816</v>
      </c>
      <c r="X520" s="101">
        <v>0.15</v>
      </c>
      <c r="Y520" s="15">
        <f>+D.sign_Data[[#This Row],[COSTOS OPERACIONALES ($COP)]]*D.sign_Data[[#This Row],[DESFASE (%)]]</f>
        <v>4176.3977439702239</v>
      </c>
      <c r="Z520" s="101">
        <v>0.3</v>
      </c>
      <c r="AA520" s="15">
        <f>+((D.sign_Data[[#This Row],[COSTOS OPERACIONALES ($COP)]]/(100%-D.sign_Data[[#This Row],[UTILIDAD (%)]])))-D.sign_Data[[#This Row],[COSTOS OPERACIONALES ($COP)]]</f>
        <v>11932.564982772074</v>
      </c>
      <c r="AB520" s="3">
        <f>+D.sign_Data[[#This Row],[COSTOS OPERACIONALES ($COP)]]+D.sign_Data[[#This Row],[DESFASE ($COP)]]+D.sign_Data[[#This Row],[UTILIDAD ($COP)]]</f>
        <v>43951.614353210462</v>
      </c>
      <c r="AC520" s="101">
        <v>0.05</v>
      </c>
      <c r="AD520" s="15">
        <f>+D.sign_Data[[#This Row],[VALOR NETO ($COP)]]/(100%-D.sign_Data[[#This Row],[MARGEN DE NEGOCIACIÓN (%)]])-D.sign_Data[[#This Row],[VALOR NETO ($COP)]]</f>
        <v>2313.242860695289</v>
      </c>
      <c r="AE520" s="15">
        <f>+(D.sign_Data[[#This Row],[VALOR NETO ($COP)]]+D.sign_Data[[#This Row],[NEGOCIACIÓN ($COP)]])*1%</f>
        <v>462.64857213905753</v>
      </c>
      <c r="AF520" s="15">
        <f>+(D.sign_Data[[#This Row],[VALOR NETO ($COP)]]+D.sign_Data[[#This Row],[NEGOCIACIÓN ($COP)]])*1%</f>
        <v>462.64857213905753</v>
      </c>
      <c r="AG520" s="3">
        <f>+D.sign_Data[[#This Row],[VALOR NETO ($COP)]]+D.sign_Data[[#This Row],[NEGOCIACIÓN ($COP)]]+D.sign_Data[[#This Row],[ICA ($COP)]]+D.sign_Data[[#This Row],[4 * 1000 ($COP)]]</f>
        <v>47190.154358183863</v>
      </c>
    </row>
    <row r="521" spans="1:33" ht="60" hidden="1" customHeight="1" x14ac:dyDescent="0.25">
      <c r="A521" s="14"/>
      <c r="B521" s="87" t="s">
        <v>493</v>
      </c>
      <c r="C521" s="182" t="s">
        <v>849</v>
      </c>
      <c r="D521" s="189" t="str">
        <f>VLOOKUP(D.sign_Data[[#This Row],[CÓDIGO]],Descripciones[[CÓDIGO]:[NOMBRE DE SERVICIO]],3,FALSE)</f>
        <v>D1. Parcelaciones y Condominios</v>
      </c>
      <c r="E521" s="87" t="s">
        <v>467</v>
      </c>
      <c r="F521" s="88" t="s">
        <v>850</v>
      </c>
      <c r="G521" s="88" t="s">
        <v>824</v>
      </c>
      <c r="H521" s="87" t="s">
        <v>448</v>
      </c>
      <c r="I521" s="89">
        <v>1</v>
      </c>
      <c r="J521" s="88" t="s">
        <v>825</v>
      </c>
      <c r="K521" s="102"/>
      <c r="L521" s="88" t="s">
        <v>827</v>
      </c>
      <c r="M521" s="89" t="s">
        <v>381</v>
      </c>
      <c r="N521" s="90">
        <v>0.25</v>
      </c>
      <c r="O521" s="27">
        <f>IFERROR(+VLOOKUP(M521,D.sign_Lista_Data[[RESPONSABLE]:[SOFTWARE 
VALOR HORA]],3,FALSE),"0")</f>
        <v>20263.424518743668</v>
      </c>
      <c r="P521" s="3">
        <f t="shared" si="18"/>
        <v>5065.856129685917</v>
      </c>
      <c r="Q521" s="11">
        <f>IFERROR(+VLOOKUP(M521,D.sign_Lista_Data[[RESPONSABLE]:[SOFTWARE 
VALOR HORA]],5,FALSE)*D.sign_Data[[#This Row],[TIEMPO (HORAS)]],0)</f>
        <v>1055.3866936845659</v>
      </c>
      <c r="R521" s="11">
        <f>IFERROR(+VLOOKUP(M521,D.sign_Lista_Data[[RESPONSABLE]:[SOFTWARE 
VALOR HORA]],8,FALSE)*D.sign_Data[[#This Row],[TIEMPO (HORAS)]],0)</f>
        <v>852.71372178599586</v>
      </c>
      <c r="S521" s="99"/>
      <c r="T521" s="99"/>
      <c r="U521" s="3">
        <f t="shared" si="19"/>
        <v>6973.9565451564795</v>
      </c>
      <c r="V521" s="100">
        <f>D.sign_Data[[#This Row],[TIEMPO (HORAS)]]*Gastos_Operativos[[#Totals],[GASTOS HORA]]</f>
        <v>6947.3692680776003</v>
      </c>
      <c r="W521" s="3">
        <f>+D.sign_Data[[#This Row],[COSTO 
DIRECTO ($COP)]]+D.sign_Data[[#This Row],[PRORRATEO GASTOS ($COP)]]</f>
        <v>13921.32581323408</v>
      </c>
      <c r="X521" s="101">
        <v>0.15</v>
      </c>
      <c r="Y521" s="15">
        <f>+D.sign_Data[[#This Row],[COSTOS OPERACIONALES ($COP)]]*D.sign_Data[[#This Row],[DESFASE (%)]]</f>
        <v>2088.198871985112</v>
      </c>
      <c r="Z521" s="101">
        <v>0.3</v>
      </c>
      <c r="AA521" s="15">
        <f>+((D.sign_Data[[#This Row],[COSTOS OPERACIONALES ($COP)]]/(100%-D.sign_Data[[#This Row],[UTILIDAD (%)]])))-D.sign_Data[[#This Row],[COSTOS OPERACIONALES ($COP)]]</f>
        <v>5966.2824913860368</v>
      </c>
      <c r="AB521" s="3">
        <f>+D.sign_Data[[#This Row],[COSTOS OPERACIONALES ($COP)]]+D.sign_Data[[#This Row],[DESFASE ($COP)]]+D.sign_Data[[#This Row],[UTILIDAD ($COP)]]</f>
        <v>21975.807176605231</v>
      </c>
      <c r="AC521" s="101">
        <v>0.05</v>
      </c>
      <c r="AD521" s="15">
        <f>+D.sign_Data[[#This Row],[VALOR NETO ($COP)]]/(100%-D.sign_Data[[#This Row],[MARGEN DE NEGOCIACIÓN (%)]])-D.sign_Data[[#This Row],[VALOR NETO ($COP)]]</f>
        <v>1156.6214303476445</v>
      </c>
      <c r="AE521" s="15">
        <f>+(D.sign_Data[[#This Row],[VALOR NETO ($COP)]]+D.sign_Data[[#This Row],[NEGOCIACIÓN ($COP)]])*1%</f>
        <v>231.32428606952877</v>
      </c>
      <c r="AF521" s="15">
        <f>+(D.sign_Data[[#This Row],[VALOR NETO ($COP)]]+D.sign_Data[[#This Row],[NEGOCIACIÓN ($COP)]])*1%</f>
        <v>231.32428606952877</v>
      </c>
      <c r="AG521" s="3">
        <f>+D.sign_Data[[#This Row],[VALOR NETO ($COP)]]+D.sign_Data[[#This Row],[NEGOCIACIÓN ($COP)]]+D.sign_Data[[#This Row],[ICA ($COP)]]+D.sign_Data[[#This Row],[4 * 1000 ($COP)]]</f>
        <v>23595.077179091932</v>
      </c>
    </row>
    <row r="522" spans="1:33" ht="60" hidden="1" customHeight="1" x14ac:dyDescent="0.25">
      <c r="A522" s="14"/>
      <c r="B522" s="87" t="s">
        <v>493</v>
      </c>
      <c r="C522" s="182" t="s">
        <v>849</v>
      </c>
      <c r="D522" s="189" t="str">
        <f>VLOOKUP(D.sign_Data[[#This Row],[CÓDIGO]],Descripciones[[CÓDIGO]:[NOMBRE DE SERVICIO]],3,FALSE)</f>
        <v>D1. Parcelaciones y Condominios</v>
      </c>
      <c r="E522" s="87" t="s">
        <v>467</v>
      </c>
      <c r="F522" s="88" t="s">
        <v>850</v>
      </c>
      <c r="G522" s="88" t="s">
        <v>824</v>
      </c>
      <c r="H522" s="87" t="s">
        <v>448</v>
      </c>
      <c r="I522" s="89">
        <v>1</v>
      </c>
      <c r="J522" s="88" t="s">
        <v>825</v>
      </c>
      <c r="K522" s="102"/>
      <c r="L522" s="91" t="s">
        <v>828</v>
      </c>
      <c r="M522" s="89" t="s">
        <v>381</v>
      </c>
      <c r="N522" s="90">
        <v>1</v>
      </c>
      <c r="O522" s="27">
        <f>IFERROR(+VLOOKUP(M522,D.sign_Lista_Data[[RESPONSABLE]:[SOFTWARE 
VALOR HORA]],3,FALSE),"0")</f>
        <v>20263.424518743668</v>
      </c>
      <c r="P522" s="3">
        <f t="shared" si="18"/>
        <v>20263.424518743668</v>
      </c>
      <c r="Q522" s="11">
        <f>IFERROR(+VLOOKUP(M522,D.sign_Lista_Data[[RESPONSABLE]:[SOFTWARE 
VALOR HORA]],5,FALSE)*D.sign_Data[[#This Row],[TIEMPO (HORAS)]],0)</f>
        <v>4221.5467747382636</v>
      </c>
      <c r="R522" s="11">
        <f>IFERROR(+VLOOKUP(M522,D.sign_Lista_Data[[RESPONSABLE]:[SOFTWARE 
VALOR HORA]],8,FALSE)*D.sign_Data[[#This Row],[TIEMPO (HORAS)]],0)</f>
        <v>3410.8548871439834</v>
      </c>
      <c r="S522" s="99"/>
      <c r="T522" s="99"/>
      <c r="U522" s="3">
        <f t="shared" si="19"/>
        <v>27895.826180625918</v>
      </c>
      <c r="V522" s="100">
        <f>D.sign_Data[[#This Row],[TIEMPO (HORAS)]]*Gastos_Operativos[[#Totals],[GASTOS HORA]]</f>
        <v>27789.477072310401</v>
      </c>
      <c r="W522" s="3">
        <f>+D.sign_Data[[#This Row],[COSTO 
DIRECTO ($COP)]]+D.sign_Data[[#This Row],[PRORRATEO GASTOS ($COP)]]</f>
        <v>55685.303252936319</v>
      </c>
      <c r="X522" s="101">
        <v>0.15</v>
      </c>
      <c r="Y522" s="15">
        <f>+D.sign_Data[[#This Row],[COSTOS OPERACIONALES ($COP)]]*D.sign_Data[[#This Row],[DESFASE (%)]]</f>
        <v>8352.7954879404479</v>
      </c>
      <c r="Z522" s="101">
        <v>0.3</v>
      </c>
      <c r="AA522" s="15">
        <f>+((D.sign_Data[[#This Row],[COSTOS OPERACIONALES ($COP)]]/(100%-D.sign_Data[[#This Row],[UTILIDAD (%)]])))-D.sign_Data[[#This Row],[COSTOS OPERACIONALES ($COP)]]</f>
        <v>23865.129965544147</v>
      </c>
      <c r="AB522" s="3">
        <f>+D.sign_Data[[#This Row],[COSTOS OPERACIONALES ($COP)]]+D.sign_Data[[#This Row],[DESFASE ($COP)]]+D.sign_Data[[#This Row],[UTILIDAD ($COP)]]</f>
        <v>87903.228706420923</v>
      </c>
      <c r="AC522" s="101">
        <v>0.05</v>
      </c>
      <c r="AD522" s="15">
        <f>+D.sign_Data[[#This Row],[VALOR NETO ($COP)]]/(100%-D.sign_Data[[#This Row],[MARGEN DE NEGOCIACIÓN (%)]])-D.sign_Data[[#This Row],[VALOR NETO ($COP)]]</f>
        <v>4626.485721390578</v>
      </c>
      <c r="AE522" s="15">
        <f>+(D.sign_Data[[#This Row],[VALOR NETO ($COP)]]+D.sign_Data[[#This Row],[NEGOCIACIÓN ($COP)]])*1%</f>
        <v>925.29714427811507</v>
      </c>
      <c r="AF522" s="15">
        <f>+(D.sign_Data[[#This Row],[VALOR NETO ($COP)]]+D.sign_Data[[#This Row],[NEGOCIACIÓN ($COP)]])*1%</f>
        <v>925.29714427811507</v>
      </c>
      <c r="AG522" s="3">
        <f>+D.sign_Data[[#This Row],[VALOR NETO ($COP)]]+D.sign_Data[[#This Row],[NEGOCIACIÓN ($COP)]]+D.sign_Data[[#This Row],[ICA ($COP)]]+D.sign_Data[[#This Row],[4 * 1000 ($COP)]]</f>
        <v>94380.308716367726</v>
      </c>
    </row>
    <row r="523" spans="1:33" ht="60" hidden="1" customHeight="1" x14ac:dyDescent="0.25">
      <c r="A523" s="14"/>
      <c r="B523" s="87" t="s">
        <v>493</v>
      </c>
      <c r="C523" s="182" t="s">
        <v>849</v>
      </c>
      <c r="D523" s="189" t="str">
        <f>VLOOKUP(D.sign_Data[[#This Row],[CÓDIGO]],Descripciones[[CÓDIGO]:[NOMBRE DE SERVICIO]],3,FALSE)</f>
        <v>D1. Parcelaciones y Condominios</v>
      </c>
      <c r="E523" s="87" t="s">
        <v>467</v>
      </c>
      <c r="F523" s="88" t="s">
        <v>850</v>
      </c>
      <c r="G523" s="88" t="s">
        <v>824</v>
      </c>
      <c r="H523" s="87" t="s">
        <v>448</v>
      </c>
      <c r="I523" s="89">
        <v>1</v>
      </c>
      <c r="J523" s="88" t="s">
        <v>825</v>
      </c>
      <c r="K523" s="102"/>
      <c r="L523" s="91" t="s">
        <v>829</v>
      </c>
      <c r="M523" s="89" t="s">
        <v>381</v>
      </c>
      <c r="N523" s="90">
        <v>1</v>
      </c>
      <c r="O523" s="27">
        <f>IFERROR(+VLOOKUP(M523,D.sign_Lista_Data[[RESPONSABLE]:[SOFTWARE 
VALOR HORA]],3,FALSE),"0")</f>
        <v>20263.424518743668</v>
      </c>
      <c r="P523" s="3">
        <f t="shared" si="18"/>
        <v>20263.424518743668</v>
      </c>
      <c r="Q523" s="11">
        <f>IFERROR(+VLOOKUP(M523,D.sign_Lista_Data[[RESPONSABLE]:[SOFTWARE 
VALOR HORA]],5,FALSE)*D.sign_Data[[#This Row],[TIEMPO (HORAS)]],0)</f>
        <v>4221.5467747382636</v>
      </c>
      <c r="R523" s="11">
        <f>IFERROR(+VLOOKUP(M523,D.sign_Lista_Data[[RESPONSABLE]:[SOFTWARE 
VALOR HORA]],8,FALSE)*D.sign_Data[[#This Row],[TIEMPO (HORAS)]],0)</f>
        <v>3410.8548871439834</v>
      </c>
      <c r="S523" s="99"/>
      <c r="T523" s="99"/>
      <c r="U523" s="3">
        <f t="shared" si="19"/>
        <v>27895.826180625918</v>
      </c>
      <c r="V523" s="100">
        <f>D.sign_Data[[#This Row],[TIEMPO (HORAS)]]*Gastos_Operativos[[#Totals],[GASTOS HORA]]</f>
        <v>27789.477072310401</v>
      </c>
      <c r="W523" s="3">
        <f>+D.sign_Data[[#This Row],[COSTO 
DIRECTO ($COP)]]+D.sign_Data[[#This Row],[PRORRATEO GASTOS ($COP)]]</f>
        <v>55685.303252936319</v>
      </c>
      <c r="X523" s="101">
        <v>0.15</v>
      </c>
      <c r="Y523" s="15">
        <f>+D.sign_Data[[#This Row],[COSTOS OPERACIONALES ($COP)]]*D.sign_Data[[#This Row],[DESFASE (%)]]</f>
        <v>8352.7954879404479</v>
      </c>
      <c r="Z523" s="101">
        <v>0.3</v>
      </c>
      <c r="AA523" s="15">
        <f>+((D.sign_Data[[#This Row],[COSTOS OPERACIONALES ($COP)]]/(100%-D.sign_Data[[#This Row],[UTILIDAD (%)]])))-D.sign_Data[[#This Row],[COSTOS OPERACIONALES ($COP)]]</f>
        <v>23865.129965544147</v>
      </c>
      <c r="AB523" s="3">
        <f>+D.sign_Data[[#This Row],[COSTOS OPERACIONALES ($COP)]]+D.sign_Data[[#This Row],[DESFASE ($COP)]]+D.sign_Data[[#This Row],[UTILIDAD ($COP)]]</f>
        <v>87903.228706420923</v>
      </c>
      <c r="AC523" s="101">
        <v>0.05</v>
      </c>
      <c r="AD523" s="15">
        <f>+D.sign_Data[[#This Row],[VALOR NETO ($COP)]]/(100%-D.sign_Data[[#This Row],[MARGEN DE NEGOCIACIÓN (%)]])-D.sign_Data[[#This Row],[VALOR NETO ($COP)]]</f>
        <v>4626.485721390578</v>
      </c>
      <c r="AE523" s="15">
        <f>+(D.sign_Data[[#This Row],[VALOR NETO ($COP)]]+D.sign_Data[[#This Row],[NEGOCIACIÓN ($COP)]])*1%</f>
        <v>925.29714427811507</v>
      </c>
      <c r="AF523" s="15">
        <f>+(D.sign_Data[[#This Row],[VALOR NETO ($COP)]]+D.sign_Data[[#This Row],[NEGOCIACIÓN ($COP)]])*1%</f>
        <v>925.29714427811507</v>
      </c>
      <c r="AG523" s="3">
        <f>+D.sign_Data[[#This Row],[VALOR NETO ($COP)]]+D.sign_Data[[#This Row],[NEGOCIACIÓN ($COP)]]+D.sign_Data[[#This Row],[ICA ($COP)]]+D.sign_Data[[#This Row],[4 * 1000 ($COP)]]</f>
        <v>94380.308716367726</v>
      </c>
    </row>
    <row r="524" spans="1:33" ht="60" hidden="1" customHeight="1" x14ac:dyDescent="0.25">
      <c r="A524" s="14"/>
      <c r="B524" s="87" t="s">
        <v>493</v>
      </c>
      <c r="C524" s="182" t="s">
        <v>849</v>
      </c>
      <c r="D524" s="189" t="str">
        <f>VLOOKUP(D.sign_Data[[#This Row],[CÓDIGO]],Descripciones[[CÓDIGO]:[NOMBRE DE SERVICIO]],3,FALSE)</f>
        <v>D1. Parcelaciones y Condominios</v>
      </c>
      <c r="E524" s="87" t="s">
        <v>467</v>
      </c>
      <c r="F524" s="88" t="s">
        <v>850</v>
      </c>
      <c r="G524" s="88" t="s">
        <v>824</v>
      </c>
      <c r="H524" s="87" t="s">
        <v>448</v>
      </c>
      <c r="I524" s="89">
        <v>1</v>
      </c>
      <c r="J524" s="88" t="s">
        <v>825</v>
      </c>
      <c r="K524" s="102"/>
      <c r="L524" s="91" t="s">
        <v>830</v>
      </c>
      <c r="M524" s="89" t="s">
        <v>381</v>
      </c>
      <c r="N524" s="90">
        <v>0.5</v>
      </c>
      <c r="O524" s="27">
        <f>IFERROR(+VLOOKUP(M524,D.sign_Lista_Data[[RESPONSABLE]:[SOFTWARE 
VALOR HORA]],3,FALSE),"0")</f>
        <v>20263.424518743668</v>
      </c>
      <c r="P524" s="3">
        <f t="shared" si="18"/>
        <v>10131.712259371834</v>
      </c>
      <c r="Q524" s="11">
        <f>IFERROR(+VLOOKUP(M524,D.sign_Lista_Data[[RESPONSABLE]:[SOFTWARE 
VALOR HORA]],5,FALSE)*D.sign_Data[[#This Row],[TIEMPO (HORAS)]],0)</f>
        <v>2110.7733873691318</v>
      </c>
      <c r="R524" s="11">
        <f>IFERROR(+VLOOKUP(M524,D.sign_Lista_Data[[RESPONSABLE]:[SOFTWARE 
VALOR HORA]],8,FALSE)*D.sign_Data[[#This Row],[TIEMPO (HORAS)]],0)</f>
        <v>1705.4274435719917</v>
      </c>
      <c r="S524" s="99"/>
      <c r="T524" s="99"/>
      <c r="U524" s="3">
        <f t="shared" si="19"/>
        <v>13947.913090312959</v>
      </c>
      <c r="V524" s="100">
        <f>D.sign_Data[[#This Row],[TIEMPO (HORAS)]]*Gastos_Operativos[[#Totals],[GASTOS HORA]]</f>
        <v>13894.738536155201</v>
      </c>
      <c r="W524" s="3">
        <f>+D.sign_Data[[#This Row],[COSTO 
DIRECTO ($COP)]]+D.sign_Data[[#This Row],[PRORRATEO GASTOS ($COP)]]</f>
        <v>27842.65162646816</v>
      </c>
      <c r="X524" s="101">
        <v>0.15</v>
      </c>
      <c r="Y524" s="15">
        <f>+D.sign_Data[[#This Row],[COSTOS OPERACIONALES ($COP)]]*D.sign_Data[[#This Row],[DESFASE (%)]]</f>
        <v>4176.3977439702239</v>
      </c>
      <c r="Z524" s="101">
        <v>0.3</v>
      </c>
      <c r="AA524" s="15">
        <f>+((D.sign_Data[[#This Row],[COSTOS OPERACIONALES ($COP)]]/(100%-D.sign_Data[[#This Row],[UTILIDAD (%)]])))-D.sign_Data[[#This Row],[COSTOS OPERACIONALES ($COP)]]</f>
        <v>11932.564982772074</v>
      </c>
      <c r="AB524" s="3">
        <f>+D.sign_Data[[#This Row],[COSTOS OPERACIONALES ($COP)]]+D.sign_Data[[#This Row],[DESFASE ($COP)]]+D.sign_Data[[#This Row],[UTILIDAD ($COP)]]</f>
        <v>43951.614353210462</v>
      </c>
      <c r="AC524" s="101">
        <v>0.05</v>
      </c>
      <c r="AD524" s="15">
        <f>+D.sign_Data[[#This Row],[VALOR NETO ($COP)]]/(100%-D.sign_Data[[#This Row],[MARGEN DE NEGOCIACIÓN (%)]])-D.sign_Data[[#This Row],[VALOR NETO ($COP)]]</f>
        <v>2313.242860695289</v>
      </c>
      <c r="AE524" s="15">
        <f>+(D.sign_Data[[#This Row],[VALOR NETO ($COP)]]+D.sign_Data[[#This Row],[NEGOCIACIÓN ($COP)]])*1%</f>
        <v>462.64857213905753</v>
      </c>
      <c r="AF524" s="15">
        <f>+(D.sign_Data[[#This Row],[VALOR NETO ($COP)]]+D.sign_Data[[#This Row],[NEGOCIACIÓN ($COP)]])*1%</f>
        <v>462.64857213905753</v>
      </c>
      <c r="AG524" s="3">
        <f>+D.sign_Data[[#This Row],[VALOR NETO ($COP)]]+D.sign_Data[[#This Row],[NEGOCIACIÓN ($COP)]]+D.sign_Data[[#This Row],[ICA ($COP)]]+D.sign_Data[[#This Row],[4 * 1000 ($COP)]]</f>
        <v>47190.154358183863</v>
      </c>
    </row>
    <row r="525" spans="1:33" ht="60" hidden="1" customHeight="1" x14ac:dyDescent="0.25">
      <c r="A525" s="14"/>
      <c r="B525" s="87" t="s">
        <v>493</v>
      </c>
      <c r="C525" s="182" t="s">
        <v>849</v>
      </c>
      <c r="D525" s="189" t="str">
        <f>VLOOKUP(D.sign_Data[[#This Row],[CÓDIGO]],Descripciones[[CÓDIGO]:[NOMBRE DE SERVICIO]],3,FALSE)</f>
        <v>D1. Parcelaciones y Condominios</v>
      </c>
      <c r="E525" s="87" t="s">
        <v>467</v>
      </c>
      <c r="F525" s="88" t="s">
        <v>850</v>
      </c>
      <c r="G525" s="88" t="s">
        <v>824</v>
      </c>
      <c r="H525" s="87" t="s">
        <v>448</v>
      </c>
      <c r="I525" s="89">
        <v>1</v>
      </c>
      <c r="J525" s="88" t="s">
        <v>825</v>
      </c>
      <c r="K525" s="102"/>
      <c r="L525" s="91" t="s">
        <v>832</v>
      </c>
      <c r="M525" s="89" t="s">
        <v>381</v>
      </c>
      <c r="N525" s="90">
        <v>3</v>
      </c>
      <c r="O525" s="27">
        <f>IFERROR(+VLOOKUP(M525,D.sign_Lista_Data[[RESPONSABLE]:[SOFTWARE 
VALOR HORA]],3,FALSE),"0")</f>
        <v>20263.424518743668</v>
      </c>
      <c r="P525" s="3">
        <f t="shared" si="18"/>
        <v>60790.273556231004</v>
      </c>
      <c r="Q525" s="11">
        <f>IFERROR(+VLOOKUP(M525,D.sign_Lista_Data[[RESPONSABLE]:[SOFTWARE 
VALOR HORA]],5,FALSE)*D.sign_Data[[#This Row],[TIEMPO (HORAS)]],0)</f>
        <v>12664.64032421479</v>
      </c>
      <c r="R525" s="11">
        <f>IFERROR(+VLOOKUP(M525,D.sign_Lista_Data[[RESPONSABLE]:[SOFTWARE 
VALOR HORA]],8,FALSE)*D.sign_Data[[#This Row],[TIEMPO (HORAS)]],0)</f>
        <v>10232.56466143195</v>
      </c>
      <c r="S525" s="99"/>
      <c r="T525" s="99"/>
      <c r="U525" s="3">
        <f t="shared" si="19"/>
        <v>83687.478541877746</v>
      </c>
      <c r="V525" s="100">
        <f>D.sign_Data[[#This Row],[TIEMPO (HORAS)]]*Gastos_Operativos[[#Totals],[GASTOS HORA]]</f>
        <v>83368.431216931203</v>
      </c>
      <c r="W525" s="3">
        <f>+D.sign_Data[[#This Row],[COSTO 
DIRECTO ($COP)]]+D.sign_Data[[#This Row],[PRORRATEO GASTOS ($COP)]]</f>
        <v>167055.90975880896</v>
      </c>
      <c r="X525" s="101">
        <v>0.15</v>
      </c>
      <c r="Y525" s="15">
        <f>+D.sign_Data[[#This Row],[COSTOS OPERACIONALES ($COP)]]*D.sign_Data[[#This Row],[DESFASE (%)]]</f>
        <v>25058.386463821345</v>
      </c>
      <c r="Z525" s="101">
        <v>0.3</v>
      </c>
      <c r="AA525" s="15">
        <f>+((D.sign_Data[[#This Row],[COSTOS OPERACIONALES ($COP)]]/(100%-D.sign_Data[[#This Row],[UTILIDAD (%)]])))-D.sign_Data[[#This Row],[COSTOS OPERACIONALES ($COP)]]</f>
        <v>71595.389896632434</v>
      </c>
      <c r="AB525" s="3">
        <f>+D.sign_Data[[#This Row],[COSTOS OPERACIONALES ($COP)]]+D.sign_Data[[#This Row],[DESFASE ($COP)]]+D.sign_Data[[#This Row],[UTILIDAD ($COP)]]</f>
        <v>263709.68611926271</v>
      </c>
      <c r="AC525" s="101">
        <v>0.05</v>
      </c>
      <c r="AD525" s="15">
        <f>+D.sign_Data[[#This Row],[VALOR NETO ($COP)]]/(100%-D.sign_Data[[#This Row],[MARGEN DE NEGOCIACIÓN (%)]])-D.sign_Data[[#This Row],[VALOR NETO ($COP)]]</f>
        <v>13879.457164171734</v>
      </c>
      <c r="AE525" s="15">
        <f>+(D.sign_Data[[#This Row],[VALOR NETO ($COP)]]+D.sign_Data[[#This Row],[NEGOCIACIÓN ($COP)]])*1%</f>
        <v>2775.8914328343444</v>
      </c>
      <c r="AF525" s="15">
        <f>+(D.sign_Data[[#This Row],[VALOR NETO ($COP)]]+D.sign_Data[[#This Row],[NEGOCIACIÓN ($COP)]])*1%</f>
        <v>2775.8914328343444</v>
      </c>
      <c r="AG525" s="3">
        <f>+D.sign_Data[[#This Row],[VALOR NETO ($COP)]]+D.sign_Data[[#This Row],[NEGOCIACIÓN ($COP)]]+D.sign_Data[[#This Row],[ICA ($COP)]]+D.sign_Data[[#This Row],[4 * 1000 ($COP)]]</f>
        <v>283140.92614910309</v>
      </c>
    </row>
    <row r="526" spans="1:33" ht="60" hidden="1" customHeight="1" x14ac:dyDescent="0.25">
      <c r="A526" s="14"/>
      <c r="B526" s="87" t="s">
        <v>493</v>
      </c>
      <c r="C526" s="182" t="s">
        <v>849</v>
      </c>
      <c r="D526" s="189" t="str">
        <f>VLOOKUP(D.sign_Data[[#This Row],[CÓDIGO]],Descripciones[[CÓDIGO]:[NOMBRE DE SERVICIO]],3,FALSE)</f>
        <v>D1. Parcelaciones y Condominios</v>
      </c>
      <c r="E526" s="87" t="s">
        <v>467</v>
      </c>
      <c r="F526" s="88" t="s">
        <v>850</v>
      </c>
      <c r="G526" s="88" t="s">
        <v>824</v>
      </c>
      <c r="H526" s="87" t="s">
        <v>448</v>
      </c>
      <c r="I526" s="89">
        <v>1</v>
      </c>
      <c r="J526" s="88" t="s">
        <v>825</v>
      </c>
      <c r="K526" s="102"/>
      <c r="L526" s="91" t="s">
        <v>851</v>
      </c>
      <c r="M526" s="89" t="s">
        <v>381</v>
      </c>
      <c r="N526" s="90">
        <v>1</v>
      </c>
      <c r="O526" s="27">
        <f>IFERROR(+VLOOKUP(M526,D.sign_Lista_Data[[RESPONSABLE]:[SOFTWARE 
VALOR HORA]],3,FALSE),"0")</f>
        <v>20263.424518743668</v>
      </c>
      <c r="P526" s="3">
        <f t="shared" si="18"/>
        <v>20263.424518743668</v>
      </c>
      <c r="Q526" s="11">
        <f>IFERROR(+VLOOKUP(M526,D.sign_Lista_Data[[RESPONSABLE]:[SOFTWARE 
VALOR HORA]],5,FALSE)*D.sign_Data[[#This Row],[TIEMPO (HORAS)]],0)</f>
        <v>4221.5467747382636</v>
      </c>
      <c r="R526" s="11">
        <f>IFERROR(+VLOOKUP(M526,D.sign_Lista_Data[[RESPONSABLE]:[SOFTWARE 
VALOR HORA]],8,FALSE)*D.sign_Data[[#This Row],[TIEMPO (HORAS)]],0)</f>
        <v>3410.8548871439834</v>
      </c>
      <c r="S526" s="99"/>
      <c r="T526" s="99"/>
      <c r="U526" s="3">
        <f t="shared" si="19"/>
        <v>27895.826180625918</v>
      </c>
      <c r="V526" s="100">
        <f>D.sign_Data[[#This Row],[TIEMPO (HORAS)]]*Gastos_Operativos[[#Totals],[GASTOS HORA]]</f>
        <v>27789.477072310401</v>
      </c>
      <c r="W526" s="3">
        <f>+D.sign_Data[[#This Row],[COSTO 
DIRECTO ($COP)]]+D.sign_Data[[#This Row],[PRORRATEO GASTOS ($COP)]]</f>
        <v>55685.303252936319</v>
      </c>
      <c r="X526" s="101">
        <v>0.15</v>
      </c>
      <c r="Y526" s="15">
        <f>+D.sign_Data[[#This Row],[COSTOS OPERACIONALES ($COP)]]*D.sign_Data[[#This Row],[DESFASE (%)]]</f>
        <v>8352.7954879404479</v>
      </c>
      <c r="Z526" s="101">
        <v>0.3</v>
      </c>
      <c r="AA526" s="15">
        <f>+((D.sign_Data[[#This Row],[COSTOS OPERACIONALES ($COP)]]/(100%-D.sign_Data[[#This Row],[UTILIDAD (%)]])))-D.sign_Data[[#This Row],[COSTOS OPERACIONALES ($COP)]]</f>
        <v>23865.129965544147</v>
      </c>
      <c r="AB526" s="3">
        <f>+D.sign_Data[[#This Row],[COSTOS OPERACIONALES ($COP)]]+D.sign_Data[[#This Row],[DESFASE ($COP)]]+D.sign_Data[[#This Row],[UTILIDAD ($COP)]]</f>
        <v>87903.228706420923</v>
      </c>
      <c r="AC526" s="101">
        <v>0.05</v>
      </c>
      <c r="AD526" s="15">
        <f>+D.sign_Data[[#This Row],[VALOR NETO ($COP)]]/(100%-D.sign_Data[[#This Row],[MARGEN DE NEGOCIACIÓN (%)]])-D.sign_Data[[#This Row],[VALOR NETO ($COP)]]</f>
        <v>4626.485721390578</v>
      </c>
      <c r="AE526" s="15">
        <f>+(D.sign_Data[[#This Row],[VALOR NETO ($COP)]]+D.sign_Data[[#This Row],[NEGOCIACIÓN ($COP)]])*1%</f>
        <v>925.29714427811507</v>
      </c>
      <c r="AF526" s="15">
        <f>+(D.sign_Data[[#This Row],[VALOR NETO ($COP)]]+D.sign_Data[[#This Row],[NEGOCIACIÓN ($COP)]])*1%</f>
        <v>925.29714427811507</v>
      </c>
      <c r="AG526" s="3">
        <f>+D.sign_Data[[#This Row],[VALOR NETO ($COP)]]+D.sign_Data[[#This Row],[NEGOCIACIÓN ($COP)]]+D.sign_Data[[#This Row],[ICA ($COP)]]+D.sign_Data[[#This Row],[4 * 1000 ($COP)]]</f>
        <v>94380.308716367726</v>
      </c>
    </row>
    <row r="527" spans="1:33" ht="60" hidden="1" customHeight="1" x14ac:dyDescent="0.25">
      <c r="A527" s="14"/>
      <c r="B527" s="87" t="s">
        <v>493</v>
      </c>
      <c r="C527" s="182" t="s">
        <v>849</v>
      </c>
      <c r="D527" s="189" t="str">
        <f>VLOOKUP(D.sign_Data[[#This Row],[CÓDIGO]],Descripciones[[CÓDIGO]:[NOMBRE DE SERVICIO]],3,FALSE)</f>
        <v>D1. Parcelaciones y Condominios</v>
      </c>
      <c r="E527" s="87" t="s">
        <v>467</v>
      </c>
      <c r="F527" s="88" t="s">
        <v>850</v>
      </c>
      <c r="G527" s="88" t="s">
        <v>824</v>
      </c>
      <c r="H527" s="87" t="s">
        <v>448</v>
      </c>
      <c r="I527" s="89">
        <v>1</v>
      </c>
      <c r="J527" s="88" t="s">
        <v>825</v>
      </c>
      <c r="K527" s="102"/>
      <c r="L527" s="91" t="s">
        <v>834</v>
      </c>
      <c r="M527" s="89" t="s">
        <v>381</v>
      </c>
      <c r="N527" s="90">
        <v>1</v>
      </c>
      <c r="O527" s="27">
        <f>IFERROR(+VLOOKUP(M527,D.sign_Lista_Data[[RESPONSABLE]:[SOFTWARE 
VALOR HORA]],3,FALSE),"0")</f>
        <v>20263.424518743668</v>
      </c>
      <c r="P527" s="3">
        <f t="shared" si="18"/>
        <v>20263.424518743668</v>
      </c>
      <c r="Q527" s="11">
        <f>IFERROR(+VLOOKUP(M527,D.sign_Lista_Data[[RESPONSABLE]:[SOFTWARE 
VALOR HORA]],5,FALSE)*D.sign_Data[[#This Row],[TIEMPO (HORAS)]],0)</f>
        <v>4221.5467747382636</v>
      </c>
      <c r="R527" s="11">
        <f>IFERROR(+VLOOKUP(M527,D.sign_Lista_Data[[RESPONSABLE]:[SOFTWARE 
VALOR HORA]],8,FALSE)*D.sign_Data[[#This Row],[TIEMPO (HORAS)]],0)</f>
        <v>3410.8548871439834</v>
      </c>
      <c r="S527" s="99"/>
      <c r="T527" s="99"/>
      <c r="U527" s="3">
        <f t="shared" si="19"/>
        <v>27895.826180625918</v>
      </c>
      <c r="V527" s="100">
        <f>D.sign_Data[[#This Row],[TIEMPO (HORAS)]]*Gastos_Operativos[[#Totals],[GASTOS HORA]]</f>
        <v>27789.477072310401</v>
      </c>
      <c r="W527" s="3">
        <f>+D.sign_Data[[#This Row],[COSTO 
DIRECTO ($COP)]]+D.sign_Data[[#This Row],[PRORRATEO GASTOS ($COP)]]</f>
        <v>55685.303252936319</v>
      </c>
      <c r="X527" s="101">
        <v>0.15</v>
      </c>
      <c r="Y527" s="15">
        <f>+D.sign_Data[[#This Row],[COSTOS OPERACIONALES ($COP)]]*D.sign_Data[[#This Row],[DESFASE (%)]]</f>
        <v>8352.7954879404479</v>
      </c>
      <c r="Z527" s="101">
        <v>0.3</v>
      </c>
      <c r="AA527" s="15">
        <f>+((D.sign_Data[[#This Row],[COSTOS OPERACIONALES ($COP)]]/(100%-D.sign_Data[[#This Row],[UTILIDAD (%)]])))-D.sign_Data[[#This Row],[COSTOS OPERACIONALES ($COP)]]</f>
        <v>23865.129965544147</v>
      </c>
      <c r="AB527" s="3">
        <f>+D.sign_Data[[#This Row],[COSTOS OPERACIONALES ($COP)]]+D.sign_Data[[#This Row],[DESFASE ($COP)]]+D.sign_Data[[#This Row],[UTILIDAD ($COP)]]</f>
        <v>87903.228706420923</v>
      </c>
      <c r="AC527" s="101">
        <v>0.05</v>
      </c>
      <c r="AD527" s="15">
        <f>+D.sign_Data[[#This Row],[VALOR NETO ($COP)]]/(100%-D.sign_Data[[#This Row],[MARGEN DE NEGOCIACIÓN (%)]])-D.sign_Data[[#This Row],[VALOR NETO ($COP)]]</f>
        <v>4626.485721390578</v>
      </c>
      <c r="AE527" s="15">
        <f>+(D.sign_Data[[#This Row],[VALOR NETO ($COP)]]+D.sign_Data[[#This Row],[NEGOCIACIÓN ($COP)]])*1%</f>
        <v>925.29714427811507</v>
      </c>
      <c r="AF527" s="15">
        <f>+(D.sign_Data[[#This Row],[VALOR NETO ($COP)]]+D.sign_Data[[#This Row],[NEGOCIACIÓN ($COP)]])*1%</f>
        <v>925.29714427811507</v>
      </c>
      <c r="AG527" s="3">
        <f>+D.sign_Data[[#This Row],[VALOR NETO ($COP)]]+D.sign_Data[[#This Row],[NEGOCIACIÓN ($COP)]]+D.sign_Data[[#This Row],[ICA ($COP)]]+D.sign_Data[[#This Row],[4 * 1000 ($COP)]]</f>
        <v>94380.308716367726</v>
      </c>
    </row>
    <row r="528" spans="1:33" ht="60" hidden="1" customHeight="1" x14ac:dyDescent="0.25">
      <c r="A528" s="14"/>
      <c r="B528" s="87" t="s">
        <v>493</v>
      </c>
      <c r="C528" s="182" t="s">
        <v>849</v>
      </c>
      <c r="D528" s="189" t="str">
        <f>VLOOKUP(D.sign_Data[[#This Row],[CÓDIGO]],Descripciones[[CÓDIGO]:[NOMBRE DE SERVICIO]],3,FALSE)</f>
        <v>D1. Parcelaciones y Condominios</v>
      </c>
      <c r="E528" s="87" t="s">
        <v>467</v>
      </c>
      <c r="F528" s="88" t="s">
        <v>850</v>
      </c>
      <c r="G528" s="88" t="s">
        <v>824</v>
      </c>
      <c r="H528" s="87" t="s">
        <v>448</v>
      </c>
      <c r="I528" s="89">
        <v>1</v>
      </c>
      <c r="J528" s="88" t="s">
        <v>825</v>
      </c>
      <c r="K528" s="102"/>
      <c r="L528" s="91" t="s">
        <v>835</v>
      </c>
      <c r="M528" s="89" t="s">
        <v>381</v>
      </c>
      <c r="N528" s="90">
        <v>1</v>
      </c>
      <c r="O528" s="27">
        <f>IFERROR(+VLOOKUP(M528,D.sign_Lista_Data[[RESPONSABLE]:[SOFTWARE 
VALOR HORA]],3,FALSE),"0")</f>
        <v>20263.424518743668</v>
      </c>
      <c r="P528" s="3">
        <f t="shared" si="18"/>
        <v>20263.424518743668</v>
      </c>
      <c r="Q528" s="11">
        <f>IFERROR(+VLOOKUP(M528,D.sign_Lista_Data[[RESPONSABLE]:[SOFTWARE 
VALOR HORA]],5,FALSE)*D.sign_Data[[#This Row],[TIEMPO (HORAS)]],0)</f>
        <v>4221.5467747382636</v>
      </c>
      <c r="R528" s="11">
        <f>IFERROR(+VLOOKUP(M528,D.sign_Lista_Data[[RESPONSABLE]:[SOFTWARE 
VALOR HORA]],8,FALSE)*D.sign_Data[[#This Row],[TIEMPO (HORAS)]],0)</f>
        <v>3410.8548871439834</v>
      </c>
      <c r="S528" s="99"/>
      <c r="T528" s="99"/>
      <c r="U528" s="3">
        <f t="shared" si="19"/>
        <v>27895.826180625918</v>
      </c>
      <c r="V528" s="100">
        <f>D.sign_Data[[#This Row],[TIEMPO (HORAS)]]*Gastos_Operativos[[#Totals],[GASTOS HORA]]</f>
        <v>27789.477072310401</v>
      </c>
      <c r="W528" s="3">
        <f>+D.sign_Data[[#This Row],[COSTO 
DIRECTO ($COP)]]+D.sign_Data[[#This Row],[PRORRATEO GASTOS ($COP)]]</f>
        <v>55685.303252936319</v>
      </c>
      <c r="X528" s="101">
        <v>0.15</v>
      </c>
      <c r="Y528" s="15">
        <f>+D.sign_Data[[#This Row],[COSTOS OPERACIONALES ($COP)]]*D.sign_Data[[#This Row],[DESFASE (%)]]</f>
        <v>8352.7954879404479</v>
      </c>
      <c r="Z528" s="101">
        <v>0.3</v>
      </c>
      <c r="AA528" s="15">
        <f>+((D.sign_Data[[#This Row],[COSTOS OPERACIONALES ($COP)]]/(100%-D.sign_Data[[#This Row],[UTILIDAD (%)]])))-D.sign_Data[[#This Row],[COSTOS OPERACIONALES ($COP)]]</f>
        <v>23865.129965544147</v>
      </c>
      <c r="AB528" s="3">
        <f>+D.sign_Data[[#This Row],[COSTOS OPERACIONALES ($COP)]]+D.sign_Data[[#This Row],[DESFASE ($COP)]]+D.sign_Data[[#This Row],[UTILIDAD ($COP)]]</f>
        <v>87903.228706420923</v>
      </c>
      <c r="AC528" s="101">
        <v>0.05</v>
      </c>
      <c r="AD528" s="15">
        <f>+D.sign_Data[[#This Row],[VALOR NETO ($COP)]]/(100%-D.sign_Data[[#This Row],[MARGEN DE NEGOCIACIÓN (%)]])-D.sign_Data[[#This Row],[VALOR NETO ($COP)]]</f>
        <v>4626.485721390578</v>
      </c>
      <c r="AE528" s="15">
        <f>+(D.sign_Data[[#This Row],[VALOR NETO ($COP)]]+D.sign_Data[[#This Row],[NEGOCIACIÓN ($COP)]])*1%</f>
        <v>925.29714427811507</v>
      </c>
      <c r="AF528" s="15">
        <f>+(D.sign_Data[[#This Row],[VALOR NETO ($COP)]]+D.sign_Data[[#This Row],[NEGOCIACIÓN ($COP)]])*1%</f>
        <v>925.29714427811507</v>
      </c>
      <c r="AG528" s="3">
        <f>+D.sign_Data[[#This Row],[VALOR NETO ($COP)]]+D.sign_Data[[#This Row],[NEGOCIACIÓN ($COP)]]+D.sign_Data[[#This Row],[ICA ($COP)]]+D.sign_Data[[#This Row],[4 * 1000 ($COP)]]</f>
        <v>94380.308716367726</v>
      </c>
    </row>
    <row r="529" spans="1:33" ht="60" hidden="1" customHeight="1" x14ac:dyDescent="0.25">
      <c r="A529" s="14"/>
      <c r="B529" s="87" t="s">
        <v>493</v>
      </c>
      <c r="C529" s="182" t="s">
        <v>849</v>
      </c>
      <c r="D529" s="189" t="str">
        <f>VLOOKUP(D.sign_Data[[#This Row],[CÓDIGO]],Descripciones[[CÓDIGO]:[NOMBRE DE SERVICIO]],3,FALSE)</f>
        <v>D1. Parcelaciones y Condominios</v>
      </c>
      <c r="E529" s="87" t="s">
        <v>467</v>
      </c>
      <c r="F529" s="88" t="s">
        <v>850</v>
      </c>
      <c r="G529" s="88" t="s">
        <v>824</v>
      </c>
      <c r="H529" s="87" t="s">
        <v>448</v>
      </c>
      <c r="I529" s="89">
        <v>1</v>
      </c>
      <c r="J529" s="88" t="s">
        <v>836</v>
      </c>
      <c r="K529" s="102"/>
      <c r="L529" s="91" t="s">
        <v>837</v>
      </c>
      <c r="M529" s="89" t="s">
        <v>381</v>
      </c>
      <c r="N529" s="90">
        <v>1</v>
      </c>
      <c r="O529" s="27">
        <f>IFERROR(+VLOOKUP(M529,D.sign_Lista_Data[[RESPONSABLE]:[SOFTWARE 
VALOR HORA]],3,FALSE),"0")</f>
        <v>20263.424518743668</v>
      </c>
      <c r="P529" s="3">
        <f t="shared" si="18"/>
        <v>20263.424518743668</v>
      </c>
      <c r="Q529" s="11">
        <f>IFERROR(+VLOOKUP(M529,D.sign_Lista_Data[[RESPONSABLE]:[SOFTWARE 
VALOR HORA]],5,FALSE)*D.sign_Data[[#This Row],[TIEMPO (HORAS)]],0)</f>
        <v>4221.5467747382636</v>
      </c>
      <c r="R529" s="11">
        <f>IFERROR(+VLOOKUP(M529,D.sign_Lista_Data[[RESPONSABLE]:[SOFTWARE 
VALOR HORA]],8,FALSE)*D.sign_Data[[#This Row],[TIEMPO (HORAS)]],0)</f>
        <v>3410.8548871439834</v>
      </c>
      <c r="S529" s="99"/>
      <c r="T529" s="99"/>
      <c r="U529" s="3">
        <f t="shared" si="19"/>
        <v>27895.826180625918</v>
      </c>
      <c r="V529" s="100">
        <f>D.sign_Data[[#This Row],[TIEMPO (HORAS)]]*Gastos_Operativos[[#Totals],[GASTOS HORA]]</f>
        <v>27789.477072310401</v>
      </c>
      <c r="W529" s="3">
        <f>+D.sign_Data[[#This Row],[COSTO 
DIRECTO ($COP)]]+D.sign_Data[[#This Row],[PRORRATEO GASTOS ($COP)]]</f>
        <v>55685.303252936319</v>
      </c>
      <c r="X529" s="101">
        <v>0.15</v>
      </c>
      <c r="Y529" s="15">
        <f>+D.sign_Data[[#This Row],[COSTOS OPERACIONALES ($COP)]]*D.sign_Data[[#This Row],[DESFASE (%)]]</f>
        <v>8352.7954879404479</v>
      </c>
      <c r="Z529" s="101">
        <v>0.3</v>
      </c>
      <c r="AA529" s="15">
        <f>+((D.sign_Data[[#This Row],[COSTOS OPERACIONALES ($COP)]]/(100%-D.sign_Data[[#This Row],[UTILIDAD (%)]])))-D.sign_Data[[#This Row],[COSTOS OPERACIONALES ($COP)]]</f>
        <v>23865.129965544147</v>
      </c>
      <c r="AB529" s="3">
        <f>+D.sign_Data[[#This Row],[COSTOS OPERACIONALES ($COP)]]+D.sign_Data[[#This Row],[DESFASE ($COP)]]+D.sign_Data[[#This Row],[UTILIDAD ($COP)]]</f>
        <v>87903.228706420923</v>
      </c>
      <c r="AC529" s="101">
        <v>0.05</v>
      </c>
      <c r="AD529" s="15">
        <f>+D.sign_Data[[#This Row],[VALOR NETO ($COP)]]/(100%-D.sign_Data[[#This Row],[MARGEN DE NEGOCIACIÓN (%)]])-D.sign_Data[[#This Row],[VALOR NETO ($COP)]]</f>
        <v>4626.485721390578</v>
      </c>
      <c r="AE529" s="15">
        <f>+(D.sign_Data[[#This Row],[VALOR NETO ($COP)]]+D.sign_Data[[#This Row],[NEGOCIACIÓN ($COP)]])*1%</f>
        <v>925.29714427811507</v>
      </c>
      <c r="AF529" s="15">
        <f>+(D.sign_Data[[#This Row],[VALOR NETO ($COP)]]+D.sign_Data[[#This Row],[NEGOCIACIÓN ($COP)]])*1%</f>
        <v>925.29714427811507</v>
      </c>
      <c r="AG529" s="3">
        <f>+D.sign_Data[[#This Row],[VALOR NETO ($COP)]]+D.sign_Data[[#This Row],[NEGOCIACIÓN ($COP)]]+D.sign_Data[[#This Row],[ICA ($COP)]]+D.sign_Data[[#This Row],[4 * 1000 ($COP)]]</f>
        <v>94380.308716367726</v>
      </c>
    </row>
    <row r="530" spans="1:33" ht="60" hidden="1" customHeight="1" x14ac:dyDescent="0.25">
      <c r="A530" s="14"/>
      <c r="B530" s="87" t="s">
        <v>493</v>
      </c>
      <c r="C530" s="182" t="s">
        <v>849</v>
      </c>
      <c r="D530" s="189" t="str">
        <f>VLOOKUP(D.sign_Data[[#This Row],[CÓDIGO]],Descripciones[[CÓDIGO]:[NOMBRE DE SERVICIO]],3,FALSE)</f>
        <v>D1. Parcelaciones y Condominios</v>
      </c>
      <c r="E530" s="87" t="s">
        <v>467</v>
      </c>
      <c r="F530" s="88" t="s">
        <v>850</v>
      </c>
      <c r="G530" s="88" t="s">
        <v>824</v>
      </c>
      <c r="H530" s="87" t="s">
        <v>448</v>
      </c>
      <c r="I530" s="89">
        <v>1</v>
      </c>
      <c r="J530" s="88" t="s">
        <v>836</v>
      </c>
      <c r="K530" s="102"/>
      <c r="L530" s="91" t="s">
        <v>648</v>
      </c>
      <c r="M530" s="89" t="s">
        <v>381</v>
      </c>
      <c r="N530" s="90">
        <v>0.7</v>
      </c>
      <c r="O530" s="27">
        <f>IFERROR(+VLOOKUP(M530,D.sign_Lista_Data[[RESPONSABLE]:[SOFTWARE 
VALOR HORA]],3,FALSE),"0")</f>
        <v>20263.424518743668</v>
      </c>
      <c r="P530" s="3">
        <f t="shared" si="18"/>
        <v>14184.397163120568</v>
      </c>
      <c r="Q530" s="11">
        <f>IFERROR(+VLOOKUP(M530,D.sign_Lista_Data[[RESPONSABLE]:[SOFTWARE 
VALOR HORA]],5,FALSE)*D.sign_Data[[#This Row],[TIEMPO (HORAS)]],0)</f>
        <v>2955.0827423167843</v>
      </c>
      <c r="R530" s="11">
        <f>IFERROR(+VLOOKUP(M530,D.sign_Lista_Data[[RESPONSABLE]:[SOFTWARE 
VALOR HORA]],8,FALSE)*D.sign_Data[[#This Row],[TIEMPO (HORAS)]],0)</f>
        <v>2387.5984210007882</v>
      </c>
      <c r="S530" s="99"/>
      <c r="T530" s="99"/>
      <c r="U530" s="3">
        <f t="shared" si="19"/>
        <v>19527.078326438139</v>
      </c>
      <c r="V530" s="100">
        <f>D.sign_Data[[#This Row],[TIEMPO (HORAS)]]*Gastos_Operativos[[#Totals],[GASTOS HORA]]</f>
        <v>19452.633950617281</v>
      </c>
      <c r="W530" s="3">
        <f>+D.sign_Data[[#This Row],[COSTO 
DIRECTO ($COP)]]+D.sign_Data[[#This Row],[PRORRATEO GASTOS ($COP)]]</f>
        <v>38979.71227705542</v>
      </c>
      <c r="X530" s="101">
        <v>0.15</v>
      </c>
      <c r="Y530" s="15">
        <f>+D.sign_Data[[#This Row],[COSTOS OPERACIONALES ($COP)]]*D.sign_Data[[#This Row],[DESFASE (%)]]</f>
        <v>5846.9568415583126</v>
      </c>
      <c r="Z530" s="101">
        <v>0.3</v>
      </c>
      <c r="AA530" s="15">
        <f>+((D.sign_Data[[#This Row],[COSTOS OPERACIONALES ($COP)]]/(100%-D.sign_Data[[#This Row],[UTILIDAD (%)]])))-D.sign_Data[[#This Row],[COSTOS OPERACIONALES ($COP)]]</f>
        <v>16705.590975880899</v>
      </c>
      <c r="AB530" s="3">
        <f>+D.sign_Data[[#This Row],[COSTOS OPERACIONALES ($COP)]]+D.sign_Data[[#This Row],[DESFASE ($COP)]]+D.sign_Data[[#This Row],[UTILIDAD ($COP)]]</f>
        <v>61532.260094494632</v>
      </c>
      <c r="AC530" s="101">
        <v>0.05</v>
      </c>
      <c r="AD530" s="15">
        <f>+D.sign_Data[[#This Row],[VALOR NETO ($COP)]]/(100%-D.sign_Data[[#This Row],[MARGEN DE NEGOCIACIÓN (%)]])-D.sign_Data[[#This Row],[VALOR NETO ($COP)]]</f>
        <v>3238.5400049734017</v>
      </c>
      <c r="AE530" s="15">
        <f>+(D.sign_Data[[#This Row],[VALOR NETO ($COP)]]+D.sign_Data[[#This Row],[NEGOCIACIÓN ($COP)]])*1%</f>
        <v>647.70800099468033</v>
      </c>
      <c r="AF530" s="15">
        <f>+(D.sign_Data[[#This Row],[VALOR NETO ($COP)]]+D.sign_Data[[#This Row],[NEGOCIACIÓN ($COP)]])*1%</f>
        <v>647.70800099468033</v>
      </c>
      <c r="AG530" s="3">
        <f>+D.sign_Data[[#This Row],[VALOR NETO ($COP)]]+D.sign_Data[[#This Row],[NEGOCIACIÓN ($COP)]]+D.sign_Data[[#This Row],[ICA ($COP)]]+D.sign_Data[[#This Row],[4 * 1000 ($COP)]]</f>
        <v>66066.216101457394</v>
      </c>
    </row>
    <row r="531" spans="1:33" ht="60" hidden="1" customHeight="1" x14ac:dyDescent="0.25">
      <c r="A531" s="14"/>
      <c r="B531" s="87" t="s">
        <v>493</v>
      </c>
      <c r="C531" s="182" t="s">
        <v>849</v>
      </c>
      <c r="D531" s="189" t="str">
        <f>VLOOKUP(D.sign_Data[[#This Row],[CÓDIGO]],Descripciones[[CÓDIGO]:[NOMBRE DE SERVICIO]],3,FALSE)</f>
        <v>D1. Parcelaciones y Condominios</v>
      </c>
      <c r="E531" s="87" t="s">
        <v>467</v>
      </c>
      <c r="F531" s="88" t="s">
        <v>850</v>
      </c>
      <c r="G531" s="88" t="s">
        <v>824</v>
      </c>
      <c r="H531" s="87" t="s">
        <v>448</v>
      </c>
      <c r="I531" s="89">
        <v>1</v>
      </c>
      <c r="J531" s="88" t="s">
        <v>840</v>
      </c>
      <c r="K531" s="102"/>
      <c r="L531" s="91" t="s">
        <v>841</v>
      </c>
      <c r="M531" s="89" t="s">
        <v>381</v>
      </c>
      <c r="N531" s="90">
        <v>1</v>
      </c>
      <c r="O531" s="27">
        <f>IFERROR(+VLOOKUP(M531,D.sign_Lista_Data[[RESPONSABLE]:[SOFTWARE 
VALOR HORA]],3,FALSE),"0")</f>
        <v>20263.424518743668</v>
      </c>
      <c r="P531" s="3">
        <f t="shared" si="18"/>
        <v>20263.424518743668</v>
      </c>
      <c r="Q531" s="11">
        <f>IFERROR(+VLOOKUP(M531,D.sign_Lista_Data[[RESPONSABLE]:[SOFTWARE 
VALOR HORA]],5,FALSE)*D.sign_Data[[#This Row],[TIEMPO (HORAS)]],0)</f>
        <v>4221.5467747382636</v>
      </c>
      <c r="R531" s="11">
        <f>IFERROR(+VLOOKUP(M531,D.sign_Lista_Data[[RESPONSABLE]:[SOFTWARE 
VALOR HORA]],8,FALSE)*D.sign_Data[[#This Row],[TIEMPO (HORAS)]],0)</f>
        <v>3410.8548871439834</v>
      </c>
      <c r="S531" s="99"/>
      <c r="T531" s="99"/>
      <c r="U531" s="3">
        <f t="shared" si="19"/>
        <v>27895.826180625918</v>
      </c>
      <c r="V531" s="100">
        <f>D.sign_Data[[#This Row],[TIEMPO (HORAS)]]*Gastos_Operativos[[#Totals],[GASTOS HORA]]</f>
        <v>27789.477072310401</v>
      </c>
      <c r="W531" s="3">
        <f>+D.sign_Data[[#This Row],[COSTO 
DIRECTO ($COP)]]+D.sign_Data[[#This Row],[PRORRATEO GASTOS ($COP)]]</f>
        <v>55685.303252936319</v>
      </c>
      <c r="X531" s="101">
        <v>0.15</v>
      </c>
      <c r="Y531" s="15">
        <f>+D.sign_Data[[#This Row],[COSTOS OPERACIONALES ($COP)]]*D.sign_Data[[#This Row],[DESFASE (%)]]</f>
        <v>8352.7954879404479</v>
      </c>
      <c r="Z531" s="101">
        <v>0.3</v>
      </c>
      <c r="AA531" s="15">
        <f>+((D.sign_Data[[#This Row],[COSTOS OPERACIONALES ($COP)]]/(100%-D.sign_Data[[#This Row],[UTILIDAD (%)]])))-D.sign_Data[[#This Row],[COSTOS OPERACIONALES ($COP)]]</f>
        <v>23865.129965544147</v>
      </c>
      <c r="AB531" s="3">
        <f>+D.sign_Data[[#This Row],[COSTOS OPERACIONALES ($COP)]]+D.sign_Data[[#This Row],[DESFASE ($COP)]]+D.sign_Data[[#This Row],[UTILIDAD ($COP)]]</f>
        <v>87903.228706420923</v>
      </c>
      <c r="AC531" s="101">
        <v>0.05</v>
      </c>
      <c r="AD531" s="15">
        <f>+D.sign_Data[[#This Row],[VALOR NETO ($COP)]]/(100%-D.sign_Data[[#This Row],[MARGEN DE NEGOCIACIÓN (%)]])-D.sign_Data[[#This Row],[VALOR NETO ($COP)]]</f>
        <v>4626.485721390578</v>
      </c>
      <c r="AE531" s="15">
        <f>+(D.sign_Data[[#This Row],[VALOR NETO ($COP)]]+D.sign_Data[[#This Row],[NEGOCIACIÓN ($COP)]])*1%</f>
        <v>925.29714427811507</v>
      </c>
      <c r="AF531" s="15">
        <f>+(D.sign_Data[[#This Row],[VALOR NETO ($COP)]]+D.sign_Data[[#This Row],[NEGOCIACIÓN ($COP)]])*1%</f>
        <v>925.29714427811507</v>
      </c>
      <c r="AG531" s="3">
        <f>+D.sign_Data[[#This Row],[VALOR NETO ($COP)]]+D.sign_Data[[#This Row],[NEGOCIACIÓN ($COP)]]+D.sign_Data[[#This Row],[ICA ($COP)]]+D.sign_Data[[#This Row],[4 * 1000 ($COP)]]</f>
        <v>94380.308716367726</v>
      </c>
    </row>
    <row r="532" spans="1:33" ht="60" hidden="1" customHeight="1" x14ac:dyDescent="0.25">
      <c r="A532" s="14"/>
      <c r="B532" s="87" t="s">
        <v>493</v>
      </c>
      <c r="C532" s="182" t="s">
        <v>849</v>
      </c>
      <c r="D532" s="189" t="str">
        <f>VLOOKUP(D.sign_Data[[#This Row],[CÓDIGO]],Descripciones[[CÓDIGO]:[NOMBRE DE SERVICIO]],3,FALSE)</f>
        <v>D1. Parcelaciones y Condominios</v>
      </c>
      <c r="E532" s="87" t="s">
        <v>467</v>
      </c>
      <c r="F532" s="88" t="s">
        <v>850</v>
      </c>
      <c r="G532" s="88" t="s">
        <v>824</v>
      </c>
      <c r="H532" s="87" t="s">
        <v>448</v>
      </c>
      <c r="I532" s="89">
        <v>1</v>
      </c>
      <c r="J532" s="88" t="s">
        <v>840</v>
      </c>
      <c r="K532" s="102"/>
      <c r="L532" s="91" t="s">
        <v>842</v>
      </c>
      <c r="M532" s="89" t="s">
        <v>381</v>
      </c>
      <c r="N532" s="90">
        <v>0.5</v>
      </c>
      <c r="O532" s="27">
        <f>IFERROR(+VLOOKUP(M532,D.sign_Lista_Data[[RESPONSABLE]:[SOFTWARE 
VALOR HORA]],3,FALSE),"0")</f>
        <v>20263.424518743668</v>
      </c>
      <c r="P532" s="3">
        <f t="shared" si="18"/>
        <v>10131.712259371834</v>
      </c>
      <c r="Q532" s="11">
        <f>IFERROR(+VLOOKUP(M532,D.sign_Lista_Data[[RESPONSABLE]:[SOFTWARE 
VALOR HORA]],5,FALSE)*D.sign_Data[[#This Row],[TIEMPO (HORAS)]],0)</f>
        <v>2110.7733873691318</v>
      </c>
      <c r="R532" s="11">
        <f>IFERROR(+VLOOKUP(M532,D.sign_Lista_Data[[RESPONSABLE]:[SOFTWARE 
VALOR HORA]],8,FALSE)*D.sign_Data[[#This Row],[TIEMPO (HORAS)]],0)</f>
        <v>1705.4274435719917</v>
      </c>
      <c r="S532" s="99"/>
      <c r="T532" s="99"/>
      <c r="U532" s="3">
        <f t="shared" si="19"/>
        <v>13947.913090312959</v>
      </c>
      <c r="V532" s="100">
        <f>D.sign_Data[[#This Row],[TIEMPO (HORAS)]]*Gastos_Operativos[[#Totals],[GASTOS HORA]]</f>
        <v>13894.738536155201</v>
      </c>
      <c r="W532" s="3">
        <f>+D.sign_Data[[#This Row],[COSTO 
DIRECTO ($COP)]]+D.sign_Data[[#This Row],[PRORRATEO GASTOS ($COP)]]</f>
        <v>27842.65162646816</v>
      </c>
      <c r="X532" s="101">
        <v>0.15</v>
      </c>
      <c r="Y532" s="15">
        <f>+D.sign_Data[[#This Row],[COSTOS OPERACIONALES ($COP)]]*D.sign_Data[[#This Row],[DESFASE (%)]]</f>
        <v>4176.3977439702239</v>
      </c>
      <c r="Z532" s="101">
        <v>0.3</v>
      </c>
      <c r="AA532" s="15">
        <f>+((D.sign_Data[[#This Row],[COSTOS OPERACIONALES ($COP)]]/(100%-D.sign_Data[[#This Row],[UTILIDAD (%)]])))-D.sign_Data[[#This Row],[COSTOS OPERACIONALES ($COP)]]</f>
        <v>11932.564982772074</v>
      </c>
      <c r="AB532" s="3">
        <f>+D.sign_Data[[#This Row],[COSTOS OPERACIONALES ($COP)]]+D.sign_Data[[#This Row],[DESFASE ($COP)]]+D.sign_Data[[#This Row],[UTILIDAD ($COP)]]</f>
        <v>43951.614353210462</v>
      </c>
      <c r="AC532" s="101">
        <v>0.05</v>
      </c>
      <c r="AD532" s="15">
        <f>+D.sign_Data[[#This Row],[VALOR NETO ($COP)]]/(100%-D.sign_Data[[#This Row],[MARGEN DE NEGOCIACIÓN (%)]])-D.sign_Data[[#This Row],[VALOR NETO ($COP)]]</f>
        <v>2313.242860695289</v>
      </c>
      <c r="AE532" s="15">
        <f>+(D.sign_Data[[#This Row],[VALOR NETO ($COP)]]+D.sign_Data[[#This Row],[NEGOCIACIÓN ($COP)]])*1%</f>
        <v>462.64857213905753</v>
      </c>
      <c r="AF532" s="15">
        <f>+(D.sign_Data[[#This Row],[VALOR NETO ($COP)]]+D.sign_Data[[#This Row],[NEGOCIACIÓN ($COP)]])*1%</f>
        <v>462.64857213905753</v>
      </c>
      <c r="AG532" s="3">
        <f>+D.sign_Data[[#This Row],[VALOR NETO ($COP)]]+D.sign_Data[[#This Row],[NEGOCIACIÓN ($COP)]]+D.sign_Data[[#This Row],[ICA ($COP)]]+D.sign_Data[[#This Row],[4 * 1000 ($COP)]]</f>
        <v>47190.154358183863</v>
      </c>
    </row>
    <row r="533" spans="1:33" ht="60" hidden="1" customHeight="1" x14ac:dyDescent="0.25">
      <c r="A533" s="14"/>
      <c r="B533" s="87" t="s">
        <v>493</v>
      </c>
      <c r="C533" s="182" t="s">
        <v>849</v>
      </c>
      <c r="D533" s="189" t="str">
        <f>VLOOKUP(D.sign_Data[[#This Row],[CÓDIGO]],Descripciones[[CÓDIGO]:[NOMBRE DE SERVICIO]],3,FALSE)</f>
        <v>D1. Parcelaciones y Condominios</v>
      </c>
      <c r="E533" s="87" t="s">
        <v>467</v>
      </c>
      <c r="F533" s="88" t="s">
        <v>850</v>
      </c>
      <c r="G533" s="88" t="s">
        <v>824</v>
      </c>
      <c r="H533" s="87" t="s">
        <v>448</v>
      </c>
      <c r="I533" s="89">
        <v>1</v>
      </c>
      <c r="J533" s="88" t="s">
        <v>840</v>
      </c>
      <c r="K533" s="102"/>
      <c r="L533" s="91" t="s">
        <v>843</v>
      </c>
      <c r="M533" s="89" t="s">
        <v>381</v>
      </c>
      <c r="N533" s="90">
        <v>1</v>
      </c>
      <c r="O533" s="27">
        <f>IFERROR(+VLOOKUP(M533,D.sign_Lista_Data[[RESPONSABLE]:[SOFTWARE 
VALOR HORA]],3,FALSE),"0")</f>
        <v>20263.424518743668</v>
      </c>
      <c r="P533" s="3">
        <f t="shared" si="18"/>
        <v>20263.424518743668</v>
      </c>
      <c r="Q533" s="11">
        <f>IFERROR(+VLOOKUP(M533,D.sign_Lista_Data[[RESPONSABLE]:[SOFTWARE 
VALOR HORA]],5,FALSE)*D.sign_Data[[#This Row],[TIEMPO (HORAS)]],0)</f>
        <v>4221.5467747382636</v>
      </c>
      <c r="R533" s="11">
        <f>IFERROR(+VLOOKUP(M533,D.sign_Lista_Data[[RESPONSABLE]:[SOFTWARE 
VALOR HORA]],8,FALSE)*D.sign_Data[[#This Row],[TIEMPO (HORAS)]],0)</f>
        <v>3410.8548871439834</v>
      </c>
      <c r="S533" s="99"/>
      <c r="T533" s="99"/>
      <c r="U533" s="3">
        <f t="shared" si="19"/>
        <v>27895.826180625918</v>
      </c>
      <c r="V533" s="100">
        <f>D.sign_Data[[#This Row],[TIEMPO (HORAS)]]*Gastos_Operativos[[#Totals],[GASTOS HORA]]</f>
        <v>27789.477072310401</v>
      </c>
      <c r="W533" s="3">
        <f>+D.sign_Data[[#This Row],[COSTO 
DIRECTO ($COP)]]+D.sign_Data[[#This Row],[PRORRATEO GASTOS ($COP)]]</f>
        <v>55685.303252936319</v>
      </c>
      <c r="X533" s="101">
        <v>0.15</v>
      </c>
      <c r="Y533" s="15">
        <f>+D.sign_Data[[#This Row],[COSTOS OPERACIONALES ($COP)]]*D.sign_Data[[#This Row],[DESFASE (%)]]</f>
        <v>8352.7954879404479</v>
      </c>
      <c r="Z533" s="101">
        <v>0.3</v>
      </c>
      <c r="AA533" s="15">
        <f>+((D.sign_Data[[#This Row],[COSTOS OPERACIONALES ($COP)]]/(100%-D.sign_Data[[#This Row],[UTILIDAD (%)]])))-D.sign_Data[[#This Row],[COSTOS OPERACIONALES ($COP)]]</f>
        <v>23865.129965544147</v>
      </c>
      <c r="AB533" s="3">
        <f>+D.sign_Data[[#This Row],[COSTOS OPERACIONALES ($COP)]]+D.sign_Data[[#This Row],[DESFASE ($COP)]]+D.sign_Data[[#This Row],[UTILIDAD ($COP)]]</f>
        <v>87903.228706420923</v>
      </c>
      <c r="AC533" s="101">
        <v>0.05</v>
      </c>
      <c r="AD533" s="15">
        <f>+D.sign_Data[[#This Row],[VALOR NETO ($COP)]]/(100%-D.sign_Data[[#This Row],[MARGEN DE NEGOCIACIÓN (%)]])-D.sign_Data[[#This Row],[VALOR NETO ($COP)]]</f>
        <v>4626.485721390578</v>
      </c>
      <c r="AE533" s="15">
        <f>+(D.sign_Data[[#This Row],[VALOR NETO ($COP)]]+D.sign_Data[[#This Row],[NEGOCIACIÓN ($COP)]])*1%</f>
        <v>925.29714427811507</v>
      </c>
      <c r="AF533" s="15">
        <f>+(D.sign_Data[[#This Row],[VALOR NETO ($COP)]]+D.sign_Data[[#This Row],[NEGOCIACIÓN ($COP)]])*1%</f>
        <v>925.29714427811507</v>
      </c>
      <c r="AG533" s="3">
        <f>+D.sign_Data[[#This Row],[VALOR NETO ($COP)]]+D.sign_Data[[#This Row],[NEGOCIACIÓN ($COP)]]+D.sign_Data[[#This Row],[ICA ($COP)]]+D.sign_Data[[#This Row],[4 * 1000 ($COP)]]</f>
        <v>94380.308716367726</v>
      </c>
    </row>
    <row r="534" spans="1:33" ht="60" hidden="1" customHeight="1" x14ac:dyDescent="0.25">
      <c r="A534" s="14"/>
      <c r="B534" s="87" t="s">
        <v>493</v>
      </c>
      <c r="C534" s="182" t="s">
        <v>849</v>
      </c>
      <c r="D534" s="189" t="str">
        <f>VLOOKUP(D.sign_Data[[#This Row],[CÓDIGO]],Descripciones[[CÓDIGO]:[NOMBRE DE SERVICIO]],3,FALSE)</f>
        <v>D1. Parcelaciones y Condominios</v>
      </c>
      <c r="E534" s="87" t="s">
        <v>467</v>
      </c>
      <c r="F534" s="88" t="s">
        <v>850</v>
      </c>
      <c r="G534" s="88" t="s">
        <v>824</v>
      </c>
      <c r="H534" s="87" t="s">
        <v>448</v>
      </c>
      <c r="I534" s="89">
        <v>1</v>
      </c>
      <c r="J534" s="88" t="s">
        <v>840</v>
      </c>
      <c r="K534" s="102"/>
      <c r="L534" s="91" t="s">
        <v>844</v>
      </c>
      <c r="M534" s="89" t="s">
        <v>381</v>
      </c>
      <c r="N534" s="90">
        <v>0.5</v>
      </c>
      <c r="O534" s="27">
        <f>IFERROR(+VLOOKUP(M534,D.sign_Lista_Data[[RESPONSABLE]:[SOFTWARE 
VALOR HORA]],3,FALSE),"0")</f>
        <v>20263.424518743668</v>
      </c>
      <c r="P534" s="3">
        <f t="shared" si="18"/>
        <v>10131.712259371834</v>
      </c>
      <c r="Q534" s="11">
        <f>IFERROR(+VLOOKUP(M534,D.sign_Lista_Data[[RESPONSABLE]:[SOFTWARE 
VALOR HORA]],5,FALSE)*D.sign_Data[[#This Row],[TIEMPO (HORAS)]],0)</f>
        <v>2110.7733873691318</v>
      </c>
      <c r="R534" s="11">
        <f>IFERROR(+VLOOKUP(M534,D.sign_Lista_Data[[RESPONSABLE]:[SOFTWARE 
VALOR HORA]],8,FALSE)*D.sign_Data[[#This Row],[TIEMPO (HORAS)]],0)</f>
        <v>1705.4274435719917</v>
      </c>
      <c r="S534" s="99"/>
      <c r="T534" s="99"/>
      <c r="U534" s="3">
        <f t="shared" si="19"/>
        <v>13947.913090312959</v>
      </c>
      <c r="V534" s="100">
        <f>D.sign_Data[[#This Row],[TIEMPO (HORAS)]]*Gastos_Operativos[[#Totals],[GASTOS HORA]]</f>
        <v>13894.738536155201</v>
      </c>
      <c r="W534" s="3">
        <f>+D.sign_Data[[#This Row],[COSTO 
DIRECTO ($COP)]]+D.sign_Data[[#This Row],[PRORRATEO GASTOS ($COP)]]</f>
        <v>27842.65162646816</v>
      </c>
      <c r="X534" s="101">
        <v>0.15</v>
      </c>
      <c r="Y534" s="15">
        <f>+D.sign_Data[[#This Row],[COSTOS OPERACIONALES ($COP)]]*D.sign_Data[[#This Row],[DESFASE (%)]]</f>
        <v>4176.3977439702239</v>
      </c>
      <c r="Z534" s="101">
        <v>0.3</v>
      </c>
      <c r="AA534" s="15">
        <f>+((D.sign_Data[[#This Row],[COSTOS OPERACIONALES ($COP)]]/(100%-D.sign_Data[[#This Row],[UTILIDAD (%)]])))-D.sign_Data[[#This Row],[COSTOS OPERACIONALES ($COP)]]</f>
        <v>11932.564982772074</v>
      </c>
      <c r="AB534" s="3">
        <f>+D.sign_Data[[#This Row],[COSTOS OPERACIONALES ($COP)]]+D.sign_Data[[#This Row],[DESFASE ($COP)]]+D.sign_Data[[#This Row],[UTILIDAD ($COP)]]</f>
        <v>43951.614353210462</v>
      </c>
      <c r="AC534" s="101">
        <v>0.05</v>
      </c>
      <c r="AD534" s="15">
        <f>+D.sign_Data[[#This Row],[VALOR NETO ($COP)]]/(100%-D.sign_Data[[#This Row],[MARGEN DE NEGOCIACIÓN (%)]])-D.sign_Data[[#This Row],[VALOR NETO ($COP)]]</f>
        <v>2313.242860695289</v>
      </c>
      <c r="AE534" s="15">
        <f>+(D.sign_Data[[#This Row],[VALOR NETO ($COP)]]+D.sign_Data[[#This Row],[NEGOCIACIÓN ($COP)]])*1%</f>
        <v>462.64857213905753</v>
      </c>
      <c r="AF534" s="15">
        <f>+(D.sign_Data[[#This Row],[VALOR NETO ($COP)]]+D.sign_Data[[#This Row],[NEGOCIACIÓN ($COP)]])*1%</f>
        <v>462.64857213905753</v>
      </c>
      <c r="AG534" s="3">
        <f>+D.sign_Data[[#This Row],[VALOR NETO ($COP)]]+D.sign_Data[[#This Row],[NEGOCIACIÓN ($COP)]]+D.sign_Data[[#This Row],[ICA ($COP)]]+D.sign_Data[[#This Row],[4 * 1000 ($COP)]]</f>
        <v>47190.154358183863</v>
      </c>
    </row>
    <row r="535" spans="1:33" ht="60" hidden="1" customHeight="1" x14ac:dyDescent="0.25">
      <c r="A535" s="14"/>
      <c r="B535" s="87" t="s">
        <v>493</v>
      </c>
      <c r="C535" s="182" t="s">
        <v>849</v>
      </c>
      <c r="D535" s="189" t="str">
        <f>VLOOKUP(D.sign_Data[[#This Row],[CÓDIGO]],Descripciones[[CÓDIGO]:[NOMBRE DE SERVICIO]],3,FALSE)</f>
        <v>D1. Parcelaciones y Condominios</v>
      </c>
      <c r="E535" s="87" t="s">
        <v>467</v>
      </c>
      <c r="F535" s="88" t="s">
        <v>850</v>
      </c>
      <c r="G535" s="88" t="s">
        <v>824</v>
      </c>
      <c r="H535" s="87" t="s">
        <v>448</v>
      </c>
      <c r="I535" s="89">
        <v>1</v>
      </c>
      <c r="J535" s="88" t="s">
        <v>840</v>
      </c>
      <c r="K535" s="102"/>
      <c r="L535" s="91" t="s">
        <v>743</v>
      </c>
      <c r="M535" s="89" t="s">
        <v>381</v>
      </c>
      <c r="N535" s="90">
        <v>1</v>
      </c>
      <c r="O535" s="27">
        <f>IFERROR(+VLOOKUP(M535,D.sign_Lista_Data[[RESPONSABLE]:[SOFTWARE 
VALOR HORA]],3,FALSE),"0")</f>
        <v>20263.424518743668</v>
      </c>
      <c r="P535" s="3">
        <f t="shared" si="18"/>
        <v>20263.424518743668</v>
      </c>
      <c r="Q535" s="11">
        <f>IFERROR(+VLOOKUP(M535,D.sign_Lista_Data[[RESPONSABLE]:[SOFTWARE 
VALOR HORA]],5,FALSE)*D.sign_Data[[#This Row],[TIEMPO (HORAS)]],0)</f>
        <v>4221.5467747382636</v>
      </c>
      <c r="R535" s="11">
        <f>IFERROR(+VLOOKUP(M535,D.sign_Lista_Data[[RESPONSABLE]:[SOFTWARE 
VALOR HORA]],8,FALSE)*D.sign_Data[[#This Row],[TIEMPO (HORAS)]],0)</f>
        <v>3410.8548871439834</v>
      </c>
      <c r="S535" s="99"/>
      <c r="T535" s="99"/>
      <c r="U535" s="3">
        <f t="shared" si="19"/>
        <v>27895.826180625918</v>
      </c>
      <c r="V535" s="100">
        <f>D.sign_Data[[#This Row],[TIEMPO (HORAS)]]*Gastos_Operativos[[#Totals],[GASTOS HORA]]</f>
        <v>27789.477072310401</v>
      </c>
      <c r="W535" s="3">
        <f>+D.sign_Data[[#This Row],[COSTO 
DIRECTO ($COP)]]+D.sign_Data[[#This Row],[PRORRATEO GASTOS ($COP)]]</f>
        <v>55685.303252936319</v>
      </c>
      <c r="X535" s="101">
        <v>0.15</v>
      </c>
      <c r="Y535" s="15">
        <f>+D.sign_Data[[#This Row],[COSTOS OPERACIONALES ($COP)]]*D.sign_Data[[#This Row],[DESFASE (%)]]</f>
        <v>8352.7954879404479</v>
      </c>
      <c r="Z535" s="101">
        <v>0.3</v>
      </c>
      <c r="AA535" s="15">
        <f>+((D.sign_Data[[#This Row],[COSTOS OPERACIONALES ($COP)]]/(100%-D.sign_Data[[#This Row],[UTILIDAD (%)]])))-D.sign_Data[[#This Row],[COSTOS OPERACIONALES ($COP)]]</f>
        <v>23865.129965544147</v>
      </c>
      <c r="AB535" s="3">
        <f>+D.sign_Data[[#This Row],[COSTOS OPERACIONALES ($COP)]]+D.sign_Data[[#This Row],[DESFASE ($COP)]]+D.sign_Data[[#This Row],[UTILIDAD ($COP)]]</f>
        <v>87903.228706420923</v>
      </c>
      <c r="AC535" s="101">
        <v>0.05</v>
      </c>
      <c r="AD535" s="15">
        <f>+D.sign_Data[[#This Row],[VALOR NETO ($COP)]]/(100%-D.sign_Data[[#This Row],[MARGEN DE NEGOCIACIÓN (%)]])-D.sign_Data[[#This Row],[VALOR NETO ($COP)]]</f>
        <v>4626.485721390578</v>
      </c>
      <c r="AE535" s="15">
        <f>+(D.sign_Data[[#This Row],[VALOR NETO ($COP)]]+D.sign_Data[[#This Row],[NEGOCIACIÓN ($COP)]])*1%</f>
        <v>925.29714427811507</v>
      </c>
      <c r="AF535" s="15">
        <f>+(D.sign_Data[[#This Row],[VALOR NETO ($COP)]]+D.sign_Data[[#This Row],[NEGOCIACIÓN ($COP)]])*1%</f>
        <v>925.29714427811507</v>
      </c>
      <c r="AG535" s="3">
        <f>+D.sign_Data[[#This Row],[VALOR NETO ($COP)]]+D.sign_Data[[#This Row],[NEGOCIACIÓN ($COP)]]+D.sign_Data[[#This Row],[ICA ($COP)]]+D.sign_Data[[#This Row],[4 * 1000 ($COP)]]</f>
        <v>94380.308716367726</v>
      </c>
    </row>
    <row r="536" spans="1:33" ht="60" hidden="1" customHeight="1" x14ac:dyDescent="0.25">
      <c r="A536" s="14"/>
      <c r="B536" s="87" t="s">
        <v>442</v>
      </c>
      <c r="C536" s="182" t="s">
        <v>822</v>
      </c>
      <c r="D536" s="189" t="str">
        <f>VLOOKUP(D.sign_Data[[#This Row],[CÓDIGO]],Descripciones[[CÓDIGO]:[NOMBRE DE SERVICIO]],3,FALSE)</f>
        <v>D1. Parcelaciones y Condominios</v>
      </c>
      <c r="E536" s="87" t="s">
        <v>467</v>
      </c>
      <c r="F536" s="88" t="s">
        <v>823</v>
      </c>
      <c r="G536" s="88" t="s">
        <v>824</v>
      </c>
      <c r="H536" s="87" t="s">
        <v>448</v>
      </c>
      <c r="I536" s="89">
        <v>1</v>
      </c>
      <c r="J536" s="88" t="s">
        <v>649</v>
      </c>
      <c r="K536" s="102"/>
      <c r="L536" s="91" t="s">
        <v>653</v>
      </c>
      <c r="M536" s="89" t="s">
        <v>381</v>
      </c>
      <c r="N536" s="90">
        <v>0.6</v>
      </c>
      <c r="O536" s="27">
        <f>IFERROR(+VLOOKUP(M536,D.sign_Lista_Data[[RESPONSABLE]:[SOFTWARE 
VALOR HORA]],3,FALSE),"0")</f>
        <v>20263.424518743668</v>
      </c>
      <c r="P536" s="3">
        <f t="shared" si="16"/>
        <v>12158.054711246201</v>
      </c>
      <c r="Q536" s="11">
        <f>IFERROR(+VLOOKUP(M536,D.sign_Lista_Data[[RESPONSABLE]:[SOFTWARE 
VALOR HORA]],5,FALSE)*D.sign_Data[[#This Row],[TIEMPO (HORAS)]],0)</f>
        <v>2532.9280648429581</v>
      </c>
      <c r="R536" s="42">
        <f>IFERROR(+VLOOKUP(M536,D.sign_Lista_Data[[RESPONSABLE]:[SOFTWARE 
VALOR HORA]],8,FALSE)*D.sign_Data[[#This Row],[TIEMPO (HORAS)]],0)</f>
        <v>2046.51293228639</v>
      </c>
      <c r="S536" s="99">
        <v>0</v>
      </c>
      <c r="T536" s="99">
        <v>0</v>
      </c>
      <c r="U536" s="3">
        <f t="shared" si="17"/>
        <v>16737.495708375547</v>
      </c>
      <c r="V536" s="100">
        <f>D.sign_Data[[#This Row],[TIEMPO (HORAS)]]*Gastos_Operativos[[#Totals],[GASTOS HORA]]</f>
        <v>16673.686243386241</v>
      </c>
      <c r="W536" s="3">
        <f>+D.sign_Data[[#This Row],[COSTO 
DIRECTO ($COP)]]+D.sign_Data[[#This Row],[PRORRATEO GASTOS ($COP)]]</f>
        <v>33411.181951761784</v>
      </c>
      <c r="X536" s="101">
        <v>0.1</v>
      </c>
      <c r="Y536" s="15">
        <f>+D.sign_Data[[#This Row],[COSTOS OPERACIONALES ($COP)]]*D.sign_Data[[#This Row],[DESFASE (%)]]</f>
        <v>3341.1181951761787</v>
      </c>
      <c r="Z536" s="101">
        <v>0.2</v>
      </c>
      <c r="AA536" s="15">
        <f>+((D.sign_Data[[#This Row],[COSTOS OPERACIONALES ($COP)]]/(100%-D.sign_Data[[#This Row],[UTILIDAD (%)]])))-D.sign_Data[[#This Row],[COSTOS OPERACIONALES ($COP)]]</f>
        <v>8352.7954879404424</v>
      </c>
      <c r="AB536" s="3">
        <f>+D.sign_Data[[#This Row],[COSTOS OPERACIONALES ($COP)]]+D.sign_Data[[#This Row],[DESFASE ($COP)]]+D.sign_Data[[#This Row],[UTILIDAD ($COP)]]</f>
        <v>45105.095634878402</v>
      </c>
      <c r="AC536" s="101">
        <v>0.05</v>
      </c>
      <c r="AD536" s="15">
        <f>+D.sign_Data[[#This Row],[VALOR NETO ($COP)]]/(100%-D.sign_Data[[#This Row],[MARGEN DE NEGOCIACIÓN (%)]])-D.sign_Data[[#This Row],[VALOR NETO ($COP)]]</f>
        <v>2373.9524018357042</v>
      </c>
      <c r="AE536" s="15">
        <f>+(D.sign_Data[[#This Row],[VALOR NETO ($COP)]]+D.sign_Data[[#This Row],[NEGOCIACIÓN ($COP)]])*1%</f>
        <v>474.79048036714107</v>
      </c>
      <c r="AF536" s="15">
        <f>+(D.sign_Data[[#This Row],[VALOR NETO ($COP)]]+D.sign_Data[[#This Row],[NEGOCIACIÓN ($COP)]])*1%</f>
        <v>474.79048036714107</v>
      </c>
      <c r="AG536" s="3">
        <f>+D.sign_Data[[#This Row],[VALOR NETO ($COP)]]+D.sign_Data[[#This Row],[NEGOCIACIÓN ($COP)]]+D.sign_Data[[#This Row],[ICA ($COP)]]+D.sign_Data[[#This Row],[4 * 1000 ($COP)]]</f>
        <v>48428.628997448388</v>
      </c>
    </row>
    <row r="537" spans="1:33" ht="60" hidden="1" customHeight="1" x14ac:dyDescent="0.25">
      <c r="A537" s="14"/>
      <c r="B537" s="87" t="s">
        <v>442</v>
      </c>
      <c r="C537" s="182" t="s">
        <v>822</v>
      </c>
      <c r="D537" s="189" t="str">
        <f>VLOOKUP(D.sign_Data[[#This Row],[CÓDIGO]],Descripciones[[CÓDIGO]:[NOMBRE DE SERVICIO]],3,FALSE)</f>
        <v>D1. Parcelaciones y Condominios</v>
      </c>
      <c r="E537" s="87" t="s">
        <v>467</v>
      </c>
      <c r="F537" s="88" t="s">
        <v>823</v>
      </c>
      <c r="G537" s="88" t="s">
        <v>824</v>
      </c>
      <c r="H537" s="87" t="s">
        <v>448</v>
      </c>
      <c r="I537" s="89">
        <v>1</v>
      </c>
      <c r="J537" s="88" t="s">
        <v>649</v>
      </c>
      <c r="K537" s="102"/>
      <c r="L537" s="91" t="s">
        <v>654</v>
      </c>
      <c r="M537" s="89" t="s">
        <v>381</v>
      </c>
      <c r="N537" s="90">
        <v>0.6</v>
      </c>
      <c r="O537" s="27">
        <f>IFERROR(+VLOOKUP(M537,D.sign_Lista_Data[[RESPONSABLE]:[SOFTWARE 
VALOR HORA]],3,FALSE),"0")</f>
        <v>20263.424518743668</v>
      </c>
      <c r="P537" s="3">
        <f t="shared" si="16"/>
        <v>12158.054711246201</v>
      </c>
      <c r="Q537" s="11">
        <f>IFERROR(+VLOOKUP(M537,D.sign_Lista_Data[[RESPONSABLE]:[SOFTWARE 
VALOR HORA]],5,FALSE)*D.sign_Data[[#This Row],[TIEMPO (HORAS)]],0)</f>
        <v>2532.9280648429581</v>
      </c>
      <c r="R537" s="42">
        <f>IFERROR(+VLOOKUP(M537,D.sign_Lista_Data[[RESPONSABLE]:[SOFTWARE 
VALOR HORA]],8,FALSE)*D.sign_Data[[#This Row],[TIEMPO (HORAS)]],0)</f>
        <v>2046.51293228639</v>
      </c>
      <c r="S537" s="99">
        <v>0</v>
      </c>
      <c r="T537" s="99">
        <v>0</v>
      </c>
      <c r="U537" s="3">
        <f t="shared" si="17"/>
        <v>16737.495708375547</v>
      </c>
      <c r="V537" s="100">
        <f>D.sign_Data[[#This Row],[TIEMPO (HORAS)]]*Gastos_Operativos[[#Totals],[GASTOS HORA]]</f>
        <v>16673.686243386241</v>
      </c>
      <c r="W537" s="3">
        <f>+D.sign_Data[[#This Row],[COSTO 
DIRECTO ($COP)]]+D.sign_Data[[#This Row],[PRORRATEO GASTOS ($COP)]]</f>
        <v>33411.181951761784</v>
      </c>
      <c r="X537" s="101">
        <v>0.1</v>
      </c>
      <c r="Y537" s="15">
        <f>+D.sign_Data[[#This Row],[COSTOS OPERACIONALES ($COP)]]*D.sign_Data[[#This Row],[DESFASE (%)]]</f>
        <v>3341.1181951761787</v>
      </c>
      <c r="Z537" s="101">
        <v>0.2</v>
      </c>
      <c r="AA537" s="15">
        <f>+((D.sign_Data[[#This Row],[COSTOS OPERACIONALES ($COP)]]/(100%-D.sign_Data[[#This Row],[UTILIDAD (%)]])))-D.sign_Data[[#This Row],[COSTOS OPERACIONALES ($COP)]]</f>
        <v>8352.7954879404424</v>
      </c>
      <c r="AB537" s="3">
        <f>+D.sign_Data[[#This Row],[COSTOS OPERACIONALES ($COP)]]+D.sign_Data[[#This Row],[DESFASE ($COP)]]+D.sign_Data[[#This Row],[UTILIDAD ($COP)]]</f>
        <v>45105.095634878402</v>
      </c>
      <c r="AC537" s="101">
        <v>0.05</v>
      </c>
      <c r="AD537" s="15">
        <f>+D.sign_Data[[#This Row],[VALOR NETO ($COP)]]/(100%-D.sign_Data[[#This Row],[MARGEN DE NEGOCIACIÓN (%)]])-D.sign_Data[[#This Row],[VALOR NETO ($COP)]]</f>
        <v>2373.9524018357042</v>
      </c>
      <c r="AE537" s="15">
        <f>+(D.sign_Data[[#This Row],[VALOR NETO ($COP)]]+D.sign_Data[[#This Row],[NEGOCIACIÓN ($COP)]])*1%</f>
        <v>474.79048036714107</v>
      </c>
      <c r="AF537" s="15">
        <f>+(D.sign_Data[[#This Row],[VALOR NETO ($COP)]]+D.sign_Data[[#This Row],[NEGOCIACIÓN ($COP)]])*1%</f>
        <v>474.79048036714107</v>
      </c>
      <c r="AG537" s="3">
        <f>+D.sign_Data[[#This Row],[VALOR NETO ($COP)]]+D.sign_Data[[#This Row],[NEGOCIACIÓN ($COP)]]+D.sign_Data[[#This Row],[ICA ($COP)]]+D.sign_Data[[#This Row],[4 * 1000 ($COP)]]</f>
        <v>48428.628997448388</v>
      </c>
    </row>
    <row r="538" spans="1:33" ht="60" hidden="1" customHeight="1" x14ac:dyDescent="0.25">
      <c r="A538" s="14"/>
      <c r="B538" s="87" t="s">
        <v>442</v>
      </c>
      <c r="C538" s="182" t="s">
        <v>822</v>
      </c>
      <c r="D538" s="189" t="str">
        <f>VLOOKUP(D.sign_Data[[#This Row],[CÓDIGO]],Descripciones[[CÓDIGO]:[NOMBRE DE SERVICIO]],3,FALSE)</f>
        <v>D1. Parcelaciones y Condominios</v>
      </c>
      <c r="E538" s="87" t="s">
        <v>467</v>
      </c>
      <c r="F538" s="88" t="s">
        <v>823</v>
      </c>
      <c r="G538" s="88" t="s">
        <v>824</v>
      </c>
      <c r="H538" s="87" t="s">
        <v>448</v>
      </c>
      <c r="I538" s="89">
        <v>1</v>
      </c>
      <c r="J538" s="88" t="s">
        <v>649</v>
      </c>
      <c r="K538" s="102"/>
      <c r="L538" s="91" t="s">
        <v>848</v>
      </c>
      <c r="M538" s="89" t="s">
        <v>381</v>
      </c>
      <c r="N538" s="90">
        <v>0.6</v>
      </c>
      <c r="O538" s="27">
        <f>IFERROR(+VLOOKUP(M538,D.sign_Lista_Data[[RESPONSABLE]:[SOFTWARE 
VALOR HORA]],3,FALSE),"0")</f>
        <v>20263.424518743668</v>
      </c>
      <c r="P538" s="3">
        <f t="shared" si="16"/>
        <v>12158.054711246201</v>
      </c>
      <c r="Q538" s="11">
        <f>IFERROR(+VLOOKUP(M538,D.sign_Lista_Data[[RESPONSABLE]:[SOFTWARE 
VALOR HORA]],5,FALSE)*D.sign_Data[[#This Row],[TIEMPO (HORAS)]],0)</f>
        <v>2532.9280648429581</v>
      </c>
      <c r="R538" s="42">
        <f>IFERROR(+VLOOKUP(M538,D.sign_Lista_Data[[RESPONSABLE]:[SOFTWARE 
VALOR HORA]],8,FALSE)*D.sign_Data[[#This Row],[TIEMPO (HORAS)]],0)</f>
        <v>2046.51293228639</v>
      </c>
      <c r="S538" s="99">
        <v>0</v>
      </c>
      <c r="T538" s="99">
        <v>0</v>
      </c>
      <c r="U538" s="3">
        <f t="shared" si="17"/>
        <v>16737.495708375547</v>
      </c>
      <c r="V538" s="100">
        <f>D.sign_Data[[#This Row],[TIEMPO (HORAS)]]*Gastos_Operativos[[#Totals],[GASTOS HORA]]</f>
        <v>16673.686243386241</v>
      </c>
      <c r="W538" s="3">
        <f>+D.sign_Data[[#This Row],[COSTO 
DIRECTO ($COP)]]+D.sign_Data[[#This Row],[PRORRATEO GASTOS ($COP)]]</f>
        <v>33411.181951761784</v>
      </c>
      <c r="X538" s="101">
        <v>0.1</v>
      </c>
      <c r="Y538" s="15">
        <f>+D.sign_Data[[#This Row],[COSTOS OPERACIONALES ($COP)]]*D.sign_Data[[#This Row],[DESFASE (%)]]</f>
        <v>3341.1181951761787</v>
      </c>
      <c r="Z538" s="101">
        <v>0.2</v>
      </c>
      <c r="AA538" s="15">
        <f>+((D.sign_Data[[#This Row],[COSTOS OPERACIONALES ($COP)]]/(100%-D.sign_Data[[#This Row],[UTILIDAD (%)]])))-D.sign_Data[[#This Row],[COSTOS OPERACIONALES ($COP)]]</f>
        <v>8352.7954879404424</v>
      </c>
      <c r="AB538" s="3">
        <f>+D.sign_Data[[#This Row],[COSTOS OPERACIONALES ($COP)]]+D.sign_Data[[#This Row],[DESFASE ($COP)]]+D.sign_Data[[#This Row],[UTILIDAD ($COP)]]</f>
        <v>45105.095634878402</v>
      </c>
      <c r="AC538" s="101">
        <v>0.05</v>
      </c>
      <c r="AD538" s="15">
        <f>+D.sign_Data[[#This Row],[VALOR NETO ($COP)]]/(100%-D.sign_Data[[#This Row],[MARGEN DE NEGOCIACIÓN (%)]])-D.sign_Data[[#This Row],[VALOR NETO ($COP)]]</f>
        <v>2373.9524018357042</v>
      </c>
      <c r="AE538" s="15">
        <f>+(D.sign_Data[[#This Row],[VALOR NETO ($COP)]]+D.sign_Data[[#This Row],[NEGOCIACIÓN ($COP)]])*1%</f>
        <v>474.79048036714107</v>
      </c>
      <c r="AF538" s="15">
        <f>+(D.sign_Data[[#This Row],[VALOR NETO ($COP)]]+D.sign_Data[[#This Row],[NEGOCIACIÓN ($COP)]])*1%</f>
        <v>474.79048036714107</v>
      </c>
      <c r="AG538" s="3">
        <f>+D.sign_Data[[#This Row],[VALOR NETO ($COP)]]+D.sign_Data[[#This Row],[NEGOCIACIÓN ($COP)]]+D.sign_Data[[#This Row],[ICA ($COP)]]+D.sign_Data[[#This Row],[4 * 1000 ($COP)]]</f>
        <v>48428.628997448388</v>
      </c>
    </row>
    <row r="539" spans="1:33" ht="60" hidden="1" customHeight="1" x14ac:dyDescent="0.25">
      <c r="A539" s="14"/>
      <c r="B539" s="87" t="s">
        <v>442</v>
      </c>
      <c r="C539" s="182" t="s">
        <v>852</v>
      </c>
      <c r="D539" s="189" t="str">
        <f>VLOOKUP(D.sign_Data[[#This Row],[CÓDIGO]],Descripciones[[CÓDIGO]:[NOMBRE DE SERVICIO]],3,FALSE)</f>
        <v>D1. Parcelaciones y Condominios</v>
      </c>
      <c r="E539" s="87" t="s">
        <v>497</v>
      </c>
      <c r="F539" s="88" t="s">
        <v>853</v>
      </c>
      <c r="G539" s="88" t="s">
        <v>536</v>
      </c>
      <c r="H539" s="87" t="s">
        <v>500</v>
      </c>
      <c r="I539" s="89">
        <v>1</v>
      </c>
      <c r="J539" s="88" t="s">
        <v>854</v>
      </c>
      <c r="K539" s="102"/>
      <c r="L539" s="88" t="s">
        <v>829</v>
      </c>
      <c r="M539" s="89" t="s">
        <v>381</v>
      </c>
      <c r="N539" s="90">
        <v>5</v>
      </c>
      <c r="O539" s="27">
        <f>IFERROR(+VLOOKUP(M539,D.sign_Lista_Data[[RESPONSABLE]:[SOFTWARE 
VALOR HORA]],3,FALSE),"0")</f>
        <v>20263.424518743668</v>
      </c>
      <c r="P539" s="3">
        <f t="shared" si="16"/>
        <v>101317.12259371835</v>
      </c>
      <c r="Q539" s="11">
        <f>IFERROR(+VLOOKUP(M539,D.sign_Lista_Data[[RESPONSABLE]:[SOFTWARE 
VALOR HORA]],5,FALSE)*D.sign_Data[[#This Row],[TIEMPO (HORAS)]],0)</f>
        <v>21107.733873691319</v>
      </c>
      <c r="R539" s="42">
        <f>IFERROR(+VLOOKUP(M539,D.sign_Lista_Data[[RESPONSABLE]:[SOFTWARE 
VALOR HORA]],8,FALSE)*D.sign_Data[[#This Row],[TIEMPO (HORAS)]],0)</f>
        <v>17054.274435719919</v>
      </c>
      <c r="S539" s="99">
        <v>0</v>
      </c>
      <c r="T539" s="99">
        <v>0</v>
      </c>
      <c r="U539" s="3">
        <f t="shared" si="17"/>
        <v>139479.13090312958</v>
      </c>
      <c r="V539" s="100">
        <f>D.sign_Data[[#This Row],[TIEMPO (HORAS)]]*Gastos_Operativos[[#Totals],[GASTOS HORA]]</f>
        <v>138947.38536155201</v>
      </c>
      <c r="W539" s="3">
        <f>+D.sign_Data[[#This Row],[COSTO 
DIRECTO ($COP)]]+D.sign_Data[[#This Row],[PRORRATEO GASTOS ($COP)]]</f>
        <v>278426.51626468159</v>
      </c>
      <c r="X539" s="101">
        <v>0.05</v>
      </c>
      <c r="Y539" s="15">
        <f>+D.sign_Data[[#This Row],[COSTOS OPERACIONALES ($COP)]]*D.sign_Data[[#This Row],[DESFASE (%)]]</f>
        <v>13921.32581323408</v>
      </c>
      <c r="Z539" s="101">
        <v>0.2</v>
      </c>
      <c r="AA539" s="15">
        <f>+((D.sign_Data[[#This Row],[COSTOS OPERACIONALES ($COP)]]/(100%-D.sign_Data[[#This Row],[UTILIDAD (%)]])))-D.sign_Data[[#This Row],[COSTOS OPERACIONALES ($COP)]]</f>
        <v>69606.629066170368</v>
      </c>
      <c r="AB539" s="3">
        <f>+D.sign_Data[[#This Row],[COSTOS OPERACIONALES ($COP)]]+D.sign_Data[[#This Row],[DESFASE ($COP)]]+D.sign_Data[[#This Row],[UTILIDAD ($COP)]]</f>
        <v>361954.47114408604</v>
      </c>
      <c r="AC539" s="101">
        <v>0.05</v>
      </c>
      <c r="AD539" s="15">
        <f>+D.sign_Data[[#This Row],[VALOR NETO ($COP)]]/(100%-D.sign_Data[[#This Row],[MARGEN DE NEGOCIACIÓN (%)]])-D.sign_Data[[#This Row],[VALOR NETO ($COP)]]</f>
        <v>19050.235323372995</v>
      </c>
      <c r="AE539" s="15">
        <f>+(D.sign_Data[[#This Row],[VALOR NETO ($COP)]]+D.sign_Data[[#This Row],[NEGOCIACIÓN ($COP)]])*1%</f>
        <v>3810.0470646745903</v>
      </c>
      <c r="AF539" s="15">
        <f>+(D.sign_Data[[#This Row],[VALOR NETO ($COP)]]+D.sign_Data[[#This Row],[NEGOCIACIÓN ($COP)]])*1%</f>
        <v>3810.0470646745903</v>
      </c>
      <c r="AG539" s="3">
        <f>+D.sign_Data[[#This Row],[VALOR NETO ($COP)]]+D.sign_Data[[#This Row],[NEGOCIACIÓN ($COP)]]+D.sign_Data[[#This Row],[ICA ($COP)]]+D.sign_Data[[#This Row],[4 * 1000 ($COP)]]</f>
        <v>388624.80059680826</v>
      </c>
    </row>
    <row r="540" spans="1:33" ht="60" hidden="1" customHeight="1" x14ac:dyDescent="0.25">
      <c r="A540" s="14"/>
      <c r="B540" s="87" t="s">
        <v>442</v>
      </c>
      <c r="C540" s="182" t="s">
        <v>852</v>
      </c>
      <c r="D540" s="189" t="str">
        <f>VLOOKUP(D.sign_Data[[#This Row],[CÓDIGO]],Descripciones[[CÓDIGO]:[NOMBRE DE SERVICIO]],3,FALSE)</f>
        <v>D1. Parcelaciones y Condominios</v>
      </c>
      <c r="E540" s="87" t="s">
        <v>497</v>
      </c>
      <c r="F540" s="88" t="s">
        <v>853</v>
      </c>
      <c r="G540" s="88" t="s">
        <v>536</v>
      </c>
      <c r="H540" s="87" t="s">
        <v>500</v>
      </c>
      <c r="I540" s="89">
        <v>1</v>
      </c>
      <c r="J540" s="88" t="s">
        <v>854</v>
      </c>
      <c r="K540" s="102"/>
      <c r="L540" s="88" t="s">
        <v>830</v>
      </c>
      <c r="M540" s="89" t="s">
        <v>381</v>
      </c>
      <c r="N540" s="90">
        <v>1</v>
      </c>
      <c r="O540" s="27">
        <f>IFERROR(+VLOOKUP(M540,D.sign_Lista_Data[[RESPONSABLE]:[SOFTWARE 
VALOR HORA]],3,FALSE),"0")</f>
        <v>20263.424518743668</v>
      </c>
      <c r="P540" s="3">
        <f t="shared" si="16"/>
        <v>20263.424518743668</v>
      </c>
      <c r="Q540" s="11">
        <f>IFERROR(+VLOOKUP(M540,D.sign_Lista_Data[[RESPONSABLE]:[SOFTWARE 
VALOR HORA]],5,FALSE)*D.sign_Data[[#This Row],[TIEMPO (HORAS)]],0)</f>
        <v>4221.5467747382636</v>
      </c>
      <c r="R540" s="42">
        <f>IFERROR(+VLOOKUP(M540,D.sign_Lista_Data[[RESPONSABLE]:[SOFTWARE 
VALOR HORA]],8,FALSE)*D.sign_Data[[#This Row],[TIEMPO (HORAS)]],0)</f>
        <v>3410.8548871439834</v>
      </c>
      <c r="S540" s="99">
        <v>0</v>
      </c>
      <c r="T540" s="99">
        <v>0</v>
      </c>
      <c r="U540" s="3">
        <f t="shared" si="17"/>
        <v>27895.826180625918</v>
      </c>
      <c r="V540" s="100">
        <f>D.sign_Data[[#This Row],[TIEMPO (HORAS)]]*Gastos_Operativos[[#Totals],[GASTOS HORA]]</f>
        <v>27789.477072310401</v>
      </c>
      <c r="W540" s="3">
        <f>+D.sign_Data[[#This Row],[COSTO 
DIRECTO ($COP)]]+D.sign_Data[[#This Row],[PRORRATEO GASTOS ($COP)]]</f>
        <v>55685.303252936319</v>
      </c>
      <c r="X540" s="101">
        <v>0.05</v>
      </c>
      <c r="Y540" s="15">
        <f>+D.sign_Data[[#This Row],[COSTOS OPERACIONALES ($COP)]]*D.sign_Data[[#This Row],[DESFASE (%)]]</f>
        <v>2784.265162646816</v>
      </c>
      <c r="Z540" s="101">
        <v>0.2</v>
      </c>
      <c r="AA540" s="15">
        <f>+((D.sign_Data[[#This Row],[COSTOS OPERACIONALES ($COP)]]/(100%-D.sign_Data[[#This Row],[UTILIDAD (%)]])))-D.sign_Data[[#This Row],[COSTOS OPERACIONALES ($COP)]]</f>
        <v>13921.325813234078</v>
      </c>
      <c r="AB540" s="3">
        <f>+D.sign_Data[[#This Row],[COSTOS OPERACIONALES ($COP)]]+D.sign_Data[[#This Row],[DESFASE ($COP)]]+D.sign_Data[[#This Row],[UTILIDAD ($COP)]]</f>
        <v>72390.894228817211</v>
      </c>
      <c r="AC540" s="101">
        <v>0.05</v>
      </c>
      <c r="AD540" s="15">
        <f>+D.sign_Data[[#This Row],[VALOR NETO ($COP)]]/(100%-D.sign_Data[[#This Row],[MARGEN DE NEGOCIACIÓN (%)]])-D.sign_Data[[#This Row],[VALOR NETO ($COP)]]</f>
        <v>3810.0470646745962</v>
      </c>
      <c r="AE540" s="15">
        <f>+(D.sign_Data[[#This Row],[VALOR NETO ($COP)]]+D.sign_Data[[#This Row],[NEGOCIACIÓN ($COP)]])*1%</f>
        <v>762.00941293491803</v>
      </c>
      <c r="AF540" s="15">
        <f>+(D.sign_Data[[#This Row],[VALOR NETO ($COP)]]+D.sign_Data[[#This Row],[NEGOCIACIÓN ($COP)]])*1%</f>
        <v>762.00941293491803</v>
      </c>
      <c r="AG540" s="3">
        <f>+D.sign_Data[[#This Row],[VALOR NETO ($COP)]]+D.sign_Data[[#This Row],[NEGOCIACIÓN ($COP)]]+D.sign_Data[[#This Row],[ICA ($COP)]]+D.sign_Data[[#This Row],[4 * 1000 ($COP)]]</f>
        <v>77724.96011936164</v>
      </c>
    </row>
    <row r="541" spans="1:33" ht="60" hidden="1" customHeight="1" x14ac:dyDescent="0.25">
      <c r="A541" s="14"/>
      <c r="B541" s="87" t="s">
        <v>442</v>
      </c>
      <c r="C541" s="182" t="s">
        <v>852</v>
      </c>
      <c r="D541" s="189" t="str">
        <f>VLOOKUP(D.sign_Data[[#This Row],[CÓDIGO]],Descripciones[[CÓDIGO]:[NOMBRE DE SERVICIO]],3,FALSE)</f>
        <v>D1. Parcelaciones y Condominios</v>
      </c>
      <c r="E541" s="87" t="s">
        <v>497</v>
      </c>
      <c r="F541" s="88" t="s">
        <v>853</v>
      </c>
      <c r="G541" s="88" t="s">
        <v>536</v>
      </c>
      <c r="H541" s="87" t="s">
        <v>500</v>
      </c>
      <c r="I541" s="89">
        <v>1</v>
      </c>
      <c r="J541" s="88" t="s">
        <v>854</v>
      </c>
      <c r="K541" s="102"/>
      <c r="L541" s="88" t="s">
        <v>831</v>
      </c>
      <c r="M541" s="89" t="s">
        <v>381</v>
      </c>
      <c r="N541" s="90">
        <v>4</v>
      </c>
      <c r="O541" s="27">
        <f>IFERROR(+VLOOKUP(M541,D.sign_Lista_Data[[RESPONSABLE]:[SOFTWARE 
VALOR HORA]],3,FALSE),"0")</f>
        <v>20263.424518743668</v>
      </c>
      <c r="P541" s="3">
        <f t="shared" si="16"/>
        <v>81053.698074974673</v>
      </c>
      <c r="Q541" s="11">
        <f>IFERROR(+VLOOKUP(M541,D.sign_Lista_Data[[RESPONSABLE]:[SOFTWARE 
VALOR HORA]],5,FALSE)*D.sign_Data[[#This Row],[TIEMPO (HORAS)]],0)</f>
        <v>16886.187098953054</v>
      </c>
      <c r="R541" s="42">
        <f>IFERROR(+VLOOKUP(M541,D.sign_Lista_Data[[RESPONSABLE]:[SOFTWARE 
VALOR HORA]],8,FALSE)*D.sign_Data[[#This Row],[TIEMPO (HORAS)]],0)</f>
        <v>13643.419548575934</v>
      </c>
      <c r="S541" s="99">
        <v>0</v>
      </c>
      <c r="T541" s="99">
        <v>0</v>
      </c>
      <c r="U541" s="3">
        <f t="shared" si="17"/>
        <v>111583.30472250367</v>
      </c>
      <c r="V541" s="100">
        <f>D.sign_Data[[#This Row],[TIEMPO (HORAS)]]*Gastos_Operativos[[#Totals],[GASTOS HORA]]</f>
        <v>111157.9082892416</v>
      </c>
      <c r="W541" s="3">
        <f>+D.sign_Data[[#This Row],[COSTO 
DIRECTO ($COP)]]+D.sign_Data[[#This Row],[PRORRATEO GASTOS ($COP)]]</f>
        <v>222741.21301174528</v>
      </c>
      <c r="X541" s="101">
        <v>0.05</v>
      </c>
      <c r="Y541" s="15">
        <f>+D.sign_Data[[#This Row],[COSTOS OPERACIONALES ($COP)]]*D.sign_Data[[#This Row],[DESFASE (%)]]</f>
        <v>11137.060650587264</v>
      </c>
      <c r="Z541" s="101">
        <v>0.2</v>
      </c>
      <c r="AA541" s="15">
        <f>+((D.sign_Data[[#This Row],[COSTOS OPERACIONALES ($COP)]]/(100%-D.sign_Data[[#This Row],[UTILIDAD (%)]])))-D.sign_Data[[#This Row],[COSTOS OPERACIONALES ($COP)]]</f>
        <v>55685.303252936312</v>
      </c>
      <c r="AB541" s="3">
        <f>+D.sign_Data[[#This Row],[COSTOS OPERACIONALES ($COP)]]+D.sign_Data[[#This Row],[DESFASE ($COP)]]+D.sign_Data[[#This Row],[UTILIDAD ($COP)]]</f>
        <v>289563.57691526884</v>
      </c>
      <c r="AC541" s="101">
        <v>0.05</v>
      </c>
      <c r="AD541" s="15">
        <f>+D.sign_Data[[#This Row],[VALOR NETO ($COP)]]/(100%-D.sign_Data[[#This Row],[MARGEN DE NEGOCIACIÓN (%)]])-D.sign_Data[[#This Row],[VALOR NETO ($COP)]]</f>
        <v>15240.188258698385</v>
      </c>
      <c r="AE541" s="15">
        <f>+(D.sign_Data[[#This Row],[VALOR NETO ($COP)]]+D.sign_Data[[#This Row],[NEGOCIACIÓN ($COP)]])*1%</f>
        <v>3048.0376517396721</v>
      </c>
      <c r="AF541" s="15">
        <f>+(D.sign_Data[[#This Row],[VALOR NETO ($COP)]]+D.sign_Data[[#This Row],[NEGOCIACIÓN ($COP)]])*1%</f>
        <v>3048.0376517396721</v>
      </c>
      <c r="AG541" s="3">
        <f>+D.sign_Data[[#This Row],[VALOR NETO ($COP)]]+D.sign_Data[[#This Row],[NEGOCIACIÓN ($COP)]]+D.sign_Data[[#This Row],[ICA ($COP)]]+D.sign_Data[[#This Row],[4 * 1000 ($COP)]]</f>
        <v>310899.84047744656</v>
      </c>
    </row>
    <row r="542" spans="1:33" ht="60" hidden="1" customHeight="1" x14ac:dyDescent="0.25">
      <c r="A542" s="14"/>
      <c r="B542" s="87" t="s">
        <v>442</v>
      </c>
      <c r="C542" s="182" t="s">
        <v>852</v>
      </c>
      <c r="D542" s="189" t="str">
        <f>VLOOKUP(D.sign_Data[[#This Row],[CÓDIGO]],Descripciones[[CÓDIGO]:[NOMBRE DE SERVICIO]],3,FALSE)</f>
        <v>D1. Parcelaciones y Condominios</v>
      </c>
      <c r="E542" s="87" t="s">
        <v>497</v>
      </c>
      <c r="F542" s="88" t="s">
        <v>853</v>
      </c>
      <c r="G542" s="88" t="s">
        <v>536</v>
      </c>
      <c r="H542" s="87" t="s">
        <v>500</v>
      </c>
      <c r="I542" s="89">
        <v>1</v>
      </c>
      <c r="J542" s="88" t="s">
        <v>854</v>
      </c>
      <c r="K542" s="102"/>
      <c r="L542" s="88" t="s">
        <v>832</v>
      </c>
      <c r="M542" s="89" t="s">
        <v>381</v>
      </c>
      <c r="N542" s="90">
        <v>5</v>
      </c>
      <c r="O542" s="27">
        <f>IFERROR(+VLOOKUP(M542,D.sign_Lista_Data[[RESPONSABLE]:[SOFTWARE 
VALOR HORA]],3,FALSE),"0")</f>
        <v>20263.424518743668</v>
      </c>
      <c r="P542" s="3">
        <f t="shared" si="16"/>
        <v>101317.12259371835</v>
      </c>
      <c r="Q542" s="11">
        <f>IFERROR(+VLOOKUP(M542,D.sign_Lista_Data[[RESPONSABLE]:[SOFTWARE 
VALOR HORA]],5,FALSE)*D.sign_Data[[#This Row],[TIEMPO (HORAS)]],0)</f>
        <v>21107.733873691319</v>
      </c>
      <c r="R542" s="42">
        <f>IFERROR(+VLOOKUP(M542,D.sign_Lista_Data[[RESPONSABLE]:[SOFTWARE 
VALOR HORA]],8,FALSE)*D.sign_Data[[#This Row],[TIEMPO (HORAS)]],0)</f>
        <v>17054.274435719919</v>
      </c>
      <c r="S542" s="99">
        <v>0</v>
      </c>
      <c r="T542" s="99">
        <v>0</v>
      </c>
      <c r="U542" s="3">
        <f t="shared" si="17"/>
        <v>139479.13090312958</v>
      </c>
      <c r="V542" s="100">
        <f>D.sign_Data[[#This Row],[TIEMPO (HORAS)]]*Gastos_Operativos[[#Totals],[GASTOS HORA]]</f>
        <v>138947.38536155201</v>
      </c>
      <c r="W542" s="3">
        <f>+D.sign_Data[[#This Row],[COSTO 
DIRECTO ($COP)]]+D.sign_Data[[#This Row],[PRORRATEO GASTOS ($COP)]]</f>
        <v>278426.51626468159</v>
      </c>
      <c r="X542" s="101">
        <v>0.05</v>
      </c>
      <c r="Y542" s="15">
        <f>+D.sign_Data[[#This Row],[COSTOS OPERACIONALES ($COP)]]*D.sign_Data[[#This Row],[DESFASE (%)]]</f>
        <v>13921.32581323408</v>
      </c>
      <c r="Z542" s="101">
        <v>0.2</v>
      </c>
      <c r="AA542" s="15">
        <f>+((D.sign_Data[[#This Row],[COSTOS OPERACIONALES ($COP)]]/(100%-D.sign_Data[[#This Row],[UTILIDAD (%)]])))-D.sign_Data[[#This Row],[COSTOS OPERACIONALES ($COP)]]</f>
        <v>69606.629066170368</v>
      </c>
      <c r="AB542" s="3">
        <f>+D.sign_Data[[#This Row],[COSTOS OPERACIONALES ($COP)]]+D.sign_Data[[#This Row],[DESFASE ($COP)]]+D.sign_Data[[#This Row],[UTILIDAD ($COP)]]</f>
        <v>361954.47114408604</v>
      </c>
      <c r="AC542" s="101">
        <v>0.05</v>
      </c>
      <c r="AD542" s="15">
        <f>+D.sign_Data[[#This Row],[VALOR NETO ($COP)]]/(100%-D.sign_Data[[#This Row],[MARGEN DE NEGOCIACIÓN (%)]])-D.sign_Data[[#This Row],[VALOR NETO ($COP)]]</f>
        <v>19050.235323372995</v>
      </c>
      <c r="AE542" s="15">
        <f>+(D.sign_Data[[#This Row],[VALOR NETO ($COP)]]+D.sign_Data[[#This Row],[NEGOCIACIÓN ($COP)]])*1%</f>
        <v>3810.0470646745903</v>
      </c>
      <c r="AF542" s="15">
        <f>+(D.sign_Data[[#This Row],[VALOR NETO ($COP)]]+D.sign_Data[[#This Row],[NEGOCIACIÓN ($COP)]])*1%</f>
        <v>3810.0470646745903</v>
      </c>
      <c r="AG542" s="3">
        <f>+D.sign_Data[[#This Row],[VALOR NETO ($COP)]]+D.sign_Data[[#This Row],[NEGOCIACIÓN ($COP)]]+D.sign_Data[[#This Row],[ICA ($COP)]]+D.sign_Data[[#This Row],[4 * 1000 ($COP)]]</f>
        <v>388624.80059680826</v>
      </c>
    </row>
    <row r="543" spans="1:33" ht="60" hidden="1" customHeight="1" x14ac:dyDescent="0.25">
      <c r="A543" s="14"/>
      <c r="B543" s="87" t="s">
        <v>442</v>
      </c>
      <c r="C543" s="182" t="s">
        <v>852</v>
      </c>
      <c r="D543" s="189" t="str">
        <f>VLOOKUP(D.sign_Data[[#This Row],[CÓDIGO]],Descripciones[[CÓDIGO]:[NOMBRE DE SERVICIO]],3,FALSE)</f>
        <v>D1. Parcelaciones y Condominios</v>
      </c>
      <c r="E543" s="87" t="s">
        <v>497</v>
      </c>
      <c r="F543" s="88" t="s">
        <v>853</v>
      </c>
      <c r="G543" s="88" t="s">
        <v>536</v>
      </c>
      <c r="H543" s="87" t="s">
        <v>500</v>
      </c>
      <c r="I543" s="89">
        <v>1</v>
      </c>
      <c r="J543" s="88" t="s">
        <v>854</v>
      </c>
      <c r="K543" s="102"/>
      <c r="L543" s="88" t="s">
        <v>833</v>
      </c>
      <c r="M543" s="89" t="s">
        <v>381</v>
      </c>
      <c r="N543" s="90">
        <v>9.4</v>
      </c>
      <c r="O543" s="27">
        <f>IFERROR(+VLOOKUP(M543,D.sign_Lista_Data[[RESPONSABLE]:[SOFTWARE 
VALOR HORA]],3,FALSE),"0")</f>
        <v>20263.424518743668</v>
      </c>
      <c r="P543" s="3">
        <f t="shared" si="16"/>
        <v>190476.19047619047</v>
      </c>
      <c r="Q543" s="11">
        <f>IFERROR(+VLOOKUP(M543,D.sign_Lista_Data[[RESPONSABLE]:[SOFTWARE 
VALOR HORA]],5,FALSE)*D.sign_Data[[#This Row],[TIEMPO (HORAS)]],0)</f>
        <v>39682.539682539682</v>
      </c>
      <c r="R543" s="42">
        <f>IFERROR(+VLOOKUP(M543,D.sign_Lista_Data[[RESPONSABLE]:[SOFTWARE 
VALOR HORA]],8,FALSE)*D.sign_Data[[#This Row],[TIEMPO (HORAS)]],0)</f>
        <v>32062.035939153444</v>
      </c>
      <c r="S543" s="99">
        <v>0</v>
      </c>
      <c r="T543" s="99">
        <v>0</v>
      </c>
      <c r="U543" s="3">
        <f t="shared" si="17"/>
        <v>262220.76609788358</v>
      </c>
      <c r="V543" s="100">
        <f>D.sign_Data[[#This Row],[TIEMPO (HORAS)]]*Gastos_Operativos[[#Totals],[GASTOS HORA]]</f>
        <v>261221.08447971777</v>
      </c>
      <c r="W543" s="3">
        <f>+D.sign_Data[[#This Row],[COSTO 
DIRECTO ($COP)]]+D.sign_Data[[#This Row],[PRORRATEO GASTOS ($COP)]]</f>
        <v>523441.85057760135</v>
      </c>
      <c r="X543" s="101">
        <v>0.05</v>
      </c>
      <c r="Y543" s="15">
        <f>+D.sign_Data[[#This Row],[COSTOS OPERACIONALES ($COP)]]*D.sign_Data[[#This Row],[DESFASE (%)]]</f>
        <v>26172.092528880068</v>
      </c>
      <c r="Z543" s="101">
        <v>0.2</v>
      </c>
      <c r="AA543" s="15">
        <f>+((D.sign_Data[[#This Row],[COSTOS OPERACIONALES ($COP)]]/(100%-D.sign_Data[[#This Row],[UTILIDAD (%)]])))-D.sign_Data[[#This Row],[COSTOS OPERACIONALES ($COP)]]</f>
        <v>130860.46264440031</v>
      </c>
      <c r="AB543" s="3">
        <f>+D.sign_Data[[#This Row],[COSTOS OPERACIONALES ($COP)]]+D.sign_Data[[#This Row],[DESFASE ($COP)]]+D.sign_Data[[#This Row],[UTILIDAD ($COP)]]</f>
        <v>680474.40575088176</v>
      </c>
      <c r="AC543" s="101">
        <v>0.05</v>
      </c>
      <c r="AD543" s="15">
        <f>+D.sign_Data[[#This Row],[VALOR NETO ($COP)]]/(100%-D.sign_Data[[#This Row],[MARGEN DE NEGOCIACIÓN (%)]])-D.sign_Data[[#This Row],[VALOR NETO ($COP)]]</f>
        <v>35814.442407941213</v>
      </c>
      <c r="AE543" s="15">
        <f>+(D.sign_Data[[#This Row],[VALOR NETO ($COP)]]+D.sign_Data[[#This Row],[NEGOCIACIÓN ($COP)]])*1%</f>
        <v>7162.8884815882302</v>
      </c>
      <c r="AF543" s="15">
        <f>+(D.sign_Data[[#This Row],[VALOR NETO ($COP)]]+D.sign_Data[[#This Row],[NEGOCIACIÓN ($COP)]])*1%</f>
        <v>7162.8884815882302</v>
      </c>
      <c r="AG543" s="3">
        <f>+D.sign_Data[[#This Row],[VALOR NETO ($COP)]]+D.sign_Data[[#This Row],[NEGOCIACIÓN ($COP)]]+D.sign_Data[[#This Row],[ICA ($COP)]]+D.sign_Data[[#This Row],[4 * 1000 ($COP)]]</f>
        <v>730614.62512199942</v>
      </c>
    </row>
    <row r="544" spans="1:33" ht="60" hidden="1" customHeight="1" x14ac:dyDescent="0.25">
      <c r="A544" s="14"/>
      <c r="B544" s="87" t="s">
        <v>442</v>
      </c>
      <c r="C544" s="182" t="s">
        <v>852</v>
      </c>
      <c r="D544" s="189" t="str">
        <f>VLOOKUP(D.sign_Data[[#This Row],[CÓDIGO]],Descripciones[[CÓDIGO]:[NOMBRE DE SERVICIO]],3,FALSE)</f>
        <v>D1. Parcelaciones y Condominios</v>
      </c>
      <c r="E544" s="87" t="s">
        <v>497</v>
      </c>
      <c r="F544" s="88" t="s">
        <v>853</v>
      </c>
      <c r="G544" s="88" t="s">
        <v>536</v>
      </c>
      <c r="H544" s="87" t="s">
        <v>500</v>
      </c>
      <c r="I544" s="89">
        <v>1</v>
      </c>
      <c r="J544" s="88" t="s">
        <v>854</v>
      </c>
      <c r="K544" s="102"/>
      <c r="L544" s="88" t="s">
        <v>834</v>
      </c>
      <c r="M544" s="89" t="s">
        <v>381</v>
      </c>
      <c r="N544" s="90">
        <v>4</v>
      </c>
      <c r="O544" s="27">
        <f>IFERROR(+VLOOKUP(M544,D.sign_Lista_Data[[RESPONSABLE]:[SOFTWARE 
VALOR HORA]],3,FALSE),"0")</f>
        <v>20263.424518743668</v>
      </c>
      <c r="P544" s="3">
        <f t="shared" si="16"/>
        <v>81053.698074974673</v>
      </c>
      <c r="Q544" s="11">
        <f>IFERROR(+VLOOKUP(M544,D.sign_Lista_Data[[RESPONSABLE]:[SOFTWARE 
VALOR HORA]],5,FALSE)*D.sign_Data[[#This Row],[TIEMPO (HORAS)]],0)</f>
        <v>16886.187098953054</v>
      </c>
      <c r="R544" s="42">
        <f>IFERROR(+VLOOKUP(M544,D.sign_Lista_Data[[RESPONSABLE]:[SOFTWARE 
VALOR HORA]],8,FALSE)*D.sign_Data[[#This Row],[TIEMPO (HORAS)]],0)</f>
        <v>13643.419548575934</v>
      </c>
      <c r="S544" s="99">
        <v>0</v>
      </c>
      <c r="T544" s="99">
        <v>0</v>
      </c>
      <c r="U544" s="3">
        <f t="shared" si="17"/>
        <v>111583.30472250367</v>
      </c>
      <c r="V544" s="100">
        <f>D.sign_Data[[#This Row],[TIEMPO (HORAS)]]*Gastos_Operativos[[#Totals],[GASTOS HORA]]</f>
        <v>111157.9082892416</v>
      </c>
      <c r="W544" s="3">
        <f>+D.sign_Data[[#This Row],[COSTO 
DIRECTO ($COP)]]+D.sign_Data[[#This Row],[PRORRATEO GASTOS ($COP)]]</f>
        <v>222741.21301174528</v>
      </c>
      <c r="X544" s="101">
        <v>0.05</v>
      </c>
      <c r="Y544" s="15">
        <f>+D.sign_Data[[#This Row],[COSTOS OPERACIONALES ($COP)]]*D.sign_Data[[#This Row],[DESFASE (%)]]</f>
        <v>11137.060650587264</v>
      </c>
      <c r="Z544" s="101">
        <v>0.2</v>
      </c>
      <c r="AA544" s="15">
        <f>+((D.sign_Data[[#This Row],[COSTOS OPERACIONALES ($COP)]]/(100%-D.sign_Data[[#This Row],[UTILIDAD (%)]])))-D.sign_Data[[#This Row],[COSTOS OPERACIONALES ($COP)]]</f>
        <v>55685.303252936312</v>
      </c>
      <c r="AB544" s="3">
        <f>+D.sign_Data[[#This Row],[COSTOS OPERACIONALES ($COP)]]+D.sign_Data[[#This Row],[DESFASE ($COP)]]+D.sign_Data[[#This Row],[UTILIDAD ($COP)]]</f>
        <v>289563.57691526884</v>
      </c>
      <c r="AC544" s="101">
        <v>0.05</v>
      </c>
      <c r="AD544" s="15">
        <f>+D.sign_Data[[#This Row],[VALOR NETO ($COP)]]/(100%-D.sign_Data[[#This Row],[MARGEN DE NEGOCIACIÓN (%)]])-D.sign_Data[[#This Row],[VALOR NETO ($COP)]]</f>
        <v>15240.188258698385</v>
      </c>
      <c r="AE544" s="15">
        <f>+(D.sign_Data[[#This Row],[VALOR NETO ($COP)]]+D.sign_Data[[#This Row],[NEGOCIACIÓN ($COP)]])*1%</f>
        <v>3048.0376517396721</v>
      </c>
      <c r="AF544" s="15">
        <f>+(D.sign_Data[[#This Row],[VALOR NETO ($COP)]]+D.sign_Data[[#This Row],[NEGOCIACIÓN ($COP)]])*1%</f>
        <v>3048.0376517396721</v>
      </c>
      <c r="AG544" s="3">
        <f>+D.sign_Data[[#This Row],[VALOR NETO ($COP)]]+D.sign_Data[[#This Row],[NEGOCIACIÓN ($COP)]]+D.sign_Data[[#This Row],[ICA ($COP)]]+D.sign_Data[[#This Row],[4 * 1000 ($COP)]]</f>
        <v>310899.84047744656</v>
      </c>
    </row>
    <row r="545" spans="1:33" ht="60" hidden="1" customHeight="1" x14ac:dyDescent="0.25">
      <c r="A545" s="14"/>
      <c r="B545" s="87" t="s">
        <v>442</v>
      </c>
      <c r="C545" s="182" t="s">
        <v>852</v>
      </c>
      <c r="D545" s="189" t="str">
        <f>VLOOKUP(D.sign_Data[[#This Row],[CÓDIGO]],Descripciones[[CÓDIGO]:[NOMBRE DE SERVICIO]],3,FALSE)</f>
        <v>D1. Parcelaciones y Condominios</v>
      </c>
      <c r="E545" s="87" t="s">
        <v>497</v>
      </c>
      <c r="F545" s="88" t="s">
        <v>853</v>
      </c>
      <c r="G545" s="88" t="s">
        <v>536</v>
      </c>
      <c r="H545" s="87" t="s">
        <v>500</v>
      </c>
      <c r="I545" s="89">
        <v>1</v>
      </c>
      <c r="J545" s="88" t="s">
        <v>854</v>
      </c>
      <c r="K545" s="102"/>
      <c r="L545" s="88" t="s">
        <v>835</v>
      </c>
      <c r="M545" s="89" t="s">
        <v>381</v>
      </c>
      <c r="N545" s="90">
        <v>2</v>
      </c>
      <c r="O545" s="27">
        <f>IFERROR(+VLOOKUP(M545,D.sign_Lista_Data[[RESPONSABLE]:[SOFTWARE 
VALOR HORA]],3,FALSE),"0")</f>
        <v>20263.424518743668</v>
      </c>
      <c r="P545" s="3">
        <f t="shared" si="16"/>
        <v>40526.849037487336</v>
      </c>
      <c r="Q545" s="11">
        <f>IFERROR(+VLOOKUP(M545,D.sign_Lista_Data[[RESPONSABLE]:[SOFTWARE 
VALOR HORA]],5,FALSE)*D.sign_Data[[#This Row],[TIEMPO (HORAS)]],0)</f>
        <v>8443.0935494765272</v>
      </c>
      <c r="R545" s="42">
        <f>IFERROR(+VLOOKUP(M545,D.sign_Lista_Data[[RESPONSABLE]:[SOFTWARE 
VALOR HORA]],8,FALSE)*D.sign_Data[[#This Row],[TIEMPO (HORAS)]],0)</f>
        <v>6821.7097742879669</v>
      </c>
      <c r="S545" s="99">
        <v>0</v>
      </c>
      <c r="T545" s="99">
        <v>0</v>
      </c>
      <c r="U545" s="3">
        <f t="shared" si="17"/>
        <v>55791.652361251836</v>
      </c>
      <c r="V545" s="100">
        <f>D.sign_Data[[#This Row],[TIEMPO (HORAS)]]*Gastos_Operativos[[#Totals],[GASTOS HORA]]</f>
        <v>55578.954144620802</v>
      </c>
      <c r="W545" s="3">
        <f>+D.sign_Data[[#This Row],[COSTO 
DIRECTO ($COP)]]+D.sign_Data[[#This Row],[PRORRATEO GASTOS ($COP)]]</f>
        <v>111370.60650587264</v>
      </c>
      <c r="X545" s="101">
        <v>0.05</v>
      </c>
      <c r="Y545" s="15">
        <f>+D.sign_Data[[#This Row],[COSTOS OPERACIONALES ($COP)]]*D.sign_Data[[#This Row],[DESFASE (%)]]</f>
        <v>5568.5303252936319</v>
      </c>
      <c r="Z545" s="101">
        <v>0.2</v>
      </c>
      <c r="AA545" s="15">
        <f>+((D.sign_Data[[#This Row],[COSTOS OPERACIONALES ($COP)]]/(100%-D.sign_Data[[#This Row],[UTILIDAD (%)]])))-D.sign_Data[[#This Row],[COSTOS OPERACIONALES ($COP)]]</f>
        <v>27842.651626468156</v>
      </c>
      <c r="AB545" s="3">
        <f>+D.sign_Data[[#This Row],[COSTOS OPERACIONALES ($COP)]]+D.sign_Data[[#This Row],[DESFASE ($COP)]]+D.sign_Data[[#This Row],[UTILIDAD ($COP)]]</f>
        <v>144781.78845763442</v>
      </c>
      <c r="AC545" s="101">
        <v>0.05</v>
      </c>
      <c r="AD545" s="15">
        <f>+D.sign_Data[[#This Row],[VALOR NETO ($COP)]]/(100%-D.sign_Data[[#This Row],[MARGEN DE NEGOCIACIÓN (%)]])-D.sign_Data[[#This Row],[VALOR NETO ($COP)]]</f>
        <v>7620.0941293491924</v>
      </c>
      <c r="AE545" s="15">
        <f>+(D.sign_Data[[#This Row],[VALOR NETO ($COP)]]+D.sign_Data[[#This Row],[NEGOCIACIÓN ($COP)]])*1%</f>
        <v>1524.0188258698361</v>
      </c>
      <c r="AF545" s="15">
        <f>+(D.sign_Data[[#This Row],[VALOR NETO ($COP)]]+D.sign_Data[[#This Row],[NEGOCIACIÓN ($COP)]])*1%</f>
        <v>1524.0188258698361</v>
      </c>
      <c r="AG545" s="3">
        <f>+D.sign_Data[[#This Row],[VALOR NETO ($COP)]]+D.sign_Data[[#This Row],[NEGOCIACIÓN ($COP)]]+D.sign_Data[[#This Row],[ICA ($COP)]]+D.sign_Data[[#This Row],[4 * 1000 ($COP)]]</f>
        <v>155449.92023872328</v>
      </c>
    </row>
    <row r="546" spans="1:33" ht="60" hidden="1" customHeight="1" x14ac:dyDescent="0.25">
      <c r="A546" s="14"/>
      <c r="B546" s="87" t="s">
        <v>442</v>
      </c>
      <c r="C546" s="182" t="s">
        <v>852</v>
      </c>
      <c r="D546" s="189" t="str">
        <f>VLOOKUP(D.sign_Data[[#This Row],[CÓDIGO]],Descripciones[[CÓDIGO]:[NOMBRE DE SERVICIO]],3,FALSE)</f>
        <v>D1. Parcelaciones y Condominios</v>
      </c>
      <c r="E546" s="87" t="s">
        <v>497</v>
      </c>
      <c r="F546" s="88" t="s">
        <v>853</v>
      </c>
      <c r="G546" s="88" t="s">
        <v>536</v>
      </c>
      <c r="H546" s="87" t="s">
        <v>500</v>
      </c>
      <c r="I546" s="89">
        <v>1</v>
      </c>
      <c r="J546" s="88" t="s">
        <v>855</v>
      </c>
      <c r="K546" s="102"/>
      <c r="L546" s="88" t="s">
        <v>837</v>
      </c>
      <c r="M546" s="89" t="s">
        <v>381</v>
      </c>
      <c r="N546" s="90">
        <v>5</v>
      </c>
      <c r="O546" s="27">
        <f>IFERROR(+VLOOKUP(M546,D.sign_Lista_Data[[RESPONSABLE]:[SOFTWARE 
VALOR HORA]],3,FALSE),"0")</f>
        <v>20263.424518743668</v>
      </c>
      <c r="P546" s="3">
        <f t="shared" si="16"/>
        <v>101317.12259371835</v>
      </c>
      <c r="Q546" s="11">
        <f>IFERROR(+VLOOKUP(M546,D.sign_Lista_Data[[RESPONSABLE]:[SOFTWARE 
VALOR HORA]],5,FALSE)*D.sign_Data[[#This Row],[TIEMPO (HORAS)]],0)</f>
        <v>21107.733873691319</v>
      </c>
      <c r="R546" s="42">
        <f>IFERROR(+VLOOKUP(M546,D.sign_Lista_Data[[RESPONSABLE]:[SOFTWARE 
VALOR HORA]],8,FALSE)*D.sign_Data[[#This Row],[TIEMPO (HORAS)]],0)</f>
        <v>17054.274435719919</v>
      </c>
      <c r="S546" s="99">
        <v>0</v>
      </c>
      <c r="T546" s="99">
        <v>0</v>
      </c>
      <c r="U546" s="3">
        <f t="shared" si="17"/>
        <v>139479.13090312958</v>
      </c>
      <c r="V546" s="100">
        <f>D.sign_Data[[#This Row],[TIEMPO (HORAS)]]*Gastos_Operativos[[#Totals],[GASTOS HORA]]</f>
        <v>138947.38536155201</v>
      </c>
      <c r="W546" s="3">
        <f>+D.sign_Data[[#This Row],[COSTO 
DIRECTO ($COP)]]+D.sign_Data[[#This Row],[PRORRATEO GASTOS ($COP)]]</f>
        <v>278426.51626468159</v>
      </c>
      <c r="X546" s="101">
        <v>0.05</v>
      </c>
      <c r="Y546" s="15">
        <f>+D.sign_Data[[#This Row],[COSTOS OPERACIONALES ($COP)]]*D.sign_Data[[#This Row],[DESFASE (%)]]</f>
        <v>13921.32581323408</v>
      </c>
      <c r="Z546" s="101">
        <v>0.2</v>
      </c>
      <c r="AA546" s="15">
        <f>+((D.sign_Data[[#This Row],[COSTOS OPERACIONALES ($COP)]]/(100%-D.sign_Data[[#This Row],[UTILIDAD (%)]])))-D.sign_Data[[#This Row],[COSTOS OPERACIONALES ($COP)]]</f>
        <v>69606.629066170368</v>
      </c>
      <c r="AB546" s="3">
        <f>+D.sign_Data[[#This Row],[COSTOS OPERACIONALES ($COP)]]+D.sign_Data[[#This Row],[DESFASE ($COP)]]+D.sign_Data[[#This Row],[UTILIDAD ($COP)]]</f>
        <v>361954.47114408604</v>
      </c>
      <c r="AC546" s="101">
        <v>0.05</v>
      </c>
      <c r="AD546" s="15">
        <f>+D.sign_Data[[#This Row],[VALOR NETO ($COP)]]/(100%-D.sign_Data[[#This Row],[MARGEN DE NEGOCIACIÓN (%)]])-D.sign_Data[[#This Row],[VALOR NETO ($COP)]]</f>
        <v>19050.235323372995</v>
      </c>
      <c r="AE546" s="15">
        <f>+(D.sign_Data[[#This Row],[VALOR NETO ($COP)]]+D.sign_Data[[#This Row],[NEGOCIACIÓN ($COP)]])*1%</f>
        <v>3810.0470646745903</v>
      </c>
      <c r="AF546" s="15">
        <f>+(D.sign_Data[[#This Row],[VALOR NETO ($COP)]]+D.sign_Data[[#This Row],[NEGOCIACIÓN ($COP)]])*1%</f>
        <v>3810.0470646745903</v>
      </c>
      <c r="AG546" s="3">
        <f>+D.sign_Data[[#This Row],[VALOR NETO ($COP)]]+D.sign_Data[[#This Row],[NEGOCIACIÓN ($COP)]]+D.sign_Data[[#This Row],[ICA ($COP)]]+D.sign_Data[[#This Row],[4 * 1000 ($COP)]]</f>
        <v>388624.80059680826</v>
      </c>
    </row>
    <row r="547" spans="1:33" ht="60" hidden="1" customHeight="1" x14ac:dyDescent="0.25">
      <c r="A547" s="14"/>
      <c r="B547" s="87" t="s">
        <v>442</v>
      </c>
      <c r="C547" s="182" t="s">
        <v>852</v>
      </c>
      <c r="D547" s="189" t="str">
        <f>VLOOKUP(D.sign_Data[[#This Row],[CÓDIGO]],Descripciones[[CÓDIGO]:[NOMBRE DE SERVICIO]],3,FALSE)</f>
        <v>D1. Parcelaciones y Condominios</v>
      </c>
      <c r="E547" s="87" t="s">
        <v>497</v>
      </c>
      <c r="F547" s="88" t="s">
        <v>853</v>
      </c>
      <c r="G547" s="88" t="s">
        <v>536</v>
      </c>
      <c r="H547" s="87" t="s">
        <v>500</v>
      </c>
      <c r="I547" s="89">
        <v>1</v>
      </c>
      <c r="J547" s="88" t="s">
        <v>855</v>
      </c>
      <c r="K547" s="102"/>
      <c r="L547" s="88" t="s">
        <v>838</v>
      </c>
      <c r="M547" s="89" t="s">
        <v>381</v>
      </c>
      <c r="N547" s="90">
        <v>1</v>
      </c>
      <c r="O547" s="27">
        <f>IFERROR(+VLOOKUP(M547,D.sign_Lista_Data[[RESPONSABLE]:[SOFTWARE 
VALOR HORA]],3,FALSE),"0")</f>
        <v>20263.424518743668</v>
      </c>
      <c r="P547" s="3">
        <f t="shared" si="16"/>
        <v>20263.424518743668</v>
      </c>
      <c r="Q547" s="11">
        <f>IFERROR(+VLOOKUP(M547,D.sign_Lista_Data[[RESPONSABLE]:[SOFTWARE 
VALOR HORA]],5,FALSE)*D.sign_Data[[#This Row],[TIEMPO (HORAS)]],0)</f>
        <v>4221.5467747382636</v>
      </c>
      <c r="R547" s="42">
        <f>IFERROR(+VLOOKUP(M547,D.sign_Lista_Data[[RESPONSABLE]:[SOFTWARE 
VALOR HORA]],8,FALSE)*D.sign_Data[[#This Row],[TIEMPO (HORAS)]],0)</f>
        <v>3410.8548871439834</v>
      </c>
      <c r="S547" s="99">
        <v>0</v>
      </c>
      <c r="T547" s="99">
        <v>0</v>
      </c>
      <c r="U547" s="3">
        <f t="shared" si="17"/>
        <v>27895.826180625918</v>
      </c>
      <c r="V547" s="100">
        <f>D.sign_Data[[#This Row],[TIEMPO (HORAS)]]*Gastos_Operativos[[#Totals],[GASTOS HORA]]</f>
        <v>27789.477072310401</v>
      </c>
      <c r="W547" s="3">
        <f>+D.sign_Data[[#This Row],[COSTO 
DIRECTO ($COP)]]+D.sign_Data[[#This Row],[PRORRATEO GASTOS ($COP)]]</f>
        <v>55685.303252936319</v>
      </c>
      <c r="X547" s="101">
        <v>0.05</v>
      </c>
      <c r="Y547" s="15">
        <f>+D.sign_Data[[#This Row],[COSTOS OPERACIONALES ($COP)]]*D.sign_Data[[#This Row],[DESFASE (%)]]</f>
        <v>2784.265162646816</v>
      </c>
      <c r="Z547" s="101">
        <v>0.2</v>
      </c>
      <c r="AA547" s="15">
        <f>+((D.sign_Data[[#This Row],[COSTOS OPERACIONALES ($COP)]]/(100%-D.sign_Data[[#This Row],[UTILIDAD (%)]])))-D.sign_Data[[#This Row],[COSTOS OPERACIONALES ($COP)]]</f>
        <v>13921.325813234078</v>
      </c>
      <c r="AB547" s="3">
        <f>+D.sign_Data[[#This Row],[COSTOS OPERACIONALES ($COP)]]+D.sign_Data[[#This Row],[DESFASE ($COP)]]+D.sign_Data[[#This Row],[UTILIDAD ($COP)]]</f>
        <v>72390.894228817211</v>
      </c>
      <c r="AC547" s="101">
        <v>0.05</v>
      </c>
      <c r="AD547" s="15">
        <f>+D.sign_Data[[#This Row],[VALOR NETO ($COP)]]/(100%-D.sign_Data[[#This Row],[MARGEN DE NEGOCIACIÓN (%)]])-D.sign_Data[[#This Row],[VALOR NETO ($COP)]]</f>
        <v>3810.0470646745962</v>
      </c>
      <c r="AE547" s="15">
        <f>+(D.sign_Data[[#This Row],[VALOR NETO ($COP)]]+D.sign_Data[[#This Row],[NEGOCIACIÓN ($COP)]])*1%</f>
        <v>762.00941293491803</v>
      </c>
      <c r="AF547" s="15">
        <f>+(D.sign_Data[[#This Row],[VALOR NETO ($COP)]]+D.sign_Data[[#This Row],[NEGOCIACIÓN ($COP)]])*1%</f>
        <v>762.00941293491803</v>
      </c>
      <c r="AG547" s="3">
        <f>+D.sign_Data[[#This Row],[VALOR NETO ($COP)]]+D.sign_Data[[#This Row],[NEGOCIACIÓN ($COP)]]+D.sign_Data[[#This Row],[ICA ($COP)]]+D.sign_Data[[#This Row],[4 * 1000 ($COP)]]</f>
        <v>77724.96011936164</v>
      </c>
    </row>
    <row r="548" spans="1:33" ht="60" hidden="1" customHeight="1" x14ac:dyDescent="0.25">
      <c r="A548" s="14"/>
      <c r="B548" s="87" t="s">
        <v>442</v>
      </c>
      <c r="C548" s="182" t="s">
        <v>852</v>
      </c>
      <c r="D548" s="189" t="str">
        <f>VLOOKUP(D.sign_Data[[#This Row],[CÓDIGO]],Descripciones[[CÓDIGO]:[NOMBRE DE SERVICIO]],3,FALSE)</f>
        <v>D1. Parcelaciones y Condominios</v>
      </c>
      <c r="E548" s="87" t="s">
        <v>497</v>
      </c>
      <c r="F548" s="88" t="s">
        <v>853</v>
      </c>
      <c r="G548" s="88" t="s">
        <v>536</v>
      </c>
      <c r="H548" s="87" t="s">
        <v>500</v>
      </c>
      <c r="I548" s="89">
        <v>1</v>
      </c>
      <c r="J548" s="88" t="s">
        <v>855</v>
      </c>
      <c r="K548" s="102"/>
      <c r="L548" s="88" t="s">
        <v>839</v>
      </c>
      <c r="M548" s="89" t="s">
        <v>381</v>
      </c>
      <c r="N548" s="90">
        <v>1</v>
      </c>
      <c r="O548" s="27">
        <f>IFERROR(+VLOOKUP(M548,D.sign_Lista_Data[[RESPONSABLE]:[SOFTWARE 
VALOR HORA]],3,FALSE),"0")</f>
        <v>20263.424518743668</v>
      </c>
      <c r="P548" s="3">
        <f t="shared" si="16"/>
        <v>20263.424518743668</v>
      </c>
      <c r="Q548" s="11">
        <f>IFERROR(+VLOOKUP(M548,D.sign_Lista_Data[[RESPONSABLE]:[SOFTWARE 
VALOR HORA]],5,FALSE)*D.sign_Data[[#This Row],[TIEMPO (HORAS)]],0)</f>
        <v>4221.5467747382636</v>
      </c>
      <c r="R548" s="42">
        <f>IFERROR(+VLOOKUP(M548,D.sign_Lista_Data[[RESPONSABLE]:[SOFTWARE 
VALOR HORA]],8,FALSE)*D.sign_Data[[#This Row],[TIEMPO (HORAS)]],0)</f>
        <v>3410.8548871439834</v>
      </c>
      <c r="S548" s="99">
        <v>0</v>
      </c>
      <c r="T548" s="99">
        <v>0</v>
      </c>
      <c r="U548" s="3">
        <f t="shared" si="17"/>
        <v>27895.826180625918</v>
      </c>
      <c r="V548" s="100">
        <f>D.sign_Data[[#This Row],[TIEMPO (HORAS)]]*Gastos_Operativos[[#Totals],[GASTOS HORA]]</f>
        <v>27789.477072310401</v>
      </c>
      <c r="W548" s="3">
        <f>+D.sign_Data[[#This Row],[COSTO 
DIRECTO ($COP)]]+D.sign_Data[[#This Row],[PRORRATEO GASTOS ($COP)]]</f>
        <v>55685.303252936319</v>
      </c>
      <c r="X548" s="101">
        <v>0.05</v>
      </c>
      <c r="Y548" s="15">
        <f>+D.sign_Data[[#This Row],[COSTOS OPERACIONALES ($COP)]]*D.sign_Data[[#This Row],[DESFASE (%)]]</f>
        <v>2784.265162646816</v>
      </c>
      <c r="Z548" s="101">
        <v>0.2</v>
      </c>
      <c r="AA548" s="15">
        <f>+((D.sign_Data[[#This Row],[COSTOS OPERACIONALES ($COP)]]/(100%-D.sign_Data[[#This Row],[UTILIDAD (%)]])))-D.sign_Data[[#This Row],[COSTOS OPERACIONALES ($COP)]]</f>
        <v>13921.325813234078</v>
      </c>
      <c r="AB548" s="3">
        <f>+D.sign_Data[[#This Row],[COSTOS OPERACIONALES ($COP)]]+D.sign_Data[[#This Row],[DESFASE ($COP)]]+D.sign_Data[[#This Row],[UTILIDAD ($COP)]]</f>
        <v>72390.894228817211</v>
      </c>
      <c r="AC548" s="101">
        <v>0.05</v>
      </c>
      <c r="AD548" s="15">
        <f>+D.sign_Data[[#This Row],[VALOR NETO ($COP)]]/(100%-D.sign_Data[[#This Row],[MARGEN DE NEGOCIACIÓN (%)]])-D.sign_Data[[#This Row],[VALOR NETO ($COP)]]</f>
        <v>3810.0470646745962</v>
      </c>
      <c r="AE548" s="15">
        <f>+(D.sign_Data[[#This Row],[VALOR NETO ($COP)]]+D.sign_Data[[#This Row],[NEGOCIACIÓN ($COP)]])*1%</f>
        <v>762.00941293491803</v>
      </c>
      <c r="AF548" s="15">
        <f>+(D.sign_Data[[#This Row],[VALOR NETO ($COP)]]+D.sign_Data[[#This Row],[NEGOCIACIÓN ($COP)]])*1%</f>
        <v>762.00941293491803</v>
      </c>
      <c r="AG548" s="3">
        <f>+D.sign_Data[[#This Row],[VALOR NETO ($COP)]]+D.sign_Data[[#This Row],[NEGOCIACIÓN ($COP)]]+D.sign_Data[[#This Row],[ICA ($COP)]]+D.sign_Data[[#This Row],[4 * 1000 ($COP)]]</f>
        <v>77724.96011936164</v>
      </c>
    </row>
    <row r="549" spans="1:33" ht="60" hidden="1" customHeight="1" x14ac:dyDescent="0.25">
      <c r="A549" s="14"/>
      <c r="B549" s="87" t="s">
        <v>442</v>
      </c>
      <c r="C549" s="182" t="s">
        <v>852</v>
      </c>
      <c r="D549" s="189" t="str">
        <f>VLOOKUP(D.sign_Data[[#This Row],[CÓDIGO]],Descripciones[[CÓDIGO]:[NOMBRE DE SERVICIO]],3,FALSE)</f>
        <v>D1. Parcelaciones y Condominios</v>
      </c>
      <c r="E549" s="87" t="s">
        <v>497</v>
      </c>
      <c r="F549" s="88" t="s">
        <v>853</v>
      </c>
      <c r="G549" s="88" t="s">
        <v>536</v>
      </c>
      <c r="H549" s="87" t="s">
        <v>500</v>
      </c>
      <c r="I549" s="89">
        <v>1</v>
      </c>
      <c r="J549" s="88" t="s">
        <v>855</v>
      </c>
      <c r="K549" s="102"/>
      <c r="L549" s="88" t="s">
        <v>738</v>
      </c>
      <c r="M549" s="89" t="s">
        <v>381</v>
      </c>
      <c r="N549" s="90">
        <v>1</v>
      </c>
      <c r="O549" s="27">
        <f>IFERROR(+VLOOKUP(M549,D.sign_Lista_Data[[RESPONSABLE]:[SOFTWARE 
VALOR HORA]],3,FALSE),"0")</f>
        <v>20263.424518743668</v>
      </c>
      <c r="P549" s="3">
        <f t="shared" si="16"/>
        <v>20263.424518743668</v>
      </c>
      <c r="Q549" s="11">
        <f>IFERROR(+VLOOKUP(M549,D.sign_Lista_Data[[RESPONSABLE]:[SOFTWARE 
VALOR HORA]],5,FALSE)*D.sign_Data[[#This Row],[TIEMPO (HORAS)]],0)</f>
        <v>4221.5467747382636</v>
      </c>
      <c r="R549" s="42">
        <f>IFERROR(+VLOOKUP(M549,D.sign_Lista_Data[[RESPONSABLE]:[SOFTWARE 
VALOR HORA]],8,FALSE)*D.sign_Data[[#This Row],[TIEMPO (HORAS)]],0)</f>
        <v>3410.8548871439834</v>
      </c>
      <c r="S549" s="99">
        <v>0</v>
      </c>
      <c r="T549" s="99">
        <v>0</v>
      </c>
      <c r="U549" s="3">
        <f t="shared" si="17"/>
        <v>27895.826180625918</v>
      </c>
      <c r="V549" s="100">
        <f>D.sign_Data[[#This Row],[TIEMPO (HORAS)]]*Gastos_Operativos[[#Totals],[GASTOS HORA]]</f>
        <v>27789.477072310401</v>
      </c>
      <c r="W549" s="3">
        <f>+D.sign_Data[[#This Row],[COSTO 
DIRECTO ($COP)]]+D.sign_Data[[#This Row],[PRORRATEO GASTOS ($COP)]]</f>
        <v>55685.303252936319</v>
      </c>
      <c r="X549" s="101">
        <v>0.05</v>
      </c>
      <c r="Y549" s="15">
        <f>+D.sign_Data[[#This Row],[COSTOS OPERACIONALES ($COP)]]*D.sign_Data[[#This Row],[DESFASE (%)]]</f>
        <v>2784.265162646816</v>
      </c>
      <c r="Z549" s="101">
        <v>0.2</v>
      </c>
      <c r="AA549" s="15">
        <f>+((D.sign_Data[[#This Row],[COSTOS OPERACIONALES ($COP)]]/(100%-D.sign_Data[[#This Row],[UTILIDAD (%)]])))-D.sign_Data[[#This Row],[COSTOS OPERACIONALES ($COP)]]</f>
        <v>13921.325813234078</v>
      </c>
      <c r="AB549" s="3">
        <f>+D.sign_Data[[#This Row],[COSTOS OPERACIONALES ($COP)]]+D.sign_Data[[#This Row],[DESFASE ($COP)]]+D.sign_Data[[#This Row],[UTILIDAD ($COP)]]</f>
        <v>72390.894228817211</v>
      </c>
      <c r="AC549" s="101">
        <v>0.05</v>
      </c>
      <c r="AD549" s="15">
        <f>+D.sign_Data[[#This Row],[VALOR NETO ($COP)]]/(100%-D.sign_Data[[#This Row],[MARGEN DE NEGOCIACIÓN (%)]])-D.sign_Data[[#This Row],[VALOR NETO ($COP)]]</f>
        <v>3810.0470646745962</v>
      </c>
      <c r="AE549" s="15">
        <f>+(D.sign_Data[[#This Row],[VALOR NETO ($COP)]]+D.sign_Data[[#This Row],[NEGOCIACIÓN ($COP)]])*1%</f>
        <v>762.00941293491803</v>
      </c>
      <c r="AF549" s="15">
        <f>+(D.sign_Data[[#This Row],[VALOR NETO ($COP)]]+D.sign_Data[[#This Row],[NEGOCIACIÓN ($COP)]])*1%</f>
        <v>762.00941293491803</v>
      </c>
      <c r="AG549" s="3">
        <f>+D.sign_Data[[#This Row],[VALOR NETO ($COP)]]+D.sign_Data[[#This Row],[NEGOCIACIÓN ($COP)]]+D.sign_Data[[#This Row],[ICA ($COP)]]+D.sign_Data[[#This Row],[4 * 1000 ($COP)]]</f>
        <v>77724.96011936164</v>
      </c>
    </row>
    <row r="550" spans="1:33" ht="60" hidden="1" customHeight="1" x14ac:dyDescent="0.25">
      <c r="A550" s="14"/>
      <c r="B550" s="87" t="s">
        <v>442</v>
      </c>
      <c r="C550" s="182" t="s">
        <v>852</v>
      </c>
      <c r="D550" s="189" t="str">
        <f>VLOOKUP(D.sign_Data[[#This Row],[CÓDIGO]],Descripciones[[CÓDIGO]:[NOMBRE DE SERVICIO]],3,FALSE)</f>
        <v>D1. Parcelaciones y Condominios</v>
      </c>
      <c r="E550" s="87" t="s">
        <v>497</v>
      </c>
      <c r="F550" s="88" t="s">
        <v>853</v>
      </c>
      <c r="G550" s="88" t="s">
        <v>536</v>
      </c>
      <c r="H550" s="87" t="s">
        <v>500</v>
      </c>
      <c r="I550" s="89">
        <v>1</v>
      </c>
      <c r="J550" s="88" t="s">
        <v>855</v>
      </c>
      <c r="K550" s="102"/>
      <c r="L550" s="88" t="s">
        <v>648</v>
      </c>
      <c r="M550" s="89" t="s">
        <v>381</v>
      </c>
      <c r="N550" s="90">
        <v>1</v>
      </c>
      <c r="O550" s="27">
        <f>IFERROR(+VLOOKUP(M550,D.sign_Lista_Data[[RESPONSABLE]:[SOFTWARE 
VALOR HORA]],3,FALSE),"0")</f>
        <v>20263.424518743668</v>
      </c>
      <c r="P550" s="3">
        <f t="shared" si="16"/>
        <v>20263.424518743668</v>
      </c>
      <c r="Q550" s="11">
        <f>IFERROR(+VLOOKUP(M550,D.sign_Lista_Data[[RESPONSABLE]:[SOFTWARE 
VALOR HORA]],5,FALSE)*D.sign_Data[[#This Row],[TIEMPO (HORAS)]],0)</f>
        <v>4221.5467747382636</v>
      </c>
      <c r="R550" s="42">
        <f>IFERROR(+VLOOKUP(M550,D.sign_Lista_Data[[RESPONSABLE]:[SOFTWARE 
VALOR HORA]],8,FALSE)*D.sign_Data[[#This Row],[TIEMPO (HORAS)]],0)</f>
        <v>3410.8548871439834</v>
      </c>
      <c r="S550" s="99">
        <v>0</v>
      </c>
      <c r="T550" s="99">
        <v>0</v>
      </c>
      <c r="U550" s="3">
        <f t="shared" si="17"/>
        <v>27895.826180625918</v>
      </c>
      <c r="V550" s="100">
        <f>D.sign_Data[[#This Row],[TIEMPO (HORAS)]]*Gastos_Operativos[[#Totals],[GASTOS HORA]]</f>
        <v>27789.477072310401</v>
      </c>
      <c r="W550" s="3">
        <f>+D.sign_Data[[#This Row],[COSTO 
DIRECTO ($COP)]]+D.sign_Data[[#This Row],[PRORRATEO GASTOS ($COP)]]</f>
        <v>55685.303252936319</v>
      </c>
      <c r="X550" s="101">
        <v>0.05</v>
      </c>
      <c r="Y550" s="15">
        <f>+D.sign_Data[[#This Row],[COSTOS OPERACIONALES ($COP)]]*D.sign_Data[[#This Row],[DESFASE (%)]]</f>
        <v>2784.265162646816</v>
      </c>
      <c r="Z550" s="101">
        <v>0.2</v>
      </c>
      <c r="AA550" s="15">
        <f>+((D.sign_Data[[#This Row],[COSTOS OPERACIONALES ($COP)]]/(100%-D.sign_Data[[#This Row],[UTILIDAD (%)]])))-D.sign_Data[[#This Row],[COSTOS OPERACIONALES ($COP)]]</f>
        <v>13921.325813234078</v>
      </c>
      <c r="AB550" s="3">
        <f>+D.sign_Data[[#This Row],[COSTOS OPERACIONALES ($COP)]]+D.sign_Data[[#This Row],[DESFASE ($COP)]]+D.sign_Data[[#This Row],[UTILIDAD ($COP)]]</f>
        <v>72390.894228817211</v>
      </c>
      <c r="AC550" s="101">
        <v>0.05</v>
      </c>
      <c r="AD550" s="15">
        <f>+D.sign_Data[[#This Row],[VALOR NETO ($COP)]]/(100%-D.sign_Data[[#This Row],[MARGEN DE NEGOCIACIÓN (%)]])-D.sign_Data[[#This Row],[VALOR NETO ($COP)]]</f>
        <v>3810.0470646745962</v>
      </c>
      <c r="AE550" s="15">
        <f>+(D.sign_Data[[#This Row],[VALOR NETO ($COP)]]+D.sign_Data[[#This Row],[NEGOCIACIÓN ($COP)]])*1%</f>
        <v>762.00941293491803</v>
      </c>
      <c r="AF550" s="15">
        <f>+(D.sign_Data[[#This Row],[VALOR NETO ($COP)]]+D.sign_Data[[#This Row],[NEGOCIACIÓN ($COP)]])*1%</f>
        <v>762.00941293491803</v>
      </c>
      <c r="AG550" s="3">
        <f>+D.sign_Data[[#This Row],[VALOR NETO ($COP)]]+D.sign_Data[[#This Row],[NEGOCIACIÓN ($COP)]]+D.sign_Data[[#This Row],[ICA ($COP)]]+D.sign_Data[[#This Row],[4 * 1000 ($COP)]]</f>
        <v>77724.96011936164</v>
      </c>
    </row>
    <row r="551" spans="1:33" ht="60" hidden="1" customHeight="1" x14ac:dyDescent="0.25">
      <c r="A551" s="14"/>
      <c r="B551" s="87" t="s">
        <v>442</v>
      </c>
      <c r="C551" s="182" t="s">
        <v>852</v>
      </c>
      <c r="D551" s="189" t="str">
        <f>VLOOKUP(D.sign_Data[[#This Row],[CÓDIGO]],Descripciones[[CÓDIGO]:[NOMBRE DE SERVICIO]],3,FALSE)</f>
        <v>D1. Parcelaciones y Condominios</v>
      </c>
      <c r="E551" s="87" t="s">
        <v>497</v>
      </c>
      <c r="F551" s="88" t="s">
        <v>853</v>
      </c>
      <c r="G551" s="88" t="s">
        <v>536</v>
      </c>
      <c r="H551" s="87" t="s">
        <v>500</v>
      </c>
      <c r="I551" s="89">
        <v>1</v>
      </c>
      <c r="J551" s="88" t="s">
        <v>856</v>
      </c>
      <c r="K551" s="102"/>
      <c r="L551" s="88" t="s">
        <v>841</v>
      </c>
      <c r="M551" s="89" t="s">
        <v>381</v>
      </c>
      <c r="N551" s="90">
        <v>1</v>
      </c>
      <c r="O551" s="27">
        <f>IFERROR(+VLOOKUP(M551,D.sign_Lista_Data[[RESPONSABLE]:[SOFTWARE 
VALOR HORA]],3,FALSE),"0")</f>
        <v>20263.424518743668</v>
      </c>
      <c r="P551" s="3">
        <f t="shared" si="16"/>
        <v>20263.424518743668</v>
      </c>
      <c r="Q551" s="11">
        <f>IFERROR(+VLOOKUP(M551,D.sign_Lista_Data[[RESPONSABLE]:[SOFTWARE 
VALOR HORA]],5,FALSE)*D.sign_Data[[#This Row],[TIEMPO (HORAS)]],0)</f>
        <v>4221.5467747382636</v>
      </c>
      <c r="R551" s="42">
        <f>IFERROR(+VLOOKUP(M551,D.sign_Lista_Data[[RESPONSABLE]:[SOFTWARE 
VALOR HORA]],8,FALSE)*D.sign_Data[[#This Row],[TIEMPO (HORAS)]],0)</f>
        <v>3410.8548871439834</v>
      </c>
      <c r="S551" s="99">
        <v>0</v>
      </c>
      <c r="T551" s="99">
        <v>0</v>
      </c>
      <c r="U551" s="3">
        <f t="shared" si="17"/>
        <v>27895.826180625918</v>
      </c>
      <c r="V551" s="100">
        <f>D.sign_Data[[#This Row],[TIEMPO (HORAS)]]*Gastos_Operativos[[#Totals],[GASTOS HORA]]</f>
        <v>27789.477072310401</v>
      </c>
      <c r="W551" s="3">
        <f>+D.sign_Data[[#This Row],[COSTO 
DIRECTO ($COP)]]+D.sign_Data[[#This Row],[PRORRATEO GASTOS ($COP)]]</f>
        <v>55685.303252936319</v>
      </c>
      <c r="X551" s="101">
        <v>0.05</v>
      </c>
      <c r="Y551" s="15">
        <f>+D.sign_Data[[#This Row],[COSTOS OPERACIONALES ($COP)]]*D.sign_Data[[#This Row],[DESFASE (%)]]</f>
        <v>2784.265162646816</v>
      </c>
      <c r="Z551" s="101">
        <v>0.2</v>
      </c>
      <c r="AA551" s="15">
        <f>+((D.sign_Data[[#This Row],[COSTOS OPERACIONALES ($COP)]]/(100%-D.sign_Data[[#This Row],[UTILIDAD (%)]])))-D.sign_Data[[#This Row],[COSTOS OPERACIONALES ($COP)]]</f>
        <v>13921.325813234078</v>
      </c>
      <c r="AB551" s="3">
        <f>+D.sign_Data[[#This Row],[COSTOS OPERACIONALES ($COP)]]+D.sign_Data[[#This Row],[DESFASE ($COP)]]+D.sign_Data[[#This Row],[UTILIDAD ($COP)]]</f>
        <v>72390.894228817211</v>
      </c>
      <c r="AC551" s="101">
        <v>0.05</v>
      </c>
      <c r="AD551" s="15">
        <f>+D.sign_Data[[#This Row],[VALOR NETO ($COP)]]/(100%-D.sign_Data[[#This Row],[MARGEN DE NEGOCIACIÓN (%)]])-D.sign_Data[[#This Row],[VALOR NETO ($COP)]]</f>
        <v>3810.0470646745962</v>
      </c>
      <c r="AE551" s="15">
        <f>+(D.sign_Data[[#This Row],[VALOR NETO ($COP)]]+D.sign_Data[[#This Row],[NEGOCIACIÓN ($COP)]])*1%</f>
        <v>762.00941293491803</v>
      </c>
      <c r="AF551" s="15">
        <f>+(D.sign_Data[[#This Row],[VALOR NETO ($COP)]]+D.sign_Data[[#This Row],[NEGOCIACIÓN ($COP)]])*1%</f>
        <v>762.00941293491803</v>
      </c>
      <c r="AG551" s="3">
        <f>+D.sign_Data[[#This Row],[VALOR NETO ($COP)]]+D.sign_Data[[#This Row],[NEGOCIACIÓN ($COP)]]+D.sign_Data[[#This Row],[ICA ($COP)]]+D.sign_Data[[#This Row],[4 * 1000 ($COP)]]</f>
        <v>77724.96011936164</v>
      </c>
    </row>
    <row r="552" spans="1:33" ht="60" hidden="1" customHeight="1" x14ac:dyDescent="0.25">
      <c r="A552" s="14"/>
      <c r="B552" s="87" t="s">
        <v>442</v>
      </c>
      <c r="C552" s="182" t="s">
        <v>852</v>
      </c>
      <c r="D552" s="189" t="str">
        <f>VLOOKUP(D.sign_Data[[#This Row],[CÓDIGO]],Descripciones[[CÓDIGO]:[NOMBRE DE SERVICIO]],3,FALSE)</f>
        <v>D1. Parcelaciones y Condominios</v>
      </c>
      <c r="E552" s="87" t="s">
        <v>497</v>
      </c>
      <c r="F552" s="88" t="s">
        <v>853</v>
      </c>
      <c r="G552" s="88" t="s">
        <v>536</v>
      </c>
      <c r="H552" s="87" t="s">
        <v>500</v>
      </c>
      <c r="I552" s="89">
        <v>1</v>
      </c>
      <c r="J552" s="88" t="s">
        <v>856</v>
      </c>
      <c r="K552" s="102"/>
      <c r="L552" s="88" t="s">
        <v>842</v>
      </c>
      <c r="M552" s="89" t="s">
        <v>381</v>
      </c>
      <c r="N552" s="90">
        <v>0.5</v>
      </c>
      <c r="O552" s="27">
        <f>IFERROR(+VLOOKUP(M552,D.sign_Lista_Data[[RESPONSABLE]:[SOFTWARE 
VALOR HORA]],3,FALSE),"0")</f>
        <v>20263.424518743668</v>
      </c>
      <c r="P552" s="3">
        <f t="shared" si="16"/>
        <v>10131.712259371834</v>
      </c>
      <c r="Q552" s="11">
        <f>IFERROR(+VLOOKUP(M552,D.sign_Lista_Data[[RESPONSABLE]:[SOFTWARE 
VALOR HORA]],5,FALSE)*D.sign_Data[[#This Row],[TIEMPO (HORAS)]],0)</f>
        <v>2110.7733873691318</v>
      </c>
      <c r="R552" s="42">
        <f>IFERROR(+VLOOKUP(M552,D.sign_Lista_Data[[RESPONSABLE]:[SOFTWARE 
VALOR HORA]],8,FALSE)*D.sign_Data[[#This Row],[TIEMPO (HORAS)]],0)</f>
        <v>1705.4274435719917</v>
      </c>
      <c r="S552" s="99">
        <v>0</v>
      </c>
      <c r="T552" s="99">
        <v>0</v>
      </c>
      <c r="U552" s="3">
        <f t="shared" si="17"/>
        <v>13947.913090312959</v>
      </c>
      <c r="V552" s="100">
        <f>D.sign_Data[[#This Row],[TIEMPO (HORAS)]]*Gastos_Operativos[[#Totals],[GASTOS HORA]]</f>
        <v>13894.738536155201</v>
      </c>
      <c r="W552" s="3">
        <f>+D.sign_Data[[#This Row],[COSTO 
DIRECTO ($COP)]]+D.sign_Data[[#This Row],[PRORRATEO GASTOS ($COP)]]</f>
        <v>27842.65162646816</v>
      </c>
      <c r="X552" s="101">
        <v>0.05</v>
      </c>
      <c r="Y552" s="15">
        <f>+D.sign_Data[[#This Row],[COSTOS OPERACIONALES ($COP)]]*D.sign_Data[[#This Row],[DESFASE (%)]]</f>
        <v>1392.132581323408</v>
      </c>
      <c r="Z552" s="101">
        <v>0.2</v>
      </c>
      <c r="AA552" s="15">
        <f>+((D.sign_Data[[#This Row],[COSTOS OPERACIONALES ($COP)]]/(100%-D.sign_Data[[#This Row],[UTILIDAD (%)]])))-D.sign_Data[[#This Row],[COSTOS OPERACIONALES ($COP)]]</f>
        <v>6960.662906617039</v>
      </c>
      <c r="AB552" s="3">
        <f>+D.sign_Data[[#This Row],[COSTOS OPERACIONALES ($COP)]]+D.sign_Data[[#This Row],[DESFASE ($COP)]]+D.sign_Data[[#This Row],[UTILIDAD ($COP)]]</f>
        <v>36195.447114408606</v>
      </c>
      <c r="AC552" s="101">
        <v>0.05</v>
      </c>
      <c r="AD552" s="15">
        <f>+D.sign_Data[[#This Row],[VALOR NETO ($COP)]]/(100%-D.sign_Data[[#This Row],[MARGEN DE NEGOCIACIÓN (%)]])-D.sign_Data[[#This Row],[VALOR NETO ($COP)]]</f>
        <v>1905.0235323372981</v>
      </c>
      <c r="AE552" s="15">
        <f>+(D.sign_Data[[#This Row],[VALOR NETO ($COP)]]+D.sign_Data[[#This Row],[NEGOCIACIÓN ($COP)]])*1%</f>
        <v>381.00470646745902</v>
      </c>
      <c r="AF552" s="15">
        <f>+(D.sign_Data[[#This Row],[VALOR NETO ($COP)]]+D.sign_Data[[#This Row],[NEGOCIACIÓN ($COP)]])*1%</f>
        <v>381.00470646745902</v>
      </c>
      <c r="AG552" s="3">
        <f>+D.sign_Data[[#This Row],[VALOR NETO ($COP)]]+D.sign_Data[[#This Row],[NEGOCIACIÓN ($COP)]]+D.sign_Data[[#This Row],[ICA ($COP)]]+D.sign_Data[[#This Row],[4 * 1000 ($COP)]]</f>
        <v>38862.48005968082</v>
      </c>
    </row>
    <row r="553" spans="1:33" ht="60" hidden="1" customHeight="1" x14ac:dyDescent="0.25">
      <c r="A553" s="14"/>
      <c r="B553" s="87" t="s">
        <v>442</v>
      </c>
      <c r="C553" s="182" t="s">
        <v>852</v>
      </c>
      <c r="D553" s="189" t="str">
        <f>VLOOKUP(D.sign_Data[[#This Row],[CÓDIGO]],Descripciones[[CÓDIGO]:[NOMBRE DE SERVICIO]],3,FALSE)</f>
        <v>D1. Parcelaciones y Condominios</v>
      </c>
      <c r="E553" s="87" t="s">
        <v>497</v>
      </c>
      <c r="F553" s="88" t="s">
        <v>853</v>
      </c>
      <c r="G553" s="88" t="s">
        <v>536</v>
      </c>
      <c r="H553" s="87" t="s">
        <v>500</v>
      </c>
      <c r="I553" s="89">
        <v>1</v>
      </c>
      <c r="J553" s="88" t="s">
        <v>856</v>
      </c>
      <c r="K553" s="102"/>
      <c r="L553" s="88" t="s">
        <v>843</v>
      </c>
      <c r="M553" s="89" t="s">
        <v>381</v>
      </c>
      <c r="N553" s="90">
        <v>2</v>
      </c>
      <c r="O553" s="27">
        <f>IFERROR(+VLOOKUP(M553,D.sign_Lista_Data[[RESPONSABLE]:[SOFTWARE 
VALOR HORA]],3,FALSE),"0")</f>
        <v>20263.424518743668</v>
      </c>
      <c r="P553" s="3">
        <f t="shared" si="16"/>
        <v>40526.849037487336</v>
      </c>
      <c r="Q553" s="11">
        <f>IFERROR(+VLOOKUP(M553,D.sign_Lista_Data[[RESPONSABLE]:[SOFTWARE 
VALOR HORA]],5,FALSE)*D.sign_Data[[#This Row],[TIEMPO (HORAS)]],0)</f>
        <v>8443.0935494765272</v>
      </c>
      <c r="R553" s="42">
        <f>IFERROR(+VLOOKUP(M553,D.sign_Lista_Data[[RESPONSABLE]:[SOFTWARE 
VALOR HORA]],8,FALSE)*D.sign_Data[[#This Row],[TIEMPO (HORAS)]],0)</f>
        <v>6821.7097742879669</v>
      </c>
      <c r="S553" s="99">
        <v>0</v>
      </c>
      <c r="T553" s="99">
        <v>0</v>
      </c>
      <c r="U553" s="3">
        <f t="shared" si="17"/>
        <v>55791.652361251836</v>
      </c>
      <c r="V553" s="100">
        <f>D.sign_Data[[#This Row],[TIEMPO (HORAS)]]*Gastos_Operativos[[#Totals],[GASTOS HORA]]</f>
        <v>55578.954144620802</v>
      </c>
      <c r="W553" s="3">
        <f>+D.sign_Data[[#This Row],[COSTO 
DIRECTO ($COP)]]+D.sign_Data[[#This Row],[PRORRATEO GASTOS ($COP)]]</f>
        <v>111370.60650587264</v>
      </c>
      <c r="X553" s="101">
        <v>0.05</v>
      </c>
      <c r="Y553" s="15">
        <f>+D.sign_Data[[#This Row],[COSTOS OPERACIONALES ($COP)]]*D.sign_Data[[#This Row],[DESFASE (%)]]</f>
        <v>5568.5303252936319</v>
      </c>
      <c r="Z553" s="101">
        <v>0.2</v>
      </c>
      <c r="AA553" s="15">
        <f>+((D.sign_Data[[#This Row],[COSTOS OPERACIONALES ($COP)]]/(100%-D.sign_Data[[#This Row],[UTILIDAD (%)]])))-D.sign_Data[[#This Row],[COSTOS OPERACIONALES ($COP)]]</f>
        <v>27842.651626468156</v>
      </c>
      <c r="AB553" s="3">
        <f>+D.sign_Data[[#This Row],[COSTOS OPERACIONALES ($COP)]]+D.sign_Data[[#This Row],[DESFASE ($COP)]]+D.sign_Data[[#This Row],[UTILIDAD ($COP)]]</f>
        <v>144781.78845763442</v>
      </c>
      <c r="AC553" s="101">
        <v>0.05</v>
      </c>
      <c r="AD553" s="15">
        <f>+D.sign_Data[[#This Row],[VALOR NETO ($COP)]]/(100%-D.sign_Data[[#This Row],[MARGEN DE NEGOCIACIÓN (%)]])-D.sign_Data[[#This Row],[VALOR NETO ($COP)]]</f>
        <v>7620.0941293491924</v>
      </c>
      <c r="AE553" s="15">
        <f>+(D.sign_Data[[#This Row],[VALOR NETO ($COP)]]+D.sign_Data[[#This Row],[NEGOCIACIÓN ($COP)]])*1%</f>
        <v>1524.0188258698361</v>
      </c>
      <c r="AF553" s="15">
        <f>+(D.sign_Data[[#This Row],[VALOR NETO ($COP)]]+D.sign_Data[[#This Row],[NEGOCIACIÓN ($COP)]])*1%</f>
        <v>1524.0188258698361</v>
      </c>
      <c r="AG553" s="3">
        <f>+D.sign_Data[[#This Row],[VALOR NETO ($COP)]]+D.sign_Data[[#This Row],[NEGOCIACIÓN ($COP)]]+D.sign_Data[[#This Row],[ICA ($COP)]]+D.sign_Data[[#This Row],[4 * 1000 ($COP)]]</f>
        <v>155449.92023872328</v>
      </c>
    </row>
    <row r="554" spans="1:33" ht="60" hidden="1" customHeight="1" x14ac:dyDescent="0.25">
      <c r="A554" s="14"/>
      <c r="B554" s="87" t="s">
        <v>442</v>
      </c>
      <c r="C554" s="182" t="s">
        <v>852</v>
      </c>
      <c r="D554" s="189" t="str">
        <f>VLOOKUP(D.sign_Data[[#This Row],[CÓDIGO]],Descripciones[[CÓDIGO]:[NOMBRE DE SERVICIO]],3,FALSE)</f>
        <v>D1. Parcelaciones y Condominios</v>
      </c>
      <c r="E554" s="87" t="s">
        <v>497</v>
      </c>
      <c r="F554" s="88" t="s">
        <v>853</v>
      </c>
      <c r="G554" s="88" t="s">
        <v>536</v>
      </c>
      <c r="H554" s="87" t="s">
        <v>500</v>
      </c>
      <c r="I554" s="89">
        <v>1</v>
      </c>
      <c r="J554" s="88" t="s">
        <v>856</v>
      </c>
      <c r="K554" s="102"/>
      <c r="L554" s="88" t="s">
        <v>844</v>
      </c>
      <c r="M554" s="89" t="s">
        <v>381</v>
      </c>
      <c r="N554" s="90">
        <v>0.5</v>
      </c>
      <c r="O554" s="27">
        <f>IFERROR(+VLOOKUP(M554,D.sign_Lista_Data[[RESPONSABLE]:[SOFTWARE 
VALOR HORA]],3,FALSE),"0")</f>
        <v>20263.424518743668</v>
      </c>
      <c r="P554" s="3">
        <f t="shared" si="16"/>
        <v>10131.712259371834</v>
      </c>
      <c r="Q554" s="11">
        <f>IFERROR(+VLOOKUP(M554,D.sign_Lista_Data[[RESPONSABLE]:[SOFTWARE 
VALOR HORA]],5,FALSE)*D.sign_Data[[#This Row],[TIEMPO (HORAS)]],0)</f>
        <v>2110.7733873691318</v>
      </c>
      <c r="R554" s="42">
        <f>IFERROR(+VLOOKUP(M554,D.sign_Lista_Data[[RESPONSABLE]:[SOFTWARE 
VALOR HORA]],8,FALSE)*D.sign_Data[[#This Row],[TIEMPO (HORAS)]],0)</f>
        <v>1705.4274435719917</v>
      </c>
      <c r="S554" s="99">
        <v>0</v>
      </c>
      <c r="T554" s="99">
        <v>0</v>
      </c>
      <c r="U554" s="3">
        <f t="shared" si="17"/>
        <v>13947.913090312959</v>
      </c>
      <c r="V554" s="100">
        <f>D.sign_Data[[#This Row],[TIEMPO (HORAS)]]*Gastos_Operativos[[#Totals],[GASTOS HORA]]</f>
        <v>13894.738536155201</v>
      </c>
      <c r="W554" s="3">
        <f>+D.sign_Data[[#This Row],[COSTO 
DIRECTO ($COP)]]+D.sign_Data[[#This Row],[PRORRATEO GASTOS ($COP)]]</f>
        <v>27842.65162646816</v>
      </c>
      <c r="X554" s="101">
        <v>0.05</v>
      </c>
      <c r="Y554" s="15">
        <f>+D.sign_Data[[#This Row],[COSTOS OPERACIONALES ($COP)]]*D.sign_Data[[#This Row],[DESFASE (%)]]</f>
        <v>1392.132581323408</v>
      </c>
      <c r="Z554" s="101">
        <v>0.2</v>
      </c>
      <c r="AA554" s="15">
        <f>+((D.sign_Data[[#This Row],[COSTOS OPERACIONALES ($COP)]]/(100%-D.sign_Data[[#This Row],[UTILIDAD (%)]])))-D.sign_Data[[#This Row],[COSTOS OPERACIONALES ($COP)]]</f>
        <v>6960.662906617039</v>
      </c>
      <c r="AB554" s="3">
        <f>+D.sign_Data[[#This Row],[COSTOS OPERACIONALES ($COP)]]+D.sign_Data[[#This Row],[DESFASE ($COP)]]+D.sign_Data[[#This Row],[UTILIDAD ($COP)]]</f>
        <v>36195.447114408606</v>
      </c>
      <c r="AC554" s="101">
        <v>0.05</v>
      </c>
      <c r="AD554" s="15">
        <f>+D.sign_Data[[#This Row],[VALOR NETO ($COP)]]/(100%-D.sign_Data[[#This Row],[MARGEN DE NEGOCIACIÓN (%)]])-D.sign_Data[[#This Row],[VALOR NETO ($COP)]]</f>
        <v>1905.0235323372981</v>
      </c>
      <c r="AE554" s="15">
        <f>+(D.sign_Data[[#This Row],[VALOR NETO ($COP)]]+D.sign_Data[[#This Row],[NEGOCIACIÓN ($COP)]])*1%</f>
        <v>381.00470646745902</v>
      </c>
      <c r="AF554" s="15">
        <f>+(D.sign_Data[[#This Row],[VALOR NETO ($COP)]]+D.sign_Data[[#This Row],[NEGOCIACIÓN ($COP)]])*1%</f>
        <v>381.00470646745902</v>
      </c>
      <c r="AG554" s="3">
        <f>+D.sign_Data[[#This Row],[VALOR NETO ($COP)]]+D.sign_Data[[#This Row],[NEGOCIACIÓN ($COP)]]+D.sign_Data[[#This Row],[ICA ($COP)]]+D.sign_Data[[#This Row],[4 * 1000 ($COP)]]</f>
        <v>38862.48005968082</v>
      </c>
    </row>
    <row r="555" spans="1:33" ht="60" hidden="1" customHeight="1" x14ac:dyDescent="0.25">
      <c r="A555" s="14"/>
      <c r="B555" s="87" t="s">
        <v>442</v>
      </c>
      <c r="C555" s="182" t="s">
        <v>852</v>
      </c>
      <c r="D555" s="189" t="str">
        <f>VLOOKUP(D.sign_Data[[#This Row],[CÓDIGO]],Descripciones[[CÓDIGO]:[NOMBRE DE SERVICIO]],3,FALSE)</f>
        <v>D1. Parcelaciones y Condominios</v>
      </c>
      <c r="E555" s="87" t="s">
        <v>497</v>
      </c>
      <c r="F555" s="88" t="s">
        <v>853</v>
      </c>
      <c r="G555" s="88" t="s">
        <v>536</v>
      </c>
      <c r="H555" s="87" t="s">
        <v>500</v>
      </c>
      <c r="I555" s="89">
        <v>1</v>
      </c>
      <c r="J555" s="88" t="s">
        <v>856</v>
      </c>
      <c r="K555" s="102"/>
      <c r="L555" s="88" t="s">
        <v>743</v>
      </c>
      <c r="M555" s="89" t="s">
        <v>381</v>
      </c>
      <c r="N555" s="90">
        <v>0.5</v>
      </c>
      <c r="O555" s="27">
        <f>IFERROR(+VLOOKUP(M555,D.sign_Lista_Data[[RESPONSABLE]:[SOFTWARE 
VALOR HORA]],3,FALSE),"0")</f>
        <v>20263.424518743668</v>
      </c>
      <c r="P555" s="3">
        <f t="shared" si="16"/>
        <v>10131.712259371834</v>
      </c>
      <c r="Q555" s="11">
        <f>IFERROR(+VLOOKUP(M555,D.sign_Lista_Data[[RESPONSABLE]:[SOFTWARE 
VALOR HORA]],5,FALSE)*D.sign_Data[[#This Row],[TIEMPO (HORAS)]],0)</f>
        <v>2110.7733873691318</v>
      </c>
      <c r="R555" s="42">
        <f>IFERROR(+VLOOKUP(M555,D.sign_Lista_Data[[RESPONSABLE]:[SOFTWARE 
VALOR HORA]],8,FALSE)*D.sign_Data[[#This Row],[TIEMPO (HORAS)]],0)</f>
        <v>1705.4274435719917</v>
      </c>
      <c r="S555" s="99">
        <v>0</v>
      </c>
      <c r="T555" s="99">
        <v>0</v>
      </c>
      <c r="U555" s="3">
        <f t="shared" si="17"/>
        <v>13947.913090312959</v>
      </c>
      <c r="V555" s="100">
        <f>D.sign_Data[[#This Row],[TIEMPO (HORAS)]]*Gastos_Operativos[[#Totals],[GASTOS HORA]]</f>
        <v>13894.738536155201</v>
      </c>
      <c r="W555" s="3">
        <f>+D.sign_Data[[#This Row],[COSTO 
DIRECTO ($COP)]]+D.sign_Data[[#This Row],[PRORRATEO GASTOS ($COP)]]</f>
        <v>27842.65162646816</v>
      </c>
      <c r="X555" s="101">
        <v>0.05</v>
      </c>
      <c r="Y555" s="15">
        <f>+D.sign_Data[[#This Row],[COSTOS OPERACIONALES ($COP)]]*D.sign_Data[[#This Row],[DESFASE (%)]]</f>
        <v>1392.132581323408</v>
      </c>
      <c r="Z555" s="101">
        <v>0.2</v>
      </c>
      <c r="AA555" s="15">
        <f>+((D.sign_Data[[#This Row],[COSTOS OPERACIONALES ($COP)]]/(100%-D.sign_Data[[#This Row],[UTILIDAD (%)]])))-D.sign_Data[[#This Row],[COSTOS OPERACIONALES ($COP)]]</f>
        <v>6960.662906617039</v>
      </c>
      <c r="AB555" s="3">
        <f>+D.sign_Data[[#This Row],[COSTOS OPERACIONALES ($COP)]]+D.sign_Data[[#This Row],[DESFASE ($COP)]]+D.sign_Data[[#This Row],[UTILIDAD ($COP)]]</f>
        <v>36195.447114408606</v>
      </c>
      <c r="AC555" s="101">
        <v>0.05</v>
      </c>
      <c r="AD555" s="15">
        <f>+D.sign_Data[[#This Row],[VALOR NETO ($COP)]]/(100%-D.sign_Data[[#This Row],[MARGEN DE NEGOCIACIÓN (%)]])-D.sign_Data[[#This Row],[VALOR NETO ($COP)]]</f>
        <v>1905.0235323372981</v>
      </c>
      <c r="AE555" s="15">
        <f>+(D.sign_Data[[#This Row],[VALOR NETO ($COP)]]+D.sign_Data[[#This Row],[NEGOCIACIÓN ($COP)]])*1%</f>
        <v>381.00470646745902</v>
      </c>
      <c r="AF555" s="15">
        <f>+(D.sign_Data[[#This Row],[VALOR NETO ($COP)]]+D.sign_Data[[#This Row],[NEGOCIACIÓN ($COP)]])*1%</f>
        <v>381.00470646745902</v>
      </c>
      <c r="AG555" s="3">
        <f>+D.sign_Data[[#This Row],[VALOR NETO ($COP)]]+D.sign_Data[[#This Row],[NEGOCIACIÓN ($COP)]]+D.sign_Data[[#This Row],[ICA ($COP)]]+D.sign_Data[[#This Row],[4 * 1000 ($COP)]]</f>
        <v>38862.48005968082</v>
      </c>
    </row>
    <row r="556" spans="1:33" ht="60" hidden="1" customHeight="1" x14ac:dyDescent="0.25">
      <c r="A556" s="14"/>
      <c r="B556" s="87" t="s">
        <v>442</v>
      </c>
      <c r="C556" s="182" t="s">
        <v>852</v>
      </c>
      <c r="D556" s="189" t="str">
        <f>VLOOKUP(D.sign_Data[[#This Row],[CÓDIGO]],Descripciones[[CÓDIGO]:[NOMBRE DE SERVICIO]],3,FALSE)</f>
        <v>D1. Parcelaciones y Condominios</v>
      </c>
      <c r="E556" s="87" t="s">
        <v>497</v>
      </c>
      <c r="F556" s="88" t="s">
        <v>853</v>
      </c>
      <c r="G556" s="88" t="s">
        <v>536</v>
      </c>
      <c r="H556" s="87" t="s">
        <v>500</v>
      </c>
      <c r="I556" s="89">
        <v>1</v>
      </c>
      <c r="J556" s="88" t="s">
        <v>857</v>
      </c>
      <c r="K556" s="102"/>
      <c r="L556" s="88" t="s">
        <v>858</v>
      </c>
      <c r="M556" s="89" t="s">
        <v>381</v>
      </c>
      <c r="N556" s="90">
        <v>2.5</v>
      </c>
      <c r="O556" s="27">
        <f>IFERROR(+VLOOKUP(M556,D.sign_Lista_Data[[RESPONSABLE]:[SOFTWARE 
VALOR HORA]],3,FALSE),"0")</f>
        <v>20263.424518743668</v>
      </c>
      <c r="P556" s="3">
        <f t="shared" si="16"/>
        <v>50658.561296859174</v>
      </c>
      <c r="Q556" s="11">
        <f>IFERROR(+VLOOKUP(M556,D.sign_Lista_Data[[RESPONSABLE]:[SOFTWARE 
VALOR HORA]],5,FALSE)*D.sign_Data[[#This Row],[TIEMPO (HORAS)]],0)</f>
        <v>10553.866936845659</v>
      </c>
      <c r="R556" s="42">
        <f>IFERROR(+VLOOKUP(M556,D.sign_Lista_Data[[RESPONSABLE]:[SOFTWARE 
VALOR HORA]],8,FALSE)*D.sign_Data[[#This Row],[TIEMPO (HORAS)]],0)</f>
        <v>8527.1372178599595</v>
      </c>
      <c r="S556" s="99">
        <v>0</v>
      </c>
      <c r="T556" s="99">
        <v>0</v>
      </c>
      <c r="U556" s="3">
        <f t="shared" si="17"/>
        <v>69739.565451564791</v>
      </c>
      <c r="V556" s="100">
        <f>D.sign_Data[[#This Row],[TIEMPO (HORAS)]]*Gastos_Operativos[[#Totals],[GASTOS HORA]]</f>
        <v>69473.692680776003</v>
      </c>
      <c r="W556" s="3">
        <f>+D.sign_Data[[#This Row],[COSTO 
DIRECTO ($COP)]]+D.sign_Data[[#This Row],[PRORRATEO GASTOS ($COP)]]</f>
        <v>139213.25813234079</v>
      </c>
      <c r="X556" s="101">
        <v>0.05</v>
      </c>
      <c r="Y556" s="15">
        <f>+D.sign_Data[[#This Row],[COSTOS OPERACIONALES ($COP)]]*D.sign_Data[[#This Row],[DESFASE (%)]]</f>
        <v>6960.6629066170399</v>
      </c>
      <c r="Z556" s="101">
        <v>0.2</v>
      </c>
      <c r="AA556" s="15">
        <f>+((D.sign_Data[[#This Row],[COSTOS OPERACIONALES ($COP)]]/(100%-D.sign_Data[[#This Row],[UTILIDAD (%)]])))-D.sign_Data[[#This Row],[COSTOS OPERACIONALES ($COP)]]</f>
        <v>34803.314533085184</v>
      </c>
      <c r="AB556" s="3">
        <f>+D.sign_Data[[#This Row],[COSTOS OPERACIONALES ($COP)]]+D.sign_Data[[#This Row],[DESFASE ($COP)]]+D.sign_Data[[#This Row],[UTILIDAD ($COP)]]</f>
        <v>180977.23557204302</v>
      </c>
      <c r="AC556" s="101">
        <v>0.05</v>
      </c>
      <c r="AD556" s="15">
        <f>+D.sign_Data[[#This Row],[VALOR NETO ($COP)]]/(100%-D.sign_Data[[#This Row],[MARGEN DE NEGOCIACIÓN (%)]])-D.sign_Data[[#This Row],[VALOR NETO ($COP)]]</f>
        <v>9525.1176616864977</v>
      </c>
      <c r="AE556" s="15">
        <f>+(D.sign_Data[[#This Row],[VALOR NETO ($COP)]]+D.sign_Data[[#This Row],[NEGOCIACIÓN ($COP)]])*1%</f>
        <v>1905.0235323372951</v>
      </c>
      <c r="AF556" s="15">
        <f>+(D.sign_Data[[#This Row],[VALOR NETO ($COP)]]+D.sign_Data[[#This Row],[NEGOCIACIÓN ($COP)]])*1%</f>
        <v>1905.0235323372951</v>
      </c>
      <c r="AG556" s="3">
        <f>+D.sign_Data[[#This Row],[VALOR NETO ($COP)]]+D.sign_Data[[#This Row],[NEGOCIACIÓN ($COP)]]+D.sign_Data[[#This Row],[ICA ($COP)]]+D.sign_Data[[#This Row],[4 * 1000 ($COP)]]</f>
        <v>194312.40029840413</v>
      </c>
    </row>
    <row r="557" spans="1:33" ht="60" hidden="1" customHeight="1" x14ac:dyDescent="0.25">
      <c r="A557" s="14"/>
      <c r="B557" s="87" t="s">
        <v>442</v>
      </c>
      <c r="C557" s="182" t="s">
        <v>852</v>
      </c>
      <c r="D557" s="189" t="str">
        <f>VLOOKUP(D.sign_Data[[#This Row],[CÓDIGO]],Descripciones[[CÓDIGO]:[NOMBRE DE SERVICIO]],3,FALSE)</f>
        <v>D1. Parcelaciones y Condominios</v>
      </c>
      <c r="E557" s="87" t="s">
        <v>497</v>
      </c>
      <c r="F557" s="88" t="s">
        <v>853</v>
      </c>
      <c r="G557" s="88" t="s">
        <v>536</v>
      </c>
      <c r="H557" s="87" t="s">
        <v>500</v>
      </c>
      <c r="I557" s="89">
        <v>1</v>
      </c>
      <c r="J557" s="88" t="s">
        <v>859</v>
      </c>
      <c r="K557" s="102"/>
      <c r="L557" s="88" t="s">
        <v>860</v>
      </c>
      <c r="M557" s="89" t="s">
        <v>381</v>
      </c>
      <c r="N557" s="90">
        <v>0.5</v>
      </c>
      <c r="O557" s="27">
        <f>IFERROR(+VLOOKUP(M557,D.sign_Lista_Data[[RESPONSABLE]:[SOFTWARE 
VALOR HORA]],3,FALSE),"0")</f>
        <v>20263.424518743668</v>
      </c>
      <c r="P557" s="3">
        <f t="shared" si="16"/>
        <v>10131.712259371834</v>
      </c>
      <c r="Q557" s="11">
        <f>IFERROR(+VLOOKUP(M557,D.sign_Lista_Data[[RESPONSABLE]:[SOFTWARE 
VALOR HORA]],5,FALSE)*D.sign_Data[[#This Row],[TIEMPO (HORAS)]],0)</f>
        <v>2110.7733873691318</v>
      </c>
      <c r="R557" s="42">
        <f>IFERROR(+VLOOKUP(M557,D.sign_Lista_Data[[RESPONSABLE]:[SOFTWARE 
VALOR HORA]],8,FALSE)*D.sign_Data[[#This Row],[TIEMPO (HORAS)]],0)</f>
        <v>1705.4274435719917</v>
      </c>
      <c r="S557" s="99">
        <v>0</v>
      </c>
      <c r="T557" s="99">
        <v>0</v>
      </c>
      <c r="U557" s="3">
        <f t="shared" si="17"/>
        <v>13947.913090312959</v>
      </c>
      <c r="V557" s="100">
        <f>D.sign_Data[[#This Row],[TIEMPO (HORAS)]]*Gastos_Operativos[[#Totals],[GASTOS HORA]]</f>
        <v>13894.738536155201</v>
      </c>
      <c r="W557" s="3">
        <f>+D.sign_Data[[#This Row],[COSTO 
DIRECTO ($COP)]]+D.sign_Data[[#This Row],[PRORRATEO GASTOS ($COP)]]</f>
        <v>27842.65162646816</v>
      </c>
      <c r="X557" s="101">
        <v>0.05</v>
      </c>
      <c r="Y557" s="15">
        <f>+D.sign_Data[[#This Row],[COSTOS OPERACIONALES ($COP)]]*D.sign_Data[[#This Row],[DESFASE (%)]]</f>
        <v>1392.132581323408</v>
      </c>
      <c r="Z557" s="101">
        <v>0.2</v>
      </c>
      <c r="AA557" s="15">
        <f>+((D.sign_Data[[#This Row],[COSTOS OPERACIONALES ($COP)]]/(100%-D.sign_Data[[#This Row],[UTILIDAD (%)]])))-D.sign_Data[[#This Row],[COSTOS OPERACIONALES ($COP)]]</f>
        <v>6960.662906617039</v>
      </c>
      <c r="AB557" s="3">
        <f>+D.sign_Data[[#This Row],[COSTOS OPERACIONALES ($COP)]]+D.sign_Data[[#This Row],[DESFASE ($COP)]]+D.sign_Data[[#This Row],[UTILIDAD ($COP)]]</f>
        <v>36195.447114408606</v>
      </c>
      <c r="AC557" s="101">
        <v>0.05</v>
      </c>
      <c r="AD557" s="15">
        <f>+D.sign_Data[[#This Row],[VALOR NETO ($COP)]]/(100%-D.sign_Data[[#This Row],[MARGEN DE NEGOCIACIÓN (%)]])-D.sign_Data[[#This Row],[VALOR NETO ($COP)]]</f>
        <v>1905.0235323372981</v>
      </c>
      <c r="AE557" s="15">
        <f>+(D.sign_Data[[#This Row],[VALOR NETO ($COP)]]+D.sign_Data[[#This Row],[NEGOCIACIÓN ($COP)]])*1%</f>
        <v>381.00470646745902</v>
      </c>
      <c r="AF557" s="15">
        <f>+(D.sign_Data[[#This Row],[VALOR NETO ($COP)]]+D.sign_Data[[#This Row],[NEGOCIACIÓN ($COP)]])*1%</f>
        <v>381.00470646745902</v>
      </c>
      <c r="AG557" s="3">
        <f>+D.sign_Data[[#This Row],[VALOR NETO ($COP)]]+D.sign_Data[[#This Row],[NEGOCIACIÓN ($COP)]]+D.sign_Data[[#This Row],[ICA ($COP)]]+D.sign_Data[[#This Row],[4 * 1000 ($COP)]]</f>
        <v>38862.48005968082</v>
      </c>
    </row>
    <row r="558" spans="1:33" ht="60" hidden="1" customHeight="1" x14ac:dyDescent="0.25">
      <c r="A558" s="14"/>
      <c r="B558" s="87" t="s">
        <v>442</v>
      </c>
      <c r="C558" s="182" t="s">
        <v>852</v>
      </c>
      <c r="D558" s="189" t="str">
        <f>VLOOKUP(D.sign_Data[[#This Row],[CÓDIGO]],Descripciones[[CÓDIGO]:[NOMBRE DE SERVICIO]],3,FALSE)</f>
        <v>D1. Parcelaciones y Condominios</v>
      </c>
      <c r="E558" s="87" t="s">
        <v>497</v>
      </c>
      <c r="F558" s="88" t="s">
        <v>853</v>
      </c>
      <c r="G558" s="88" t="s">
        <v>536</v>
      </c>
      <c r="H558" s="87" t="s">
        <v>500</v>
      </c>
      <c r="I558" s="89">
        <v>1</v>
      </c>
      <c r="J558" s="88" t="s">
        <v>859</v>
      </c>
      <c r="K558" s="102"/>
      <c r="L558" s="88" t="s">
        <v>861</v>
      </c>
      <c r="M558" s="89" t="s">
        <v>381</v>
      </c>
      <c r="N558" s="90">
        <v>0.5</v>
      </c>
      <c r="O558" s="27">
        <f>IFERROR(+VLOOKUP(M558,D.sign_Lista_Data[[RESPONSABLE]:[SOFTWARE 
VALOR HORA]],3,FALSE),"0")</f>
        <v>20263.424518743668</v>
      </c>
      <c r="P558" s="3">
        <f t="shared" ref="P558:P620" si="20">+O558*N558</f>
        <v>10131.712259371834</v>
      </c>
      <c r="Q558" s="11">
        <f>IFERROR(+VLOOKUP(M558,D.sign_Lista_Data[[RESPONSABLE]:[SOFTWARE 
VALOR HORA]],5,FALSE)*D.sign_Data[[#This Row],[TIEMPO (HORAS)]],0)</f>
        <v>2110.7733873691318</v>
      </c>
      <c r="R558" s="42">
        <f>IFERROR(+VLOOKUP(M558,D.sign_Lista_Data[[RESPONSABLE]:[SOFTWARE 
VALOR HORA]],8,FALSE)*D.sign_Data[[#This Row],[TIEMPO (HORAS)]],0)</f>
        <v>1705.4274435719917</v>
      </c>
      <c r="S558" s="99">
        <v>0</v>
      </c>
      <c r="T558" s="99">
        <v>0</v>
      </c>
      <c r="U558" s="3">
        <f t="shared" ref="U558:U620" si="21">SUM(P558:T558)</f>
        <v>13947.913090312959</v>
      </c>
      <c r="V558" s="100">
        <f>D.sign_Data[[#This Row],[TIEMPO (HORAS)]]*Gastos_Operativos[[#Totals],[GASTOS HORA]]</f>
        <v>13894.738536155201</v>
      </c>
      <c r="W558" s="3">
        <f>+D.sign_Data[[#This Row],[COSTO 
DIRECTO ($COP)]]+D.sign_Data[[#This Row],[PRORRATEO GASTOS ($COP)]]</f>
        <v>27842.65162646816</v>
      </c>
      <c r="X558" s="101">
        <v>0.05</v>
      </c>
      <c r="Y558" s="15">
        <f>+D.sign_Data[[#This Row],[COSTOS OPERACIONALES ($COP)]]*D.sign_Data[[#This Row],[DESFASE (%)]]</f>
        <v>1392.132581323408</v>
      </c>
      <c r="Z558" s="101">
        <v>0.2</v>
      </c>
      <c r="AA558" s="15">
        <f>+((D.sign_Data[[#This Row],[COSTOS OPERACIONALES ($COP)]]/(100%-D.sign_Data[[#This Row],[UTILIDAD (%)]])))-D.sign_Data[[#This Row],[COSTOS OPERACIONALES ($COP)]]</f>
        <v>6960.662906617039</v>
      </c>
      <c r="AB558" s="3">
        <f>+D.sign_Data[[#This Row],[COSTOS OPERACIONALES ($COP)]]+D.sign_Data[[#This Row],[DESFASE ($COP)]]+D.sign_Data[[#This Row],[UTILIDAD ($COP)]]</f>
        <v>36195.447114408606</v>
      </c>
      <c r="AC558" s="101">
        <v>0.05</v>
      </c>
      <c r="AD558" s="15">
        <f>+D.sign_Data[[#This Row],[VALOR NETO ($COP)]]/(100%-D.sign_Data[[#This Row],[MARGEN DE NEGOCIACIÓN (%)]])-D.sign_Data[[#This Row],[VALOR NETO ($COP)]]</f>
        <v>1905.0235323372981</v>
      </c>
      <c r="AE558" s="15">
        <f>+(D.sign_Data[[#This Row],[VALOR NETO ($COP)]]+D.sign_Data[[#This Row],[NEGOCIACIÓN ($COP)]])*1%</f>
        <v>381.00470646745902</v>
      </c>
      <c r="AF558" s="15">
        <f>+(D.sign_Data[[#This Row],[VALOR NETO ($COP)]]+D.sign_Data[[#This Row],[NEGOCIACIÓN ($COP)]])*1%</f>
        <v>381.00470646745902</v>
      </c>
      <c r="AG558" s="3">
        <f>+D.sign_Data[[#This Row],[VALOR NETO ($COP)]]+D.sign_Data[[#This Row],[NEGOCIACIÓN ($COP)]]+D.sign_Data[[#This Row],[ICA ($COP)]]+D.sign_Data[[#This Row],[4 * 1000 ($COP)]]</f>
        <v>38862.48005968082</v>
      </c>
    </row>
    <row r="559" spans="1:33" ht="60" hidden="1" customHeight="1" x14ac:dyDescent="0.25">
      <c r="A559" s="14"/>
      <c r="B559" s="87" t="s">
        <v>442</v>
      </c>
      <c r="C559" s="182" t="s">
        <v>852</v>
      </c>
      <c r="D559" s="189" t="str">
        <f>VLOOKUP(D.sign_Data[[#This Row],[CÓDIGO]],Descripciones[[CÓDIGO]:[NOMBRE DE SERVICIO]],3,FALSE)</f>
        <v>D1. Parcelaciones y Condominios</v>
      </c>
      <c r="E559" s="87" t="s">
        <v>497</v>
      </c>
      <c r="F559" s="88" t="s">
        <v>853</v>
      </c>
      <c r="G559" s="88" t="s">
        <v>536</v>
      </c>
      <c r="H559" s="87" t="s">
        <v>500</v>
      </c>
      <c r="I559" s="89">
        <v>1</v>
      </c>
      <c r="J559" s="88" t="s">
        <v>859</v>
      </c>
      <c r="K559" s="102"/>
      <c r="L559" s="88" t="s">
        <v>653</v>
      </c>
      <c r="M559" s="89" t="s">
        <v>381</v>
      </c>
      <c r="N559" s="90">
        <v>1</v>
      </c>
      <c r="O559" s="27">
        <f>IFERROR(+VLOOKUP(M559,D.sign_Lista_Data[[RESPONSABLE]:[SOFTWARE 
VALOR HORA]],3,FALSE),"0")</f>
        <v>20263.424518743668</v>
      </c>
      <c r="P559" s="3">
        <f t="shared" si="20"/>
        <v>20263.424518743668</v>
      </c>
      <c r="Q559" s="11">
        <f>IFERROR(+VLOOKUP(M559,D.sign_Lista_Data[[RESPONSABLE]:[SOFTWARE 
VALOR HORA]],5,FALSE)*D.sign_Data[[#This Row],[TIEMPO (HORAS)]],0)</f>
        <v>4221.5467747382636</v>
      </c>
      <c r="R559" s="42">
        <f>IFERROR(+VLOOKUP(M559,D.sign_Lista_Data[[RESPONSABLE]:[SOFTWARE 
VALOR HORA]],8,FALSE)*D.sign_Data[[#This Row],[TIEMPO (HORAS)]],0)</f>
        <v>3410.8548871439834</v>
      </c>
      <c r="S559" s="99">
        <v>0</v>
      </c>
      <c r="T559" s="99">
        <v>0</v>
      </c>
      <c r="U559" s="3">
        <f t="shared" si="21"/>
        <v>27895.826180625918</v>
      </c>
      <c r="V559" s="100">
        <f>D.sign_Data[[#This Row],[TIEMPO (HORAS)]]*Gastos_Operativos[[#Totals],[GASTOS HORA]]</f>
        <v>27789.477072310401</v>
      </c>
      <c r="W559" s="3">
        <f>+D.sign_Data[[#This Row],[COSTO 
DIRECTO ($COP)]]+D.sign_Data[[#This Row],[PRORRATEO GASTOS ($COP)]]</f>
        <v>55685.303252936319</v>
      </c>
      <c r="X559" s="101">
        <v>0.05</v>
      </c>
      <c r="Y559" s="15">
        <f>+D.sign_Data[[#This Row],[COSTOS OPERACIONALES ($COP)]]*D.sign_Data[[#This Row],[DESFASE (%)]]</f>
        <v>2784.265162646816</v>
      </c>
      <c r="Z559" s="101">
        <v>0.2</v>
      </c>
      <c r="AA559" s="15">
        <f>+((D.sign_Data[[#This Row],[COSTOS OPERACIONALES ($COP)]]/(100%-D.sign_Data[[#This Row],[UTILIDAD (%)]])))-D.sign_Data[[#This Row],[COSTOS OPERACIONALES ($COP)]]</f>
        <v>13921.325813234078</v>
      </c>
      <c r="AB559" s="3">
        <f>+D.sign_Data[[#This Row],[COSTOS OPERACIONALES ($COP)]]+D.sign_Data[[#This Row],[DESFASE ($COP)]]+D.sign_Data[[#This Row],[UTILIDAD ($COP)]]</f>
        <v>72390.894228817211</v>
      </c>
      <c r="AC559" s="101">
        <v>0.05</v>
      </c>
      <c r="AD559" s="15">
        <f>+D.sign_Data[[#This Row],[VALOR NETO ($COP)]]/(100%-D.sign_Data[[#This Row],[MARGEN DE NEGOCIACIÓN (%)]])-D.sign_Data[[#This Row],[VALOR NETO ($COP)]]</f>
        <v>3810.0470646745962</v>
      </c>
      <c r="AE559" s="15">
        <f>+(D.sign_Data[[#This Row],[VALOR NETO ($COP)]]+D.sign_Data[[#This Row],[NEGOCIACIÓN ($COP)]])*1%</f>
        <v>762.00941293491803</v>
      </c>
      <c r="AF559" s="15">
        <f>+(D.sign_Data[[#This Row],[VALOR NETO ($COP)]]+D.sign_Data[[#This Row],[NEGOCIACIÓN ($COP)]])*1%</f>
        <v>762.00941293491803</v>
      </c>
      <c r="AG559" s="3">
        <f>+D.sign_Data[[#This Row],[VALOR NETO ($COP)]]+D.sign_Data[[#This Row],[NEGOCIACIÓN ($COP)]]+D.sign_Data[[#This Row],[ICA ($COP)]]+D.sign_Data[[#This Row],[4 * 1000 ($COP)]]</f>
        <v>77724.96011936164</v>
      </c>
    </row>
    <row r="560" spans="1:33" ht="60" hidden="1" customHeight="1" x14ac:dyDescent="0.25">
      <c r="A560" s="14"/>
      <c r="B560" s="87" t="s">
        <v>442</v>
      </c>
      <c r="C560" s="182" t="s">
        <v>852</v>
      </c>
      <c r="D560" s="189" t="str">
        <f>VLOOKUP(D.sign_Data[[#This Row],[CÓDIGO]],Descripciones[[CÓDIGO]:[NOMBRE DE SERVICIO]],3,FALSE)</f>
        <v>D1. Parcelaciones y Condominios</v>
      </c>
      <c r="E560" s="87" t="s">
        <v>497</v>
      </c>
      <c r="F560" s="88" t="s">
        <v>853</v>
      </c>
      <c r="G560" s="88" t="s">
        <v>536</v>
      </c>
      <c r="H560" s="87" t="s">
        <v>500</v>
      </c>
      <c r="I560" s="89">
        <v>1</v>
      </c>
      <c r="J560" s="88" t="s">
        <v>859</v>
      </c>
      <c r="K560" s="102"/>
      <c r="L560" s="88" t="s">
        <v>654</v>
      </c>
      <c r="M560" s="89" t="s">
        <v>381</v>
      </c>
      <c r="N560" s="90">
        <v>1</v>
      </c>
      <c r="O560" s="27">
        <f>IFERROR(+VLOOKUP(M560,D.sign_Lista_Data[[RESPONSABLE]:[SOFTWARE 
VALOR HORA]],3,FALSE),"0")</f>
        <v>20263.424518743668</v>
      </c>
      <c r="P560" s="3">
        <f t="shared" si="20"/>
        <v>20263.424518743668</v>
      </c>
      <c r="Q560" s="11">
        <f>IFERROR(+VLOOKUP(M560,D.sign_Lista_Data[[RESPONSABLE]:[SOFTWARE 
VALOR HORA]],5,FALSE)*D.sign_Data[[#This Row],[TIEMPO (HORAS)]],0)</f>
        <v>4221.5467747382636</v>
      </c>
      <c r="R560" s="42">
        <f>IFERROR(+VLOOKUP(M560,D.sign_Lista_Data[[RESPONSABLE]:[SOFTWARE 
VALOR HORA]],8,FALSE)*D.sign_Data[[#This Row],[TIEMPO (HORAS)]],0)</f>
        <v>3410.8548871439834</v>
      </c>
      <c r="S560" s="99">
        <v>0</v>
      </c>
      <c r="T560" s="99">
        <v>0</v>
      </c>
      <c r="U560" s="3">
        <f t="shared" si="21"/>
        <v>27895.826180625918</v>
      </c>
      <c r="V560" s="100">
        <f>D.sign_Data[[#This Row],[TIEMPO (HORAS)]]*Gastos_Operativos[[#Totals],[GASTOS HORA]]</f>
        <v>27789.477072310401</v>
      </c>
      <c r="W560" s="3">
        <f>+D.sign_Data[[#This Row],[COSTO 
DIRECTO ($COP)]]+D.sign_Data[[#This Row],[PRORRATEO GASTOS ($COP)]]</f>
        <v>55685.303252936319</v>
      </c>
      <c r="X560" s="101">
        <v>0.05</v>
      </c>
      <c r="Y560" s="15">
        <f>+D.sign_Data[[#This Row],[COSTOS OPERACIONALES ($COP)]]*D.sign_Data[[#This Row],[DESFASE (%)]]</f>
        <v>2784.265162646816</v>
      </c>
      <c r="Z560" s="101">
        <v>0.2</v>
      </c>
      <c r="AA560" s="15">
        <f>+((D.sign_Data[[#This Row],[COSTOS OPERACIONALES ($COP)]]/(100%-D.sign_Data[[#This Row],[UTILIDAD (%)]])))-D.sign_Data[[#This Row],[COSTOS OPERACIONALES ($COP)]]</f>
        <v>13921.325813234078</v>
      </c>
      <c r="AB560" s="3">
        <f>+D.sign_Data[[#This Row],[COSTOS OPERACIONALES ($COP)]]+D.sign_Data[[#This Row],[DESFASE ($COP)]]+D.sign_Data[[#This Row],[UTILIDAD ($COP)]]</f>
        <v>72390.894228817211</v>
      </c>
      <c r="AC560" s="101">
        <v>0.05</v>
      </c>
      <c r="AD560" s="15">
        <f>+D.sign_Data[[#This Row],[VALOR NETO ($COP)]]/(100%-D.sign_Data[[#This Row],[MARGEN DE NEGOCIACIÓN (%)]])-D.sign_Data[[#This Row],[VALOR NETO ($COP)]]</f>
        <v>3810.0470646745962</v>
      </c>
      <c r="AE560" s="15">
        <f>+(D.sign_Data[[#This Row],[VALOR NETO ($COP)]]+D.sign_Data[[#This Row],[NEGOCIACIÓN ($COP)]])*1%</f>
        <v>762.00941293491803</v>
      </c>
      <c r="AF560" s="15">
        <f>+(D.sign_Data[[#This Row],[VALOR NETO ($COP)]]+D.sign_Data[[#This Row],[NEGOCIACIÓN ($COP)]])*1%</f>
        <v>762.00941293491803</v>
      </c>
      <c r="AG560" s="3">
        <f>+D.sign_Data[[#This Row],[VALOR NETO ($COP)]]+D.sign_Data[[#This Row],[NEGOCIACIÓN ($COP)]]+D.sign_Data[[#This Row],[ICA ($COP)]]+D.sign_Data[[#This Row],[4 * 1000 ($COP)]]</f>
        <v>77724.96011936164</v>
      </c>
    </row>
    <row r="561" spans="1:33" ht="60" hidden="1" customHeight="1" x14ac:dyDescent="0.25">
      <c r="A561" s="14"/>
      <c r="B561" s="87" t="s">
        <v>442</v>
      </c>
      <c r="C561" s="182" t="s">
        <v>852</v>
      </c>
      <c r="D561" s="189" t="str">
        <f>VLOOKUP(D.sign_Data[[#This Row],[CÓDIGO]],Descripciones[[CÓDIGO]:[NOMBRE DE SERVICIO]],3,FALSE)</f>
        <v>D1. Parcelaciones y Condominios</v>
      </c>
      <c r="E561" s="87" t="s">
        <v>497</v>
      </c>
      <c r="F561" s="88" t="s">
        <v>853</v>
      </c>
      <c r="G561" s="88" t="s">
        <v>536</v>
      </c>
      <c r="H561" s="87" t="s">
        <v>500</v>
      </c>
      <c r="I561" s="89">
        <v>1</v>
      </c>
      <c r="J561" s="88" t="s">
        <v>859</v>
      </c>
      <c r="K561" s="102"/>
      <c r="L561" s="88" t="s">
        <v>848</v>
      </c>
      <c r="M561" s="89" t="s">
        <v>381</v>
      </c>
      <c r="N561" s="90">
        <v>0.5</v>
      </c>
      <c r="O561" s="27">
        <f>IFERROR(+VLOOKUP(M561,D.sign_Lista_Data[[RESPONSABLE]:[SOFTWARE 
VALOR HORA]],3,FALSE),"0")</f>
        <v>20263.424518743668</v>
      </c>
      <c r="P561" s="3">
        <f t="shared" si="20"/>
        <v>10131.712259371834</v>
      </c>
      <c r="Q561" s="11">
        <f>IFERROR(+VLOOKUP(M561,D.sign_Lista_Data[[RESPONSABLE]:[SOFTWARE 
VALOR HORA]],5,FALSE)*D.sign_Data[[#This Row],[TIEMPO (HORAS)]],0)</f>
        <v>2110.7733873691318</v>
      </c>
      <c r="R561" s="42">
        <f>IFERROR(+VLOOKUP(M561,D.sign_Lista_Data[[RESPONSABLE]:[SOFTWARE 
VALOR HORA]],8,FALSE)*D.sign_Data[[#This Row],[TIEMPO (HORAS)]],0)</f>
        <v>1705.4274435719917</v>
      </c>
      <c r="S561" s="99">
        <v>0</v>
      </c>
      <c r="T561" s="99">
        <v>0</v>
      </c>
      <c r="U561" s="3">
        <f t="shared" si="21"/>
        <v>13947.913090312959</v>
      </c>
      <c r="V561" s="100">
        <f>D.sign_Data[[#This Row],[TIEMPO (HORAS)]]*Gastos_Operativos[[#Totals],[GASTOS HORA]]</f>
        <v>13894.738536155201</v>
      </c>
      <c r="W561" s="3">
        <f>+D.sign_Data[[#This Row],[COSTO 
DIRECTO ($COP)]]+D.sign_Data[[#This Row],[PRORRATEO GASTOS ($COP)]]</f>
        <v>27842.65162646816</v>
      </c>
      <c r="X561" s="101">
        <v>0.05</v>
      </c>
      <c r="Y561" s="15">
        <f>+D.sign_Data[[#This Row],[COSTOS OPERACIONALES ($COP)]]*D.sign_Data[[#This Row],[DESFASE (%)]]</f>
        <v>1392.132581323408</v>
      </c>
      <c r="Z561" s="101">
        <v>0.2</v>
      </c>
      <c r="AA561" s="15">
        <f>+((D.sign_Data[[#This Row],[COSTOS OPERACIONALES ($COP)]]/(100%-D.sign_Data[[#This Row],[UTILIDAD (%)]])))-D.sign_Data[[#This Row],[COSTOS OPERACIONALES ($COP)]]</f>
        <v>6960.662906617039</v>
      </c>
      <c r="AB561" s="3">
        <f>+D.sign_Data[[#This Row],[COSTOS OPERACIONALES ($COP)]]+D.sign_Data[[#This Row],[DESFASE ($COP)]]+D.sign_Data[[#This Row],[UTILIDAD ($COP)]]</f>
        <v>36195.447114408606</v>
      </c>
      <c r="AC561" s="101">
        <v>0.05</v>
      </c>
      <c r="AD561" s="15">
        <f>+D.sign_Data[[#This Row],[VALOR NETO ($COP)]]/(100%-D.sign_Data[[#This Row],[MARGEN DE NEGOCIACIÓN (%)]])-D.sign_Data[[#This Row],[VALOR NETO ($COP)]]</f>
        <v>1905.0235323372981</v>
      </c>
      <c r="AE561" s="15">
        <f>+(D.sign_Data[[#This Row],[VALOR NETO ($COP)]]+D.sign_Data[[#This Row],[NEGOCIACIÓN ($COP)]])*1%</f>
        <v>381.00470646745902</v>
      </c>
      <c r="AF561" s="15">
        <f>+(D.sign_Data[[#This Row],[VALOR NETO ($COP)]]+D.sign_Data[[#This Row],[NEGOCIACIÓN ($COP)]])*1%</f>
        <v>381.00470646745902</v>
      </c>
      <c r="AG561" s="3">
        <f>+D.sign_Data[[#This Row],[VALOR NETO ($COP)]]+D.sign_Data[[#This Row],[NEGOCIACIÓN ($COP)]]+D.sign_Data[[#This Row],[ICA ($COP)]]+D.sign_Data[[#This Row],[4 * 1000 ($COP)]]</f>
        <v>38862.48005968082</v>
      </c>
    </row>
    <row r="562" spans="1:33" ht="60" hidden="1" customHeight="1" x14ac:dyDescent="0.25">
      <c r="A562" s="14"/>
      <c r="B562" s="87" t="s">
        <v>442</v>
      </c>
      <c r="C562" s="182" t="s">
        <v>852</v>
      </c>
      <c r="D562" s="189" t="str">
        <f>VLOOKUP(D.sign_Data[[#This Row],[CÓDIGO]],Descripciones[[CÓDIGO]:[NOMBRE DE SERVICIO]],3,FALSE)</f>
        <v>D1. Parcelaciones y Condominios</v>
      </c>
      <c r="E562" s="87" t="s">
        <v>497</v>
      </c>
      <c r="F562" s="88" t="s">
        <v>853</v>
      </c>
      <c r="G562" s="88" t="s">
        <v>536</v>
      </c>
      <c r="H562" s="87" t="s">
        <v>448</v>
      </c>
      <c r="I562" s="89">
        <v>1</v>
      </c>
      <c r="J562" s="88" t="s">
        <v>862</v>
      </c>
      <c r="K562" s="102"/>
      <c r="L562" s="88" t="s">
        <v>863</v>
      </c>
      <c r="M562" s="89" t="s">
        <v>381</v>
      </c>
      <c r="N562" s="90">
        <v>0.2</v>
      </c>
      <c r="O562" s="27">
        <f>IFERROR(+VLOOKUP(M562,D.sign_Lista_Data[[RESPONSABLE]:[SOFTWARE 
VALOR HORA]],3,FALSE),"0")</f>
        <v>20263.424518743668</v>
      </c>
      <c r="P562" s="3">
        <f t="shared" si="20"/>
        <v>4052.6849037487336</v>
      </c>
      <c r="Q562" s="11">
        <f>IFERROR(+VLOOKUP(M562,D.sign_Lista_Data[[RESPONSABLE]:[SOFTWARE 
VALOR HORA]],5,FALSE)*D.sign_Data[[#This Row],[TIEMPO (HORAS)]],0)</f>
        <v>844.30935494765276</v>
      </c>
      <c r="R562" s="42">
        <f>IFERROR(+VLOOKUP(M562,D.sign_Lista_Data[[RESPONSABLE]:[SOFTWARE 
VALOR HORA]],8,FALSE)*D.sign_Data[[#This Row],[TIEMPO (HORAS)]],0)</f>
        <v>682.17097742879673</v>
      </c>
      <c r="S562" s="99">
        <v>0</v>
      </c>
      <c r="T562" s="99">
        <v>0</v>
      </c>
      <c r="U562" s="3">
        <f t="shared" si="21"/>
        <v>5579.1652361251827</v>
      </c>
      <c r="V562" s="100">
        <f>D.sign_Data[[#This Row],[TIEMPO (HORAS)]]*Gastos_Operativos[[#Totals],[GASTOS HORA]]</f>
        <v>5557.8954144620802</v>
      </c>
      <c r="W562" s="3">
        <f>+D.sign_Data[[#This Row],[COSTO 
DIRECTO ($COP)]]+D.sign_Data[[#This Row],[PRORRATEO GASTOS ($COP)]]</f>
        <v>11137.060650587264</v>
      </c>
      <c r="X562" s="101">
        <v>0.05</v>
      </c>
      <c r="Y562" s="15">
        <f>+D.sign_Data[[#This Row],[COSTOS OPERACIONALES ($COP)]]*D.sign_Data[[#This Row],[DESFASE (%)]]</f>
        <v>556.85303252936319</v>
      </c>
      <c r="Z562" s="101">
        <v>0.2</v>
      </c>
      <c r="AA562" s="15">
        <f>+((D.sign_Data[[#This Row],[COSTOS OPERACIONALES ($COP)]]/(100%-D.sign_Data[[#This Row],[UTILIDAD (%)]])))-D.sign_Data[[#This Row],[COSTOS OPERACIONALES ($COP)]]</f>
        <v>2784.265162646816</v>
      </c>
      <c r="AB562" s="3">
        <f>+D.sign_Data[[#This Row],[COSTOS OPERACIONALES ($COP)]]+D.sign_Data[[#This Row],[DESFASE ($COP)]]+D.sign_Data[[#This Row],[UTILIDAD ($COP)]]</f>
        <v>14478.178845763443</v>
      </c>
      <c r="AC562" s="101">
        <v>0.05</v>
      </c>
      <c r="AD562" s="15">
        <f>+D.sign_Data[[#This Row],[VALOR NETO ($COP)]]/(100%-D.sign_Data[[#This Row],[MARGEN DE NEGOCIACIÓN (%)]])-D.sign_Data[[#This Row],[VALOR NETO ($COP)]]</f>
        <v>762.00941293491815</v>
      </c>
      <c r="AE562" s="15">
        <f>+(D.sign_Data[[#This Row],[VALOR NETO ($COP)]]+D.sign_Data[[#This Row],[NEGOCIACIÓN ($COP)]])*1%</f>
        <v>152.40188258698362</v>
      </c>
      <c r="AF562" s="15">
        <f>+(D.sign_Data[[#This Row],[VALOR NETO ($COP)]]+D.sign_Data[[#This Row],[NEGOCIACIÓN ($COP)]])*1%</f>
        <v>152.40188258698362</v>
      </c>
      <c r="AG562" s="3">
        <f>+D.sign_Data[[#This Row],[VALOR NETO ($COP)]]+D.sign_Data[[#This Row],[NEGOCIACIÓN ($COP)]]+D.sign_Data[[#This Row],[ICA ($COP)]]+D.sign_Data[[#This Row],[4 * 1000 ($COP)]]</f>
        <v>15544.99202387233</v>
      </c>
    </row>
    <row r="563" spans="1:33" ht="60" hidden="1" customHeight="1" x14ac:dyDescent="0.25">
      <c r="A563" s="14"/>
      <c r="B563" s="87" t="s">
        <v>418</v>
      </c>
      <c r="C563" s="182" t="s">
        <v>864</v>
      </c>
      <c r="D563" s="189" t="str">
        <f>VLOOKUP(D.sign_Data[[#This Row],[CÓDIGO]],Descripciones[[CÓDIGO]:[NOMBRE DE SERVICIO]],3,FALSE)</f>
        <v>D2. Edificación en Altura</v>
      </c>
      <c r="E563" s="87" t="s">
        <v>497</v>
      </c>
      <c r="F563" s="88" t="s">
        <v>865</v>
      </c>
      <c r="G563" s="88" t="s">
        <v>536</v>
      </c>
      <c r="H563" s="87" t="s">
        <v>866</v>
      </c>
      <c r="I563" s="89">
        <v>1</v>
      </c>
      <c r="J563" s="88" t="s">
        <v>867</v>
      </c>
      <c r="K563" s="102"/>
      <c r="L563" s="88" t="s">
        <v>868</v>
      </c>
      <c r="M563" s="89" t="s">
        <v>381</v>
      </c>
      <c r="N563" s="90">
        <v>0.25</v>
      </c>
      <c r="O563" s="27">
        <f>IFERROR(+VLOOKUP(M563,D.sign_Lista_Data[[RESPONSABLE]:[SOFTWARE 
VALOR HORA]],3,FALSE),"0")</f>
        <v>20263.424518743668</v>
      </c>
      <c r="P563" s="3">
        <f t="shared" si="20"/>
        <v>5065.856129685917</v>
      </c>
      <c r="Q563" s="11">
        <f>IFERROR(+VLOOKUP(M563,D.sign_Lista_Data[[RESPONSABLE]:[SOFTWARE 
VALOR HORA]],5,FALSE)*D.sign_Data[[#This Row],[TIEMPO (HORAS)]],0)</f>
        <v>1055.3866936845659</v>
      </c>
      <c r="R563" s="11">
        <f>IFERROR(+VLOOKUP(M563,D.sign_Lista_Data[[RESPONSABLE]:[SOFTWARE 
VALOR HORA]],8,FALSE)*D.sign_Data[[#This Row],[TIEMPO (HORAS)]],0)</f>
        <v>852.71372178599586</v>
      </c>
      <c r="S563" s="99"/>
      <c r="T563" s="99"/>
      <c r="U563" s="3">
        <f t="shared" si="21"/>
        <v>6973.9565451564795</v>
      </c>
      <c r="V563" s="100">
        <f>D.sign_Data[[#This Row],[TIEMPO (HORAS)]]*Gastos_Operativos[[#Totals],[GASTOS HORA]]</f>
        <v>6947.3692680776003</v>
      </c>
      <c r="W563" s="3">
        <f>+D.sign_Data[[#This Row],[COSTO 
DIRECTO ($COP)]]+D.sign_Data[[#This Row],[PRORRATEO GASTOS ($COP)]]</f>
        <v>13921.32581323408</v>
      </c>
      <c r="X563" s="101">
        <v>0.2</v>
      </c>
      <c r="Y563" s="15">
        <f>+D.sign_Data[[#This Row],[COSTOS OPERACIONALES ($COP)]]*D.sign_Data[[#This Row],[DESFASE (%)]]</f>
        <v>2784.265162646816</v>
      </c>
      <c r="Z563" s="101">
        <v>0.3</v>
      </c>
      <c r="AA563" s="15">
        <f>+((D.sign_Data[[#This Row],[COSTOS OPERACIONALES ($COP)]]/(100%-D.sign_Data[[#This Row],[UTILIDAD (%)]])))-D.sign_Data[[#This Row],[COSTOS OPERACIONALES ($COP)]]</f>
        <v>5966.2824913860368</v>
      </c>
      <c r="AB563" s="3">
        <f>+D.sign_Data[[#This Row],[COSTOS OPERACIONALES ($COP)]]+D.sign_Data[[#This Row],[DESFASE ($COP)]]+D.sign_Data[[#This Row],[UTILIDAD ($COP)]]</f>
        <v>22671.873467266931</v>
      </c>
      <c r="AC563" s="101">
        <v>0.05</v>
      </c>
      <c r="AD563" s="15">
        <f>+D.sign_Data[[#This Row],[VALOR NETO ($COP)]]/(100%-D.sign_Data[[#This Row],[MARGEN DE NEGOCIACIÓN (%)]])-D.sign_Data[[#This Row],[VALOR NETO ($COP)]]</f>
        <v>1193.2564982772092</v>
      </c>
      <c r="AE563" s="15">
        <f>+(D.sign_Data[[#This Row],[VALOR NETO ($COP)]]+D.sign_Data[[#This Row],[NEGOCIACIÓN ($COP)]])*1%</f>
        <v>238.65129965544139</v>
      </c>
      <c r="AF563" s="15">
        <f>+(D.sign_Data[[#This Row],[VALOR NETO ($COP)]]+D.sign_Data[[#This Row],[NEGOCIACIÓN ($COP)]])*1%</f>
        <v>238.65129965544139</v>
      </c>
      <c r="AG563" s="3">
        <f>+D.sign_Data[[#This Row],[VALOR NETO ($COP)]]+D.sign_Data[[#This Row],[NEGOCIACIÓN ($COP)]]+D.sign_Data[[#This Row],[ICA ($COP)]]+D.sign_Data[[#This Row],[4 * 1000 ($COP)]]</f>
        <v>24342.432564855022</v>
      </c>
    </row>
    <row r="564" spans="1:33" ht="60" hidden="1" customHeight="1" x14ac:dyDescent="0.25">
      <c r="A564" s="14"/>
      <c r="B564" s="87" t="s">
        <v>418</v>
      </c>
      <c r="C564" s="182" t="s">
        <v>864</v>
      </c>
      <c r="D564" s="189" t="str">
        <f>VLOOKUP(D.sign_Data[[#This Row],[CÓDIGO]],Descripciones[[CÓDIGO]:[NOMBRE DE SERVICIO]],3,FALSE)</f>
        <v>D2. Edificación en Altura</v>
      </c>
      <c r="E564" s="87" t="s">
        <v>497</v>
      </c>
      <c r="F564" s="88" t="s">
        <v>865</v>
      </c>
      <c r="G564" s="88" t="s">
        <v>536</v>
      </c>
      <c r="H564" s="87" t="s">
        <v>866</v>
      </c>
      <c r="I564" s="89">
        <v>1</v>
      </c>
      <c r="J564" s="88" t="s">
        <v>867</v>
      </c>
      <c r="K564" s="102"/>
      <c r="L564" s="88" t="s">
        <v>636</v>
      </c>
      <c r="M564" s="89" t="s">
        <v>381</v>
      </c>
      <c r="N564" s="90">
        <v>0.05</v>
      </c>
      <c r="O564" s="27">
        <f>IFERROR(+VLOOKUP(M564,D.sign_Lista_Data[[RESPONSABLE]:[SOFTWARE 
VALOR HORA]],3,FALSE),"0")</f>
        <v>20263.424518743668</v>
      </c>
      <c r="P564" s="3">
        <f t="shared" si="20"/>
        <v>1013.1712259371834</v>
      </c>
      <c r="Q564" s="11">
        <f>IFERROR(+VLOOKUP(M564,D.sign_Lista_Data[[RESPONSABLE]:[SOFTWARE 
VALOR HORA]],5,FALSE)*D.sign_Data[[#This Row],[TIEMPO (HORAS)]],0)</f>
        <v>211.07733873691319</v>
      </c>
      <c r="R564" s="11">
        <f>IFERROR(+VLOOKUP(M564,D.sign_Lista_Data[[RESPONSABLE]:[SOFTWARE 
VALOR HORA]],8,FALSE)*D.sign_Data[[#This Row],[TIEMPO (HORAS)]],0)</f>
        <v>170.54274435719918</v>
      </c>
      <c r="S564" s="99"/>
      <c r="T564" s="99"/>
      <c r="U564" s="3">
        <f t="shared" si="21"/>
        <v>1394.7913090312957</v>
      </c>
      <c r="V564" s="100">
        <f>D.sign_Data[[#This Row],[TIEMPO (HORAS)]]*Gastos_Operativos[[#Totals],[GASTOS HORA]]</f>
        <v>1389.4738536155201</v>
      </c>
      <c r="W564" s="3">
        <f>+D.sign_Data[[#This Row],[COSTO 
DIRECTO ($COP)]]+D.sign_Data[[#This Row],[PRORRATEO GASTOS ($COP)]]</f>
        <v>2784.265162646816</v>
      </c>
      <c r="X564" s="101">
        <v>0.2</v>
      </c>
      <c r="Y564" s="15">
        <f>+D.sign_Data[[#This Row],[COSTOS OPERACIONALES ($COP)]]*D.sign_Data[[#This Row],[DESFASE (%)]]</f>
        <v>556.85303252936319</v>
      </c>
      <c r="Z564" s="101">
        <v>0.3</v>
      </c>
      <c r="AA564" s="15">
        <f>+((D.sign_Data[[#This Row],[COSTOS OPERACIONALES ($COP)]]/(100%-D.sign_Data[[#This Row],[UTILIDAD (%)]])))-D.sign_Data[[#This Row],[COSTOS OPERACIONALES ($COP)]]</f>
        <v>1193.2564982772069</v>
      </c>
      <c r="AB564" s="3">
        <f>+D.sign_Data[[#This Row],[COSTOS OPERACIONALES ($COP)]]+D.sign_Data[[#This Row],[DESFASE ($COP)]]+D.sign_Data[[#This Row],[UTILIDAD ($COP)]]</f>
        <v>4534.3746934533865</v>
      </c>
      <c r="AC564" s="101">
        <v>0.05</v>
      </c>
      <c r="AD564" s="15">
        <f>+D.sign_Data[[#This Row],[VALOR NETO ($COP)]]/(100%-D.sign_Data[[#This Row],[MARGEN DE NEGOCIACIÓN (%)]])-D.sign_Data[[#This Row],[VALOR NETO ($COP)]]</f>
        <v>238.65129965544202</v>
      </c>
      <c r="AE564" s="15">
        <f>+(D.sign_Data[[#This Row],[VALOR NETO ($COP)]]+D.sign_Data[[#This Row],[NEGOCIACIÓN ($COP)]])*1%</f>
        <v>47.730259931088284</v>
      </c>
      <c r="AF564" s="15">
        <f>+(D.sign_Data[[#This Row],[VALOR NETO ($COP)]]+D.sign_Data[[#This Row],[NEGOCIACIÓN ($COP)]])*1%</f>
        <v>47.730259931088284</v>
      </c>
      <c r="AG564" s="3">
        <f>+D.sign_Data[[#This Row],[VALOR NETO ($COP)]]+D.sign_Data[[#This Row],[NEGOCIACIÓN ($COP)]]+D.sign_Data[[#This Row],[ICA ($COP)]]+D.sign_Data[[#This Row],[4 * 1000 ($COP)]]</f>
        <v>4868.4865129710042</v>
      </c>
    </row>
    <row r="565" spans="1:33" ht="60" hidden="1" customHeight="1" x14ac:dyDescent="0.25">
      <c r="A565" s="14"/>
      <c r="B565" s="87" t="s">
        <v>418</v>
      </c>
      <c r="C565" s="182" t="s">
        <v>864</v>
      </c>
      <c r="D565" s="189" t="str">
        <f>VLOOKUP(D.sign_Data[[#This Row],[CÓDIGO]],Descripciones[[CÓDIGO]:[NOMBRE DE SERVICIO]],3,FALSE)</f>
        <v>D2. Edificación en Altura</v>
      </c>
      <c r="E565" s="87" t="s">
        <v>497</v>
      </c>
      <c r="F565" s="88" t="s">
        <v>865</v>
      </c>
      <c r="G565" s="88" t="s">
        <v>536</v>
      </c>
      <c r="H565" s="87" t="s">
        <v>866</v>
      </c>
      <c r="I565" s="89">
        <v>1</v>
      </c>
      <c r="J565" s="88" t="s">
        <v>867</v>
      </c>
      <c r="K565" s="102"/>
      <c r="L565" s="88" t="s">
        <v>869</v>
      </c>
      <c r="M565" s="89" t="s">
        <v>381</v>
      </c>
      <c r="N565" s="90">
        <v>18</v>
      </c>
      <c r="O565" s="27">
        <f>IFERROR(+VLOOKUP(M565,D.sign_Lista_Data[[RESPONSABLE]:[SOFTWARE 
VALOR HORA]],3,FALSE),"0")</f>
        <v>20263.424518743668</v>
      </c>
      <c r="P565" s="3">
        <f t="shared" si="20"/>
        <v>364741.64133738604</v>
      </c>
      <c r="Q565" s="11">
        <f>IFERROR(+VLOOKUP(M565,D.sign_Lista_Data[[RESPONSABLE]:[SOFTWARE 
VALOR HORA]],5,FALSE)*D.sign_Data[[#This Row],[TIEMPO (HORAS)]],0)</f>
        <v>75987.841945288747</v>
      </c>
      <c r="R565" s="11">
        <f>IFERROR(+VLOOKUP(M565,D.sign_Lista_Data[[RESPONSABLE]:[SOFTWARE 
VALOR HORA]],8,FALSE)*D.sign_Data[[#This Row],[TIEMPO (HORAS)]],0)</f>
        <v>61395.387968591705</v>
      </c>
      <c r="S565" s="99"/>
      <c r="T565" s="99"/>
      <c r="U565" s="3">
        <f t="shared" si="21"/>
        <v>502124.87125126651</v>
      </c>
      <c r="V565" s="100">
        <f>D.sign_Data[[#This Row],[TIEMPO (HORAS)]]*Gastos_Operativos[[#Totals],[GASTOS HORA]]</f>
        <v>500210.58730158722</v>
      </c>
      <c r="W565" s="3">
        <f>+D.sign_Data[[#This Row],[COSTO 
DIRECTO ($COP)]]+D.sign_Data[[#This Row],[PRORRATEO GASTOS ($COP)]]</f>
        <v>1002335.4585528537</v>
      </c>
      <c r="X565" s="101">
        <v>0.2</v>
      </c>
      <c r="Y565" s="15">
        <f>+D.sign_Data[[#This Row],[COSTOS OPERACIONALES ($COP)]]*D.sign_Data[[#This Row],[DESFASE (%)]]</f>
        <v>200467.09171057073</v>
      </c>
      <c r="Z565" s="101">
        <v>0.3</v>
      </c>
      <c r="AA565" s="15">
        <f>+((D.sign_Data[[#This Row],[COSTOS OPERACIONALES ($COP)]]/(100%-D.sign_Data[[#This Row],[UTILIDAD (%)]])))-D.sign_Data[[#This Row],[COSTOS OPERACIONALES ($COP)]]</f>
        <v>429572.33937979443</v>
      </c>
      <c r="AB565" s="3">
        <f>+D.sign_Data[[#This Row],[COSTOS OPERACIONALES ($COP)]]+D.sign_Data[[#This Row],[DESFASE ($COP)]]+D.sign_Data[[#This Row],[UTILIDAD ($COP)]]</f>
        <v>1632374.8896432188</v>
      </c>
      <c r="AC565" s="101">
        <v>0.05</v>
      </c>
      <c r="AD565" s="15">
        <f>+D.sign_Data[[#This Row],[VALOR NETO ($COP)]]/(100%-D.sign_Data[[#This Row],[MARGEN DE NEGOCIACIÓN (%)]])-D.sign_Data[[#This Row],[VALOR NETO ($COP)]]</f>
        <v>85914.467875958886</v>
      </c>
      <c r="AE565" s="15">
        <f>+(D.sign_Data[[#This Row],[VALOR NETO ($COP)]]+D.sign_Data[[#This Row],[NEGOCIACIÓN ($COP)]])*1%</f>
        <v>17182.893575191778</v>
      </c>
      <c r="AF565" s="15">
        <f>+(D.sign_Data[[#This Row],[VALOR NETO ($COP)]]+D.sign_Data[[#This Row],[NEGOCIACIÓN ($COP)]])*1%</f>
        <v>17182.893575191778</v>
      </c>
      <c r="AG565" s="3">
        <f>+D.sign_Data[[#This Row],[VALOR NETO ($COP)]]+D.sign_Data[[#This Row],[NEGOCIACIÓN ($COP)]]+D.sign_Data[[#This Row],[ICA ($COP)]]+D.sign_Data[[#This Row],[4 * 1000 ($COP)]]</f>
        <v>1752655.1446695612</v>
      </c>
    </row>
    <row r="566" spans="1:33" ht="60" hidden="1" customHeight="1" x14ac:dyDescent="0.25">
      <c r="A566" s="14"/>
      <c r="B566" s="87" t="s">
        <v>418</v>
      </c>
      <c r="C566" s="182" t="s">
        <v>864</v>
      </c>
      <c r="D566" s="189" t="str">
        <f>VLOOKUP(D.sign_Data[[#This Row],[CÓDIGO]],Descripciones[[CÓDIGO]:[NOMBRE DE SERVICIO]],3,FALSE)</f>
        <v>D2. Edificación en Altura</v>
      </c>
      <c r="E566" s="87" t="s">
        <v>497</v>
      </c>
      <c r="F566" s="88" t="s">
        <v>865</v>
      </c>
      <c r="G566" s="88" t="s">
        <v>536</v>
      </c>
      <c r="H566" s="87" t="s">
        <v>866</v>
      </c>
      <c r="I566" s="89">
        <v>1</v>
      </c>
      <c r="J566" s="88" t="s">
        <v>867</v>
      </c>
      <c r="K566" s="102"/>
      <c r="L566" s="88" t="s">
        <v>870</v>
      </c>
      <c r="M566" s="89" t="s">
        <v>381</v>
      </c>
      <c r="N566" s="90">
        <v>28.2</v>
      </c>
      <c r="O566" s="27">
        <f>IFERROR(+VLOOKUP(M566,D.sign_Lista_Data[[RESPONSABLE]:[SOFTWARE 
VALOR HORA]],3,FALSE),"0")</f>
        <v>20263.424518743668</v>
      </c>
      <c r="P566" s="3">
        <f t="shared" si="20"/>
        <v>571428.57142857148</v>
      </c>
      <c r="Q566" s="11">
        <f>IFERROR(+VLOOKUP(M566,D.sign_Lista_Data[[RESPONSABLE]:[SOFTWARE 
VALOR HORA]],5,FALSE)*D.sign_Data[[#This Row],[TIEMPO (HORAS)]],0)</f>
        <v>119047.61904761902</v>
      </c>
      <c r="R566" s="11">
        <f>IFERROR(+VLOOKUP(M566,D.sign_Lista_Data[[RESPONSABLE]:[SOFTWARE 
VALOR HORA]],8,FALSE)*D.sign_Data[[#This Row],[TIEMPO (HORAS)]],0)</f>
        <v>96186.107817460332</v>
      </c>
      <c r="S566" s="99"/>
      <c r="T566" s="99"/>
      <c r="U566" s="3">
        <f t="shared" si="21"/>
        <v>786662.29829365085</v>
      </c>
      <c r="V566" s="100">
        <f>D.sign_Data[[#This Row],[TIEMPO (HORAS)]]*Gastos_Operativos[[#Totals],[GASTOS HORA]]</f>
        <v>783663.25343915331</v>
      </c>
      <c r="W566" s="3">
        <f>+D.sign_Data[[#This Row],[COSTO 
DIRECTO ($COP)]]+D.sign_Data[[#This Row],[PRORRATEO GASTOS ($COP)]]</f>
        <v>1570325.5517328042</v>
      </c>
      <c r="X566" s="101">
        <v>0.2</v>
      </c>
      <c r="Y566" s="15">
        <f>+D.sign_Data[[#This Row],[COSTOS OPERACIONALES ($COP)]]*D.sign_Data[[#This Row],[DESFASE (%)]]</f>
        <v>314065.11034656083</v>
      </c>
      <c r="Z566" s="101">
        <v>0.3</v>
      </c>
      <c r="AA566" s="15">
        <f>+((D.sign_Data[[#This Row],[COSTOS OPERACIONALES ($COP)]]/(100%-D.sign_Data[[#This Row],[UTILIDAD (%)]])))-D.sign_Data[[#This Row],[COSTOS OPERACIONALES ($COP)]]</f>
        <v>672996.66502834484</v>
      </c>
      <c r="AB566" s="3">
        <f>+D.sign_Data[[#This Row],[COSTOS OPERACIONALES ($COP)]]+D.sign_Data[[#This Row],[DESFASE ($COP)]]+D.sign_Data[[#This Row],[UTILIDAD ($COP)]]</f>
        <v>2557387.3271077098</v>
      </c>
      <c r="AC566" s="101">
        <v>0.05</v>
      </c>
      <c r="AD566" s="15">
        <f>+D.sign_Data[[#This Row],[VALOR NETO ($COP)]]/(100%-D.sign_Data[[#This Row],[MARGEN DE NEGOCIACIÓN (%)]])-D.sign_Data[[#This Row],[VALOR NETO ($COP)]]</f>
        <v>134599.33300566906</v>
      </c>
      <c r="AE566" s="15">
        <f>+(D.sign_Data[[#This Row],[VALOR NETO ($COP)]]+D.sign_Data[[#This Row],[NEGOCIACIÓN ($COP)]])*1%</f>
        <v>26919.866601133788</v>
      </c>
      <c r="AF566" s="15">
        <f>+(D.sign_Data[[#This Row],[VALOR NETO ($COP)]]+D.sign_Data[[#This Row],[NEGOCIACIÓN ($COP)]])*1%</f>
        <v>26919.866601133788</v>
      </c>
      <c r="AG566" s="3">
        <f>+D.sign_Data[[#This Row],[VALOR NETO ($COP)]]+D.sign_Data[[#This Row],[NEGOCIACIÓN ($COP)]]+D.sign_Data[[#This Row],[ICA ($COP)]]+D.sign_Data[[#This Row],[4 * 1000 ($COP)]]</f>
        <v>2745826.3933156463</v>
      </c>
    </row>
    <row r="567" spans="1:33" ht="60" hidden="1" customHeight="1" x14ac:dyDescent="0.25">
      <c r="A567" s="14"/>
      <c r="B567" s="87" t="s">
        <v>418</v>
      </c>
      <c r="C567" s="182" t="s">
        <v>864</v>
      </c>
      <c r="D567" s="189" t="str">
        <f>VLOOKUP(D.sign_Data[[#This Row],[CÓDIGO]],Descripciones[[CÓDIGO]:[NOMBRE DE SERVICIO]],3,FALSE)</f>
        <v>D2. Edificación en Altura</v>
      </c>
      <c r="E567" s="87" t="s">
        <v>497</v>
      </c>
      <c r="F567" s="88" t="s">
        <v>865</v>
      </c>
      <c r="G567" s="88" t="s">
        <v>536</v>
      </c>
      <c r="H567" s="87" t="s">
        <v>866</v>
      </c>
      <c r="I567" s="92">
        <v>1</v>
      </c>
      <c r="J567" s="88" t="s">
        <v>867</v>
      </c>
      <c r="K567" s="102"/>
      <c r="L567" s="88" t="s">
        <v>871</v>
      </c>
      <c r="M567" s="89" t="s">
        <v>381</v>
      </c>
      <c r="N567" s="90">
        <v>9.4</v>
      </c>
      <c r="O567" s="27">
        <f>IFERROR(+VLOOKUP(M567,D.sign_Lista_Data[[RESPONSABLE]:[SOFTWARE 
VALOR HORA]],3,FALSE),"0")</f>
        <v>20263.424518743668</v>
      </c>
      <c r="P567" s="3">
        <f t="shared" si="20"/>
        <v>190476.19047619047</v>
      </c>
      <c r="Q567" s="11">
        <f>IFERROR(+VLOOKUP(M567,D.sign_Lista_Data[[RESPONSABLE]:[SOFTWARE 
VALOR HORA]],5,FALSE)*D.sign_Data[[#This Row],[TIEMPO (HORAS)]],0)</f>
        <v>39682.539682539682</v>
      </c>
      <c r="R567" s="11">
        <f>IFERROR(+VLOOKUP(M567,D.sign_Lista_Data[[RESPONSABLE]:[SOFTWARE 
VALOR HORA]],8,FALSE)*D.sign_Data[[#This Row],[TIEMPO (HORAS)]],0)</f>
        <v>32062.035939153444</v>
      </c>
      <c r="S567" s="99"/>
      <c r="T567" s="99"/>
      <c r="U567" s="3">
        <f t="shared" si="21"/>
        <v>262220.76609788358</v>
      </c>
      <c r="V567" s="100">
        <f>D.sign_Data[[#This Row],[TIEMPO (HORAS)]]*Gastos_Operativos[[#Totals],[GASTOS HORA]]</f>
        <v>261221.08447971777</v>
      </c>
      <c r="W567" s="3">
        <f>+D.sign_Data[[#This Row],[COSTO 
DIRECTO ($COP)]]+D.sign_Data[[#This Row],[PRORRATEO GASTOS ($COP)]]</f>
        <v>523441.85057760135</v>
      </c>
      <c r="X567" s="101">
        <v>0.2</v>
      </c>
      <c r="Y567" s="15">
        <f>+D.sign_Data[[#This Row],[COSTOS OPERACIONALES ($COP)]]*D.sign_Data[[#This Row],[DESFASE (%)]]</f>
        <v>104688.37011552027</v>
      </c>
      <c r="Z567" s="101">
        <v>0.3</v>
      </c>
      <c r="AA567" s="15">
        <f>+((D.sign_Data[[#This Row],[COSTOS OPERACIONALES ($COP)]]/(100%-D.sign_Data[[#This Row],[UTILIDAD (%)]])))-D.sign_Data[[#This Row],[COSTOS OPERACIONALES ($COP)]]</f>
        <v>224332.22167611495</v>
      </c>
      <c r="AB567" s="3">
        <f>+D.sign_Data[[#This Row],[COSTOS OPERACIONALES ($COP)]]+D.sign_Data[[#This Row],[DESFASE ($COP)]]+D.sign_Data[[#This Row],[UTILIDAD ($COP)]]</f>
        <v>852462.44236923661</v>
      </c>
      <c r="AC567" s="101">
        <v>0.05</v>
      </c>
      <c r="AD567" s="15">
        <f>+D.sign_Data[[#This Row],[VALOR NETO ($COP)]]/(100%-D.sign_Data[[#This Row],[MARGEN DE NEGOCIACIÓN (%)]])-D.sign_Data[[#This Row],[VALOR NETO ($COP)]]</f>
        <v>44866.444335223059</v>
      </c>
      <c r="AE567" s="15">
        <f>+(D.sign_Data[[#This Row],[VALOR NETO ($COP)]]+D.sign_Data[[#This Row],[NEGOCIACIÓN ($COP)]])*1%</f>
        <v>8973.2888670445973</v>
      </c>
      <c r="AF567" s="15">
        <f>+(D.sign_Data[[#This Row],[VALOR NETO ($COP)]]+D.sign_Data[[#This Row],[NEGOCIACIÓN ($COP)]])*1%</f>
        <v>8973.2888670445973</v>
      </c>
      <c r="AG567" s="3">
        <f>+D.sign_Data[[#This Row],[VALOR NETO ($COP)]]+D.sign_Data[[#This Row],[NEGOCIACIÓN ($COP)]]+D.sign_Data[[#This Row],[ICA ($COP)]]+D.sign_Data[[#This Row],[4 * 1000 ($COP)]]</f>
        <v>915275.46443854889</v>
      </c>
    </row>
    <row r="568" spans="1:33" ht="60" hidden="1" customHeight="1" x14ac:dyDescent="0.25">
      <c r="A568" s="14"/>
      <c r="B568" s="87" t="s">
        <v>418</v>
      </c>
      <c r="C568" s="182" t="s">
        <v>864</v>
      </c>
      <c r="D568" s="189" t="str">
        <f>VLOOKUP(D.sign_Data[[#This Row],[CÓDIGO]],Descripciones[[CÓDIGO]:[NOMBRE DE SERVICIO]],3,FALSE)</f>
        <v>D2. Edificación en Altura</v>
      </c>
      <c r="E568" s="87" t="s">
        <v>497</v>
      </c>
      <c r="F568" s="88" t="s">
        <v>865</v>
      </c>
      <c r="G568" s="88" t="s">
        <v>536</v>
      </c>
      <c r="H568" s="87" t="s">
        <v>866</v>
      </c>
      <c r="I568" s="89">
        <v>1</v>
      </c>
      <c r="J568" s="88" t="s">
        <v>867</v>
      </c>
      <c r="K568" s="102"/>
      <c r="L568" s="88" t="s">
        <v>639</v>
      </c>
      <c r="M568" s="89" t="s">
        <v>381</v>
      </c>
      <c r="N568" s="90">
        <v>1</v>
      </c>
      <c r="O568" s="27">
        <f>IFERROR(+VLOOKUP(M568,D.sign_Lista_Data[[RESPONSABLE]:[SOFTWARE 
VALOR HORA]],3,FALSE),"0")</f>
        <v>20263.424518743668</v>
      </c>
      <c r="P568" s="3">
        <f t="shared" si="20"/>
        <v>20263.424518743668</v>
      </c>
      <c r="Q568" s="11">
        <f>IFERROR(+VLOOKUP(M568,D.sign_Lista_Data[[RESPONSABLE]:[SOFTWARE 
VALOR HORA]],5,FALSE)*D.sign_Data[[#This Row],[TIEMPO (HORAS)]],0)</f>
        <v>4221.5467747382636</v>
      </c>
      <c r="R568" s="11">
        <f>IFERROR(+VLOOKUP(M568,D.sign_Lista_Data[[RESPONSABLE]:[SOFTWARE 
VALOR HORA]],8,FALSE)*D.sign_Data[[#This Row],[TIEMPO (HORAS)]],0)</f>
        <v>3410.8548871439834</v>
      </c>
      <c r="S568" s="99"/>
      <c r="T568" s="99"/>
      <c r="U568" s="3">
        <f t="shared" si="21"/>
        <v>27895.826180625918</v>
      </c>
      <c r="V568" s="100">
        <f>D.sign_Data[[#This Row],[TIEMPO (HORAS)]]*Gastos_Operativos[[#Totals],[GASTOS HORA]]</f>
        <v>27789.477072310401</v>
      </c>
      <c r="W568" s="3">
        <f>+D.sign_Data[[#This Row],[COSTO 
DIRECTO ($COP)]]+D.sign_Data[[#This Row],[PRORRATEO GASTOS ($COP)]]</f>
        <v>55685.303252936319</v>
      </c>
      <c r="X568" s="101">
        <v>0.2</v>
      </c>
      <c r="Y568" s="15">
        <f>+D.sign_Data[[#This Row],[COSTOS OPERACIONALES ($COP)]]*D.sign_Data[[#This Row],[DESFASE (%)]]</f>
        <v>11137.060650587264</v>
      </c>
      <c r="Z568" s="101">
        <v>0.3</v>
      </c>
      <c r="AA568" s="15">
        <f>+((D.sign_Data[[#This Row],[COSTOS OPERACIONALES ($COP)]]/(100%-D.sign_Data[[#This Row],[UTILIDAD (%)]])))-D.sign_Data[[#This Row],[COSTOS OPERACIONALES ($COP)]]</f>
        <v>23865.129965544147</v>
      </c>
      <c r="AB568" s="3">
        <f>+D.sign_Data[[#This Row],[COSTOS OPERACIONALES ($COP)]]+D.sign_Data[[#This Row],[DESFASE ($COP)]]+D.sign_Data[[#This Row],[UTILIDAD ($COP)]]</f>
        <v>90687.493869067723</v>
      </c>
      <c r="AC568" s="101">
        <v>0.05</v>
      </c>
      <c r="AD568" s="15">
        <f>+D.sign_Data[[#This Row],[VALOR NETO ($COP)]]/(100%-D.sign_Data[[#This Row],[MARGEN DE NEGOCIACIÓN (%)]])-D.sign_Data[[#This Row],[VALOR NETO ($COP)]]</f>
        <v>4773.0259931088367</v>
      </c>
      <c r="AE568" s="15">
        <f>+(D.sign_Data[[#This Row],[VALOR NETO ($COP)]]+D.sign_Data[[#This Row],[NEGOCIACIÓN ($COP)]])*1%</f>
        <v>954.60519862176557</v>
      </c>
      <c r="AF568" s="15">
        <f>+(D.sign_Data[[#This Row],[VALOR NETO ($COP)]]+D.sign_Data[[#This Row],[NEGOCIACIÓN ($COP)]])*1%</f>
        <v>954.60519862176557</v>
      </c>
      <c r="AG568" s="3">
        <f>+D.sign_Data[[#This Row],[VALOR NETO ($COP)]]+D.sign_Data[[#This Row],[NEGOCIACIÓN ($COP)]]+D.sign_Data[[#This Row],[ICA ($COP)]]+D.sign_Data[[#This Row],[4 * 1000 ($COP)]]</f>
        <v>97369.730259420088</v>
      </c>
    </row>
    <row r="569" spans="1:33" ht="60" hidden="1" customHeight="1" x14ac:dyDescent="0.25">
      <c r="A569" s="14"/>
      <c r="B569" s="87" t="s">
        <v>418</v>
      </c>
      <c r="C569" s="182" t="s">
        <v>864</v>
      </c>
      <c r="D569" s="189" t="str">
        <f>VLOOKUP(D.sign_Data[[#This Row],[CÓDIGO]],Descripciones[[CÓDIGO]:[NOMBRE DE SERVICIO]],3,FALSE)</f>
        <v>D2. Edificación en Altura</v>
      </c>
      <c r="E569" s="87" t="s">
        <v>497</v>
      </c>
      <c r="F569" s="88" t="s">
        <v>865</v>
      </c>
      <c r="G569" s="88" t="s">
        <v>536</v>
      </c>
      <c r="H569" s="87" t="s">
        <v>866</v>
      </c>
      <c r="I569" s="89">
        <v>1</v>
      </c>
      <c r="J569" s="88" t="s">
        <v>867</v>
      </c>
      <c r="K569" s="102"/>
      <c r="L569" s="88" t="s">
        <v>640</v>
      </c>
      <c r="M569" s="89" t="s">
        <v>381</v>
      </c>
      <c r="N569" s="90">
        <v>9.4</v>
      </c>
      <c r="O569" s="27">
        <f>IFERROR(+VLOOKUP(M569,D.sign_Lista_Data[[RESPONSABLE]:[SOFTWARE 
VALOR HORA]],3,FALSE),"0")</f>
        <v>20263.424518743668</v>
      </c>
      <c r="P569" s="3">
        <f t="shared" si="20"/>
        <v>190476.19047619047</v>
      </c>
      <c r="Q569" s="11">
        <f>IFERROR(+VLOOKUP(M569,D.sign_Lista_Data[[RESPONSABLE]:[SOFTWARE 
VALOR HORA]],5,FALSE)*D.sign_Data[[#This Row],[TIEMPO (HORAS)]],0)</f>
        <v>39682.539682539682</v>
      </c>
      <c r="R569" s="11">
        <f>IFERROR(+VLOOKUP(M569,D.sign_Lista_Data[[RESPONSABLE]:[SOFTWARE 
VALOR HORA]],8,FALSE)*D.sign_Data[[#This Row],[TIEMPO (HORAS)]],0)</f>
        <v>32062.035939153444</v>
      </c>
      <c r="S569" s="99"/>
      <c r="T569" s="99"/>
      <c r="U569" s="3">
        <f t="shared" si="21"/>
        <v>262220.76609788358</v>
      </c>
      <c r="V569" s="100">
        <f>D.sign_Data[[#This Row],[TIEMPO (HORAS)]]*Gastos_Operativos[[#Totals],[GASTOS HORA]]</f>
        <v>261221.08447971777</v>
      </c>
      <c r="W569" s="3">
        <f>+D.sign_Data[[#This Row],[COSTO 
DIRECTO ($COP)]]+D.sign_Data[[#This Row],[PRORRATEO GASTOS ($COP)]]</f>
        <v>523441.85057760135</v>
      </c>
      <c r="X569" s="101">
        <v>0.2</v>
      </c>
      <c r="Y569" s="15">
        <f>+D.sign_Data[[#This Row],[COSTOS OPERACIONALES ($COP)]]*D.sign_Data[[#This Row],[DESFASE (%)]]</f>
        <v>104688.37011552027</v>
      </c>
      <c r="Z569" s="101">
        <v>0.3</v>
      </c>
      <c r="AA569" s="15">
        <f>+((D.sign_Data[[#This Row],[COSTOS OPERACIONALES ($COP)]]/(100%-D.sign_Data[[#This Row],[UTILIDAD (%)]])))-D.sign_Data[[#This Row],[COSTOS OPERACIONALES ($COP)]]</f>
        <v>224332.22167611495</v>
      </c>
      <c r="AB569" s="3">
        <f>+D.sign_Data[[#This Row],[COSTOS OPERACIONALES ($COP)]]+D.sign_Data[[#This Row],[DESFASE ($COP)]]+D.sign_Data[[#This Row],[UTILIDAD ($COP)]]</f>
        <v>852462.44236923661</v>
      </c>
      <c r="AC569" s="101">
        <v>0.05</v>
      </c>
      <c r="AD569" s="15">
        <f>+D.sign_Data[[#This Row],[VALOR NETO ($COP)]]/(100%-D.sign_Data[[#This Row],[MARGEN DE NEGOCIACIÓN (%)]])-D.sign_Data[[#This Row],[VALOR NETO ($COP)]]</f>
        <v>44866.444335223059</v>
      </c>
      <c r="AE569" s="15">
        <f>+(D.sign_Data[[#This Row],[VALOR NETO ($COP)]]+D.sign_Data[[#This Row],[NEGOCIACIÓN ($COP)]])*1%</f>
        <v>8973.2888670445973</v>
      </c>
      <c r="AF569" s="15">
        <f>+(D.sign_Data[[#This Row],[VALOR NETO ($COP)]]+D.sign_Data[[#This Row],[NEGOCIACIÓN ($COP)]])*1%</f>
        <v>8973.2888670445973</v>
      </c>
      <c r="AG569" s="3">
        <f>+D.sign_Data[[#This Row],[VALOR NETO ($COP)]]+D.sign_Data[[#This Row],[NEGOCIACIÓN ($COP)]]+D.sign_Data[[#This Row],[ICA ($COP)]]+D.sign_Data[[#This Row],[4 * 1000 ($COP)]]</f>
        <v>915275.46443854889</v>
      </c>
    </row>
    <row r="570" spans="1:33" ht="60" hidden="1" customHeight="1" x14ac:dyDescent="0.25">
      <c r="A570" s="14"/>
      <c r="B570" s="87" t="s">
        <v>418</v>
      </c>
      <c r="C570" s="182" t="s">
        <v>864</v>
      </c>
      <c r="D570" s="189" t="str">
        <f>VLOOKUP(D.sign_Data[[#This Row],[CÓDIGO]],Descripciones[[CÓDIGO]:[NOMBRE DE SERVICIO]],3,FALSE)</f>
        <v>D2. Edificación en Altura</v>
      </c>
      <c r="E570" s="87" t="s">
        <v>497</v>
      </c>
      <c r="F570" s="88" t="s">
        <v>865</v>
      </c>
      <c r="G570" s="88" t="s">
        <v>536</v>
      </c>
      <c r="H570" s="87" t="s">
        <v>866</v>
      </c>
      <c r="I570" s="89">
        <v>1</v>
      </c>
      <c r="J570" s="88" t="s">
        <v>867</v>
      </c>
      <c r="K570" s="102"/>
      <c r="L570" s="88" t="s">
        <v>872</v>
      </c>
      <c r="M570" s="89" t="s">
        <v>381</v>
      </c>
      <c r="N570" s="90">
        <v>9.4</v>
      </c>
      <c r="O570" s="27">
        <f>IFERROR(+VLOOKUP(M570,D.sign_Lista_Data[[RESPONSABLE]:[SOFTWARE 
VALOR HORA]],3,FALSE),"0")</f>
        <v>20263.424518743668</v>
      </c>
      <c r="P570" s="3">
        <f t="shared" si="20"/>
        <v>190476.19047619047</v>
      </c>
      <c r="Q570" s="11">
        <f>IFERROR(+VLOOKUP(M570,D.sign_Lista_Data[[RESPONSABLE]:[SOFTWARE 
VALOR HORA]],5,FALSE)*D.sign_Data[[#This Row],[TIEMPO (HORAS)]],0)</f>
        <v>39682.539682539682</v>
      </c>
      <c r="R570" s="11">
        <f>IFERROR(+VLOOKUP(M570,D.sign_Lista_Data[[RESPONSABLE]:[SOFTWARE 
VALOR HORA]],8,FALSE)*D.sign_Data[[#This Row],[TIEMPO (HORAS)]],0)</f>
        <v>32062.035939153444</v>
      </c>
      <c r="S570" s="99"/>
      <c r="T570" s="99"/>
      <c r="U570" s="3">
        <f t="shared" si="21"/>
        <v>262220.76609788358</v>
      </c>
      <c r="V570" s="100">
        <f>D.sign_Data[[#This Row],[TIEMPO (HORAS)]]*Gastos_Operativos[[#Totals],[GASTOS HORA]]</f>
        <v>261221.08447971777</v>
      </c>
      <c r="W570" s="3">
        <f>+D.sign_Data[[#This Row],[COSTO 
DIRECTO ($COP)]]+D.sign_Data[[#This Row],[PRORRATEO GASTOS ($COP)]]</f>
        <v>523441.85057760135</v>
      </c>
      <c r="X570" s="101">
        <v>0.2</v>
      </c>
      <c r="Y570" s="15">
        <f>+D.sign_Data[[#This Row],[COSTOS OPERACIONALES ($COP)]]*D.sign_Data[[#This Row],[DESFASE (%)]]</f>
        <v>104688.37011552027</v>
      </c>
      <c r="Z570" s="101">
        <v>0.3</v>
      </c>
      <c r="AA570" s="15">
        <f>+((D.sign_Data[[#This Row],[COSTOS OPERACIONALES ($COP)]]/(100%-D.sign_Data[[#This Row],[UTILIDAD (%)]])))-D.sign_Data[[#This Row],[COSTOS OPERACIONALES ($COP)]]</f>
        <v>224332.22167611495</v>
      </c>
      <c r="AB570" s="3">
        <f>+D.sign_Data[[#This Row],[COSTOS OPERACIONALES ($COP)]]+D.sign_Data[[#This Row],[DESFASE ($COP)]]+D.sign_Data[[#This Row],[UTILIDAD ($COP)]]</f>
        <v>852462.44236923661</v>
      </c>
      <c r="AC570" s="101">
        <v>0.05</v>
      </c>
      <c r="AD570" s="15">
        <f>+D.sign_Data[[#This Row],[VALOR NETO ($COP)]]/(100%-D.sign_Data[[#This Row],[MARGEN DE NEGOCIACIÓN (%)]])-D.sign_Data[[#This Row],[VALOR NETO ($COP)]]</f>
        <v>44866.444335223059</v>
      </c>
      <c r="AE570" s="15">
        <f>+(D.sign_Data[[#This Row],[VALOR NETO ($COP)]]+D.sign_Data[[#This Row],[NEGOCIACIÓN ($COP)]])*1%</f>
        <v>8973.2888670445973</v>
      </c>
      <c r="AF570" s="15">
        <f>+(D.sign_Data[[#This Row],[VALOR NETO ($COP)]]+D.sign_Data[[#This Row],[NEGOCIACIÓN ($COP)]])*1%</f>
        <v>8973.2888670445973</v>
      </c>
      <c r="AG570" s="3">
        <f>+D.sign_Data[[#This Row],[VALOR NETO ($COP)]]+D.sign_Data[[#This Row],[NEGOCIACIÓN ($COP)]]+D.sign_Data[[#This Row],[ICA ($COP)]]+D.sign_Data[[#This Row],[4 * 1000 ($COP)]]</f>
        <v>915275.46443854889</v>
      </c>
    </row>
    <row r="571" spans="1:33" ht="60" hidden="1" customHeight="1" x14ac:dyDescent="0.25">
      <c r="A571" s="14"/>
      <c r="B571" s="87" t="s">
        <v>418</v>
      </c>
      <c r="C571" s="182" t="s">
        <v>864</v>
      </c>
      <c r="D571" s="189" t="str">
        <f>VLOOKUP(D.sign_Data[[#This Row],[CÓDIGO]],Descripciones[[CÓDIGO]:[NOMBRE DE SERVICIO]],3,FALSE)</f>
        <v>D2. Edificación en Altura</v>
      </c>
      <c r="E571" s="87" t="s">
        <v>497</v>
      </c>
      <c r="F571" s="88" t="s">
        <v>865</v>
      </c>
      <c r="G571" s="88" t="s">
        <v>536</v>
      </c>
      <c r="H571" s="87" t="s">
        <v>866</v>
      </c>
      <c r="I571" s="89">
        <v>1</v>
      </c>
      <c r="J571" s="88" t="s">
        <v>867</v>
      </c>
      <c r="K571" s="102"/>
      <c r="L571" s="88" t="s">
        <v>642</v>
      </c>
      <c r="M571" s="89" t="s">
        <v>381</v>
      </c>
      <c r="N571" s="90">
        <v>9.4</v>
      </c>
      <c r="O571" s="27">
        <f>IFERROR(+VLOOKUP(M571,D.sign_Lista_Data[[RESPONSABLE]:[SOFTWARE 
VALOR HORA]],3,FALSE),"0")</f>
        <v>20263.424518743668</v>
      </c>
      <c r="P571" s="3">
        <f t="shared" si="20"/>
        <v>190476.19047619047</v>
      </c>
      <c r="Q571" s="11">
        <f>IFERROR(+VLOOKUP(M571,D.sign_Lista_Data[[RESPONSABLE]:[SOFTWARE 
VALOR HORA]],5,FALSE)*D.sign_Data[[#This Row],[TIEMPO (HORAS)]],0)</f>
        <v>39682.539682539682</v>
      </c>
      <c r="R571" s="11">
        <f>IFERROR(+VLOOKUP(M571,D.sign_Lista_Data[[RESPONSABLE]:[SOFTWARE 
VALOR HORA]],8,FALSE)*D.sign_Data[[#This Row],[TIEMPO (HORAS)]],0)</f>
        <v>32062.035939153444</v>
      </c>
      <c r="S571" s="99"/>
      <c r="T571" s="99"/>
      <c r="U571" s="3">
        <f t="shared" si="21"/>
        <v>262220.76609788358</v>
      </c>
      <c r="V571" s="100">
        <f>D.sign_Data[[#This Row],[TIEMPO (HORAS)]]*Gastos_Operativos[[#Totals],[GASTOS HORA]]</f>
        <v>261221.08447971777</v>
      </c>
      <c r="W571" s="3">
        <f>+D.sign_Data[[#This Row],[COSTO 
DIRECTO ($COP)]]+D.sign_Data[[#This Row],[PRORRATEO GASTOS ($COP)]]</f>
        <v>523441.85057760135</v>
      </c>
      <c r="X571" s="101">
        <v>0.2</v>
      </c>
      <c r="Y571" s="15">
        <f>+D.sign_Data[[#This Row],[COSTOS OPERACIONALES ($COP)]]*D.sign_Data[[#This Row],[DESFASE (%)]]</f>
        <v>104688.37011552027</v>
      </c>
      <c r="Z571" s="101">
        <v>0.3</v>
      </c>
      <c r="AA571" s="15">
        <f>+((D.sign_Data[[#This Row],[COSTOS OPERACIONALES ($COP)]]/(100%-D.sign_Data[[#This Row],[UTILIDAD (%)]])))-D.sign_Data[[#This Row],[COSTOS OPERACIONALES ($COP)]]</f>
        <v>224332.22167611495</v>
      </c>
      <c r="AB571" s="3">
        <f>+D.sign_Data[[#This Row],[COSTOS OPERACIONALES ($COP)]]+D.sign_Data[[#This Row],[DESFASE ($COP)]]+D.sign_Data[[#This Row],[UTILIDAD ($COP)]]</f>
        <v>852462.44236923661</v>
      </c>
      <c r="AC571" s="101">
        <v>0.05</v>
      </c>
      <c r="AD571" s="15">
        <f>+D.sign_Data[[#This Row],[VALOR NETO ($COP)]]/(100%-D.sign_Data[[#This Row],[MARGEN DE NEGOCIACIÓN (%)]])-D.sign_Data[[#This Row],[VALOR NETO ($COP)]]</f>
        <v>44866.444335223059</v>
      </c>
      <c r="AE571" s="15">
        <f>+(D.sign_Data[[#This Row],[VALOR NETO ($COP)]]+D.sign_Data[[#This Row],[NEGOCIACIÓN ($COP)]])*1%</f>
        <v>8973.2888670445973</v>
      </c>
      <c r="AF571" s="15">
        <f>+(D.sign_Data[[#This Row],[VALOR NETO ($COP)]]+D.sign_Data[[#This Row],[NEGOCIACIÓN ($COP)]])*1%</f>
        <v>8973.2888670445973</v>
      </c>
      <c r="AG571" s="3">
        <f>+D.sign_Data[[#This Row],[VALOR NETO ($COP)]]+D.sign_Data[[#This Row],[NEGOCIACIÓN ($COP)]]+D.sign_Data[[#This Row],[ICA ($COP)]]+D.sign_Data[[#This Row],[4 * 1000 ($COP)]]</f>
        <v>915275.46443854889</v>
      </c>
    </row>
    <row r="572" spans="1:33" ht="60" hidden="1" customHeight="1" x14ac:dyDescent="0.25">
      <c r="A572" s="14"/>
      <c r="B572" s="87" t="s">
        <v>418</v>
      </c>
      <c r="C572" s="182" t="s">
        <v>864</v>
      </c>
      <c r="D572" s="189" t="str">
        <f>VLOOKUP(D.sign_Data[[#This Row],[CÓDIGO]],Descripciones[[CÓDIGO]:[NOMBRE DE SERVICIO]],3,FALSE)</f>
        <v>D2. Edificación en Altura</v>
      </c>
      <c r="E572" s="87" t="s">
        <v>497</v>
      </c>
      <c r="F572" s="88" t="s">
        <v>865</v>
      </c>
      <c r="G572" s="88" t="s">
        <v>536</v>
      </c>
      <c r="H572" s="87" t="s">
        <v>866</v>
      </c>
      <c r="I572" s="89">
        <v>1</v>
      </c>
      <c r="J572" s="88" t="s">
        <v>867</v>
      </c>
      <c r="K572" s="102"/>
      <c r="L572" s="88" t="s">
        <v>733</v>
      </c>
      <c r="M572" s="89" t="s">
        <v>381</v>
      </c>
      <c r="N572" s="90">
        <v>18.8</v>
      </c>
      <c r="O572" s="27">
        <f>IFERROR(+VLOOKUP(M572,D.sign_Lista_Data[[RESPONSABLE]:[SOFTWARE 
VALOR HORA]],3,FALSE),"0")</f>
        <v>20263.424518743668</v>
      </c>
      <c r="P572" s="3">
        <f t="shared" si="20"/>
        <v>380952.38095238095</v>
      </c>
      <c r="Q572" s="11">
        <f>IFERROR(+VLOOKUP(M572,D.sign_Lista_Data[[RESPONSABLE]:[SOFTWARE 
VALOR HORA]],5,FALSE)*D.sign_Data[[#This Row],[TIEMPO (HORAS)]],0)</f>
        <v>79365.079365079364</v>
      </c>
      <c r="R572" s="11">
        <f>IFERROR(+VLOOKUP(M572,D.sign_Lista_Data[[RESPONSABLE]:[SOFTWARE 
VALOR HORA]],8,FALSE)*D.sign_Data[[#This Row],[TIEMPO (HORAS)]],0)</f>
        <v>64124.071878306888</v>
      </c>
      <c r="S572" s="99"/>
      <c r="T572" s="99"/>
      <c r="U572" s="3">
        <f t="shared" si="21"/>
        <v>524441.53219576715</v>
      </c>
      <c r="V572" s="100">
        <f>D.sign_Data[[#This Row],[TIEMPO (HORAS)]]*Gastos_Operativos[[#Totals],[GASTOS HORA]]</f>
        <v>522442.16895943554</v>
      </c>
      <c r="W572" s="3">
        <f>+D.sign_Data[[#This Row],[COSTO 
DIRECTO ($COP)]]+D.sign_Data[[#This Row],[PRORRATEO GASTOS ($COP)]]</f>
        <v>1046883.7011552027</v>
      </c>
      <c r="X572" s="101">
        <v>0.2</v>
      </c>
      <c r="Y572" s="15">
        <f>+D.sign_Data[[#This Row],[COSTOS OPERACIONALES ($COP)]]*D.sign_Data[[#This Row],[DESFASE (%)]]</f>
        <v>209376.74023104055</v>
      </c>
      <c r="Z572" s="101">
        <v>0.3</v>
      </c>
      <c r="AA572" s="15">
        <f>+((D.sign_Data[[#This Row],[COSTOS OPERACIONALES ($COP)]]/(100%-D.sign_Data[[#This Row],[UTILIDAD (%)]])))-D.sign_Data[[#This Row],[COSTOS OPERACIONALES ($COP)]]</f>
        <v>448664.44335222989</v>
      </c>
      <c r="AB572" s="3">
        <f>+D.sign_Data[[#This Row],[COSTOS OPERACIONALES ($COP)]]+D.sign_Data[[#This Row],[DESFASE ($COP)]]+D.sign_Data[[#This Row],[UTILIDAD ($COP)]]</f>
        <v>1704924.8847384732</v>
      </c>
      <c r="AC572" s="101">
        <v>0.05</v>
      </c>
      <c r="AD572" s="15">
        <f>+D.sign_Data[[#This Row],[VALOR NETO ($COP)]]/(100%-D.sign_Data[[#This Row],[MARGEN DE NEGOCIACIÓN (%)]])-D.sign_Data[[#This Row],[VALOR NETO ($COP)]]</f>
        <v>89732.888670446118</v>
      </c>
      <c r="AE572" s="15">
        <f>+(D.sign_Data[[#This Row],[VALOR NETO ($COP)]]+D.sign_Data[[#This Row],[NEGOCIACIÓN ($COP)]])*1%</f>
        <v>17946.577734089195</v>
      </c>
      <c r="AF572" s="15">
        <f>+(D.sign_Data[[#This Row],[VALOR NETO ($COP)]]+D.sign_Data[[#This Row],[NEGOCIACIÓN ($COP)]])*1%</f>
        <v>17946.577734089195</v>
      </c>
      <c r="AG572" s="3">
        <f>+D.sign_Data[[#This Row],[VALOR NETO ($COP)]]+D.sign_Data[[#This Row],[NEGOCIACIÓN ($COP)]]+D.sign_Data[[#This Row],[ICA ($COP)]]+D.sign_Data[[#This Row],[4 * 1000 ($COP)]]</f>
        <v>1830550.9288770978</v>
      </c>
    </row>
    <row r="573" spans="1:33" ht="60" hidden="1" customHeight="1" x14ac:dyDescent="0.25">
      <c r="A573" s="14"/>
      <c r="B573" s="87" t="s">
        <v>418</v>
      </c>
      <c r="C573" s="182" t="s">
        <v>864</v>
      </c>
      <c r="D573" s="189" t="str">
        <f>VLOOKUP(D.sign_Data[[#This Row],[CÓDIGO]],Descripciones[[CÓDIGO]:[NOMBRE DE SERVICIO]],3,FALSE)</f>
        <v>D2. Edificación en Altura</v>
      </c>
      <c r="E573" s="87" t="s">
        <v>497</v>
      </c>
      <c r="F573" s="88" t="s">
        <v>865</v>
      </c>
      <c r="G573" s="88" t="s">
        <v>536</v>
      </c>
      <c r="H573" s="87" t="s">
        <v>866</v>
      </c>
      <c r="I573" s="89">
        <v>1</v>
      </c>
      <c r="J573" s="88" t="s">
        <v>873</v>
      </c>
      <c r="K573" s="102"/>
      <c r="L573" s="88" t="s">
        <v>735</v>
      </c>
      <c r="M573" s="89" t="s">
        <v>381</v>
      </c>
      <c r="N573" s="90">
        <v>9.4</v>
      </c>
      <c r="O573" s="27">
        <f>IFERROR(+VLOOKUP(M573,D.sign_Lista_Data[[RESPONSABLE]:[SOFTWARE 
VALOR HORA]],3,FALSE),"0")</f>
        <v>20263.424518743668</v>
      </c>
      <c r="P573" s="3">
        <f t="shared" si="20"/>
        <v>190476.19047619047</v>
      </c>
      <c r="Q573" s="11">
        <f>IFERROR(+VLOOKUP(M573,D.sign_Lista_Data[[RESPONSABLE]:[SOFTWARE 
VALOR HORA]],5,FALSE)*D.sign_Data[[#This Row],[TIEMPO (HORAS)]],0)</f>
        <v>39682.539682539682</v>
      </c>
      <c r="R573" s="11">
        <f>IFERROR(+VLOOKUP(M573,D.sign_Lista_Data[[RESPONSABLE]:[SOFTWARE 
VALOR HORA]],8,FALSE)*D.sign_Data[[#This Row],[TIEMPO (HORAS)]],0)</f>
        <v>32062.035939153444</v>
      </c>
      <c r="S573" s="99"/>
      <c r="T573" s="99"/>
      <c r="U573" s="3">
        <f t="shared" si="21"/>
        <v>262220.76609788358</v>
      </c>
      <c r="V573" s="100">
        <f>D.sign_Data[[#This Row],[TIEMPO (HORAS)]]*Gastos_Operativos[[#Totals],[GASTOS HORA]]</f>
        <v>261221.08447971777</v>
      </c>
      <c r="W573" s="3">
        <f>+D.sign_Data[[#This Row],[COSTO 
DIRECTO ($COP)]]+D.sign_Data[[#This Row],[PRORRATEO GASTOS ($COP)]]</f>
        <v>523441.85057760135</v>
      </c>
      <c r="X573" s="101">
        <v>0.2</v>
      </c>
      <c r="Y573" s="15">
        <f>+D.sign_Data[[#This Row],[COSTOS OPERACIONALES ($COP)]]*D.sign_Data[[#This Row],[DESFASE (%)]]</f>
        <v>104688.37011552027</v>
      </c>
      <c r="Z573" s="101">
        <v>0.3</v>
      </c>
      <c r="AA573" s="15">
        <f>+((D.sign_Data[[#This Row],[COSTOS OPERACIONALES ($COP)]]/(100%-D.sign_Data[[#This Row],[UTILIDAD (%)]])))-D.sign_Data[[#This Row],[COSTOS OPERACIONALES ($COP)]]</f>
        <v>224332.22167611495</v>
      </c>
      <c r="AB573" s="3">
        <f>+D.sign_Data[[#This Row],[COSTOS OPERACIONALES ($COP)]]+D.sign_Data[[#This Row],[DESFASE ($COP)]]+D.sign_Data[[#This Row],[UTILIDAD ($COP)]]</f>
        <v>852462.44236923661</v>
      </c>
      <c r="AC573" s="101">
        <v>0.05</v>
      </c>
      <c r="AD573" s="15">
        <f>+D.sign_Data[[#This Row],[VALOR NETO ($COP)]]/(100%-D.sign_Data[[#This Row],[MARGEN DE NEGOCIACIÓN (%)]])-D.sign_Data[[#This Row],[VALOR NETO ($COP)]]</f>
        <v>44866.444335223059</v>
      </c>
      <c r="AE573" s="15">
        <f>+(D.sign_Data[[#This Row],[VALOR NETO ($COP)]]+D.sign_Data[[#This Row],[NEGOCIACIÓN ($COP)]])*1%</f>
        <v>8973.2888670445973</v>
      </c>
      <c r="AF573" s="15">
        <f>+(D.sign_Data[[#This Row],[VALOR NETO ($COP)]]+D.sign_Data[[#This Row],[NEGOCIACIÓN ($COP)]])*1%</f>
        <v>8973.2888670445973</v>
      </c>
      <c r="AG573" s="3">
        <f>+D.sign_Data[[#This Row],[VALOR NETO ($COP)]]+D.sign_Data[[#This Row],[NEGOCIACIÓN ($COP)]]+D.sign_Data[[#This Row],[ICA ($COP)]]+D.sign_Data[[#This Row],[4 * 1000 ($COP)]]</f>
        <v>915275.46443854889</v>
      </c>
    </row>
    <row r="574" spans="1:33" ht="60" hidden="1" customHeight="1" x14ac:dyDescent="0.25">
      <c r="A574" s="14"/>
      <c r="B574" s="87" t="s">
        <v>418</v>
      </c>
      <c r="C574" s="182" t="s">
        <v>864</v>
      </c>
      <c r="D574" s="189" t="str">
        <f>VLOOKUP(D.sign_Data[[#This Row],[CÓDIGO]],Descripciones[[CÓDIGO]:[NOMBRE DE SERVICIO]],3,FALSE)</f>
        <v>D2. Edificación en Altura</v>
      </c>
      <c r="E574" s="87" t="s">
        <v>497</v>
      </c>
      <c r="F574" s="88" t="s">
        <v>865</v>
      </c>
      <c r="G574" s="88" t="s">
        <v>536</v>
      </c>
      <c r="H574" s="87" t="s">
        <v>866</v>
      </c>
      <c r="I574" s="89">
        <v>1</v>
      </c>
      <c r="J574" s="88" t="s">
        <v>873</v>
      </c>
      <c r="K574" s="102"/>
      <c r="L574" s="88" t="s">
        <v>874</v>
      </c>
      <c r="M574" s="89" t="s">
        <v>381</v>
      </c>
      <c r="N574" s="90">
        <v>5</v>
      </c>
      <c r="O574" s="27">
        <f>IFERROR(+VLOOKUP(M574,D.sign_Lista_Data[[RESPONSABLE]:[SOFTWARE 
VALOR HORA]],3,FALSE),"0")</f>
        <v>20263.424518743668</v>
      </c>
      <c r="P574" s="3">
        <f t="shared" si="20"/>
        <v>101317.12259371835</v>
      </c>
      <c r="Q574" s="11">
        <f>IFERROR(+VLOOKUP(M574,D.sign_Lista_Data[[RESPONSABLE]:[SOFTWARE 
VALOR HORA]],5,FALSE)*D.sign_Data[[#This Row],[TIEMPO (HORAS)]],0)</f>
        <v>21107.733873691319</v>
      </c>
      <c r="R574" s="11">
        <f>IFERROR(+VLOOKUP(M574,D.sign_Lista_Data[[RESPONSABLE]:[SOFTWARE 
VALOR HORA]],8,FALSE)*D.sign_Data[[#This Row],[TIEMPO (HORAS)]],0)</f>
        <v>17054.274435719919</v>
      </c>
      <c r="S574" s="99"/>
      <c r="T574" s="99"/>
      <c r="U574" s="3">
        <f t="shared" si="21"/>
        <v>139479.13090312958</v>
      </c>
      <c r="V574" s="100">
        <f>D.sign_Data[[#This Row],[TIEMPO (HORAS)]]*Gastos_Operativos[[#Totals],[GASTOS HORA]]</f>
        <v>138947.38536155201</v>
      </c>
      <c r="W574" s="3">
        <f>+D.sign_Data[[#This Row],[COSTO 
DIRECTO ($COP)]]+D.sign_Data[[#This Row],[PRORRATEO GASTOS ($COP)]]</f>
        <v>278426.51626468159</v>
      </c>
      <c r="X574" s="101">
        <v>0.2</v>
      </c>
      <c r="Y574" s="15">
        <f>+D.sign_Data[[#This Row],[COSTOS OPERACIONALES ($COP)]]*D.sign_Data[[#This Row],[DESFASE (%)]]</f>
        <v>55685.303252936319</v>
      </c>
      <c r="Z574" s="101">
        <v>0.3</v>
      </c>
      <c r="AA574" s="15">
        <f>+((D.sign_Data[[#This Row],[COSTOS OPERACIONALES ($COP)]]/(100%-D.sign_Data[[#This Row],[UTILIDAD (%)]])))-D.sign_Data[[#This Row],[COSTOS OPERACIONALES ($COP)]]</f>
        <v>119325.64982772071</v>
      </c>
      <c r="AB574" s="3">
        <f>+D.sign_Data[[#This Row],[COSTOS OPERACIONALES ($COP)]]+D.sign_Data[[#This Row],[DESFASE ($COP)]]+D.sign_Data[[#This Row],[UTILIDAD ($COP)]]</f>
        <v>453437.46934533864</v>
      </c>
      <c r="AC574" s="101">
        <v>0.05</v>
      </c>
      <c r="AD574" s="15">
        <f>+D.sign_Data[[#This Row],[VALOR NETO ($COP)]]/(100%-D.sign_Data[[#This Row],[MARGEN DE NEGOCIACIÓN (%)]])-D.sign_Data[[#This Row],[VALOR NETO ($COP)]]</f>
        <v>23865.129965544154</v>
      </c>
      <c r="AE574" s="15">
        <f>+(D.sign_Data[[#This Row],[VALOR NETO ($COP)]]+D.sign_Data[[#This Row],[NEGOCIACIÓN ($COP)]])*1%</f>
        <v>4773.0259931088285</v>
      </c>
      <c r="AF574" s="15">
        <f>+(D.sign_Data[[#This Row],[VALOR NETO ($COP)]]+D.sign_Data[[#This Row],[NEGOCIACIÓN ($COP)]])*1%</f>
        <v>4773.0259931088285</v>
      </c>
      <c r="AG574" s="3">
        <f>+D.sign_Data[[#This Row],[VALOR NETO ($COP)]]+D.sign_Data[[#This Row],[NEGOCIACIÓN ($COP)]]+D.sign_Data[[#This Row],[ICA ($COP)]]+D.sign_Data[[#This Row],[4 * 1000 ($COP)]]</f>
        <v>486848.65129710041</v>
      </c>
    </row>
    <row r="575" spans="1:33" ht="60" hidden="1" customHeight="1" x14ac:dyDescent="0.25">
      <c r="A575" s="14"/>
      <c r="B575" s="87" t="s">
        <v>418</v>
      </c>
      <c r="C575" s="182" t="s">
        <v>864</v>
      </c>
      <c r="D575" s="189" t="str">
        <f>VLOOKUP(D.sign_Data[[#This Row],[CÓDIGO]],Descripciones[[CÓDIGO]:[NOMBRE DE SERVICIO]],3,FALSE)</f>
        <v>D2. Edificación en Altura</v>
      </c>
      <c r="E575" s="87" t="s">
        <v>497</v>
      </c>
      <c r="F575" s="88" t="s">
        <v>865</v>
      </c>
      <c r="G575" s="88" t="s">
        <v>536</v>
      </c>
      <c r="H575" s="87" t="s">
        <v>866</v>
      </c>
      <c r="I575" s="89">
        <v>1</v>
      </c>
      <c r="J575" s="88" t="s">
        <v>873</v>
      </c>
      <c r="K575" s="102"/>
      <c r="L575" s="88" t="s">
        <v>875</v>
      </c>
      <c r="M575" s="89" t="s">
        <v>381</v>
      </c>
      <c r="N575" s="90">
        <v>5</v>
      </c>
      <c r="O575" s="27">
        <f>IFERROR(+VLOOKUP(M575,D.sign_Lista_Data[[RESPONSABLE]:[SOFTWARE 
VALOR HORA]],3,FALSE),"0")</f>
        <v>20263.424518743668</v>
      </c>
      <c r="P575" s="3">
        <f t="shared" si="20"/>
        <v>101317.12259371835</v>
      </c>
      <c r="Q575" s="11">
        <f>IFERROR(+VLOOKUP(M575,D.sign_Lista_Data[[RESPONSABLE]:[SOFTWARE 
VALOR HORA]],5,FALSE)*D.sign_Data[[#This Row],[TIEMPO (HORAS)]],0)</f>
        <v>21107.733873691319</v>
      </c>
      <c r="R575" s="11">
        <f>IFERROR(+VLOOKUP(M575,D.sign_Lista_Data[[RESPONSABLE]:[SOFTWARE 
VALOR HORA]],8,FALSE)*D.sign_Data[[#This Row],[TIEMPO (HORAS)]],0)</f>
        <v>17054.274435719919</v>
      </c>
      <c r="S575" s="99"/>
      <c r="T575" s="99"/>
      <c r="U575" s="3">
        <f t="shared" si="21"/>
        <v>139479.13090312958</v>
      </c>
      <c r="V575" s="100">
        <f>D.sign_Data[[#This Row],[TIEMPO (HORAS)]]*Gastos_Operativos[[#Totals],[GASTOS HORA]]</f>
        <v>138947.38536155201</v>
      </c>
      <c r="W575" s="3">
        <f>+D.sign_Data[[#This Row],[COSTO 
DIRECTO ($COP)]]+D.sign_Data[[#This Row],[PRORRATEO GASTOS ($COP)]]</f>
        <v>278426.51626468159</v>
      </c>
      <c r="X575" s="101">
        <v>0.2</v>
      </c>
      <c r="Y575" s="15">
        <f>+D.sign_Data[[#This Row],[COSTOS OPERACIONALES ($COP)]]*D.sign_Data[[#This Row],[DESFASE (%)]]</f>
        <v>55685.303252936319</v>
      </c>
      <c r="Z575" s="101">
        <v>0.3</v>
      </c>
      <c r="AA575" s="15">
        <f>+((D.sign_Data[[#This Row],[COSTOS OPERACIONALES ($COP)]]/(100%-D.sign_Data[[#This Row],[UTILIDAD (%)]])))-D.sign_Data[[#This Row],[COSTOS OPERACIONALES ($COP)]]</f>
        <v>119325.64982772071</v>
      </c>
      <c r="AB575" s="3">
        <f>+D.sign_Data[[#This Row],[COSTOS OPERACIONALES ($COP)]]+D.sign_Data[[#This Row],[DESFASE ($COP)]]+D.sign_Data[[#This Row],[UTILIDAD ($COP)]]</f>
        <v>453437.46934533864</v>
      </c>
      <c r="AC575" s="101">
        <v>0.05</v>
      </c>
      <c r="AD575" s="15">
        <f>+D.sign_Data[[#This Row],[VALOR NETO ($COP)]]/(100%-D.sign_Data[[#This Row],[MARGEN DE NEGOCIACIÓN (%)]])-D.sign_Data[[#This Row],[VALOR NETO ($COP)]]</f>
        <v>23865.129965544154</v>
      </c>
      <c r="AE575" s="15">
        <f>+(D.sign_Data[[#This Row],[VALOR NETO ($COP)]]+D.sign_Data[[#This Row],[NEGOCIACIÓN ($COP)]])*1%</f>
        <v>4773.0259931088285</v>
      </c>
      <c r="AF575" s="15">
        <f>+(D.sign_Data[[#This Row],[VALOR NETO ($COP)]]+D.sign_Data[[#This Row],[NEGOCIACIÓN ($COP)]])*1%</f>
        <v>4773.0259931088285</v>
      </c>
      <c r="AG575" s="3">
        <f>+D.sign_Data[[#This Row],[VALOR NETO ($COP)]]+D.sign_Data[[#This Row],[NEGOCIACIÓN ($COP)]]+D.sign_Data[[#This Row],[ICA ($COP)]]+D.sign_Data[[#This Row],[4 * 1000 ($COP)]]</f>
        <v>486848.65129710041</v>
      </c>
    </row>
    <row r="576" spans="1:33" ht="60" hidden="1" customHeight="1" x14ac:dyDescent="0.25">
      <c r="A576" s="14"/>
      <c r="B576" s="87" t="s">
        <v>418</v>
      </c>
      <c r="C576" s="182" t="s">
        <v>864</v>
      </c>
      <c r="D576" s="189" t="str">
        <f>VLOOKUP(D.sign_Data[[#This Row],[CÓDIGO]],Descripciones[[CÓDIGO]:[NOMBRE DE SERVICIO]],3,FALSE)</f>
        <v>D2. Edificación en Altura</v>
      </c>
      <c r="E576" s="87" t="s">
        <v>497</v>
      </c>
      <c r="F576" s="88" t="s">
        <v>865</v>
      </c>
      <c r="G576" s="88" t="s">
        <v>536</v>
      </c>
      <c r="H576" s="87" t="s">
        <v>866</v>
      </c>
      <c r="I576" s="89">
        <v>1</v>
      </c>
      <c r="J576" s="88" t="s">
        <v>873</v>
      </c>
      <c r="K576" s="102"/>
      <c r="L576" s="88" t="s">
        <v>876</v>
      </c>
      <c r="M576" s="89" t="s">
        <v>381</v>
      </c>
      <c r="N576" s="90">
        <v>1</v>
      </c>
      <c r="O576" s="27">
        <f>IFERROR(+VLOOKUP(M576,D.sign_Lista_Data[[RESPONSABLE]:[SOFTWARE 
VALOR HORA]],3,FALSE),"0")</f>
        <v>20263.424518743668</v>
      </c>
      <c r="P576" s="3">
        <f t="shared" si="20"/>
        <v>20263.424518743668</v>
      </c>
      <c r="Q576" s="11">
        <f>IFERROR(+VLOOKUP(M576,D.sign_Lista_Data[[RESPONSABLE]:[SOFTWARE 
VALOR HORA]],5,FALSE)*D.sign_Data[[#This Row],[TIEMPO (HORAS)]],0)</f>
        <v>4221.5467747382636</v>
      </c>
      <c r="R576" s="11">
        <f>IFERROR(+VLOOKUP(M576,D.sign_Lista_Data[[RESPONSABLE]:[SOFTWARE 
VALOR HORA]],8,FALSE)*D.sign_Data[[#This Row],[TIEMPO (HORAS)]],0)</f>
        <v>3410.8548871439834</v>
      </c>
      <c r="S576" s="99"/>
      <c r="T576" s="99"/>
      <c r="U576" s="3">
        <f t="shared" si="21"/>
        <v>27895.826180625918</v>
      </c>
      <c r="V576" s="100">
        <f>D.sign_Data[[#This Row],[TIEMPO (HORAS)]]*Gastos_Operativos[[#Totals],[GASTOS HORA]]</f>
        <v>27789.477072310401</v>
      </c>
      <c r="W576" s="3">
        <f>+D.sign_Data[[#This Row],[COSTO 
DIRECTO ($COP)]]+D.sign_Data[[#This Row],[PRORRATEO GASTOS ($COP)]]</f>
        <v>55685.303252936319</v>
      </c>
      <c r="X576" s="101">
        <v>0.2</v>
      </c>
      <c r="Y576" s="15">
        <f>+D.sign_Data[[#This Row],[COSTOS OPERACIONALES ($COP)]]*D.sign_Data[[#This Row],[DESFASE (%)]]</f>
        <v>11137.060650587264</v>
      </c>
      <c r="Z576" s="101">
        <v>0.3</v>
      </c>
      <c r="AA576" s="15">
        <f>+((D.sign_Data[[#This Row],[COSTOS OPERACIONALES ($COP)]]/(100%-D.sign_Data[[#This Row],[UTILIDAD (%)]])))-D.sign_Data[[#This Row],[COSTOS OPERACIONALES ($COP)]]</f>
        <v>23865.129965544147</v>
      </c>
      <c r="AB576" s="3">
        <f>+D.sign_Data[[#This Row],[COSTOS OPERACIONALES ($COP)]]+D.sign_Data[[#This Row],[DESFASE ($COP)]]+D.sign_Data[[#This Row],[UTILIDAD ($COP)]]</f>
        <v>90687.493869067723</v>
      </c>
      <c r="AC576" s="101">
        <v>0.05</v>
      </c>
      <c r="AD576" s="15">
        <f>+D.sign_Data[[#This Row],[VALOR NETO ($COP)]]/(100%-D.sign_Data[[#This Row],[MARGEN DE NEGOCIACIÓN (%)]])-D.sign_Data[[#This Row],[VALOR NETO ($COP)]]</f>
        <v>4773.0259931088367</v>
      </c>
      <c r="AE576" s="15">
        <f>+(D.sign_Data[[#This Row],[VALOR NETO ($COP)]]+D.sign_Data[[#This Row],[NEGOCIACIÓN ($COP)]])*1%</f>
        <v>954.60519862176557</v>
      </c>
      <c r="AF576" s="15">
        <f>+(D.sign_Data[[#This Row],[VALOR NETO ($COP)]]+D.sign_Data[[#This Row],[NEGOCIACIÓN ($COP)]])*1%</f>
        <v>954.60519862176557</v>
      </c>
      <c r="AG576" s="3">
        <f>+D.sign_Data[[#This Row],[VALOR NETO ($COP)]]+D.sign_Data[[#This Row],[NEGOCIACIÓN ($COP)]]+D.sign_Data[[#This Row],[ICA ($COP)]]+D.sign_Data[[#This Row],[4 * 1000 ($COP)]]</f>
        <v>97369.730259420088</v>
      </c>
    </row>
    <row r="577" spans="1:33" ht="60" hidden="1" customHeight="1" x14ac:dyDescent="0.25">
      <c r="A577" s="14"/>
      <c r="B577" s="87" t="s">
        <v>418</v>
      </c>
      <c r="C577" s="182" t="s">
        <v>864</v>
      </c>
      <c r="D577" s="189" t="str">
        <f>VLOOKUP(D.sign_Data[[#This Row],[CÓDIGO]],Descripciones[[CÓDIGO]:[NOMBRE DE SERVICIO]],3,FALSE)</f>
        <v>D2. Edificación en Altura</v>
      </c>
      <c r="E577" s="87" t="s">
        <v>497</v>
      </c>
      <c r="F577" s="88" t="s">
        <v>865</v>
      </c>
      <c r="G577" s="88" t="s">
        <v>536</v>
      </c>
      <c r="H577" s="87" t="s">
        <v>866</v>
      </c>
      <c r="I577" s="89">
        <v>1</v>
      </c>
      <c r="J577" s="88" t="s">
        <v>873</v>
      </c>
      <c r="K577" s="102"/>
      <c r="L577" s="88" t="s">
        <v>877</v>
      </c>
      <c r="M577" s="89" t="s">
        <v>381</v>
      </c>
      <c r="N577" s="90">
        <v>5</v>
      </c>
      <c r="O577" s="27">
        <f>IFERROR(+VLOOKUP(M577,D.sign_Lista_Data[[RESPONSABLE]:[SOFTWARE 
VALOR HORA]],3,FALSE),"0")</f>
        <v>20263.424518743668</v>
      </c>
      <c r="P577" s="3">
        <f t="shared" si="20"/>
        <v>101317.12259371835</v>
      </c>
      <c r="Q577" s="11">
        <f>IFERROR(+VLOOKUP(M577,D.sign_Lista_Data[[RESPONSABLE]:[SOFTWARE 
VALOR HORA]],5,FALSE)*D.sign_Data[[#This Row],[TIEMPO (HORAS)]],0)</f>
        <v>21107.733873691319</v>
      </c>
      <c r="R577" s="11">
        <f>IFERROR(+VLOOKUP(M577,D.sign_Lista_Data[[RESPONSABLE]:[SOFTWARE 
VALOR HORA]],8,FALSE)*D.sign_Data[[#This Row],[TIEMPO (HORAS)]],0)</f>
        <v>17054.274435719919</v>
      </c>
      <c r="S577" s="99"/>
      <c r="T577" s="99"/>
      <c r="U577" s="3">
        <f t="shared" si="21"/>
        <v>139479.13090312958</v>
      </c>
      <c r="V577" s="100">
        <f>D.sign_Data[[#This Row],[TIEMPO (HORAS)]]*Gastos_Operativos[[#Totals],[GASTOS HORA]]</f>
        <v>138947.38536155201</v>
      </c>
      <c r="W577" s="3">
        <f>+D.sign_Data[[#This Row],[COSTO 
DIRECTO ($COP)]]+D.sign_Data[[#This Row],[PRORRATEO GASTOS ($COP)]]</f>
        <v>278426.51626468159</v>
      </c>
      <c r="X577" s="101">
        <v>0.2</v>
      </c>
      <c r="Y577" s="15">
        <f>+D.sign_Data[[#This Row],[COSTOS OPERACIONALES ($COP)]]*D.sign_Data[[#This Row],[DESFASE (%)]]</f>
        <v>55685.303252936319</v>
      </c>
      <c r="Z577" s="101">
        <v>0.3</v>
      </c>
      <c r="AA577" s="15">
        <f>+((D.sign_Data[[#This Row],[COSTOS OPERACIONALES ($COP)]]/(100%-D.sign_Data[[#This Row],[UTILIDAD (%)]])))-D.sign_Data[[#This Row],[COSTOS OPERACIONALES ($COP)]]</f>
        <v>119325.64982772071</v>
      </c>
      <c r="AB577" s="3">
        <f>+D.sign_Data[[#This Row],[COSTOS OPERACIONALES ($COP)]]+D.sign_Data[[#This Row],[DESFASE ($COP)]]+D.sign_Data[[#This Row],[UTILIDAD ($COP)]]</f>
        <v>453437.46934533864</v>
      </c>
      <c r="AC577" s="101">
        <v>0.05</v>
      </c>
      <c r="AD577" s="15">
        <f>+D.sign_Data[[#This Row],[VALOR NETO ($COP)]]/(100%-D.sign_Data[[#This Row],[MARGEN DE NEGOCIACIÓN (%)]])-D.sign_Data[[#This Row],[VALOR NETO ($COP)]]</f>
        <v>23865.129965544154</v>
      </c>
      <c r="AE577" s="15">
        <f>+(D.sign_Data[[#This Row],[VALOR NETO ($COP)]]+D.sign_Data[[#This Row],[NEGOCIACIÓN ($COP)]])*1%</f>
        <v>4773.0259931088285</v>
      </c>
      <c r="AF577" s="15">
        <f>+(D.sign_Data[[#This Row],[VALOR NETO ($COP)]]+D.sign_Data[[#This Row],[NEGOCIACIÓN ($COP)]])*1%</f>
        <v>4773.0259931088285</v>
      </c>
      <c r="AG577" s="3">
        <f>+D.sign_Data[[#This Row],[VALOR NETO ($COP)]]+D.sign_Data[[#This Row],[NEGOCIACIÓN ($COP)]]+D.sign_Data[[#This Row],[ICA ($COP)]]+D.sign_Data[[#This Row],[4 * 1000 ($COP)]]</f>
        <v>486848.65129710041</v>
      </c>
    </row>
    <row r="578" spans="1:33" ht="60" hidden="1" customHeight="1" x14ac:dyDescent="0.25">
      <c r="A578" s="14"/>
      <c r="B578" s="87" t="s">
        <v>418</v>
      </c>
      <c r="C578" s="182" t="s">
        <v>864</v>
      </c>
      <c r="D578" s="189" t="str">
        <f>VLOOKUP(D.sign_Data[[#This Row],[CÓDIGO]],Descripciones[[CÓDIGO]:[NOMBRE DE SERVICIO]],3,FALSE)</f>
        <v>D2. Edificación en Altura</v>
      </c>
      <c r="E578" s="87" t="s">
        <v>497</v>
      </c>
      <c r="F578" s="88" t="s">
        <v>865</v>
      </c>
      <c r="G578" s="88" t="s">
        <v>536</v>
      </c>
      <c r="H578" s="87" t="s">
        <v>866</v>
      </c>
      <c r="I578" s="89">
        <v>1</v>
      </c>
      <c r="J578" s="88" t="s">
        <v>873</v>
      </c>
      <c r="K578" s="102"/>
      <c r="L578" s="88" t="s">
        <v>739</v>
      </c>
      <c r="M578" s="89" t="s">
        <v>381</v>
      </c>
      <c r="N578" s="90">
        <v>5</v>
      </c>
      <c r="O578" s="27">
        <f>IFERROR(+VLOOKUP(M578,D.sign_Lista_Data[[RESPONSABLE]:[SOFTWARE 
VALOR HORA]],3,FALSE),"0")</f>
        <v>20263.424518743668</v>
      </c>
      <c r="P578" s="3">
        <f t="shared" si="20"/>
        <v>101317.12259371835</v>
      </c>
      <c r="Q578" s="11">
        <f>IFERROR(+VLOOKUP(M578,D.sign_Lista_Data[[RESPONSABLE]:[SOFTWARE 
VALOR HORA]],5,FALSE)*D.sign_Data[[#This Row],[TIEMPO (HORAS)]],0)</f>
        <v>21107.733873691319</v>
      </c>
      <c r="R578" s="11">
        <f>IFERROR(+VLOOKUP(M578,D.sign_Lista_Data[[RESPONSABLE]:[SOFTWARE 
VALOR HORA]],8,FALSE)*D.sign_Data[[#This Row],[TIEMPO (HORAS)]],0)</f>
        <v>17054.274435719919</v>
      </c>
      <c r="S578" s="99"/>
      <c r="T578" s="99"/>
      <c r="U578" s="3">
        <f t="shared" si="21"/>
        <v>139479.13090312958</v>
      </c>
      <c r="V578" s="100">
        <f>D.sign_Data[[#This Row],[TIEMPO (HORAS)]]*Gastos_Operativos[[#Totals],[GASTOS HORA]]</f>
        <v>138947.38536155201</v>
      </c>
      <c r="W578" s="3">
        <f>+D.sign_Data[[#This Row],[COSTO 
DIRECTO ($COP)]]+D.sign_Data[[#This Row],[PRORRATEO GASTOS ($COP)]]</f>
        <v>278426.51626468159</v>
      </c>
      <c r="X578" s="101">
        <v>0.2</v>
      </c>
      <c r="Y578" s="15">
        <f>+D.sign_Data[[#This Row],[COSTOS OPERACIONALES ($COP)]]*D.sign_Data[[#This Row],[DESFASE (%)]]</f>
        <v>55685.303252936319</v>
      </c>
      <c r="Z578" s="101">
        <v>0.3</v>
      </c>
      <c r="AA578" s="15">
        <f>+((D.sign_Data[[#This Row],[COSTOS OPERACIONALES ($COP)]]/(100%-D.sign_Data[[#This Row],[UTILIDAD (%)]])))-D.sign_Data[[#This Row],[COSTOS OPERACIONALES ($COP)]]</f>
        <v>119325.64982772071</v>
      </c>
      <c r="AB578" s="3">
        <f>+D.sign_Data[[#This Row],[COSTOS OPERACIONALES ($COP)]]+D.sign_Data[[#This Row],[DESFASE ($COP)]]+D.sign_Data[[#This Row],[UTILIDAD ($COP)]]</f>
        <v>453437.46934533864</v>
      </c>
      <c r="AC578" s="101">
        <v>0.05</v>
      </c>
      <c r="AD578" s="15">
        <f>+D.sign_Data[[#This Row],[VALOR NETO ($COP)]]/(100%-D.sign_Data[[#This Row],[MARGEN DE NEGOCIACIÓN (%)]])-D.sign_Data[[#This Row],[VALOR NETO ($COP)]]</f>
        <v>23865.129965544154</v>
      </c>
      <c r="AE578" s="15">
        <f>+(D.sign_Data[[#This Row],[VALOR NETO ($COP)]]+D.sign_Data[[#This Row],[NEGOCIACIÓN ($COP)]])*1%</f>
        <v>4773.0259931088285</v>
      </c>
      <c r="AF578" s="15">
        <f>+(D.sign_Data[[#This Row],[VALOR NETO ($COP)]]+D.sign_Data[[#This Row],[NEGOCIACIÓN ($COP)]])*1%</f>
        <v>4773.0259931088285</v>
      </c>
      <c r="AG578" s="3">
        <f>+D.sign_Data[[#This Row],[VALOR NETO ($COP)]]+D.sign_Data[[#This Row],[NEGOCIACIÓN ($COP)]]+D.sign_Data[[#This Row],[ICA ($COP)]]+D.sign_Data[[#This Row],[4 * 1000 ($COP)]]</f>
        <v>486848.65129710041</v>
      </c>
    </row>
    <row r="579" spans="1:33" ht="60" hidden="1" customHeight="1" x14ac:dyDescent="0.25">
      <c r="A579" s="14"/>
      <c r="B579" s="87" t="s">
        <v>418</v>
      </c>
      <c r="C579" s="182" t="s">
        <v>864</v>
      </c>
      <c r="D579" s="189" t="str">
        <f>VLOOKUP(D.sign_Data[[#This Row],[CÓDIGO]],Descripciones[[CÓDIGO]:[NOMBRE DE SERVICIO]],3,FALSE)</f>
        <v>D2. Edificación en Altura</v>
      </c>
      <c r="E579" s="87" t="s">
        <v>497</v>
      </c>
      <c r="F579" s="88" t="s">
        <v>865</v>
      </c>
      <c r="G579" s="88" t="s">
        <v>536</v>
      </c>
      <c r="H579" s="87" t="s">
        <v>866</v>
      </c>
      <c r="I579" s="89">
        <v>1</v>
      </c>
      <c r="J579" s="88" t="s">
        <v>873</v>
      </c>
      <c r="K579" s="102"/>
      <c r="L579" s="88" t="s">
        <v>878</v>
      </c>
      <c r="M579" s="89" t="s">
        <v>381</v>
      </c>
      <c r="N579" s="90">
        <v>1</v>
      </c>
      <c r="O579" s="27">
        <f>IFERROR(+VLOOKUP(M579,D.sign_Lista_Data[[RESPONSABLE]:[SOFTWARE 
VALOR HORA]],3,FALSE),"0")</f>
        <v>20263.424518743668</v>
      </c>
      <c r="P579" s="3">
        <f t="shared" si="20"/>
        <v>20263.424518743668</v>
      </c>
      <c r="Q579" s="11">
        <f>IFERROR(+VLOOKUP(M579,D.sign_Lista_Data[[RESPONSABLE]:[SOFTWARE 
VALOR HORA]],5,FALSE)*D.sign_Data[[#This Row],[TIEMPO (HORAS)]],0)</f>
        <v>4221.5467747382636</v>
      </c>
      <c r="R579" s="11">
        <f>IFERROR(+VLOOKUP(M579,D.sign_Lista_Data[[RESPONSABLE]:[SOFTWARE 
VALOR HORA]],8,FALSE)*D.sign_Data[[#This Row],[TIEMPO (HORAS)]],0)</f>
        <v>3410.8548871439834</v>
      </c>
      <c r="S579" s="99"/>
      <c r="T579" s="99"/>
      <c r="U579" s="3">
        <f t="shared" si="21"/>
        <v>27895.826180625918</v>
      </c>
      <c r="V579" s="100">
        <f>D.sign_Data[[#This Row],[TIEMPO (HORAS)]]*Gastos_Operativos[[#Totals],[GASTOS HORA]]</f>
        <v>27789.477072310401</v>
      </c>
      <c r="W579" s="3">
        <f>+D.sign_Data[[#This Row],[COSTO 
DIRECTO ($COP)]]+D.sign_Data[[#This Row],[PRORRATEO GASTOS ($COP)]]</f>
        <v>55685.303252936319</v>
      </c>
      <c r="X579" s="101">
        <v>0.2</v>
      </c>
      <c r="Y579" s="15">
        <f>+D.sign_Data[[#This Row],[COSTOS OPERACIONALES ($COP)]]*D.sign_Data[[#This Row],[DESFASE (%)]]</f>
        <v>11137.060650587264</v>
      </c>
      <c r="Z579" s="101">
        <v>0.3</v>
      </c>
      <c r="AA579" s="15">
        <f>+((D.sign_Data[[#This Row],[COSTOS OPERACIONALES ($COP)]]/(100%-D.sign_Data[[#This Row],[UTILIDAD (%)]])))-D.sign_Data[[#This Row],[COSTOS OPERACIONALES ($COP)]]</f>
        <v>23865.129965544147</v>
      </c>
      <c r="AB579" s="3">
        <f>+D.sign_Data[[#This Row],[COSTOS OPERACIONALES ($COP)]]+D.sign_Data[[#This Row],[DESFASE ($COP)]]+D.sign_Data[[#This Row],[UTILIDAD ($COP)]]</f>
        <v>90687.493869067723</v>
      </c>
      <c r="AC579" s="101">
        <v>0.05</v>
      </c>
      <c r="AD579" s="15">
        <f>+D.sign_Data[[#This Row],[VALOR NETO ($COP)]]/(100%-D.sign_Data[[#This Row],[MARGEN DE NEGOCIACIÓN (%)]])-D.sign_Data[[#This Row],[VALOR NETO ($COP)]]</f>
        <v>4773.0259931088367</v>
      </c>
      <c r="AE579" s="15">
        <f>+(D.sign_Data[[#This Row],[VALOR NETO ($COP)]]+D.sign_Data[[#This Row],[NEGOCIACIÓN ($COP)]])*1%</f>
        <v>954.60519862176557</v>
      </c>
      <c r="AF579" s="15">
        <f>+(D.sign_Data[[#This Row],[VALOR NETO ($COP)]]+D.sign_Data[[#This Row],[NEGOCIACIÓN ($COP)]])*1%</f>
        <v>954.60519862176557</v>
      </c>
      <c r="AG579" s="3">
        <f>+D.sign_Data[[#This Row],[VALOR NETO ($COP)]]+D.sign_Data[[#This Row],[NEGOCIACIÓN ($COP)]]+D.sign_Data[[#This Row],[ICA ($COP)]]+D.sign_Data[[#This Row],[4 * 1000 ($COP)]]</f>
        <v>97369.730259420088</v>
      </c>
    </row>
    <row r="580" spans="1:33" ht="60" hidden="1" customHeight="1" x14ac:dyDescent="0.25">
      <c r="A580" s="14"/>
      <c r="B580" s="87" t="s">
        <v>418</v>
      </c>
      <c r="C580" s="182" t="s">
        <v>864</v>
      </c>
      <c r="D580" s="189" t="str">
        <f>VLOOKUP(D.sign_Data[[#This Row],[CÓDIGO]],Descripciones[[CÓDIGO]:[NOMBRE DE SERVICIO]],3,FALSE)</f>
        <v>D2. Edificación en Altura</v>
      </c>
      <c r="E580" s="87" t="s">
        <v>497</v>
      </c>
      <c r="F580" s="88" t="s">
        <v>865</v>
      </c>
      <c r="G580" s="88" t="s">
        <v>536</v>
      </c>
      <c r="H580" s="87" t="s">
        <v>866</v>
      </c>
      <c r="I580" s="89">
        <v>1</v>
      </c>
      <c r="J580" s="88" t="s">
        <v>873</v>
      </c>
      <c r="K580" s="102"/>
      <c r="L580" s="88" t="s">
        <v>741</v>
      </c>
      <c r="M580" s="89" t="s">
        <v>381</v>
      </c>
      <c r="N580" s="90">
        <v>3</v>
      </c>
      <c r="O580" s="27">
        <f>IFERROR(+VLOOKUP(M580,D.sign_Lista_Data[[RESPONSABLE]:[SOFTWARE 
VALOR HORA]],3,FALSE),"0")</f>
        <v>20263.424518743668</v>
      </c>
      <c r="P580" s="3">
        <f t="shared" si="20"/>
        <v>60790.273556231004</v>
      </c>
      <c r="Q580" s="11">
        <f>IFERROR(+VLOOKUP(M580,D.sign_Lista_Data[[RESPONSABLE]:[SOFTWARE 
VALOR HORA]],5,FALSE)*D.sign_Data[[#This Row],[TIEMPO (HORAS)]],0)</f>
        <v>12664.64032421479</v>
      </c>
      <c r="R580" s="11">
        <f>IFERROR(+VLOOKUP(M580,D.sign_Lista_Data[[RESPONSABLE]:[SOFTWARE 
VALOR HORA]],8,FALSE)*D.sign_Data[[#This Row],[TIEMPO (HORAS)]],0)</f>
        <v>10232.56466143195</v>
      </c>
      <c r="S580" s="99"/>
      <c r="T580" s="99"/>
      <c r="U580" s="3">
        <f t="shared" si="21"/>
        <v>83687.478541877746</v>
      </c>
      <c r="V580" s="100">
        <f>D.sign_Data[[#This Row],[TIEMPO (HORAS)]]*Gastos_Operativos[[#Totals],[GASTOS HORA]]</f>
        <v>83368.431216931203</v>
      </c>
      <c r="W580" s="3">
        <f>+D.sign_Data[[#This Row],[COSTO 
DIRECTO ($COP)]]+D.sign_Data[[#This Row],[PRORRATEO GASTOS ($COP)]]</f>
        <v>167055.90975880896</v>
      </c>
      <c r="X580" s="101">
        <v>0.2</v>
      </c>
      <c r="Y580" s="15">
        <f>+D.sign_Data[[#This Row],[COSTOS OPERACIONALES ($COP)]]*D.sign_Data[[#This Row],[DESFASE (%)]]</f>
        <v>33411.181951761791</v>
      </c>
      <c r="Z580" s="101">
        <v>0.3</v>
      </c>
      <c r="AA580" s="15">
        <f>+((D.sign_Data[[#This Row],[COSTOS OPERACIONALES ($COP)]]/(100%-D.sign_Data[[#This Row],[UTILIDAD (%)]])))-D.sign_Data[[#This Row],[COSTOS OPERACIONALES ($COP)]]</f>
        <v>71595.389896632434</v>
      </c>
      <c r="AB580" s="3">
        <f>+D.sign_Data[[#This Row],[COSTOS OPERACIONALES ($COP)]]+D.sign_Data[[#This Row],[DESFASE ($COP)]]+D.sign_Data[[#This Row],[UTILIDAD ($COP)]]</f>
        <v>272062.4816072032</v>
      </c>
      <c r="AC580" s="101">
        <v>0.05</v>
      </c>
      <c r="AD580" s="15">
        <f>+D.sign_Data[[#This Row],[VALOR NETO ($COP)]]/(100%-D.sign_Data[[#This Row],[MARGEN DE NEGOCIACIÓN (%)]])-D.sign_Data[[#This Row],[VALOR NETO ($COP)]]</f>
        <v>14319.077979326481</v>
      </c>
      <c r="AE580" s="15">
        <f>+(D.sign_Data[[#This Row],[VALOR NETO ($COP)]]+D.sign_Data[[#This Row],[NEGOCIACIÓN ($COP)]])*1%</f>
        <v>2863.8155958652969</v>
      </c>
      <c r="AF580" s="15">
        <f>+(D.sign_Data[[#This Row],[VALOR NETO ($COP)]]+D.sign_Data[[#This Row],[NEGOCIACIÓN ($COP)]])*1%</f>
        <v>2863.8155958652969</v>
      </c>
      <c r="AG580" s="3">
        <f>+D.sign_Data[[#This Row],[VALOR NETO ($COP)]]+D.sign_Data[[#This Row],[NEGOCIACIÓN ($COP)]]+D.sign_Data[[#This Row],[ICA ($COP)]]+D.sign_Data[[#This Row],[4 * 1000 ($COP)]]</f>
        <v>292109.19077826029</v>
      </c>
    </row>
    <row r="581" spans="1:33" ht="60" hidden="1" customHeight="1" x14ac:dyDescent="0.25">
      <c r="A581" s="14"/>
      <c r="B581" s="87" t="s">
        <v>418</v>
      </c>
      <c r="C581" s="182" t="s">
        <v>864</v>
      </c>
      <c r="D581" s="189" t="str">
        <f>VLOOKUP(D.sign_Data[[#This Row],[CÓDIGO]],Descripciones[[CÓDIGO]:[NOMBRE DE SERVICIO]],3,FALSE)</f>
        <v>D2. Edificación en Altura</v>
      </c>
      <c r="E581" s="87" t="s">
        <v>497</v>
      </c>
      <c r="F581" s="88" t="s">
        <v>865</v>
      </c>
      <c r="G581" s="88" t="s">
        <v>536</v>
      </c>
      <c r="H581" s="87" t="s">
        <v>866</v>
      </c>
      <c r="I581" s="89">
        <v>1</v>
      </c>
      <c r="J581" s="88" t="s">
        <v>873</v>
      </c>
      <c r="K581" s="102"/>
      <c r="L581" s="88" t="s">
        <v>742</v>
      </c>
      <c r="M581" s="89" t="s">
        <v>381</v>
      </c>
      <c r="N581" s="90">
        <v>1</v>
      </c>
      <c r="O581" s="27">
        <f>IFERROR(+VLOOKUP(M581,D.sign_Lista_Data[[RESPONSABLE]:[SOFTWARE 
VALOR HORA]],3,FALSE),"0")</f>
        <v>20263.424518743668</v>
      </c>
      <c r="P581" s="3">
        <f t="shared" si="20"/>
        <v>20263.424518743668</v>
      </c>
      <c r="Q581" s="11">
        <f>IFERROR(+VLOOKUP(M581,D.sign_Lista_Data[[RESPONSABLE]:[SOFTWARE 
VALOR HORA]],5,FALSE)*D.sign_Data[[#This Row],[TIEMPO (HORAS)]],0)</f>
        <v>4221.5467747382636</v>
      </c>
      <c r="R581" s="11">
        <f>IFERROR(+VLOOKUP(M581,D.sign_Lista_Data[[RESPONSABLE]:[SOFTWARE 
VALOR HORA]],8,FALSE)*D.sign_Data[[#This Row],[TIEMPO (HORAS)]],0)</f>
        <v>3410.8548871439834</v>
      </c>
      <c r="S581" s="99"/>
      <c r="T581" s="99"/>
      <c r="U581" s="3">
        <f t="shared" si="21"/>
        <v>27895.826180625918</v>
      </c>
      <c r="V581" s="100">
        <f>D.sign_Data[[#This Row],[TIEMPO (HORAS)]]*Gastos_Operativos[[#Totals],[GASTOS HORA]]</f>
        <v>27789.477072310401</v>
      </c>
      <c r="W581" s="3">
        <f>+D.sign_Data[[#This Row],[COSTO 
DIRECTO ($COP)]]+D.sign_Data[[#This Row],[PRORRATEO GASTOS ($COP)]]</f>
        <v>55685.303252936319</v>
      </c>
      <c r="X581" s="101">
        <v>0.2</v>
      </c>
      <c r="Y581" s="15">
        <f>+D.sign_Data[[#This Row],[COSTOS OPERACIONALES ($COP)]]*D.sign_Data[[#This Row],[DESFASE (%)]]</f>
        <v>11137.060650587264</v>
      </c>
      <c r="Z581" s="101">
        <v>0.3</v>
      </c>
      <c r="AA581" s="15">
        <f>+((D.sign_Data[[#This Row],[COSTOS OPERACIONALES ($COP)]]/(100%-D.sign_Data[[#This Row],[UTILIDAD (%)]])))-D.sign_Data[[#This Row],[COSTOS OPERACIONALES ($COP)]]</f>
        <v>23865.129965544147</v>
      </c>
      <c r="AB581" s="3">
        <f>+D.sign_Data[[#This Row],[COSTOS OPERACIONALES ($COP)]]+D.sign_Data[[#This Row],[DESFASE ($COP)]]+D.sign_Data[[#This Row],[UTILIDAD ($COP)]]</f>
        <v>90687.493869067723</v>
      </c>
      <c r="AC581" s="101">
        <v>0.05</v>
      </c>
      <c r="AD581" s="15">
        <f>+D.sign_Data[[#This Row],[VALOR NETO ($COP)]]/(100%-D.sign_Data[[#This Row],[MARGEN DE NEGOCIACIÓN (%)]])-D.sign_Data[[#This Row],[VALOR NETO ($COP)]]</f>
        <v>4773.0259931088367</v>
      </c>
      <c r="AE581" s="15">
        <f>+(D.sign_Data[[#This Row],[VALOR NETO ($COP)]]+D.sign_Data[[#This Row],[NEGOCIACIÓN ($COP)]])*1%</f>
        <v>954.60519862176557</v>
      </c>
      <c r="AF581" s="15">
        <f>+(D.sign_Data[[#This Row],[VALOR NETO ($COP)]]+D.sign_Data[[#This Row],[NEGOCIACIÓN ($COP)]])*1%</f>
        <v>954.60519862176557</v>
      </c>
      <c r="AG581" s="3">
        <f>+D.sign_Data[[#This Row],[VALOR NETO ($COP)]]+D.sign_Data[[#This Row],[NEGOCIACIÓN ($COP)]]+D.sign_Data[[#This Row],[ICA ($COP)]]+D.sign_Data[[#This Row],[4 * 1000 ($COP)]]</f>
        <v>97369.730259420088</v>
      </c>
    </row>
    <row r="582" spans="1:33" ht="60" hidden="1" customHeight="1" x14ac:dyDescent="0.25">
      <c r="A582" s="14"/>
      <c r="B582" s="87" t="s">
        <v>418</v>
      </c>
      <c r="C582" s="182" t="s">
        <v>864</v>
      </c>
      <c r="D582" s="189" t="str">
        <f>VLOOKUP(D.sign_Data[[#This Row],[CÓDIGO]],Descripciones[[CÓDIGO]:[NOMBRE DE SERVICIO]],3,FALSE)</f>
        <v>D2. Edificación en Altura</v>
      </c>
      <c r="E582" s="87" t="s">
        <v>497</v>
      </c>
      <c r="F582" s="88" t="s">
        <v>865</v>
      </c>
      <c r="G582" s="88" t="s">
        <v>536</v>
      </c>
      <c r="H582" s="87" t="s">
        <v>866</v>
      </c>
      <c r="I582" s="89">
        <v>1</v>
      </c>
      <c r="J582" s="88" t="s">
        <v>873</v>
      </c>
      <c r="K582" s="102"/>
      <c r="L582" s="88" t="s">
        <v>743</v>
      </c>
      <c r="M582" s="89" t="s">
        <v>381</v>
      </c>
      <c r="N582" s="90">
        <v>1</v>
      </c>
      <c r="O582" s="27">
        <f>IFERROR(+VLOOKUP(M582,D.sign_Lista_Data[[RESPONSABLE]:[SOFTWARE 
VALOR HORA]],3,FALSE),"0")</f>
        <v>20263.424518743668</v>
      </c>
      <c r="P582" s="3">
        <f t="shared" si="20"/>
        <v>20263.424518743668</v>
      </c>
      <c r="Q582" s="11">
        <f>IFERROR(+VLOOKUP(M582,D.sign_Lista_Data[[RESPONSABLE]:[SOFTWARE 
VALOR HORA]],5,FALSE)*D.sign_Data[[#This Row],[TIEMPO (HORAS)]],0)</f>
        <v>4221.5467747382636</v>
      </c>
      <c r="R582" s="11">
        <f>IFERROR(+VLOOKUP(M582,D.sign_Lista_Data[[RESPONSABLE]:[SOFTWARE 
VALOR HORA]],8,FALSE)*D.sign_Data[[#This Row],[TIEMPO (HORAS)]],0)</f>
        <v>3410.8548871439834</v>
      </c>
      <c r="S582" s="99"/>
      <c r="T582" s="99"/>
      <c r="U582" s="3">
        <f t="shared" si="21"/>
        <v>27895.826180625918</v>
      </c>
      <c r="V582" s="100">
        <f>D.sign_Data[[#This Row],[TIEMPO (HORAS)]]*Gastos_Operativos[[#Totals],[GASTOS HORA]]</f>
        <v>27789.477072310401</v>
      </c>
      <c r="W582" s="3">
        <f>+D.sign_Data[[#This Row],[COSTO 
DIRECTO ($COP)]]+D.sign_Data[[#This Row],[PRORRATEO GASTOS ($COP)]]</f>
        <v>55685.303252936319</v>
      </c>
      <c r="X582" s="101">
        <v>0.2</v>
      </c>
      <c r="Y582" s="15">
        <f>+D.sign_Data[[#This Row],[COSTOS OPERACIONALES ($COP)]]*D.sign_Data[[#This Row],[DESFASE (%)]]</f>
        <v>11137.060650587264</v>
      </c>
      <c r="Z582" s="101">
        <v>0.3</v>
      </c>
      <c r="AA582" s="15">
        <f>+((D.sign_Data[[#This Row],[COSTOS OPERACIONALES ($COP)]]/(100%-D.sign_Data[[#This Row],[UTILIDAD (%)]])))-D.sign_Data[[#This Row],[COSTOS OPERACIONALES ($COP)]]</f>
        <v>23865.129965544147</v>
      </c>
      <c r="AB582" s="3">
        <f>+D.sign_Data[[#This Row],[COSTOS OPERACIONALES ($COP)]]+D.sign_Data[[#This Row],[DESFASE ($COP)]]+D.sign_Data[[#This Row],[UTILIDAD ($COP)]]</f>
        <v>90687.493869067723</v>
      </c>
      <c r="AC582" s="101">
        <v>0.05</v>
      </c>
      <c r="AD582" s="15">
        <f>+D.sign_Data[[#This Row],[VALOR NETO ($COP)]]/(100%-D.sign_Data[[#This Row],[MARGEN DE NEGOCIACIÓN (%)]])-D.sign_Data[[#This Row],[VALOR NETO ($COP)]]</f>
        <v>4773.0259931088367</v>
      </c>
      <c r="AE582" s="15">
        <f>+(D.sign_Data[[#This Row],[VALOR NETO ($COP)]]+D.sign_Data[[#This Row],[NEGOCIACIÓN ($COP)]])*1%</f>
        <v>954.60519862176557</v>
      </c>
      <c r="AF582" s="15">
        <f>+(D.sign_Data[[#This Row],[VALOR NETO ($COP)]]+D.sign_Data[[#This Row],[NEGOCIACIÓN ($COP)]])*1%</f>
        <v>954.60519862176557</v>
      </c>
      <c r="AG582" s="3">
        <f>+D.sign_Data[[#This Row],[VALOR NETO ($COP)]]+D.sign_Data[[#This Row],[NEGOCIACIÓN ($COP)]]+D.sign_Data[[#This Row],[ICA ($COP)]]+D.sign_Data[[#This Row],[4 * 1000 ($COP)]]</f>
        <v>97369.730259420088</v>
      </c>
    </row>
    <row r="583" spans="1:33" ht="60" hidden="1" customHeight="1" x14ac:dyDescent="0.25">
      <c r="A583" s="14"/>
      <c r="B583" s="87" t="s">
        <v>418</v>
      </c>
      <c r="C583" s="182" t="s">
        <v>864</v>
      </c>
      <c r="D583" s="189" t="str">
        <f>VLOOKUP(D.sign_Data[[#This Row],[CÓDIGO]],Descripciones[[CÓDIGO]:[NOMBRE DE SERVICIO]],3,FALSE)</f>
        <v>D2. Edificación en Altura</v>
      </c>
      <c r="E583" s="87" t="s">
        <v>497</v>
      </c>
      <c r="F583" s="88" t="s">
        <v>865</v>
      </c>
      <c r="G583" s="88" t="s">
        <v>536</v>
      </c>
      <c r="H583" s="87" t="s">
        <v>866</v>
      </c>
      <c r="I583" s="89">
        <v>1</v>
      </c>
      <c r="J583" s="88" t="s">
        <v>873</v>
      </c>
      <c r="K583" s="102"/>
      <c r="L583" s="88" t="s">
        <v>744</v>
      </c>
      <c r="M583" s="89" t="s">
        <v>381</v>
      </c>
      <c r="N583" s="90">
        <v>47</v>
      </c>
      <c r="O583" s="27">
        <f>IFERROR(+VLOOKUP(M583,D.sign_Lista_Data[[RESPONSABLE]:[SOFTWARE 
VALOR HORA]],3,FALSE),"0")</f>
        <v>20263.424518743668</v>
      </c>
      <c r="P583" s="3">
        <f t="shared" si="20"/>
        <v>952380.95238095243</v>
      </c>
      <c r="Q583" s="11">
        <f>IFERROR(+VLOOKUP(M583,D.sign_Lista_Data[[RESPONSABLE]:[SOFTWARE 
VALOR HORA]],5,FALSE)*D.sign_Data[[#This Row],[TIEMPO (HORAS)]],0)</f>
        <v>198412.6984126984</v>
      </c>
      <c r="R583" s="11">
        <f>IFERROR(+VLOOKUP(M583,D.sign_Lista_Data[[RESPONSABLE]:[SOFTWARE 
VALOR HORA]],8,FALSE)*D.sign_Data[[#This Row],[TIEMPO (HORAS)]],0)</f>
        <v>160310.17969576723</v>
      </c>
      <c r="S583" s="99"/>
      <c r="T583" s="99"/>
      <c r="U583" s="3">
        <f t="shared" si="21"/>
        <v>1311103.830489418</v>
      </c>
      <c r="V583" s="100">
        <f>D.sign_Data[[#This Row],[TIEMPO (HORAS)]]*Gastos_Operativos[[#Totals],[GASTOS HORA]]</f>
        <v>1306105.4223985889</v>
      </c>
      <c r="W583" s="3">
        <f>+D.sign_Data[[#This Row],[COSTO 
DIRECTO ($COP)]]+D.sign_Data[[#This Row],[PRORRATEO GASTOS ($COP)]]</f>
        <v>2617209.2528880071</v>
      </c>
      <c r="X583" s="101">
        <v>0.2</v>
      </c>
      <c r="Y583" s="15">
        <f>+D.sign_Data[[#This Row],[COSTOS OPERACIONALES ($COP)]]*D.sign_Data[[#This Row],[DESFASE (%)]]</f>
        <v>523441.85057760146</v>
      </c>
      <c r="Z583" s="101">
        <v>0.3</v>
      </c>
      <c r="AA583" s="15">
        <f>+((D.sign_Data[[#This Row],[COSTOS OPERACIONALES ($COP)]]/(100%-D.sign_Data[[#This Row],[UTILIDAD (%)]])))-D.sign_Data[[#This Row],[COSTOS OPERACIONALES ($COP)]]</f>
        <v>1121661.1083805747</v>
      </c>
      <c r="AB583" s="3">
        <f>+D.sign_Data[[#This Row],[COSTOS OPERACIONALES ($COP)]]+D.sign_Data[[#This Row],[DESFASE ($COP)]]+D.sign_Data[[#This Row],[UTILIDAD ($COP)]]</f>
        <v>4262312.2118461831</v>
      </c>
      <c r="AC583" s="101">
        <v>0.05</v>
      </c>
      <c r="AD583" s="15">
        <f>+D.sign_Data[[#This Row],[VALOR NETO ($COP)]]/(100%-D.sign_Data[[#This Row],[MARGEN DE NEGOCIACIÓN (%)]])-D.sign_Data[[#This Row],[VALOR NETO ($COP)]]</f>
        <v>224332.22167611495</v>
      </c>
      <c r="AE583" s="15">
        <f>+(D.sign_Data[[#This Row],[VALOR NETO ($COP)]]+D.sign_Data[[#This Row],[NEGOCIACIÓN ($COP)]])*1%</f>
        <v>44866.444335222979</v>
      </c>
      <c r="AF583" s="15">
        <f>+(D.sign_Data[[#This Row],[VALOR NETO ($COP)]]+D.sign_Data[[#This Row],[NEGOCIACIÓN ($COP)]])*1%</f>
        <v>44866.444335222979</v>
      </c>
      <c r="AG583" s="3">
        <f>+D.sign_Data[[#This Row],[VALOR NETO ($COP)]]+D.sign_Data[[#This Row],[NEGOCIACIÓN ($COP)]]+D.sign_Data[[#This Row],[ICA ($COP)]]+D.sign_Data[[#This Row],[4 * 1000 ($COP)]]</f>
        <v>4576377.3221927444</v>
      </c>
    </row>
    <row r="584" spans="1:33" ht="60" hidden="1" customHeight="1" x14ac:dyDescent="0.25">
      <c r="A584" s="14"/>
      <c r="B584" s="87" t="s">
        <v>418</v>
      </c>
      <c r="C584" s="182" t="s">
        <v>864</v>
      </c>
      <c r="D584" s="189" t="str">
        <f>VLOOKUP(D.sign_Data[[#This Row],[CÓDIGO]],Descripciones[[CÓDIGO]:[NOMBRE DE SERVICIO]],3,FALSE)</f>
        <v>D2. Edificación en Altura</v>
      </c>
      <c r="E584" s="87" t="s">
        <v>497</v>
      </c>
      <c r="F584" s="88" t="s">
        <v>865</v>
      </c>
      <c r="G584" s="88" t="s">
        <v>536</v>
      </c>
      <c r="H584" s="87" t="s">
        <v>866</v>
      </c>
      <c r="I584" s="89">
        <v>1</v>
      </c>
      <c r="J584" s="88" t="s">
        <v>879</v>
      </c>
      <c r="K584" s="102"/>
      <c r="L584" s="88" t="s">
        <v>746</v>
      </c>
      <c r="M584" s="89" t="s">
        <v>381</v>
      </c>
      <c r="N584" s="90">
        <v>47</v>
      </c>
      <c r="O584" s="27">
        <f>IFERROR(+VLOOKUP(M584,D.sign_Lista_Data[[RESPONSABLE]:[SOFTWARE 
VALOR HORA]],3,FALSE),"0")</f>
        <v>20263.424518743668</v>
      </c>
      <c r="P584" s="3">
        <f t="shared" si="20"/>
        <v>952380.95238095243</v>
      </c>
      <c r="Q584" s="11">
        <f>IFERROR(+VLOOKUP(M584,D.sign_Lista_Data[[RESPONSABLE]:[SOFTWARE 
VALOR HORA]],5,FALSE)*D.sign_Data[[#This Row],[TIEMPO (HORAS)]],0)</f>
        <v>198412.6984126984</v>
      </c>
      <c r="R584" s="11">
        <f>IFERROR(+VLOOKUP(M584,D.sign_Lista_Data[[RESPONSABLE]:[SOFTWARE 
VALOR HORA]],8,FALSE)*D.sign_Data[[#This Row],[TIEMPO (HORAS)]],0)</f>
        <v>160310.17969576723</v>
      </c>
      <c r="S584" s="99"/>
      <c r="T584" s="99"/>
      <c r="U584" s="3">
        <f t="shared" si="21"/>
        <v>1311103.830489418</v>
      </c>
      <c r="V584" s="100">
        <f>D.sign_Data[[#This Row],[TIEMPO (HORAS)]]*Gastos_Operativos[[#Totals],[GASTOS HORA]]</f>
        <v>1306105.4223985889</v>
      </c>
      <c r="W584" s="3">
        <f>+D.sign_Data[[#This Row],[COSTO 
DIRECTO ($COP)]]+D.sign_Data[[#This Row],[PRORRATEO GASTOS ($COP)]]</f>
        <v>2617209.2528880071</v>
      </c>
      <c r="X584" s="101">
        <v>0.2</v>
      </c>
      <c r="Y584" s="15">
        <f>+D.sign_Data[[#This Row],[COSTOS OPERACIONALES ($COP)]]*D.sign_Data[[#This Row],[DESFASE (%)]]</f>
        <v>523441.85057760146</v>
      </c>
      <c r="Z584" s="101">
        <v>0.3</v>
      </c>
      <c r="AA584" s="15">
        <f>+((D.sign_Data[[#This Row],[COSTOS OPERACIONALES ($COP)]]/(100%-D.sign_Data[[#This Row],[UTILIDAD (%)]])))-D.sign_Data[[#This Row],[COSTOS OPERACIONALES ($COP)]]</f>
        <v>1121661.1083805747</v>
      </c>
      <c r="AB584" s="3">
        <f>+D.sign_Data[[#This Row],[COSTOS OPERACIONALES ($COP)]]+D.sign_Data[[#This Row],[DESFASE ($COP)]]+D.sign_Data[[#This Row],[UTILIDAD ($COP)]]</f>
        <v>4262312.2118461831</v>
      </c>
      <c r="AC584" s="101">
        <v>0.05</v>
      </c>
      <c r="AD584" s="15">
        <f>+D.sign_Data[[#This Row],[VALOR NETO ($COP)]]/(100%-D.sign_Data[[#This Row],[MARGEN DE NEGOCIACIÓN (%)]])-D.sign_Data[[#This Row],[VALOR NETO ($COP)]]</f>
        <v>224332.22167611495</v>
      </c>
      <c r="AE584" s="15">
        <f>+(D.sign_Data[[#This Row],[VALOR NETO ($COP)]]+D.sign_Data[[#This Row],[NEGOCIACIÓN ($COP)]])*1%</f>
        <v>44866.444335222979</v>
      </c>
      <c r="AF584" s="15">
        <f>+(D.sign_Data[[#This Row],[VALOR NETO ($COP)]]+D.sign_Data[[#This Row],[NEGOCIACIÓN ($COP)]])*1%</f>
        <v>44866.444335222979</v>
      </c>
      <c r="AG584" s="3">
        <f>+D.sign_Data[[#This Row],[VALOR NETO ($COP)]]+D.sign_Data[[#This Row],[NEGOCIACIÓN ($COP)]]+D.sign_Data[[#This Row],[ICA ($COP)]]+D.sign_Data[[#This Row],[4 * 1000 ($COP)]]</f>
        <v>4576377.3221927444</v>
      </c>
    </row>
    <row r="585" spans="1:33" ht="60" hidden="1" customHeight="1" x14ac:dyDescent="0.25">
      <c r="A585" s="14"/>
      <c r="B585" s="87" t="s">
        <v>418</v>
      </c>
      <c r="C585" s="182" t="s">
        <v>864</v>
      </c>
      <c r="D585" s="189" t="str">
        <f>VLOOKUP(D.sign_Data[[#This Row],[CÓDIGO]],Descripciones[[CÓDIGO]:[NOMBRE DE SERVICIO]],3,FALSE)</f>
        <v>D2. Edificación en Altura</v>
      </c>
      <c r="E585" s="87" t="s">
        <v>497</v>
      </c>
      <c r="F585" s="88" t="s">
        <v>865</v>
      </c>
      <c r="G585" s="88" t="s">
        <v>536</v>
      </c>
      <c r="H585" s="87" t="s">
        <v>866</v>
      </c>
      <c r="I585" s="89">
        <v>1</v>
      </c>
      <c r="J585" s="88" t="s">
        <v>880</v>
      </c>
      <c r="K585" s="102"/>
      <c r="L585" s="88" t="s">
        <v>650</v>
      </c>
      <c r="M585" s="89" t="s">
        <v>381</v>
      </c>
      <c r="N585" s="90">
        <v>1</v>
      </c>
      <c r="O585" s="27">
        <f>IFERROR(+VLOOKUP(M585,D.sign_Lista_Data[[RESPONSABLE]:[SOFTWARE 
VALOR HORA]],3,FALSE),"0")</f>
        <v>20263.424518743668</v>
      </c>
      <c r="P585" s="3">
        <f t="shared" si="20"/>
        <v>20263.424518743668</v>
      </c>
      <c r="Q585" s="11">
        <f>IFERROR(+VLOOKUP(M585,D.sign_Lista_Data[[RESPONSABLE]:[SOFTWARE 
VALOR HORA]],5,FALSE)*D.sign_Data[[#This Row],[TIEMPO (HORAS)]],0)</f>
        <v>4221.5467747382636</v>
      </c>
      <c r="R585" s="11">
        <f>IFERROR(+VLOOKUP(M585,D.sign_Lista_Data[[RESPONSABLE]:[SOFTWARE 
VALOR HORA]],8,FALSE)*D.sign_Data[[#This Row],[TIEMPO (HORAS)]],0)</f>
        <v>3410.8548871439834</v>
      </c>
      <c r="S585" s="99"/>
      <c r="T585" s="99"/>
      <c r="U585" s="3">
        <f t="shared" si="21"/>
        <v>27895.826180625918</v>
      </c>
      <c r="V585" s="100">
        <f>D.sign_Data[[#This Row],[TIEMPO (HORAS)]]*Gastos_Operativos[[#Totals],[GASTOS HORA]]</f>
        <v>27789.477072310401</v>
      </c>
      <c r="W585" s="3">
        <f>+D.sign_Data[[#This Row],[COSTO 
DIRECTO ($COP)]]+D.sign_Data[[#This Row],[PRORRATEO GASTOS ($COP)]]</f>
        <v>55685.303252936319</v>
      </c>
      <c r="X585" s="101">
        <v>0.2</v>
      </c>
      <c r="Y585" s="15">
        <f>+D.sign_Data[[#This Row],[COSTOS OPERACIONALES ($COP)]]*D.sign_Data[[#This Row],[DESFASE (%)]]</f>
        <v>11137.060650587264</v>
      </c>
      <c r="Z585" s="101">
        <v>0.3</v>
      </c>
      <c r="AA585" s="15">
        <f>+((D.sign_Data[[#This Row],[COSTOS OPERACIONALES ($COP)]]/(100%-D.sign_Data[[#This Row],[UTILIDAD (%)]])))-D.sign_Data[[#This Row],[COSTOS OPERACIONALES ($COP)]]</f>
        <v>23865.129965544147</v>
      </c>
      <c r="AB585" s="3">
        <f>+D.sign_Data[[#This Row],[COSTOS OPERACIONALES ($COP)]]+D.sign_Data[[#This Row],[DESFASE ($COP)]]+D.sign_Data[[#This Row],[UTILIDAD ($COP)]]</f>
        <v>90687.493869067723</v>
      </c>
      <c r="AC585" s="101">
        <v>0.05</v>
      </c>
      <c r="AD585" s="15">
        <f>+D.sign_Data[[#This Row],[VALOR NETO ($COP)]]/(100%-D.sign_Data[[#This Row],[MARGEN DE NEGOCIACIÓN (%)]])-D.sign_Data[[#This Row],[VALOR NETO ($COP)]]</f>
        <v>4773.0259931088367</v>
      </c>
      <c r="AE585" s="15">
        <f>+(D.sign_Data[[#This Row],[VALOR NETO ($COP)]]+D.sign_Data[[#This Row],[NEGOCIACIÓN ($COP)]])*1%</f>
        <v>954.60519862176557</v>
      </c>
      <c r="AF585" s="15">
        <f>+(D.sign_Data[[#This Row],[VALOR NETO ($COP)]]+D.sign_Data[[#This Row],[NEGOCIACIÓN ($COP)]])*1%</f>
        <v>954.60519862176557</v>
      </c>
      <c r="AG585" s="3">
        <f>+D.sign_Data[[#This Row],[VALOR NETO ($COP)]]+D.sign_Data[[#This Row],[NEGOCIACIÓN ($COP)]]+D.sign_Data[[#This Row],[ICA ($COP)]]+D.sign_Data[[#This Row],[4 * 1000 ($COP)]]</f>
        <v>97369.730259420088</v>
      </c>
    </row>
    <row r="586" spans="1:33" ht="60" hidden="1" customHeight="1" x14ac:dyDescent="0.25">
      <c r="A586" s="14"/>
      <c r="B586" s="87" t="s">
        <v>418</v>
      </c>
      <c r="C586" s="182" t="s">
        <v>864</v>
      </c>
      <c r="D586" s="189" t="str">
        <f>VLOOKUP(D.sign_Data[[#This Row],[CÓDIGO]],Descripciones[[CÓDIGO]:[NOMBRE DE SERVICIO]],3,FALSE)</f>
        <v>D2. Edificación en Altura</v>
      </c>
      <c r="E586" s="87" t="s">
        <v>497</v>
      </c>
      <c r="F586" s="88" t="s">
        <v>865</v>
      </c>
      <c r="G586" s="88" t="s">
        <v>536</v>
      </c>
      <c r="H586" s="87" t="s">
        <v>866</v>
      </c>
      <c r="I586" s="89">
        <v>1</v>
      </c>
      <c r="J586" s="88" t="s">
        <v>880</v>
      </c>
      <c r="K586" s="102"/>
      <c r="L586" s="88" t="s">
        <v>748</v>
      </c>
      <c r="M586" s="89" t="s">
        <v>381</v>
      </c>
      <c r="N586" s="90">
        <v>0.5</v>
      </c>
      <c r="O586" s="27">
        <f>IFERROR(+VLOOKUP(M586,D.sign_Lista_Data[[RESPONSABLE]:[SOFTWARE 
VALOR HORA]],3,FALSE),"0")</f>
        <v>20263.424518743668</v>
      </c>
      <c r="P586" s="3">
        <f t="shared" si="20"/>
        <v>10131.712259371834</v>
      </c>
      <c r="Q586" s="11">
        <f>IFERROR(+VLOOKUP(M586,D.sign_Lista_Data[[RESPONSABLE]:[SOFTWARE 
VALOR HORA]],5,FALSE)*D.sign_Data[[#This Row],[TIEMPO (HORAS)]],0)</f>
        <v>2110.7733873691318</v>
      </c>
      <c r="R586" s="11">
        <f>IFERROR(+VLOOKUP(M586,D.sign_Lista_Data[[RESPONSABLE]:[SOFTWARE 
VALOR HORA]],8,FALSE)*D.sign_Data[[#This Row],[TIEMPO (HORAS)]],0)</f>
        <v>1705.4274435719917</v>
      </c>
      <c r="S586" s="99"/>
      <c r="T586" s="99"/>
      <c r="U586" s="3">
        <f t="shared" si="21"/>
        <v>13947.913090312959</v>
      </c>
      <c r="V586" s="100">
        <f>D.sign_Data[[#This Row],[TIEMPO (HORAS)]]*Gastos_Operativos[[#Totals],[GASTOS HORA]]</f>
        <v>13894.738536155201</v>
      </c>
      <c r="W586" s="3">
        <f>+D.sign_Data[[#This Row],[COSTO 
DIRECTO ($COP)]]+D.sign_Data[[#This Row],[PRORRATEO GASTOS ($COP)]]</f>
        <v>27842.65162646816</v>
      </c>
      <c r="X586" s="101">
        <v>0.2</v>
      </c>
      <c r="Y586" s="15">
        <f>+D.sign_Data[[#This Row],[COSTOS OPERACIONALES ($COP)]]*D.sign_Data[[#This Row],[DESFASE (%)]]</f>
        <v>5568.5303252936319</v>
      </c>
      <c r="Z586" s="101">
        <v>0.3</v>
      </c>
      <c r="AA586" s="15">
        <f>+((D.sign_Data[[#This Row],[COSTOS OPERACIONALES ($COP)]]/(100%-D.sign_Data[[#This Row],[UTILIDAD (%)]])))-D.sign_Data[[#This Row],[COSTOS OPERACIONALES ($COP)]]</f>
        <v>11932.564982772074</v>
      </c>
      <c r="AB586" s="3">
        <f>+D.sign_Data[[#This Row],[COSTOS OPERACIONALES ($COP)]]+D.sign_Data[[#This Row],[DESFASE ($COP)]]+D.sign_Data[[#This Row],[UTILIDAD ($COP)]]</f>
        <v>45343.746934533861</v>
      </c>
      <c r="AC586" s="101">
        <v>0.05</v>
      </c>
      <c r="AD586" s="15">
        <f>+D.sign_Data[[#This Row],[VALOR NETO ($COP)]]/(100%-D.sign_Data[[#This Row],[MARGEN DE NEGOCIACIÓN (%)]])-D.sign_Data[[#This Row],[VALOR NETO ($COP)]]</f>
        <v>2386.5129965544184</v>
      </c>
      <c r="AE586" s="15">
        <f>+(D.sign_Data[[#This Row],[VALOR NETO ($COP)]]+D.sign_Data[[#This Row],[NEGOCIACIÓN ($COP)]])*1%</f>
        <v>477.30259931088278</v>
      </c>
      <c r="AF586" s="15">
        <f>+(D.sign_Data[[#This Row],[VALOR NETO ($COP)]]+D.sign_Data[[#This Row],[NEGOCIACIÓN ($COP)]])*1%</f>
        <v>477.30259931088278</v>
      </c>
      <c r="AG586" s="3">
        <f>+D.sign_Data[[#This Row],[VALOR NETO ($COP)]]+D.sign_Data[[#This Row],[NEGOCIACIÓN ($COP)]]+D.sign_Data[[#This Row],[ICA ($COP)]]+D.sign_Data[[#This Row],[4 * 1000 ($COP)]]</f>
        <v>48684.865129710044</v>
      </c>
    </row>
    <row r="587" spans="1:33" ht="60" hidden="1" customHeight="1" x14ac:dyDescent="0.25">
      <c r="A587" s="14"/>
      <c r="B587" s="87" t="s">
        <v>418</v>
      </c>
      <c r="C587" s="182" t="s">
        <v>864</v>
      </c>
      <c r="D587" s="189" t="str">
        <f>VLOOKUP(D.sign_Data[[#This Row],[CÓDIGO]],Descripciones[[CÓDIGO]:[NOMBRE DE SERVICIO]],3,FALSE)</f>
        <v>D2. Edificación en Altura</v>
      </c>
      <c r="E587" s="87" t="s">
        <v>497</v>
      </c>
      <c r="F587" s="88" t="s">
        <v>865</v>
      </c>
      <c r="G587" s="88" t="s">
        <v>536</v>
      </c>
      <c r="H587" s="87" t="s">
        <v>866</v>
      </c>
      <c r="I587" s="89">
        <v>1</v>
      </c>
      <c r="J587" s="88" t="s">
        <v>880</v>
      </c>
      <c r="K587" s="102"/>
      <c r="L587" s="88" t="s">
        <v>749</v>
      </c>
      <c r="M587" s="89" t="s">
        <v>381</v>
      </c>
      <c r="N587" s="90">
        <v>0.5</v>
      </c>
      <c r="O587" s="27">
        <f>IFERROR(+VLOOKUP(M587,D.sign_Lista_Data[[RESPONSABLE]:[SOFTWARE 
VALOR HORA]],3,FALSE),"0")</f>
        <v>20263.424518743668</v>
      </c>
      <c r="P587" s="3">
        <f t="shared" si="20"/>
        <v>10131.712259371834</v>
      </c>
      <c r="Q587" s="11">
        <f>IFERROR(+VLOOKUP(M587,D.sign_Lista_Data[[RESPONSABLE]:[SOFTWARE 
VALOR HORA]],5,FALSE)*D.sign_Data[[#This Row],[TIEMPO (HORAS)]],0)</f>
        <v>2110.7733873691318</v>
      </c>
      <c r="R587" s="11">
        <f>IFERROR(+VLOOKUP(M587,D.sign_Lista_Data[[RESPONSABLE]:[SOFTWARE 
VALOR HORA]],8,FALSE)*D.sign_Data[[#This Row],[TIEMPO (HORAS)]],0)</f>
        <v>1705.4274435719917</v>
      </c>
      <c r="S587" s="99"/>
      <c r="T587" s="99"/>
      <c r="U587" s="3">
        <f t="shared" si="21"/>
        <v>13947.913090312959</v>
      </c>
      <c r="V587" s="100">
        <f>D.sign_Data[[#This Row],[TIEMPO (HORAS)]]*Gastos_Operativos[[#Totals],[GASTOS HORA]]</f>
        <v>13894.738536155201</v>
      </c>
      <c r="W587" s="3">
        <f>+D.sign_Data[[#This Row],[COSTO 
DIRECTO ($COP)]]+D.sign_Data[[#This Row],[PRORRATEO GASTOS ($COP)]]</f>
        <v>27842.65162646816</v>
      </c>
      <c r="X587" s="101">
        <v>0.2</v>
      </c>
      <c r="Y587" s="15">
        <f>+D.sign_Data[[#This Row],[COSTOS OPERACIONALES ($COP)]]*D.sign_Data[[#This Row],[DESFASE (%)]]</f>
        <v>5568.5303252936319</v>
      </c>
      <c r="Z587" s="101">
        <v>0.3</v>
      </c>
      <c r="AA587" s="15">
        <f>+((D.sign_Data[[#This Row],[COSTOS OPERACIONALES ($COP)]]/(100%-D.sign_Data[[#This Row],[UTILIDAD (%)]])))-D.sign_Data[[#This Row],[COSTOS OPERACIONALES ($COP)]]</f>
        <v>11932.564982772074</v>
      </c>
      <c r="AB587" s="3">
        <f>+D.sign_Data[[#This Row],[COSTOS OPERACIONALES ($COP)]]+D.sign_Data[[#This Row],[DESFASE ($COP)]]+D.sign_Data[[#This Row],[UTILIDAD ($COP)]]</f>
        <v>45343.746934533861</v>
      </c>
      <c r="AC587" s="101">
        <v>0.05</v>
      </c>
      <c r="AD587" s="15">
        <f>+D.sign_Data[[#This Row],[VALOR NETO ($COP)]]/(100%-D.sign_Data[[#This Row],[MARGEN DE NEGOCIACIÓN (%)]])-D.sign_Data[[#This Row],[VALOR NETO ($COP)]]</f>
        <v>2386.5129965544184</v>
      </c>
      <c r="AE587" s="15">
        <f>+(D.sign_Data[[#This Row],[VALOR NETO ($COP)]]+D.sign_Data[[#This Row],[NEGOCIACIÓN ($COP)]])*1%</f>
        <v>477.30259931088278</v>
      </c>
      <c r="AF587" s="15">
        <f>+(D.sign_Data[[#This Row],[VALOR NETO ($COP)]]+D.sign_Data[[#This Row],[NEGOCIACIÓN ($COP)]])*1%</f>
        <v>477.30259931088278</v>
      </c>
      <c r="AG587" s="3">
        <f>+D.sign_Data[[#This Row],[VALOR NETO ($COP)]]+D.sign_Data[[#This Row],[NEGOCIACIÓN ($COP)]]+D.sign_Data[[#This Row],[ICA ($COP)]]+D.sign_Data[[#This Row],[4 * 1000 ($COP)]]</f>
        <v>48684.865129710044</v>
      </c>
    </row>
    <row r="588" spans="1:33" ht="60" hidden="1" customHeight="1" x14ac:dyDescent="0.25">
      <c r="A588" s="14"/>
      <c r="B588" s="87" t="s">
        <v>418</v>
      </c>
      <c r="C588" s="182" t="s">
        <v>864</v>
      </c>
      <c r="D588" s="189" t="str">
        <f>VLOOKUP(D.sign_Data[[#This Row],[CÓDIGO]],Descripciones[[CÓDIGO]:[NOMBRE DE SERVICIO]],3,FALSE)</f>
        <v>D2. Edificación en Altura</v>
      </c>
      <c r="E588" s="87" t="s">
        <v>497</v>
      </c>
      <c r="F588" s="88" t="s">
        <v>865</v>
      </c>
      <c r="G588" s="88" t="s">
        <v>536</v>
      </c>
      <c r="H588" s="87" t="s">
        <v>866</v>
      </c>
      <c r="I588" s="89">
        <v>1</v>
      </c>
      <c r="J588" s="88" t="s">
        <v>880</v>
      </c>
      <c r="K588" s="102"/>
      <c r="L588" s="88" t="s">
        <v>750</v>
      </c>
      <c r="M588" s="89" t="s">
        <v>381</v>
      </c>
      <c r="N588" s="90">
        <v>5</v>
      </c>
      <c r="O588" s="27">
        <f>IFERROR(+VLOOKUP(M588,D.sign_Lista_Data[[RESPONSABLE]:[SOFTWARE 
VALOR HORA]],3,FALSE),"0")</f>
        <v>20263.424518743668</v>
      </c>
      <c r="P588" s="3">
        <f t="shared" si="20"/>
        <v>101317.12259371835</v>
      </c>
      <c r="Q588" s="11">
        <f>IFERROR(+VLOOKUP(M588,D.sign_Lista_Data[[RESPONSABLE]:[SOFTWARE 
VALOR HORA]],5,FALSE)*D.sign_Data[[#This Row],[TIEMPO (HORAS)]],0)</f>
        <v>21107.733873691319</v>
      </c>
      <c r="R588" s="11">
        <f>IFERROR(+VLOOKUP(M588,D.sign_Lista_Data[[RESPONSABLE]:[SOFTWARE 
VALOR HORA]],8,FALSE)*D.sign_Data[[#This Row],[TIEMPO (HORAS)]],0)</f>
        <v>17054.274435719919</v>
      </c>
      <c r="S588" s="99"/>
      <c r="T588" s="99"/>
      <c r="U588" s="3">
        <f t="shared" si="21"/>
        <v>139479.13090312958</v>
      </c>
      <c r="V588" s="100">
        <f>D.sign_Data[[#This Row],[TIEMPO (HORAS)]]*Gastos_Operativos[[#Totals],[GASTOS HORA]]</f>
        <v>138947.38536155201</v>
      </c>
      <c r="W588" s="3">
        <f>+D.sign_Data[[#This Row],[COSTO 
DIRECTO ($COP)]]+D.sign_Data[[#This Row],[PRORRATEO GASTOS ($COP)]]</f>
        <v>278426.51626468159</v>
      </c>
      <c r="X588" s="101">
        <v>0.2</v>
      </c>
      <c r="Y588" s="15">
        <f>+D.sign_Data[[#This Row],[COSTOS OPERACIONALES ($COP)]]*D.sign_Data[[#This Row],[DESFASE (%)]]</f>
        <v>55685.303252936319</v>
      </c>
      <c r="Z588" s="101">
        <v>0.3</v>
      </c>
      <c r="AA588" s="15">
        <f>+((D.sign_Data[[#This Row],[COSTOS OPERACIONALES ($COP)]]/(100%-D.sign_Data[[#This Row],[UTILIDAD (%)]])))-D.sign_Data[[#This Row],[COSTOS OPERACIONALES ($COP)]]</f>
        <v>119325.64982772071</v>
      </c>
      <c r="AB588" s="3">
        <f>+D.sign_Data[[#This Row],[COSTOS OPERACIONALES ($COP)]]+D.sign_Data[[#This Row],[DESFASE ($COP)]]+D.sign_Data[[#This Row],[UTILIDAD ($COP)]]</f>
        <v>453437.46934533864</v>
      </c>
      <c r="AC588" s="101">
        <v>0.05</v>
      </c>
      <c r="AD588" s="15">
        <f>+D.sign_Data[[#This Row],[VALOR NETO ($COP)]]/(100%-D.sign_Data[[#This Row],[MARGEN DE NEGOCIACIÓN (%)]])-D.sign_Data[[#This Row],[VALOR NETO ($COP)]]</f>
        <v>23865.129965544154</v>
      </c>
      <c r="AE588" s="15">
        <f>+(D.sign_Data[[#This Row],[VALOR NETO ($COP)]]+D.sign_Data[[#This Row],[NEGOCIACIÓN ($COP)]])*1%</f>
        <v>4773.0259931088285</v>
      </c>
      <c r="AF588" s="15">
        <f>+(D.sign_Data[[#This Row],[VALOR NETO ($COP)]]+D.sign_Data[[#This Row],[NEGOCIACIÓN ($COP)]])*1%</f>
        <v>4773.0259931088285</v>
      </c>
      <c r="AG588" s="3">
        <f>+D.sign_Data[[#This Row],[VALOR NETO ($COP)]]+D.sign_Data[[#This Row],[NEGOCIACIÓN ($COP)]]+D.sign_Data[[#This Row],[ICA ($COP)]]+D.sign_Data[[#This Row],[4 * 1000 ($COP)]]</f>
        <v>486848.65129710041</v>
      </c>
    </row>
    <row r="589" spans="1:33" ht="60" hidden="1" customHeight="1" x14ac:dyDescent="0.25">
      <c r="A589" s="14"/>
      <c r="B589" s="87" t="s">
        <v>418</v>
      </c>
      <c r="C589" s="182" t="s">
        <v>864</v>
      </c>
      <c r="D589" s="189" t="str">
        <f>VLOOKUP(D.sign_Data[[#This Row],[CÓDIGO]],Descripciones[[CÓDIGO]:[NOMBRE DE SERVICIO]],3,FALSE)</f>
        <v>D2. Edificación en Altura</v>
      </c>
      <c r="E589" s="87" t="s">
        <v>497</v>
      </c>
      <c r="F589" s="88" t="s">
        <v>865</v>
      </c>
      <c r="G589" s="88" t="s">
        <v>536</v>
      </c>
      <c r="H589" s="87" t="s">
        <v>866</v>
      </c>
      <c r="I589" s="89">
        <v>1</v>
      </c>
      <c r="J589" s="88" t="s">
        <v>880</v>
      </c>
      <c r="K589" s="102"/>
      <c r="L589" s="88" t="s">
        <v>653</v>
      </c>
      <c r="M589" s="89" t="s">
        <v>381</v>
      </c>
      <c r="N589" s="90">
        <v>2</v>
      </c>
      <c r="O589" s="27">
        <f>IFERROR(+VLOOKUP(M589,D.sign_Lista_Data[[RESPONSABLE]:[SOFTWARE 
VALOR HORA]],3,FALSE),"0")</f>
        <v>20263.424518743668</v>
      </c>
      <c r="P589" s="3">
        <f t="shared" si="20"/>
        <v>40526.849037487336</v>
      </c>
      <c r="Q589" s="11">
        <f>IFERROR(+VLOOKUP(M589,D.sign_Lista_Data[[RESPONSABLE]:[SOFTWARE 
VALOR HORA]],5,FALSE)*D.sign_Data[[#This Row],[TIEMPO (HORAS)]],0)</f>
        <v>8443.0935494765272</v>
      </c>
      <c r="R589" s="11">
        <f>IFERROR(+VLOOKUP(M589,D.sign_Lista_Data[[RESPONSABLE]:[SOFTWARE 
VALOR HORA]],8,FALSE)*D.sign_Data[[#This Row],[TIEMPO (HORAS)]],0)</f>
        <v>6821.7097742879669</v>
      </c>
      <c r="S589" s="99"/>
      <c r="T589" s="99"/>
      <c r="U589" s="3">
        <f t="shared" si="21"/>
        <v>55791.652361251836</v>
      </c>
      <c r="V589" s="100">
        <f>D.sign_Data[[#This Row],[TIEMPO (HORAS)]]*Gastos_Operativos[[#Totals],[GASTOS HORA]]</f>
        <v>55578.954144620802</v>
      </c>
      <c r="W589" s="3">
        <f>+D.sign_Data[[#This Row],[COSTO 
DIRECTO ($COP)]]+D.sign_Data[[#This Row],[PRORRATEO GASTOS ($COP)]]</f>
        <v>111370.60650587264</v>
      </c>
      <c r="X589" s="101">
        <v>0.2</v>
      </c>
      <c r="Y589" s="15">
        <f>+D.sign_Data[[#This Row],[COSTOS OPERACIONALES ($COP)]]*D.sign_Data[[#This Row],[DESFASE (%)]]</f>
        <v>22274.121301174528</v>
      </c>
      <c r="Z589" s="101">
        <v>0.3</v>
      </c>
      <c r="AA589" s="15">
        <f>+((D.sign_Data[[#This Row],[COSTOS OPERACIONALES ($COP)]]/(100%-D.sign_Data[[#This Row],[UTILIDAD (%)]])))-D.sign_Data[[#This Row],[COSTOS OPERACIONALES ($COP)]]</f>
        <v>47730.259931088294</v>
      </c>
      <c r="AB589" s="3">
        <f>+D.sign_Data[[#This Row],[COSTOS OPERACIONALES ($COP)]]+D.sign_Data[[#This Row],[DESFASE ($COP)]]+D.sign_Data[[#This Row],[UTILIDAD ($COP)]]</f>
        <v>181374.98773813545</v>
      </c>
      <c r="AC589" s="101">
        <v>0.05</v>
      </c>
      <c r="AD589" s="15">
        <f>+D.sign_Data[[#This Row],[VALOR NETO ($COP)]]/(100%-D.sign_Data[[#This Row],[MARGEN DE NEGOCIACIÓN (%)]])-D.sign_Data[[#This Row],[VALOR NETO ($COP)]]</f>
        <v>9546.0519862176734</v>
      </c>
      <c r="AE589" s="15">
        <f>+(D.sign_Data[[#This Row],[VALOR NETO ($COP)]]+D.sign_Data[[#This Row],[NEGOCIACIÓN ($COP)]])*1%</f>
        <v>1909.2103972435311</v>
      </c>
      <c r="AF589" s="15">
        <f>+(D.sign_Data[[#This Row],[VALOR NETO ($COP)]]+D.sign_Data[[#This Row],[NEGOCIACIÓN ($COP)]])*1%</f>
        <v>1909.2103972435311</v>
      </c>
      <c r="AG589" s="3">
        <f>+D.sign_Data[[#This Row],[VALOR NETO ($COP)]]+D.sign_Data[[#This Row],[NEGOCIACIÓN ($COP)]]+D.sign_Data[[#This Row],[ICA ($COP)]]+D.sign_Data[[#This Row],[4 * 1000 ($COP)]]</f>
        <v>194739.46051884018</v>
      </c>
    </row>
    <row r="590" spans="1:33" ht="60" hidden="1" customHeight="1" x14ac:dyDescent="0.25">
      <c r="A590" s="14"/>
      <c r="B590" s="87" t="s">
        <v>418</v>
      </c>
      <c r="C590" s="182" t="s">
        <v>864</v>
      </c>
      <c r="D590" s="189" t="str">
        <f>VLOOKUP(D.sign_Data[[#This Row],[CÓDIGO]],Descripciones[[CÓDIGO]:[NOMBRE DE SERVICIO]],3,FALSE)</f>
        <v>D2. Edificación en Altura</v>
      </c>
      <c r="E590" s="87" t="s">
        <v>497</v>
      </c>
      <c r="F590" s="88" t="s">
        <v>865</v>
      </c>
      <c r="G590" s="88" t="s">
        <v>536</v>
      </c>
      <c r="H590" s="87" t="s">
        <v>866</v>
      </c>
      <c r="I590" s="89">
        <v>1</v>
      </c>
      <c r="J590" s="88" t="s">
        <v>880</v>
      </c>
      <c r="K590" s="102"/>
      <c r="L590" s="88" t="s">
        <v>881</v>
      </c>
      <c r="M590" s="89" t="s">
        <v>381</v>
      </c>
      <c r="N590" s="90">
        <v>8</v>
      </c>
      <c r="O590" s="27">
        <f>IFERROR(+VLOOKUP(M590,D.sign_Lista_Data[[RESPONSABLE]:[SOFTWARE 
VALOR HORA]],3,FALSE),"0")</f>
        <v>20263.424518743668</v>
      </c>
      <c r="P590" s="3">
        <f t="shared" si="20"/>
        <v>162107.39614994935</v>
      </c>
      <c r="Q590" s="11">
        <f>IFERROR(+VLOOKUP(M590,D.sign_Lista_Data[[RESPONSABLE]:[SOFTWARE 
VALOR HORA]],5,FALSE)*D.sign_Data[[#This Row],[TIEMPO (HORAS)]],0)</f>
        <v>33772.374197906109</v>
      </c>
      <c r="R590" s="11">
        <f>IFERROR(+VLOOKUP(M590,D.sign_Lista_Data[[RESPONSABLE]:[SOFTWARE 
VALOR HORA]],8,FALSE)*D.sign_Data[[#This Row],[TIEMPO (HORAS)]],0)</f>
        <v>27286.839097151867</v>
      </c>
      <c r="S590" s="99"/>
      <c r="T590" s="99"/>
      <c r="U590" s="3">
        <f t="shared" si="21"/>
        <v>223166.60944500734</v>
      </c>
      <c r="V590" s="100">
        <f>D.sign_Data[[#This Row],[TIEMPO (HORAS)]]*Gastos_Operativos[[#Totals],[GASTOS HORA]]</f>
        <v>222315.81657848321</v>
      </c>
      <c r="W590" s="3">
        <f>+D.sign_Data[[#This Row],[COSTO 
DIRECTO ($COP)]]+D.sign_Data[[#This Row],[PRORRATEO GASTOS ($COP)]]</f>
        <v>445482.42602349055</v>
      </c>
      <c r="X590" s="101">
        <v>0.2</v>
      </c>
      <c r="Y590" s="15">
        <f>+D.sign_Data[[#This Row],[COSTOS OPERACIONALES ($COP)]]*D.sign_Data[[#This Row],[DESFASE (%)]]</f>
        <v>89096.48520469811</v>
      </c>
      <c r="Z590" s="101">
        <v>0.3</v>
      </c>
      <c r="AA590" s="15">
        <f>+((D.sign_Data[[#This Row],[COSTOS OPERACIONALES ($COP)]]/(100%-D.sign_Data[[#This Row],[UTILIDAD (%)]])))-D.sign_Data[[#This Row],[COSTOS OPERACIONALES ($COP)]]</f>
        <v>190921.03972435318</v>
      </c>
      <c r="AB590" s="3">
        <f>+D.sign_Data[[#This Row],[COSTOS OPERACIONALES ($COP)]]+D.sign_Data[[#This Row],[DESFASE ($COP)]]+D.sign_Data[[#This Row],[UTILIDAD ($COP)]]</f>
        <v>725499.95095254178</v>
      </c>
      <c r="AC590" s="101">
        <v>0.05</v>
      </c>
      <c r="AD590" s="15">
        <f>+D.sign_Data[[#This Row],[VALOR NETO ($COP)]]/(100%-D.sign_Data[[#This Row],[MARGEN DE NEGOCIACIÓN (%)]])-D.sign_Data[[#This Row],[VALOR NETO ($COP)]]</f>
        <v>38184.207944870694</v>
      </c>
      <c r="AE590" s="15">
        <f>+(D.sign_Data[[#This Row],[VALOR NETO ($COP)]]+D.sign_Data[[#This Row],[NEGOCIACIÓN ($COP)]])*1%</f>
        <v>7636.8415889741245</v>
      </c>
      <c r="AF590" s="15">
        <f>+(D.sign_Data[[#This Row],[VALOR NETO ($COP)]]+D.sign_Data[[#This Row],[NEGOCIACIÓN ($COP)]])*1%</f>
        <v>7636.8415889741245</v>
      </c>
      <c r="AG590" s="3">
        <f>+D.sign_Data[[#This Row],[VALOR NETO ($COP)]]+D.sign_Data[[#This Row],[NEGOCIACIÓN ($COP)]]+D.sign_Data[[#This Row],[ICA ($COP)]]+D.sign_Data[[#This Row],[4 * 1000 ($COP)]]</f>
        <v>778957.84207536071</v>
      </c>
    </row>
    <row r="591" spans="1:33" ht="60" hidden="1" customHeight="1" x14ac:dyDescent="0.25">
      <c r="A591" s="14"/>
      <c r="B591" s="87" t="s">
        <v>418</v>
      </c>
      <c r="C591" s="182" t="s">
        <v>864</v>
      </c>
      <c r="D591" s="189" t="str">
        <f>VLOOKUP(D.sign_Data[[#This Row],[CÓDIGO]],Descripciones[[CÓDIGO]:[NOMBRE DE SERVICIO]],3,FALSE)</f>
        <v>D2. Edificación en Altura</v>
      </c>
      <c r="E591" s="87" t="s">
        <v>497</v>
      </c>
      <c r="F591" s="88" t="s">
        <v>865</v>
      </c>
      <c r="G591" s="88" t="s">
        <v>536</v>
      </c>
      <c r="H591" s="87" t="s">
        <v>866</v>
      </c>
      <c r="I591" s="89">
        <v>1</v>
      </c>
      <c r="J591" s="88" t="s">
        <v>882</v>
      </c>
      <c r="K591" s="102"/>
      <c r="L591" s="88" t="s">
        <v>863</v>
      </c>
      <c r="M591" s="89" t="s">
        <v>381</v>
      </c>
      <c r="N591" s="90">
        <v>1</v>
      </c>
      <c r="O591" s="27">
        <f>IFERROR(+VLOOKUP(M591,D.sign_Lista_Data[[RESPONSABLE]:[SOFTWARE 
VALOR HORA]],3,FALSE),"0")</f>
        <v>20263.424518743668</v>
      </c>
      <c r="P591" s="3">
        <f t="shared" si="20"/>
        <v>20263.424518743668</v>
      </c>
      <c r="Q591" s="11">
        <f>IFERROR(+VLOOKUP(M591,D.sign_Lista_Data[[RESPONSABLE]:[SOFTWARE 
VALOR HORA]],5,FALSE)*D.sign_Data[[#This Row],[TIEMPO (HORAS)]],0)</f>
        <v>4221.5467747382636</v>
      </c>
      <c r="R591" s="11">
        <f>IFERROR(+VLOOKUP(M591,D.sign_Lista_Data[[RESPONSABLE]:[SOFTWARE 
VALOR HORA]],8,FALSE)*D.sign_Data[[#This Row],[TIEMPO (HORAS)]],0)</f>
        <v>3410.8548871439834</v>
      </c>
      <c r="S591" s="99"/>
      <c r="T591" s="99"/>
      <c r="U591" s="3">
        <f t="shared" si="21"/>
        <v>27895.826180625918</v>
      </c>
      <c r="V591" s="100">
        <f>D.sign_Data[[#This Row],[TIEMPO (HORAS)]]*Gastos_Operativos[[#Totals],[GASTOS HORA]]</f>
        <v>27789.477072310401</v>
      </c>
      <c r="W591" s="3">
        <f>+D.sign_Data[[#This Row],[COSTO 
DIRECTO ($COP)]]+D.sign_Data[[#This Row],[PRORRATEO GASTOS ($COP)]]</f>
        <v>55685.303252936319</v>
      </c>
      <c r="X591" s="101">
        <v>0.2</v>
      </c>
      <c r="Y591" s="15">
        <f>+D.sign_Data[[#This Row],[COSTOS OPERACIONALES ($COP)]]*D.sign_Data[[#This Row],[DESFASE (%)]]</f>
        <v>11137.060650587264</v>
      </c>
      <c r="Z591" s="101">
        <v>0.3</v>
      </c>
      <c r="AA591" s="15">
        <f>+((D.sign_Data[[#This Row],[COSTOS OPERACIONALES ($COP)]]/(100%-D.sign_Data[[#This Row],[UTILIDAD (%)]])))-D.sign_Data[[#This Row],[COSTOS OPERACIONALES ($COP)]]</f>
        <v>23865.129965544147</v>
      </c>
      <c r="AB591" s="3">
        <f>+D.sign_Data[[#This Row],[COSTOS OPERACIONALES ($COP)]]+D.sign_Data[[#This Row],[DESFASE ($COP)]]+D.sign_Data[[#This Row],[UTILIDAD ($COP)]]</f>
        <v>90687.493869067723</v>
      </c>
      <c r="AC591" s="101">
        <v>0.05</v>
      </c>
      <c r="AD591" s="15">
        <f>+D.sign_Data[[#This Row],[VALOR NETO ($COP)]]/(100%-D.sign_Data[[#This Row],[MARGEN DE NEGOCIACIÓN (%)]])-D.sign_Data[[#This Row],[VALOR NETO ($COP)]]</f>
        <v>4773.0259931088367</v>
      </c>
      <c r="AE591" s="15">
        <f>+(D.sign_Data[[#This Row],[VALOR NETO ($COP)]]+D.sign_Data[[#This Row],[NEGOCIACIÓN ($COP)]])*1%</f>
        <v>954.60519862176557</v>
      </c>
      <c r="AF591" s="15">
        <f>+(D.sign_Data[[#This Row],[VALOR NETO ($COP)]]+D.sign_Data[[#This Row],[NEGOCIACIÓN ($COP)]])*1%</f>
        <v>954.60519862176557</v>
      </c>
      <c r="AG591" s="3">
        <f>+D.sign_Data[[#This Row],[VALOR NETO ($COP)]]+D.sign_Data[[#This Row],[NEGOCIACIÓN ($COP)]]+D.sign_Data[[#This Row],[ICA ($COP)]]+D.sign_Data[[#This Row],[4 * 1000 ($COP)]]</f>
        <v>97369.730259420088</v>
      </c>
    </row>
    <row r="592" spans="1:33" ht="60" hidden="1" customHeight="1" x14ac:dyDescent="0.25">
      <c r="A592" s="14"/>
      <c r="B592" s="87" t="s">
        <v>418</v>
      </c>
      <c r="C592" s="182" t="s">
        <v>864</v>
      </c>
      <c r="D592" s="189" t="str">
        <f>VLOOKUP(D.sign_Data[[#This Row],[CÓDIGO]],Descripciones[[CÓDIGO]:[NOMBRE DE SERVICIO]],3,FALSE)</f>
        <v>D2. Edificación en Altura</v>
      </c>
      <c r="E592" s="87" t="s">
        <v>497</v>
      </c>
      <c r="F592" s="88" t="s">
        <v>865</v>
      </c>
      <c r="G592" s="88" t="s">
        <v>536</v>
      </c>
      <c r="H592" s="87" t="s">
        <v>866</v>
      </c>
      <c r="I592" s="92">
        <v>1</v>
      </c>
      <c r="J592" s="88" t="s">
        <v>883</v>
      </c>
      <c r="K592" s="102"/>
      <c r="L592" s="88" t="s">
        <v>884</v>
      </c>
      <c r="M592" s="89" t="s">
        <v>381</v>
      </c>
      <c r="N592" s="90">
        <v>2</v>
      </c>
      <c r="O592" s="27">
        <f>IFERROR(+VLOOKUP(M592,D.sign_Lista_Data[[RESPONSABLE]:[SOFTWARE 
VALOR HORA]],3,FALSE),"0")</f>
        <v>20263.424518743668</v>
      </c>
      <c r="P592" s="3">
        <f t="shared" si="20"/>
        <v>40526.849037487336</v>
      </c>
      <c r="Q592" s="11">
        <f>IFERROR(+VLOOKUP(M592,D.sign_Lista_Data[[RESPONSABLE]:[SOFTWARE 
VALOR HORA]],5,FALSE)*D.sign_Data[[#This Row],[TIEMPO (HORAS)]],0)</f>
        <v>8443.0935494765272</v>
      </c>
      <c r="R592" s="11">
        <f>IFERROR(+VLOOKUP(M592,D.sign_Lista_Data[[RESPONSABLE]:[SOFTWARE 
VALOR HORA]],8,FALSE)*D.sign_Data[[#This Row],[TIEMPO (HORAS)]],0)</f>
        <v>6821.7097742879669</v>
      </c>
      <c r="S592" s="99"/>
      <c r="T592" s="99"/>
      <c r="U592" s="3">
        <f t="shared" si="21"/>
        <v>55791.652361251836</v>
      </c>
      <c r="V592" s="100">
        <f>D.sign_Data[[#This Row],[TIEMPO (HORAS)]]*Gastos_Operativos[[#Totals],[GASTOS HORA]]</f>
        <v>55578.954144620802</v>
      </c>
      <c r="W592" s="3">
        <f>+D.sign_Data[[#This Row],[COSTO 
DIRECTO ($COP)]]+D.sign_Data[[#This Row],[PRORRATEO GASTOS ($COP)]]</f>
        <v>111370.60650587264</v>
      </c>
      <c r="X592" s="101">
        <v>0.2</v>
      </c>
      <c r="Y592" s="15">
        <f>+D.sign_Data[[#This Row],[COSTOS OPERACIONALES ($COP)]]*D.sign_Data[[#This Row],[DESFASE (%)]]</f>
        <v>22274.121301174528</v>
      </c>
      <c r="Z592" s="101">
        <v>0.3</v>
      </c>
      <c r="AA592" s="15">
        <f>+((D.sign_Data[[#This Row],[COSTOS OPERACIONALES ($COP)]]/(100%-D.sign_Data[[#This Row],[UTILIDAD (%)]])))-D.sign_Data[[#This Row],[COSTOS OPERACIONALES ($COP)]]</f>
        <v>47730.259931088294</v>
      </c>
      <c r="AB592" s="3">
        <f>+D.sign_Data[[#This Row],[COSTOS OPERACIONALES ($COP)]]+D.sign_Data[[#This Row],[DESFASE ($COP)]]+D.sign_Data[[#This Row],[UTILIDAD ($COP)]]</f>
        <v>181374.98773813545</v>
      </c>
      <c r="AC592" s="101">
        <v>0.05</v>
      </c>
      <c r="AD592" s="15">
        <f>+D.sign_Data[[#This Row],[VALOR NETO ($COP)]]/(100%-D.sign_Data[[#This Row],[MARGEN DE NEGOCIACIÓN (%)]])-D.sign_Data[[#This Row],[VALOR NETO ($COP)]]</f>
        <v>9546.0519862176734</v>
      </c>
      <c r="AE592" s="15">
        <f>+(D.sign_Data[[#This Row],[VALOR NETO ($COP)]]+D.sign_Data[[#This Row],[NEGOCIACIÓN ($COP)]])*1%</f>
        <v>1909.2103972435311</v>
      </c>
      <c r="AF592" s="15">
        <f>+(D.sign_Data[[#This Row],[VALOR NETO ($COP)]]+D.sign_Data[[#This Row],[NEGOCIACIÓN ($COP)]])*1%</f>
        <v>1909.2103972435311</v>
      </c>
      <c r="AG592" s="3">
        <f>+D.sign_Data[[#This Row],[VALOR NETO ($COP)]]+D.sign_Data[[#This Row],[NEGOCIACIÓN ($COP)]]+D.sign_Data[[#This Row],[ICA ($COP)]]+D.sign_Data[[#This Row],[4 * 1000 ($COP)]]</f>
        <v>194739.46051884018</v>
      </c>
    </row>
    <row r="593" spans="1:33" ht="60" hidden="1" customHeight="1" x14ac:dyDescent="0.25">
      <c r="A593" s="14"/>
      <c r="B593" s="87" t="s">
        <v>418</v>
      </c>
      <c r="C593" s="182" t="s">
        <v>885</v>
      </c>
      <c r="D593" s="189" t="str">
        <f>VLOOKUP(D.sign_Data[[#This Row],[CÓDIGO]],Descripciones[[CÓDIGO]:[NOMBRE DE SERVICIO]],3,FALSE)</f>
        <v>D2. Edificación en Altura</v>
      </c>
      <c r="E593" s="87" t="s">
        <v>497</v>
      </c>
      <c r="F593" s="88" t="s">
        <v>886</v>
      </c>
      <c r="G593" s="88" t="s">
        <v>792</v>
      </c>
      <c r="H593" s="87" t="s">
        <v>866</v>
      </c>
      <c r="I593" s="89">
        <v>1</v>
      </c>
      <c r="J593" s="88" t="s">
        <v>887</v>
      </c>
      <c r="K593" s="102"/>
      <c r="L593" s="88" t="s">
        <v>476</v>
      </c>
      <c r="M593" s="89" t="s">
        <v>381</v>
      </c>
      <c r="N593" s="90">
        <v>9.4</v>
      </c>
      <c r="O593" s="27">
        <f>IFERROR(+VLOOKUP(M593,D.sign_Lista_Data[[RESPONSABLE]:[SOFTWARE 
VALOR HORA]],3,FALSE),"0")</f>
        <v>20263.424518743668</v>
      </c>
      <c r="P593" s="3">
        <f t="shared" si="20"/>
        <v>190476.19047619047</v>
      </c>
      <c r="Q593" s="11">
        <f>IFERROR(+VLOOKUP(M593,D.sign_Lista_Data[[RESPONSABLE]:[SOFTWARE 
VALOR HORA]],5,FALSE)*D.sign_Data[[#This Row],[TIEMPO (HORAS)]],0)</f>
        <v>39682.539682539682</v>
      </c>
      <c r="R593" s="11">
        <f>IFERROR(+VLOOKUP(M593,D.sign_Lista_Data[[RESPONSABLE]:[SOFTWARE 
VALOR HORA]],8,FALSE)*D.sign_Data[[#This Row],[TIEMPO (HORAS)]],0)</f>
        <v>32062.035939153444</v>
      </c>
      <c r="S593" s="99"/>
      <c r="T593" s="99"/>
      <c r="U593" s="3">
        <f t="shared" si="21"/>
        <v>262220.76609788358</v>
      </c>
      <c r="V593" s="100">
        <f>D.sign_Data[[#This Row],[TIEMPO (HORAS)]]*Gastos_Operativos[[#Totals],[GASTOS HORA]]</f>
        <v>261221.08447971777</v>
      </c>
      <c r="W593" s="3">
        <f>+D.sign_Data[[#This Row],[COSTO 
DIRECTO ($COP)]]+D.sign_Data[[#This Row],[PRORRATEO GASTOS ($COP)]]</f>
        <v>523441.85057760135</v>
      </c>
      <c r="X593" s="101">
        <v>0.15</v>
      </c>
      <c r="Y593" s="15">
        <f>+D.sign_Data[[#This Row],[COSTOS OPERACIONALES ($COP)]]*D.sign_Data[[#This Row],[DESFASE (%)]]</f>
        <v>78516.277586640193</v>
      </c>
      <c r="Z593" s="101">
        <v>0.3</v>
      </c>
      <c r="AA593" s="15">
        <f>+((D.sign_Data[[#This Row],[COSTOS OPERACIONALES ($COP)]]/(100%-D.sign_Data[[#This Row],[UTILIDAD (%)]])))-D.sign_Data[[#This Row],[COSTOS OPERACIONALES ($COP)]]</f>
        <v>224332.22167611495</v>
      </c>
      <c r="AB593" s="3">
        <f>+D.sign_Data[[#This Row],[COSTOS OPERACIONALES ($COP)]]+D.sign_Data[[#This Row],[DESFASE ($COP)]]+D.sign_Data[[#This Row],[UTILIDAD ($COP)]]</f>
        <v>826290.3498403565</v>
      </c>
      <c r="AC593" s="101">
        <v>0.05</v>
      </c>
      <c r="AD593" s="15">
        <f>+D.sign_Data[[#This Row],[VALOR NETO ($COP)]]/(100%-D.sign_Data[[#This Row],[MARGEN DE NEGOCIACIÓN (%)]])-D.sign_Data[[#This Row],[VALOR NETO ($COP)]]</f>
        <v>43488.965781071456</v>
      </c>
      <c r="AE593" s="15">
        <f>+(D.sign_Data[[#This Row],[VALOR NETO ($COP)]]+D.sign_Data[[#This Row],[NEGOCIACIÓN ($COP)]])*1%</f>
        <v>8697.7931562142803</v>
      </c>
      <c r="AF593" s="15">
        <f>+(D.sign_Data[[#This Row],[VALOR NETO ($COP)]]+D.sign_Data[[#This Row],[NEGOCIACIÓN ($COP)]])*1%</f>
        <v>8697.7931562142803</v>
      </c>
      <c r="AG593" s="3">
        <f>+D.sign_Data[[#This Row],[VALOR NETO ($COP)]]+D.sign_Data[[#This Row],[NEGOCIACIÓN ($COP)]]+D.sign_Data[[#This Row],[ICA ($COP)]]+D.sign_Data[[#This Row],[4 * 1000 ($COP)]]</f>
        <v>887174.90193385654</v>
      </c>
    </row>
    <row r="594" spans="1:33" ht="60" hidden="1" customHeight="1" x14ac:dyDescent="0.25">
      <c r="A594" s="14"/>
      <c r="B594" s="87" t="s">
        <v>418</v>
      </c>
      <c r="C594" s="182" t="s">
        <v>885</v>
      </c>
      <c r="D594" s="189" t="str">
        <f>VLOOKUP(D.sign_Data[[#This Row],[CÓDIGO]],Descripciones[[CÓDIGO]:[NOMBRE DE SERVICIO]],3,FALSE)</f>
        <v>D2. Edificación en Altura</v>
      </c>
      <c r="E594" s="87" t="s">
        <v>497</v>
      </c>
      <c r="F594" s="88" t="s">
        <v>886</v>
      </c>
      <c r="G594" s="88" t="s">
        <v>792</v>
      </c>
      <c r="H594" s="87" t="s">
        <v>866</v>
      </c>
      <c r="I594" s="89">
        <v>1</v>
      </c>
      <c r="J594" s="88" t="s">
        <v>887</v>
      </c>
      <c r="K594" s="102"/>
      <c r="L594" s="88" t="s">
        <v>767</v>
      </c>
      <c r="M594" s="89" t="s">
        <v>381</v>
      </c>
      <c r="N594" s="90">
        <v>5</v>
      </c>
      <c r="O594" s="27">
        <f>IFERROR(+VLOOKUP(M594,D.sign_Lista_Data[[RESPONSABLE]:[SOFTWARE 
VALOR HORA]],3,FALSE),"0")</f>
        <v>20263.424518743668</v>
      </c>
      <c r="P594" s="3">
        <f t="shared" si="20"/>
        <v>101317.12259371835</v>
      </c>
      <c r="Q594" s="11">
        <f>IFERROR(+VLOOKUP(M594,D.sign_Lista_Data[[RESPONSABLE]:[SOFTWARE 
VALOR HORA]],5,FALSE)*D.sign_Data[[#This Row],[TIEMPO (HORAS)]],0)</f>
        <v>21107.733873691319</v>
      </c>
      <c r="R594" s="11">
        <f>IFERROR(+VLOOKUP(M594,D.sign_Lista_Data[[RESPONSABLE]:[SOFTWARE 
VALOR HORA]],8,FALSE)*D.sign_Data[[#This Row],[TIEMPO (HORAS)]],0)</f>
        <v>17054.274435719919</v>
      </c>
      <c r="S594" s="99"/>
      <c r="T594" s="99"/>
      <c r="U594" s="3">
        <f t="shared" si="21"/>
        <v>139479.13090312958</v>
      </c>
      <c r="V594" s="100">
        <f>D.sign_Data[[#This Row],[TIEMPO (HORAS)]]*Gastos_Operativos[[#Totals],[GASTOS HORA]]</f>
        <v>138947.38536155201</v>
      </c>
      <c r="W594" s="3">
        <f>+D.sign_Data[[#This Row],[COSTO 
DIRECTO ($COP)]]+D.sign_Data[[#This Row],[PRORRATEO GASTOS ($COP)]]</f>
        <v>278426.51626468159</v>
      </c>
      <c r="X594" s="101">
        <v>0.15</v>
      </c>
      <c r="Y594" s="15">
        <f>+D.sign_Data[[#This Row],[COSTOS OPERACIONALES ($COP)]]*D.sign_Data[[#This Row],[DESFASE (%)]]</f>
        <v>41763.977439702234</v>
      </c>
      <c r="Z594" s="101">
        <v>0.3</v>
      </c>
      <c r="AA594" s="15">
        <f>+((D.sign_Data[[#This Row],[COSTOS OPERACIONALES ($COP)]]/(100%-D.sign_Data[[#This Row],[UTILIDAD (%)]])))-D.sign_Data[[#This Row],[COSTOS OPERACIONALES ($COP)]]</f>
        <v>119325.64982772071</v>
      </c>
      <c r="AB594" s="3">
        <f>+D.sign_Data[[#This Row],[COSTOS OPERACIONALES ($COP)]]+D.sign_Data[[#This Row],[DESFASE ($COP)]]+D.sign_Data[[#This Row],[UTILIDAD ($COP)]]</f>
        <v>439516.14353210456</v>
      </c>
      <c r="AC594" s="101">
        <v>0.05</v>
      </c>
      <c r="AD594" s="15">
        <f>+D.sign_Data[[#This Row],[VALOR NETO ($COP)]]/(100%-D.sign_Data[[#This Row],[MARGEN DE NEGOCIACIÓN (%)]])-D.sign_Data[[#This Row],[VALOR NETO ($COP)]]</f>
        <v>23132.42860695289</v>
      </c>
      <c r="AE594" s="15">
        <f>+(D.sign_Data[[#This Row],[VALOR NETO ($COP)]]+D.sign_Data[[#This Row],[NEGOCIACIÓN ($COP)]])*1%</f>
        <v>4626.4857213905743</v>
      </c>
      <c r="AF594" s="15">
        <f>+(D.sign_Data[[#This Row],[VALOR NETO ($COP)]]+D.sign_Data[[#This Row],[NEGOCIACIÓN ($COP)]])*1%</f>
        <v>4626.4857213905743</v>
      </c>
      <c r="AG594" s="3">
        <f>+D.sign_Data[[#This Row],[VALOR NETO ($COP)]]+D.sign_Data[[#This Row],[NEGOCIACIÓN ($COP)]]+D.sign_Data[[#This Row],[ICA ($COP)]]+D.sign_Data[[#This Row],[4 * 1000 ($COP)]]</f>
        <v>471901.5435818386</v>
      </c>
    </row>
    <row r="595" spans="1:33" ht="60" hidden="1" customHeight="1" x14ac:dyDescent="0.25">
      <c r="A595" s="14"/>
      <c r="B595" s="87" t="s">
        <v>418</v>
      </c>
      <c r="C595" s="182" t="s">
        <v>885</v>
      </c>
      <c r="D595" s="189" t="str">
        <f>VLOOKUP(D.sign_Data[[#This Row],[CÓDIGO]],Descripciones[[CÓDIGO]:[NOMBRE DE SERVICIO]],3,FALSE)</f>
        <v>D2. Edificación en Altura</v>
      </c>
      <c r="E595" s="87" t="s">
        <v>497</v>
      </c>
      <c r="F595" s="88" t="s">
        <v>886</v>
      </c>
      <c r="G595" s="88" t="s">
        <v>792</v>
      </c>
      <c r="H595" s="87" t="s">
        <v>866</v>
      </c>
      <c r="I595" s="89">
        <v>1</v>
      </c>
      <c r="J595" s="88" t="s">
        <v>887</v>
      </c>
      <c r="K595" s="102"/>
      <c r="L595" s="88" t="s">
        <v>794</v>
      </c>
      <c r="M595" s="89" t="s">
        <v>381</v>
      </c>
      <c r="N595" s="90">
        <v>1</v>
      </c>
      <c r="O595" s="27">
        <f>IFERROR(+VLOOKUP(M595,D.sign_Lista_Data[[RESPONSABLE]:[SOFTWARE 
VALOR HORA]],3,FALSE),"0")</f>
        <v>20263.424518743668</v>
      </c>
      <c r="P595" s="3">
        <f t="shared" si="20"/>
        <v>20263.424518743668</v>
      </c>
      <c r="Q595" s="11">
        <f>IFERROR(+VLOOKUP(M595,D.sign_Lista_Data[[RESPONSABLE]:[SOFTWARE 
VALOR HORA]],5,FALSE)*D.sign_Data[[#This Row],[TIEMPO (HORAS)]],0)</f>
        <v>4221.5467747382636</v>
      </c>
      <c r="R595" s="11">
        <f>IFERROR(+VLOOKUP(M595,D.sign_Lista_Data[[RESPONSABLE]:[SOFTWARE 
VALOR HORA]],8,FALSE)*D.sign_Data[[#This Row],[TIEMPO (HORAS)]],0)</f>
        <v>3410.8548871439834</v>
      </c>
      <c r="S595" s="99"/>
      <c r="T595" s="99"/>
      <c r="U595" s="3">
        <f t="shared" si="21"/>
        <v>27895.826180625918</v>
      </c>
      <c r="V595" s="100">
        <f>D.sign_Data[[#This Row],[TIEMPO (HORAS)]]*Gastos_Operativos[[#Totals],[GASTOS HORA]]</f>
        <v>27789.477072310401</v>
      </c>
      <c r="W595" s="3">
        <f>+D.sign_Data[[#This Row],[COSTO 
DIRECTO ($COP)]]+D.sign_Data[[#This Row],[PRORRATEO GASTOS ($COP)]]</f>
        <v>55685.303252936319</v>
      </c>
      <c r="X595" s="101">
        <v>0.15</v>
      </c>
      <c r="Y595" s="15">
        <f>+D.sign_Data[[#This Row],[COSTOS OPERACIONALES ($COP)]]*D.sign_Data[[#This Row],[DESFASE (%)]]</f>
        <v>8352.7954879404479</v>
      </c>
      <c r="Z595" s="101">
        <v>0.3</v>
      </c>
      <c r="AA595" s="15">
        <f>+((D.sign_Data[[#This Row],[COSTOS OPERACIONALES ($COP)]]/(100%-D.sign_Data[[#This Row],[UTILIDAD (%)]])))-D.sign_Data[[#This Row],[COSTOS OPERACIONALES ($COP)]]</f>
        <v>23865.129965544147</v>
      </c>
      <c r="AB595" s="3">
        <f>+D.sign_Data[[#This Row],[COSTOS OPERACIONALES ($COP)]]+D.sign_Data[[#This Row],[DESFASE ($COP)]]+D.sign_Data[[#This Row],[UTILIDAD ($COP)]]</f>
        <v>87903.228706420923</v>
      </c>
      <c r="AC595" s="101">
        <v>0.05</v>
      </c>
      <c r="AD595" s="15">
        <f>+D.sign_Data[[#This Row],[VALOR NETO ($COP)]]/(100%-D.sign_Data[[#This Row],[MARGEN DE NEGOCIACIÓN (%)]])-D.sign_Data[[#This Row],[VALOR NETO ($COP)]]</f>
        <v>4626.485721390578</v>
      </c>
      <c r="AE595" s="15">
        <f>+(D.sign_Data[[#This Row],[VALOR NETO ($COP)]]+D.sign_Data[[#This Row],[NEGOCIACIÓN ($COP)]])*1%</f>
        <v>925.29714427811507</v>
      </c>
      <c r="AF595" s="15">
        <f>+(D.sign_Data[[#This Row],[VALOR NETO ($COP)]]+D.sign_Data[[#This Row],[NEGOCIACIÓN ($COP)]])*1%</f>
        <v>925.29714427811507</v>
      </c>
      <c r="AG595" s="3">
        <f>+D.sign_Data[[#This Row],[VALOR NETO ($COP)]]+D.sign_Data[[#This Row],[NEGOCIACIÓN ($COP)]]+D.sign_Data[[#This Row],[ICA ($COP)]]+D.sign_Data[[#This Row],[4 * 1000 ($COP)]]</f>
        <v>94380.308716367726</v>
      </c>
    </row>
    <row r="596" spans="1:33" ht="60" hidden="1" customHeight="1" x14ac:dyDescent="0.25">
      <c r="A596" s="14"/>
      <c r="B596" s="87" t="s">
        <v>418</v>
      </c>
      <c r="C596" s="182" t="s">
        <v>885</v>
      </c>
      <c r="D596" s="189" t="str">
        <f>VLOOKUP(D.sign_Data[[#This Row],[CÓDIGO]],Descripciones[[CÓDIGO]:[NOMBRE DE SERVICIO]],3,FALSE)</f>
        <v>D2. Edificación en Altura</v>
      </c>
      <c r="E596" s="87" t="s">
        <v>497</v>
      </c>
      <c r="F596" s="88" t="s">
        <v>886</v>
      </c>
      <c r="G596" s="88" t="s">
        <v>792</v>
      </c>
      <c r="H596" s="87" t="s">
        <v>866</v>
      </c>
      <c r="I596" s="89">
        <v>1</v>
      </c>
      <c r="J596" s="88" t="s">
        <v>887</v>
      </c>
      <c r="K596" s="102"/>
      <c r="L596" s="88" t="s">
        <v>768</v>
      </c>
      <c r="M596" s="89" t="s">
        <v>381</v>
      </c>
      <c r="N596" s="90">
        <v>5</v>
      </c>
      <c r="O596" s="27">
        <f>IFERROR(+VLOOKUP(M596,D.sign_Lista_Data[[RESPONSABLE]:[SOFTWARE 
VALOR HORA]],3,FALSE),"0")</f>
        <v>20263.424518743668</v>
      </c>
      <c r="P596" s="3">
        <f t="shared" si="20"/>
        <v>101317.12259371835</v>
      </c>
      <c r="Q596" s="11">
        <f>IFERROR(+VLOOKUP(M596,D.sign_Lista_Data[[RESPONSABLE]:[SOFTWARE 
VALOR HORA]],5,FALSE)*D.sign_Data[[#This Row],[TIEMPO (HORAS)]],0)</f>
        <v>21107.733873691319</v>
      </c>
      <c r="R596" s="11">
        <f>IFERROR(+VLOOKUP(M596,D.sign_Lista_Data[[RESPONSABLE]:[SOFTWARE 
VALOR HORA]],8,FALSE)*D.sign_Data[[#This Row],[TIEMPO (HORAS)]],0)</f>
        <v>17054.274435719919</v>
      </c>
      <c r="S596" s="99"/>
      <c r="T596" s="99"/>
      <c r="U596" s="3">
        <f t="shared" si="21"/>
        <v>139479.13090312958</v>
      </c>
      <c r="V596" s="100">
        <f>D.sign_Data[[#This Row],[TIEMPO (HORAS)]]*Gastos_Operativos[[#Totals],[GASTOS HORA]]</f>
        <v>138947.38536155201</v>
      </c>
      <c r="W596" s="3">
        <f>+D.sign_Data[[#This Row],[COSTO 
DIRECTO ($COP)]]+D.sign_Data[[#This Row],[PRORRATEO GASTOS ($COP)]]</f>
        <v>278426.51626468159</v>
      </c>
      <c r="X596" s="101">
        <v>0.15</v>
      </c>
      <c r="Y596" s="15">
        <f>+D.sign_Data[[#This Row],[COSTOS OPERACIONALES ($COP)]]*D.sign_Data[[#This Row],[DESFASE (%)]]</f>
        <v>41763.977439702234</v>
      </c>
      <c r="Z596" s="101">
        <v>0.3</v>
      </c>
      <c r="AA596" s="15">
        <f>+((D.sign_Data[[#This Row],[COSTOS OPERACIONALES ($COP)]]/(100%-D.sign_Data[[#This Row],[UTILIDAD (%)]])))-D.sign_Data[[#This Row],[COSTOS OPERACIONALES ($COP)]]</f>
        <v>119325.64982772071</v>
      </c>
      <c r="AB596" s="3">
        <f>+D.sign_Data[[#This Row],[COSTOS OPERACIONALES ($COP)]]+D.sign_Data[[#This Row],[DESFASE ($COP)]]+D.sign_Data[[#This Row],[UTILIDAD ($COP)]]</f>
        <v>439516.14353210456</v>
      </c>
      <c r="AC596" s="101">
        <v>0.05</v>
      </c>
      <c r="AD596" s="15">
        <f>+D.sign_Data[[#This Row],[VALOR NETO ($COP)]]/(100%-D.sign_Data[[#This Row],[MARGEN DE NEGOCIACIÓN (%)]])-D.sign_Data[[#This Row],[VALOR NETO ($COP)]]</f>
        <v>23132.42860695289</v>
      </c>
      <c r="AE596" s="15">
        <f>+(D.sign_Data[[#This Row],[VALOR NETO ($COP)]]+D.sign_Data[[#This Row],[NEGOCIACIÓN ($COP)]])*1%</f>
        <v>4626.4857213905743</v>
      </c>
      <c r="AF596" s="15">
        <f>+(D.sign_Data[[#This Row],[VALOR NETO ($COP)]]+D.sign_Data[[#This Row],[NEGOCIACIÓN ($COP)]])*1%</f>
        <v>4626.4857213905743</v>
      </c>
      <c r="AG596" s="3">
        <f>+D.sign_Data[[#This Row],[VALOR NETO ($COP)]]+D.sign_Data[[#This Row],[NEGOCIACIÓN ($COP)]]+D.sign_Data[[#This Row],[ICA ($COP)]]+D.sign_Data[[#This Row],[4 * 1000 ($COP)]]</f>
        <v>471901.5435818386</v>
      </c>
    </row>
    <row r="597" spans="1:33" ht="60" hidden="1" customHeight="1" x14ac:dyDescent="0.25">
      <c r="A597" s="14"/>
      <c r="B597" s="87" t="s">
        <v>418</v>
      </c>
      <c r="C597" s="182" t="s">
        <v>885</v>
      </c>
      <c r="D597" s="189" t="str">
        <f>VLOOKUP(D.sign_Data[[#This Row],[CÓDIGO]],Descripciones[[CÓDIGO]:[NOMBRE DE SERVICIO]],3,FALSE)</f>
        <v>D2. Edificación en Altura</v>
      </c>
      <c r="E597" s="87" t="s">
        <v>497</v>
      </c>
      <c r="F597" s="88" t="s">
        <v>886</v>
      </c>
      <c r="G597" s="88" t="s">
        <v>792</v>
      </c>
      <c r="H597" s="87" t="s">
        <v>866</v>
      </c>
      <c r="I597" s="89">
        <v>1</v>
      </c>
      <c r="J597" s="88" t="s">
        <v>887</v>
      </c>
      <c r="K597" s="102"/>
      <c r="L597" s="88" t="s">
        <v>624</v>
      </c>
      <c r="M597" s="89" t="s">
        <v>381</v>
      </c>
      <c r="N597" s="90">
        <v>9.4</v>
      </c>
      <c r="O597" s="27">
        <f>IFERROR(+VLOOKUP(M597,D.sign_Lista_Data[[RESPONSABLE]:[SOFTWARE 
VALOR HORA]],3,FALSE),"0")</f>
        <v>20263.424518743668</v>
      </c>
      <c r="P597" s="3">
        <f t="shared" si="20"/>
        <v>190476.19047619047</v>
      </c>
      <c r="Q597" s="11">
        <f>IFERROR(+VLOOKUP(M597,D.sign_Lista_Data[[RESPONSABLE]:[SOFTWARE 
VALOR HORA]],5,FALSE)*D.sign_Data[[#This Row],[TIEMPO (HORAS)]],0)</f>
        <v>39682.539682539682</v>
      </c>
      <c r="R597" s="11">
        <f>IFERROR(+VLOOKUP(M597,D.sign_Lista_Data[[RESPONSABLE]:[SOFTWARE 
VALOR HORA]],8,FALSE)*D.sign_Data[[#This Row],[TIEMPO (HORAS)]],0)</f>
        <v>32062.035939153444</v>
      </c>
      <c r="S597" s="99"/>
      <c r="T597" s="99"/>
      <c r="U597" s="3">
        <f t="shared" si="21"/>
        <v>262220.76609788358</v>
      </c>
      <c r="V597" s="100">
        <f>D.sign_Data[[#This Row],[TIEMPO (HORAS)]]*Gastos_Operativos[[#Totals],[GASTOS HORA]]</f>
        <v>261221.08447971777</v>
      </c>
      <c r="W597" s="3">
        <f>+D.sign_Data[[#This Row],[COSTO 
DIRECTO ($COP)]]+D.sign_Data[[#This Row],[PRORRATEO GASTOS ($COP)]]</f>
        <v>523441.85057760135</v>
      </c>
      <c r="X597" s="101">
        <v>0.15</v>
      </c>
      <c r="Y597" s="15">
        <f>+D.sign_Data[[#This Row],[COSTOS OPERACIONALES ($COP)]]*D.sign_Data[[#This Row],[DESFASE (%)]]</f>
        <v>78516.277586640193</v>
      </c>
      <c r="Z597" s="101">
        <v>0.3</v>
      </c>
      <c r="AA597" s="15">
        <f>+((D.sign_Data[[#This Row],[COSTOS OPERACIONALES ($COP)]]/(100%-D.sign_Data[[#This Row],[UTILIDAD (%)]])))-D.sign_Data[[#This Row],[COSTOS OPERACIONALES ($COP)]]</f>
        <v>224332.22167611495</v>
      </c>
      <c r="AB597" s="3">
        <f>+D.sign_Data[[#This Row],[COSTOS OPERACIONALES ($COP)]]+D.sign_Data[[#This Row],[DESFASE ($COP)]]+D.sign_Data[[#This Row],[UTILIDAD ($COP)]]</f>
        <v>826290.3498403565</v>
      </c>
      <c r="AC597" s="101">
        <v>0.05</v>
      </c>
      <c r="AD597" s="15">
        <f>+D.sign_Data[[#This Row],[VALOR NETO ($COP)]]/(100%-D.sign_Data[[#This Row],[MARGEN DE NEGOCIACIÓN (%)]])-D.sign_Data[[#This Row],[VALOR NETO ($COP)]]</f>
        <v>43488.965781071456</v>
      </c>
      <c r="AE597" s="15">
        <f>+(D.sign_Data[[#This Row],[VALOR NETO ($COP)]]+D.sign_Data[[#This Row],[NEGOCIACIÓN ($COP)]])*1%</f>
        <v>8697.7931562142803</v>
      </c>
      <c r="AF597" s="15">
        <f>+(D.sign_Data[[#This Row],[VALOR NETO ($COP)]]+D.sign_Data[[#This Row],[NEGOCIACIÓN ($COP)]])*1%</f>
        <v>8697.7931562142803</v>
      </c>
      <c r="AG597" s="3">
        <f>+D.sign_Data[[#This Row],[VALOR NETO ($COP)]]+D.sign_Data[[#This Row],[NEGOCIACIÓN ($COP)]]+D.sign_Data[[#This Row],[ICA ($COP)]]+D.sign_Data[[#This Row],[4 * 1000 ($COP)]]</f>
        <v>887174.90193385654</v>
      </c>
    </row>
    <row r="598" spans="1:33" ht="60" hidden="1" customHeight="1" x14ac:dyDescent="0.25">
      <c r="A598" s="14"/>
      <c r="B598" s="87" t="s">
        <v>418</v>
      </c>
      <c r="C598" s="182" t="s">
        <v>885</v>
      </c>
      <c r="D598" s="189" t="str">
        <f>VLOOKUP(D.sign_Data[[#This Row],[CÓDIGO]],Descripciones[[CÓDIGO]:[NOMBRE DE SERVICIO]],3,FALSE)</f>
        <v>D2. Edificación en Altura</v>
      </c>
      <c r="E598" s="87" t="s">
        <v>497</v>
      </c>
      <c r="F598" s="88" t="s">
        <v>886</v>
      </c>
      <c r="G598" s="88" t="s">
        <v>792</v>
      </c>
      <c r="H598" s="87" t="s">
        <v>866</v>
      </c>
      <c r="I598" s="89">
        <v>1</v>
      </c>
      <c r="J598" s="88" t="s">
        <v>887</v>
      </c>
      <c r="K598" s="102"/>
      <c r="L598" s="88" t="s">
        <v>483</v>
      </c>
      <c r="M598" s="89" t="s">
        <v>381</v>
      </c>
      <c r="N598" s="90">
        <v>2</v>
      </c>
      <c r="O598" s="27">
        <f>IFERROR(+VLOOKUP(M598,D.sign_Lista_Data[[RESPONSABLE]:[SOFTWARE 
VALOR HORA]],3,FALSE),"0")</f>
        <v>20263.424518743668</v>
      </c>
      <c r="P598" s="3">
        <f t="shared" si="20"/>
        <v>40526.849037487336</v>
      </c>
      <c r="Q598" s="11">
        <f>IFERROR(+VLOOKUP(M598,D.sign_Lista_Data[[RESPONSABLE]:[SOFTWARE 
VALOR HORA]],5,FALSE)*D.sign_Data[[#This Row],[TIEMPO (HORAS)]],0)</f>
        <v>8443.0935494765272</v>
      </c>
      <c r="R598" s="11">
        <f>IFERROR(+VLOOKUP(M598,D.sign_Lista_Data[[RESPONSABLE]:[SOFTWARE 
VALOR HORA]],8,FALSE)*D.sign_Data[[#This Row],[TIEMPO (HORAS)]],0)</f>
        <v>6821.7097742879669</v>
      </c>
      <c r="S598" s="99"/>
      <c r="T598" s="99"/>
      <c r="U598" s="3">
        <f t="shared" si="21"/>
        <v>55791.652361251836</v>
      </c>
      <c r="V598" s="100">
        <f>D.sign_Data[[#This Row],[TIEMPO (HORAS)]]*Gastos_Operativos[[#Totals],[GASTOS HORA]]</f>
        <v>55578.954144620802</v>
      </c>
      <c r="W598" s="3">
        <f>+D.sign_Data[[#This Row],[COSTO 
DIRECTO ($COP)]]+D.sign_Data[[#This Row],[PRORRATEO GASTOS ($COP)]]</f>
        <v>111370.60650587264</v>
      </c>
      <c r="X598" s="101">
        <v>0.15</v>
      </c>
      <c r="Y598" s="15">
        <f>+D.sign_Data[[#This Row],[COSTOS OPERACIONALES ($COP)]]*D.sign_Data[[#This Row],[DESFASE (%)]]</f>
        <v>16705.590975880896</v>
      </c>
      <c r="Z598" s="101">
        <v>0.3</v>
      </c>
      <c r="AA598" s="15">
        <f>+((D.sign_Data[[#This Row],[COSTOS OPERACIONALES ($COP)]]/(100%-D.sign_Data[[#This Row],[UTILIDAD (%)]])))-D.sign_Data[[#This Row],[COSTOS OPERACIONALES ($COP)]]</f>
        <v>47730.259931088294</v>
      </c>
      <c r="AB598" s="3">
        <f>+D.sign_Data[[#This Row],[COSTOS OPERACIONALES ($COP)]]+D.sign_Data[[#This Row],[DESFASE ($COP)]]+D.sign_Data[[#This Row],[UTILIDAD ($COP)]]</f>
        <v>175806.45741284185</v>
      </c>
      <c r="AC598" s="101">
        <v>0.05</v>
      </c>
      <c r="AD598" s="15">
        <f>+D.sign_Data[[#This Row],[VALOR NETO ($COP)]]/(100%-D.sign_Data[[#This Row],[MARGEN DE NEGOCIACIÓN (%)]])-D.sign_Data[[#This Row],[VALOR NETO ($COP)]]</f>
        <v>9252.9714427811559</v>
      </c>
      <c r="AE598" s="15">
        <f>+(D.sign_Data[[#This Row],[VALOR NETO ($COP)]]+D.sign_Data[[#This Row],[NEGOCIACIÓN ($COP)]])*1%</f>
        <v>1850.5942885562301</v>
      </c>
      <c r="AF598" s="15">
        <f>+(D.sign_Data[[#This Row],[VALOR NETO ($COP)]]+D.sign_Data[[#This Row],[NEGOCIACIÓN ($COP)]])*1%</f>
        <v>1850.5942885562301</v>
      </c>
      <c r="AG598" s="3">
        <f>+D.sign_Data[[#This Row],[VALOR NETO ($COP)]]+D.sign_Data[[#This Row],[NEGOCIACIÓN ($COP)]]+D.sign_Data[[#This Row],[ICA ($COP)]]+D.sign_Data[[#This Row],[4 * 1000 ($COP)]]</f>
        <v>188760.61743273545</v>
      </c>
    </row>
    <row r="599" spans="1:33" ht="60" hidden="1" customHeight="1" x14ac:dyDescent="0.25">
      <c r="A599" s="14"/>
      <c r="B599" s="87" t="s">
        <v>418</v>
      </c>
      <c r="C599" s="182" t="s">
        <v>885</v>
      </c>
      <c r="D599" s="189" t="str">
        <f>VLOOKUP(D.sign_Data[[#This Row],[CÓDIGO]],Descripciones[[CÓDIGO]:[NOMBRE DE SERVICIO]],3,FALSE)</f>
        <v>D2. Edificación en Altura</v>
      </c>
      <c r="E599" s="87" t="s">
        <v>497</v>
      </c>
      <c r="F599" s="88" t="s">
        <v>886</v>
      </c>
      <c r="G599" s="88" t="s">
        <v>792</v>
      </c>
      <c r="H599" s="87" t="s">
        <v>866</v>
      </c>
      <c r="I599" s="89">
        <v>1</v>
      </c>
      <c r="J599" s="88" t="s">
        <v>887</v>
      </c>
      <c r="K599" s="102"/>
      <c r="L599" s="88" t="s">
        <v>474</v>
      </c>
      <c r="M599" s="89" t="s">
        <v>381</v>
      </c>
      <c r="N599" s="90">
        <v>1</v>
      </c>
      <c r="O599" s="27">
        <f>IFERROR(+VLOOKUP(M599,D.sign_Lista_Data[[RESPONSABLE]:[SOFTWARE 
VALOR HORA]],3,FALSE),"0")</f>
        <v>20263.424518743668</v>
      </c>
      <c r="P599" s="3">
        <f t="shared" si="20"/>
        <v>20263.424518743668</v>
      </c>
      <c r="Q599" s="11">
        <f>IFERROR(+VLOOKUP(M599,D.sign_Lista_Data[[RESPONSABLE]:[SOFTWARE 
VALOR HORA]],5,FALSE)*D.sign_Data[[#This Row],[TIEMPO (HORAS)]],0)</f>
        <v>4221.5467747382636</v>
      </c>
      <c r="R599" s="11">
        <f>IFERROR(+VLOOKUP(M599,D.sign_Lista_Data[[RESPONSABLE]:[SOFTWARE 
VALOR HORA]],8,FALSE)*D.sign_Data[[#This Row],[TIEMPO (HORAS)]],0)</f>
        <v>3410.8548871439834</v>
      </c>
      <c r="S599" s="99"/>
      <c r="T599" s="99"/>
      <c r="U599" s="3">
        <f t="shared" si="21"/>
        <v>27895.826180625918</v>
      </c>
      <c r="V599" s="100">
        <f>D.sign_Data[[#This Row],[TIEMPO (HORAS)]]*Gastos_Operativos[[#Totals],[GASTOS HORA]]</f>
        <v>27789.477072310401</v>
      </c>
      <c r="W599" s="3">
        <f>+D.sign_Data[[#This Row],[COSTO 
DIRECTO ($COP)]]+D.sign_Data[[#This Row],[PRORRATEO GASTOS ($COP)]]</f>
        <v>55685.303252936319</v>
      </c>
      <c r="X599" s="101">
        <v>0.15</v>
      </c>
      <c r="Y599" s="15">
        <f>+D.sign_Data[[#This Row],[COSTOS OPERACIONALES ($COP)]]*D.sign_Data[[#This Row],[DESFASE (%)]]</f>
        <v>8352.7954879404479</v>
      </c>
      <c r="Z599" s="101">
        <v>0.3</v>
      </c>
      <c r="AA599" s="15">
        <f>+((D.sign_Data[[#This Row],[COSTOS OPERACIONALES ($COP)]]/(100%-D.sign_Data[[#This Row],[UTILIDAD (%)]])))-D.sign_Data[[#This Row],[COSTOS OPERACIONALES ($COP)]]</f>
        <v>23865.129965544147</v>
      </c>
      <c r="AB599" s="3">
        <f>+D.sign_Data[[#This Row],[COSTOS OPERACIONALES ($COP)]]+D.sign_Data[[#This Row],[DESFASE ($COP)]]+D.sign_Data[[#This Row],[UTILIDAD ($COP)]]</f>
        <v>87903.228706420923</v>
      </c>
      <c r="AC599" s="101">
        <v>0.05</v>
      </c>
      <c r="AD599" s="15">
        <f>+D.sign_Data[[#This Row],[VALOR NETO ($COP)]]/(100%-D.sign_Data[[#This Row],[MARGEN DE NEGOCIACIÓN (%)]])-D.sign_Data[[#This Row],[VALOR NETO ($COP)]]</f>
        <v>4626.485721390578</v>
      </c>
      <c r="AE599" s="15">
        <f>+(D.sign_Data[[#This Row],[VALOR NETO ($COP)]]+D.sign_Data[[#This Row],[NEGOCIACIÓN ($COP)]])*1%</f>
        <v>925.29714427811507</v>
      </c>
      <c r="AF599" s="15">
        <f>+(D.sign_Data[[#This Row],[VALOR NETO ($COP)]]+D.sign_Data[[#This Row],[NEGOCIACIÓN ($COP)]])*1%</f>
        <v>925.29714427811507</v>
      </c>
      <c r="AG599" s="3">
        <f>+D.sign_Data[[#This Row],[VALOR NETO ($COP)]]+D.sign_Data[[#This Row],[NEGOCIACIÓN ($COP)]]+D.sign_Data[[#This Row],[ICA ($COP)]]+D.sign_Data[[#This Row],[4 * 1000 ($COP)]]</f>
        <v>94380.308716367726</v>
      </c>
    </row>
    <row r="600" spans="1:33" ht="60" hidden="1" customHeight="1" x14ac:dyDescent="0.25">
      <c r="A600" s="14"/>
      <c r="B600" s="87" t="s">
        <v>418</v>
      </c>
      <c r="C600" s="182" t="s">
        <v>885</v>
      </c>
      <c r="D600" s="189" t="str">
        <f>VLOOKUP(D.sign_Data[[#This Row],[CÓDIGO]],Descripciones[[CÓDIGO]:[NOMBRE DE SERVICIO]],3,FALSE)</f>
        <v>D2. Edificación en Altura</v>
      </c>
      <c r="E600" s="87" t="s">
        <v>497</v>
      </c>
      <c r="F600" s="88" t="s">
        <v>886</v>
      </c>
      <c r="G600" s="88" t="s">
        <v>792</v>
      </c>
      <c r="H600" s="87" t="s">
        <v>866</v>
      </c>
      <c r="I600" s="89">
        <v>1</v>
      </c>
      <c r="J600" s="88" t="s">
        <v>888</v>
      </c>
      <c r="K600" s="102"/>
      <c r="L600" s="88" t="s">
        <v>476</v>
      </c>
      <c r="M600" s="89" t="s">
        <v>381</v>
      </c>
      <c r="N600" s="90">
        <v>1</v>
      </c>
      <c r="O600" s="27">
        <f>IFERROR(+VLOOKUP(M600,D.sign_Lista_Data[[RESPONSABLE]:[SOFTWARE 
VALOR HORA]],3,FALSE),"0")</f>
        <v>20263.424518743668</v>
      </c>
      <c r="P600" s="3">
        <f t="shared" si="20"/>
        <v>20263.424518743668</v>
      </c>
      <c r="Q600" s="11">
        <f>IFERROR(+VLOOKUP(M600,D.sign_Lista_Data[[RESPONSABLE]:[SOFTWARE 
VALOR HORA]],5,FALSE)*D.sign_Data[[#This Row],[TIEMPO (HORAS)]],0)</f>
        <v>4221.5467747382636</v>
      </c>
      <c r="R600" s="11">
        <f>IFERROR(+VLOOKUP(M600,D.sign_Lista_Data[[RESPONSABLE]:[SOFTWARE 
VALOR HORA]],8,FALSE)*D.sign_Data[[#This Row],[TIEMPO (HORAS)]],0)</f>
        <v>3410.8548871439834</v>
      </c>
      <c r="S600" s="99"/>
      <c r="T600" s="99"/>
      <c r="U600" s="3">
        <f t="shared" si="21"/>
        <v>27895.826180625918</v>
      </c>
      <c r="V600" s="100">
        <f>D.sign_Data[[#This Row],[TIEMPO (HORAS)]]*Gastos_Operativos[[#Totals],[GASTOS HORA]]</f>
        <v>27789.477072310401</v>
      </c>
      <c r="W600" s="3">
        <f>+D.sign_Data[[#This Row],[COSTO 
DIRECTO ($COP)]]+D.sign_Data[[#This Row],[PRORRATEO GASTOS ($COP)]]</f>
        <v>55685.303252936319</v>
      </c>
      <c r="X600" s="101">
        <v>0.15</v>
      </c>
      <c r="Y600" s="15">
        <f>+D.sign_Data[[#This Row],[COSTOS OPERACIONALES ($COP)]]*D.sign_Data[[#This Row],[DESFASE (%)]]</f>
        <v>8352.7954879404479</v>
      </c>
      <c r="Z600" s="101">
        <v>0.3</v>
      </c>
      <c r="AA600" s="15">
        <f>+((D.sign_Data[[#This Row],[COSTOS OPERACIONALES ($COP)]]/(100%-D.sign_Data[[#This Row],[UTILIDAD (%)]])))-D.sign_Data[[#This Row],[COSTOS OPERACIONALES ($COP)]]</f>
        <v>23865.129965544147</v>
      </c>
      <c r="AB600" s="3">
        <f>+D.sign_Data[[#This Row],[COSTOS OPERACIONALES ($COP)]]+D.sign_Data[[#This Row],[DESFASE ($COP)]]+D.sign_Data[[#This Row],[UTILIDAD ($COP)]]</f>
        <v>87903.228706420923</v>
      </c>
      <c r="AC600" s="101">
        <v>0.05</v>
      </c>
      <c r="AD600" s="15">
        <f>+D.sign_Data[[#This Row],[VALOR NETO ($COP)]]/(100%-D.sign_Data[[#This Row],[MARGEN DE NEGOCIACIÓN (%)]])-D.sign_Data[[#This Row],[VALOR NETO ($COP)]]</f>
        <v>4626.485721390578</v>
      </c>
      <c r="AE600" s="15">
        <f>+(D.sign_Data[[#This Row],[VALOR NETO ($COP)]]+D.sign_Data[[#This Row],[NEGOCIACIÓN ($COP)]])*1%</f>
        <v>925.29714427811507</v>
      </c>
      <c r="AF600" s="15">
        <f>+(D.sign_Data[[#This Row],[VALOR NETO ($COP)]]+D.sign_Data[[#This Row],[NEGOCIACIÓN ($COP)]])*1%</f>
        <v>925.29714427811507</v>
      </c>
      <c r="AG600" s="3">
        <f>+D.sign_Data[[#This Row],[VALOR NETO ($COP)]]+D.sign_Data[[#This Row],[NEGOCIACIÓN ($COP)]]+D.sign_Data[[#This Row],[ICA ($COP)]]+D.sign_Data[[#This Row],[4 * 1000 ($COP)]]</f>
        <v>94380.308716367726</v>
      </c>
    </row>
    <row r="601" spans="1:33" ht="60" hidden="1" customHeight="1" x14ac:dyDescent="0.25">
      <c r="A601" s="14"/>
      <c r="B601" s="87" t="s">
        <v>418</v>
      </c>
      <c r="C601" s="182" t="s">
        <v>885</v>
      </c>
      <c r="D601" s="189" t="str">
        <f>VLOOKUP(D.sign_Data[[#This Row],[CÓDIGO]],Descripciones[[CÓDIGO]:[NOMBRE DE SERVICIO]],3,FALSE)</f>
        <v>D2. Edificación en Altura</v>
      </c>
      <c r="E601" s="87" t="s">
        <v>497</v>
      </c>
      <c r="F601" s="88" t="s">
        <v>886</v>
      </c>
      <c r="G601" s="88" t="s">
        <v>792</v>
      </c>
      <c r="H601" s="87" t="s">
        <v>866</v>
      </c>
      <c r="I601" s="89">
        <v>1</v>
      </c>
      <c r="J601" s="88" t="s">
        <v>888</v>
      </c>
      <c r="K601" s="102"/>
      <c r="L601" s="88" t="s">
        <v>770</v>
      </c>
      <c r="M601" s="89" t="s">
        <v>381</v>
      </c>
      <c r="N601" s="90">
        <v>9.4</v>
      </c>
      <c r="O601" s="27">
        <f>IFERROR(+VLOOKUP(M601,D.sign_Lista_Data[[RESPONSABLE]:[SOFTWARE 
VALOR HORA]],3,FALSE),"0")</f>
        <v>20263.424518743668</v>
      </c>
      <c r="P601" s="3">
        <f t="shared" si="20"/>
        <v>190476.19047619047</v>
      </c>
      <c r="Q601" s="11">
        <f>IFERROR(+VLOOKUP(M601,D.sign_Lista_Data[[RESPONSABLE]:[SOFTWARE 
VALOR HORA]],5,FALSE)*D.sign_Data[[#This Row],[TIEMPO (HORAS)]],0)</f>
        <v>39682.539682539682</v>
      </c>
      <c r="R601" s="11">
        <f>IFERROR(+VLOOKUP(M601,D.sign_Lista_Data[[RESPONSABLE]:[SOFTWARE 
VALOR HORA]],8,FALSE)*D.sign_Data[[#This Row],[TIEMPO (HORAS)]],0)</f>
        <v>32062.035939153444</v>
      </c>
      <c r="S601" s="99"/>
      <c r="T601" s="99"/>
      <c r="U601" s="3">
        <f t="shared" si="21"/>
        <v>262220.76609788358</v>
      </c>
      <c r="V601" s="100">
        <f>D.sign_Data[[#This Row],[TIEMPO (HORAS)]]*Gastos_Operativos[[#Totals],[GASTOS HORA]]</f>
        <v>261221.08447971777</v>
      </c>
      <c r="W601" s="3">
        <f>+D.sign_Data[[#This Row],[COSTO 
DIRECTO ($COP)]]+D.sign_Data[[#This Row],[PRORRATEO GASTOS ($COP)]]</f>
        <v>523441.85057760135</v>
      </c>
      <c r="X601" s="101">
        <v>0.15</v>
      </c>
      <c r="Y601" s="15">
        <f>+D.sign_Data[[#This Row],[COSTOS OPERACIONALES ($COP)]]*D.sign_Data[[#This Row],[DESFASE (%)]]</f>
        <v>78516.277586640193</v>
      </c>
      <c r="Z601" s="101">
        <v>0.3</v>
      </c>
      <c r="AA601" s="15">
        <f>+((D.sign_Data[[#This Row],[COSTOS OPERACIONALES ($COP)]]/(100%-D.sign_Data[[#This Row],[UTILIDAD (%)]])))-D.sign_Data[[#This Row],[COSTOS OPERACIONALES ($COP)]]</f>
        <v>224332.22167611495</v>
      </c>
      <c r="AB601" s="3">
        <f>+D.sign_Data[[#This Row],[COSTOS OPERACIONALES ($COP)]]+D.sign_Data[[#This Row],[DESFASE ($COP)]]+D.sign_Data[[#This Row],[UTILIDAD ($COP)]]</f>
        <v>826290.3498403565</v>
      </c>
      <c r="AC601" s="101">
        <v>0.05</v>
      </c>
      <c r="AD601" s="15">
        <f>+D.sign_Data[[#This Row],[VALOR NETO ($COP)]]/(100%-D.sign_Data[[#This Row],[MARGEN DE NEGOCIACIÓN (%)]])-D.sign_Data[[#This Row],[VALOR NETO ($COP)]]</f>
        <v>43488.965781071456</v>
      </c>
      <c r="AE601" s="15">
        <f>+(D.sign_Data[[#This Row],[VALOR NETO ($COP)]]+D.sign_Data[[#This Row],[NEGOCIACIÓN ($COP)]])*1%</f>
        <v>8697.7931562142803</v>
      </c>
      <c r="AF601" s="15">
        <f>+(D.sign_Data[[#This Row],[VALOR NETO ($COP)]]+D.sign_Data[[#This Row],[NEGOCIACIÓN ($COP)]])*1%</f>
        <v>8697.7931562142803</v>
      </c>
      <c r="AG601" s="3">
        <f>+D.sign_Data[[#This Row],[VALOR NETO ($COP)]]+D.sign_Data[[#This Row],[NEGOCIACIÓN ($COP)]]+D.sign_Data[[#This Row],[ICA ($COP)]]+D.sign_Data[[#This Row],[4 * 1000 ($COP)]]</f>
        <v>887174.90193385654</v>
      </c>
    </row>
    <row r="602" spans="1:33" ht="60" hidden="1" customHeight="1" x14ac:dyDescent="0.25">
      <c r="A602" s="14"/>
      <c r="B602" s="87" t="s">
        <v>418</v>
      </c>
      <c r="C602" s="182" t="s">
        <v>885</v>
      </c>
      <c r="D602" s="189" t="str">
        <f>VLOOKUP(D.sign_Data[[#This Row],[CÓDIGO]],Descripciones[[CÓDIGO]:[NOMBRE DE SERVICIO]],3,FALSE)</f>
        <v>D2. Edificación en Altura</v>
      </c>
      <c r="E602" s="87" t="s">
        <v>497</v>
      </c>
      <c r="F602" s="88" t="s">
        <v>886</v>
      </c>
      <c r="G602" s="88" t="s">
        <v>792</v>
      </c>
      <c r="H602" s="87" t="s">
        <v>866</v>
      </c>
      <c r="I602" s="89">
        <v>1</v>
      </c>
      <c r="J602" s="88" t="s">
        <v>888</v>
      </c>
      <c r="K602" s="102"/>
      <c r="L602" s="88" t="s">
        <v>624</v>
      </c>
      <c r="M602" s="89" t="s">
        <v>381</v>
      </c>
      <c r="N602" s="90">
        <v>9.4</v>
      </c>
      <c r="O602" s="27">
        <f>IFERROR(+VLOOKUP(M602,D.sign_Lista_Data[[RESPONSABLE]:[SOFTWARE 
VALOR HORA]],3,FALSE),"0")</f>
        <v>20263.424518743668</v>
      </c>
      <c r="P602" s="3">
        <f t="shared" si="20"/>
        <v>190476.19047619047</v>
      </c>
      <c r="Q602" s="11">
        <f>IFERROR(+VLOOKUP(M602,D.sign_Lista_Data[[RESPONSABLE]:[SOFTWARE 
VALOR HORA]],5,FALSE)*D.sign_Data[[#This Row],[TIEMPO (HORAS)]],0)</f>
        <v>39682.539682539682</v>
      </c>
      <c r="R602" s="11">
        <f>IFERROR(+VLOOKUP(M602,D.sign_Lista_Data[[RESPONSABLE]:[SOFTWARE 
VALOR HORA]],8,FALSE)*D.sign_Data[[#This Row],[TIEMPO (HORAS)]],0)</f>
        <v>32062.035939153444</v>
      </c>
      <c r="S602" s="99"/>
      <c r="T602" s="99"/>
      <c r="U602" s="3">
        <f t="shared" si="21"/>
        <v>262220.76609788358</v>
      </c>
      <c r="V602" s="100">
        <f>D.sign_Data[[#This Row],[TIEMPO (HORAS)]]*Gastos_Operativos[[#Totals],[GASTOS HORA]]</f>
        <v>261221.08447971777</v>
      </c>
      <c r="W602" s="3">
        <f>+D.sign_Data[[#This Row],[COSTO 
DIRECTO ($COP)]]+D.sign_Data[[#This Row],[PRORRATEO GASTOS ($COP)]]</f>
        <v>523441.85057760135</v>
      </c>
      <c r="X602" s="101">
        <v>0.15</v>
      </c>
      <c r="Y602" s="15">
        <f>+D.sign_Data[[#This Row],[COSTOS OPERACIONALES ($COP)]]*D.sign_Data[[#This Row],[DESFASE (%)]]</f>
        <v>78516.277586640193</v>
      </c>
      <c r="Z602" s="101">
        <v>0.3</v>
      </c>
      <c r="AA602" s="15">
        <f>+((D.sign_Data[[#This Row],[COSTOS OPERACIONALES ($COP)]]/(100%-D.sign_Data[[#This Row],[UTILIDAD (%)]])))-D.sign_Data[[#This Row],[COSTOS OPERACIONALES ($COP)]]</f>
        <v>224332.22167611495</v>
      </c>
      <c r="AB602" s="3">
        <f>+D.sign_Data[[#This Row],[COSTOS OPERACIONALES ($COP)]]+D.sign_Data[[#This Row],[DESFASE ($COP)]]+D.sign_Data[[#This Row],[UTILIDAD ($COP)]]</f>
        <v>826290.3498403565</v>
      </c>
      <c r="AC602" s="101">
        <v>0.05</v>
      </c>
      <c r="AD602" s="15">
        <f>+D.sign_Data[[#This Row],[VALOR NETO ($COP)]]/(100%-D.sign_Data[[#This Row],[MARGEN DE NEGOCIACIÓN (%)]])-D.sign_Data[[#This Row],[VALOR NETO ($COP)]]</f>
        <v>43488.965781071456</v>
      </c>
      <c r="AE602" s="15">
        <f>+(D.sign_Data[[#This Row],[VALOR NETO ($COP)]]+D.sign_Data[[#This Row],[NEGOCIACIÓN ($COP)]])*1%</f>
        <v>8697.7931562142803</v>
      </c>
      <c r="AF602" s="15">
        <f>+(D.sign_Data[[#This Row],[VALOR NETO ($COP)]]+D.sign_Data[[#This Row],[NEGOCIACIÓN ($COP)]])*1%</f>
        <v>8697.7931562142803</v>
      </c>
      <c r="AG602" s="3">
        <f>+D.sign_Data[[#This Row],[VALOR NETO ($COP)]]+D.sign_Data[[#This Row],[NEGOCIACIÓN ($COP)]]+D.sign_Data[[#This Row],[ICA ($COP)]]+D.sign_Data[[#This Row],[4 * 1000 ($COP)]]</f>
        <v>887174.90193385654</v>
      </c>
    </row>
    <row r="603" spans="1:33" ht="60" hidden="1" customHeight="1" x14ac:dyDescent="0.25">
      <c r="A603" s="14"/>
      <c r="B603" s="87" t="s">
        <v>418</v>
      </c>
      <c r="C603" s="182" t="s">
        <v>885</v>
      </c>
      <c r="D603" s="189" t="str">
        <f>VLOOKUP(D.sign_Data[[#This Row],[CÓDIGO]],Descripciones[[CÓDIGO]:[NOMBRE DE SERVICIO]],3,FALSE)</f>
        <v>D2. Edificación en Altura</v>
      </c>
      <c r="E603" s="87" t="s">
        <v>497</v>
      </c>
      <c r="F603" s="88" t="s">
        <v>886</v>
      </c>
      <c r="G603" s="88" t="s">
        <v>792</v>
      </c>
      <c r="H603" s="87" t="s">
        <v>866</v>
      </c>
      <c r="I603" s="89">
        <v>1</v>
      </c>
      <c r="J603" s="88" t="s">
        <v>888</v>
      </c>
      <c r="K603" s="102"/>
      <c r="L603" s="88" t="s">
        <v>733</v>
      </c>
      <c r="M603" s="89" t="s">
        <v>381</v>
      </c>
      <c r="N603" s="90">
        <v>9.4</v>
      </c>
      <c r="O603" s="27">
        <f>IFERROR(+VLOOKUP(M603,D.sign_Lista_Data[[RESPONSABLE]:[SOFTWARE 
VALOR HORA]],3,FALSE),"0")</f>
        <v>20263.424518743668</v>
      </c>
      <c r="P603" s="3">
        <f t="shared" si="20"/>
        <v>190476.19047619047</v>
      </c>
      <c r="Q603" s="11">
        <f>IFERROR(+VLOOKUP(M603,D.sign_Lista_Data[[RESPONSABLE]:[SOFTWARE 
VALOR HORA]],5,FALSE)*D.sign_Data[[#This Row],[TIEMPO (HORAS)]],0)</f>
        <v>39682.539682539682</v>
      </c>
      <c r="R603" s="11">
        <f>IFERROR(+VLOOKUP(M603,D.sign_Lista_Data[[RESPONSABLE]:[SOFTWARE 
VALOR HORA]],8,FALSE)*D.sign_Data[[#This Row],[TIEMPO (HORAS)]],0)</f>
        <v>32062.035939153444</v>
      </c>
      <c r="S603" s="99"/>
      <c r="T603" s="99"/>
      <c r="U603" s="3">
        <f t="shared" si="21"/>
        <v>262220.76609788358</v>
      </c>
      <c r="V603" s="100">
        <f>D.sign_Data[[#This Row],[TIEMPO (HORAS)]]*Gastos_Operativos[[#Totals],[GASTOS HORA]]</f>
        <v>261221.08447971777</v>
      </c>
      <c r="W603" s="3">
        <f>+D.sign_Data[[#This Row],[COSTO 
DIRECTO ($COP)]]+D.sign_Data[[#This Row],[PRORRATEO GASTOS ($COP)]]</f>
        <v>523441.85057760135</v>
      </c>
      <c r="X603" s="101">
        <v>0.15</v>
      </c>
      <c r="Y603" s="15">
        <f>+D.sign_Data[[#This Row],[COSTOS OPERACIONALES ($COP)]]*D.sign_Data[[#This Row],[DESFASE (%)]]</f>
        <v>78516.277586640193</v>
      </c>
      <c r="Z603" s="101">
        <v>0.3</v>
      </c>
      <c r="AA603" s="15">
        <f>+((D.sign_Data[[#This Row],[COSTOS OPERACIONALES ($COP)]]/(100%-D.sign_Data[[#This Row],[UTILIDAD (%)]])))-D.sign_Data[[#This Row],[COSTOS OPERACIONALES ($COP)]]</f>
        <v>224332.22167611495</v>
      </c>
      <c r="AB603" s="3">
        <f>+D.sign_Data[[#This Row],[COSTOS OPERACIONALES ($COP)]]+D.sign_Data[[#This Row],[DESFASE ($COP)]]+D.sign_Data[[#This Row],[UTILIDAD ($COP)]]</f>
        <v>826290.3498403565</v>
      </c>
      <c r="AC603" s="101">
        <v>0.05</v>
      </c>
      <c r="AD603" s="15">
        <f>+D.sign_Data[[#This Row],[VALOR NETO ($COP)]]/(100%-D.sign_Data[[#This Row],[MARGEN DE NEGOCIACIÓN (%)]])-D.sign_Data[[#This Row],[VALOR NETO ($COP)]]</f>
        <v>43488.965781071456</v>
      </c>
      <c r="AE603" s="15">
        <f>+(D.sign_Data[[#This Row],[VALOR NETO ($COP)]]+D.sign_Data[[#This Row],[NEGOCIACIÓN ($COP)]])*1%</f>
        <v>8697.7931562142803</v>
      </c>
      <c r="AF603" s="15">
        <f>+(D.sign_Data[[#This Row],[VALOR NETO ($COP)]]+D.sign_Data[[#This Row],[NEGOCIACIÓN ($COP)]])*1%</f>
        <v>8697.7931562142803</v>
      </c>
      <c r="AG603" s="3">
        <f>+D.sign_Data[[#This Row],[VALOR NETO ($COP)]]+D.sign_Data[[#This Row],[NEGOCIACIÓN ($COP)]]+D.sign_Data[[#This Row],[ICA ($COP)]]+D.sign_Data[[#This Row],[4 * 1000 ($COP)]]</f>
        <v>887174.90193385654</v>
      </c>
    </row>
    <row r="604" spans="1:33" ht="60" hidden="1" customHeight="1" x14ac:dyDescent="0.25">
      <c r="A604" s="14"/>
      <c r="B604" s="87" t="s">
        <v>418</v>
      </c>
      <c r="C604" s="182" t="s">
        <v>885</v>
      </c>
      <c r="D604" s="189" t="str">
        <f>VLOOKUP(D.sign_Data[[#This Row],[CÓDIGO]],Descripciones[[CÓDIGO]:[NOMBRE DE SERVICIO]],3,FALSE)</f>
        <v>D2. Edificación en Altura</v>
      </c>
      <c r="E604" s="87" t="s">
        <v>497</v>
      </c>
      <c r="F604" s="88" t="s">
        <v>886</v>
      </c>
      <c r="G604" s="88" t="s">
        <v>792</v>
      </c>
      <c r="H604" s="87" t="s">
        <v>866</v>
      </c>
      <c r="I604" s="89">
        <v>1</v>
      </c>
      <c r="J604" s="88" t="s">
        <v>888</v>
      </c>
      <c r="K604" s="102"/>
      <c r="L604" s="88" t="s">
        <v>771</v>
      </c>
      <c r="M604" s="89" t="s">
        <v>381</v>
      </c>
      <c r="N604" s="90">
        <v>9.4</v>
      </c>
      <c r="O604" s="27">
        <f>IFERROR(+VLOOKUP(M604,D.sign_Lista_Data[[RESPONSABLE]:[SOFTWARE 
VALOR HORA]],3,FALSE),"0")</f>
        <v>20263.424518743668</v>
      </c>
      <c r="P604" s="3">
        <f t="shared" si="20"/>
        <v>190476.19047619047</v>
      </c>
      <c r="Q604" s="11">
        <f>IFERROR(+VLOOKUP(M604,D.sign_Lista_Data[[RESPONSABLE]:[SOFTWARE 
VALOR HORA]],5,FALSE)*D.sign_Data[[#This Row],[TIEMPO (HORAS)]],0)</f>
        <v>39682.539682539682</v>
      </c>
      <c r="R604" s="11">
        <f>IFERROR(+VLOOKUP(M604,D.sign_Lista_Data[[RESPONSABLE]:[SOFTWARE 
VALOR HORA]],8,FALSE)*D.sign_Data[[#This Row],[TIEMPO (HORAS)]],0)</f>
        <v>32062.035939153444</v>
      </c>
      <c r="S604" s="99"/>
      <c r="T604" s="99"/>
      <c r="U604" s="3">
        <f t="shared" si="21"/>
        <v>262220.76609788358</v>
      </c>
      <c r="V604" s="100">
        <f>D.sign_Data[[#This Row],[TIEMPO (HORAS)]]*Gastos_Operativos[[#Totals],[GASTOS HORA]]</f>
        <v>261221.08447971777</v>
      </c>
      <c r="W604" s="3">
        <f>+D.sign_Data[[#This Row],[COSTO 
DIRECTO ($COP)]]+D.sign_Data[[#This Row],[PRORRATEO GASTOS ($COP)]]</f>
        <v>523441.85057760135</v>
      </c>
      <c r="X604" s="101">
        <v>0.15</v>
      </c>
      <c r="Y604" s="15">
        <f>+D.sign_Data[[#This Row],[COSTOS OPERACIONALES ($COP)]]*D.sign_Data[[#This Row],[DESFASE (%)]]</f>
        <v>78516.277586640193</v>
      </c>
      <c r="Z604" s="101">
        <v>0.3</v>
      </c>
      <c r="AA604" s="15">
        <f>+((D.sign_Data[[#This Row],[COSTOS OPERACIONALES ($COP)]]/(100%-D.sign_Data[[#This Row],[UTILIDAD (%)]])))-D.sign_Data[[#This Row],[COSTOS OPERACIONALES ($COP)]]</f>
        <v>224332.22167611495</v>
      </c>
      <c r="AB604" s="3">
        <f>+D.sign_Data[[#This Row],[COSTOS OPERACIONALES ($COP)]]+D.sign_Data[[#This Row],[DESFASE ($COP)]]+D.sign_Data[[#This Row],[UTILIDAD ($COP)]]</f>
        <v>826290.3498403565</v>
      </c>
      <c r="AC604" s="101">
        <v>0.05</v>
      </c>
      <c r="AD604" s="15">
        <f>+D.sign_Data[[#This Row],[VALOR NETO ($COP)]]/(100%-D.sign_Data[[#This Row],[MARGEN DE NEGOCIACIÓN (%)]])-D.sign_Data[[#This Row],[VALOR NETO ($COP)]]</f>
        <v>43488.965781071456</v>
      </c>
      <c r="AE604" s="15">
        <f>+(D.sign_Data[[#This Row],[VALOR NETO ($COP)]]+D.sign_Data[[#This Row],[NEGOCIACIÓN ($COP)]])*1%</f>
        <v>8697.7931562142803</v>
      </c>
      <c r="AF604" s="15">
        <f>+(D.sign_Data[[#This Row],[VALOR NETO ($COP)]]+D.sign_Data[[#This Row],[NEGOCIACIÓN ($COP)]])*1%</f>
        <v>8697.7931562142803</v>
      </c>
      <c r="AG604" s="3">
        <f>+D.sign_Data[[#This Row],[VALOR NETO ($COP)]]+D.sign_Data[[#This Row],[NEGOCIACIÓN ($COP)]]+D.sign_Data[[#This Row],[ICA ($COP)]]+D.sign_Data[[#This Row],[4 * 1000 ($COP)]]</f>
        <v>887174.90193385654</v>
      </c>
    </row>
    <row r="605" spans="1:33" ht="60" hidden="1" customHeight="1" x14ac:dyDescent="0.25">
      <c r="A605" s="14"/>
      <c r="B605" s="87" t="s">
        <v>418</v>
      </c>
      <c r="C605" s="182" t="s">
        <v>885</v>
      </c>
      <c r="D605" s="189" t="str">
        <f>VLOOKUP(D.sign_Data[[#This Row],[CÓDIGO]],Descripciones[[CÓDIGO]:[NOMBRE DE SERVICIO]],3,FALSE)</f>
        <v>D2. Edificación en Altura</v>
      </c>
      <c r="E605" s="87" t="s">
        <v>497</v>
      </c>
      <c r="F605" s="88" t="s">
        <v>886</v>
      </c>
      <c r="G605" s="88" t="s">
        <v>792</v>
      </c>
      <c r="H605" s="87" t="s">
        <v>866</v>
      </c>
      <c r="I605" s="89">
        <v>1</v>
      </c>
      <c r="J605" s="88" t="s">
        <v>888</v>
      </c>
      <c r="K605" s="102"/>
      <c r="L605" s="88" t="s">
        <v>483</v>
      </c>
      <c r="M605" s="89" t="s">
        <v>381</v>
      </c>
      <c r="N605" s="90">
        <v>2</v>
      </c>
      <c r="O605" s="27">
        <f>IFERROR(+VLOOKUP(M605,D.sign_Lista_Data[[RESPONSABLE]:[SOFTWARE 
VALOR HORA]],3,FALSE),"0")</f>
        <v>20263.424518743668</v>
      </c>
      <c r="P605" s="3">
        <f t="shared" si="20"/>
        <v>40526.849037487336</v>
      </c>
      <c r="Q605" s="11">
        <f>IFERROR(+VLOOKUP(M605,D.sign_Lista_Data[[RESPONSABLE]:[SOFTWARE 
VALOR HORA]],5,FALSE)*D.sign_Data[[#This Row],[TIEMPO (HORAS)]],0)</f>
        <v>8443.0935494765272</v>
      </c>
      <c r="R605" s="11">
        <f>IFERROR(+VLOOKUP(M605,D.sign_Lista_Data[[RESPONSABLE]:[SOFTWARE 
VALOR HORA]],8,FALSE)*D.sign_Data[[#This Row],[TIEMPO (HORAS)]],0)</f>
        <v>6821.7097742879669</v>
      </c>
      <c r="S605" s="99"/>
      <c r="T605" s="99"/>
      <c r="U605" s="3">
        <f t="shared" si="21"/>
        <v>55791.652361251836</v>
      </c>
      <c r="V605" s="100">
        <f>D.sign_Data[[#This Row],[TIEMPO (HORAS)]]*Gastos_Operativos[[#Totals],[GASTOS HORA]]</f>
        <v>55578.954144620802</v>
      </c>
      <c r="W605" s="3">
        <f>+D.sign_Data[[#This Row],[COSTO 
DIRECTO ($COP)]]+D.sign_Data[[#This Row],[PRORRATEO GASTOS ($COP)]]</f>
        <v>111370.60650587264</v>
      </c>
      <c r="X605" s="101">
        <v>0.15</v>
      </c>
      <c r="Y605" s="15">
        <f>+D.sign_Data[[#This Row],[COSTOS OPERACIONALES ($COP)]]*D.sign_Data[[#This Row],[DESFASE (%)]]</f>
        <v>16705.590975880896</v>
      </c>
      <c r="Z605" s="101">
        <v>0.3</v>
      </c>
      <c r="AA605" s="15">
        <f>+((D.sign_Data[[#This Row],[COSTOS OPERACIONALES ($COP)]]/(100%-D.sign_Data[[#This Row],[UTILIDAD (%)]])))-D.sign_Data[[#This Row],[COSTOS OPERACIONALES ($COP)]]</f>
        <v>47730.259931088294</v>
      </c>
      <c r="AB605" s="3">
        <f>+D.sign_Data[[#This Row],[COSTOS OPERACIONALES ($COP)]]+D.sign_Data[[#This Row],[DESFASE ($COP)]]+D.sign_Data[[#This Row],[UTILIDAD ($COP)]]</f>
        <v>175806.45741284185</v>
      </c>
      <c r="AC605" s="101">
        <v>0.05</v>
      </c>
      <c r="AD605" s="15">
        <f>+D.sign_Data[[#This Row],[VALOR NETO ($COP)]]/(100%-D.sign_Data[[#This Row],[MARGEN DE NEGOCIACIÓN (%)]])-D.sign_Data[[#This Row],[VALOR NETO ($COP)]]</f>
        <v>9252.9714427811559</v>
      </c>
      <c r="AE605" s="15">
        <f>+(D.sign_Data[[#This Row],[VALOR NETO ($COP)]]+D.sign_Data[[#This Row],[NEGOCIACIÓN ($COP)]])*1%</f>
        <v>1850.5942885562301</v>
      </c>
      <c r="AF605" s="15">
        <f>+(D.sign_Data[[#This Row],[VALOR NETO ($COP)]]+D.sign_Data[[#This Row],[NEGOCIACIÓN ($COP)]])*1%</f>
        <v>1850.5942885562301</v>
      </c>
      <c r="AG605" s="3">
        <f>+D.sign_Data[[#This Row],[VALOR NETO ($COP)]]+D.sign_Data[[#This Row],[NEGOCIACIÓN ($COP)]]+D.sign_Data[[#This Row],[ICA ($COP)]]+D.sign_Data[[#This Row],[4 * 1000 ($COP)]]</f>
        <v>188760.61743273545</v>
      </c>
    </row>
    <row r="606" spans="1:33" ht="60" hidden="1" customHeight="1" x14ac:dyDescent="0.25">
      <c r="A606" s="14"/>
      <c r="B606" s="87" t="s">
        <v>418</v>
      </c>
      <c r="C606" s="182" t="s">
        <v>885</v>
      </c>
      <c r="D606" s="189" t="str">
        <f>VLOOKUP(D.sign_Data[[#This Row],[CÓDIGO]],Descripciones[[CÓDIGO]:[NOMBRE DE SERVICIO]],3,FALSE)</f>
        <v>D2. Edificación en Altura</v>
      </c>
      <c r="E606" s="87" t="s">
        <v>497</v>
      </c>
      <c r="F606" s="88" t="s">
        <v>886</v>
      </c>
      <c r="G606" s="88" t="s">
        <v>792</v>
      </c>
      <c r="H606" s="87" t="s">
        <v>866</v>
      </c>
      <c r="I606" s="89">
        <v>1</v>
      </c>
      <c r="J606" s="88" t="s">
        <v>888</v>
      </c>
      <c r="K606" s="102"/>
      <c r="L606" s="88" t="s">
        <v>474</v>
      </c>
      <c r="M606" s="89" t="s">
        <v>381</v>
      </c>
      <c r="N606" s="90">
        <v>1</v>
      </c>
      <c r="O606" s="27">
        <f>IFERROR(+VLOOKUP(M606,D.sign_Lista_Data[[RESPONSABLE]:[SOFTWARE 
VALOR HORA]],3,FALSE),"0")</f>
        <v>20263.424518743668</v>
      </c>
      <c r="P606" s="3">
        <f t="shared" si="20"/>
        <v>20263.424518743668</v>
      </c>
      <c r="Q606" s="11">
        <f>IFERROR(+VLOOKUP(M606,D.sign_Lista_Data[[RESPONSABLE]:[SOFTWARE 
VALOR HORA]],5,FALSE)*D.sign_Data[[#This Row],[TIEMPO (HORAS)]],0)</f>
        <v>4221.5467747382636</v>
      </c>
      <c r="R606" s="11">
        <f>IFERROR(+VLOOKUP(M606,D.sign_Lista_Data[[RESPONSABLE]:[SOFTWARE 
VALOR HORA]],8,FALSE)*D.sign_Data[[#This Row],[TIEMPO (HORAS)]],0)</f>
        <v>3410.8548871439834</v>
      </c>
      <c r="S606" s="99"/>
      <c r="T606" s="99"/>
      <c r="U606" s="3">
        <f t="shared" si="21"/>
        <v>27895.826180625918</v>
      </c>
      <c r="V606" s="100">
        <f>D.sign_Data[[#This Row],[TIEMPO (HORAS)]]*Gastos_Operativos[[#Totals],[GASTOS HORA]]</f>
        <v>27789.477072310401</v>
      </c>
      <c r="W606" s="3">
        <f>+D.sign_Data[[#This Row],[COSTO 
DIRECTO ($COP)]]+D.sign_Data[[#This Row],[PRORRATEO GASTOS ($COP)]]</f>
        <v>55685.303252936319</v>
      </c>
      <c r="X606" s="101">
        <v>0.15</v>
      </c>
      <c r="Y606" s="15">
        <f>+D.sign_Data[[#This Row],[COSTOS OPERACIONALES ($COP)]]*D.sign_Data[[#This Row],[DESFASE (%)]]</f>
        <v>8352.7954879404479</v>
      </c>
      <c r="Z606" s="101">
        <v>0.3</v>
      </c>
      <c r="AA606" s="15">
        <f>+((D.sign_Data[[#This Row],[COSTOS OPERACIONALES ($COP)]]/(100%-D.sign_Data[[#This Row],[UTILIDAD (%)]])))-D.sign_Data[[#This Row],[COSTOS OPERACIONALES ($COP)]]</f>
        <v>23865.129965544147</v>
      </c>
      <c r="AB606" s="3">
        <f>+D.sign_Data[[#This Row],[COSTOS OPERACIONALES ($COP)]]+D.sign_Data[[#This Row],[DESFASE ($COP)]]+D.sign_Data[[#This Row],[UTILIDAD ($COP)]]</f>
        <v>87903.228706420923</v>
      </c>
      <c r="AC606" s="101">
        <v>0.05</v>
      </c>
      <c r="AD606" s="15">
        <f>+D.sign_Data[[#This Row],[VALOR NETO ($COP)]]/(100%-D.sign_Data[[#This Row],[MARGEN DE NEGOCIACIÓN (%)]])-D.sign_Data[[#This Row],[VALOR NETO ($COP)]]</f>
        <v>4626.485721390578</v>
      </c>
      <c r="AE606" s="15">
        <f>+(D.sign_Data[[#This Row],[VALOR NETO ($COP)]]+D.sign_Data[[#This Row],[NEGOCIACIÓN ($COP)]])*1%</f>
        <v>925.29714427811507</v>
      </c>
      <c r="AF606" s="15">
        <f>+(D.sign_Data[[#This Row],[VALOR NETO ($COP)]]+D.sign_Data[[#This Row],[NEGOCIACIÓN ($COP)]])*1%</f>
        <v>925.29714427811507</v>
      </c>
      <c r="AG606" s="3">
        <f>+D.sign_Data[[#This Row],[VALOR NETO ($COP)]]+D.sign_Data[[#This Row],[NEGOCIACIÓN ($COP)]]+D.sign_Data[[#This Row],[ICA ($COP)]]+D.sign_Data[[#This Row],[4 * 1000 ($COP)]]</f>
        <v>94380.308716367726</v>
      </c>
    </row>
    <row r="607" spans="1:33" ht="60" hidden="1" customHeight="1" x14ac:dyDescent="0.25">
      <c r="A607" s="14"/>
      <c r="B607" s="87" t="s">
        <v>418</v>
      </c>
      <c r="C607" s="182" t="s">
        <v>885</v>
      </c>
      <c r="D607" s="189" t="str">
        <f>VLOOKUP(D.sign_Data[[#This Row],[CÓDIGO]],Descripciones[[CÓDIGO]:[NOMBRE DE SERVICIO]],3,FALSE)</f>
        <v>D2. Edificación en Altura</v>
      </c>
      <c r="E607" s="87" t="s">
        <v>497</v>
      </c>
      <c r="F607" s="88" t="s">
        <v>886</v>
      </c>
      <c r="G607" s="88" t="s">
        <v>792</v>
      </c>
      <c r="H607" s="87" t="s">
        <v>866</v>
      </c>
      <c r="I607" s="89">
        <v>1</v>
      </c>
      <c r="J607" s="88" t="s">
        <v>889</v>
      </c>
      <c r="K607" s="102"/>
      <c r="L607" s="88" t="s">
        <v>476</v>
      </c>
      <c r="M607" s="89" t="s">
        <v>381</v>
      </c>
      <c r="N607" s="90">
        <v>1</v>
      </c>
      <c r="O607" s="27">
        <f>IFERROR(+VLOOKUP(M607,D.sign_Lista_Data[[RESPONSABLE]:[SOFTWARE 
VALOR HORA]],3,FALSE),"0")</f>
        <v>20263.424518743668</v>
      </c>
      <c r="P607" s="3">
        <f t="shared" si="20"/>
        <v>20263.424518743668</v>
      </c>
      <c r="Q607" s="11">
        <f>IFERROR(+VLOOKUP(M607,D.sign_Lista_Data[[RESPONSABLE]:[SOFTWARE 
VALOR HORA]],5,FALSE)*D.sign_Data[[#This Row],[TIEMPO (HORAS)]],0)</f>
        <v>4221.5467747382636</v>
      </c>
      <c r="R607" s="11">
        <f>IFERROR(+VLOOKUP(M607,D.sign_Lista_Data[[RESPONSABLE]:[SOFTWARE 
VALOR HORA]],8,FALSE)*D.sign_Data[[#This Row],[TIEMPO (HORAS)]],0)</f>
        <v>3410.8548871439834</v>
      </c>
      <c r="S607" s="99"/>
      <c r="T607" s="99"/>
      <c r="U607" s="3">
        <f t="shared" si="21"/>
        <v>27895.826180625918</v>
      </c>
      <c r="V607" s="100">
        <f>D.sign_Data[[#This Row],[TIEMPO (HORAS)]]*Gastos_Operativos[[#Totals],[GASTOS HORA]]</f>
        <v>27789.477072310401</v>
      </c>
      <c r="W607" s="3">
        <f>+D.sign_Data[[#This Row],[COSTO 
DIRECTO ($COP)]]+D.sign_Data[[#This Row],[PRORRATEO GASTOS ($COP)]]</f>
        <v>55685.303252936319</v>
      </c>
      <c r="X607" s="101">
        <v>0.15</v>
      </c>
      <c r="Y607" s="15">
        <f>+D.sign_Data[[#This Row],[COSTOS OPERACIONALES ($COP)]]*D.sign_Data[[#This Row],[DESFASE (%)]]</f>
        <v>8352.7954879404479</v>
      </c>
      <c r="Z607" s="101">
        <v>0.3</v>
      </c>
      <c r="AA607" s="15">
        <f>+((D.sign_Data[[#This Row],[COSTOS OPERACIONALES ($COP)]]/(100%-D.sign_Data[[#This Row],[UTILIDAD (%)]])))-D.sign_Data[[#This Row],[COSTOS OPERACIONALES ($COP)]]</f>
        <v>23865.129965544147</v>
      </c>
      <c r="AB607" s="3">
        <f>+D.sign_Data[[#This Row],[COSTOS OPERACIONALES ($COP)]]+D.sign_Data[[#This Row],[DESFASE ($COP)]]+D.sign_Data[[#This Row],[UTILIDAD ($COP)]]</f>
        <v>87903.228706420923</v>
      </c>
      <c r="AC607" s="101">
        <v>0.05</v>
      </c>
      <c r="AD607" s="15">
        <f>+D.sign_Data[[#This Row],[VALOR NETO ($COP)]]/(100%-D.sign_Data[[#This Row],[MARGEN DE NEGOCIACIÓN (%)]])-D.sign_Data[[#This Row],[VALOR NETO ($COP)]]</f>
        <v>4626.485721390578</v>
      </c>
      <c r="AE607" s="15">
        <f>+(D.sign_Data[[#This Row],[VALOR NETO ($COP)]]+D.sign_Data[[#This Row],[NEGOCIACIÓN ($COP)]])*1%</f>
        <v>925.29714427811507</v>
      </c>
      <c r="AF607" s="15">
        <f>+(D.sign_Data[[#This Row],[VALOR NETO ($COP)]]+D.sign_Data[[#This Row],[NEGOCIACIÓN ($COP)]])*1%</f>
        <v>925.29714427811507</v>
      </c>
      <c r="AG607" s="3">
        <f>+D.sign_Data[[#This Row],[VALOR NETO ($COP)]]+D.sign_Data[[#This Row],[NEGOCIACIÓN ($COP)]]+D.sign_Data[[#This Row],[ICA ($COP)]]+D.sign_Data[[#This Row],[4 * 1000 ($COP)]]</f>
        <v>94380.308716367726</v>
      </c>
    </row>
    <row r="608" spans="1:33" ht="60" hidden="1" customHeight="1" x14ac:dyDescent="0.25">
      <c r="A608" s="14"/>
      <c r="B608" s="87" t="s">
        <v>418</v>
      </c>
      <c r="C608" s="182" t="s">
        <v>885</v>
      </c>
      <c r="D608" s="189" t="str">
        <f>VLOOKUP(D.sign_Data[[#This Row],[CÓDIGO]],Descripciones[[CÓDIGO]:[NOMBRE DE SERVICIO]],3,FALSE)</f>
        <v>D2. Edificación en Altura</v>
      </c>
      <c r="E608" s="87" t="s">
        <v>497</v>
      </c>
      <c r="F608" s="88" t="s">
        <v>886</v>
      </c>
      <c r="G608" s="88" t="s">
        <v>792</v>
      </c>
      <c r="H608" s="87" t="s">
        <v>866</v>
      </c>
      <c r="I608" s="89">
        <v>1</v>
      </c>
      <c r="J608" s="88" t="s">
        <v>889</v>
      </c>
      <c r="K608" s="102"/>
      <c r="L608" s="88" t="s">
        <v>624</v>
      </c>
      <c r="M608" s="89" t="s">
        <v>381</v>
      </c>
      <c r="N608" s="90">
        <v>9.4</v>
      </c>
      <c r="O608" s="27">
        <f>IFERROR(+VLOOKUP(M608,D.sign_Lista_Data[[RESPONSABLE]:[SOFTWARE 
VALOR HORA]],3,FALSE),"0")</f>
        <v>20263.424518743668</v>
      </c>
      <c r="P608" s="3">
        <f t="shared" si="20"/>
        <v>190476.19047619047</v>
      </c>
      <c r="Q608" s="11">
        <f>IFERROR(+VLOOKUP(M608,D.sign_Lista_Data[[RESPONSABLE]:[SOFTWARE 
VALOR HORA]],5,FALSE)*D.sign_Data[[#This Row],[TIEMPO (HORAS)]],0)</f>
        <v>39682.539682539682</v>
      </c>
      <c r="R608" s="11">
        <f>IFERROR(+VLOOKUP(M608,D.sign_Lista_Data[[RESPONSABLE]:[SOFTWARE 
VALOR HORA]],8,FALSE)*D.sign_Data[[#This Row],[TIEMPO (HORAS)]],0)</f>
        <v>32062.035939153444</v>
      </c>
      <c r="S608" s="99"/>
      <c r="T608" s="99"/>
      <c r="U608" s="3">
        <f t="shared" si="21"/>
        <v>262220.76609788358</v>
      </c>
      <c r="V608" s="100">
        <f>D.sign_Data[[#This Row],[TIEMPO (HORAS)]]*Gastos_Operativos[[#Totals],[GASTOS HORA]]</f>
        <v>261221.08447971777</v>
      </c>
      <c r="W608" s="3">
        <f>+D.sign_Data[[#This Row],[COSTO 
DIRECTO ($COP)]]+D.sign_Data[[#This Row],[PRORRATEO GASTOS ($COP)]]</f>
        <v>523441.85057760135</v>
      </c>
      <c r="X608" s="101">
        <v>0.15</v>
      </c>
      <c r="Y608" s="15">
        <f>+D.sign_Data[[#This Row],[COSTOS OPERACIONALES ($COP)]]*D.sign_Data[[#This Row],[DESFASE (%)]]</f>
        <v>78516.277586640193</v>
      </c>
      <c r="Z608" s="101">
        <v>0.3</v>
      </c>
      <c r="AA608" s="15">
        <f>+((D.sign_Data[[#This Row],[COSTOS OPERACIONALES ($COP)]]/(100%-D.sign_Data[[#This Row],[UTILIDAD (%)]])))-D.sign_Data[[#This Row],[COSTOS OPERACIONALES ($COP)]]</f>
        <v>224332.22167611495</v>
      </c>
      <c r="AB608" s="3">
        <f>+D.sign_Data[[#This Row],[COSTOS OPERACIONALES ($COP)]]+D.sign_Data[[#This Row],[DESFASE ($COP)]]+D.sign_Data[[#This Row],[UTILIDAD ($COP)]]</f>
        <v>826290.3498403565</v>
      </c>
      <c r="AC608" s="101">
        <v>0.05</v>
      </c>
      <c r="AD608" s="15">
        <f>+D.sign_Data[[#This Row],[VALOR NETO ($COP)]]/(100%-D.sign_Data[[#This Row],[MARGEN DE NEGOCIACIÓN (%)]])-D.sign_Data[[#This Row],[VALOR NETO ($COP)]]</f>
        <v>43488.965781071456</v>
      </c>
      <c r="AE608" s="15">
        <f>+(D.sign_Data[[#This Row],[VALOR NETO ($COP)]]+D.sign_Data[[#This Row],[NEGOCIACIÓN ($COP)]])*1%</f>
        <v>8697.7931562142803</v>
      </c>
      <c r="AF608" s="15">
        <f>+(D.sign_Data[[#This Row],[VALOR NETO ($COP)]]+D.sign_Data[[#This Row],[NEGOCIACIÓN ($COP)]])*1%</f>
        <v>8697.7931562142803</v>
      </c>
      <c r="AG608" s="3">
        <f>+D.sign_Data[[#This Row],[VALOR NETO ($COP)]]+D.sign_Data[[#This Row],[NEGOCIACIÓN ($COP)]]+D.sign_Data[[#This Row],[ICA ($COP)]]+D.sign_Data[[#This Row],[4 * 1000 ($COP)]]</f>
        <v>887174.90193385654</v>
      </c>
    </row>
    <row r="609" spans="1:33" ht="60" hidden="1" customHeight="1" x14ac:dyDescent="0.25">
      <c r="A609" s="14"/>
      <c r="B609" s="87" t="s">
        <v>418</v>
      </c>
      <c r="C609" s="182" t="s">
        <v>885</v>
      </c>
      <c r="D609" s="189" t="str">
        <f>VLOOKUP(D.sign_Data[[#This Row],[CÓDIGO]],Descripciones[[CÓDIGO]:[NOMBRE DE SERVICIO]],3,FALSE)</f>
        <v>D2. Edificación en Altura</v>
      </c>
      <c r="E609" s="87" t="s">
        <v>497</v>
      </c>
      <c r="F609" s="88" t="s">
        <v>886</v>
      </c>
      <c r="G609" s="88" t="s">
        <v>792</v>
      </c>
      <c r="H609" s="87" t="s">
        <v>866</v>
      </c>
      <c r="I609" s="89">
        <v>1</v>
      </c>
      <c r="J609" s="88" t="s">
        <v>889</v>
      </c>
      <c r="K609" s="102"/>
      <c r="L609" s="88" t="s">
        <v>797</v>
      </c>
      <c r="M609" s="89" t="s">
        <v>381</v>
      </c>
      <c r="N609" s="90">
        <v>1</v>
      </c>
      <c r="O609" s="27">
        <f>IFERROR(+VLOOKUP(M609,D.sign_Lista_Data[[RESPONSABLE]:[SOFTWARE 
VALOR HORA]],3,FALSE),"0")</f>
        <v>20263.424518743668</v>
      </c>
      <c r="P609" s="3">
        <f t="shared" si="20"/>
        <v>20263.424518743668</v>
      </c>
      <c r="Q609" s="11">
        <f>IFERROR(+VLOOKUP(M609,D.sign_Lista_Data[[RESPONSABLE]:[SOFTWARE 
VALOR HORA]],5,FALSE)*D.sign_Data[[#This Row],[TIEMPO (HORAS)]],0)</f>
        <v>4221.5467747382636</v>
      </c>
      <c r="R609" s="11">
        <f>IFERROR(+VLOOKUP(M609,D.sign_Lista_Data[[RESPONSABLE]:[SOFTWARE 
VALOR HORA]],8,FALSE)*D.sign_Data[[#This Row],[TIEMPO (HORAS)]],0)</f>
        <v>3410.8548871439834</v>
      </c>
      <c r="S609" s="99"/>
      <c r="T609" s="99"/>
      <c r="U609" s="3">
        <f t="shared" si="21"/>
        <v>27895.826180625918</v>
      </c>
      <c r="V609" s="100">
        <f>D.sign_Data[[#This Row],[TIEMPO (HORAS)]]*Gastos_Operativos[[#Totals],[GASTOS HORA]]</f>
        <v>27789.477072310401</v>
      </c>
      <c r="W609" s="3">
        <f>+D.sign_Data[[#This Row],[COSTO 
DIRECTO ($COP)]]+D.sign_Data[[#This Row],[PRORRATEO GASTOS ($COP)]]</f>
        <v>55685.303252936319</v>
      </c>
      <c r="X609" s="101">
        <v>0.15</v>
      </c>
      <c r="Y609" s="15">
        <f>+D.sign_Data[[#This Row],[COSTOS OPERACIONALES ($COP)]]*D.sign_Data[[#This Row],[DESFASE (%)]]</f>
        <v>8352.7954879404479</v>
      </c>
      <c r="Z609" s="101">
        <v>0.3</v>
      </c>
      <c r="AA609" s="15">
        <f>+((D.sign_Data[[#This Row],[COSTOS OPERACIONALES ($COP)]]/(100%-D.sign_Data[[#This Row],[UTILIDAD (%)]])))-D.sign_Data[[#This Row],[COSTOS OPERACIONALES ($COP)]]</f>
        <v>23865.129965544147</v>
      </c>
      <c r="AB609" s="3">
        <f>+D.sign_Data[[#This Row],[COSTOS OPERACIONALES ($COP)]]+D.sign_Data[[#This Row],[DESFASE ($COP)]]+D.sign_Data[[#This Row],[UTILIDAD ($COP)]]</f>
        <v>87903.228706420923</v>
      </c>
      <c r="AC609" s="101">
        <v>0.05</v>
      </c>
      <c r="AD609" s="15">
        <f>+D.sign_Data[[#This Row],[VALOR NETO ($COP)]]/(100%-D.sign_Data[[#This Row],[MARGEN DE NEGOCIACIÓN (%)]])-D.sign_Data[[#This Row],[VALOR NETO ($COP)]]</f>
        <v>4626.485721390578</v>
      </c>
      <c r="AE609" s="15">
        <f>+(D.sign_Data[[#This Row],[VALOR NETO ($COP)]]+D.sign_Data[[#This Row],[NEGOCIACIÓN ($COP)]])*1%</f>
        <v>925.29714427811507</v>
      </c>
      <c r="AF609" s="15">
        <f>+(D.sign_Data[[#This Row],[VALOR NETO ($COP)]]+D.sign_Data[[#This Row],[NEGOCIACIÓN ($COP)]])*1%</f>
        <v>925.29714427811507</v>
      </c>
      <c r="AG609" s="3">
        <f>+D.sign_Data[[#This Row],[VALOR NETO ($COP)]]+D.sign_Data[[#This Row],[NEGOCIACIÓN ($COP)]]+D.sign_Data[[#This Row],[ICA ($COP)]]+D.sign_Data[[#This Row],[4 * 1000 ($COP)]]</f>
        <v>94380.308716367726</v>
      </c>
    </row>
    <row r="610" spans="1:33" ht="60" hidden="1" customHeight="1" x14ac:dyDescent="0.25">
      <c r="A610" s="14"/>
      <c r="B610" s="87" t="s">
        <v>418</v>
      </c>
      <c r="C610" s="182" t="s">
        <v>885</v>
      </c>
      <c r="D610" s="189" t="str">
        <f>VLOOKUP(D.sign_Data[[#This Row],[CÓDIGO]],Descripciones[[CÓDIGO]:[NOMBRE DE SERVICIO]],3,FALSE)</f>
        <v>D2. Edificación en Altura</v>
      </c>
      <c r="E610" s="87" t="s">
        <v>497</v>
      </c>
      <c r="F610" s="88" t="s">
        <v>886</v>
      </c>
      <c r="G610" s="88" t="s">
        <v>792</v>
      </c>
      <c r="H610" s="87" t="s">
        <v>866</v>
      </c>
      <c r="I610" s="89">
        <v>1</v>
      </c>
      <c r="J610" s="88" t="s">
        <v>889</v>
      </c>
      <c r="K610" s="102"/>
      <c r="L610" s="88" t="s">
        <v>779</v>
      </c>
      <c r="M610" s="89" t="s">
        <v>381</v>
      </c>
      <c r="N610" s="90">
        <v>4</v>
      </c>
      <c r="O610" s="27">
        <f>IFERROR(+VLOOKUP(M610,D.sign_Lista_Data[[RESPONSABLE]:[SOFTWARE 
VALOR HORA]],3,FALSE),"0")</f>
        <v>20263.424518743668</v>
      </c>
      <c r="P610" s="3">
        <f t="shared" si="20"/>
        <v>81053.698074974673</v>
      </c>
      <c r="Q610" s="11">
        <f>IFERROR(+VLOOKUP(M610,D.sign_Lista_Data[[RESPONSABLE]:[SOFTWARE 
VALOR HORA]],5,FALSE)*D.sign_Data[[#This Row],[TIEMPO (HORAS)]],0)</f>
        <v>16886.187098953054</v>
      </c>
      <c r="R610" s="11">
        <f>IFERROR(+VLOOKUP(M610,D.sign_Lista_Data[[RESPONSABLE]:[SOFTWARE 
VALOR HORA]],8,FALSE)*D.sign_Data[[#This Row],[TIEMPO (HORAS)]],0)</f>
        <v>13643.419548575934</v>
      </c>
      <c r="S610" s="99"/>
      <c r="T610" s="99"/>
      <c r="U610" s="3">
        <f t="shared" si="21"/>
        <v>111583.30472250367</v>
      </c>
      <c r="V610" s="100">
        <f>D.sign_Data[[#This Row],[TIEMPO (HORAS)]]*Gastos_Operativos[[#Totals],[GASTOS HORA]]</f>
        <v>111157.9082892416</v>
      </c>
      <c r="W610" s="3">
        <f>+D.sign_Data[[#This Row],[COSTO 
DIRECTO ($COP)]]+D.sign_Data[[#This Row],[PRORRATEO GASTOS ($COP)]]</f>
        <v>222741.21301174528</v>
      </c>
      <c r="X610" s="101">
        <v>0.15</v>
      </c>
      <c r="Y610" s="15">
        <f>+D.sign_Data[[#This Row],[COSTOS OPERACIONALES ($COP)]]*D.sign_Data[[#This Row],[DESFASE (%)]]</f>
        <v>33411.181951761791</v>
      </c>
      <c r="Z610" s="101">
        <v>0.3</v>
      </c>
      <c r="AA610" s="15">
        <f>+((D.sign_Data[[#This Row],[COSTOS OPERACIONALES ($COP)]]/(100%-D.sign_Data[[#This Row],[UTILIDAD (%)]])))-D.sign_Data[[#This Row],[COSTOS OPERACIONALES ($COP)]]</f>
        <v>95460.519862176589</v>
      </c>
      <c r="AB610" s="3">
        <f>+D.sign_Data[[#This Row],[COSTOS OPERACIONALES ($COP)]]+D.sign_Data[[#This Row],[DESFASE ($COP)]]+D.sign_Data[[#This Row],[UTILIDAD ($COP)]]</f>
        <v>351612.91482568369</v>
      </c>
      <c r="AC610" s="101">
        <v>0.05</v>
      </c>
      <c r="AD610" s="15">
        <f>+D.sign_Data[[#This Row],[VALOR NETO ($COP)]]/(100%-D.sign_Data[[#This Row],[MARGEN DE NEGOCIACIÓN (%)]])-D.sign_Data[[#This Row],[VALOR NETO ($COP)]]</f>
        <v>18505.942885562312</v>
      </c>
      <c r="AE610" s="15">
        <f>+(D.sign_Data[[#This Row],[VALOR NETO ($COP)]]+D.sign_Data[[#This Row],[NEGOCIACIÓN ($COP)]])*1%</f>
        <v>3701.1885771124603</v>
      </c>
      <c r="AF610" s="15">
        <f>+(D.sign_Data[[#This Row],[VALOR NETO ($COP)]]+D.sign_Data[[#This Row],[NEGOCIACIÓN ($COP)]])*1%</f>
        <v>3701.1885771124603</v>
      </c>
      <c r="AG610" s="3">
        <f>+D.sign_Data[[#This Row],[VALOR NETO ($COP)]]+D.sign_Data[[#This Row],[NEGOCIACIÓN ($COP)]]+D.sign_Data[[#This Row],[ICA ($COP)]]+D.sign_Data[[#This Row],[4 * 1000 ($COP)]]</f>
        <v>377521.23486547091</v>
      </c>
    </row>
    <row r="611" spans="1:33" ht="60" hidden="1" customHeight="1" x14ac:dyDescent="0.25">
      <c r="A611" s="14"/>
      <c r="B611" s="87" t="s">
        <v>418</v>
      </c>
      <c r="C611" s="182" t="s">
        <v>885</v>
      </c>
      <c r="D611" s="189" t="str">
        <f>VLOOKUP(D.sign_Data[[#This Row],[CÓDIGO]],Descripciones[[CÓDIGO]:[NOMBRE DE SERVICIO]],3,FALSE)</f>
        <v>D2. Edificación en Altura</v>
      </c>
      <c r="E611" s="87" t="s">
        <v>497</v>
      </c>
      <c r="F611" s="88" t="s">
        <v>886</v>
      </c>
      <c r="G611" s="88" t="s">
        <v>792</v>
      </c>
      <c r="H611" s="87" t="s">
        <v>866</v>
      </c>
      <c r="I611" s="89">
        <v>1</v>
      </c>
      <c r="J611" s="88" t="s">
        <v>889</v>
      </c>
      <c r="K611" s="102"/>
      <c r="L611" s="88" t="s">
        <v>798</v>
      </c>
      <c r="M611" s="89" t="s">
        <v>381</v>
      </c>
      <c r="N611" s="90">
        <v>2</v>
      </c>
      <c r="O611" s="27">
        <f>IFERROR(+VLOOKUP(M611,D.sign_Lista_Data[[RESPONSABLE]:[SOFTWARE 
VALOR HORA]],3,FALSE),"0")</f>
        <v>20263.424518743668</v>
      </c>
      <c r="P611" s="3">
        <f t="shared" si="20"/>
        <v>40526.849037487336</v>
      </c>
      <c r="Q611" s="11">
        <f>IFERROR(+VLOOKUP(M611,D.sign_Lista_Data[[RESPONSABLE]:[SOFTWARE 
VALOR HORA]],5,FALSE)*D.sign_Data[[#This Row],[TIEMPO (HORAS)]],0)</f>
        <v>8443.0935494765272</v>
      </c>
      <c r="R611" s="11">
        <f>IFERROR(+VLOOKUP(M611,D.sign_Lista_Data[[RESPONSABLE]:[SOFTWARE 
VALOR HORA]],8,FALSE)*D.sign_Data[[#This Row],[TIEMPO (HORAS)]],0)</f>
        <v>6821.7097742879669</v>
      </c>
      <c r="S611" s="99"/>
      <c r="T611" s="99"/>
      <c r="U611" s="3">
        <f t="shared" si="21"/>
        <v>55791.652361251836</v>
      </c>
      <c r="V611" s="100">
        <f>D.sign_Data[[#This Row],[TIEMPO (HORAS)]]*Gastos_Operativos[[#Totals],[GASTOS HORA]]</f>
        <v>55578.954144620802</v>
      </c>
      <c r="W611" s="3">
        <f>+D.sign_Data[[#This Row],[COSTO 
DIRECTO ($COP)]]+D.sign_Data[[#This Row],[PRORRATEO GASTOS ($COP)]]</f>
        <v>111370.60650587264</v>
      </c>
      <c r="X611" s="101">
        <v>0.15</v>
      </c>
      <c r="Y611" s="15">
        <f>+D.sign_Data[[#This Row],[COSTOS OPERACIONALES ($COP)]]*D.sign_Data[[#This Row],[DESFASE (%)]]</f>
        <v>16705.590975880896</v>
      </c>
      <c r="Z611" s="101">
        <v>0.3</v>
      </c>
      <c r="AA611" s="15">
        <f>+((D.sign_Data[[#This Row],[COSTOS OPERACIONALES ($COP)]]/(100%-D.sign_Data[[#This Row],[UTILIDAD (%)]])))-D.sign_Data[[#This Row],[COSTOS OPERACIONALES ($COP)]]</f>
        <v>47730.259931088294</v>
      </c>
      <c r="AB611" s="3">
        <f>+D.sign_Data[[#This Row],[COSTOS OPERACIONALES ($COP)]]+D.sign_Data[[#This Row],[DESFASE ($COP)]]+D.sign_Data[[#This Row],[UTILIDAD ($COP)]]</f>
        <v>175806.45741284185</v>
      </c>
      <c r="AC611" s="101">
        <v>0.05</v>
      </c>
      <c r="AD611" s="15">
        <f>+D.sign_Data[[#This Row],[VALOR NETO ($COP)]]/(100%-D.sign_Data[[#This Row],[MARGEN DE NEGOCIACIÓN (%)]])-D.sign_Data[[#This Row],[VALOR NETO ($COP)]]</f>
        <v>9252.9714427811559</v>
      </c>
      <c r="AE611" s="15">
        <f>+(D.sign_Data[[#This Row],[VALOR NETO ($COP)]]+D.sign_Data[[#This Row],[NEGOCIACIÓN ($COP)]])*1%</f>
        <v>1850.5942885562301</v>
      </c>
      <c r="AF611" s="15">
        <f>+(D.sign_Data[[#This Row],[VALOR NETO ($COP)]]+D.sign_Data[[#This Row],[NEGOCIACIÓN ($COP)]])*1%</f>
        <v>1850.5942885562301</v>
      </c>
      <c r="AG611" s="3">
        <f>+D.sign_Data[[#This Row],[VALOR NETO ($COP)]]+D.sign_Data[[#This Row],[NEGOCIACIÓN ($COP)]]+D.sign_Data[[#This Row],[ICA ($COP)]]+D.sign_Data[[#This Row],[4 * 1000 ($COP)]]</f>
        <v>188760.61743273545</v>
      </c>
    </row>
    <row r="612" spans="1:33" ht="60" hidden="1" customHeight="1" x14ac:dyDescent="0.25">
      <c r="A612" s="14"/>
      <c r="B612" s="87" t="s">
        <v>418</v>
      </c>
      <c r="C612" s="182" t="s">
        <v>885</v>
      </c>
      <c r="D612" s="189" t="str">
        <f>VLOOKUP(D.sign_Data[[#This Row],[CÓDIGO]],Descripciones[[CÓDIGO]:[NOMBRE DE SERVICIO]],3,FALSE)</f>
        <v>D2. Edificación en Altura</v>
      </c>
      <c r="E612" s="87" t="s">
        <v>497</v>
      </c>
      <c r="F612" s="88" t="s">
        <v>886</v>
      </c>
      <c r="G612" s="88" t="s">
        <v>792</v>
      </c>
      <c r="H612" s="87" t="s">
        <v>866</v>
      </c>
      <c r="I612" s="89">
        <v>1</v>
      </c>
      <c r="J612" s="88" t="s">
        <v>889</v>
      </c>
      <c r="K612" s="102"/>
      <c r="L612" s="88" t="s">
        <v>483</v>
      </c>
      <c r="M612" s="89" t="s">
        <v>381</v>
      </c>
      <c r="N612" s="90">
        <v>2</v>
      </c>
      <c r="O612" s="27">
        <f>IFERROR(+VLOOKUP(M612,D.sign_Lista_Data[[RESPONSABLE]:[SOFTWARE 
VALOR HORA]],3,FALSE),"0")</f>
        <v>20263.424518743668</v>
      </c>
      <c r="P612" s="3">
        <f t="shared" si="20"/>
        <v>40526.849037487336</v>
      </c>
      <c r="Q612" s="11">
        <f>IFERROR(+VLOOKUP(M612,D.sign_Lista_Data[[RESPONSABLE]:[SOFTWARE 
VALOR HORA]],5,FALSE)*D.sign_Data[[#This Row],[TIEMPO (HORAS)]],0)</f>
        <v>8443.0935494765272</v>
      </c>
      <c r="R612" s="11">
        <f>IFERROR(+VLOOKUP(M612,D.sign_Lista_Data[[RESPONSABLE]:[SOFTWARE 
VALOR HORA]],8,FALSE)*D.sign_Data[[#This Row],[TIEMPO (HORAS)]],0)</f>
        <v>6821.7097742879669</v>
      </c>
      <c r="S612" s="99"/>
      <c r="T612" s="99"/>
      <c r="U612" s="3">
        <f t="shared" si="21"/>
        <v>55791.652361251836</v>
      </c>
      <c r="V612" s="100">
        <f>D.sign_Data[[#This Row],[TIEMPO (HORAS)]]*Gastos_Operativos[[#Totals],[GASTOS HORA]]</f>
        <v>55578.954144620802</v>
      </c>
      <c r="W612" s="3">
        <f>+D.sign_Data[[#This Row],[COSTO 
DIRECTO ($COP)]]+D.sign_Data[[#This Row],[PRORRATEO GASTOS ($COP)]]</f>
        <v>111370.60650587264</v>
      </c>
      <c r="X612" s="101">
        <v>0.15</v>
      </c>
      <c r="Y612" s="15">
        <f>+D.sign_Data[[#This Row],[COSTOS OPERACIONALES ($COP)]]*D.sign_Data[[#This Row],[DESFASE (%)]]</f>
        <v>16705.590975880896</v>
      </c>
      <c r="Z612" s="101">
        <v>0.3</v>
      </c>
      <c r="AA612" s="15">
        <f>+((D.sign_Data[[#This Row],[COSTOS OPERACIONALES ($COP)]]/(100%-D.sign_Data[[#This Row],[UTILIDAD (%)]])))-D.sign_Data[[#This Row],[COSTOS OPERACIONALES ($COP)]]</f>
        <v>47730.259931088294</v>
      </c>
      <c r="AB612" s="3">
        <f>+D.sign_Data[[#This Row],[COSTOS OPERACIONALES ($COP)]]+D.sign_Data[[#This Row],[DESFASE ($COP)]]+D.sign_Data[[#This Row],[UTILIDAD ($COP)]]</f>
        <v>175806.45741284185</v>
      </c>
      <c r="AC612" s="101">
        <v>0.05</v>
      </c>
      <c r="AD612" s="15">
        <f>+D.sign_Data[[#This Row],[VALOR NETO ($COP)]]/(100%-D.sign_Data[[#This Row],[MARGEN DE NEGOCIACIÓN (%)]])-D.sign_Data[[#This Row],[VALOR NETO ($COP)]]</f>
        <v>9252.9714427811559</v>
      </c>
      <c r="AE612" s="15">
        <f>+(D.sign_Data[[#This Row],[VALOR NETO ($COP)]]+D.sign_Data[[#This Row],[NEGOCIACIÓN ($COP)]])*1%</f>
        <v>1850.5942885562301</v>
      </c>
      <c r="AF612" s="15">
        <f>+(D.sign_Data[[#This Row],[VALOR NETO ($COP)]]+D.sign_Data[[#This Row],[NEGOCIACIÓN ($COP)]])*1%</f>
        <v>1850.5942885562301</v>
      </c>
      <c r="AG612" s="3">
        <f>+D.sign_Data[[#This Row],[VALOR NETO ($COP)]]+D.sign_Data[[#This Row],[NEGOCIACIÓN ($COP)]]+D.sign_Data[[#This Row],[ICA ($COP)]]+D.sign_Data[[#This Row],[4 * 1000 ($COP)]]</f>
        <v>188760.61743273545</v>
      </c>
    </row>
    <row r="613" spans="1:33" ht="60" hidden="1" customHeight="1" x14ac:dyDescent="0.25">
      <c r="A613" s="14"/>
      <c r="B613" s="87" t="s">
        <v>418</v>
      </c>
      <c r="C613" s="182" t="s">
        <v>885</v>
      </c>
      <c r="D613" s="189" t="str">
        <f>VLOOKUP(D.sign_Data[[#This Row],[CÓDIGO]],Descripciones[[CÓDIGO]:[NOMBRE DE SERVICIO]],3,FALSE)</f>
        <v>D2. Edificación en Altura</v>
      </c>
      <c r="E613" s="87" t="s">
        <v>497</v>
      </c>
      <c r="F613" s="88" t="s">
        <v>886</v>
      </c>
      <c r="G613" s="88" t="s">
        <v>792</v>
      </c>
      <c r="H613" s="87" t="s">
        <v>866</v>
      </c>
      <c r="I613" s="89">
        <v>1</v>
      </c>
      <c r="J613" s="88" t="s">
        <v>889</v>
      </c>
      <c r="K613" s="102"/>
      <c r="L613" s="88" t="s">
        <v>474</v>
      </c>
      <c r="M613" s="89" t="s">
        <v>381</v>
      </c>
      <c r="N613" s="90">
        <v>1</v>
      </c>
      <c r="O613" s="27">
        <f>IFERROR(+VLOOKUP(M613,D.sign_Lista_Data[[RESPONSABLE]:[SOFTWARE 
VALOR HORA]],3,FALSE),"0")</f>
        <v>20263.424518743668</v>
      </c>
      <c r="P613" s="3">
        <f t="shared" si="20"/>
        <v>20263.424518743668</v>
      </c>
      <c r="Q613" s="11">
        <f>IFERROR(+VLOOKUP(M613,D.sign_Lista_Data[[RESPONSABLE]:[SOFTWARE 
VALOR HORA]],5,FALSE)*D.sign_Data[[#This Row],[TIEMPO (HORAS)]],0)</f>
        <v>4221.5467747382636</v>
      </c>
      <c r="R613" s="11">
        <f>IFERROR(+VLOOKUP(M613,D.sign_Lista_Data[[RESPONSABLE]:[SOFTWARE 
VALOR HORA]],8,FALSE)*D.sign_Data[[#This Row],[TIEMPO (HORAS)]],0)</f>
        <v>3410.8548871439834</v>
      </c>
      <c r="S613" s="99"/>
      <c r="T613" s="99"/>
      <c r="U613" s="3">
        <f t="shared" si="21"/>
        <v>27895.826180625918</v>
      </c>
      <c r="V613" s="100">
        <f>D.sign_Data[[#This Row],[TIEMPO (HORAS)]]*Gastos_Operativos[[#Totals],[GASTOS HORA]]</f>
        <v>27789.477072310401</v>
      </c>
      <c r="W613" s="3">
        <f>+D.sign_Data[[#This Row],[COSTO 
DIRECTO ($COP)]]+D.sign_Data[[#This Row],[PRORRATEO GASTOS ($COP)]]</f>
        <v>55685.303252936319</v>
      </c>
      <c r="X613" s="101">
        <v>0.15</v>
      </c>
      <c r="Y613" s="15">
        <f>+D.sign_Data[[#This Row],[COSTOS OPERACIONALES ($COP)]]*D.sign_Data[[#This Row],[DESFASE (%)]]</f>
        <v>8352.7954879404479</v>
      </c>
      <c r="Z613" s="101">
        <v>0.3</v>
      </c>
      <c r="AA613" s="15">
        <f>+((D.sign_Data[[#This Row],[COSTOS OPERACIONALES ($COP)]]/(100%-D.sign_Data[[#This Row],[UTILIDAD (%)]])))-D.sign_Data[[#This Row],[COSTOS OPERACIONALES ($COP)]]</f>
        <v>23865.129965544147</v>
      </c>
      <c r="AB613" s="3">
        <f>+D.sign_Data[[#This Row],[COSTOS OPERACIONALES ($COP)]]+D.sign_Data[[#This Row],[DESFASE ($COP)]]+D.sign_Data[[#This Row],[UTILIDAD ($COP)]]</f>
        <v>87903.228706420923</v>
      </c>
      <c r="AC613" s="101">
        <v>0.05</v>
      </c>
      <c r="AD613" s="15">
        <f>+D.sign_Data[[#This Row],[VALOR NETO ($COP)]]/(100%-D.sign_Data[[#This Row],[MARGEN DE NEGOCIACIÓN (%)]])-D.sign_Data[[#This Row],[VALOR NETO ($COP)]]</f>
        <v>4626.485721390578</v>
      </c>
      <c r="AE613" s="15">
        <f>+(D.sign_Data[[#This Row],[VALOR NETO ($COP)]]+D.sign_Data[[#This Row],[NEGOCIACIÓN ($COP)]])*1%</f>
        <v>925.29714427811507</v>
      </c>
      <c r="AF613" s="15">
        <f>+(D.sign_Data[[#This Row],[VALOR NETO ($COP)]]+D.sign_Data[[#This Row],[NEGOCIACIÓN ($COP)]])*1%</f>
        <v>925.29714427811507</v>
      </c>
      <c r="AG613" s="3">
        <f>+D.sign_Data[[#This Row],[VALOR NETO ($COP)]]+D.sign_Data[[#This Row],[NEGOCIACIÓN ($COP)]]+D.sign_Data[[#This Row],[ICA ($COP)]]+D.sign_Data[[#This Row],[4 * 1000 ($COP)]]</f>
        <v>94380.308716367726</v>
      </c>
    </row>
    <row r="614" spans="1:33" ht="60" hidden="1" customHeight="1" x14ac:dyDescent="0.25">
      <c r="A614" s="14"/>
      <c r="B614" s="87" t="s">
        <v>418</v>
      </c>
      <c r="C614" s="182" t="s">
        <v>885</v>
      </c>
      <c r="D614" s="189" t="str">
        <f>VLOOKUP(D.sign_Data[[#This Row],[CÓDIGO]],Descripciones[[CÓDIGO]:[NOMBRE DE SERVICIO]],3,FALSE)</f>
        <v>D2. Edificación en Altura</v>
      </c>
      <c r="E614" s="87" t="s">
        <v>497</v>
      </c>
      <c r="F614" s="88" t="s">
        <v>886</v>
      </c>
      <c r="G614" s="88" t="s">
        <v>792</v>
      </c>
      <c r="H614" s="87" t="s">
        <v>866</v>
      </c>
      <c r="I614" s="89">
        <v>1</v>
      </c>
      <c r="J614" s="88" t="s">
        <v>890</v>
      </c>
      <c r="K614" s="102"/>
      <c r="L614" s="88" t="s">
        <v>773</v>
      </c>
      <c r="M614" s="89" t="s">
        <v>381</v>
      </c>
      <c r="N614" s="90">
        <v>1</v>
      </c>
      <c r="O614" s="27">
        <f>IFERROR(+VLOOKUP(M614,D.sign_Lista_Data[[RESPONSABLE]:[SOFTWARE 
VALOR HORA]],3,FALSE),"0")</f>
        <v>20263.424518743668</v>
      </c>
      <c r="P614" s="3">
        <f t="shared" si="20"/>
        <v>20263.424518743668</v>
      </c>
      <c r="Q614" s="11">
        <f>IFERROR(+VLOOKUP(M614,D.sign_Lista_Data[[RESPONSABLE]:[SOFTWARE 
VALOR HORA]],5,FALSE)*D.sign_Data[[#This Row],[TIEMPO (HORAS)]],0)</f>
        <v>4221.5467747382636</v>
      </c>
      <c r="R614" s="11">
        <f>IFERROR(+VLOOKUP(M614,D.sign_Lista_Data[[RESPONSABLE]:[SOFTWARE 
VALOR HORA]],8,FALSE)*D.sign_Data[[#This Row],[TIEMPO (HORAS)]],0)</f>
        <v>3410.8548871439834</v>
      </c>
      <c r="S614" s="99"/>
      <c r="T614" s="99"/>
      <c r="U614" s="3">
        <f t="shared" si="21"/>
        <v>27895.826180625918</v>
      </c>
      <c r="V614" s="100">
        <f>D.sign_Data[[#This Row],[TIEMPO (HORAS)]]*Gastos_Operativos[[#Totals],[GASTOS HORA]]</f>
        <v>27789.477072310401</v>
      </c>
      <c r="W614" s="3">
        <f>+D.sign_Data[[#This Row],[COSTO 
DIRECTO ($COP)]]+D.sign_Data[[#This Row],[PRORRATEO GASTOS ($COP)]]</f>
        <v>55685.303252936319</v>
      </c>
      <c r="X614" s="101">
        <v>0.15</v>
      </c>
      <c r="Y614" s="15">
        <f>+D.sign_Data[[#This Row],[COSTOS OPERACIONALES ($COP)]]*D.sign_Data[[#This Row],[DESFASE (%)]]</f>
        <v>8352.7954879404479</v>
      </c>
      <c r="Z614" s="101">
        <v>0.3</v>
      </c>
      <c r="AA614" s="15">
        <f>+((D.sign_Data[[#This Row],[COSTOS OPERACIONALES ($COP)]]/(100%-D.sign_Data[[#This Row],[UTILIDAD (%)]])))-D.sign_Data[[#This Row],[COSTOS OPERACIONALES ($COP)]]</f>
        <v>23865.129965544147</v>
      </c>
      <c r="AB614" s="3">
        <f>+D.sign_Data[[#This Row],[COSTOS OPERACIONALES ($COP)]]+D.sign_Data[[#This Row],[DESFASE ($COP)]]+D.sign_Data[[#This Row],[UTILIDAD ($COP)]]</f>
        <v>87903.228706420923</v>
      </c>
      <c r="AC614" s="101">
        <v>0.05</v>
      </c>
      <c r="AD614" s="15">
        <f>+D.sign_Data[[#This Row],[VALOR NETO ($COP)]]/(100%-D.sign_Data[[#This Row],[MARGEN DE NEGOCIACIÓN (%)]])-D.sign_Data[[#This Row],[VALOR NETO ($COP)]]</f>
        <v>4626.485721390578</v>
      </c>
      <c r="AE614" s="15">
        <f>+(D.sign_Data[[#This Row],[VALOR NETO ($COP)]]+D.sign_Data[[#This Row],[NEGOCIACIÓN ($COP)]])*1%</f>
        <v>925.29714427811507</v>
      </c>
      <c r="AF614" s="15">
        <f>+(D.sign_Data[[#This Row],[VALOR NETO ($COP)]]+D.sign_Data[[#This Row],[NEGOCIACIÓN ($COP)]])*1%</f>
        <v>925.29714427811507</v>
      </c>
      <c r="AG614" s="3">
        <f>+D.sign_Data[[#This Row],[VALOR NETO ($COP)]]+D.sign_Data[[#This Row],[NEGOCIACIÓN ($COP)]]+D.sign_Data[[#This Row],[ICA ($COP)]]+D.sign_Data[[#This Row],[4 * 1000 ($COP)]]</f>
        <v>94380.308716367726</v>
      </c>
    </row>
    <row r="615" spans="1:33" ht="60" hidden="1" customHeight="1" x14ac:dyDescent="0.25">
      <c r="A615" s="14"/>
      <c r="B615" s="87" t="s">
        <v>418</v>
      </c>
      <c r="C615" s="182" t="s">
        <v>885</v>
      </c>
      <c r="D615" s="189" t="str">
        <f>VLOOKUP(D.sign_Data[[#This Row],[CÓDIGO]],Descripciones[[CÓDIGO]:[NOMBRE DE SERVICIO]],3,FALSE)</f>
        <v>D2. Edificación en Altura</v>
      </c>
      <c r="E615" s="87" t="s">
        <v>497</v>
      </c>
      <c r="F615" s="88" t="s">
        <v>886</v>
      </c>
      <c r="G615" s="88" t="s">
        <v>792</v>
      </c>
      <c r="H615" s="87" t="s">
        <v>866</v>
      </c>
      <c r="I615" s="89">
        <v>1</v>
      </c>
      <c r="J615" s="88" t="s">
        <v>890</v>
      </c>
      <c r="K615" s="102"/>
      <c r="L615" s="88" t="s">
        <v>774</v>
      </c>
      <c r="M615" s="89" t="s">
        <v>381</v>
      </c>
      <c r="N615" s="90">
        <v>1</v>
      </c>
      <c r="O615" s="27">
        <f>IFERROR(+VLOOKUP(M615,D.sign_Lista_Data[[RESPONSABLE]:[SOFTWARE 
VALOR HORA]],3,FALSE),"0")</f>
        <v>20263.424518743668</v>
      </c>
      <c r="P615" s="3">
        <f t="shared" si="20"/>
        <v>20263.424518743668</v>
      </c>
      <c r="Q615" s="11">
        <f>IFERROR(+VLOOKUP(M615,D.sign_Lista_Data[[RESPONSABLE]:[SOFTWARE 
VALOR HORA]],5,FALSE)*D.sign_Data[[#This Row],[TIEMPO (HORAS)]],0)</f>
        <v>4221.5467747382636</v>
      </c>
      <c r="R615" s="11">
        <f>IFERROR(+VLOOKUP(M615,D.sign_Lista_Data[[RESPONSABLE]:[SOFTWARE 
VALOR HORA]],8,FALSE)*D.sign_Data[[#This Row],[TIEMPO (HORAS)]],0)</f>
        <v>3410.8548871439834</v>
      </c>
      <c r="S615" s="99"/>
      <c r="T615" s="99"/>
      <c r="U615" s="3">
        <f t="shared" si="21"/>
        <v>27895.826180625918</v>
      </c>
      <c r="V615" s="100">
        <f>D.sign_Data[[#This Row],[TIEMPO (HORAS)]]*Gastos_Operativos[[#Totals],[GASTOS HORA]]</f>
        <v>27789.477072310401</v>
      </c>
      <c r="W615" s="3">
        <f>+D.sign_Data[[#This Row],[COSTO 
DIRECTO ($COP)]]+D.sign_Data[[#This Row],[PRORRATEO GASTOS ($COP)]]</f>
        <v>55685.303252936319</v>
      </c>
      <c r="X615" s="101">
        <v>0.15</v>
      </c>
      <c r="Y615" s="15">
        <f>+D.sign_Data[[#This Row],[COSTOS OPERACIONALES ($COP)]]*D.sign_Data[[#This Row],[DESFASE (%)]]</f>
        <v>8352.7954879404479</v>
      </c>
      <c r="Z615" s="101">
        <v>0.3</v>
      </c>
      <c r="AA615" s="15">
        <f>+((D.sign_Data[[#This Row],[COSTOS OPERACIONALES ($COP)]]/(100%-D.sign_Data[[#This Row],[UTILIDAD (%)]])))-D.sign_Data[[#This Row],[COSTOS OPERACIONALES ($COP)]]</f>
        <v>23865.129965544147</v>
      </c>
      <c r="AB615" s="3">
        <f>+D.sign_Data[[#This Row],[COSTOS OPERACIONALES ($COP)]]+D.sign_Data[[#This Row],[DESFASE ($COP)]]+D.sign_Data[[#This Row],[UTILIDAD ($COP)]]</f>
        <v>87903.228706420923</v>
      </c>
      <c r="AC615" s="101">
        <v>0.05</v>
      </c>
      <c r="AD615" s="15">
        <f>+D.sign_Data[[#This Row],[VALOR NETO ($COP)]]/(100%-D.sign_Data[[#This Row],[MARGEN DE NEGOCIACIÓN (%)]])-D.sign_Data[[#This Row],[VALOR NETO ($COP)]]</f>
        <v>4626.485721390578</v>
      </c>
      <c r="AE615" s="15">
        <f>+(D.sign_Data[[#This Row],[VALOR NETO ($COP)]]+D.sign_Data[[#This Row],[NEGOCIACIÓN ($COP)]])*1%</f>
        <v>925.29714427811507</v>
      </c>
      <c r="AF615" s="15">
        <f>+(D.sign_Data[[#This Row],[VALOR NETO ($COP)]]+D.sign_Data[[#This Row],[NEGOCIACIÓN ($COP)]])*1%</f>
        <v>925.29714427811507</v>
      </c>
      <c r="AG615" s="3">
        <f>+D.sign_Data[[#This Row],[VALOR NETO ($COP)]]+D.sign_Data[[#This Row],[NEGOCIACIÓN ($COP)]]+D.sign_Data[[#This Row],[ICA ($COP)]]+D.sign_Data[[#This Row],[4 * 1000 ($COP)]]</f>
        <v>94380.308716367726</v>
      </c>
    </row>
    <row r="616" spans="1:33" ht="60" hidden="1" customHeight="1" x14ac:dyDescent="0.25">
      <c r="A616" s="14"/>
      <c r="B616" s="87" t="s">
        <v>418</v>
      </c>
      <c r="C616" s="182" t="s">
        <v>885</v>
      </c>
      <c r="D616" s="189" t="str">
        <f>VLOOKUP(D.sign_Data[[#This Row],[CÓDIGO]],Descripciones[[CÓDIGO]:[NOMBRE DE SERVICIO]],3,FALSE)</f>
        <v>D2. Edificación en Altura</v>
      </c>
      <c r="E616" s="87" t="s">
        <v>497</v>
      </c>
      <c r="F616" s="88" t="s">
        <v>886</v>
      </c>
      <c r="G616" s="88" t="s">
        <v>792</v>
      </c>
      <c r="H616" s="87" t="s">
        <v>866</v>
      </c>
      <c r="I616" s="89">
        <v>1</v>
      </c>
      <c r="J616" s="88" t="s">
        <v>890</v>
      </c>
      <c r="K616" s="102"/>
      <c r="L616" s="88" t="s">
        <v>476</v>
      </c>
      <c r="M616" s="89" t="s">
        <v>381</v>
      </c>
      <c r="N616" s="90">
        <v>2</v>
      </c>
      <c r="O616" s="27">
        <f>IFERROR(+VLOOKUP(M616,D.sign_Lista_Data[[RESPONSABLE]:[SOFTWARE 
VALOR HORA]],3,FALSE),"0")</f>
        <v>20263.424518743668</v>
      </c>
      <c r="P616" s="3">
        <f t="shared" si="20"/>
        <v>40526.849037487336</v>
      </c>
      <c r="Q616" s="11">
        <f>IFERROR(+VLOOKUP(M616,D.sign_Lista_Data[[RESPONSABLE]:[SOFTWARE 
VALOR HORA]],5,FALSE)*D.sign_Data[[#This Row],[TIEMPO (HORAS)]],0)</f>
        <v>8443.0935494765272</v>
      </c>
      <c r="R616" s="11">
        <f>IFERROR(+VLOOKUP(M616,D.sign_Lista_Data[[RESPONSABLE]:[SOFTWARE 
VALOR HORA]],8,FALSE)*D.sign_Data[[#This Row],[TIEMPO (HORAS)]],0)</f>
        <v>6821.7097742879669</v>
      </c>
      <c r="S616" s="99"/>
      <c r="T616" s="99"/>
      <c r="U616" s="3">
        <f t="shared" si="21"/>
        <v>55791.652361251836</v>
      </c>
      <c r="V616" s="100">
        <f>D.sign_Data[[#This Row],[TIEMPO (HORAS)]]*Gastos_Operativos[[#Totals],[GASTOS HORA]]</f>
        <v>55578.954144620802</v>
      </c>
      <c r="W616" s="3">
        <f>+D.sign_Data[[#This Row],[COSTO 
DIRECTO ($COP)]]+D.sign_Data[[#This Row],[PRORRATEO GASTOS ($COP)]]</f>
        <v>111370.60650587264</v>
      </c>
      <c r="X616" s="101">
        <v>0.15</v>
      </c>
      <c r="Y616" s="15">
        <f>+D.sign_Data[[#This Row],[COSTOS OPERACIONALES ($COP)]]*D.sign_Data[[#This Row],[DESFASE (%)]]</f>
        <v>16705.590975880896</v>
      </c>
      <c r="Z616" s="101">
        <v>0.3</v>
      </c>
      <c r="AA616" s="15">
        <f>+((D.sign_Data[[#This Row],[COSTOS OPERACIONALES ($COP)]]/(100%-D.sign_Data[[#This Row],[UTILIDAD (%)]])))-D.sign_Data[[#This Row],[COSTOS OPERACIONALES ($COP)]]</f>
        <v>47730.259931088294</v>
      </c>
      <c r="AB616" s="3">
        <f>+D.sign_Data[[#This Row],[COSTOS OPERACIONALES ($COP)]]+D.sign_Data[[#This Row],[DESFASE ($COP)]]+D.sign_Data[[#This Row],[UTILIDAD ($COP)]]</f>
        <v>175806.45741284185</v>
      </c>
      <c r="AC616" s="101">
        <v>0.05</v>
      </c>
      <c r="AD616" s="15">
        <f>+D.sign_Data[[#This Row],[VALOR NETO ($COP)]]/(100%-D.sign_Data[[#This Row],[MARGEN DE NEGOCIACIÓN (%)]])-D.sign_Data[[#This Row],[VALOR NETO ($COP)]]</f>
        <v>9252.9714427811559</v>
      </c>
      <c r="AE616" s="15">
        <f>+(D.sign_Data[[#This Row],[VALOR NETO ($COP)]]+D.sign_Data[[#This Row],[NEGOCIACIÓN ($COP)]])*1%</f>
        <v>1850.5942885562301</v>
      </c>
      <c r="AF616" s="15">
        <f>+(D.sign_Data[[#This Row],[VALOR NETO ($COP)]]+D.sign_Data[[#This Row],[NEGOCIACIÓN ($COP)]])*1%</f>
        <v>1850.5942885562301</v>
      </c>
      <c r="AG616" s="3">
        <f>+D.sign_Data[[#This Row],[VALOR NETO ($COP)]]+D.sign_Data[[#This Row],[NEGOCIACIÓN ($COP)]]+D.sign_Data[[#This Row],[ICA ($COP)]]+D.sign_Data[[#This Row],[4 * 1000 ($COP)]]</f>
        <v>188760.61743273545</v>
      </c>
    </row>
    <row r="617" spans="1:33" ht="60" hidden="1" customHeight="1" x14ac:dyDescent="0.25">
      <c r="A617" s="14"/>
      <c r="B617" s="87" t="s">
        <v>418</v>
      </c>
      <c r="C617" s="182" t="s">
        <v>885</v>
      </c>
      <c r="D617" s="189" t="str">
        <f>VLOOKUP(D.sign_Data[[#This Row],[CÓDIGO]],Descripciones[[CÓDIGO]:[NOMBRE DE SERVICIO]],3,FALSE)</f>
        <v>D2. Edificación en Altura</v>
      </c>
      <c r="E617" s="87" t="s">
        <v>497</v>
      </c>
      <c r="F617" s="88" t="s">
        <v>886</v>
      </c>
      <c r="G617" s="88" t="s">
        <v>792</v>
      </c>
      <c r="H617" s="87" t="s">
        <v>866</v>
      </c>
      <c r="I617" s="89">
        <v>1</v>
      </c>
      <c r="J617" s="88" t="s">
        <v>890</v>
      </c>
      <c r="K617" s="102"/>
      <c r="L617" s="88" t="s">
        <v>775</v>
      </c>
      <c r="M617" s="89" t="s">
        <v>381</v>
      </c>
      <c r="N617" s="90">
        <v>2</v>
      </c>
      <c r="O617" s="27">
        <f>IFERROR(+VLOOKUP(M617,D.sign_Lista_Data[[RESPONSABLE]:[SOFTWARE 
VALOR HORA]],3,FALSE),"0")</f>
        <v>20263.424518743668</v>
      </c>
      <c r="P617" s="3">
        <f t="shared" si="20"/>
        <v>40526.849037487336</v>
      </c>
      <c r="Q617" s="11">
        <f>IFERROR(+VLOOKUP(M617,D.sign_Lista_Data[[RESPONSABLE]:[SOFTWARE 
VALOR HORA]],5,FALSE)*D.sign_Data[[#This Row],[TIEMPO (HORAS)]],0)</f>
        <v>8443.0935494765272</v>
      </c>
      <c r="R617" s="11">
        <f>IFERROR(+VLOOKUP(M617,D.sign_Lista_Data[[RESPONSABLE]:[SOFTWARE 
VALOR HORA]],8,FALSE)*D.sign_Data[[#This Row],[TIEMPO (HORAS)]],0)</f>
        <v>6821.7097742879669</v>
      </c>
      <c r="S617" s="99"/>
      <c r="T617" s="99"/>
      <c r="U617" s="3">
        <f t="shared" si="21"/>
        <v>55791.652361251836</v>
      </c>
      <c r="V617" s="100">
        <f>D.sign_Data[[#This Row],[TIEMPO (HORAS)]]*Gastos_Operativos[[#Totals],[GASTOS HORA]]</f>
        <v>55578.954144620802</v>
      </c>
      <c r="W617" s="3">
        <f>+D.sign_Data[[#This Row],[COSTO 
DIRECTO ($COP)]]+D.sign_Data[[#This Row],[PRORRATEO GASTOS ($COP)]]</f>
        <v>111370.60650587264</v>
      </c>
      <c r="X617" s="101">
        <v>0.15</v>
      </c>
      <c r="Y617" s="15">
        <f>+D.sign_Data[[#This Row],[COSTOS OPERACIONALES ($COP)]]*D.sign_Data[[#This Row],[DESFASE (%)]]</f>
        <v>16705.590975880896</v>
      </c>
      <c r="Z617" s="101">
        <v>0.3</v>
      </c>
      <c r="AA617" s="15">
        <f>+((D.sign_Data[[#This Row],[COSTOS OPERACIONALES ($COP)]]/(100%-D.sign_Data[[#This Row],[UTILIDAD (%)]])))-D.sign_Data[[#This Row],[COSTOS OPERACIONALES ($COP)]]</f>
        <v>47730.259931088294</v>
      </c>
      <c r="AB617" s="3">
        <f>+D.sign_Data[[#This Row],[COSTOS OPERACIONALES ($COP)]]+D.sign_Data[[#This Row],[DESFASE ($COP)]]+D.sign_Data[[#This Row],[UTILIDAD ($COP)]]</f>
        <v>175806.45741284185</v>
      </c>
      <c r="AC617" s="101">
        <v>0.05</v>
      </c>
      <c r="AD617" s="15">
        <f>+D.sign_Data[[#This Row],[VALOR NETO ($COP)]]/(100%-D.sign_Data[[#This Row],[MARGEN DE NEGOCIACIÓN (%)]])-D.sign_Data[[#This Row],[VALOR NETO ($COP)]]</f>
        <v>9252.9714427811559</v>
      </c>
      <c r="AE617" s="15">
        <f>+(D.sign_Data[[#This Row],[VALOR NETO ($COP)]]+D.sign_Data[[#This Row],[NEGOCIACIÓN ($COP)]])*1%</f>
        <v>1850.5942885562301</v>
      </c>
      <c r="AF617" s="15">
        <f>+(D.sign_Data[[#This Row],[VALOR NETO ($COP)]]+D.sign_Data[[#This Row],[NEGOCIACIÓN ($COP)]])*1%</f>
        <v>1850.5942885562301</v>
      </c>
      <c r="AG617" s="3">
        <f>+D.sign_Data[[#This Row],[VALOR NETO ($COP)]]+D.sign_Data[[#This Row],[NEGOCIACIÓN ($COP)]]+D.sign_Data[[#This Row],[ICA ($COP)]]+D.sign_Data[[#This Row],[4 * 1000 ($COP)]]</f>
        <v>188760.61743273545</v>
      </c>
    </row>
    <row r="618" spans="1:33" ht="60" hidden="1" customHeight="1" x14ac:dyDescent="0.25">
      <c r="A618" s="14"/>
      <c r="B618" s="87" t="s">
        <v>418</v>
      </c>
      <c r="C618" s="182" t="s">
        <v>885</v>
      </c>
      <c r="D618" s="189" t="str">
        <f>VLOOKUP(D.sign_Data[[#This Row],[CÓDIGO]],Descripciones[[CÓDIGO]:[NOMBRE DE SERVICIO]],3,FALSE)</f>
        <v>D2. Edificación en Altura</v>
      </c>
      <c r="E618" s="87" t="s">
        <v>497</v>
      </c>
      <c r="F618" s="88" t="s">
        <v>886</v>
      </c>
      <c r="G618" s="88" t="s">
        <v>792</v>
      </c>
      <c r="H618" s="87" t="s">
        <v>866</v>
      </c>
      <c r="I618" s="89">
        <v>1</v>
      </c>
      <c r="J618" s="88" t="s">
        <v>890</v>
      </c>
      <c r="K618" s="102"/>
      <c r="L618" s="88" t="s">
        <v>624</v>
      </c>
      <c r="M618" s="89" t="s">
        <v>381</v>
      </c>
      <c r="N618" s="90">
        <v>2</v>
      </c>
      <c r="O618" s="27">
        <f>IFERROR(+VLOOKUP(M618,D.sign_Lista_Data[[RESPONSABLE]:[SOFTWARE 
VALOR HORA]],3,FALSE),"0")</f>
        <v>20263.424518743668</v>
      </c>
      <c r="P618" s="3">
        <f t="shared" si="20"/>
        <v>40526.849037487336</v>
      </c>
      <c r="Q618" s="11">
        <f>IFERROR(+VLOOKUP(M618,D.sign_Lista_Data[[RESPONSABLE]:[SOFTWARE 
VALOR HORA]],5,FALSE)*D.sign_Data[[#This Row],[TIEMPO (HORAS)]],0)</f>
        <v>8443.0935494765272</v>
      </c>
      <c r="R618" s="11">
        <f>IFERROR(+VLOOKUP(M618,D.sign_Lista_Data[[RESPONSABLE]:[SOFTWARE 
VALOR HORA]],8,FALSE)*D.sign_Data[[#This Row],[TIEMPO (HORAS)]],0)</f>
        <v>6821.7097742879669</v>
      </c>
      <c r="S618" s="99"/>
      <c r="T618" s="99"/>
      <c r="U618" s="3">
        <f t="shared" si="21"/>
        <v>55791.652361251836</v>
      </c>
      <c r="V618" s="100">
        <f>D.sign_Data[[#This Row],[TIEMPO (HORAS)]]*Gastos_Operativos[[#Totals],[GASTOS HORA]]</f>
        <v>55578.954144620802</v>
      </c>
      <c r="W618" s="3">
        <f>+D.sign_Data[[#This Row],[COSTO 
DIRECTO ($COP)]]+D.sign_Data[[#This Row],[PRORRATEO GASTOS ($COP)]]</f>
        <v>111370.60650587264</v>
      </c>
      <c r="X618" s="101">
        <v>0.15</v>
      </c>
      <c r="Y618" s="15">
        <f>+D.sign_Data[[#This Row],[COSTOS OPERACIONALES ($COP)]]*D.sign_Data[[#This Row],[DESFASE (%)]]</f>
        <v>16705.590975880896</v>
      </c>
      <c r="Z618" s="101">
        <v>0.3</v>
      </c>
      <c r="AA618" s="15">
        <f>+((D.sign_Data[[#This Row],[COSTOS OPERACIONALES ($COP)]]/(100%-D.sign_Data[[#This Row],[UTILIDAD (%)]])))-D.sign_Data[[#This Row],[COSTOS OPERACIONALES ($COP)]]</f>
        <v>47730.259931088294</v>
      </c>
      <c r="AB618" s="3">
        <f>+D.sign_Data[[#This Row],[COSTOS OPERACIONALES ($COP)]]+D.sign_Data[[#This Row],[DESFASE ($COP)]]+D.sign_Data[[#This Row],[UTILIDAD ($COP)]]</f>
        <v>175806.45741284185</v>
      </c>
      <c r="AC618" s="101">
        <v>0.05</v>
      </c>
      <c r="AD618" s="15">
        <f>+D.sign_Data[[#This Row],[VALOR NETO ($COP)]]/(100%-D.sign_Data[[#This Row],[MARGEN DE NEGOCIACIÓN (%)]])-D.sign_Data[[#This Row],[VALOR NETO ($COP)]]</f>
        <v>9252.9714427811559</v>
      </c>
      <c r="AE618" s="15">
        <f>+(D.sign_Data[[#This Row],[VALOR NETO ($COP)]]+D.sign_Data[[#This Row],[NEGOCIACIÓN ($COP)]])*1%</f>
        <v>1850.5942885562301</v>
      </c>
      <c r="AF618" s="15">
        <f>+(D.sign_Data[[#This Row],[VALOR NETO ($COP)]]+D.sign_Data[[#This Row],[NEGOCIACIÓN ($COP)]])*1%</f>
        <v>1850.5942885562301</v>
      </c>
      <c r="AG618" s="3">
        <f>+D.sign_Data[[#This Row],[VALOR NETO ($COP)]]+D.sign_Data[[#This Row],[NEGOCIACIÓN ($COP)]]+D.sign_Data[[#This Row],[ICA ($COP)]]+D.sign_Data[[#This Row],[4 * 1000 ($COP)]]</f>
        <v>188760.61743273545</v>
      </c>
    </row>
    <row r="619" spans="1:33" ht="60" hidden="1" customHeight="1" x14ac:dyDescent="0.25">
      <c r="A619" s="14"/>
      <c r="B619" s="87" t="s">
        <v>418</v>
      </c>
      <c r="C619" s="182" t="s">
        <v>885</v>
      </c>
      <c r="D619" s="189" t="str">
        <f>VLOOKUP(D.sign_Data[[#This Row],[CÓDIGO]],Descripciones[[CÓDIGO]:[NOMBRE DE SERVICIO]],3,FALSE)</f>
        <v>D2. Edificación en Altura</v>
      </c>
      <c r="E619" s="87" t="s">
        <v>497</v>
      </c>
      <c r="F619" s="88" t="s">
        <v>886</v>
      </c>
      <c r="G619" s="88" t="s">
        <v>792</v>
      </c>
      <c r="H619" s="87" t="s">
        <v>866</v>
      </c>
      <c r="I619" s="89">
        <v>1</v>
      </c>
      <c r="J619" s="88" t="s">
        <v>890</v>
      </c>
      <c r="K619" s="102"/>
      <c r="L619" s="88" t="s">
        <v>771</v>
      </c>
      <c r="M619" s="89" t="s">
        <v>381</v>
      </c>
      <c r="N619" s="90">
        <v>5</v>
      </c>
      <c r="O619" s="27">
        <f>IFERROR(+VLOOKUP(M619,D.sign_Lista_Data[[RESPONSABLE]:[SOFTWARE 
VALOR HORA]],3,FALSE),"0")</f>
        <v>20263.424518743668</v>
      </c>
      <c r="P619" s="3">
        <f t="shared" si="20"/>
        <v>101317.12259371835</v>
      </c>
      <c r="Q619" s="11">
        <f>IFERROR(+VLOOKUP(M619,D.sign_Lista_Data[[RESPONSABLE]:[SOFTWARE 
VALOR HORA]],5,FALSE)*D.sign_Data[[#This Row],[TIEMPO (HORAS)]],0)</f>
        <v>21107.733873691319</v>
      </c>
      <c r="R619" s="11">
        <f>IFERROR(+VLOOKUP(M619,D.sign_Lista_Data[[RESPONSABLE]:[SOFTWARE 
VALOR HORA]],8,FALSE)*D.sign_Data[[#This Row],[TIEMPO (HORAS)]],0)</f>
        <v>17054.274435719919</v>
      </c>
      <c r="S619" s="99"/>
      <c r="T619" s="99"/>
      <c r="U619" s="3">
        <f t="shared" si="21"/>
        <v>139479.13090312958</v>
      </c>
      <c r="V619" s="100">
        <f>D.sign_Data[[#This Row],[TIEMPO (HORAS)]]*Gastos_Operativos[[#Totals],[GASTOS HORA]]</f>
        <v>138947.38536155201</v>
      </c>
      <c r="W619" s="3">
        <f>+D.sign_Data[[#This Row],[COSTO 
DIRECTO ($COP)]]+D.sign_Data[[#This Row],[PRORRATEO GASTOS ($COP)]]</f>
        <v>278426.51626468159</v>
      </c>
      <c r="X619" s="101">
        <v>0.15</v>
      </c>
      <c r="Y619" s="15">
        <f>+D.sign_Data[[#This Row],[COSTOS OPERACIONALES ($COP)]]*D.sign_Data[[#This Row],[DESFASE (%)]]</f>
        <v>41763.977439702234</v>
      </c>
      <c r="Z619" s="101">
        <v>0.3</v>
      </c>
      <c r="AA619" s="15">
        <f>+((D.sign_Data[[#This Row],[COSTOS OPERACIONALES ($COP)]]/(100%-D.sign_Data[[#This Row],[UTILIDAD (%)]])))-D.sign_Data[[#This Row],[COSTOS OPERACIONALES ($COP)]]</f>
        <v>119325.64982772071</v>
      </c>
      <c r="AB619" s="3">
        <f>+D.sign_Data[[#This Row],[COSTOS OPERACIONALES ($COP)]]+D.sign_Data[[#This Row],[DESFASE ($COP)]]+D.sign_Data[[#This Row],[UTILIDAD ($COP)]]</f>
        <v>439516.14353210456</v>
      </c>
      <c r="AC619" s="101">
        <v>0.05</v>
      </c>
      <c r="AD619" s="15">
        <f>+D.sign_Data[[#This Row],[VALOR NETO ($COP)]]/(100%-D.sign_Data[[#This Row],[MARGEN DE NEGOCIACIÓN (%)]])-D.sign_Data[[#This Row],[VALOR NETO ($COP)]]</f>
        <v>23132.42860695289</v>
      </c>
      <c r="AE619" s="15">
        <f>+(D.sign_Data[[#This Row],[VALOR NETO ($COP)]]+D.sign_Data[[#This Row],[NEGOCIACIÓN ($COP)]])*1%</f>
        <v>4626.4857213905743</v>
      </c>
      <c r="AF619" s="15">
        <f>+(D.sign_Data[[#This Row],[VALOR NETO ($COP)]]+D.sign_Data[[#This Row],[NEGOCIACIÓN ($COP)]])*1%</f>
        <v>4626.4857213905743</v>
      </c>
      <c r="AG619" s="3">
        <f>+D.sign_Data[[#This Row],[VALOR NETO ($COP)]]+D.sign_Data[[#This Row],[NEGOCIACIÓN ($COP)]]+D.sign_Data[[#This Row],[ICA ($COP)]]+D.sign_Data[[#This Row],[4 * 1000 ($COP)]]</f>
        <v>471901.5435818386</v>
      </c>
    </row>
    <row r="620" spans="1:33" ht="60" hidden="1" customHeight="1" x14ac:dyDescent="0.25">
      <c r="A620" s="14"/>
      <c r="B620" s="87" t="s">
        <v>418</v>
      </c>
      <c r="C620" s="182" t="s">
        <v>885</v>
      </c>
      <c r="D620" s="189" t="str">
        <f>VLOOKUP(D.sign_Data[[#This Row],[CÓDIGO]],Descripciones[[CÓDIGO]:[NOMBRE DE SERVICIO]],3,FALSE)</f>
        <v>D2. Edificación en Altura</v>
      </c>
      <c r="E620" s="87" t="s">
        <v>497</v>
      </c>
      <c r="F620" s="88" t="s">
        <v>886</v>
      </c>
      <c r="G620" s="88" t="s">
        <v>792</v>
      </c>
      <c r="H620" s="87" t="s">
        <v>866</v>
      </c>
      <c r="I620" s="89">
        <v>1</v>
      </c>
      <c r="J620" s="88" t="s">
        <v>890</v>
      </c>
      <c r="K620" s="102"/>
      <c r="L620" s="88" t="s">
        <v>483</v>
      </c>
      <c r="M620" s="89" t="s">
        <v>381</v>
      </c>
      <c r="N620" s="90">
        <v>1</v>
      </c>
      <c r="O620" s="27">
        <f>IFERROR(+VLOOKUP(M620,D.sign_Lista_Data[[RESPONSABLE]:[SOFTWARE 
VALOR HORA]],3,FALSE),"0")</f>
        <v>20263.424518743668</v>
      </c>
      <c r="P620" s="3">
        <f t="shared" si="20"/>
        <v>20263.424518743668</v>
      </c>
      <c r="Q620" s="11">
        <f>IFERROR(+VLOOKUP(M620,D.sign_Lista_Data[[RESPONSABLE]:[SOFTWARE 
VALOR HORA]],5,FALSE)*D.sign_Data[[#This Row],[TIEMPO (HORAS)]],0)</f>
        <v>4221.5467747382636</v>
      </c>
      <c r="R620" s="11">
        <f>IFERROR(+VLOOKUP(M620,D.sign_Lista_Data[[RESPONSABLE]:[SOFTWARE 
VALOR HORA]],8,FALSE)*D.sign_Data[[#This Row],[TIEMPO (HORAS)]],0)</f>
        <v>3410.8548871439834</v>
      </c>
      <c r="S620" s="99"/>
      <c r="T620" s="99"/>
      <c r="U620" s="3">
        <f t="shared" si="21"/>
        <v>27895.826180625918</v>
      </c>
      <c r="V620" s="100">
        <f>D.sign_Data[[#This Row],[TIEMPO (HORAS)]]*Gastos_Operativos[[#Totals],[GASTOS HORA]]</f>
        <v>27789.477072310401</v>
      </c>
      <c r="W620" s="3">
        <f>+D.sign_Data[[#This Row],[COSTO 
DIRECTO ($COP)]]+D.sign_Data[[#This Row],[PRORRATEO GASTOS ($COP)]]</f>
        <v>55685.303252936319</v>
      </c>
      <c r="X620" s="101">
        <v>0.15</v>
      </c>
      <c r="Y620" s="15">
        <f>+D.sign_Data[[#This Row],[COSTOS OPERACIONALES ($COP)]]*D.sign_Data[[#This Row],[DESFASE (%)]]</f>
        <v>8352.7954879404479</v>
      </c>
      <c r="Z620" s="101">
        <v>0.3</v>
      </c>
      <c r="AA620" s="15">
        <f>+((D.sign_Data[[#This Row],[COSTOS OPERACIONALES ($COP)]]/(100%-D.sign_Data[[#This Row],[UTILIDAD (%)]])))-D.sign_Data[[#This Row],[COSTOS OPERACIONALES ($COP)]]</f>
        <v>23865.129965544147</v>
      </c>
      <c r="AB620" s="3">
        <f>+D.sign_Data[[#This Row],[COSTOS OPERACIONALES ($COP)]]+D.sign_Data[[#This Row],[DESFASE ($COP)]]+D.sign_Data[[#This Row],[UTILIDAD ($COP)]]</f>
        <v>87903.228706420923</v>
      </c>
      <c r="AC620" s="101">
        <v>0.05</v>
      </c>
      <c r="AD620" s="15">
        <f>+D.sign_Data[[#This Row],[VALOR NETO ($COP)]]/(100%-D.sign_Data[[#This Row],[MARGEN DE NEGOCIACIÓN (%)]])-D.sign_Data[[#This Row],[VALOR NETO ($COP)]]</f>
        <v>4626.485721390578</v>
      </c>
      <c r="AE620" s="15">
        <f>+(D.sign_Data[[#This Row],[VALOR NETO ($COP)]]+D.sign_Data[[#This Row],[NEGOCIACIÓN ($COP)]])*1%</f>
        <v>925.29714427811507</v>
      </c>
      <c r="AF620" s="15">
        <f>+(D.sign_Data[[#This Row],[VALOR NETO ($COP)]]+D.sign_Data[[#This Row],[NEGOCIACIÓN ($COP)]])*1%</f>
        <v>925.29714427811507</v>
      </c>
      <c r="AG620" s="3">
        <f>+D.sign_Data[[#This Row],[VALOR NETO ($COP)]]+D.sign_Data[[#This Row],[NEGOCIACIÓN ($COP)]]+D.sign_Data[[#This Row],[ICA ($COP)]]+D.sign_Data[[#This Row],[4 * 1000 ($COP)]]</f>
        <v>94380.308716367726</v>
      </c>
    </row>
    <row r="621" spans="1:33" ht="60" hidden="1" customHeight="1" x14ac:dyDescent="0.25">
      <c r="A621" s="14"/>
      <c r="B621" s="87" t="s">
        <v>418</v>
      </c>
      <c r="C621" s="182" t="s">
        <v>885</v>
      </c>
      <c r="D621" s="189" t="str">
        <f>VLOOKUP(D.sign_Data[[#This Row],[CÓDIGO]],Descripciones[[CÓDIGO]:[NOMBRE DE SERVICIO]],3,FALSE)</f>
        <v>D2. Edificación en Altura</v>
      </c>
      <c r="E621" s="87" t="s">
        <v>497</v>
      </c>
      <c r="F621" s="88" t="s">
        <v>886</v>
      </c>
      <c r="G621" s="88" t="s">
        <v>792</v>
      </c>
      <c r="H621" s="87" t="s">
        <v>866</v>
      </c>
      <c r="I621" s="89">
        <v>1</v>
      </c>
      <c r="J621" s="88" t="s">
        <v>890</v>
      </c>
      <c r="K621" s="102"/>
      <c r="L621" s="88" t="s">
        <v>474</v>
      </c>
      <c r="M621" s="89" t="s">
        <v>381</v>
      </c>
      <c r="N621" s="90">
        <v>1</v>
      </c>
      <c r="O621" s="27">
        <f>IFERROR(+VLOOKUP(M621,D.sign_Lista_Data[[RESPONSABLE]:[SOFTWARE 
VALOR HORA]],3,FALSE),"0")</f>
        <v>20263.424518743668</v>
      </c>
      <c r="P621" s="3">
        <f t="shared" ref="P621:P684" si="22">+O621*N621</f>
        <v>20263.424518743668</v>
      </c>
      <c r="Q621" s="11">
        <f>IFERROR(+VLOOKUP(M621,D.sign_Lista_Data[[RESPONSABLE]:[SOFTWARE 
VALOR HORA]],5,FALSE)*D.sign_Data[[#This Row],[TIEMPO (HORAS)]],0)</f>
        <v>4221.5467747382636</v>
      </c>
      <c r="R621" s="11">
        <f>IFERROR(+VLOOKUP(M621,D.sign_Lista_Data[[RESPONSABLE]:[SOFTWARE 
VALOR HORA]],8,FALSE)*D.sign_Data[[#This Row],[TIEMPO (HORAS)]],0)</f>
        <v>3410.8548871439834</v>
      </c>
      <c r="S621" s="99"/>
      <c r="T621" s="99"/>
      <c r="U621" s="3">
        <f t="shared" ref="U621:U684" si="23">SUM(P621:T621)</f>
        <v>27895.826180625918</v>
      </c>
      <c r="V621" s="100">
        <f>D.sign_Data[[#This Row],[TIEMPO (HORAS)]]*Gastos_Operativos[[#Totals],[GASTOS HORA]]</f>
        <v>27789.477072310401</v>
      </c>
      <c r="W621" s="3">
        <f>+D.sign_Data[[#This Row],[COSTO 
DIRECTO ($COP)]]+D.sign_Data[[#This Row],[PRORRATEO GASTOS ($COP)]]</f>
        <v>55685.303252936319</v>
      </c>
      <c r="X621" s="101">
        <v>0.15</v>
      </c>
      <c r="Y621" s="15">
        <f>+D.sign_Data[[#This Row],[COSTOS OPERACIONALES ($COP)]]*D.sign_Data[[#This Row],[DESFASE (%)]]</f>
        <v>8352.7954879404479</v>
      </c>
      <c r="Z621" s="101">
        <v>0.3</v>
      </c>
      <c r="AA621" s="15">
        <f>+((D.sign_Data[[#This Row],[COSTOS OPERACIONALES ($COP)]]/(100%-D.sign_Data[[#This Row],[UTILIDAD (%)]])))-D.sign_Data[[#This Row],[COSTOS OPERACIONALES ($COP)]]</f>
        <v>23865.129965544147</v>
      </c>
      <c r="AB621" s="3">
        <f>+D.sign_Data[[#This Row],[COSTOS OPERACIONALES ($COP)]]+D.sign_Data[[#This Row],[DESFASE ($COP)]]+D.sign_Data[[#This Row],[UTILIDAD ($COP)]]</f>
        <v>87903.228706420923</v>
      </c>
      <c r="AC621" s="101">
        <v>0.05</v>
      </c>
      <c r="AD621" s="15">
        <f>+D.sign_Data[[#This Row],[VALOR NETO ($COP)]]/(100%-D.sign_Data[[#This Row],[MARGEN DE NEGOCIACIÓN (%)]])-D.sign_Data[[#This Row],[VALOR NETO ($COP)]]</f>
        <v>4626.485721390578</v>
      </c>
      <c r="AE621" s="15">
        <f>+(D.sign_Data[[#This Row],[VALOR NETO ($COP)]]+D.sign_Data[[#This Row],[NEGOCIACIÓN ($COP)]])*1%</f>
        <v>925.29714427811507</v>
      </c>
      <c r="AF621" s="15">
        <f>+(D.sign_Data[[#This Row],[VALOR NETO ($COP)]]+D.sign_Data[[#This Row],[NEGOCIACIÓN ($COP)]])*1%</f>
        <v>925.29714427811507</v>
      </c>
      <c r="AG621" s="3">
        <f>+D.sign_Data[[#This Row],[VALOR NETO ($COP)]]+D.sign_Data[[#This Row],[NEGOCIACIÓN ($COP)]]+D.sign_Data[[#This Row],[ICA ($COP)]]+D.sign_Data[[#This Row],[4 * 1000 ($COP)]]</f>
        <v>94380.308716367726</v>
      </c>
    </row>
    <row r="622" spans="1:33" ht="60" hidden="1" customHeight="1" x14ac:dyDescent="0.25">
      <c r="A622" s="14"/>
      <c r="B622" s="87" t="s">
        <v>418</v>
      </c>
      <c r="C622" s="182" t="s">
        <v>885</v>
      </c>
      <c r="D622" s="189" t="str">
        <f>VLOOKUP(D.sign_Data[[#This Row],[CÓDIGO]],Descripciones[[CÓDIGO]:[NOMBRE DE SERVICIO]],3,FALSE)</f>
        <v>D2. Edificación en Altura</v>
      </c>
      <c r="E622" s="87" t="s">
        <v>497</v>
      </c>
      <c r="F622" s="88" t="s">
        <v>886</v>
      </c>
      <c r="G622" s="88" t="s">
        <v>792</v>
      </c>
      <c r="H622" s="87" t="s">
        <v>866</v>
      </c>
      <c r="I622" s="89">
        <v>1</v>
      </c>
      <c r="J622" s="88" t="s">
        <v>891</v>
      </c>
      <c r="K622" s="102"/>
      <c r="L622" s="88" t="s">
        <v>777</v>
      </c>
      <c r="M622" s="89" t="s">
        <v>381</v>
      </c>
      <c r="N622" s="90">
        <v>1</v>
      </c>
      <c r="O622" s="27">
        <f>IFERROR(+VLOOKUP(M622,D.sign_Lista_Data[[RESPONSABLE]:[SOFTWARE 
VALOR HORA]],3,FALSE),"0")</f>
        <v>20263.424518743668</v>
      </c>
      <c r="P622" s="3">
        <f t="shared" si="22"/>
        <v>20263.424518743668</v>
      </c>
      <c r="Q622" s="11">
        <f>IFERROR(+VLOOKUP(M622,D.sign_Lista_Data[[RESPONSABLE]:[SOFTWARE 
VALOR HORA]],5,FALSE)*D.sign_Data[[#This Row],[TIEMPO (HORAS)]],0)</f>
        <v>4221.5467747382636</v>
      </c>
      <c r="R622" s="11">
        <f>IFERROR(+VLOOKUP(M622,D.sign_Lista_Data[[RESPONSABLE]:[SOFTWARE 
VALOR HORA]],8,FALSE)*D.sign_Data[[#This Row],[TIEMPO (HORAS)]],0)</f>
        <v>3410.8548871439834</v>
      </c>
      <c r="S622" s="99"/>
      <c r="T622" s="99"/>
      <c r="U622" s="3">
        <f t="shared" si="23"/>
        <v>27895.826180625918</v>
      </c>
      <c r="V622" s="100">
        <f>D.sign_Data[[#This Row],[TIEMPO (HORAS)]]*Gastos_Operativos[[#Totals],[GASTOS HORA]]</f>
        <v>27789.477072310401</v>
      </c>
      <c r="W622" s="3">
        <f>+D.sign_Data[[#This Row],[COSTO 
DIRECTO ($COP)]]+D.sign_Data[[#This Row],[PRORRATEO GASTOS ($COP)]]</f>
        <v>55685.303252936319</v>
      </c>
      <c r="X622" s="101">
        <v>0.15</v>
      </c>
      <c r="Y622" s="15">
        <f>+D.sign_Data[[#This Row],[COSTOS OPERACIONALES ($COP)]]*D.sign_Data[[#This Row],[DESFASE (%)]]</f>
        <v>8352.7954879404479</v>
      </c>
      <c r="Z622" s="101">
        <v>0.3</v>
      </c>
      <c r="AA622" s="15">
        <f>+((D.sign_Data[[#This Row],[COSTOS OPERACIONALES ($COP)]]/(100%-D.sign_Data[[#This Row],[UTILIDAD (%)]])))-D.sign_Data[[#This Row],[COSTOS OPERACIONALES ($COP)]]</f>
        <v>23865.129965544147</v>
      </c>
      <c r="AB622" s="3">
        <f>+D.sign_Data[[#This Row],[COSTOS OPERACIONALES ($COP)]]+D.sign_Data[[#This Row],[DESFASE ($COP)]]+D.sign_Data[[#This Row],[UTILIDAD ($COP)]]</f>
        <v>87903.228706420923</v>
      </c>
      <c r="AC622" s="101">
        <v>0.05</v>
      </c>
      <c r="AD622" s="15">
        <f>+D.sign_Data[[#This Row],[VALOR NETO ($COP)]]/(100%-D.sign_Data[[#This Row],[MARGEN DE NEGOCIACIÓN (%)]])-D.sign_Data[[#This Row],[VALOR NETO ($COP)]]</f>
        <v>4626.485721390578</v>
      </c>
      <c r="AE622" s="15">
        <f>+(D.sign_Data[[#This Row],[VALOR NETO ($COP)]]+D.sign_Data[[#This Row],[NEGOCIACIÓN ($COP)]])*1%</f>
        <v>925.29714427811507</v>
      </c>
      <c r="AF622" s="15">
        <f>+(D.sign_Data[[#This Row],[VALOR NETO ($COP)]]+D.sign_Data[[#This Row],[NEGOCIACIÓN ($COP)]])*1%</f>
        <v>925.29714427811507</v>
      </c>
      <c r="AG622" s="3">
        <f>+D.sign_Data[[#This Row],[VALOR NETO ($COP)]]+D.sign_Data[[#This Row],[NEGOCIACIÓN ($COP)]]+D.sign_Data[[#This Row],[ICA ($COP)]]+D.sign_Data[[#This Row],[4 * 1000 ($COP)]]</f>
        <v>94380.308716367726</v>
      </c>
    </row>
    <row r="623" spans="1:33" ht="60" hidden="1" customHeight="1" x14ac:dyDescent="0.25">
      <c r="A623" s="14"/>
      <c r="B623" s="87" t="s">
        <v>418</v>
      </c>
      <c r="C623" s="182" t="s">
        <v>885</v>
      </c>
      <c r="D623" s="189" t="str">
        <f>VLOOKUP(D.sign_Data[[#This Row],[CÓDIGO]],Descripciones[[CÓDIGO]:[NOMBRE DE SERVICIO]],3,FALSE)</f>
        <v>D2. Edificación en Altura</v>
      </c>
      <c r="E623" s="87" t="s">
        <v>497</v>
      </c>
      <c r="F623" s="88" t="s">
        <v>886</v>
      </c>
      <c r="G623" s="88" t="s">
        <v>792</v>
      </c>
      <c r="H623" s="87" t="s">
        <v>866</v>
      </c>
      <c r="I623" s="89">
        <v>1</v>
      </c>
      <c r="J623" s="88" t="s">
        <v>891</v>
      </c>
      <c r="K623" s="102"/>
      <c r="L623" s="88" t="s">
        <v>778</v>
      </c>
      <c r="M623" s="89" t="s">
        <v>381</v>
      </c>
      <c r="N623" s="90">
        <v>1</v>
      </c>
      <c r="O623" s="27">
        <f>IFERROR(+VLOOKUP(M623,D.sign_Lista_Data[[RESPONSABLE]:[SOFTWARE 
VALOR HORA]],3,FALSE),"0")</f>
        <v>20263.424518743668</v>
      </c>
      <c r="P623" s="3">
        <f t="shared" si="22"/>
        <v>20263.424518743668</v>
      </c>
      <c r="Q623" s="11">
        <f>IFERROR(+VLOOKUP(M623,D.sign_Lista_Data[[RESPONSABLE]:[SOFTWARE 
VALOR HORA]],5,FALSE)*D.sign_Data[[#This Row],[TIEMPO (HORAS)]],0)</f>
        <v>4221.5467747382636</v>
      </c>
      <c r="R623" s="11">
        <f>IFERROR(+VLOOKUP(M623,D.sign_Lista_Data[[RESPONSABLE]:[SOFTWARE 
VALOR HORA]],8,FALSE)*D.sign_Data[[#This Row],[TIEMPO (HORAS)]],0)</f>
        <v>3410.8548871439834</v>
      </c>
      <c r="S623" s="99"/>
      <c r="T623" s="99"/>
      <c r="U623" s="3">
        <f t="shared" si="23"/>
        <v>27895.826180625918</v>
      </c>
      <c r="V623" s="100">
        <f>D.sign_Data[[#This Row],[TIEMPO (HORAS)]]*Gastos_Operativos[[#Totals],[GASTOS HORA]]</f>
        <v>27789.477072310401</v>
      </c>
      <c r="W623" s="3">
        <f>+D.sign_Data[[#This Row],[COSTO 
DIRECTO ($COP)]]+D.sign_Data[[#This Row],[PRORRATEO GASTOS ($COP)]]</f>
        <v>55685.303252936319</v>
      </c>
      <c r="X623" s="101">
        <v>0.15</v>
      </c>
      <c r="Y623" s="15">
        <f>+D.sign_Data[[#This Row],[COSTOS OPERACIONALES ($COP)]]*D.sign_Data[[#This Row],[DESFASE (%)]]</f>
        <v>8352.7954879404479</v>
      </c>
      <c r="Z623" s="101">
        <v>0.3</v>
      </c>
      <c r="AA623" s="15">
        <f>+((D.sign_Data[[#This Row],[COSTOS OPERACIONALES ($COP)]]/(100%-D.sign_Data[[#This Row],[UTILIDAD (%)]])))-D.sign_Data[[#This Row],[COSTOS OPERACIONALES ($COP)]]</f>
        <v>23865.129965544147</v>
      </c>
      <c r="AB623" s="3">
        <f>+D.sign_Data[[#This Row],[COSTOS OPERACIONALES ($COP)]]+D.sign_Data[[#This Row],[DESFASE ($COP)]]+D.sign_Data[[#This Row],[UTILIDAD ($COP)]]</f>
        <v>87903.228706420923</v>
      </c>
      <c r="AC623" s="101">
        <v>0.05</v>
      </c>
      <c r="AD623" s="15">
        <f>+D.sign_Data[[#This Row],[VALOR NETO ($COP)]]/(100%-D.sign_Data[[#This Row],[MARGEN DE NEGOCIACIÓN (%)]])-D.sign_Data[[#This Row],[VALOR NETO ($COP)]]</f>
        <v>4626.485721390578</v>
      </c>
      <c r="AE623" s="15">
        <f>+(D.sign_Data[[#This Row],[VALOR NETO ($COP)]]+D.sign_Data[[#This Row],[NEGOCIACIÓN ($COP)]])*1%</f>
        <v>925.29714427811507</v>
      </c>
      <c r="AF623" s="15">
        <f>+(D.sign_Data[[#This Row],[VALOR NETO ($COP)]]+D.sign_Data[[#This Row],[NEGOCIACIÓN ($COP)]])*1%</f>
        <v>925.29714427811507</v>
      </c>
      <c r="AG623" s="3">
        <f>+D.sign_Data[[#This Row],[VALOR NETO ($COP)]]+D.sign_Data[[#This Row],[NEGOCIACIÓN ($COP)]]+D.sign_Data[[#This Row],[ICA ($COP)]]+D.sign_Data[[#This Row],[4 * 1000 ($COP)]]</f>
        <v>94380.308716367726</v>
      </c>
    </row>
    <row r="624" spans="1:33" ht="60" hidden="1" customHeight="1" x14ac:dyDescent="0.25">
      <c r="A624" s="14"/>
      <c r="B624" s="87" t="s">
        <v>418</v>
      </c>
      <c r="C624" s="182" t="s">
        <v>885</v>
      </c>
      <c r="D624" s="189" t="str">
        <f>VLOOKUP(D.sign_Data[[#This Row],[CÓDIGO]],Descripciones[[CÓDIGO]:[NOMBRE DE SERVICIO]],3,FALSE)</f>
        <v>D2. Edificación en Altura</v>
      </c>
      <c r="E624" s="87" t="s">
        <v>497</v>
      </c>
      <c r="F624" s="88" t="s">
        <v>886</v>
      </c>
      <c r="G624" s="88" t="s">
        <v>792</v>
      </c>
      <c r="H624" s="87" t="s">
        <v>866</v>
      </c>
      <c r="I624" s="89">
        <v>1</v>
      </c>
      <c r="J624" s="88" t="s">
        <v>891</v>
      </c>
      <c r="K624" s="102"/>
      <c r="L624" s="88" t="s">
        <v>779</v>
      </c>
      <c r="M624" s="89" t="s">
        <v>381</v>
      </c>
      <c r="N624" s="90">
        <v>4</v>
      </c>
      <c r="O624" s="27">
        <f>IFERROR(+VLOOKUP(M624,D.sign_Lista_Data[[RESPONSABLE]:[SOFTWARE 
VALOR HORA]],3,FALSE),"0")</f>
        <v>20263.424518743668</v>
      </c>
      <c r="P624" s="3">
        <f t="shared" si="22"/>
        <v>81053.698074974673</v>
      </c>
      <c r="Q624" s="11">
        <f>IFERROR(+VLOOKUP(M624,D.sign_Lista_Data[[RESPONSABLE]:[SOFTWARE 
VALOR HORA]],5,FALSE)*D.sign_Data[[#This Row],[TIEMPO (HORAS)]],0)</f>
        <v>16886.187098953054</v>
      </c>
      <c r="R624" s="11">
        <f>IFERROR(+VLOOKUP(M624,D.sign_Lista_Data[[RESPONSABLE]:[SOFTWARE 
VALOR HORA]],8,FALSE)*D.sign_Data[[#This Row],[TIEMPO (HORAS)]],0)</f>
        <v>13643.419548575934</v>
      </c>
      <c r="S624" s="99"/>
      <c r="T624" s="99"/>
      <c r="U624" s="3">
        <f t="shared" si="23"/>
        <v>111583.30472250367</v>
      </c>
      <c r="V624" s="100">
        <f>D.sign_Data[[#This Row],[TIEMPO (HORAS)]]*Gastos_Operativos[[#Totals],[GASTOS HORA]]</f>
        <v>111157.9082892416</v>
      </c>
      <c r="W624" s="3">
        <f>+D.sign_Data[[#This Row],[COSTO 
DIRECTO ($COP)]]+D.sign_Data[[#This Row],[PRORRATEO GASTOS ($COP)]]</f>
        <v>222741.21301174528</v>
      </c>
      <c r="X624" s="101">
        <v>0.15</v>
      </c>
      <c r="Y624" s="15">
        <f>+D.sign_Data[[#This Row],[COSTOS OPERACIONALES ($COP)]]*D.sign_Data[[#This Row],[DESFASE (%)]]</f>
        <v>33411.181951761791</v>
      </c>
      <c r="Z624" s="101">
        <v>0.3</v>
      </c>
      <c r="AA624" s="15">
        <f>+((D.sign_Data[[#This Row],[COSTOS OPERACIONALES ($COP)]]/(100%-D.sign_Data[[#This Row],[UTILIDAD (%)]])))-D.sign_Data[[#This Row],[COSTOS OPERACIONALES ($COP)]]</f>
        <v>95460.519862176589</v>
      </c>
      <c r="AB624" s="3">
        <f>+D.sign_Data[[#This Row],[COSTOS OPERACIONALES ($COP)]]+D.sign_Data[[#This Row],[DESFASE ($COP)]]+D.sign_Data[[#This Row],[UTILIDAD ($COP)]]</f>
        <v>351612.91482568369</v>
      </c>
      <c r="AC624" s="101">
        <v>0.05</v>
      </c>
      <c r="AD624" s="15">
        <f>+D.sign_Data[[#This Row],[VALOR NETO ($COP)]]/(100%-D.sign_Data[[#This Row],[MARGEN DE NEGOCIACIÓN (%)]])-D.sign_Data[[#This Row],[VALOR NETO ($COP)]]</f>
        <v>18505.942885562312</v>
      </c>
      <c r="AE624" s="15">
        <f>+(D.sign_Data[[#This Row],[VALOR NETO ($COP)]]+D.sign_Data[[#This Row],[NEGOCIACIÓN ($COP)]])*1%</f>
        <v>3701.1885771124603</v>
      </c>
      <c r="AF624" s="15">
        <f>+(D.sign_Data[[#This Row],[VALOR NETO ($COP)]]+D.sign_Data[[#This Row],[NEGOCIACIÓN ($COP)]])*1%</f>
        <v>3701.1885771124603</v>
      </c>
      <c r="AG624" s="3">
        <f>+D.sign_Data[[#This Row],[VALOR NETO ($COP)]]+D.sign_Data[[#This Row],[NEGOCIACIÓN ($COP)]]+D.sign_Data[[#This Row],[ICA ($COP)]]+D.sign_Data[[#This Row],[4 * 1000 ($COP)]]</f>
        <v>377521.23486547091</v>
      </c>
    </row>
    <row r="625" spans="1:33" ht="60" hidden="1" customHeight="1" x14ac:dyDescent="0.25">
      <c r="A625" s="14"/>
      <c r="B625" s="87" t="s">
        <v>418</v>
      </c>
      <c r="C625" s="182" t="s">
        <v>885</v>
      </c>
      <c r="D625" s="189" t="str">
        <f>VLOOKUP(D.sign_Data[[#This Row],[CÓDIGO]],Descripciones[[CÓDIGO]:[NOMBRE DE SERVICIO]],3,FALSE)</f>
        <v>D2. Edificación en Altura</v>
      </c>
      <c r="E625" s="87" t="s">
        <v>497</v>
      </c>
      <c r="F625" s="88" t="s">
        <v>886</v>
      </c>
      <c r="G625" s="88" t="s">
        <v>792</v>
      </c>
      <c r="H625" s="87" t="s">
        <v>866</v>
      </c>
      <c r="I625" s="89">
        <v>1</v>
      </c>
      <c r="J625" s="88" t="s">
        <v>891</v>
      </c>
      <c r="K625" s="102"/>
      <c r="L625" s="88" t="s">
        <v>624</v>
      </c>
      <c r="M625" s="89" t="s">
        <v>381</v>
      </c>
      <c r="N625" s="90">
        <v>2</v>
      </c>
      <c r="O625" s="27">
        <f>IFERROR(+VLOOKUP(M625,D.sign_Lista_Data[[RESPONSABLE]:[SOFTWARE 
VALOR HORA]],3,FALSE),"0")</f>
        <v>20263.424518743668</v>
      </c>
      <c r="P625" s="3">
        <f t="shared" si="22"/>
        <v>40526.849037487336</v>
      </c>
      <c r="Q625" s="11">
        <f>IFERROR(+VLOOKUP(M625,D.sign_Lista_Data[[RESPONSABLE]:[SOFTWARE 
VALOR HORA]],5,FALSE)*D.sign_Data[[#This Row],[TIEMPO (HORAS)]],0)</f>
        <v>8443.0935494765272</v>
      </c>
      <c r="R625" s="11">
        <f>IFERROR(+VLOOKUP(M625,D.sign_Lista_Data[[RESPONSABLE]:[SOFTWARE 
VALOR HORA]],8,FALSE)*D.sign_Data[[#This Row],[TIEMPO (HORAS)]],0)</f>
        <v>6821.7097742879669</v>
      </c>
      <c r="S625" s="99"/>
      <c r="T625" s="99"/>
      <c r="U625" s="3">
        <f t="shared" si="23"/>
        <v>55791.652361251836</v>
      </c>
      <c r="V625" s="100">
        <f>D.sign_Data[[#This Row],[TIEMPO (HORAS)]]*Gastos_Operativos[[#Totals],[GASTOS HORA]]</f>
        <v>55578.954144620802</v>
      </c>
      <c r="W625" s="3">
        <f>+D.sign_Data[[#This Row],[COSTO 
DIRECTO ($COP)]]+D.sign_Data[[#This Row],[PRORRATEO GASTOS ($COP)]]</f>
        <v>111370.60650587264</v>
      </c>
      <c r="X625" s="101">
        <v>0.15</v>
      </c>
      <c r="Y625" s="15">
        <f>+D.sign_Data[[#This Row],[COSTOS OPERACIONALES ($COP)]]*D.sign_Data[[#This Row],[DESFASE (%)]]</f>
        <v>16705.590975880896</v>
      </c>
      <c r="Z625" s="101">
        <v>0.3</v>
      </c>
      <c r="AA625" s="15">
        <f>+((D.sign_Data[[#This Row],[COSTOS OPERACIONALES ($COP)]]/(100%-D.sign_Data[[#This Row],[UTILIDAD (%)]])))-D.sign_Data[[#This Row],[COSTOS OPERACIONALES ($COP)]]</f>
        <v>47730.259931088294</v>
      </c>
      <c r="AB625" s="3">
        <f>+D.sign_Data[[#This Row],[COSTOS OPERACIONALES ($COP)]]+D.sign_Data[[#This Row],[DESFASE ($COP)]]+D.sign_Data[[#This Row],[UTILIDAD ($COP)]]</f>
        <v>175806.45741284185</v>
      </c>
      <c r="AC625" s="101">
        <v>0.05</v>
      </c>
      <c r="AD625" s="15">
        <f>+D.sign_Data[[#This Row],[VALOR NETO ($COP)]]/(100%-D.sign_Data[[#This Row],[MARGEN DE NEGOCIACIÓN (%)]])-D.sign_Data[[#This Row],[VALOR NETO ($COP)]]</f>
        <v>9252.9714427811559</v>
      </c>
      <c r="AE625" s="15">
        <f>+(D.sign_Data[[#This Row],[VALOR NETO ($COP)]]+D.sign_Data[[#This Row],[NEGOCIACIÓN ($COP)]])*1%</f>
        <v>1850.5942885562301</v>
      </c>
      <c r="AF625" s="15">
        <f>+(D.sign_Data[[#This Row],[VALOR NETO ($COP)]]+D.sign_Data[[#This Row],[NEGOCIACIÓN ($COP)]])*1%</f>
        <v>1850.5942885562301</v>
      </c>
      <c r="AG625" s="3">
        <f>+D.sign_Data[[#This Row],[VALOR NETO ($COP)]]+D.sign_Data[[#This Row],[NEGOCIACIÓN ($COP)]]+D.sign_Data[[#This Row],[ICA ($COP)]]+D.sign_Data[[#This Row],[4 * 1000 ($COP)]]</f>
        <v>188760.61743273545</v>
      </c>
    </row>
    <row r="626" spans="1:33" ht="60" hidden="1" customHeight="1" x14ac:dyDescent="0.25">
      <c r="A626" s="14"/>
      <c r="B626" s="87" t="s">
        <v>418</v>
      </c>
      <c r="C626" s="182" t="s">
        <v>885</v>
      </c>
      <c r="D626" s="189" t="str">
        <f>VLOOKUP(D.sign_Data[[#This Row],[CÓDIGO]],Descripciones[[CÓDIGO]:[NOMBRE DE SERVICIO]],3,FALSE)</f>
        <v>D2. Edificación en Altura</v>
      </c>
      <c r="E626" s="87" t="s">
        <v>497</v>
      </c>
      <c r="F626" s="88" t="s">
        <v>886</v>
      </c>
      <c r="G626" s="88" t="s">
        <v>792</v>
      </c>
      <c r="H626" s="87" t="s">
        <v>866</v>
      </c>
      <c r="I626" s="89">
        <v>1</v>
      </c>
      <c r="J626" s="88" t="s">
        <v>891</v>
      </c>
      <c r="K626" s="102"/>
      <c r="L626" s="88" t="s">
        <v>771</v>
      </c>
      <c r="M626" s="89" t="s">
        <v>381</v>
      </c>
      <c r="N626" s="90">
        <v>1</v>
      </c>
      <c r="O626" s="27">
        <f>IFERROR(+VLOOKUP(M626,D.sign_Lista_Data[[RESPONSABLE]:[SOFTWARE 
VALOR HORA]],3,FALSE),"0")</f>
        <v>20263.424518743668</v>
      </c>
      <c r="P626" s="3">
        <f t="shared" si="22"/>
        <v>20263.424518743668</v>
      </c>
      <c r="Q626" s="11">
        <f>IFERROR(+VLOOKUP(M626,D.sign_Lista_Data[[RESPONSABLE]:[SOFTWARE 
VALOR HORA]],5,FALSE)*D.sign_Data[[#This Row],[TIEMPO (HORAS)]],0)</f>
        <v>4221.5467747382636</v>
      </c>
      <c r="R626" s="11">
        <f>IFERROR(+VLOOKUP(M626,D.sign_Lista_Data[[RESPONSABLE]:[SOFTWARE 
VALOR HORA]],8,FALSE)*D.sign_Data[[#This Row],[TIEMPO (HORAS)]],0)</f>
        <v>3410.8548871439834</v>
      </c>
      <c r="S626" s="99"/>
      <c r="T626" s="99"/>
      <c r="U626" s="3">
        <f t="shared" si="23"/>
        <v>27895.826180625918</v>
      </c>
      <c r="V626" s="100">
        <f>D.sign_Data[[#This Row],[TIEMPO (HORAS)]]*Gastos_Operativos[[#Totals],[GASTOS HORA]]</f>
        <v>27789.477072310401</v>
      </c>
      <c r="W626" s="3">
        <f>+D.sign_Data[[#This Row],[COSTO 
DIRECTO ($COP)]]+D.sign_Data[[#This Row],[PRORRATEO GASTOS ($COP)]]</f>
        <v>55685.303252936319</v>
      </c>
      <c r="X626" s="101">
        <v>0.15</v>
      </c>
      <c r="Y626" s="15">
        <f>+D.sign_Data[[#This Row],[COSTOS OPERACIONALES ($COP)]]*D.sign_Data[[#This Row],[DESFASE (%)]]</f>
        <v>8352.7954879404479</v>
      </c>
      <c r="Z626" s="101">
        <v>0.3</v>
      </c>
      <c r="AA626" s="15">
        <f>+((D.sign_Data[[#This Row],[COSTOS OPERACIONALES ($COP)]]/(100%-D.sign_Data[[#This Row],[UTILIDAD (%)]])))-D.sign_Data[[#This Row],[COSTOS OPERACIONALES ($COP)]]</f>
        <v>23865.129965544147</v>
      </c>
      <c r="AB626" s="3">
        <f>+D.sign_Data[[#This Row],[COSTOS OPERACIONALES ($COP)]]+D.sign_Data[[#This Row],[DESFASE ($COP)]]+D.sign_Data[[#This Row],[UTILIDAD ($COP)]]</f>
        <v>87903.228706420923</v>
      </c>
      <c r="AC626" s="101">
        <v>0.05</v>
      </c>
      <c r="AD626" s="15">
        <f>+D.sign_Data[[#This Row],[VALOR NETO ($COP)]]/(100%-D.sign_Data[[#This Row],[MARGEN DE NEGOCIACIÓN (%)]])-D.sign_Data[[#This Row],[VALOR NETO ($COP)]]</f>
        <v>4626.485721390578</v>
      </c>
      <c r="AE626" s="15">
        <f>+(D.sign_Data[[#This Row],[VALOR NETO ($COP)]]+D.sign_Data[[#This Row],[NEGOCIACIÓN ($COP)]])*1%</f>
        <v>925.29714427811507</v>
      </c>
      <c r="AF626" s="15">
        <f>+(D.sign_Data[[#This Row],[VALOR NETO ($COP)]]+D.sign_Data[[#This Row],[NEGOCIACIÓN ($COP)]])*1%</f>
        <v>925.29714427811507</v>
      </c>
      <c r="AG626" s="3">
        <f>+D.sign_Data[[#This Row],[VALOR NETO ($COP)]]+D.sign_Data[[#This Row],[NEGOCIACIÓN ($COP)]]+D.sign_Data[[#This Row],[ICA ($COP)]]+D.sign_Data[[#This Row],[4 * 1000 ($COP)]]</f>
        <v>94380.308716367726</v>
      </c>
    </row>
    <row r="627" spans="1:33" ht="60" hidden="1" customHeight="1" x14ac:dyDescent="0.25">
      <c r="A627" s="14"/>
      <c r="B627" s="87" t="s">
        <v>418</v>
      </c>
      <c r="C627" s="182" t="s">
        <v>885</v>
      </c>
      <c r="D627" s="189" t="str">
        <f>VLOOKUP(D.sign_Data[[#This Row],[CÓDIGO]],Descripciones[[CÓDIGO]:[NOMBRE DE SERVICIO]],3,FALSE)</f>
        <v>D2. Edificación en Altura</v>
      </c>
      <c r="E627" s="87" t="s">
        <v>497</v>
      </c>
      <c r="F627" s="88" t="s">
        <v>886</v>
      </c>
      <c r="G627" s="88" t="s">
        <v>792</v>
      </c>
      <c r="H627" s="87" t="s">
        <v>866</v>
      </c>
      <c r="I627" s="89">
        <v>1</v>
      </c>
      <c r="J627" s="88" t="s">
        <v>891</v>
      </c>
      <c r="K627" s="102"/>
      <c r="L627" s="88" t="s">
        <v>483</v>
      </c>
      <c r="M627" s="89" t="s">
        <v>381</v>
      </c>
      <c r="N627" s="90">
        <v>2</v>
      </c>
      <c r="O627" s="27">
        <f>IFERROR(+VLOOKUP(M627,D.sign_Lista_Data[[RESPONSABLE]:[SOFTWARE 
VALOR HORA]],3,FALSE),"0")</f>
        <v>20263.424518743668</v>
      </c>
      <c r="P627" s="3">
        <f t="shared" si="22"/>
        <v>40526.849037487336</v>
      </c>
      <c r="Q627" s="11">
        <f>IFERROR(+VLOOKUP(M627,D.sign_Lista_Data[[RESPONSABLE]:[SOFTWARE 
VALOR HORA]],5,FALSE)*D.sign_Data[[#This Row],[TIEMPO (HORAS)]],0)</f>
        <v>8443.0935494765272</v>
      </c>
      <c r="R627" s="11">
        <f>IFERROR(+VLOOKUP(M627,D.sign_Lista_Data[[RESPONSABLE]:[SOFTWARE 
VALOR HORA]],8,FALSE)*D.sign_Data[[#This Row],[TIEMPO (HORAS)]],0)</f>
        <v>6821.7097742879669</v>
      </c>
      <c r="S627" s="99"/>
      <c r="T627" s="99"/>
      <c r="U627" s="3">
        <f t="shared" si="23"/>
        <v>55791.652361251836</v>
      </c>
      <c r="V627" s="100">
        <f>D.sign_Data[[#This Row],[TIEMPO (HORAS)]]*Gastos_Operativos[[#Totals],[GASTOS HORA]]</f>
        <v>55578.954144620802</v>
      </c>
      <c r="W627" s="3">
        <f>+D.sign_Data[[#This Row],[COSTO 
DIRECTO ($COP)]]+D.sign_Data[[#This Row],[PRORRATEO GASTOS ($COP)]]</f>
        <v>111370.60650587264</v>
      </c>
      <c r="X627" s="101">
        <v>0.15</v>
      </c>
      <c r="Y627" s="15">
        <f>+D.sign_Data[[#This Row],[COSTOS OPERACIONALES ($COP)]]*D.sign_Data[[#This Row],[DESFASE (%)]]</f>
        <v>16705.590975880896</v>
      </c>
      <c r="Z627" s="101">
        <v>0.3</v>
      </c>
      <c r="AA627" s="15">
        <f>+((D.sign_Data[[#This Row],[COSTOS OPERACIONALES ($COP)]]/(100%-D.sign_Data[[#This Row],[UTILIDAD (%)]])))-D.sign_Data[[#This Row],[COSTOS OPERACIONALES ($COP)]]</f>
        <v>47730.259931088294</v>
      </c>
      <c r="AB627" s="3">
        <f>+D.sign_Data[[#This Row],[COSTOS OPERACIONALES ($COP)]]+D.sign_Data[[#This Row],[DESFASE ($COP)]]+D.sign_Data[[#This Row],[UTILIDAD ($COP)]]</f>
        <v>175806.45741284185</v>
      </c>
      <c r="AC627" s="101">
        <v>0.05</v>
      </c>
      <c r="AD627" s="15">
        <f>+D.sign_Data[[#This Row],[VALOR NETO ($COP)]]/(100%-D.sign_Data[[#This Row],[MARGEN DE NEGOCIACIÓN (%)]])-D.sign_Data[[#This Row],[VALOR NETO ($COP)]]</f>
        <v>9252.9714427811559</v>
      </c>
      <c r="AE627" s="15">
        <f>+(D.sign_Data[[#This Row],[VALOR NETO ($COP)]]+D.sign_Data[[#This Row],[NEGOCIACIÓN ($COP)]])*1%</f>
        <v>1850.5942885562301</v>
      </c>
      <c r="AF627" s="15">
        <f>+(D.sign_Data[[#This Row],[VALOR NETO ($COP)]]+D.sign_Data[[#This Row],[NEGOCIACIÓN ($COP)]])*1%</f>
        <v>1850.5942885562301</v>
      </c>
      <c r="AG627" s="3">
        <f>+D.sign_Data[[#This Row],[VALOR NETO ($COP)]]+D.sign_Data[[#This Row],[NEGOCIACIÓN ($COP)]]+D.sign_Data[[#This Row],[ICA ($COP)]]+D.sign_Data[[#This Row],[4 * 1000 ($COP)]]</f>
        <v>188760.61743273545</v>
      </c>
    </row>
    <row r="628" spans="1:33" ht="60" hidden="1" customHeight="1" x14ac:dyDescent="0.25">
      <c r="A628" s="14"/>
      <c r="B628" s="87" t="s">
        <v>418</v>
      </c>
      <c r="C628" s="182" t="s">
        <v>885</v>
      </c>
      <c r="D628" s="189" t="str">
        <f>VLOOKUP(D.sign_Data[[#This Row],[CÓDIGO]],Descripciones[[CÓDIGO]:[NOMBRE DE SERVICIO]],3,FALSE)</f>
        <v>D2. Edificación en Altura</v>
      </c>
      <c r="E628" s="87" t="s">
        <v>497</v>
      </c>
      <c r="F628" s="88" t="s">
        <v>886</v>
      </c>
      <c r="G628" s="88" t="s">
        <v>792</v>
      </c>
      <c r="H628" s="87" t="s">
        <v>866</v>
      </c>
      <c r="I628" s="89">
        <v>1</v>
      </c>
      <c r="J628" s="88" t="s">
        <v>891</v>
      </c>
      <c r="K628" s="102"/>
      <c r="L628" s="88" t="s">
        <v>474</v>
      </c>
      <c r="M628" s="89" t="s">
        <v>381</v>
      </c>
      <c r="N628" s="90">
        <v>1</v>
      </c>
      <c r="O628" s="27">
        <f>IFERROR(+VLOOKUP(M628,D.sign_Lista_Data[[RESPONSABLE]:[SOFTWARE 
VALOR HORA]],3,FALSE),"0")</f>
        <v>20263.424518743668</v>
      </c>
      <c r="P628" s="3">
        <f t="shared" si="22"/>
        <v>20263.424518743668</v>
      </c>
      <c r="Q628" s="11">
        <f>IFERROR(+VLOOKUP(M628,D.sign_Lista_Data[[RESPONSABLE]:[SOFTWARE 
VALOR HORA]],5,FALSE)*D.sign_Data[[#This Row],[TIEMPO (HORAS)]],0)</f>
        <v>4221.5467747382636</v>
      </c>
      <c r="R628" s="11">
        <f>IFERROR(+VLOOKUP(M628,D.sign_Lista_Data[[RESPONSABLE]:[SOFTWARE 
VALOR HORA]],8,FALSE)*D.sign_Data[[#This Row],[TIEMPO (HORAS)]],0)</f>
        <v>3410.8548871439834</v>
      </c>
      <c r="S628" s="99"/>
      <c r="T628" s="99"/>
      <c r="U628" s="3">
        <f t="shared" si="23"/>
        <v>27895.826180625918</v>
      </c>
      <c r="V628" s="100">
        <f>D.sign_Data[[#This Row],[TIEMPO (HORAS)]]*Gastos_Operativos[[#Totals],[GASTOS HORA]]</f>
        <v>27789.477072310401</v>
      </c>
      <c r="W628" s="3">
        <f>+D.sign_Data[[#This Row],[COSTO 
DIRECTO ($COP)]]+D.sign_Data[[#This Row],[PRORRATEO GASTOS ($COP)]]</f>
        <v>55685.303252936319</v>
      </c>
      <c r="X628" s="101">
        <v>0.15</v>
      </c>
      <c r="Y628" s="15">
        <f>+D.sign_Data[[#This Row],[COSTOS OPERACIONALES ($COP)]]*D.sign_Data[[#This Row],[DESFASE (%)]]</f>
        <v>8352.7954879404479</v>
      </c>
      <c r="Z628" s="101">
        <v>0.3</v>
      </c>
      <c r="AA628" s="15">
        <f>+((D.sign_Data[[#This Row],[COSTOS OPERACIONALES ($COP)]]/(100%-D.sign_Data[[#This Row],[UTILIDAD (%)]])))-D.sign_Data[[#This Row],[COSTOS OPERACIONALES ($COP)]]</f>
        <v>23865.129965544147</v>
      </c>
      <c r="AB628" s="3">
        <f>+D.sign_Data[[#This Row],[COSTOS OPERACIONALES ($COP)]]+D.sign_Data[[#This Row],[DESFASE ($COP)]]+D.sign_Data[[#This Row],[UTILIDAD ($COP)]]</f>
        <v>87903.228706420923</v>
      </c>
      <c r="AC628" s="101">
        <v>0.05</v>
      </c>
      <c r="AD628" s="15">
        <f>+D.sign_Data[[#This Row],[VALOR NETO ($COP)]]/(100%-D.sign_Data[[#This Row],[MARGEN DE NEGOCIACIÓN (%)]])-D.sign_Data[[#This Row],[VALOR NETO ($COP)]]</f>
        <v>4626.485721390578</v>
      </c>
      <c r="AE628" s="15">
        <f>+(D.sign_Data[[#This Row],[VALOR NETO ($COP)]]+D.sign_Data[[#This Row],[NEGOCIACIÓN ($COP)]])*1%</f>
        <v>925.29714427811507</v>
      </c>
      <c r="AF628" s="15">
        <f>+(D.sign_Data[[#This Row],[VALOR NETO ($COP)]]+D.sign_Data[[#This Row],[NEGOCIACIÓN ($COP)]])*1%</f>
        <v>925.29714427811507</v>
      </c>
      <c r="AG628" s="3">
        <f>+D.sign_Data[[#This Row],[VALOR NETO ($COP)]]+D.sign_Data[[#This Row],[NEGOCIACIÓN ($COP)]]+D.sign_Data[[#This Row],[ICA ($COP)]]+D.sign_Data[[#This Row],[4 * 1000 ($COP)]]</f>
        <v>94380.308716367726</v>
      </c>
    </row>
    <row r="629" spans="1:33" ht="60" hidden="1" customHeight="1" x14ac:dyDescent="0.25">
      <c r="A629" s="14"/>
      <c r="B629" s="87" t="s">
        <v>418</v>
      </c>
      <c r="C629" s="182" t="s">
        <v>885</v>
      </c>
      <c r="D629" s="189" t="str">
        <f>VLOOKUP(D.sign_Data[[#This Row],[CÓDIGO]],Descripciones[[CÓDIGO]:[NOMBRE DE SERVICIO]],3,FALSE)</f>
        <v>D2. Edificación en Altura</v>
      </c>
      <c r="E629" s="87" t="s">
        <v>497</v>
      </c>
      <c r="F629" s="88" t="s">
        <v>886</v>
      </c>
      <c r="G629" s="88" t="s">
        <v>792</v>
      </c>
      <c r="H629" s="87" t="s">
        <v>866</v>
      </c>
      <c r="I629" s="89">
        <v>1</v>
      </c>
      <c r="J629" s="88" t="s">
        <v>892</v>
      </c>
      <c r="K629" s="102"/>
      <c r="L629" s="88" t="s">
        <v>781</v>
      </c>
      <c r="M629" s="89" t="s">
        <v>381</v>
      </c>
      <c r="N629" s="90">
        <v>1</v>
      </c>
      <c r="O629" s="27">
        <f>IFERROR(+VLOOKUP(M629,D.sign_Lista_Data[[RESPONSABLE]:[SOFTWARE 
VALOR HORA]],3,FALSE),"0")</f>
        <v>20263.424518743668</v>
      </c>
      <c r="P629" s="3">
        <f t="shared" si="22"/>
        <v>20263.424518743668</v>
      </c>
      <c r="Q629" s="11">
        <f>IFERROR(+VLOOKUP(M629,D.sign_Lista_Data[[RESPONSABLE]:[SOFTWARE 
VALOR HORA]],5,FALSE)*D.sign_Data[[#This Row],[TIEMPO (HORAS)]],0)</f>
        <v>4221.5467747382636</v>
      </c>
      <c r="R629" s="11">
        <f>IFERROR(+VLOOKUP(M629,D.sign_Lista_Data[[RESPONSABLE]:[SOFTWARE 
VALOR HORA]],8,FALSE)*D.sign_Data[[#This Row],[TIEMPO (HORAS)]],0)</f>
        <v>3410.8548871439834</v>
      </c>
      <c r="S629" s="99"/>
      <c r="T629" s="99"/>
      <c r="U629" s="3">
        <f t="shared" si="23"/>
        <v>27895.826180625918</v>
      </c>
      <c r="V629" s="100">
        <f>D.sign_Data[[#This Row],[TIEMPO (HORAS)]]*Gastos_Operativos[[#Totals],[GASTOS HORA]]</f>
        <v>27789.477072310401</v>
      </c>
      <c r="W629" s="3">
        <f>+D.sign_Data[[#This Row],[COSTO 
DIRECTO ($COP)]]+D.sign_Data[[#This Row],[PRORRATEO GASTOS ($COP)]]</f>
        <v>55685.303252936319</v>
      </c>
      <c r="X629" s="101">
        <v>0.15</v>
      </c>
      <c r="Y629" s="15">
        <f>+D.sign_Data[[#This Row],[COSTOS OPERACIONALES ($COP)]]*D.sign_Data[[#This Row],[DESFASE (%)]]</f>
        <v>8352.7954879404479</v>
      </c>
      <c r="Z629" s="101">
        <v>0.3</v>
      </c>
      <c r="AA629" s="15">
        <f>+((D.sign_Data[[#This Row],[COSTOS OPERACIONALES ($COP)]]/(100%-D.sign_Data[[#This Row],[UTILIDAD (%)]])))-D.sign_Data[[#This Row],[COSTOS OPERACIONALES ($COP)]]</f>
        <v>23865.129965544147</v>
      </c>
      <c r="AB629" s="3">
        <f>+D.sign_Data[[#This Row],[COSTOS OPERACIONALES ($COP)]]+D.sign_Data[[#This Row],[DESFASE ($COP)]]+D.sign_Data[[#This Row],[UTILIDAD ($COP)]]</f>
        <v>87903.228706420923</v>
      </c>
      <c r="AC629" s="101">
        <v>0.05</v>
      </c>
      <c r="AD629" s="15">
        <f>+D.sign_Data[[#This Row],[VALOR NETO ($COP)]]/(100%-D.sign_Data[[#This Row],[MARGEN DE NEGOCIACIÓN (%)]])-D.sign_Data[[#This Row],[VALOR NETO ($COP)]]</f>
        <v>4626.485721390578</v>
      </c>
      <c r="AE629" s="15">
        <f>+(D.sign_Data[[#This Row],[VALOR NETO ($COP)]]+D.sign_Data[[#This Row],[NEGOCIACIÓN ($COP)]])*1%</f>
        <v>925.29714427811507</v>
      </c>
      <c r="AF629" s="15">
        <f>+(D.sign_Data[[#This Row],[VALOR NETO ($COP)]]+D.sign_Data[[#This Row],[NEGOCIACIÓN ($COP)]])*1%</f>
        <v>925.29714427811507</v>
      </c>
      <c r="AG629" s="3">
        <f>+D.sign_Data[[#This Row],[VALOR NETO ($COP)]]+D.sign_Data[[#This Row],[NEGOCIACIÓN ($COP)]]+D.sign_Data[[#This Row],[ICA ($COP)]]+D.sign_Data[[#This Row],[4 * 1000 ($COP)]]</f>
        <v>94380.308716367726</v>
      </c>
    </row>
    <row r="630" spans="1:33" ht="60" hidden="1" customHeight="1" x14ac:dyDescent="0.25">
      <c r="A630" s="14"/>
      <c r="B630" s="87" t="s">
        <v>418</v>
      </c>
      <c r="C630" s="182" t="s">
        <v>885</v>
      </c>
      <c r="D630" s="189" t="str">
        <f>VLOOKUP(D.sign_Data[[#This Row],[CÓDIGO]],Descripciones[[CÓDIGO]:[NOMBRE DE SERVICIO]],3,FALSE)</f>
        <v>D2. Edificación en Altura</v>
      </c>
      <c r="E630" s="87" t="s">
        <v>497</v>
      </c>
      <c r="F630" s="88" t="s">
        <v>886</v>
      </c>
      <c r="G630" s="88" t="s">
        <v>792</v>
      </c>
      <c r="H630" s="87" t="s">
        <v>866</v>
      </c>
      <c r="I630" s="89">
        <v>1</v>
      </c>
      <c r="J630" s="88" t="s">
        <v>892</v>
      </c>
      <c r="K630" s="102"/>
      <c r="L630" s="88" t="s">
        <v>782</v>
      </c>
      <c r="M630" s="89" t="s">
        <v>381</v>
      </c>
      <c r="N630" s="90">
        <v>0.5</v>
      </c>
      <c r="O630" s="27">
        <f>IFERROR(+VLOOKUP(M630,D.sign_Lista_Data[[RESPONSABLE]:[SOFTWARE 
VALOR HORA]],3,FALSE),"0")</f>
        <v>20263.424518743668</v>
      </c>
      <c r="P630" s="3">
        <f t="shared" si="22"/>
        <v>10131.712259371834</v>
      </c>
      <c r="Q630" s="11">
        <f>IFERROR(+VLOOKUP(M630,D.sign_Lista_Data[[RESPONSABLE]:[SOFTWARE 
VALOR HORA]],5,FALSE)*D.sign_Data[[#This Row],[TIEMPO (HORAS)]],0)</f>
        <v>2110.7733873691318</v>
      </c>
      <c r="R630" s="11">
        <f>IFERROR(+VLOOKUP(M630,D.sign_Lista_Data[[RESPONSABLE]:[SOFTWARE 
VALOR HORA]],8,FALSE)*D.sign_Data[[#This Row],[TIEMPO (HORAS)]],0)</f>
        <v>1705.4274435719917</v>
      </c>
      <c r="S630" s="99"/>
      <c r="T630" s="99"/>
      <c r="U630" s="3">
        <f t="shared" si="23"/>
        <v>13947.913090312959</v>
      </c>
      <c r="V630" s="100">
        <f>D.sign_Data[[#This Row],[TIEMPO (HORAS)]]*Gastos_Operativos[[#Totals],[GASTOS HORA]]</f>
        <v>13894.738536155201</v>
      </c>
      <c r="W630" s="3">
        <f>+D.sign_Data[[#This Row],[COSTO 
DIRECTO ($COP)]]+D.sign_Data[[#This Row],[PRORRATEO GASTOS ($COP)]]</f>
        <v>27842.65162646816</v>
      </c>
      <c r="X630" s="101">
        <v>0.15</v>
      </c>
      <c r="Y630" s="15">
        <f>+D.sign_Data[[#This Row],[COSTOS OPERACIONALES ($COP)]]*D.sign_Data[[#This Row],[DESFASE (%)]]</f>
        <v>4176.3977439702239</v>
      </c>
      <c r="Z630" s="101">
        <v>0.3</v>
      </c>
      <c r="AA630" s="15">
        <f>+((D.sign_Data[[#This Row],[COSTOS OPERACIONALES ($COP)]]/(100%-D.sign_Data[[#This Row],[UTILIDAD (%)]])))-D.sign_Data[[#This Row],[COSTOS OPERACIONALES ($COP)]]</f>
        <v>11932.564982772074</v>
      </c>
      <c r="AB630" s="3">
        <f>+D.sign_Data[[#This Row],[COSTOS OPERACIONALES ($COP)]]+D.sign_Data[[#This Row],[DESFASE ($COP)]]+D.sign_Data[[#This Row],[UTILIDAD ($COP)]]</f>
        <v>43951.614353210462</v>
      </c>
      <c r="AC630" s="101">
        <v>0.05</v>
      </c>
      <c r="AD630" s="15">
        <f>+D.sign_Data[[#This Row],[VALOR NETO ($COP)]]/(100%-D.sign_Data[[#This Row],[MARGEN DE NEGOCIACIÓN (%)]])-D.sign_Data[[#This Row],[VALOR NETO ($COP)]]</f>
        <v>2313.242860695289</v>
      </c>
      <c r="AE630" s="15">
        <f>+(D.sign_Data[[#This Row],[VALOR NETO ($COP)]]+D.sign_Data[[#This Row],[NEGOCIACIÓN ($COP)]])*1%</f>
        <v>462.64857213905753</v>
      </c>
      <c r="AF630" s="15">
        <f>+(D.sign_Data[[#This Row],[VALOR NETO ($COP)]]+D.sign_Data[[#This Row],[NEGOCIACIÓN ($COP)]])*1%</f>
        <v>462.64857213905753</v>
      </c>
      <c r="AG630" s="3">
        <f>+D.sign_Data[[#This Row],[VALOR NETO ($COP)]]+D.sign_Data[[#This Row],[NEGOCIACIÓN ($COP)]]+D.sign_Data[[#This Row],[ICA ($COP)]]+D.sign_Data[[#This Row],[4 * 1000 ($COP)]]</f>
        <v>47190.154358183863</v>
      </c>
    </row>
    <row r="631" spans="1:33" ht="60" hidden="1" customHeight="1" x14ac:dyDescent="0.25">
      <c r="A631" s="14"/>
      <c r="B631" s="87" t="s">
        <v>418</v>
      </c>
      <c r="C631" s="182" t="s">
        <v>885</v>
      </c>
      <c r="D631" s="189" t="str">
        <f>VLOOKUP(D.sign_Data[[#This Row],[CÓDIGO]],Descripciones[[CÓDIGO]:[NOMBRE DE SERVICIO]],3,FALSE)</f>
        <v>D2. Edificación en Altura</v>
      </c>
      <c r="E631" s="87" t="s">
        <v>497</v>
      </c>
      <c r="F631" s="88" t="s">
        <v>886</v>
      </c>
      <c r="G631" s="88" t="s">
        <v>792</v>
      </c>
      <c r="H631" s="87" t="s">
        <v>866</v>
      </c>
      <c r="I631" s="89">
        <v>1</v>
      </c>
      <c r="J631" s="88" t="s">
        <v>892</v>
      </c>
      <c r="K631" s="102"/>
      <c r="L631" s="88" t="s">
        <v>777</v>
      </c>
      <c r="M631" s="89" t="s">
        <v>381</v>
      </c>
      <c r="N631" s="90">
        <v>1</v>
      </c>
      <c r="O631" s="27">
        <f>IFERROR(+VLOOKUP(M631,D.sign_Lista_Data[[RESPONSABLE]:[SOFTWARE 
VALOR HORA]],3,FALSE),"0")</f>
        <v>20263.424518743668</v>
      </c>
      <c r="P631" s="3">
        <f t="shared" si="22"/>
        <v>20263.424518743668</v>
      </c>
      <c r="Q631" s="11">
        <f>IFERROR(+VLOOKUP(M631,D.sign_Lista_Data[[RESPONSABLE]:[SOFTWARE 
VALOR HORA]],5,FALSE)*D.sign_Data[[#This Row],[TIEMPO (HORAS)]],0)</f>
        <v>4221.5467747382636</v>
      </c>
      <c r="R631" s="11">
        <f>IFERROR(+VLOOKUP(M631,D.sign_Lista_Data[[RESPONSABLE]:[SOFTWARE 
VALOR HORA]],8,FALSE)*D.sign_Data[[#This Row],[TIEMPO (HORAS)]],0)</f>
        <v>3410.8548871439834</v>
      </c>
      <c r="S631" s="99"/>
      <c r="T631" s="99"/>
      <c r="U631" s="3">
        <f t="shared" si="23"/>
        <v>27895.826180625918</v>
      </c>
      <c r="V631" s="100">
        <f>D.sign_Data[[#This Row],[TIEMPO (HORAS)]]*Gastos_Operativos[[#Totals],[GASTOS HORA]]</f>
        <v>27789.477072310401</v>
      </c>
      <c r="W631" s="3">
        <f>+D.sign_Data[[#This Row],[COSTO 
DIRECTO ($COP)]]+D.sign_Data[[#This Row],[PRORRATEO GASTOS ($COP)]]</f>
        <v>55685.303252936319</v>
      </c>
      <c r="X631" s="101">
        <v>0.15</v>
      </c>
      <c r="Y631" s="15">
        <f>+D.sign_Data[[#This Row],[COSTOS OPERACIONALES ($COP)]]*D.sign_Data[[#This Row],[DESFASE (%)]]</f>
        <v>8352.7954879404479</v>
      </c>
      <c r="Z631" s="101">
        <v>0.3</v>
      </c>
      <c r="AA631" s="15">
        <f>+((D.sign_Data[[#This Row],[COSTOS OPERACIONALES ($COP)]]/(100%-D.sign_Data[[#This Row],[UTILIDAD (%)]])))-D.sign_Data[[#This Row],[COSTOS OPERACIONALES ($COP)]]</f>
        <v>23865.129965544147</v>
      </c>
      <c r="AB631" s="3">
        <f>+D.sign_Data[[#This Row],[COSTOS OPERACIONALES ($COP)]]+D.sign_Data[[#This Row],[DESFASE ($COP)]]+D.sign_Data[[#This Row],[UTILIDAD ($COP)]]</f>
        <v>87903.228706420923</v>
      </c>
      <c r="AC631" s="101">
        <v>0.05</v>
      </c>
      <c r="AD631" s="15">
        <f>+D.sign_Data[[#This Row],[VALOR NETO ($COP)]]/(100%-D.sign_Data[[#This Row],[MARGEN DE NEGOCIACIÓN (%)]])-D.sign_Data[[#This Row],[VALOR NETO ($COP)]]</f>
        <v>4626.485721390578</v>
      </c>
      <c r="AE631" s="15">
        <f>+(D.sign_Data[[#This Row],[VALOR NETO ($COP)]]+D.sign_Data[[#This Row],[NEGOCIACIÓN ($COP)]])*1%</f>
        <v>925.29714427811507</v>
      </c>
      <c r="AF631" s="15">
        <f>+(D.sign_Data[[#This Row],[VALOR NETO ($COP)]]+D.sign_Data[[#This Row],[NEGOCIACIÓN ($COP)]])*1%</f>
        <v>925.29714427811507</v>
      </c>
      <c r="AG631" s="3">
        <f>+D.sign_Data[[#This Row],[VALOR NETO ($COP)]]+D.sign_Data[[#This Row],[NEGOCIACIÓN ($COP)]]+D.sign_Data[[#This Row],[ICA ($COP)]]+D.sign_Data[[#This Row],[4 * 1000 ($COP)]]</f>
        <v>94380.308716367726</v>
      </c>
    </row>
    <row r="632" spans="1:33" ht="60" hidden="1" customHeight="1" x14ac:dyDescent="0.25">
      <c r="A632" s="14"/>
      <c r="B632" s="87" t="s">
        <v>418</v>
      </c>
      <c r="C632" s="182" t="s">
        <v>885</v>
      </c>
      <c r="D632" s="189" t="str">
        <f>VLOOKUP(D.sign_Data[[#This Row],[CÓDIGO]],Descripciones[[CÓDIGO]:[NOMBRE DE SERVICIO]],3,FALSE)</f>
        <v>D2. Edificación en Altura</v>
      </c>
      <c r="E632" s="87" t="s">
        <v>497</v>
      </c>
      <c r="F632" s="88" t="s">
        <v>886</v>
      </c>
      <c r="G632" s="88" t="s">
        <v>792</v>
      </c>
      <c r="H632" s="87" t="s">
        <v>866</v>
      </c>
      <c r="I632" s="89">
        <v>1</v>
      </c>
      <c r="J632" s="88" t="s">
        <v>892</v>
      </c>
      <c r="K632" s="102"/>
      <c r="L632" s="88" t="s">
        <v>483</v>
      </c>
      <c r="M632" s="89" t="s">
        <v>381</v>
      </c>
      <c r="N632" s="90">
        <v>1</v>
      </c>
      <c r="O632" s="27">
        <f>IFERROR(+VLOOKUP(M632,D.sign_Lista_Data[[RESPONSABLE]:[SOFTWARE 
VALOR HORA]],3,FALSE),"0")</f>
        <v>20263.424518743668</v>
      </c>
      <c r="P632" s="3">
        <f t="shared" si="22"/>
        <v>20263.424518743668</v>
      </c>
      <c r="Q632" s="11">
        <f>IFERROR(+VLOOKUP(M632,D.sign_Lista_Data[[RESPONSABLE]:[SOFTWARE 
VALOR HORA]],5,FALSE)*D.sign_Data[[#This Row],[TIEMPO (HORAS)]],0)</f>
        <v>4221.5467747382636</v>
      </c>
      <c r="R632" s="11">
        <f>IFERROR(+VLOOKUP(M632,D.sign_Lista_Data[[RESPONSABLE]:[SOFTWARE 
VALOR HORA]],8,FALSE)*D.sign_Data[[#This Row],[TIEMPO (HORAS)]],0)</f>
        <v>3410.8548871439834</v>
      </c>
      <c r="S632" s="99"/>
      <c r="T632" s="99"/>
      <c r="U632" s="3">
        <f t="shared" si="23"/>
        <v>27895.826180625918</v>
      </c>
      <c r="V632" s="100">
        <f>D.sign_Data[[#This Row],[TIEMPO (HORAS)]]*Gastos_Operativos[[#Totals],[GASTOS HORA]]</f>
        <v>27789.477072310401</v>
      </c>
      <c r="W632" s="3">
        <f>+D.sign_Data[[#This Row],[COSTO 
DIRECTO ($COP)]]+D.sign_Data[[#This Row],[PRORRATEO GASTOS ($COP)]]</f>
        <v>55685.303252936319</v>
      </c>
      <c r="X632" s="101">
        <v>0.15</v>
      </c>
      <c r="Y632" s="15">
        <f>+D.sign_Data[[#This Row],[COSTOS OPERACIONALES ($COP)]]*D.sign_Data[[#This Row],[DESFASE (%)]]</f>
        <v>8352.7954879404479</v>
      </c>
      <c r="Z632" s="101">
        <v>0.3</v>
      </c>
      <c r="AA632" s="15">
        <f>+((D.sign_Data[[#This Row],[COSTOS OPERACIONALES ($COP)]]/(100%-D.sign_Data[[#This Row],[UTILIDAD (%)]])))-D.sign_Data[[#This Row],[COSTOS OPERACIONALES ($COP)]]</f>
        <v>23865.129965544147</v>
      </c>
      <c r="AB632" s="3">
        <f>+D.sign_Data[[#This Row],[COSTOS OPERACIONALES ($COP)]]+D.sign_Data[[#This Row],[DESFASE ($COP)]]+D.sign_Data[[#This Row],[UTILIDAD ($COP)]]</f>
        <v>87903.228706420923</v>
      </c>
      <c r="AC632" s="101">
        <v>0.05</v>
      </c>
      <c r="AD632" s="15">
        <f>+D.sign_Data[[#This Row],[VALOR NETO ($COP)]]/(100%-D.sign_Data[[#This Row],[MARGEN DE NEGOCIACIÓN (%)]])-D.sign_Data[[#This Row],[VALOR NETO ($COP)]]</f>
        <v>4626.485721390578</v>
      </c>
      <c r="AE632" s="15">
        <f>+(D.sign_Data[[#This Row],[VALOR NETO ($COP)]]+D.sign_Data[[#This Row],[NEGOCIACIÓN ($COP)]])*1%</f>
        <v>925.29714427811507</v>
      </c>
      <c r="AF632" s="15">
        <f>+(D.sign_Data[[#This Row],[VALOR NETO ($COP)]]+D.sign_Data[[#This Row],[NEGOCIACIÓN ($COP)]])*1%</f>
        <v>925.29714427811507</v>
      </c>
      <c r="AG632" s="3">
        <f>+D.sign_Data[[#This Row],[VALOR NETO ($COP)]]+D.sign_Data[[#This Row],[NEGOCIACIÓN ($COP)]]+D.sign_Data[[#This Row],[ICA ($COP)]]+D.sign_Data[[#This Row],[4 * 1000 ($COP)]]</f>
        <v>94380.308716367726</v>
      </c>
    </row>
    <row r="633" spans="1:33" ht="60" hidden="1" customHeight="1" x14ac:dyDescent="0.25">
      <c r="A633" s="14"/>
      <c r="B633" s="87" t="s">
        <v>418</v>
      </c>
      <c r="C633" s="182" t="s">
        <v>885</v>
      </c>
      <c r="D633" s="189" t="str">
        <f>VLOOKUP(D.sign_Data[[#This Row],[CÓDIGO]],Descripciones[[CÓDIGO]:[NOMBRE DE SERVICIO]],3,FALSE)</f>
        <v>D2. Edificación en Altura</v>
      </c>
      <c r="E633" s="87" t="s">
        <v>497</v>
      </c>
      <c r="F633" s="88" t="s">
        <v>886</v>
      </c>
      <c r="G633" s="88" t="s">
        <v>792</v>
      </c>
      <c r="H633" s="87" t="s">
        <v>866</v>
      </c>
      <c r="I633" s="89">
        <v>1</v>
      </c>
      <c r="J633" s="88" t="s">
        <v>893</v>
      </c>
      <c r="K633" s="102"/>
      <c r="L633" s="88" t="s">
        <v>784</v>
      </c>
      <c r="M633" s="89" t="s">
        <v>381</v>
      </c>
      <c r="N633" s="90">
        <v>1</v>
      </c>
      <c r="O633" s="27">
        <f>IFERROR(+VLOOKUP(M633,D.sign_Lista_Data[[RESPONSABLE]:[SOFTWARE 
VALOR HORA]],3,FALSE),"0")</f>
        <v>20263.424518743668</v>
      </c>
      <c r="P633" s="3">
        <f t="shared" si="22"/>
        <v>20263.424518743668</v>
      </c>
      <c r="Q633" s="11">
        <f>IFERROR(+VLOOKUP(M633,D.sign_Lista_Data[[RESPONSABLE]:[SOFTWARE 
VALOR HORA]],5,FALSE)*D.sign_Data[[#This Row],[TIEMPO (HORAS)]],0)</f>
        <v>4221.5467747382636</v>
      </c>
      <c r="R633" s="11">
        <f>IFERROR(+VLOOKUP(M633,D.sign_Lista_Data[[RESPONSABLE]:[SOFTWARE 
VALOR HORA]],8,FALSE)*D.sign_Data[[#This Row],[TIEMPO (HORAS)]],0)</f>
        <v>3410.8548871439834</v>
      </c>
      <c r="S633" s="99"/>
      <c r="T633" s="99"/>
      <c r="U633" s="3">
        <f t="shared" si="23"/>
        <v>27895.826180625918</v>
      </c>
      <c r="V633" s="100">
        <f>D.sign_Data[[#This Row],[TIEMPO (HORAS)]]*Gastos_Operativos[[#Totals],[GASTOS HORA]]</f>
        <v>27789.477072310401</v>
      </c>
      <c r="W633" s="3">
        <f>+D.sign_Data[[#This Row],[COSTO 
DIRECTO ($COP)]]+D.sign_Data[[#This Row],[PRORRATEO GASTOS ($COP)]]</f>
        <v>55685.303252936319</v>
      </c>
      <c r="X633" s="101">
        <v>0.15</v>
      </c>
      <c r="Y633" s="15">
        <f>+D.sign_Data[[#This Row],[COSTOS OPERACIONALES ($COP)]]*D.sign_Data[[#This Row],[DESFASE (%)]]</f>
        <v>8352.7954879404479</v>
      </c>
      <c r="Z633" s="101">
        <v>0.3</v>
      </c>
      <c r="AA633" s="15">
        <f>+((D.sign_Data[[#This Row],[COSTOS OPERACIONALES ($COP)]]/(100%-D.sign_Data[[#This Row],[UTILIDAD (%)]])))-D.sign_Data[[#This Row],[COSTOS OPERACIONALES ($COP)]]</f>
        <v>23865.129965544147</v>
      </c>
      <c r="AB633" s="3">
        <f>+D.sign_Data[[#This Row],[COSTOS OPERACIONALES ($COP)]]+D.sign_Data[[#This Row],[DESFASE ($COP)]]+D.sign_Data[[#This Row],[UTILIDAD ($COP)]]</f>
        <v>87903.228706420923</v>
      </c>
      <c r="AC633" s="101">
        <v>0.05</v>
      </c>
      <c r="AD633" s="15">
        <f>+D.sign_Data[[#This Row],[VALOR NETO ($COP)]]/(100%-D.sign_Data[[#This Row],[MARGEN DE NEGOCIACIÓN (%)]])-D.sign_Data[[#This Row],[VALOR NETO ($COP)]]</f>
        <v>4626.485721390578</v>
      </c>
      <c r="AE633" s="15">
        <f>+(D.sign_Data[[#This Row],[VALOR NETO ($COP)]]+D.sign_Data[[#This Row],[NEGOCIACIÓN ($COP)]])*1%</f>
        <v>925.29714427811507</v>
      </c>
      <c r="AF633" s="15">
        <f>+(D.sign_Data[[#This Row],[VALOR NETO ($COP)]]+D.sign_Data[[#This Row],[NEGOCIACIÓN ($COP)]])*1%</f>
        <v>925.29714427811507</v>
      </c>
      <c r="AG633" s="3">
        <f>+D.sign_Data[[#This Row],[VALOR NETO ($COP)]]+D.sign_Data[[#This Row],[NEGOCIACIÓN ($COP)]]+D.sign_Data[[#This Row],[ICA ($COP)]]+D.sign_Data[[#This Row],[4 * 1000 ($COP)]]</f>
        <v>94380.308716367726</v>
      </c>
    </row>
    <row r="634" spans="1:33" ht="60" hidden="1" customHeight="1" x14ac:dyDescent="0.25">
      <c r="A634" s="14"/>
      <c r="B634" s="87" t="s">
        <v>418</v>
      </c>
      <c r="C634" s="182" t="s">
        <v>885</v>
      </c>
      <c r="D634" s="189" t="str">
        <f>VLOOKUP(D.sign_Data[[#This Row],[CÓDIGO]],Descripciones[[CÓDIGO]:[NOMBRE DE SERVICIO]],3,FALSE)</f>
        <v>D2. Edificación en Altura</v>
      </c>
      <c r="E634" s="87" t="s">
        <v>497</v>
      </c>
      <c r="F634" s="88" t="s">
        <v>886</v>
      </c>
      <c r="G634" s="88" t="s">
        <v>792</v>
      </c>
      <c r="H634" s="87" t="s">
        <v>866</v>
      </c>
      <c r="I634" s="89">
        <v>1</v>
      </c>
      <c r="J634" s="88" t="s">
        <v>893</v>
      </c>
      <c r="K634" s="102"/>
      <c r="L634" s="88" t="s">
        <v>785</v>
      </c>
      <c r="M634" s="89" t="s">
        <v>381</v>
      </c>
      <c r="N634" s="90">
        <v>1</v>
      </c>
      <c r="O634" s="27">
        <f>IFERROR(+VLOOKUP(M634,D.sign_Lista_Data[[RESPONSABLE]:[SOFTWARE 
VALOR HORA]],3,FALSE),"0")</f>
        <v>20263.424518743668</v>
      </c>
      <c r="P634" s="3">
        <f t="shared" si="22"/>
        <v>20263.424518743668</v>
      </c>
      <c r="Q634" s="11">
        <f>IFERROR(+VLOOKUP(M634,D.sign_Lista_Data[[RESPONSABLE]:[SOFTWARE 
VALOR HORA]],5,FALSE)*D.sign_Data[[#This Row],[TIEMPO (HORAS)]],0)</f>
        <v>4221.5467747382636</v>
      </c>
      <c r="R634" s="11">
        <f>IFERROR(+VLOOKUP(M634,D.sign_Lista_Data[[RESPONSABLE]:[SOFTWARE 
VALOR HORA]],8,FALSE)*D.sign_Data[[#This Row],[TIEMPO (HORAS)]],0)</f>
        <v>3410.8548871439834</v>
      </c>
      <c r="S634" s="99"/>
      <c r="T634" s="99"/>
      <c r="U634" s="3">
        <f t="shared" si="23"/>
        <v>27895.826180625918</v>
      </c>
      <c r="V634" s="100">
        <f>D.sign_Data[[#This Row],[TIEMPO (HORAS)]]*Gastos_Operativos[[#Totals],[GASTOS HORA]]</f>
        <v>27789.477072310401</v>
      </c>
      <c r="W634" s="3">
        <f>+D.sign_Data[[#This Row],[COSTO 
DIRECTO ($COP)]]+D.sign_Data[[#This Row],[PRORRATEO GASTOS ($COP)]]</f>
        <v>55685.303252936319</v>
      </c>
      <c r="X634" s="101">
        <v>0.15</v>
      </c>
      <c r="Y634" s="15">
        <f>+D.sign_Data[[#This Row],[COSTOS OPERACIONALES ($COP)]]*D.sign_Data[[#This Row],[DESFASE (%)]]</f>
        <v>8352.7954879404479</v>
      </c>
      <c r="Z634" s="101">
        <v>0.3</v>
      </c>
      <c r="AA634" s="15">
        <f>+((D.sign_Data[[#This Row],[COSTOS OPERACIONALES ($COP)]]/(100%-D.sign_Data[[#This Row],[UTILIDAD (%)]])))-D.sign_Data[[#This Row],[COSTOS OPERACIONALES ($COP)]]</f>
        <v>23865.129965544147</v>
      </c>
      <c r="AB634" s="3">
        <f>+D.sign_Data[[#This Row],[COSTOS OPERACIONALES ($COP)]]+D.sign_Data[[#This Row],[DESFASE ($COP)]]+D.sign_Data[[#This Row],[UTILIDAD ($COP)]]</f>
        <v>87903.228706420923</v>
      </c>
      <c r="AC634" s="101">
        <v>0.05</v>
      </c>
      <c r="AD634" s="15">
        <f>+D.sign_Data[[#This Row],[VALOR NETO ($COP)]]/(100%-D.sign_Data[[#This Row],[MARGEN DE NEGOCIACIÓN (%)]])-D.sign_Data[[#This Row],[VALOR NETO ($COP)]]</f>
        <v>4626.485721390578</v>
      </c>
      <c r="AE634" s="15">
        <f>+(D.sign_Data[[#This Row],[VALOR NETO ($COP)]]+D.sign_Data[[#This Row],[NEGOCIACIÓN ($COP)]])*1%</f>
        <v>925.29714427811507</v>
      </c>
      <c r="AF634" s="15">
        <f>+(D.sign_Data[[#This Row],[VALOR NETO ($COP)]]+D.sign_Data[[#This Row],[NEGOCIACIÓN ($COP)]])*1%</f>
        <v>925.29714427811507</v>
      </c>
      <c r="AG634" s="3">
        <f>+D.sign_Data[[#This Row],[VALOR NETO ($COP)]]+D.sign_Data[[#This Row],[NEGOCIACIÓN ($COP)]]+D.sign_Data[[#This Row],[ICA ($COP)]]+D.sign_Data[[#This Row],[4 * 1000 ($COP)]]</f>
        <v>94380.308716367726</v>
      </c>
    </row>
    <row r="635" spans="1:33" ht="60" hidden="1" customHeight="1" x14ac:dyDescent="0.25">
      <c r="A635" s="14"/>
      <c r="B635" s="87" t="s">
        <v>418</v>
      </c>
      <c r="C635" s="182" t="s">
        <v>885</v>
      </c>
      <c r="D635" s="189" t="str">
        <f>VLOOKUP(D.sign_Data[[#This Row],[CÓDIGO]],Descripciones[[CÓDIGO]:[NOMBRE DE SERVICIO]],3,FALSE)</f>
        <v>D2. Edificación en Altura</v>
      </c>
      <c r="E635" s="87" t="s">
        <v>497</v>
      </c>
      <c r="F635" s="88" t="s">
        <v>886</v>
      </c>
      <c r="G635" s="88" t="s">
        <v>792</v>
      </c>
      <c r="H635" s="87" t="s">
        <v>866</v>
      </c>
      <c r="I635" s="89">
        <v>1</v>
      </c>
      <c r="J635" s="88" t="s">
        <v>893</v>
      </c>
      <c r="K635" s="102"/>
      <c r="L635" s="88" t="s">
        <v>786</v>
      </c>
      <c r="M635" s="89" t="s">
        <v>381</v>
      </c>
      <c r="N635" s="90">
        <v>2</v>
      </c>
      <c r="O635" s="27">
        <f>IFERROR(+VLOOKUP(M635,D.sign_Lista_Data[[RESPONSABLE]:[SOFTWARE 
VALOR HORA]],3,FALSE),"0")</f>
        <v>20263.424518743668</v>
      </c>
      <c r="P635" s="3">
        <f t="shared" si="22"/>
        <v>40526.849037487336</v>
      </c>
      <c r="Q635" s="11">
        <f>IFERROR(+VLOOKUP(M635,D.sign_Lista_Data[[RESPONSABLE]:[SOFTWARE 
VALOR HORA]],5,FALSE)*D.sign_Data[[#This Row],[TIEMPO (HORAS)]],0)</f>
        <v>8443.0935494765272</v>
      </c>
      <c r="R635" s="11">
        <f>IFERROR(+VLOOKUP(M635,D.sign_Lista_Data[[RESPONSABLE]:[SOFTWARE 
VALOR HORA]],8,FALSE)*D.sign_Data[[#This Row],[TIEMPO (HORAS)]],0)</f>
        <v>6821.7097742879669</v>
      </c>
      <c r="S635" s="99"/>
      <c r="T635" s="99"/>
      <c r="U635" s="3">
        <f t="shared" si="23"/>
        <v>55791.652361251836</v>
      </c>
      <c r="V635" s="100">
        <f>D.sign_Data[[#This Row],[TIEMPO (HORAS)]]*Gastos_Operativos[[#Totals],[GASTOS HORA]]</f>
        <v>55578.954144620802</v>
      </c>
      <c r="W635" s="3">
        <f>+D.sign_Data[[#This Row],[COSTO 
DIRECTO ($COP)]]+D.sign_Data[[#This Row],[PRORRATEO GASTOS ($COP)]]</f>
        <v>111370.60650587264</v>
      </c>
      <c r="X635" s="101">
        <v>0.15</v>
      </c>
      <c r="Y635" s="15">
        <f>+D.sign_Data[[#This Row],[COSTOS OPERACIONALES ($COP)]]*D.sign_Data[[#This Row],[DESFASE (%)]]</f>
        <v>16705.590975880896</v>
      </c>
      <c r="Z635" s="101">
        <v>0.3</v>
      </c>
      <c r="AA635" s="15">
        <f>+((D.sign_Data[[#This Row],[COSTOS OPERACIONALES ($COP)]]/(100%-D.sign_Data[[#This Row],[UTILIDAD (%)]])))-D.sign_Data[[#This Row],[COSTOS OPERACIONALES ($COP)]]</f>
        <v>47730.259931088294</v>
      </c>
      <c r="AB635" s="3">
        <f>+D.sign_Data[[#This Row],[COSTOS OPERACIONALES ($COP)]]+D.sign_Data[[#This Row],[DESFASE ($COP)]]+D.sign_Data[[#This Row],[UTILIDAD ($COP)]]</f>
        <v>175806.45741284185</v>
      </c>
      <c r="AC635" s="101">
        <v>0.05</v>
      </c>
      <c r="AD635" s="15">
        <f>+D.sign_Data[[#This Row],[VALOR NETO ($COP)]]/(100%-D.sign_Data[[#This Row],[MARGEN DE NEGOCIACIÓN (%)]])-D.sign_Data[[#This Row],[VALOR NETO ($COP)]]</f>
        <v>9252.9714427811559</v>
      </c>
      <c r="AE635" s="15">
        <f>+(D.sign_Data[[#This Row],[VALOR NETO ($COP)]]+D.sign_Data[[#This Row],[NEGOCIACIÓN ($COP)]])*1%</f>
        <v>1850.5942885562301</v>
      </c>
      <c r="AF635" s="15">
        <f>+(D.sign_Data[[#This Row],[VALOR NETO ($COP)]]+D.sign_Data[[#This Row],[NEGOCIACIÓN ($COP)]])*1%</f>
        <v>1850.5942885562301</v>
      </c>
      <c r="AG635" s="3">
        <f>+D.sign_Data[[#This Row],[VALOR NETO ($COP)]]+D.sign_Data[[#This Row],[NEGOCIACIÓN ($COP)]]+D.sign_Data[[#This Row],[ICA ($COP)]]+D.sign_Data[[#This Row],[4 * 1000 ($COP)]]</f>
        <v>188760.61743273545</v>
      </c>
    </row>
    <row r="636" spans="1:33" ht="60" hidden="1" customHeight="1" x14ac:dyDescent="0.25">
      <c r="A636" s="14"/>
      <c r="B636" s="87" t="s">
        <v>418</v>
      </c>
      <c r="C636" s="182" t="s">
        <v>885</v>
      </c>
      <c r="D636" s="189" t="str">
        <f>VLOOKUP(D.sign_Data[[#This Row],[CÓDIGO]],Descripciones[[CÓDIGO]:[NOMBRE DE SERVICIO]],3,FALSE)</f>
        <v>D2. Edificación en Altura</v>
      </c>
      <c r="E636" s="87" t="s">
        <v>497</v>
      </c>
      <c r="F636" s="88" t="s">
        <v>886</v>
      </c>
      <c r="G636" s="88" t="s">
        <v>792</v>
      </c>
      <c r="H636" s="87" t="s">
        <v>866</v>
      </c>
      <c r="I636" s="89">
        <v>1</v>
      </c>
      <c r="J636" s="88" t="s">
        <v>893</v>
      </c>
      <c r="K636" s="102"/>
      <c r="L636" s="88" t="s">
        <v>787</v>
      </c>
      <c r="M636" s="89" t="s">
        <v>381</v>
      </c>
      <c r="N636" s="90">
        <v>1</v>
      </c>
      <c r="O636" s="27">
        <f>IFERROR(+VLOOKUP(M636,D.sign_Lista_Data[[RESPONSABLE]:[SOFTWARE 
VALOR HORA]],3,FALSE),"0")</f>
        <v>20263.424518743668</v>
      </c>
      <c r="P636" s="3">
        <f t="shared" si="22"/>
        <v>20263.424518743668</v>
      </c>
      <c r="Q636" s="11">
        <f>IFERROR(+VLOOKUP(M636,D.sign_Lista_Data[[RESPONSABLE]:[SOFTWARE 
VALOR HORA]],5,FALSE)*D.sign_Data[[#This Row],[TIEMPO (HORAS)]],0)</f>
        <v>4221.5467747382636</v>
      </c>
      <c r="R636" s="11">
        <f>IFERROR(+VLOOKUP(M636,D.sign_Lista_Data[[RESPONSABLE]:[SOFTWARE 
VALOR HORA]],8,FALSE)*D.sign_Data[[#This Row],[TIEMPO (HORAS)]],0)</f>
        <v>3410.8548871439834</v>
      </c>
      <c r="S636" s="99"/>
      <c r="T636" s="99"/>
      <c r="U636" s="3">
        <f t="shared" si="23"/>
        <v>27895.826180625918</v>
      </c>
      <c r="V636" s="100">
        <f>D.sign_Data[[#This Row],[TIEMPO (HORAS)]]*Gastos_Operativos[[#Totals],[GASTOS HORA]]</f>
        <v>27789.477072310401</v>
      </c>
      <c r="W636" s="3">
        <f>+D.sign_Data[[#This Row],[COSTO 
DIRECTO ($COP)]]+D.sign_Data[[#This Row],[PRORRATEO GASTOS ($COP)]]</f>
        <v>55685.303252936319</v>
      </c>
      <c r="X636" s="101">
        <v>0.15</v>
      </c>
      <c r="Y636" s="15">
        <f>+D.sign_Data[[#This Row],[COSTOS OPERACIONALES ($COP)]]*D.sign_Data[[#This Row],[DESFASE (%)]]</f>
        <v>8352.7954879404479</v>
      </c>
      <c r="Z636" s="101">
        <v>0.3</v>
      </c>
      <c r="AA636" s="15">
        <f>+((D.sign_Data[[#This Row],[COSTOS OPERACIONALES ($COP)]]/(100%-D.sign_Data[[#This Row],[UTILIDAD (%)]])))-D.sign_Data[[#This Row],[COSTOS OPERACIONALES ($COP)]]</f>
        <v>23865.129965544147</v>
      </c>
      <c r="AB636" s="3">
        <f>+D.sign_Data[[#This Row],[COSTOS OPERACIONALES ($COP)]]+D.sign_Data[[#This Row],[DESFASE ($COP)]]+D.sign_Data[[#This Row],[UTILIDAD ($COP)]]</f>
        <v>87903.228706420923</v>
      </c>
      <c r="AC636" s="101">
        <v>0.05</v>
      </c>
      <c r="AD636" s="15">
        <f>+D.sign_Data[[#This Row],[VALOR NETO ($COP)]]/(100%-D.sign_Data[[#This Row],[MARGEN DE NEGOCIACIÓN (%)]])-D.sign_Data[[#This Row],[VALOR NETO ($COP)]]</f>
        <v>4626.485721390578</v>
      </c>
      <c r="AE636" s="15">
        <f>+(D.sign_Data[[#This Row],[VALOR NETO ($COP)]]+D.sign_Data[[#This Row],[NEGOCIACIÓN ($COP)]])*1%</f>
        <v>925.29714427811507</v>
      </c>
      <c r="AF636" s="15">
        <f>+(D.sign_Data[[#This Row],[VALOR NETO ($COP)]]+D.sign_Data[[#This Row],[NEGOCIACIÓN ($COP)]])*1%</f>
        <v>925.29714427811507</v>
      </c>
      <c r="AG636" s="3">
        <f>+D.sign_Data[[#This Row],[VALOR NETO ($COP)]]+D.sign_Data[[#This Row],[NEGOCIACIÓN ($COP)]]+D.sign_Data[[#This Row],[ICA ($COP)]]+D.sign_Data[[#This Row],[4 * 1000 ($COP)]]</f>
        <v>94380.308716367726</v>
      </c>
    </row>
    <row r="637" spans="1:33" ht="60" hidden="1" customHeight="1" x14ac:dyDescent="0.25">
      <c r="A637" s="14"/>
      <c r="B637" s="87" t="s">
        <v>418</v>
      </c>
      <c r="C637" s="182" t="s">
        <v>885</v>
      </c>
      <c r="D637" s="189" t="str">
        <f>VLOOKUP(D.sign_Data[[#This Row],[CÓDIGO]],Descripciones[[CÓDIGO]:[NOMBRE DE SERVICIO]],3,FALSE)</f>
        <v>D2. Edificación en Altura</v>
      </c>
      <c r="E637" s="87" t="s">
        <v>497</v>
      </c>
      <c r="F637" s="88" t="s">
        <v>886</v>
      </c>
      <c r="G637" s="88" t="s">
        <v>792</v>
      </c>
      <c r="H637" s="87" t="s">
        <v>866</v>
      </c>
      <c r="I637" s="89">
        <v>1</v>
      </c>
      <c r="J637" s="88" t="s">
        <v>893</v>
      </c>
      <c r="K637" s="102"/>
      <c r="L637" s="88" t="s">
        <v>788</v>
      </c>
      <c r="M637" s="89" t="s">
        <v>381</v>
      </c>
      <c r="N637" s="90">
        <v>0.5</v>
      </c>
      <c r="O637" s="27">
        <f>IFERROR(+VLOOKUP(M637,D.sign_Lista_Data[[RESPONSABLE]:[SOFTWARE 
VALOR HORA]],3,FALSE),"0")</f>
        <v>20263.424518743668</v>
      </c>
      <c r="P637" s="3">
        <f t="shared" si="22"/>
        <v>10131.712259371834</v>
      </c>
      <c r="Q637" s="11">
        <f>IFERROR(+VLOOKUP(M637,D.sign_Lista_Data[[RESPONSABLE]:[SOFTWARE 
VALOR HORA]],5,FALSE)*D.sign_Data[[#This Row],[TIEMPO (HORAS)]],0)</f>
        <v>2110.7733873691318</v>
      </c>
      <c r="R637" s="11">
        <f>IFERROR(+VLOOKUP(M637,D.sign_Lista_Data[[RESPONSABLE]:[SOFTWARE 
VALOR HORA]],8,FALSE)*D.sign_Data[[#This Row],[TIEMPO (HORAS)]],0)</f>
        <v>1705.4274435719917</v>
      </c>
      <c r="S637" s="99"/>
      <c r="T637" s="99"/>
      <c r="U637" s="3">
        <f t="shared" si="23"/>
        <v>13947.913090312959</v>
      </c>
      <c r="V637" s="100">
        <f>D.sign_Data[[#This Row],[TIEMPO (HORAS)]]*Gastos_Operativos[[#Totals],[GASTOS HORA]]</f>
        <v>13894.738536155201</v>
      </c>
      <c r="W637" s="3">
        <f>+D.sign_Data[[#This Row],[COSTO 
DIRECTO ($COP)]]+D.sign_Data[[#This Row],[PRORRATEO GASTOS ($COP)]]</f>
        <v>27842.65162646816</v>
      </c>
      <c r="X637" s="101">
        <v>0.15</v>
      </c>
      <c r="Y637" s="15">
        <f>+D.sign_Data[[#This Row],[COSTOS OPERACIONALES ($COP)]]*D.sign_Data[[#This Row],[DESFASE (%)]]</f>
        <v>4176.3977439702239</v>
      </c>
      <c r="Z637" s="101">
        <v>0.3</v>
      </c>
      <c r="AA637" s="15">
        <f>+((D.sign_Data[[#This Row],[COSTOS OPERACIONALES ($COP)]]/(100%-D.sign_Data[[#This Row],[UTILIDAD (%)]])))-D.sign_Data[[#This Row],[COSTOS OPERACIONALES ($COP)]]</f>
        <v>11932.564982772074</v>
      </c>
      <c r="AB637" s="3">
        <f>+D.sign_Data[[#This Row],[COSTOS OPERACIONALES ($COP)]]+D.sign_Data[[#This Row],[DESFASE ($COP)]]+D.sign_Data[[#This Row],[UTILIDAD ($COP)]]</f>
        <v>43951.614353210462</v>
      </c>
      <c r="AC637" s="101">
        <v>0.05</v>
      </c>
      <c r="AD637" s="15">
        <f>+D.sign_Data[[#This Row],[VALOR NETO ($COP)]]/(100%-D.sign_Data[[#This Row],[MARGEN DE NEGOCIACIÓN (%)]])-D.sign_Data[[#This Row],[VALOR NETO ($COP)]]</f>
        <v>2313.242860695289</v>
      </c>
      <c r="AE637" s="15">
        <f>+(D.sign_Data[[#This Row],[VALOR NETO ($COP)]]+D.sign_Data[[#This Row],[NEGOCIACIÓN ($COP)]])*1%</f>
        <v>462.64857213905753</v>
      </c>
      <c r="AF637" s="15">
        <f>+(D.sign_Data[[#This Row],[VALOR NETO ($COP)]]+D.sign_Data[[#This Row],[NEGOCIACIÓN ($COP)]])*1%</f>
        <v>462.64857213905753</v>
      </c>
      <c r="AG637" s="3">
        <f>+D.sign_Data[[#This Row],[VALOR NETO ($COP)]]+D.sign_Data[[#This Row],[NEGOCIACIÓN ($COP)]]+D.sign_Data[[#This Row],[ICA ($COP)]]+D.sign_Data[[#This Row],[4 * 1000 ($COP)]]</f>
        <v>47190.154358183863</v>
      </c>
    </row>
    <row r="638" spans="1:33" ht="60" hidden="1" customHeight="1" x14ac:dyDescent="0.25">
      <c r="A638" s="14"/>
      <c r="B638" s="87" t="s">
        <v>418</v>
      </c>
      <c r="C638" s="182" t="s">
        <v>885</v>
      </c>
      <c r="D638" s="189" t="str">
        <f>VLOOKUP(D.sign_Data[[#This Row],[CÓDIGO]],Descripciones[[CÓDIGO]:[NOMBRE DE SERVICIO]],3,FALSE)</f>
        <v>D2. Edificación en Altura</v>
      </c>
      <c r="E638" s="87" t="s">
        <v>497</v>
      </c>
      <c r="F638" s="88" t="s">
        <v>886</v>
      </c>
      <c r="G638" s="88" t="s">
        <v>792</v>
      </c>
      <c r="H638" s="87" t="s">
        <v>866</v>
      </c>
      <c r="I638" s="89">
        <v>1</v>
      </c>
      <c r="J638" s="88" t="s">
        <v>893</v>
      </c>
      <c r="K638" s="102"/>
      <c r="L638" s="88" t="s">
        <v>483</v>
      </c>
      <c r="M638" s="89" t="s">
        <v>381</v>
      </c>
      <c r="N638" s="90">
        <v>1</v>
      </c>
      <c r="O638" s="27">
        <f>IFERROR(+VLOOKUP(M638,D.sign_Lista_Data[[RESPONSABLE]:[SOFTWARE 
VALOR HORA]],3,FALSE),"0")</f>
        <v>20263.424518743668</v>
      </c>
      <c r="P638" s="3">
        <f t="shared" si="22"/>
        <v>20263.424518743668</v>
      </c>
      <c r="Q638" s="11">
        <f>IFERROR(+VLOOKUP(M638,D.sign_Lista_Data[[RESPONSABLE]:[SOFTWARE 
VALOR HORA]],5,FALSE)*D.sign_Data[[#This Row],[TIEMPO (HORAS)]],0)</f>
        <v>4221.5467747382636</v>
      </c>
      <c r="R638" s="11">
        <f>IFERROR(+VLOOKUP(M638,D.sign_Lista_Data[[RESPONSABLE]:[SOFTWARE 
VALOR HORA]],8,FALSE)*D.sign_Data[[#This Row],[TIEMPO (HORAS)]],0)</f>
        <v>3410.8548871439834</v>
      </c>
      <c r="S638" s="99"/>
      <c r="T638" s="99"/>
      <c r="U638" s="3">
        <f t="shared" si="23"/>
        <v>27895.826180625918</v>
      </c>
      <c r="V638" s="100">
        <f>D.sign_Data[[#This Row],[TIEMPO (HORAS)]]*Gastos_Operativos[[#Totals],[GASTOS HORA]]</f>
        <v>27789.477072310401</v>
      </c>
      <c r="W638" s="3">
        <f>+D.sign_Data[[#This Row],[COSTO 
DIRECTO ($COP)]]+D.sign_Data[[#This Row],[PRORRATEO GASTOS ($COP)]]</f>
        <v>55685.303252936319</v>
      </c>
      <c r="X638" s="101">
        <v>0.15</v>
      </c>
      <c r="Y638" s="15">
        <f>+D.sign_Data[[#This Row],[COSTOS OPERACIONALES ($COP)]]*D.sign_Data[[#This Row],[DESFASE (%)]]</f>
        <v>8352.7954879404479</v>
      </c>
      <c r="Z638" s="101">
        <v>0.3</v>
      </c>
      <c r="AA638" s="15">
        <f>+((D.sign_Data[[#This Row],[COSTOS OPERACIONALES ($COP)]]/(100%-D.sign_Data[[#This Row],[UTILIDAD (%)]])))-D.sign_Data[[#This Row],[COSTOS OPERACIONALES ($COP)]]</f>
        <v>23865.129965544147</v>
      </c>
      <c r="AB638" s="3">
        <f>+D.sign_Data[[#This Row],[COSTOS OPERACIONALES ($COP)]]+D.sign_Data[[#This Row],[DESFASE ($COP)]]+D.sign_Data[[#This Row],[UTILIDAD ($COP)]]</f>
        <v>87903.228706420923</v>
      </c>
      <c r="AC638" s="101">
        <v>0.05</v>
      </c>
      <c r="AD638" s="15">
        <f>+D.sign_Data[[#This Row],[VALOR NETO ($COP)]]/(100%-D.sign_Data[[#This Row],[MARGEN DE NEGOCIACIÓN (%)]])-D.sign_Data[[#This Row],[VALOR NETO ($COP)]]</f>
        <v>4626.485721390578</v>
      </c>
      <c r="AE638" s="15">
        <f>+(D.sign_Data[[#This Row],[VALOR NETO ($COP)]]+D.sign_Data[[#This Row],[NEGOCIACIÓN ($COP)]])*1%</f>
        <v>925.29714427811507</v>
      </c>
      <c r="AF638" s="15">
        <f>+(D.sign_Data[[#This Row],[VALOR NETO ($COP)]]+D.sign_Data[[#This Row],[NEGOCIACIÓN ($COP)]])*1%</f>
        <v>925.29714427811507</v>
      </c>
      <c r="AG638" s="3">
        <f>+D.sign_Data[[#This Row],[VALOR NETO ($COP)]]+D.sign_Data[[#This Row],[NEGOCIACIÓN ($COP)]]+D.sign_Data[[#This Row],[ICA ($COP)]]+D.sign_Data[[#This Row],[4 * 1000 ($COP)]]</f>
        <v>94380.308716367726</v>
      </c>
    </row>
    <row r="639" spans="1:33" ht="60" hidden="1" customHeight="1" x14ac:dyDescent="0.25">
      <c r="A639" s="14"/>
      <c r="B639" s="87" t="s">
        <v>418</v>
      </c>
      <c r="C639" s="182" t="s">
        <v>885</v>
      </c>
      <c r="D639" s="189" t="str">
        <f>VLOOKUP(D.sign_Data[[#This Row],[CÓDIGO]],Descripciones[[CÓDIGO]:[NOMBRE DE SERVICIO]],3,FALSE)</f>
        <v>D2. Edificación en Altura</v>
      </c>
      <c r="E639" s="87" t="s">
        <v>497</v>
      </c>
      <c r="F639" s="88" t="s">
        <v>886</v>
      </c>
      <c r="G639" s="88" t="s">
        <v>792</v>
      </c>
      <c r="H639" s="87" t="s">
        <v>448</v>
      </c>
      <c r="I639" s="89">
        <v>1</v>
      </c>
      <c r="J639" s="88" t="s">
        <v>803</v>
      </c>
      <c r="K639" s="102"/>
      <c r="L639" s="88" t="s">
        <v>464</v>
      </c>
      <c r="M639" s="89" t="s">
        <v>381</v>
      </c>
      <c r="N639" s="90">
        <v>1</v>
      </c>
      <c r="O639" s="27">
        <f>IFERROR(+VLOOKUP(M639,D.sign_Lista_Data[[RESPONSABLE]:[SOFTWARE 
VALOR HORA]],3,FALSE),"0")</f>
        <v>20263.424518743668</v>
      </c>
      <c r="P639" s="3">
        <f t="shared" si="22"/>
        <v>20263.424518743668</v>
      </c>
      <c r="Q639" s="11">
        <f>IFERROR(+VLOOKUP(M639,D.sign_Lista_Data[[RESPONSABLE]:[SOFTWARE 
VALOR HORA]],5,FALSE)*D.sign_Data[[#This Row],[TIEMPO (HORAS)]],0)</f>
        <v>4221.5467747382636</v>
      </c>
      <c r="R639" s="11">
        <f>IFERROR(+VLOOKUP(M639,D.sign_Lista_Data[[RESPONSABLE]:[SOFTWARE 
VALOR HORA]],8,FALSE)*D.sign_Data[[#This Row],[TIEMPO (HORAS)]],0)</f>
        <v>3410.8548871439834</v>
      </c>
      <c r="S639" s="99"/>
      <c r="T639" s="99"/>
      <c r="U639" s="3">
        <f t="shared" si="23"/>
        <v>27895.826180625918</v>
      </c>
      <c r="V639" s="100">
        <f>D.sign_Data[[#This Row],[TIEMPO (HORAS)]]*Gastos_Operativos[[#Totals],[GASTOS HORA]]</f>
        <v>27789.477072310401</v>
      </c>
      <c r="W639" s="3">
        <f>+D.sign_Data[[#This Row],[COSTO 
DIRECTO ($COP)]]+D.sign_Data[[#This Row],[PRORRATEO GASTOS ($COP)]]</f>
        <v>55685.303252936319</v>
      </c>
      <c r="X639" s="101">
        <v>0.15</v>
      </c>
      <c r="Y639" s="15">
        <f>+D.sign_Data[[#This Row],[COSTOS OPERACIONALES ($COP)]]*D.sign_Data[[#This Row],[DESFASE (%)]]</f>
        <v>8352.7954879404479</v>
      </c>
      <c r="Z639" s="101">
        <v>0.3</v>
      </c>
      <c r="AA639" s="15">
        <f>+((D.sign_Data[[#This Row],[COSTOS OPERACIONALES ($COP)]]/(100%-D.sign_Data[[#This Row],[UTILIDAD (%)]])))-D.sign_Data[[#This Row],[COSTOS OPERACIONALES ($COP)]]</f>
        <v>23865.129965544147</v>
      </c>
      <c r="AB639" s="3">
        <f>+D.sign_Data[[#This Row],[COSTOS OPERACIONALES ($COP)]]+D.sign_Data[[#This Row],[DESFASE ($COP)]]+D.sign_Data[[#This Row],[UTILIDAD ($COP)]]</f>
        <v>87903.228706420923</v>
      </c>
      <c r="AC639" s="101">
        <v>0.05</v>
      </c>
      <c r="AD639" s="15">
        <f>+D.sign_Data[[#This Row],[VALOR NETO ($COP)]]/(100%-D.sign_Data[[#This Row],[MARGEN DE NEGOCIACIÓN (%)]])-D.sign_Data[[#This Row],[VALOR NETO ($COP)]]</f>
        <v>4626.485721390578</v>
      </c>
      <c r="AE639" s="15">
        <f>+(D.sign_Data[[#This Row],[VALOR NETO ($COP)]]+D.sign_Data[[#This Row],[NEGOCIACIÓN ($COP)]])*1%</f>
        <v>925.29714427811507</v>
      </c>
      <c r="AF639" s="15">
        <f>+(D.sign_Data[[#This Row],[VALOR NETO ($COP)]]+D.sign_Data[[#This Row],[NEGOCIACIÓN ($COP)]])*1%</f>
        <v>925.29714427811507</v>
      </c>
      <c r="AG639" s="3">
        <f>+D.sign_Data[[#This Row],[VALOR NETO ($COP)]]+D.sign_Data[[#This Row],[NEGOCIACIÓN ($COP)]]+D.sign_Data[[#This Row],[ICA ($COP)]]+D.sign_Data[[#This Row],[4 * 1000 ($COP)]]</f>
        <v>94380.308716367726</v>
      </c>
    </row>
    <row r="640" spans="1:33" ht="60" hidden="1" customHeight="1" x14ac:dyDescent="0.25">
      <c r="A640" s="14"/>
      <c r="B640" s="87" t="s">
        <v>442</v>
      </c>
      <c r="C640" s="182" t="s">
        <v>894</v>
      </c>
      <c r="D640" s="189" t="str">
        <f>VLOOKUP(D.sign_Data[[#This Row],[CÓDIGO]],Descripciones[[CÓDIGO]:[NOMBRE DE SERVICIO]],3,FALSE)</f>
        <v>D2. Edificación en Altura</v>
      </c>
      <c r="E640" s="87" t="s">
        <v>497</v>
      </c>
      <c r="F640" s="88" t="s">
        <v>895</v>
      </c>
      <c r="G640" s="88" t="s">
        <v>536</v>
      </c>
      <c r="H640" s="87" t="s">
        <v>500</v>
      </c>
      <c r="I640" s="89">
        <v>1</v>
      </c>
      <c r="J640" s="88" t="s">
        <v>896</v>
      </c>
      <c r="K640" s="102"/>
      <c r="L640" s="88" t="s">
        <v>897</v>
      </c>
      <c r="M640" s="89" t="s">
        <v>381</v>
      </c>
      <c r="N640" s="90">
        <v>0.25</v>
      </c>
      <c r="O640" s="27">
        <f>IFERROR(+VLOOKUP(M640,D.sign_Lista_Data[[RESPONSABLE]:[SOFTWARE 
VALOR HORA]],3,FALSE),"0")</f>
        <v>20263.424518743668</v>
      </c>
      <c r="P640" s="3">
        <f t="shared" si="22"/>
        <v>5065.856129685917</v>
      </c>
      <c r="Q640" s="11">
        <f>IFERROR(+VLOOKUP(M640,D.sign_Lista_Data[[RESPONSABLE]:[SOFTWARE 
VALOR HORA]],5,FALSE)*D.sign_Data[[#This Row],[TIEMPO (HORAS)]],0)</f>
        <v>1055.3866936845659</v>
      </c>
      <c r="R640" s="11">
        <f>IFERROR(+VLOOKUP(M640,D.sign_Lista_Data[[RESPONSABLE]:[SOFTWARE 
VALOR HORA]],8,FALSE)*D.sign_Data[[#This Row],[TIEMPO (HORAS)]],0)</f>
        <v>852.71372178599586</v>
      </c>
      <c r="S640" s="99"/>
      <c r="T640" s="99"/>
      <c r="U640" s="3">
        <f t="shared" si="23"/>
        <v>6973.9565451564795</v>
      </c>
      <c r="V640" s="100">
        <f>D.sign_Data[[#This Row],[TIEMPO (HORAS)]]*Gastos_Operativos[[#Totals],[GASTOS HORA]]</f>
        <v>6947.3692680776003</v>
      </c>
      <c r="W640" s="3">
        <f>+D.sign_Data[[#This Row],[COSTO 
DIRECTO ($COP)]]+D.sign_Data[[#This Row],[PRORRATEO GASTOS ($COP)]]</f>
        <v>13921.32581323408</v>
      </c>
      <c r="X640" s="101">
        <v>0.1</v>
      </c>
      <c r="Y640" s="15">
        <f>+D.sign_Data[[#This Row],[COSTOS OPERACIONALES ($COP)]]*D.sign_Data[[#This Row],[DESFASE (%)]]</f>
        <v>1392.132581323408</v>
      </c>
      <c r="Z640" s="101">
        <v>0.1</v>
      </c>
      <c r="AA640" s="15">
        <f>+((D.sign_Data[[#This Row],[COSTOS OPERACIONALES ($COP)]]/(100%-D.sign_Data[[#This Row],[UTILIDAD (%)]])))-D.sign_Data[[#This Row],[COSTOS OPERACIONALES ($COP)]]</f>
        <v>1546.8139792482307</v>
      </c>
      <c r="AB640" s="3">
        <f>+D.sign_Data[[#This Row],[COSTOS OPERACIONALES ($COP)]]+D.sign_Data[[#This Row],[DESFASE ($COP)]]+D.sign_Data[[#This Row],[UTILIDAD ($COP)]]</f>
        <v>16860.272373805718</v>
      </c>
      <c r="AC640" s="101">
        <v>0.05</v>
      </c>
      <c r="AD640" s="15">
        <f>+D.sign_Data[[#This Row],[VALOR NETO ($COP)]]/(100%-D.sign_Data[[#This Row],[MARGEN DE NEGOCIACIÓN (%)]])-D.sign_Data[[#This Row],[VALOR NETO ($COP)]]</f>
        <v>887.38275651609001</v>
      </c>
      <c r="AE640" s="15">
        <f>+(D.sign_Data[[#This Row],[VALOR NETO ($COP)]]+D.sign_Data[[#This Row],[NEGOCIACIÓN ($COP)]])*1%</f>
        <v>177.47655130321809</v>
      </c>
      <c r="AF640" s="15">
        <f>+(D.sign_Data[[#This Row],[VALOR NETO ($COP)]]+D.sign_Data[[#This Row],[NEGOCIACIÓN ($COP)]])*1%</f>
        <v>177.47655130321809</v>
      </c>
      <c r="AG640" s="3">
        <f>+D.sign_Data[[#This Row],[VALOR NETO ($COP)]]+D.sign_Data[[#This Row],[NEGOCIACIÓN ($COP)]]+D.sign_Data[[#This Row],[ICA ($COP)]]+D.sign_Data[[#This Row],[4 * 1000 ($COP)]]</f>
        <v>18102.608232928244</v>
      </c>
    </row>
    <row r="641" spans="1:33" ht="60" hidden="1" customHeight="1" x14ac:dyDescent="0.25">
      <c r="A641" s="14"/>
      <c r="B641" s="87" t="s">
        <v>442</v>
      </c>
      <c r="C641" s="182" t="s">
        <v>894</v>
      </c>
      <c r="D641" s="189" t="str">
        <f>VLOOKUP(D.sign_Data[[#This Row],[CÓDIGO]],Descripciones[[CÓDIGO]:[NOMBRE DE SERVICIO]],3,FALSE)</f>
        <v>D2. Edificación en Altura</v>
      </c>
      <c r="E641" s="87" t="s">
        <v>497</v>
      </c>
      <c r="F641" s="88" t="s">
        <v>895</v>
      </c>
      <c r="G641" s="88" t="s">
        <v>536</v>
      </c>
      <c r="H641" s="87" t="s">
        <v>500</v>
      </c>
      <c r="I641" s="89">
        <v>1</v>
      </c>
      <c r="J641" s="88" t="s">
        <v>896</v>
      </c>
      <c r="K641" s="102"/>
      <c r="L641" s="88" t="s">
        <v>898</v>
      </c>
      <c r="M641" s="89" t="s">
        <v>381</v>
      </c>
      <c r="N641" s="90">
        <v>0.25</v>
      </c>
      <c r="O641" s="27">
        <f>IFERROR(+VLOOKUP(M641,D.sign_Lista_Data[[RESPONSABLE]:[SOFTWARE 
VALOR HORA]],3,FALSE),"0")</f>
        <v>20263.424518743668</v>
      </c>
      <c r="P641" s="3">
        <f t="shared" si="22"/>
        <v>5065.856129685917</v>
      </c>
      <c r="Q641" s="11">
        <f>IFERROR(+VLOOKUP(M641,D.sign_Lista_Data[[RESPONSABLE]:[SOFTWARE 
VALOR HORA]],5,FALSE)*D.sign_Data[[#This Row],[TIEMPO (HORAS)]],0)</f>
        <v>1055.3866936845659</v>
      </c>
      <c r="R641" s="11">
        <f>IFERROR(+VLOOKUP(M641,D.sign_Lista_Data[[RESPONSABLE]:[SOFTWARE 
VALOR HORA]],8,FALSE)*D.sign_Data[[#This Row],[TIEMPO (HORAS)]],0)</f>
        <v>852.71372178599586</v>
      </c>
      <c r="S641" s="99"/>
      <c r="T641" s="99"/>
      <c r="U641" s="3">
        <f t="shared" si="23"/>
        <v>6973.9565451564795</v>
      </c>
      <c r="V641" s="100">
        <f>D.sign_Data[[#This Row],[TIEMPO (HORAS)]]*Gastos_Operativos[[#Totals],[GASTOS HORA]]</f>
        <v>6947.3692680776003</v>
      </c>
      <c r="W641" s="3">
        <f>+D.sign_Data[[#This Row],[COSTO 
DIRECTO ($COP)]]+D.sign_Data[[#This Row],[PRORRATEO GASTOS ($COP)]]</f>
        <v>13921.32581323408</v>
      </c>
      <c r="X641" s="101">
        <v>0.1</v>
      </c>
      <c r="Y641" s="15">
        <f>+D.sign_Data[[#This Row],[COSTOS OPERACIONALES ($COP)]]*D.sign_Data[[#This Row],[DESFASE (%)]]</f>
        <v>1392.132581323408</v>
      </c>
      <c r="Z641" s="101">
        <v>0.1</v>
      </c>
      <c r="AA641" s="15">
        <f>+((D.sign_Data[[#This Row],[COSTOS OPERACIONALES ($COP)]]/(100%-D.sign_Data[[#This Row],[UTILIDAD (%)]])))-D.sign_Data[[#This Row],[COSTOS OPERACIONALES ($COP)]]</f>
        <v>1546.8139792482307</v>
      </c>
      <c r="AB641" s="3">
        <f>+D.sign_Data[[#This Row],[COSTOS OPERACIONALES ($COP)]]+D.sign_Data[[#This Row],[DESFASE ($COP)]]+D.sign_Data[[#This Row],[UTILIDAD ($COP)]]</f>
        <v>16860.272373805718</v>
      </c>
      <c r="AC641" s="101">
        <v>0.05</v>
      </c>
      <c r="AD641" s="15">
        <f>+D.sign_Data[[#This Row],[VALOR NETO ($COP)]]/(100%-D.sign_Data[[#This Row],[MARGEN DE NEGOCIACIÓN (%)]])-D.sign_Data[[#This Row],[VALOR NETO ($COP)]]</f>
        <v>887.38275651609001</v>
      </c>
      <c r="AE641" s="15">
        <f>+(D.sign_Data[[#This Row],[VALOR NETO ($COP)]]+D.sign_Data[[#This Row],[NEGOCIACIÓN ($COP)]])*1%</f>
        <v>177.47655130321809</v>
      </c>
      <c r="AF641" s="15">
        <f>+(D.sign_Data[[#This Row],[VALOR NETO ($COP)]]+D.sign_Data[[#This Row],[NEGOCIACIÓN ($COP)]])*1%</f>
        <v>177.47655130321809</v>
      </c>
      <c r="AG641" s="3">
        <f>+D.sign_Data[[#This Row],[VALOR NETO ($COP)]]+D.sign_Data[[#This Row],[NEGOCIACIÓN ($COP)]]+D.sign_Data[[#This Row],[ICA ($COP)]]+D.sign_Data[[#This Row],[4 * 1000 ($COP)]]</f>
        <v>18102.608232928244</v>
      </c>
    </row>
    <row r="642" spans="1:33" ht="60" hidden="1" customHeight="1" x14ac:dyDescent="0.25">
      <c r="A642" s="14"/>
      <c r="B642" s="87" t="s">
        <v>442</v>
      </c>
      <c r="C642" s="182" t="s">
        <v>894</v>
      </c>
      <c r="D642" s="189" t="str">
        <f>VLOOKUP(D.sign_Data[[#This Row],[CÓDIGO]],Descripciones[[CÓDIGO]:[NOMBRE DE SERVICIO]],3,FALSE)</f>
        <v>D2. Edificación en Altura</v>
      </c>
      <c r="E642" s="87" t="s">
        <v>497</v>
      </c>
      <c r="F642" s="88" t="s">
        <v>895</v>
      </c>
      <c r="G642" s="88" t="s">
        <v>536</v>
      </c>
      <c r="H642" s="87" t="s">
        <v>500</v>
      </c>
      <c r="I642" s="89">
        <v>1</v>
      </c>
      <c r="J642" s="88" t="s">
        <v>896</v>
      </c>
      <c r="K642" s="102"/>
      <c r="L642" s="88" t="s">
        <v>828</v>
      </c>
      <c r="M642" s="89" t="s">
        <v>381</v>
      </c>
      <c r="N642" s="90">
        <v>4</v>
      </c>
      <c r="O642" s="27">
        <f>IFERROR(+VLOOKUP(M642,D.sign_Lista_Data[[RESPONSABLE]:[SOFTWARE 
VALOR HORA]],3,FALSE),"0")</f>
        <v>20263.424518743668</v>
      </c>
      <c r="P642" s="3">
        <f t="shared" si="22"/>
        <v>81053.698074974673</v>
      </c>
      <c r="Q642" s="11">
        <f>IFERROR(+VLOOKUP(M642,D.sign_Lista_Data[[RESPONSABLE]:[SOFTWARE 
VALOR HORA]],5,FALSE)*D.sign_Data[[#This Row],[TIEMPO (HORAS)]],0)</f>
        <v>16886.187098953054</v>
      </c>
      <c r="R642" s="11">
        <f>IFERROR(+VLOOKUP(M642,D.sign_Lista_Data[[RESPONSABLE]:[SOFTWARE 
VALOR HORA]],8,FALSE)*D.sign_Data[[#This Row],[TIEMPO (HORAS)]],0)</f>
        <v>13643.419548575934</v>
      </c>
      <c r="S642" s="99"/>
      <c r="T642" s="99"/>
      <c r="U642" s="3">
        <f t="shared" si="23"/>
        <v>111583.30472250367</v>
      </c>
      <c r="V642" s="100">
        <f>D.sign_Data[[#This Row],[TIEMPO (HORAS)]]*Gastos_Operativos[[#Totals],[GASTOS HORA]]</f>
        <v>111157.9082892416</v>
      </c>
      <c r="W642" s="3">
        <f>+D.sign_Data[[#This Row],[COSTO 
DIRECTO ($COP)]]+D.sign_Data[[#This Row],[PRORRATEO GASTOS ($COP)]]</f>
        <v>222741.21301174528</v>
      </c>
      <c r="X642" s="101">
        <v>0.1</v>
      </c>
      <c r="Y642" s="15">
        <f>+D.sign_Data[[#This Row],[COSTOS OPERACIONALES ($COP)]]*D.sign_Data[[#This Row],[DESFASE (%)]]</f>
        <v>22274.121301174528</v>
      </c>
      <c r="Z642" s="101">
        <v>0.1</v>
      </c>
      <c r="AA642" s="15">
        <f>+((D.sign_Data[[#This Row],[COSTOS OPERACIONALES ($COP)]]/(100%-D.sign_Data[[#This Row],[UTILIDAD (%)]])))-D.sign_Data[[#This Row],[COSTOS OPERACIONALES ($COP)]]</f>
        <v>24749.023667971691</v>
      </c>
      <c r="AB642" s="3">
        <f>+D.sign_Data[[#This Row],[COSTOS OPERACIONALES ($COP)]]+D.sign_Data[[#This Row],[DESFASE ($COP)]]+D.sign_Data[[#This Row],[UTILIDAD ($COP)]]</f>
        <v>269764.35798089148</v>
      </c>
      <c r="AC642" s="101">
        <v>0.05</v>
      </c>
      <c r="AD642" s="15">
        <f>+D.sign_Data[[#This Row],[VALOR NETO ($COP)]]/(100%-D.sign_Data[[#This Row],[MARGEN DE NEGOCIACIÓN (%)]])-D.sign_Data[[#This Row],[VALOR NETO ($COP)]]</f>
        <v>14198.12410425744</v>
      </c>
      <c r="AE642" s="15">
        <f>+(D.sign_Data[[#This Row],[VALOR NETO ($COP)]]+D.sign_Data[[#This Row],[NEGOCIACIÓN ($COP)]])*1%</f>
        <v>2839.6248208514894</v>
      </c>
      <c r="AF642" s="15">
        <f>+(D.sign_Data[[#This Row],[VALOR NETO ($COP)]]+D.sign_Data[[#This Row],[NEGOCIACIÓN ($COP)]])*1%</f>
        <v>2839.6248208514894</v>
      </c>
      <c r="AG642" s="3">
        <f>+D.sign_Data[[#This Row],[VALOR NETO ($COP)]]+D.sign_Data[[#This Row],[NEGOCIACIÓN ($COP)]]+D.sign_Data[[#This Row],[ICA ($COP)]]+D.sign_Data[[#This Row],[4 * 1000 ($COP)]]</f>
        <v>289641.7317268519</v>
      </c>
    </row>
    <row r="643" spans="1:33" ht="60" hidden="1" customHeight="1" x14ac:dyDescent="0.25">
      <c r="A643" s="14"/>
      <c r="B643" s="87" t="s">
        <v>442</v>
      </c>
      <c r="C643" s="182" t="s">
        <v>894</v>
      </c>
      <c r="D643" s="189" t="str">
        <f>VLOOKUP(D.sign_Data[[#This Row],[CÓDIGO]],Descripciones[[CÓDIGO]:[NOMBRE DE SERVICIO]],3,FALSE)</f>
        <v>D2. Edificación en Altura</v>
      </c>
      <c r="E643" s="87" t="s">
        <v>497</v>
      </c>
      <c r="F643" s="88" t="s">
        <v>895</v>
      </c>
      <c r="G643" s="88" t="s">
        <v>536</v>
      </c>
      <c r="H643" s="87" t="s">
        <v>500</v>
      </c>
      <c r="I643" s="89">
        <v>1</v>
      </c>
      <c r="J643" s="88" t="s">
        <v>896</v>
      </c>
      <c r="K643" s="102"/>
      <c r="L643" s="88" t="s">
        <v>829</v>
      </c>
      <c r="M643" s="89" t="s">
        <v>381</v>
      </c>
      <c r="N643" s="90">
        <v>5</v>
      </c>
      <c r="O643" s="27">
        <f>IFERROR(+VLOOKUP(M643,D.sign_Lista_Data[[RESPONSABLE]:[SOFTWARE 
VALOR HORA]],3,FALSE),"0")</f>
        <v>20263.424518743668</v>
      </c>
      <c r="P643" s="3">
        <f t="shared" si="22"/>
        <v>101317.12259371835</v>
      </c>
      <c r="Q643" s="11">
        <f>IFERROR(+VLOOKUP(M643,D.sign_Lista_Data[[RESPONSABLE]:[SOFTWARE 
VALOR HORA]],5,FALSE)*D.sign_Data[[#This Row],[TIEMPO (HORAS)]],0)</f>
        <v>21107.733873691319</v>
      </c>
      <c r="R643" s="11">
        <f>IFERROR(+VLOOKUP(M643,D.sign_Lista_Data[[RESPONSABLE]:[SOFTWARE 
VALOR HORA]],8,FALSE)*D.sign_Data[[#This Row],[TIEMPO (HORAS)]],0)</f>
        <v>17054.274435719919</v>
      </c>
      <c r="S643" s="99"/>
      <c r="T643" s="99"/>
      <c r="U643" s="3">
        <f t="shared" si="23"/>
        <v>139479.13090312958</v>
      </c>
      <c r="V643" s="100">
        <f>D.sign_Data[[#This Row],[TIEMPO (HORAS)]]*Gastos_Operativos[[#Totals],[GASTOS HORA]]</f>
        <v>138947.38536155201</v>
      </c>
      <c r="W643" s="3">
        <f>+D.sign_Data[[#This Row],[COSTO 
DIRECTO ($COP)]]+D.sign_Data[[#This Row],[PRORRATEO GASTOS ($COP)]]</f>
        <v>278426.51626468159</v>
      </c>
      <c r="X643" s="101">
        <v>0.1</v>
      </c>
      <c r="Y643" s="15">
        <f>+D.sign_Data[[#This Row],[COSTOS OPERACIONALES ($COP)]]*D.sign_Data[[#This Row],[DESFASE (%)]]</f>
        <v>27842.65162646816</v>
      </c>
      <c r="Z643" s="101">
        <v>0.1</v>
      </c>
      <c r="AA643" s="15">
        <f>+((D.sign_Data[[#This Row],[COSTOS OPERACIONALES ($COP)]]/(100%-D.sign_Data[[#This Row],[UTILIDAD (%)]])))-D.sign_Data[[#This Row],[COSTOS OPERACIONALES ($COP)]]</f>
        <v>30936.279584964621</v>
      </c>
      <c r="AB643" s="3">
        <f>+D.sign_Data[[#This Row],[COSTOS OPERACIONALES ($COP)]]+D.sign_Data[[#This Row],[DESFASE ($COP)]]+D.sign_Data[[#This Row],[UTILIDAD ($COP)]]</f>
        <v>337205.44747611438</v>
      </c>
      <c r="AC643" s="101">
        <v>0.05</v>
      </c>
      <c r="AD643" s="15">
        <f>+D.sign_Data[[#This Row],[VALOR NETO ($COP)]]/(100%-D.sign_Data[[#This Row],[MARGEN DE NEGOCIACIÓN (%)]])-D.sign_Data[[#This Row],[VALOR NETO ($COP)]]</f>
        <v>17747.6551303218</v>
      </c>
      <c r="AE643" s="15">
        <f>+(D.sign_Data[[#This Row],[VALOR NETO ($COP)]]+D.sign_Data[[#This Row],[NEGOCIACIÓN ($COP)]])*1%</f>
        <v>3549.5310260643619</v>
      </c>
      <c r="AF643" s="15">
        <f>+(D.sign_Data[[#This Row],[VALOR NETO ($COP)]]+D.sign_Data[[#This Row],[NEGOCIACIÓN ($COP)]])*1%</f>
        <v>3549.5310260643619</v>
      </c>
      <c r="AG643" s="3">
        <f>+D.sign_Data[[#This Row],[VALOR NETO ($COP)]]+D.sign_Data[[#This Row],[NEGOCIACIÓN ($COP)]]+D.sign_Data[[#This Row],[ICA ($COP)]]+D.sign_Data[[#This Row],[4 * 1000 ($COP)]]</f>
        <v>362052.1646585649</v>
      </c>
    </row>
    <row r="644" spans="1:33" ht="60" hidden="1" customHeight="1" x14ac:dyDescent="0.25">
      <c r="A644" s="14"/>
      <c r="B644" s="87" t="s">
        <v>442</v>
      </c>
      <c r="C644" s="182" t="s">
        <v>894</v>
      </c>
      <c r="D644" s="189" t="str">
        <f>VLOOKUP(D.sign_Data[[#This Row],[CÓDIGO]],Descripciones[[CÓDIGO]:[NOMBRE DE SERVICIO]],3,FALSE)</f>
        <v>D2. Edificación en Altura</v>
      </c>
      <c r="E644" s="87" t="s">
        <v>497</v>
      </c>
      <c r="F644" s="88" t="s">
        <v>895</v>
      </c>
      <c r="G644" s="88" t="s">
        <v>536</v>
      </c>
      <c r="H644" s="87" t="s">
        <v>500</v>
      </c>
      <c r="I644" s="89">
        <v>1</v>
      </c>
      <c r="J644" s="88" t="s">
        <v>896</v>
      </c>
      <c r="K644" s="102"/>
      <c r="L644" s="88" t="s">
        <v>830</v>
      </c>
      <c r="M644" s="89" t="s">
        <v>381</v>
      </c>
      <c r="N644" s="90">
        <v>1</v>
      </c>
      <c r="O644" s="27">
        <f>IFERROR(+VLOOKUP(M644,D.sign_Lista_Data[[RESPONSABLE]:[SOFTWARE 
VALOR HORA]],3,FALSE),"0")</f>
        <v>20263.424518743668</v>
      </c>
      <c r="P644" s="3">
        <f t="shared" si="22"/>
        <v>20263.424518743668</v>
      </c>
      <c r="Q644" s="11">
        <f>IFERROR(+VLOOKUP(M644,D.sign_Lista_Data[[RESPONSABLE]:[SOFTWARE 
VALOR HORA]],5,FALSE)*D.sign_Data[[#This Row],[TIEMPO (HORAS)]],0)</f>
        <v>4221.5467747382636</v>
      </c>
      <c r="R644" s="11">
        <f>IFERROR(+VLOOKUP(M644,D.sign_Lista_Data[[RESPONSABLE]:[SOFTWARE 
VALOR HORA]],8,FALSE)*D.sign_Data[[#This Row],[TIEMPO (HORAS)]],0)</f>
        <v>3410.8548871439834</v>
      </c>
      <c r="S644" s="99"/>
      <c r="T644" s="99"/>
      <c r="U644" s="3">
        <f t="shared" si="23"/>
        <v>27895.826180625918</v>
      </c>
      <c r="V644" s="100">
        <f>D.sign_Data[[#This Row],[TIEMPO (HORAS)]]*Gastos_Operativos[[#Totals],[GASTOS HORA]]</f>
        <v>27789.477072310401</v>
      </c>
      <c r="W644" s="3">
        <f>+D.sign_Data[[#This Row],[COSTO 
DIRECTO ($COP)]]+D.sign_Data[[#This Row],[PRORRATEO GASTOS ($COP)]]</f>
        <v>55685.303252936319</v>
      </c>
      <c r="X644" s="101">
        <v>0.1</v>
      </c>
      <c r="Y644" s="15">
        <f>+D.sign_Data[[#This Row],[COSTOS OPERACIONALES ($COP)]]*D.sign_Data[[#This Row],[DESFASE (%)]]</f>
        <v>5568.5303252936319</v>
      </c>
      <c r="Z644" s="101">
        <v>0.1</v>
      </c>
      <c r="AA644" s="15">
        <f>+((D.sign_Data[[#This Row],[COSTOS OPERACIONALES ($COP)]]/(100%-D.sign_Data[[#This Row],[UTILIDAD (%)]])))-D.sign_Data[[#This Row],[COSTOS OPERACIONALES ($COP)]]</f>
        <v>6187.2559169929227</v>
      </c>
      <c r="AB644" s="3">
        <f>+D.sign_Data[[#This Row],[COSTOS OPERACIONALES ($COP)]]+D.sign_Data[[#This Row],[DESFASE ($COP)]]+D.sign_Data[[#This Row],[UTILIDAD ($COP)]]</f>
        <v>67441.08949522287</v>
      </c>
      <c r="AC644" s="101">
        <v>0.05</v>
      </c>
      <c r="AD644" s="15">
        <f>+D.sign_Data[[#This Row],[VALOR NETO ($COP)]]/(100%-D.sign_Data[[#This Row],[MARGEN DE NEGOCIACIÓN (%)]])-D.sign_Data[[#This Row],[VALOR NETO ($COP)]]</f>
        <v>3549.53102606436</v>
      </c>
      <c r="AE644" s="15">
        <f>+(D.sign_Data[[#This Row],[VALOR NETO ($COP)]]+D.sign_Data[[#This Row],[NEGOCIACIÓN ($COP)]])*1%</f>
        <v>709.90620521287235</v>
      </c>
      <c r="AF644" s="15">
        <f>+(D.sign_Data[[#This Row],[VALOR NETO ($COP)]]+D.sign_Data[[#This Row],[NEGOCIACIÓN ($COP)]])*1%</f>
        <v>709.90620521287235</v>
      </c>
      <c r="AG644" s="3">
        <f>+D.sign_Data[[#This Row],[VALOR NETO ($COP)]]+D.sign_Data[[#This Row],[NEGOCIACIÓN ($COP)]]+D.sign_Data[[#This Row],[ICA ($COP)]]+D.sign_Data[[#This Row],[4 * 1000 ($COP)]]</f>
        <v>72410.432931712974</v>
      </c>
    </row>
    <row r="645" spans="1:33" ht="60" hidden="1" customHeight="1" x14ac:dyDescent="0.25">
      <c r="A645" s="14"/>
      <c r="B645" s="87" t="s">
        <v>442</v>
      </c>
      <c r="C645" s="182" t="s">
        <v>894</v>
      </c>
      <c r="D645" s="189" t="str">
        <f>VLOOKUP(D.sign_Data[[#This Row],[CÓDIGO]],Descripciones[[CÓDIGO]:[NOMBRE DE SERVICIO]],3,FALSE)</f>
        <v>D2. Edificación en Altura</v>
      </c>
      <c r="E645" s="87" t="s">
        <v>497</v>
      </c>
      <c r="F645" s="88" t="s">
        <v>895</v>
      </c>
      <c r="G645" s="88" t="s">
        <v>536</v>
      </c>
      <c r="H645" s="87" t="s">
        <v>500</v>
      </c>
      <c r="I645" s="89">
        <v>1</v>
      </c>
      <c r="J645" s="88" t="s">
        <v>896</v>
      </c>
      <c r="K645" s="102"/>
      <c r="L645" s="88" t="s">
        <v>832</v>
      </c>
      <c r="M645" s="89" t="s">
        <v>381</v>
      </c>
      <c r="N645" s="90">
        <v>2</v>
      </c>
      <c r="O645" s="27">
        <f>IFERROR(+VLOOKUP(M645,D.sign_Lista_Data[[RESPONSABLE]:[SOFTWARE 
VALOR HORA]],3,FALSE),"0")</f>
        <v>20263.424518743668</v>
      </c>
      <c r="P645" s="3">
        <f t="shared" si="22"/>
        <v>40526.849037487336</v>
      </c>
      <c r="Q645" s="11">
        <f>IFERROR(+VLOOKUP(M645,D.sign_Lista_Data[[RESPONSABLE]:[SOFTWARE 
VALOR HORA]],5,FALSE)*D.sign_Data[[#This Row],[TIEMPO (HORAS)]],0)</f>
        <v>8443.0935494765272</v>
      </c>
      <c r="R645" s="11">
        <f>IFERROR(+VLOOKUP(M645,D.sign_Lista_Data[[RESPONSABLE]:[SOFTWARE 
VALOR HORA]],8,FALSE)*D.sign_Data[[#This Row],[TIEMPO (HORAS)]],0)</f>
        <v>6821.7097742879669</v>
      </c>
      <c r="S645" s="99"/>
      <c r="T645" s="99"/>
      <c r="U645" s="3">
        <f t="shared" si="23"/>
        <v>55791.652361251836</v>
      </c>
      <c r="V645" s="100">
        <f>D.sign_Data[[#This Row],[TIEMPO (HORAS)]]*Gastos_Operativos[[#Totals],[GASTOS HORA]]</f>
        <v>55578.954144620802</v>
      </c>
      <c r="W645" s="3">
        <f>+D.sign_Data[[#This Row],[COSTO 
DIRECTO ($COP)]]+D.sign_Data[[#This Row],[PRORRATEO GASTOS ($COP)]]</f>
        <v>111370.60650587264</v>
      </c>
      <c r="X645" s="101">
        <v>0.1</v>
      </c>
      <c r="Y645" s="15">
        <f>+D.sign_Data[[#This Row],[COSTOS OPERACIONALES ($COP)]]*D.sign_Data[[#This Row],[DESFASE (%)]]</f>
        <v>11137.060650587264</v>
      </c>
      <c r="Z645" s="101">
        <v>0.1</v>
      </c>
      <c r="AA645" s="15">
        <f>+((D.sign_Data[[#This Row],[COSTOS OPERACIONALES ($COP)]]/(100%-D.sign_Data[[#This Row],[UTILIDAD (%)]])))-D.sign_Data[[#This Row],[COSTOS OPERACIONALES ($COP)]]</f>
        <v>12374.511833985845</v>
      </c>
      <c r="AB645" s="3">
        <f>+D.sign_Data[[#This Row],[COSTOS OPERACIONALES ($COP)]]+D.sign_Data[[#This Row],[DESFASE ($COP)]]+D.sign_Data[[#This Row],[UTILIDAD ($COP)]]</f>
        <v>134882.17899044574</v>
      </c>
      <c r="AC645" s="101">
        <v>0.05</v>
      </c>
      <c r="AD645" s="15">
        <f>+D.sign_Data[[#This Row],[VALOR NETO ($COP)]]/(100%-D.sign_Data[[#This Row],[MARGEN DE NEGOCIACIÓN (%)]])-D.sign_Data[[#This Row],[VALOR NETO ($COP)]]</f>
        <v>7099.0620521287201</v>
      </c>
      <c r="AE645" s="15">
        <f>+(D.sign_Data[[#This Row],[VALOR NETO ($COP)]]+D.sign_Data[[#This Row],[NEGOCIACIÓN ($COP)]])*1%</f>
        <v>1419.8124104257447</v>
      </c>
      <c r="AF645" s="15">
        <f>+(D.sign_Data[[#This Row],[VALOR NETO ($COP)]]+D.sign_Data[[#This Row],[NEGOCIACIÓN ($COP)]])*1%</f>
        <v>1419.8124104257447</v>
      </c>
      <c r="AG645" s="3">
        <f>+D.sign_Data[[#This Row],[VALOR NETO ($COP)]]+D.sign_Data[[#This Row],[NEGOCIACIÓN ($COP)]]+D.sign_Data[[#This Row],[ICA ($COP)]]+D.sign_Data[[#This Row],[4 * 1000 ($COP)]]</f>
        <v>144820.86586342595</v>
      </c>
    </row>
    <row r="646" spans="1:33" ht="60" hidden="1" customHeight="1" x14ac:dyDescent="0.25">
      <c r="A646" s="14"/>
      <c r="B646" s="87" t="s">
        <v>442</v>
      </c>
      <c r="C646" s="182" t="s">
        <v>894</v>
      </c>
      <c r="D646" s="189" t="str">
        <f>VLOOKUP(D.sign_Data[[#This Row],[CÓDIGO]],Descripciones[[CÓDIGO]:[NOMBRE DE SERVICIO]],3,FALSE)</f>
        <v>D2. Edificación en Altura</v>
      </c>
      <c r="E646" s="87" t="s">
        <v>497</v>
      </c>
      <c r="F646" s="88" t="s">
        <v>895</v>
      </c>
      <c r="G646" s="88" t="s">
        <v>536</v>
      </c>
      <c r="H646" s="87" t="s">
        <v>500</v>
      </c>
      <c r="I646" s="89">
        <v>1</v>
      </c>
      <c r="J646" s="88" t="s">
        <v>896</v>
      </c>
      <c r="K646" s="102"/>
      <c r="L646" s="88" t="s">
        <v>833</v>
      </c>
      <c r="M646" s="89" t="s">
        <v>381</v>
      </c>
      <c r="N646" s="90">
        <v>3</v>
      </c>
      <c r="O646" s="27">
        <f>IFERROR(+VLOOKUP(M646,D.sign_Lista_Data[[RESPONSABLE]:[SOFTWARE 
VALOR HORA]],3,FALSE),"0")</f>
        <v>20263.424518743668</v>
      </c>
      <c r="P646" s="3">
        <f t="shared" si="22"/>
        <v>60790.273556231004</v>
      </c>
      <c r="Q646" s="11">
        <f>IFERROR(+VLOOKUP(M646,D.sign_Lista_Data[[RESPONSABLE]:[SOFTWARE 
VALOR HORA]],5,FALSE)*D.sign_Data[[#This Row],[TIEMPO (HORAS)]],0)</f>
        <v>12664.64032421479</v>
      </c>
      <c r="R646" s="11">
        <f>IFERROR(+VLOOKUP(M646,D.sign_Lista_Data[[RESPONSABLE]:[SOFTWARE 
VALOR HORA]],8,FALSE)*D.sign_Data[[#This Row],[TIEMPO (HORAS)]],0)</f>
        <v>10232.56466143195</v>
      </c>
      <c r="S646" s="99"/>
      <c r="T646" s="99"/>
      <c r="U646" s="3">
        <f t="shared" si="23"/>
        <v>83687.478541877746</v>
      </c>
      <c r="V646" s="100">
        <f>D.sign_Data[[#This Row],[TIEMPO (HORAS)]]*Gastos_Operativos[[#Totals],[GASTOS HORA]]</f>
        <v>83368.431216931203</v>
      </c>
      <c r="W646" s="3">
        <f>+D.sign_Data[[#This Row],[COSTO 
DIRECTO ($COP)]]+D.sign_Data[[#This Row],[PRORRATEO GASTOS ($COP)]]</f>
        <v>167055.90975880896</v>
      </c>
      <c r="X646" s="101">
        <v>0.1</v>
      </c>
      <c r="Y646" s="15">
        <f>+D.sign_Data[[#This Row],[COSTOS OPERACIONALES ($COP)]]*D.sign_Data[[#This Row],[DESFASE (%)]]</f>
        <v>16705.590975880896</v>
      </c>
      <c r="Z646" s="101">
        <v>0.1</v>
      </c>
      <c r="AA646" s="15">
        <f>+((D.sign_Data[[#This Row],[COSTOS OPERACIONALES ($COP)]]/(100%-D.sign_Data[[#This Row],[UTILIDAD (%)]])))-D.sign_Data[[#This Row],[COSTOS OPERACIONALES ($COP)]]</f>
        <v>18561.767750978761</v>
      </c>
      <c r="AB646" s="3">
        <f>+D.sign_Data[[#This Row],[COSTOS OPERACIONALES ($COP)]]+D.sign_Data[[#This Row],[DESFASE ($COP)]]+D.sign_Data[[#This Row],[UTILIDAD ($COP)]]</f>
        <v>202323.26848566861</v>
      </c>
      <c r="AC646" s="101">
        <v>0.05</v>
      </c>
      <c r="AD646" s="15">
        <f>+D.sign_Data[[#This Row],[VALOR NETO ($COP)]]/(100%-D.sign_Data[[#This Row],[MARGEN DE NEGOCIACIÓN (%)]])-D.sign_Data[[#This Row],[VALOR NETO ($COP)]]</f>
        <v>10648.593078193109</v>
      </c>
      <c r="AE646" s="15">
        <f>+(D.sign_Data[[#This Row],[VALOR NETO ($COP)]]+D.sign_Data[[#This Row],[NEGOCIACIÓN ($COP)]])*1%</f>
        <v>2129.7186156386174</v>
      </c>
      <c r="AF646" s="15">
        <f>+(D.sign_Data[[#This Row],[VALOR NETO ($COP)]]+D.sign_Data[[#This Row],[NEGOCIACIÓN ($COP)]])*1%</f>
        <v>2129.7186156386174</v>
      </c>
      <c r="AG646" s="3">
        <f>+D.sign_Data[[#This Row],[VALOR NETO ($COP)]]+D.sign_Data[[#This Row],[NEGOCIACIÓN ($COP)]]+D.sign_Data[[#This Row],[ICA ($COP)]]+D.sign_Data[[#This Row],[4 * 1000 ($COP)]]</f>
        <v>217231.29879513895</v>
      </c>
    </row>
    <row r="647" spans="1:33" ht="60" hidden="1" customHeight="1" x14ac:dyDescent="0.25">
      <c r="A647" s="14"/>
      <c r="B647" s="87" t="s">
        <v>442</v>
      </c>
      <c r="C647" s="182" t="s">
        <v>894</v>
      </c>
      <c r="D647" s="189" t="str">
        <f>VLOOKUP(D.sign_Data[[#This Row],[CÓDIGO]],Descripciones[[CÓDIGO]:[NOMBRE DE SERVICIO]],3,FALSE)</f>
        <v>D2. Edificación en Altura</v>
      </c>
      <c r="E647" s="87" t="s">
        <v>497</v>
      </c>
      <c r="F647" s="88" t="s">
        <v>895</v>
      </c>
      <c r="G647" s="88" t="s">
        <v>536</v>
      </c>
      <c r="H647" s="87" t="s">
        <v>500</v>
      </c>
      <c r="I647" s="89">
        <v>1</v>
      </c>
      <c r="J647" s="88" t="s">
        <v>896</v>
      </c>
      <c r="K647" s="102"/>
      <c r="L647" s="88" t="s">
        <v>834</v>
      </c>
      <c r="M647" s="89" t="s">
        <v>381</v>
      </c>
      <c r="N647" s="90">
        <v>2</v>
      </c>
      <c r="O647" s="27">
        <f>IFERROR(+VLOOKUP(M647,D.sign_Lista_Data[[RESPONSABLE]:[SOFTWARE 
VALOR HORA]],3,FALSE),"0")</f>
        <v>20263.424518743668</v>
      </c>
      <c r="P647" s="3">
        <f t="shared" si="22"/>
        <v>40526.849037487336</v>
      </c>
      <c r="Q647" s="11">
        <f>IFERROR(+VLOOKUP(M647,D.sign_Lista_Data[[RESPONSABLE]:[SOFTWARE 
VALOR HORA]],5,FALSE)*D.sign_Data[[#This Row],[TIEMPO (HORAS)]],0)</f>
        <v>8443.0935494765272</v>
      </c>
      <c r="R647" s="11">
        <f>IFERROR(+VLOOKUP(M647,D.sign_Lista_Data[[RESPONSABLE]:[SOFTWARE 
VALOR HORA]],8,FALSE)*D.sign_Data[[#This Row],[TIEMPO (HORAS)]],0)</f>
        <v>6821.7097742879669</v>
      </c>
      <c r="S647" s="99"/>
      <c r="T647" s="99"/>
      <c r="U647" s="3">
        <f t="shared" si="23"/>
        <v>55791.652361251836</v>
      </c>
      <c r="V647" s="100">
        <f>D.sign_Data[[#This Row],[TIEMPO (HORAS)]]*Gastos_Operativos[[#Totals],[GASTOS HORA]]</f>
        <v>55578.954144620802</v>
      </c>
      <c r="W647" s="3">
        <f>+D.sign_Data[[#This Row],[COSTO 
DIRECTO ($COP)]]+D.sign_Data[[#This Row],[PRORRATEO GASTOS ($COP)]]</f>
        <v>111370.60650587264</v>
      </c>
      <c r="X647" s="101">
        <v>0.1</v>
      </c>
      <c r="Y647" s="15">
        <f>+D.sign_Data[[#This Row],[COSTOS OPERACIONALES ($COP)]]*D.sign_Data[[#This Row],[DESFASE (%)]]</f>
        <v>11137.060650587264</v>
      </c>
      <c r="Z647" s="101">
        <v>0.1</v>
      </c>
      <c r="AA647" s="15">
        <f>+((D.sign_Data[[#This Row],[COSTOS OPERACIONALES ($COP)]]/(100%-D.sign_Data[[#This Row],[UTILIDAD (%)]])))-D.sign_Data[[#This Row],[COSTOS OPERACIONALES ($COP)]]</f>
        <v>12374.511833985845</v>
      </c>
      <c r="AB647" s="3">
        <f>+D.sign_Data[[#This Row],[COSTOS OPERACIONALES ($COP)]]+D.sign_Data[[#This Row],[DESFASE ($COP)]]+D.sign_Data[[#This Row],[UTILIDAD ($COP)]]</f>
        <v>134882.17899044574</v>
      </c>
      <c r="AC647" s="101">
        <v>0.05</v>
      </c>
      <c r="AD647" s="15">
        <f>+D.sign_Data[[#This Row],[VALOR NETO ($COP)]]/(100%-D.sign_Data[[#This Row],[MARGEN DE NEGOCIACIÓN (%)]])-D.sign_Data[[#This Row],[VALOR NETO ($COP)]]</f>
        <v>7099.0620521287201</v>
      </c>
      <c r="AE647" s="15">
        <f>+(D.sign_Data[[#This Row],[VALOR NETO ($COP)]]+D.sign_Data[[#This Row],[NEGOCIACIÓN ($COP)]])*1%</f>
        <v>1419.8124104257447</v>
      </c>
      <c r="AF647" s="15">
        <f>+(D.sign_Data[[#This Row],[VALOR NETO ($COP)]]+D.sign_Data[[#This Row],[NEGOCIACIÓN ($COP)]])*1%</f>
        <v>1419.8124104257447</v>
      </c>
      <c r="AG647" s="3">
        <f>+D.sign_Data[[#This Row],[VALOR NETO ($COP)]]+D.sign_Data[[#This Row],[NEGOCIACIÓN ($COP)]]+D.sign_Data[[#This Row],[ICA ($COP)]]+D.sign_Data[[#This Row],[4 * 1000 ($COP)]]</f>
        <v>144820.86586342595</v>
      </c>
    </row>
    <row r="648" spans="1:33" ht="60" hidden="1" customHeight="1" x14ac:dyDescent="0.25">
      <c r="A648" s="14"/>
      <c r="B648" s="87" t="s">
        <v>442</v>
      </c>
      <c r="C648" s="182" t="s">
        <v>894</v>
      </c>
      <c r="D648" s="189" t="str">
        <f>VLOOKUP(D.sign_Data[[#This Row],[CÓDIGO]],Descripciones[[CÓDIGO]:[NOMBRE DE SERVICIO]],3,FALSE)</f>
        <v>D2. Edificación en Altura</v>
      </c>
      <c r="E648" s="87" t="s">
        <v>497</v>
      </c>
      <c r="F648" s="88" t="s">
        <v>895</v>
      </c>
      <c r="G648" s="88" t="s">
        <v>536</v>
      </c>
      <c r="H648" s="87" t="s">
        <v>500</v>
      </c>
      <c r="I648" s="89">
        <v>1</v>
      </c>
      <c r="J648" s="88" t="s">
        <v>896</v>
      </c>
      <c r="K648" s="102"/>
      <c r="L648" s="88" t="s">
        <v>835</v>
      </c>
      <c r="M648" s="89" t="s">
        <v>381</v>
      </c>
      <c r="N648" s="90">
        <v>5</v>
      </c>
      <c r="O648" s="27">
        <f>IFERROR(+VLOOKUP(M648,D.sign_Lista_Data[[RESPONSABLE]:[SOFTWARE 
VALOR HORA]],3,FALSE),"0")</f>
        <v>20263.424518743668</v>
      </c>
      <c r="P648" s="3">
        <f t="shared" si="22"/>
        <v>101317.12259371835</v>
      </c>
      <c r="Q648" s="11">
        <f>IFERROR(+VLOOKUP(M648,D.sign_Lista_Data[[RESPONSABLE]:[SOFTWARE 
VALOR HORA]],5,FALSE)*D.sign_Data[[#This Row],[TIEMPO (HORAS)]],0)</f>
        <v>21107.733873691319</v>
      </c>
      <c r="R648" s="11">
        <f>IFERROR(+VLOOKUP(M648,D.sign_Lista_Data[[RESPONSABLE]:[SOFTWARE 
VALOR HORA]],8,FALSE)*D.sign_Data[[#This Row],[TIEMPO (HORAS)]],0)</f>
        <v>17054.274435719919</v>
      </c>
      <c r="S648" s="99"/>
      <c r="T648" s="99"/>
      <c r="U648" s="3">
        <f t="shared" si="23"/>
        <v>139479.13090312958</v>
      </c>
      <c r="V648" s="100">
        <f>D.sign_Data[[#This Row],[TIEMPO (HORAS)]]*Gastos_Operativos[[#Totals],[GASTOS HORA]]</f>
        <v>138947.38536155201</v>
      </c>
      <c r="W648" s="3">
        <f>+D.sign_Data[[#This Row],[COSTO 
DIRECTO ($COP)]]+D.sign_Data[[#This Row],[PRORRATEO GASTOS ($COP)]]</f>
        <v>278426.51626468159</v>
      </c>
      <c r="X648" s="101">
        <v>0.1</v>
      </c>
      <c r="Y648" s="15">
        <f>+D.sign_Data[[#This Row],[COSTOS OPERACIONALES ($COP)]]*D.sign_Data[[#This Row],[DESFASE (%)]]</f>
        <v>27842.65162646816</v>
      </c>
      <c r="Z648" s="101">
        <v>0.1</v>
      </c>
      <c r="AA648" s="15">
        <f>+((D.sign_Data[[#This Row],[COSTOS OPERACIONALES ($COP)]]/(100%-D.sign_Data[[#This Row],[UTILIDAD (%)]])))-D.sign_Data[[#This Row],[COSTOS OPERACIONALES ($COP)]]</f>
        <v>30936.279584964621</v>
      </c>
      <c r="AB648" s="3">
        <f>+D.sign_Data[[#This Row],[COSTOS OPERACIONALES ($COP)]]+D.sign_Data[[#This Row],[DESFASE ($COP)]]+D.sign_Data[[#This Row],[UTILIDAD ($COP)]]</f>
        <v>337205.44747611438</v>
      </c>
      <c r="AC648" s="101">
        <v>0.05</v>
      </c>
      <c r="AD648" s="15">
        <f>+D.sign_Data[[#This Row],[VALOR NETO ($COP)]]/(100%-D.sign_Data[[#This Row],[MARGEN DE NEGOCIACIÓN (%)]])-D.sign_Data[[#This Row],[VALOR NETO ($COP)]]</f>
        <v>17747.6551303218</v>
      </c>
      <c r="AE648" s="15">
        <f>+(D.sign_Data[[#This Row],[VALOR NETO ($COP)]]+D.sign_Data[[#This Row],[NEGOCIACIÓN ($COP)]])*1%</f>
        <v>3549.5310260643619</v>
      </c>
      <c r="AF648" s="15">
        <f>+(D.sign_Data[[#This Row],[VALOR NETO ($COP)]]+D.sign_Data[[#This Row],[NEGOCIACIÓN ($COP)]])*1%</f>
        <v>3549.5310260643619</v>
      </c>
      <c r="AG648" s="3">
        <f>+D.sign_Data[[#This Row],[VALOR NETO ($COP)]]+D.sign_Data[[#This Row],[NEGOCIACIÓN ($COP)]]+D.sign_Data[[#This Row],[ICA ($COP)]]+D.sign_Data[[#This Row],[4 * 1000 ($COP)]]</f>
        <v>362052.1646585649</v>
      </c>
    </row>
    <row r="649" spans="1:33" ht="60" hidden="1" customHeight="1" x14ac:dyDescent="0.25">
      <c r="A649" s="14"/>
      <c r="B649" s="87" t="s">
        <v>442</v>
      </c>
      <c r="C649" s="182" t="s">
        <v>894</v>
      </c>
      <c r="D649" s="189" t="str">
        <f>VLOOKUP(D.sign_Data[[#This Row],[CÓDIGO]],Descripciones[[CÓDIGO]:[NOMBRE DE SERVICIO]],3,FALSE)</f>
        <v>D2. Edificación en Altura</v>
      </c>
      <c r="E649" s="87" t="s">
        <v>497</v>
      </c>
      <c r="F649" s="88" t="s">
        <v>895</v>
      </c>
      <c r="G649" s="88" t="s">
        <v>536</v>
      </c>
      <c r="H649" s="87" t="s">
        <v>500</v>
      </c>
      <c r="I649" s="89">
        <v>1</v>
      </c>
      <c r="J649" s="88" t="s">
        <v>899</v>
      </c>
      <c r="K649" s="102"/>
      <c r="L649" s="88" t="s">
        <v>837</v>
      </c>
      <c r="M649" s="89" t="s">
        <v>381</v>
      </c>
      <c r="N649" s="90">
        <v>5</v>
      </c>
      <c r="O649" s="27">
        <f>IFERROR(+VLOOKUP(M649,D.sign_Lista_Data[[RESPONSABLE]:[SOFTWARE 
VALOR HORA]],3,FALSE),"0")</f>
        <v>20263.424518743668</v>
      </c>
      <c r="P649" s="3">
        <f t="shared" si="22"/>
        <v>101317.12259371835</v>
      </c>
      <c r="Q649" s="11">
        <f>IFERROR(+VLOOKUP(M649,D.sign_Lista_Data[[RESPONSABLE]:[SOFTWARE 
VALOR HORA]],5,FALSE)*D.sign_Data[[#This Row],[TIEMPO (HORAS)]],0)</f>
        <v>21107.733873691319</v>
      </c>
      <c r="R649" s="11">
        <f>IFERROR(+VLOOKUP(M649,D.sign_Lista_Data[[RESPONSABLE]:[SOFTWARE 
VALOR HORA]],8,FALSE)*D.sign_Data[[#This Row],[TIEMPO (HORAS)]],0)</f>
        <v>17054.274435719919</v>
      </c>
      <c r="S649" s="99"/>
      <c r="T649" s="99"/>
      <c r="U649" s="3">
        <f t="shared" si="23"/>
        <v>139479.13090312958</v>
      </c>
      <c r="V649" s="100">
        <f>D.sign_Data[[#This Row],[TIEMPO (HORAS)]]*Gastos_Operativos[[#Totals],[GASTOS HORA]]</f>
        <v>138947.38536155201</v>
      </c>
      <c r="W649" s="3">
        <f>+D.sign_Data[[#This Row],[COSTO 
DIRECTO ($COP)]]+D.sign_Data[[#This Row],[PRORRATEO GASTOS ($COP)]]</f>
        <v>278426.51626468159</v>
      </c>
      <c r="X649" s="101">
        <v>0.1</v>
      </c>
      <c r="Y649" s="15">
        <f>+D.sign_Data[[#This Row],[COSTOS OPERACIONALES ($COP)]]*D.sign_Data[[#This Row],[DESFASE (%)]]</f>
        <v>27842.65162646816</v>
      </c>
      <c r="Z649" s="101">
        <v>0.1</v>
      </c>
      <c r="AA649" s="15">
        <f>+((D.sign_Data[[#This Row],[COSTOS OPERACIONALES ($COP)]]/(100%-D.sign_Data[[#This Row],[UTILIDAD (%)]])))-D.sign_Data[[#This Row],[COSTOS OPERACIONALES ($COP)]]</f>
        <v>30936.279584964621</v>
      </c>
      <c r="AB649" s="3">
        <f>+D.sign_Data[[#This Row],[COSTOS OPERACIONALES ($COP)]]+D.sign_Data[[#This Row],[DESFASE ($COP)]]+D.sign_Data[[#This Row],[UTILIDAD ($COP)]]</f>
        <v>337205.44747611438</v>
      </c>
      <c r="AC649" s="101">
        <v>0.05</v>
      </c>
      <c r="AD649" s="15">
        <f>+D.sign_Data[[#This Row],[VALOR NETO ($COP)]]/(100%-D.sign_Data[[#This Row],[MARGEN DE NEGOCIACIÓN (%)]])-D.sign_Data[[#This Row],[VALOR NETO ($COP)]]</f>
        <v>17747.6551303218</v>
      </c>
      <c r="AE649" s="15">
        <f>+(D.sign_Data[[#This Row],[VALOR NETO ($COP)]]+D.sign_Data[[#This Row],[NEGOCIACIÓN ($COP)]])*1%</f>
        <v>3549.5310260643619</v>
      </c>
      <c r="AF649" s="15">
        <f>+(D.sign_Data[[#This Row],[VALOR NETO ($COP)]]+D.sign_Data[[#This Row],[NEGOCIACIÓN ($COP)]])*1%</f>
        <v>3549.5310260643619</v>
      </c>
      <c r="AG649" s="3">
        <f>+D.sign_Data[[#This Row],[VALOR NETO ($COP)]]+D.sign_Data[[#This Row],[NEGOCIACIÓN ($COP)]]+D.sign_Data[[#This Row],[ICA ($COP)]]+D.sign_Data[[#This Row],[4 * 1000 ($COP)]]</f>
        <v>362052.1646585649</v>
      </c>
    </row>
    <row r="650" spans="1:33" ht="60" hidden="1" customHeight="1" x14ac:dyDescent="0.25">
      <c r="A650" s="14"/>
      <c r="B650" s="87" t="s">
        <v>442</v>
      </c>
      <c r="C650" s="182" t="s">
        <v>894</v>
      </c>
      <c r="D650" s="189" t="str">
        <f>VLOOKUP(D.sign_Data[[#This Row],[CÓDIGO]],Descripciones[[CÓDIGO]:[NOMBRE DE SERVICIO]],3,FALSE)</f>
        <v>D2. Edificación en Altura</v>
      </c>
      <c r="E650" s="87" t="s">
        <v>497</v>
      </c>
      <c r="F650" s="88" t="s">
        <v>895</v>
      </c>
      <c r="G650" s="88" t="s">
        <v>536</v>
      </c>
      <c r="H650" s="87" t="s">
        <v>500</v>
      </c>
      <c r="I650" s="89">
        <v>1</v>
      </c>
      <c r="J650" s="88" t="s">
        <v>899</v>
      </c>
      <c r="K650" s="102"/>
      <c r="L650" s="88" t="s">
        <v>838</v>
      </c>
      <c r="M650" s="89" t="s">
        <v>381</v>
      </c>
      <c r="N650" s="90">
        <v>1</v>
      </c>
      <c r="O650" s="27">
        <f>IFERROR(+VLOOKUP(M650,D.sign_Lista_Data[[RESPONSABLE]:[SOFTWARE 
VALOR HORA]],3,FALSE),"0")</f>
        <v>20263.424518743668</v>
      </c>
      <c r="P650" s="3">
        <f t="shared" si="22"/>
        <v>20263.424518743668</v>
      </c>
      <c r="Q650" s="11">
        <f>IFERROR(+VLOOKUP(M650,D.sign_Lista_Data[[RESPONSABLE]:[SOFTWARE 
VALOR HORA]],5,FALSE)*D.sign_Data[[#This Row],[TIEMPO (HORAS)]],0)</f>
        <v>4221.5467747382636</v>
      </c>
      <c r="R650" s="11">
        <f>IFERROR(+VLOOKUP(M650,D.sign_Lista_Data[[RESPONSABLE]:[SOFTWARE 
VALOR HORA]],8,FALSE)*D.sign_Data[[#This Row],[TIEMPO (HORAS)]],0)</f>
        <v>3410.8548871439834</v>
      </c>
      <c r="S650" s="99"/>
      <c r="T650" s="99"/>
      <c r="U650" s="3">
        <f t="shared" si="23"/>
        <v>27895.826180625918</v>
      </c>
      <c r="V650" s="100">
        <f>D.sign_Data[[#This Row],[TIEMPO (HORAS)]]*Gastos_Operativos[[#Totals],[GASTOS HORA]]</f>
        <v>27789.477072310401</v>
      </c>
      <c r="W650" s="3">
        <f>+D.sign_Data[[#This Row],[COSTO 
DIRECTO ($COP)]]+D.sign_Data[[#This Row],[PRORRATEO GASTOS ($COP)]]</f>
        <v>55685.303252936319</v>
      </c>
      <c r="X650" s="101">
        <v>0.1</v>
      </c>
      <c r="Y650" s="15">
        <f>+D.sign_Data[[#This Row],[COSTOS OPERACIONALES ($COP)]]*D.sign_Data[[#This Row],[DESFASE (%)]]</f>
        <v>5568.5303252936319</v>
      </c>
      <c r="Z650" s="101">
        <v>0.1</v>
      </c>
      <c r="AA650" s="15">
        <f>+((D.sign_Data[[#This Row],[COSTOS OPERACIONALES ($COP)]]/(100%-D.sign_Data[[#This Row],[UTILIDAD (%)]])))-D.sign_Data[[#This Row],[COSTOS OPERACIONALES ($COP)]]</f>
        <v>6187.2559169929227</v>
      </c>
      <c r="AB650" s="3">
        <f>+D.sign_Data[[#This Row],[COSTOS OPERACIONALES ($COP)]]+D.sign_Data[[#This Row],[DESFASE ($COP)]]+D.sign_Data[[#This Row],[UTILIDAD ($COP)]]</f>
        <v>67441.08949522287</v>
      </c>
      <c r="AC650" s="101">
        <v>0.05</v>
      </c>
      <c r="AD650" s="15">
        <f>+D.sign_Data[[#This Row],[VALOR NETO ($COP)]]/(100%-D.sign_Data[[#This Row],[MARGEN DE NEGOCIACIÓN (%)]])-D.sign_Data[[#This Row],[VALOR NETO ($COP)]]</f>
        <v>3549.53102606436</v>
      </c>
      <c r="AE650" s="15">
        <f>+(D.sign_Data[[#This Row],[VALOR NETO ($COP)]]+D.sign_Data[[#This Row],[NEGOCIACIÓN ($COP)]])*1%</f>
        <v>709.90620521287235</v>
      </c>
      <c r="AF650" s="15">
        <f>+(D.sign_Data[[#This Row],[VALOR NETO ($COP)]]+D.sign_Data[[#This Row],[NEGOCIACIÓN ($COP)]])*1%</f>
        <v>709.90620521287235</v>
      </c>
      <c r="AG650" s="3">
        <f>+D.sign_Data[[#This Row],[VALOR NETO ($COP)]]+D.sign_Data[[#This Row],[NEGOCIACIÓN ($COP)]]+D.sign_Data[[#This Row],[ICA ($COP)]]+D.sign_Data[[#This Row],[4 * 1000 ($COP)]]</f>
        <v>72410.432931712974</v>
      </c>
    </row>
    <row r="651" spans="1:33" ht="60" hidden="1" customHeight="1" x14ac:dyDescent="0.25">
      <c r="A651" s="14"/>
      <c r="B651" s="87" t="s">
        <v>442</v>
      </c>
      <c r="C651" s="182" t="s">
        <v>894</v>
      </c>
      <c r="D651" s="189" t="str">
        <f>VLOOKUP(D.sign_Data[[#This Row],[CÓDIGO]],Descripciones[[CÓDIGO]:[NOMBRE DE SERVICIO]],3,FALSE)</f>
        <v>D2. Edificación en Altura</v>
      </c>
      <c r="E651" s="87" t="s">
        <v>497</v>
      </c>
      <c r="F651" s="88" t="s">
        <v>895</v>
      </c>
      <c r="G651" s="88" t="s">
        <v>536</v>
      </c>
      <c r="H651" s="87" t="s">
        <v>500</v>
      </c>
      <c r="I651" s="89">
        <v>1</v>
      </c>
      <c r="J651" s="88" t="s">
        <v>899</v>
      </c>
      <c r="K651" s="102"/>
      <c r="L651" s="88" t="s">
        <v>839</v>
      </c>
      <c r="M651" s="89" t="s">
        <v>381</v>
      </c>
      <c r="N651" s="90">
        <v>2.5</v>
      </c>
      <c r="O651" s="27">
        <f>IFERROR(+VLOOKUP(M651,D.sign_Lista_Data[[RESPONSABLE]:[SOFTWARE 
VALOR HORA]],3,FALSE),"0")</f>
        <v>20263.424518743668</v>
      </c>
      <c r="P651" s="3">
        <f t="shared" si="22"/>
        <v>50658.561296859174</v>
      </c>
      <c r="Q651" s="11">
        <f>IFERROR(+VLOOKUP(M651,D.sign_Lista_Data[[RESPONSABLE]:[SOFTWARE 
VALOR HORA]],5,FALSE)*D.sign_Data[[#This Row],[TIEMPO (HORAS)]],0)</f>
        <v>10553.866936845659</v>
      </c>
      <c r="R651" s="11">
        <f>IFERROR(+VLOOKUP(M651,D.sign_Lista_Data[[RESPONSABLE]:[SOFTWARE 
VALOR HORA]],8,FALSE)*D.sign_Data[[#This Row],[TIEMPO (HORAS)]],0)</f>
        <v>8527.1372178599595</v>
      </c>
      <c r="S651" s="99"/>
      <c r="T651" s="99"/>
      <c r="U651" s="3">
        <f t="shared" si="23"/>
        <v>69739.565451564791</v>
      </c>
      <c r="V651" s="100">
        <f>D.sign_Data[[#This Row],[TIEMPO (HORAS)]]*Gastos_Operativos[[#Totals],[GASTOS HORA]]</f>
        <v>69473.692680776003</v>
      </c>
      <c r="W651" s="3">
        <f>+D.sign_Data[[#This Row],[COSTO 
DIRECTO ($COP)]]+D.sign_Data[[#This Row],[PRORRATEO GASTOS ($COP)]]</f>
        <v>139213.25813234079</v>
      </c>
      <c r="X651" s="101">
        <v>0.1</v>
      </c>
      <c r="Y651" s="15">
        <f>+D.sign_Data[[#This Row],[COSTOS OPERACIONALES ($COP)]]*D.sign_Data[[#This Row],[DESFASE (%)]]</f>
        <v>13921.32581323408</v>
      </c>
      <c r="Z651" s="101">
        <v>0.1</v>
      </c>
      <c r="AA651" s="15">
        <f>+((D.sign_Data[[#This Row],[COSTOS OPERACIONALES ($COP)]]/(100%-D.sign_Data[[#This Row],[UTILIDAD (%)]])))-D.sign_Data[[#This Row],[COSTOS OPERACIONALES ($COP)]]</f>
        <v>15468.13979248231</v>
      </c>
      <c r="AB651" s="3">
        <f>+D.sign_Data[[#This Row],[COSTOS OPERACIONALES ($COP)]]+D.sign_Data[[#This Row],[DESFASE ($COP)]]+D.sign_Data[[#This Row],[UTILIDAD ($COP)]]</f>
        <v>168602.72373805719</v>
      </c>
      <c r="AC651" s="101">
        <v>0.05</v>
      </c>
      <c r="AD651" s="15">
        <f>+D.sign_Data[[#This Row],[VALOR NETO ($COP)]]/(100%-D.sign_Data[[#This Row],[MARGEN DE NEGOCIACIÓN (%)]])-D.sign_Data[[#This Row],[VALOR NETO ($COP)]]</f>
        <v>8873.8275651609001</v>
      </c>
      <c r="AE651" s="15">
        <f>+(D.sign_Data[[#This Row],[VALOR NETO ($COP)]]+D.sign_Data[[#This Row],[NEGOCIACIÓN ($COP)]])*1%</f>
        <v>1774.7655130321809</v>
      </c>
      <c r="AF651" s="15">
        <f>+(D.sign_Data[[#This Row],[VALOR NETO ($COP)]]+D.sign_Data[[#This Row],[NEGOCIACIÓN ($COP)]])*1%</f>
        <v>1774.7655130321809</v>
      </c>
      <c r="AG651" s="3">
        <f>+D.sign_Data[[#This Row],[VALOR NETO ($COP)]]+D.sign_Data[[#This Row],[NEGOCIACIÓN ($COP)]]+D.sign_Data[[#This Row],[ICA ($COP)]]+D.sign_Data[[#This Row],[4 * 1000 ($COP)]]</f>
        <v>181026.08232928245</v>
      </c>
    </row>
    <row r="652" spans="1:33" ht="60" hidden="1" customHeight="1" x14ac:dyDescent="0.25">
      <c r="A652" s="14"/>
      <c r="B652" s="87" t="s">
        <v>442</v>
      </c>
      <c r="C652" s="182" t="s">
        <v>894</v>
      </c>
      <c r="D652" s="189" t="str">
        <f>VLOOKUP(D.sign_Data[[#This Row],[CÓDIGO]],Descripciones[[CÓDIGO]:[NOMBRE DE SERVICIO]],3,FALSE)</f>
        <v>D2. Edificación en Altura</v>
      </c>
      <c r="E652" s="87" t="s">
        <v>497</v>
      </c>
      <c r="F652" s="88" t="s">
        <v>895</v>
      </c>
      <c r="G652" s="88" t="s">
        <v>536</v>
      </c>
      <c r="H652" s="87" t="s">
        <v>500</v>
      </c>
      <c r="I652" s="89">
        <v>1</v>
      </c>
      <c r="J652" s="88" t="s">
        <v>899</v>
      </c>
      <c r="K652" s="102"/>
      <c r="L652" s="88" t="s">
        <v>738</v>
      </c>
      <c r="M652" s="89" t="s">
        <v>381</v>
      </c>
      <c r="N652" s="90">
        <v>1</v>
      </c>
      <c r="O652" s="27">
        <f>IFERROR(+VLOOKUP(M652,D.sign_Lista_Data[[RESPONSABLE]:[SOFTWARE 
VALOR HORA]],3,FALSE),"0")</f>
        <v>20263.424518743668</v>
      </c>
      <c r="P652" s="3">
        <f t="shared" si="22"/>
        <v>20263.424518743668</v>
      </c>
      <c r="Q652" s="11">
        <f>IFERROR(+VLOOKUP(M652,D.sign_Lista_Data[[RESPONSABLE]:[SOFTWARE 
VALOR HORA]],5,FALSE)*D.sign_Data[[#This Row],[TIEMPO (HORAS)]],0)</f>
        <v>4221.5467747382636</v>
      </c>
      <c r="R652" s="11">
        <f>IFERROR(+VLOOKUP(M652,D.sign_Lista_Data[[RESPONSABLE]:[SOFTWARE 
VALOR HORA]],8,FALSE)*D.sign_Data[[#This Row],[TIEMPO (HORAS)]],0)</f>
        <v>3410.8548871439834</v>
      </c>
      <c r="S652" s="99"/>
      <c r="T652" s="99"/>
      <c r="U652" s="3">
        <f t="shared" si="23"/>
        <v>27895.826180625918</v>
      </c>
      <c r="V652" s="100">
        <f>D.sign_Data[[#This Row],[TIEMPO (HORAS)]]*Gastos_Operativos[[#Totals],[GASTOS HORA]]</f>
        <v>27789.477072310401</v>
      </c>
      <c r="W652" s="3">
        <f>+D.sign_Data[[#This Row],[COSTO 
DIRECTO ($COP)]]+D.sign_Data[[#This Row],[PRORRATEO GASTOS ($COP)]]</f>
        <v>55685.303252936319</v>
      </c>
      <c r="X652" s="101">
        <v>0.1</v>
      </c>
      <c r="Y652" s="15">
        <f>+D.sign_Data[[#This Row],[COSTOS OPERACIONALES ($COP)]]*D.sign_Data[[#This Row],[DESFASE (%)]]</f>
        <v>5568.5303252936319</v>
      </c>
      <c r="Z652" s="101">
        <v>0.1</v>
      </c>
      <c r="AA652" s="15">
        <f>+((D.sign_Data[[#This Row],[COSTOS OPERACIONALES ($COP)]]/(100%-D.sign_Data[[#This Row],[UTILIDAD (%)]])))-D.sign_Data[[#This Row],[COSTOS OPERACIONALES ($COP)]]</f>
        <v>6187.2559169929227</v>
      </c>
      <c r="AB652" s="3">
        <f>+D.sign_Data[[#This Row],[COSTOS OPERACIONALES ($COP)]]+D.sign_Data[[#This Row],[DESFASE ($COP)]]+D.sign_Data[[#This Row],[UTILIDAD ($COP)]]</f>
        <v>67441.08949522287</v>
      </c>
      <c r="AC652" s="101">
        <v>0.05</v>
      </c>
      <c r="AD652" s="15">
        <f>+D.sign_Data[[#This Row],[VALOR NETO ($COP)]]/(100%-D.sign_Data[[#This Row],[MARGEN DE NEGOCIACIÓN (%)]])-D.sign_Data[[#This Row],[VALOR NETO ($COP)]]</f>
        <v>3549.53102606436</v>
      </c>
      <c r="AE652" s="15">
        <f>+(D.sign_Data[[#This Row],[VALOR NETO ($COP)]]+D.sign_Data[[#This Row],[NEGOCIACIÓN ($COP)]])*1%</f>
        <v>709.90620521287235</v>
      </c>
      <c r="AF652" s="15">
        <f>+(D.sign_Data[[#This Row],[VALOR NETO ($COP)]]+D.sign_Data[[#This Row],[NEGOCIACIÓN ($COP)]])*1%</f>
        <v>709.90620521287235</v>
      </c>
      <c r="AG652" s="3">
        <f>+D.sign_Data[[#This Row],[VALOR NETO ($COP)]]+D.sign_Data[[#This Row],[NEGOCIACIÓN ($COP)]]+D.sign_Data[[#This Row],[ICA ($COP)]]+D.sign_Data[[#This Row],[4 * 1000 ($COP)]]</f>
        <v>72410.432931712974</v>
      </c>
    </row>
    <row r="653" spans="1:33" ht="60" hidden="1" customHeight="1" x14ac:dyDescent="0.25">
      <c r="A653" s="14"/>
      <c r="B653" s="87" t="s">
        <v>442</v>
      </c>
      <c r="C653" s="182" t="s">
        <v>894</v>
      </c>
      <c r="D653" s="189" t="str">
        <f>VLOOKUP(D.sign_Data[[#This Row],[CÓDIGO]],Descripciones[[CÓDIGO]:[NOMBRE DE SERVICIO]],3,FALSE)</f>
        <v>D2. Edificación en Altura</v>
      </c>
      <c r="E653" s="87" t="s">
        <v>497</v>
      </c>
      <c r="F653" s="88" t="s">
        <v>895</v>
      </c>
      <c r="G653" s="88" t="s">
        <v>536</v>
      </c>
      <c r="H653" s="87" t="s">
        <v>500</v>
      </c>
      <c r="I653" s="89">
        <v>1</v>
      </c>
      <c r="J653" s="88" t="s">
        <v>899</v>
      </c>
      <c r="K653" s="102"/>
      <c r="L653" s="88" t="s">
        <v>648</v>
      </c>
      <c r="M653" s="89" t="s">
        <v>381</v>
      </c>
      <c r="N653" s="90">
        <v>1</v>
      </c>
      <c r="O653" s="27">
        <f>IFERROR(+VLOOKUP(M653,D.sign_Lista_Data[[RESPONSABLE]:[SOFTWARE 
VALOR HORA]],3,FALSE),"0")</f>
        <v>20263.424518743668</v>
      </c>
      <c r="P653" s="3">
        <f t="shared" si="22"/>
        <v>20263.424518743668</v>
      </c>
      <c r="Q653" s="11">
        <f>IFERROR(+VLOOKUP(M653,D.sign_Lista_Data[[RESPONSABLE]:[SOFTWARE 
VALOR HORA]],5,FALSE)*D.sign_Data[[#This Row],[TIEMPO (HORAS)]],0)</f>
        <v>4221.5467747382636</v>
      </c>
      <c r="R653" s="11">
        <f>IFERROR(+VLOOKUP(M653,D.sign_Lista_Data[[RESPONSABLE]:[SOFTWARE 
VALOR HORA]],8,FALSE)*D.sign_Data[[#This Row],[TIEMPO (HORAS)]],0)</f>
        <v>3410.8548871439834</v>
      </c>
      <c r="S653" s="99"/>
      <c r="T653" s="99"/>
      <c r="U653" s="3">
        <f t="shared" si="23"/>
        <v>27895.826180625918</v>
      </c>
      <c r="V653" s="100">
        <f>D.sign_Data[[#This Row],[TIEMPO (HORAS)]]*Gastos_Operativos[[#Totals],[GASTOS HORA]]</f>
        <v>27789.477072310401</v>
      </c>
      <c r="W653" s="3">
        <f>+D.sign_Data[[#This Row],[COSTO 
DIRECTO ($COP)]]+D.sign_Data[[#This Row],[PRORRATEO GASTOS ($COP)]]</f>
        <v>55685.303252936319</v>
      </c>
      <c r="X653" s="101">
        <v>0.1</v>
      </c>
      <c r="Y653" s="15">
        <f>+D.sign_Data[[#This Row],[COSTOS OPERACIONALES ($COP)]]*D.sign_Data[[#This Row],[DESFASE (%)]]</f>
        <v>5568.5303252936319</v>
      </c>
      <c r="Z653" s="101">
        <v>0.1</v>
      </c>
      <c r="AA653" s="15">
        <f>+((D.sign_Data[[#This Row],[COSTOS OPERACIONALES ($COP)]]/(100%-D.sign_Data[[#This Row],[UTILIDAD (%)]])))-D.sign_Data[[#This Row],[COSTOS OPERACIONALES ($COP)]]</f>
        <v>6187.2559169929227</v>
      </c>
      <c r="AB653" s="3">
        <f>+D.sign_Data[[#This Row],[COSTOS OPERACIONALES ($COP)]]+D.sign_Data[[#This Row],[DESFASE ($COP)]]+D.sign_Data[[#This Row],[UTILIDAD ($COP)]]</f>
        <v>67441.08949522287</v>
      </c>
      <c r="AC653" s="101">
        <v>0.05</v>
      </c>
      <c r="AD653" s="15">
        <f>+D.sign_Data[[#This Row],[VALOR NETO ($COP)]]/(100%-D.sign_Data[[#This Row],[MARGEN DE NEGOCIACIÓN (%)]])-D.sign_Data[[#This Row],[VALOR NETO ($COP)]]</f>
        <v>3549.53102606436</v>
      </c>
      <c r="AE653" s="15">
        <f>+(D.sign_Data[[#This Row],[VALOR NETO ($COP)]]+D.sign_Data[[#This Row],[NEGOCIACIÓN ($COP)]])*1%</f>
        <v>709.90620521287235</v>
      </c>
      <c r="AF653" s="15">
        <f>+(D.sign_Data[[#This Row],[VALOR NETO ($COP)]]+D.sign_Data[[#This Row],[NEGOCIACIÓN ($COP)]])*1%</f>
        <v>709.90620521287235</v>
      </c>
      <c r="AG653" s="3">
        <f>+D.sign_Data[[#This Row],[VALOR NETO ($COP)]]+D.sign_Data[[#This Row],[NEGOCIACIÓN ($COP)]]+D.sign_Data[[#This Row],[ICA ($COP)]]+D.sign_Data[[#This Row],[4 * 1000 ($COP)]]</f>
        <v>72410.432931712974</v>
      </c>
    </row>
    <row r="654" spans="1:33" ht="60" hidden="1" customHeight="1" x14ac:dyDescent="0.25">
      <c r="A654" s="14"/>
      <c r="B654" s="87" t="s">
        <v>442</v>
      </c>
      <c r="C654" s="182" t="s">
        <v>894</v>
      </c>
      <c r="D654" s="189" t="str">
        <f>VLOOKUP(D.sign_Data[[#This Row],[CÓDIGO]],Descripciones[[CÓDIGO]:[NOMBRE DE SERVICIO]],3,FALSE)</f>
        <v>D2. Edificación en Altura</v>
      </c>
      <c r="E654" s="87" t="s">
        <v>497</v>
      </c>
      <c r="F654" s="88" t="s">
        <v>895</v>
      </c>
      <c r="G654" s="88" t="s">
        <v>536</v>
      </c>
      <c r="H654" s="87" t="s">
        <v>500</v>
      </c>
      <c r="I654" s="89">
        <v>1</v>
      </c>
      <c r="J654" s="88" t="s">
        <v>900</v>
      </c>
      <c r="K654" s="102"/>
      <c r="L654" s="88" t="s">
        <v>841</v>
      </c>
      <c r="M654" s="89" t="s">
        <v>381</v>
      </c>
      <c r="N654" s="90">
        <v>1</v>
      </c>
      <c r="O654" s="27">
        <f>IFERROR(+VLOOKUP(M654,D.sign_Lista_Data[[RESPONSABLE]:[SOFTWARE 
VALOR HORA]],3,FALSE),"0")</f>
        <v>20263.424518743668</v>
      </c>
      <c r="P654" s="3">
        <f t="shared" si="22"/>
        <v>20263.424518743668</v>
      </c>
      <c r="Q654" s="11">
        <f>IFERROR(+VLOOKUP(M654,D.sign_Lista_Data[[RESPONSABLE]:[SOFTWARE 
VALOR HORA]],5,FALSE)*D.sign_Data[[#This Row],[TIEMPO (HORAS)]],0)</f>
        <v>4221.5467747382636</v>
      </c>
      <c r="R654" s="11">
        <f>IFERROR(+VLOOKUP(M654,D.sign_Lista_Data[[RESPONSABLE]:[SOFTWARE 
VALOR HORA]],8,FALSE)*D.sign_Data[[#This Row],[TIEMPO (HORAS)]],0)</f>
        <v>3410.8548871439834</v>
      </c>
      <c r="S654" s="99"/>
      <c r="T654" s="99"/>
      <c r="U654" s="3">
        <f t="shared" si="23"/>
        <v>27895.826180625918</v>
      </c>
      <c r="V654" s="100">
        <f>D.sign_Data[[#This Row],[TIEMPO (HORAS)]]*Gastos_Operativos[[#Totals],[GASTOS HORA]]</f>
        <v>27789.477072310401</v>
      </c>
      <c r="W654" s="3">
        <f>+D.sign_Data[[#This Row],[COSTO 
DIRECTO ($COP)]]+D.sign_Data[[#This Row],[PRORRATEO GASTOS ($COP)]]</f>
        <v>55685.303252936319</v>
      </c>
      <c r="X654" s="101">
        <v>0.1</v>
      </c>
      <c r="Y654" s="15">
        <f>+D.sign_Data[[#This Row],[COSTOS OPERACIONALES ($COP)]]*D.sign_Data[[#This Row],[DESFASE (%)]]</f>
        <v>5568.5303252936319</v>
      </c>
      <c r="Z654" s="101">
        <v>0.1</v>
      </c>
      <c r="AA654" s="15">
        <f>+((D.sign_Data[[#This Row],[COSTOS OPERACIONALES ($COP)]]/(100%-D.sign_Data[[#This Row],[UTILIDAD (%)]])))-D.sign_Data[[#This Row],[COSTOS OPERACIONALES ($COP)]]</f>
        <v>6187.2559169929227</v>
      </c>
      <c r="AB654" s="3">
        <f>+D.sign_Data[[#This Row],[COSTOS OPERACIONALES ($COP)]]+D.sign_Data[[#This Row],[DESFASE ($COP)]]+D.sign_Data[[#This Row],[UTILIDAD ($COP)]]</f>
        <v>67441.08949522287</v>
      </c>
      <c r="AC654" s="101">
        <v>0.05</v>
      </c>
      <c r="AD654" s="15">
        <f>+D.sign_Data[[#This Row],[VALOR NETO ($COP)]]/(100%-D.sign_Data[[#This Row],[MARGEN DE NEGOCIACIÓN (%)]])-D.sign_Data[[#This Row],[VALOR NETO ($COP)]]</f>
        <v>3549.53102606436</v>
      </c>
      <c r="AE654" s="15">
        <f>+(D.sign_Data[[#This Row],[VALOR NETO ($COP)]]+D.sign_Data[[#This Row],[NEGOCIACIÓN ($COP)]])*1%</f>
        <v>709.90620521287235</v>
      </c>
      <c r="AF654" s="15">
        <f>+(D.sign_Data[[#This Row],[VALOR NETO ($COP)]]+D.sign_Data[[#This Row],[NEGOCIACIÓN ($COP)]])*1%</f>
        <v>709.90620521287235</v>
      </c>
      <c r="AG654" s="3">
        <f>+D.sign_Data[[#This Row],[VALOR NETO ($COP)]]+D.sign_Data[[#This Row],[NEGOCIACIÓN ($COP)]]+D.sign_Data[[#This Row],[ICA ($COP)]]+D.sign_Data[[#This Row],[4 * 1000 ($COP)]]</f>
        <v>72410.432931712974</v>
      </c>
    </row>
    <row r="655" spans="1:33" ht="60" hidden="1" customHeight="1" x14ac:dyDescent="0.25">
      <c r="A655" s="14"/>
      <c r="B655" s="87" t="s">
        <v>442</v>
      </c>
      <c r="C655" s="182" t="s">
        <v>894</v>
      </c>
      <c r="D655" s="189" t="str">
        <f>VLOOKUP(D.sign_Data[[#This Row],[CÓDIGO]],Descripciones[[CÓDIGO]:[NOMBRE DE SERVICIO]],3,FALSE)</f>
        <v>D2. Edificación en Altura</v>
      </c>
      <c r="E655" s="87" t="s">
        <v>497</v>
      </c>
      <c r="F655" s="88" t="s">
        <v>895</v>
      </c>
      <c r="G655" s="88" t="s">
        <v>536</v>
      </c>
      <c r="H655" s="87" t="s">
        <v>500</v>
      </c>
      <c r="I655" s="89">
        <v>1</v>
      </c>
      <c r="J655" s="88" t="s">
        <v>900</v>
      </c>
      <c r="K655" s="102"/>
      <c r="L655" s="88" t="s">
        <v>842</v>
      </c>
      <c r="M655" s="89" t="s">
        <v>381</v>
      </c>
      <c r="N655" s="90">
        <v>0.5</v>
      </c>
      <c r="O655" s="27">
        <f>IFERROR(+VLOOKUP(M655,D.sign_Lista_Data[[RESPONSABLE]:[SOFTWARE 
VALOR HORA]],3,FALSE),"0")</f>
        <v>20263.424518743668</v>
      </c>
      <c r="P655" s="3">
        <f t="shared" si="22"/>
        <v>10131.712259371834</v>
      </c>
      <c r="Q655" s="11">
        <f>IFERROR(+VLOOKUP(M655,D.sign_Lista_Data[[RESPONSABLE]:[SOFTWARE 
VALOR HORA]],5,FALSE)*D.sign_Data[[#This Row],[TIEMPO (HORAS)]],0)</f>
        <v>2110.7733873691318</v>
      </c>
      <c r="R655" s="11">
        <f>IFERROR(+VLOOKUP(M655,D.sign_Lista_Data[[RESPONSABLE]:[SOFTWARE 
VALOR HORA]],8,FALSE)*D.sign_Data[[#This Row],[TIEMPO (HORAS)]],0)</f>
        <v>1705.4274435719917</v>
      </c>
      <c r="S655" s="99"/>
      <c r="T655" s="99"/>
      <c r="U655" s="3">
        <f t="shared" si="23"/>
        <v>13947.913090312959</v>
      </c>
      <c r="V655" s="100">
        <f>D.sign_Data[[#This Row],[TIEMPO (HORAS)]]*Gastos_Operativos[[#Totals],[GASTOS HORA]]</f>
        <v>13894.738536155201</v>
      </c>
      <c r="W655" s="3">
        <f>+D.sign_Data[[#This Row],[COSTO 
DIRECTO ($COP)]]+D.sign_Data[[#This Row],[PRORRATEO GASTOS ($COP)]]</f>
        <v>27842.65162646816</v>
      </c>
      <c r="X655" s="101">
        <v>0.1</v>
      </c>
      <c r="Y655" s="15">
        <f>+D.sign_Data[[#This Row],[COSTOS OPERACIONALES ($COP)]]*D.sign_Data[[#This Row],[DESFASE (%)]]</f>
        <v>2784.265162646816</v>
      </c>
      <c r="Z655" s="101">
        <v>0.1</v>
      </c>
      <c r="AA655" s="15">
        <f>+((D.sign_Data[[#This Row],[COSTOS OPERACIONALES ($COP)]]/(100%-D.sign_Data[[#This Row],[UTILIDAD (%)]])))-D.sign_Data[[#This Row],[COSTOS OPERACIONALES ($COP)]]</f>
        <v>3093.6279584964614</v>
      </c>
      <c r="AB655" s="3">
        <f>+D.sign_Data[[#This Row],[COSTOS OPERACIONALES ($COP)]]+D.sign_Data[[#This Row],[DESFASE ($COP)]]+D.sign_Data[[#This Row],[UTILIDAD ($COP)]]</f>
        <v>33720.544747611435</v>
      </c>
      <c r="AC655" s="101">
        <v>0.05</v>
      </c>
      <c r="AD655" s="15">
        <f>+D.sign_Data[[#This Row],[VALOR NETO ($COP)]]/(100%-D.sign_Data[[#This Row],[MARGEN DE NEGOCIACIÓN (%)]])-D.sign_Data[[#This Row],[VALOR NETO ($COP)]]</f>
        <v>1774.76551303218</v>
      </c>
      <c r="AE655" s="15">
        <f>+(D.sign_Data[[#This Row],[VALOR NETO ($COP)]]+D.sign_Data[[#This Row],[NEGOCIACIÓN ($COP)]])*1%</f>
        <v>354.95310260643618</v>
      </c>
      <c r="AF655" s="15">
        <f>+(D.sign_Data[[#This Row],[VALOR NETO ($COP)]]+D.sign_Data[[#This Row],[NEGOCIACIÓN ($COP)]])*1%</f>
        <v>354.95310260643618</v>
      </c>
      <c r="AG655" s="3">
        <f>+D.sign_Data[[#This Row],[VALOR NETO ($COP)]]+D.sign_Data[[#This Row],[NEGOCIACIÓN ($COP)]]+D.sign_Data[[#This Row],[ICA ($COP)]]+D.sign_Data[[#This Row],[4 * 1000 ($COP)]]</f>
        <v>36205.216465856487</v>
      </c>
    </row>
    <row r="656" spans="1:33" ht="60" hidden="1" customHeight="1" x14ac:dyDescent="0.25">
      <c r="A656" s="14"/>
      <c r="B656" s="87" t="s">
        <v>442</v>
      </c>
      <c r="C656" s="182" t="s">
        <v>894</v>
      </c>
      <c r="D656" s="189" t="str">
        <f>VLOOKUP(D.sign_Data[[#This Row],[CÓDIGO]],Descripciones[[CÓDIGO]:[NOMBRE DE SERVICIO]],3,FALSE)</f>
        <v>D2. Edificación en Altura</v>
      </c>
      <c r="E656" s="87" t="s">
        <v>497</v>
      </c>
      <c r="F656" s="88" t="s">
        <v>895</v>
      </c>
      <c r="G656" s="88" t="s">
        <v>536</v>
      </c>
      <c r="H656" s="87" t="s">
        <v>500</v>
      </c>
      <c r="I656" s="89">
        <v>1</v>
      </c>
      <c r="J656" s="88" t="s">
        <v>900</v>
      </c>
      <c r="K656" s="102"/>
      <c r="L656" s="88" t="s">
        <v>843</v>
      </c>
      <c r="M656" s="89" t="s">
        <v>381</v>
      </c>
      <c r="N656" s="90">
        <v>1</v>
      </c>
      <c r="O656" s="27">
        <f>IFERROR(+VLOOKUP(M656,D.sign_Lista_Data[[RESPONSABLE]:[SOFTWARE 
VALOR HORA]],3,FALSE),"0")</f>
        <v>20263.424518743668</v>
      </c>
      <c r="P656" s="3">
        <f t="shared" si="22"/>
        <v>20263.424518743668</v>
      </c>
      <c r="Q656" s="11">
        <f>IFERROR(+VLOOKUP(M656,D.sign_Lista_Data[[RESPONSABLE]:[SOFTWARE 
VALOR HORA]],5,FALSE)*D.sign_Data[[#This Row],[TIEMPO (HORAS)]],0)</f>
        <v>4221.5467747382636</v>
      </c>
      <c r="R656" s="11">
        <f>IFERROR(+VLOOKUP(M656,D.sign_Lista_Data[[RESPONSABLE]:[SOFTWARE 
VALOR HORA]],8,FALSE)*D.sign_Data[[#This Row],[TIEMPO (HORAS)]],0)</f>
        <v>3410.8548871439834</v>
      </c>
      <c r="S656" s="99"/>
      <c r="T656" s="99"/>
      <c r="U656" s="3">
        <f t="shared" si="23"/>
        <v>27895.826180625918</v>
      </c>
      <c r="V656" s="100">
        <f>D.sign_Data[[#This Row],[TIEMPO (HORAS)]]*Gastos_Operativos[[#Totals],[GASTOS HORA]]</f>
        <v>27789.477072310401</v>
      </c>
      <c r="W656" s="3">
        <f>+D.sign_Data[[#This Row],[COSTO 
DIRECTO ($COP)]]+D.sign_Data[[#This Row],[PRORRATEO GASTOS ($COP)]]</f>
        <v>55685.303252936319</v>
      </c>
      <c r="X656" s="101">
        <v>0.1</v>
      </c>
      <c r="Y656" s="15">
        <f>+D.sign_Data[[#This Row],[COSTOS OPERACIONALES ($COP)]]*D.sign_Data[[#This Row],[DESFASE (%)]]</f>
        <v>5568.5303252936319</v>
      </c>
      <c r="Z656" s="101">
        <v>0.1</v>
      </c>
      <c r="AA656" s="15">
        <f>+((D.sign_Data[[#This Row],[COSTOS OPERACIONALES ($COP)]]/(100%-D.sign_Data[[#This Row],[UTILIDAD (%)]])))-D.sign_Data[[#This Row],[COSTOS OPERACIONALES ($COP)]]</f>
        <v>6187.2559169929227</v>
      </c>
      <c r="AB656" s="3">
        <f>+D.sign_Data[[#This Row],[COSTOS OPERACIONALES ($COP)]]+D.sign_Data[[#This Row],[DESFASE ($COP)]]+D.sign_Data[[#This Row],[UTILIDAD ($COP)]]</f>
        <v>67441.08949522287</v>
      </c>
      <c r="AC656" s="101">
        <v>0.05</v>
      </c>
      <c r="AD656" s="15">
        <f>+D.sign_Data[[#This Row],[VALOR NETO ($COP)]]/(100%-D.sign_Data[[#This Row],[MARGEN DE NEGOCIACIÓN (%)]])-D.sign_Data[[#This Row],[VALOR NETO ($COP)]]</f>
        <v>3549.53102606436</v>
      </c>
      <c r="AE656" s="15">
        <f>+(D.sign_Data[[#This Row],[VALOR NETO ($COP)]]+D.sign_Data[[#This Row],[NEGOCIACIÓN ($COP)]])*1%</f>
        <v>709.90620521287235</v>
      </c>
      <c r="AF656" s="15">
        <f>+(D.sign_Data[[#This Row],[VALOR NETO ($COP)]]+D.sign_Data[[#This Row],[NEGOCIACIÓN ($COP)]])*1%</f>
        <v>709.90620521287235</v>
      </c>
      <c r="AG656" s="3">
        <f>+D.sign_Data[[#This Row],[VALOR NETO ($COP)]]+D.sign_Data[[#This Row],[NEGOCIACIÓN ($COP)]]+D.sign_Data[[#This Row],[ICA ($COP)]]+D.sign_Data[[#This Row],[4 * 1000 ($COP)]]</f>
        <v>72410.432931712974</v>
      </c>
    </row>
    <row r="657" spans="1:33" ht="60" hidden="1" customHeight="1" x14ac:dyDescent="0.25">
      <c r="A657" s="14"/>
      <c r="B657" s="87" t="s">
        <v>442</v>
      </c>
      <c r="C657" s="182" t="s">
        <v>894</v>
      </c>
      <c r="D657" s="189" t="str">
        <f>VLOOKUP(D.sign_Data[[#This Row],[CÓDIGO]],Descripciones[[CÓDIGO]:[NOMBRE DE SERVICIO]],3,FALSE)</f>
        <v>D2. Edificación en Altura</v>
      </c>
      <c r="E657" s="87" t="s">
        <v>497</v>
      </c>
      <c r="F657" s="88" t="s">
        <v>895</v>
      </c>
      <c r="G657" s="88" t="s">
        <v>536</v>
      </c>
      <c r="H657" s="87" t="s">
        <v>500</v>
      </c>
      <c r="I657" s="89">
        <v>1</v>
      </c>
      <c r="J657" s="88" t="s">
        <v>900</v>
      </c>
      <c r="K657" s="102"/>
      <c r="L657" s="88" t="s">
        <v>844</v>
      </c>
      <c r="M657" s="89" t="s">
        <v>381</v>
      </c>
      <c r="N657" s="90">
        <v>0.5</v>
      </c>
      <c r="O657" s="27">
        <f>IFERROR(+VLOOKUP(M657,D.sign_Lista_Data[[RESPONSABLE]:[SOFTWARE 
VALOR HORA]],3,FALSE),"0")</f>
        <v>20263.424518743668</v>
      </c>
      <c r="P657" s="3">
        <f t="shared" si="22"/>
        <v>10131.712259371834</v>
      </c>
      <c r="Q657" s="11">
        <f>IFERROR(+VLOOKUP(M657,D.sign_Lista_Data[[RESPONSABLE]:[SOFTWARE 
VALOR HORA]],5,FALSE)*D.sign_Data[[#This Row],[TIEMPO (HORAS)]],0)</f>
        <v>2110.7733873691318</v>
      </c>
      <c r="R657" s="11">
        <f>IFERROR(+VLOOKUP(M657,D.sign_Lista_Data[[RESPONSABLE]:[SOFTWARE 
VALOR HORA]],8,FALSE)*D.sign_Data[[#This Row],[TIEMPO (HORAS)]],0)</f>
        <v>1705.4274435719917</v>
      </c>
      <c r="S657" s="99"/>
      <c r="T657" s="99"/>
      <c r="U657" s="3">
        <f t="shared" si="23"/>
        <v>13947.913090312959</v>
      </c>
      <c r="V657" s="100">
        <f>D.sign_Data[[#This Row],[TIEMPO (HORAS)]]*Gastos_Operativos[[#Totals],[GASTOS HORA]]</f>
        <v>13894.738536155201</v>
      </c>
      <c r="W657" s="3">
        <f>+D.sign_Data[[#This Row],[COSTO 
DIRECTO ($COP)]]+D.sign_Data[[#This Row],[PRORRATEO GASTOS ($COP)]]</f>
        <v>27842.65162646816</v>
      </c>
      <c r="X657" s="101">
        <v>0.1</v>
      </c>
      <c r="Y657" s="15">
        <f>+D.sign_Data[[#This Row],[COSTOS OPERACIONALES ($COP)]]*D.sign_Data[[#This Row],[DESFASE (%)]]</f>
        <v>2784.265162646816</v>
      </c>
      <c r="Z657" s="101">
        <v>0.1</v>
      </c>
      <c r="AA657" s="15">
        <f>+((D.sign_Data[[#This Row],[COSTOS OPERACIONALES ($COP)]]/(100%-D.sign_Data[[#This Row],[UTILIDAD (%)]])))-D.sign_Data[[#This Row],[COSTOS OPERACIONALES ($COP)]]</f>
        <v>3093.6279584964614</v>
      </c>
      <c r="AB657" s="3">
        <f>+D.sign_Data[[#This Row],[COSTOS OPERACIONALES ($COP)]]+D.sign_Data[[#This Row],[DESFASE ($COP)]]+D.sign_Data[[#This Row],[UTILIDAD ($COP)]]</f>
        <v>33720.544747611435</v>
      </c>
      <c r="AC657" s="101">
        <v>0.05</v>
      </c>
      <c r="AD657" s="15">
        <f>+D.sign_Data[[#This Row],[VALOR NETO ($COP)]]/(100%-D.sign_Data[[#This Row],[MARGEN DE NEGOCIACIÓN (%)]])-D.sign_Data[[#This Row],[VALOR NETO ($COP)]]</f>
        <v>1774.76551303218</v>
      </c>
      <c r="AE657" s="15">
        <f>+(D.sign_Data[[#This Row],[VALOR NETO ($COP)]]+D.sign_Data[[#This Row],[NEGOCIACIÓN ($COP)]])*1%</f>
        <v>354.95310260643618</v>
      </c>
      <c r="AF657" s="15">
        <f>+(D.sign_Data[[#This Row],[VALOR NETO ($COP)]]+D.sign_Data[[#This Row],[NEGOCIACIÓN ($COP)]])*1%</f>
        <v>354.95310260643618</v>
      </c>
      <c r="AG657" s="3">
        <f>+D.sign_Data[[#This Row],[VALOR NETO ($COP)]]+D.sign_Data[[#This Row],[NEGOCIACIÓN ($COP)]]+D.sign_Data[[#This Row],[ICA ($COP)]]+D.sign_Data[[#This Row],[4 * 1000 ($COP)]]</f>
        <v>36205.216465856487</v>
      </c>
    </row>
    <row r="658" spans="1:33" ht="60" hidden="1" customHeight="1" x14ac:dyDescent="0.25">
      <c r="A658" s="14"/>
      <c r="B658" s="87" t="s">
        <v>442</v>
      </c>
      <c r="C658" s="182" t="s">
        <v>894</v>
      </c>
      <c r="D658" s="189" t="str">
        <f>VLOOKUP(D.sign_Data[[#This Row],[CÓDIGO]],Descripciones[[CÓDIGO]:[NOMBRE DE SERVICIO]],3,FALSE)</f>
        <v>D2. Edificación en Altura</v>
      </c>
      <c r="E658" s="87" t="s">
        <v>497</v>
      </c>
      <c r="F658" s="88" t="s">
        <v>895</v>
      </c>
      <c r="G658" s="88" t="s">
        <v>536</v>
      </c>
      <c r="H658" s="87" t="s">
        <v>500</v>
      </c>
      <c r="I658" s="89">
        <v>1</v>
      </c>
      <c r="J658" s="88" t="s">
        <v>900</v>
      </c>
      <c r="K658" s="102"/>
      <c r="L658" s="88" t="s">
        <v>743</v>
      </c>
      <c r="M658" s="89" t="s">
        <v>381</v>
      </c>
      <c r="N658" s="90">
        <v>0.5</v>
      </c>
      <c r="O658" s="27">
        <f>IFERROR(+VLOOKUP(M658,D.sign_Lista_Data[[RESPONSABLE]:[SOFTWARE 
VALOR HORA]],3,FALSE),"0")</f>
        <v>20263.424518743668</v>
      </c>
      <c r="P658" s="3">
        <f t="shared" si="22"/>
        <v>10131.712259371834</v>
      </c>
      <c r="Q658" s="11">
        <f>IFERROR(+VLOOKUP(M658,D.sign_Lista_Data[[RESPONSABLE]:[SOFTWARE 
VALOR HORA]],5,FALSE)*D.sign_Data[[#This Row],[TIEMPO (HORAS)]],0)</f>
        <v>2110.7733873691318</v>
      </c>
      <c r="R658" s="11">
        <f>IFERROR(+VLOOKUP(M658,D.sign_Lista_Data[[RESPONSABLE]:[SOFTWARE 
VALOR HORA]],8,FALSE)*D.sign_Data[[#This Row],[TIEMPO (HORAS)]],0)</f>
        <v>1705.4274435719917</v>
      </c>
      <c r="S658" s="99"/>
      <c r="T658" s="99"/>
      <c r="U658" s="3">
        <f t="shared" si="23"/>
        <v>13947.913090312959</v>
      </c>
      <c r="V658" s="100">
        <f>D.sign_Data[[#This Row],[TIEMPO (HORAS)]]*Gastos_Operativos[[#Totals],[GASTOS HORA]]</f>
        <v>13894.738536155201</v>
      </c>
      <c r="W658" s="3">
        <f>+D.sign_Data[[#This Row],[COSTO 
DIRECTO ($COP)]]+D.sign_Data[[#This Row],[PRORRATEO GASTOS ($COP)]]</f>
        <v>27842.65162646816</v>
      </c>
      <c r="X658" s="101">
        <v>0.1</v>
      </c>
      <c r="Y658" s="15">
        <f>+D.sign_Data[[#This Row],[COSTOS OPERACIONALES ($COP)]]*D.sign_Data[[#This Row],[DESFASE (%)]]</f>
        <v>2784.265162646816</v>
      </c>
      <c r="Z658" s="101">
        <v>0.1</v>
      </c>
      <c r="AA658" s="15">
        <f>+((D.sign_Data[[#This Row],[COSTOS OPERACIONALES ($COP)]]/(100%-D.sign_Data[[#This Row],[UTILIDAD (%)]])))-D.sign_Data[[#This Row],[COSTOS OPERACIONALES ($COP)]]</f>
        <v>3093.6279584964614</v>
      </c>
      <c r="AB658" s="3">
        <f>+D.sign_Data[[#This Row],[COSTOS OPERACIONALES ($COP)]]+D.sign_Data[[#This Row],[DESFASE ($COP)]]+D.sign_Data[[#This Row],[UTILIDAD ($COP)]]</f>
        <v>33720.544747611435</v>
      </c>
      <c r="AC658" s="101">
        <v>0.05</v>
      </c>
      <c r="AD658" s="15">
        <f>+D.sign_Data[[#This Row],[VALOR NETO ($COP)]]/(100%-D.sign_Data[[#This Row],[MARGEN DE NEGOCIACIÓN (%)]])-D.sign_Data[[#This Row],[VALOR NETO ($COP)]]</f>
        <v>1774.76551303218</v>
      </c>
      <c r="AE658" s="15">
        <f>+(D.sign_Data[[#This Row],[VALOR NETO ($COP)]]+D.sign_Data[[#This Row],[NEGOCIACIÓN ($COP)]])*1%</f>
        <v>354.95310260643618</v>
      </c>
      <c r="AF658" s="15">
        <f>+(D.sign_Data[[#This Row],[VALOR NETO ($COP)]]+D.sign_Data[[#This Row],[NEGOCIACIÓN ($COP)]])*1%</f>
        <v>354.95310260643618</v>
      </c>
      <c r="AG658" s="3">
        <f>+D.sign_Data[[#This Row],[VALOR NETO ($COP)]]+D.sign_Data[[#This Row],[NEGOCIACIÓN ($COP)]]+D.sign_Data[[#This Row],[ICA ($COP)]]+D.sign_Data[[#This Row],[4 * 1000 ($COP)]]</f>
        <v>36205.216465856487</v>
      </c>
    </row>
    <row r="659" spans="1:33" ht="60" hidden="1" customHeight="1" x14ac:dyDescent="0.25">
      <c r="A659" s="14"/>
      <c r="B659" s="87" t="s">
        <v>442</v>
      </c>
      <c r="C659" s="182" t="s">
        <v>894</v>
      </c>
      <c r="D659" s="189" t="str">
        <f>VLOOKUP(D.sign_Data[[#This Row],[CÓDIGO]],Descripciones[[CÓDIGO]:[NOMBRE DE SERVICIO]],3,FALSE)</f>
        <v>D2. Edificación en Altura</v>
      </c>
      <c r="E659" s="87" t="s">
        <v>497</v>
      </c>
      <c r="F659" s="88" t="s">
        <v>895</v>
      </c>
      <c r="G659" s="88" t="s">
        <v>536</v>
      </c>
      <c r="H659" s="87" t="s">
        <v>500</v>
      </c>
      <c r="I659" s="89">
        <v>1</v>
      </c>
      <c r="J659" s="88" t="s">
        <v>901</v>
      </c>
      <c r="K659" s="102"/>
      <c r="L659" s="88" t="s">
        <v>858</v>
      </c>
      <c r="M659" s="89" t="s">
        <v>381</v>
      </c>
      <c r="N659" s="90">
        <v>2.5</v>
      </c>
      <c r="O659" s="27">
        <f>IFERROR(+VLOOKUP(M659,D.sign_Lista_Data[[RESPONSABLE]:[SOFTWARE 
VALOR HORA]],3,FALSE),"0")</f>
        <v>20263.424518743668</v>
      </c>
      <c r="P659" s="3">
        <f t="shared" si="22"/>
        <v>50658.561296859174</v>
      </c>
      <c r="Q659" s="11">
        <f>IFERROR(+VLOOKUP(M659,D.sign_Lista_Data[[RESPONSABLE]:[SOFTWARE 
VALOR HORA]],5,FALSE)*D.sign_Data[[#This Row],[TIEMPO (HORAS)]],0)</f>
        <v>10553.866936845659</v>
      </c>
      <c r="R659" s="11">
        <f>IFERROR(+VLOOKUP(M659,D.sign_Lista_Data[[RESPONSABLE]:[SOFTWARE 
VALOR HORA]],8,FALSE)*D.sign_Data[[#This Row],[TIEMPO (HORAS)]],0)</f>
        <v>8527.1372178599595</v>
      </c>
      <c r="S659" s="99"/>
      <c r="T659" s="99"/>
      <c r="U659" s="3">
        <f t="shared" si="23"/>
        <v>69739.565451564791</v>
      </c>
      <c r="V659" s="100">
        <f>D.sign_Data[[#This Row],[TIEMPO (HORAS)]]*Gastos_Operativos[[#Totals],[GASTOS HORA]]</f>
        <v>69473.692680776003</v>
      </c>
      <c r="W659" s="3">
        <f>+D.sign_Data[[#This Row],[COSTO 
DIRECTO ($COP)]]+D.sign_Data[[#This Row],[PRORRATEO GASTOS ($COP)]]</f>
        <v>139213.25813234079</v>
      </c>
      <c r="X659" s="101">
        <v>0.1</v>
      </c>
      <c r="Y659" s="15">
        <f>+D.sign_Data[[#This Row],[COSTOS OPERACIONALES ($COP)]]*D.sign_Data[[#This Row],[DESFASE (%)]]</f>
        <v>13921.32581323408</v>
      </c>
      <c r="Z659" s="101">
        <v>0.1</v>
      </c>
      <c r="AA659" s="15">
        <f>+((D.sign_Data[[#This Row],[COSTOS OPERACIONALES ($COP)]]/(100%-D.sign_Data[[#This Row],[UTILIDAD (%)]])))-D.sign_Data[[#This Row],[COSTOS OPERACIONALES ($COP)]]</f>
        <v>15468.13979248231</v>
      </c>
      <c r="AB659" s="3">
        <f>+D.sign_Data[[#This Row],[COSTOS OPERACIONALES ($COP)]]+D.sign_Data[[#This Row],[DESFASE ($COP)]]+D.sign_Data[[#This Row],[UTILIDAD ($COP)]]</f>
        <v>168602.72373805719</v>
      </c>
      <c r="AC659" s="101">
        <v>0.05</v>
      </c>
      <c r="AD659" s="15">
        <f>+D.sign_Data[[#This Row],[VALOR NETO ($COP)]]/(100%-D.sign_Data[[#This Row],[MARGEN DE NEGOCIACIÓN (%)]])-D.sign_Data[[#This Row],[VALOR NETO ($COP)]]</f>
        <v>8873.8275651609001</v>
      </c>
      <c r="AE659" s="15">
        <f>+(D.sign_Data[[#This Row],[VALOR NETO ($COP)]]+D.sign_Data[[#This Row],[NEGOCIACIÓN ($COP)]])*1%</f>
        <v>1774.7655130321809</v>
      </c>
      <c r="AF659" s="15">
        <f>+(D.sign_Data[[#This Row],[VALOR NETO ($COP)]]+D.sign_Data[[#This Row],[NEGOCIACIÓN ($COP)]])*1%</f>
        <v>1774.7655130321809</v>
      </c>
      <c r="AG659" s="3">
        <f>+D.sign_Data[[#This Row],[VALOR NETO ($COP)]]+D.sign_Data[[#This Row],[NEGOCIACIÓN ($COP)]]+D.sign_Data[[#This Row],[ICA ($COP)]]+D.sign_Data[[#This Row],[4 * 1000 ($COP)]]</f>
        <v>181026.08232928245</v>
      </c>
    </row>
    <row r="660" spans="1:33" ht="60" hidden="1" customHeight="1" x14ac:dyDescent="0.25">
      <c r="A660" s="14"/>
      <c r="B660" s="87" t="s">
        <v>442</v>
      </c>
      <c r="C660" s="182" t="s">
        <v>894</v>
      </c>
      <c r="D660" s="189" t="str">
        <f>VLOOKUP(D.sign_Data[[#This Row],[CÓDIGO]],Descripciones[[CÓDIGO]:[NOMBRE DE SERVICIO]],3,FALSE)</f>
        <v>D2. Edificación en Altura</v>
      </c>
      <c r="E660" s="87" t="s">
        <v>497</v>
      </c>
      <c r="F660" s="88" t="s">
        <v>895</v>
      </c>
      <c r="G660" s="88" t="s">
        <v>536</v>
      </c>
      <c r="H660" s="87" t="s">
        <v>500</v>
      </c>
      <c r="I660" s="89">
        <v>1</v>
      </c>
      <c r="J660" s="88" t="s">
        <v>902</v>
      </c>
      <c r="K660" s="102"/>
      <c r="L660" s="88" t="s">
        <v>860</v>
      </c>
      <c r="M660" s="89" t="s">
        <v>381</v>
      </c>
      <c r="N660" s="90">
        <v>0.5</v>
      </c>
      <c r="O660" s="27">
        <f>IFERROR(+VLOOKUP(M660,D.sign_Lista_Data[[RESPONSABLE]:[SOFTWARE 
VALOR HORA]],3,FALSE),"0")</f>
        <v>20263.424518743668</v>
      </c>
      <c r="P660" s="3">
        <f t="shared" si="22"/>
        <v>10131.712259371834</v>
      </c>
      <c r="Q660" s="11">
        <f>IFERROR(+VLOOKUP(M660,D.sign_Lista_Data[[RESPONSABLE]:[SOFTWARE 
VALOR HORA]],5,FALSE)*D.sign_Data[[#This Row],[TIEMPO (HORAS)]],0)</f>
        <v>2110.7733873691318</v>
      </c>
      <c r="R660" s="11">
        <f>IFERROR(+VLOOKUP(M660,D.sign_Lista_Data[[RESPONSABLE]:[SOFTWARE 
VALOR HORA]],8,FALSE)*D.sign_Data[[#This Row],[TIEMPO (HORAS)]],0)</f>
        <v>1705.4274435719917</v>
      </c>
      <c r="S660" s="99"/>
      <c r="T660" s="99"/>
      <c r="U660" s="3">
        <f t="shared" si="23"/>
        <v>13947.913090312959</v>
      </c>
      <c r="V660" s="100">
        <f>D.sign_Data[[#This Row],[TIEMPO (HORAS)]]*Gastos_Operativos[[#Totals],[GASTOS HORA]]</f>
        <v>13894.738536155201</v>
      </c>
      <c r="W660" s="3">
        <f>+D.sign_Data[[#This Row],[COSTO 
DIRECTO ($COP)]]+D.sign_Data[[#This Row],[PRORRATEO GASTOS ($COP)]]</f>
        <v>27842.65162646816</v>
      </c>
      <c r="X660" s="101">
        <v>0.1</v>
      </c>
      <c r="Y660" s="15">
        <f>+D.sign_Data[[#This Row],[COSTOS OPERACIONALES ($COP)]]*D.sign_Data[[#This Row],[DESFASE (%)]]</f>
        <v>2784.265162646816</v>
      </c>
      <c r="Z660" s="101">
        <v>0.1</v>
      </c>
      <c r="AA660" s="15">
        <f>+((D.sign_Data[[#This Row],[COSTOS OPERACIONALES ($COP)]]/(100%-D.sign_Data[[#This Row],[UTILIDAD (%)]])))-D.sign_Data[[#This Row],[COSTOS OPERACIONALES ($COP)]]</f>
        <v>3093.6279584964614</v>
      </c>
      <c r="AB660" s="3">
        <f>+D.sign_Data[[#This Row],[COSTOS OPERACIONALES ($COP)]]+D.sign_Data[[#This Row],[DESFASE ($COP)]]+D.sign_Data[[#This Row],[UTILIDAD ($COP)]]</f>
        <v>33720.544747611435</v>
      </c>
      <c r="AC660" s="101">
        <v>0.05</v>
      </c>
      <c r="AD660" s="15">
        <f>+D.sign_Data[[#This Row],[VALOR NETO ($COP)]]/(100%-D.sign_Data[[#This Row],[MARGEN DE NEGOCIACIÓN (%)]])-D.sign_Data[[#This Row],[VALOR NETO ($COP)]]</f>
        <v>1774.76551303218</v>
      </c>
      <c r="AE660" s="15">
        <f>+(D.sign_Data[[#This Row],[VALOR NETO ($COP)]]+D.sign_Data[[#This Row],[NEGOCIACIÓN ($COP)]])*1%</f>
        <v>354.95310260643618</v>
      </c>
      <c r="AF660" s="15">
        <f>+(D.sign_Data[[#This Row],[VALOR NETO ($COP)]]+D.sign_Data[[#This Row],[NEGOCIACIÓN ($COP)]])*1%</f>
        <v>354.95310260643618</v>
      </c>
      <c r="AG660" s="3">
        <f>+D.sign_Data[[#This Row],[VALOR NETO ($COP)]]+D.sign_Data[[#This Row],[NEGOCIACIÓN ($COP)]]+D.sign_Data[[#This Row],[ICA ($COP)]]+D.sign_Data[[#This Row],[4 * 1000 ($COP)]]</f>
        <v>36205.216465856487</v>
      </c>
    </row>
    <row r="661" spans="1:33" ht="60" hidden="1" customHeight="1" x14ac:dyDescent="0.25">
      <c r="A661" s="14"/>
      <c r="B661" s="87" t="s">
        <v>442</v>
      </c>
      <c r="C661" s="182" t="s">
        <v>894</v>
      </c>
      <c r="D661" s="189" t="str">
        <f>VLOOKUP(D.sign_Data[[#This Row],[CÓDIGO]],Descripciones[[CÓDIGO]:[NOMBRE DE SERVICIO]],3,FALSE)</f>
        <v>D2. Edificación en Altura</v>
      </c>
      <c r="E661" s="87" t="s">
        <v>497</v>
      </c>
      <c r="F661" s="88" t="s">
        <v>895</v>
      </c>
      <c r="G661" s="88" t="s">
        <v>536</v>
      </c>
      <c r="H661" s="87" t="s">
        <v>500</v>
      </c>
      <c r="I661" s="89">
        <v>1</v>
      </c>
      <c r="J661" s="88" t="s">
        <v>902</v>
      </c>
      <c r="K661" s="102"/>
      <c r="L661" s="88" t="s">
        <v>861</v>
      </c>
      <c r="M661" s="89" t="s">
        <v>381</v>
      </c>
      <c r="N661" s="90">
        <v>0.5</v>
      </c>
      <c r="O661" s="27">
        <f>IFERROR(+VLOOKUP(M661,D.sign_Lista_Data[[RESPONSABLE]:[SOFTWARE 
VALOR HORA]],3,FALSE),"0")</f>
        <v>20263.424518743668</v>
      </c>
      <c r="P661" s="3">
        <f t="shared" si="22"/>
        <v>10131.712259371834</v>
      </c>
      <c r="Q661" s="11">
        <f>IFERROR(+VLOOKUP(M661,D.sign_Lista_Data[[RESPONSABLE]:[SOFTWARE 
VALOR HORA]],5,FALSE)*D.sign_Data[[#This Row],[TIEMPO (HORAS)]],0)</f>
        <v>2110.7733873691318</v>
      </c>
      <c r="R661" s="11">
        <f>IFERROR(+VLOOKUP(M661,D.sign_Lista_Data[[RESPONSABLE]:[SOFTWARE 
VALOR HORA]],8,FALSE)*D.sign_Data[[#This Row],[TIEMPO (HORAS)]],0)</f>
        <v>1705.4274435719917</v>
      </c>
      <c r="S661" s="99"/>
      <c r="T661" s="99"/>
      <c r="U661" s="3">
        <f t="shared" si="23"/>
        <v>13947.913090312959</v>
      </c>
      <c r="V661" s="100">
        <f>D.sign_Data[[#This Row],[TIEMPO (HORAS)]]*Gastos_Operativos[[#Totals],[GASTOS HORA]]</f>
        <v>13894.738536155201</v>
      </c>
      <c r="W661" s="3">
        <f>+D.sign_Data[[#This Row],[COSTO 
DIRECTO ($COP)]]+D.sign_Data[[#This Row],[PRORRATEO GASTOS ($COP)]]</f>
        <v>27842.65162646816</v>
      </c>
      <c r="X661" s="101">
        <v>0.1</v>
      </c>
      <c r="Y661" s="15">
        <f>+D.sign_Data[[#This Row],[COSTOS OPERACIONALES ($COP)]]*D.sign_Data[[#This Row],[DESFASE (%)]]</f>
        <v>2784.265162646816</v>
      </c>
      <c r="Z661" s="101">
        <v>0.1</v>
      </c>
      <c r="AA661" s="15">
        <f>+((D.sign_Data[[#This Row],[COSTOS OPERACIONALES ($COP)]]/(100%-D.sign_Data[[#This Row],[UTILIDAD (%)]])))-D.sign_Data[[#This Row],[COSTOS OPERACIONALES ($COP)]]</f>
        <v>3093.6279584964614</v>
      </c>
      <c r="AB661" s="3">
        <f>+D.sign_Data[[#This Row],[COSTOS OPERACIONALES ($COP)]]+D.sign_Data[[#This Row],[DESFASE ($COP)]]+D.sign_Data[[#This Row],[UTILIDAD ($COP)]]</f>
        <v>33720.544747611435</v>
      </c>
      <c r="AC661" s="101">
        <v>0.05</v>
      </c>
      <c r="AD661" s="15">
        <f>+D.sign_Data[[#This Row],[VALOR NETO ($COP)]]/(100%-D.sign_Data[[#This Row],[MARGEN DE NEGOCIACIÓN (%)]])-D.sign_Data[[#This Row],[VALOR NETO ($COP)]]</f>
        <v>1774.76551303218</v>
      </c>
      <c r="AE661" s="15">
        <f>+(D.sign_Data[[#This Row],[VALOR NETO ($COP)]]+D.sign_Data[[#This Row],[NEGOCIACIÓN ($COP)]])*1%</f>
        <v>354.95310260643618</v>
      </c>
      <c r="AF661" s="15">
        <f>+(D.sign_Data[[#This Row],[VALOR NETO ($COP)]]+D.sign_Data[[#This Row],[NEGOCIACIÓN ($COP)]])*1%</f>
        <v>354.95310260643618</v>
      </c>
      <c r="AG661" s="3">
        <f>+D.sign_Data[[#This Row],[VALOR NETO ($COP)]]+D.sign_Data[[#This Row],[NEGOCIACIÓN ($COP)]]+D.sign_Data[[#This Row],[ICA ($COP)]]+D.sign_Data[[#This Row],[4 * 1000 ($COP)]]</f>
        <v>36205.216465856487</v>
      </c>
    </row>
    <row r="662" spans="1:33" ht="60" hidden="1" customHeight="1" x14ac:dyDescent="0.25">
      <c r="A662" s="14"/>
      <c r="B662" s="87" t="s">
        <v>442</v>
      </c>
      <c r="C662" s="182" t="s">
        <v>894</v>
      </c>
      <c r="D662" s="189" t="str">
        <f>VLOOKUP(D.sign_Data[[#This Row],[CÓDIGO]],Descripciones[[CÓDIGO]:[NOMBRE DE SERVICIO]],3,FALSE)</f>
        <v>D2. Edificación en Altura</v>
      </c>
      <c r="E662" s="87" t="s">
        <v>497</v>
      </c>
      <c r="F662" s="88" t="s">
        <v>895</v>
      </c>
      <c r="G662" s="88" t="s">
        <v>536</v>
      </c>
      <c r="H662" s="87" t="s">
        <v>500</v>
      </c>
      <c r="I662" s="89">
        <v>1</v>
      </c>
      <c r="J662" s="88" t="s">
        <v>902</v>
      </c>
      <c r="K662" s="102"/>
      <c r="L662" s="88" t="s">
        <v>653</v>
      </c>
      <c r="M662" s="89" t="s">
        <v>381</v>
      </c>
      <c r="N662" s="90">
        <v>1</v>
      </c>
      <c r="O662" s="27">
        <f>IFERROR(+VLOOKUP(M662,D.sign_Lista_Data[[RESPONSABLE]:[SOFTWARE 
VALOR HORA]],3,FALSE),"0")</f>
        <v>20263.424518743668</v>
      </c>
      <c r="P662" s="3">
        <f t="shared" si="22"/>
        <v>20263.424518743668</v>
      </c>
      <c r="Q662" s="11">
        <f>IFERROR(+VLOOKUP(M662,D.sign_Lista_Data[[RESPONSABLE]:[SOFTWARE 
VALOR HORA]],5,FALSE)*D.sign_Data[[#This Row],[TIEMPO (HORAS)]],0)</f>
        <v>4221.5467747382636</v>
      </c>
      <c r="R662" s="11">
        <f>IFERROR(+VLOOKUP(M662,D.sign_Lista_Data[[RESPONSABLE]:[SOFTWARE 
VALOR HORA]],8,FALSE)*D.sign_Data[[#This Row],[TIEMPO (HORAS)]],0)</f>
        <v>3410.8548871439834</v>
      </c>
      <c r="S662" s="99"/>
      <c r="T662" s="99"/>
      <c r="U662" s="3">
        <f t="shared" si="23"/>
        <v>27895.826180625918</v>
      </c>
      <c r="V662" s="100">
        <f>D.sign_Data[[#This Row],[TIEMPO (HORAS)]]*Gastos_Operativos[[#Totals],[GASTOS HORA]]</f>
        <v>27789.477072310401</v>
      </c>
      <c r="W662" s="3">
        <f>+D.sign_Data[[#This Row],[COSTO 
DIRECTO ($COP)]]+D.sign_Data[[#This Row],[PRORRATEO GASTOS ($COP)]]</f>
        <v>55685.303252936319</v>
      </c>
      <c r="X662" s="101">
        <v>0.1</v>
      </c>
      <c r="Y662" s="15">
        <f>+D.sign_Data[[#This Row],[COSTOS OPERACIONALES ($COP)]]*D.sign_Data[[#This Row],[DESFASE (%)]]</f>
        <v>5568.5303252936319</v>
      </c>
      <c r="Z662" s="101">
        <v>0.1</v>
      </c>
      <c r="AA662" s="15">
        <f>+((D.sign_Data[[#This Row],[COSTOS OPERACIONALES ($COP)]]/(100%-D.sign_Data[[#This Row],[UTILIDAD (%)]])))-D.sign_Data[[#This Row],[COSTOS OPERACIONALES ($COP)]]</f>
        <v>6187.2559169929227</v>
      </c>
      <c r="AB662" s="3">
        <f>+D.sign_Data[[#This Row],[COSTOS OPERACIONALES ($COP)]]+D.sign_Data[[#This Row],[DESFASE ($COP)]]+D.sign_Data[[#This Row],[UTILIDAD ($COP)]]</f>
        <v>67441.08949522287</v>
      </c>
      <c r="AC662" s="101">
        <v>0.05</v>
      </c>
      <c r="AD662" s="15">
        <f>+D.sign_Data[[#This Row],[VALOR NETO ($COP)]]/(100%-D.sign_Data[[#This Row],[MARGEN DE NEGOCIACIÓN (%)]])-D.sign_Data[[#This Row],[VALOR NETO ($COP)]]</f>
        <v>3549.53102606436</v>
      </c>
      <c r="AE662" s="15">
        <f>+(D.sign_Data[[#This Row],[VALOR NETO ($COP)]]+D.sign_Data[[#This Row],[NEGOCIACIÓN ($COP)]])*1%</f>
        <v>709.90620521287235</v>
      </c>
      <c r="AF662" s="15">
        <f>+(D.sign_Data[[#This Row],[VALOR NETO ($COP)]]+D.sign_Data[[#This Row],[NEGOCIACIÓN ($COP)]])*1%</f>
        <v>709.90620521287235</v>
      </c>
      <c r="AG662" s="3">
        <f>+D.sign_Data[[#This Row],[VALOR NETO ($COP)]]+D.sign_Data[[#This Row],[NEGOCIACIÓN ($COP)]]+D.sign_Data[[#This Row],[ICA ($COP)]]+D.sign_Data[[#This Row],[4 * 1000 ($COP)]]</f>
        <v>72410.432931712974</v>
      </c>
    </row>
    <row r="663" spans="1:33" ht="60" hidden="1" customHeight="1" x14ac:dyDescent="0.25">
      <c r="A663" s="14"/>
      <c r="B663" s="87" t="s">
        <v>442</v>
      </c>
      <c r="C663" s="182" t="s">
        <v>894</v>
      </c>
      <c r="D663" s="189" t="str">
        <f>VLOOKUP(D.sign_Data[[#This Row],[CÓDIGO]],Descripciones[[CÓDIGO]:[NOMBRE DE SERVICIO]],3,FALSE)</f>
        <v>D2. Edificación en Altura</v>
      </c>
      <c r="E663" s="87" t="s">
        <v>497</v>
      </c>
      <c r="F663" s="88" t="s">
        <v>895</v>
      </c>
      <c r="G663" s="88" t="s">
        <v>536</v>
      </c>
      <c r="H663" s="87" t="s">
        <v>500</v>
      </c>
      <c r="I663" s="89">
        <v>1</v>
      </c>
      <c r="J663" s="88" t="s">
        <v>902</v>
      </c>
      <c r="K663" s="102"/>
      <c r="L663" s="88" t="s">
        <v>654</v>
      </c>
      <c r="M663" s="89" t="s">
        <v>381</v>
      </c>
      <c r="N663" s="90">
        <v>1</v>
      </c>
      <c r="O663" s="27">
        <f>IFERROR(+VLOOKUP(M663,D.sign_Lista_Data[[RESPONSABLE]:[SOFTWARE 
VALOR HORA]],3,FALSE),"0")</f>
        <v>20263.424518743668</v>
      </c>
      <c r="P663" s="3">
        <f t="shared" si="22"/>
        <v>20263.424518743668</v>
      </c>
      <c r="Q663" s="11">
        <f>IFERROR(+VLOOKUP(M663,D.sign_Lista_Data[[RESPONSABLE]:[SOFTWARE 
VALOR HORA]],5,FALSE)*D.sign_Data[[#This Row],[TIEMPO (HORAS)]],0)</f>
        <v>4221.5467747382636</v>
      </c>
      <c r="R663" s="11">
        <f>IFERROR(+VLOOKUP(M663,D.sign_Lista_Data[[RESPONSABLE]:[SOFTWARE 
VALOR HORA]],8,FALSE)*D.sign_Data[[#This Row],[TIEMPO (HORAS)]],0)</f>
        <v>3410.8548871439834</v>
      </c>
      <c r="S663" s="99"/>
      <c r="T663" s="99"/>
      <c r="U663" s="3">
        <f t="shared" si="23"/>
        <v>27895.826180625918</v>
      </c>
      <c r="V663" s="100">
        <f>D.sign_Data[[#This Row],[TIEMPO (HORAS)]]*Gastos_Operativos[[#Totals],[GASTOS HORA]]</f>
        <v>27789.477072310401</v>
      </c>
      <c r="W663" s="3">
        <f>+D.sign_Data[[#This Row],[COSTO 
DIRECTO ($COP)]]+D.sign_Data[[#This Row],[PRORRATEO GASTOS ($COP)]]</f>
        <v>55685.303252936319</v>
      </c>
      <c r="X663" s="101">
        <v>0.1</v>
      </c>
      <c r="Y663" s="15">
        <f>+D.sign_Data[[#This Row],[COSTOS OPERACIONALES ($COP)]]*D.sign_Data[[#This Row],[DESFASE (%)]]</f>
        <v>5568.5303252936319</v>
      </c>
      <c r="Z663" s="101">
        <v>0.1</v>
      </c>
      <c r="AA663" s="15">
        <f>+((D.sign_Data[[#This Row],[COSTOS OPERACIONALES ($COP)]]/(100%-D.sign_Data[[#This Row],[UTILIDAD (%)]])))-D.sign_Data[[#This Row],[COSTOS OPERACIONALES ($COP)]]</f>
        <v>6187.2559169929227</v>
      </c>
      <c r="AB663" s="3">
        <f>+D.sign_Data[[#This Row],[COSTOS OPERACIONALES ($COP)]]+D.sign_Data[[#This Row],[DESFASE ($COP)]]+D.sign_Data[[#This Row],[UTILIDAD ($COP)]]</f>
        <v>67441.08949522287</v>
      </c>
      <c r="AC663" s="101">
        <v>0.05</v>
      </c>
      <c r="AD663" s="15">
        <f>+D.sign_Data[[#This Row],[VALOR NETO ($COP)]]/(100%-D.sign_Data[[#This Row],[MARGEN DE NEGOCIACIÓN (%)]])-D.sign_Data[[#This Row],[VALOR NETO ($COP)]]</f>
        <v>3549.53102606436</v>
      </c>
      <c r="AE663" s="15">
        <f>+(D.sign_Data[[#This Row],[VALOR NETO ($COP)]]+D.sign_Data[[#This Row],[NEGOCIACIÓN ($COP)]])*1%</f>
        <v>709.90620521287235</v>
      </c>
      <c r="AF663" s="15">
        <f>+(D.sign_Data[[#This Row],[VALOR NETO ($COP)]]+D.sign_Data[[#This Row],[NEGOCIACIÓN ($COP)]])*1%</f>
        <v>709.90620521287235</v>
      </c>
      <c r="AG663" s="3">
        <f>+D.sign_Data[[#This Row],[VALOR NETO ($COP)]]+D.sign_Data[[#This Row],[NEGOCIACIÓN ($COP)]]+D.sign_Data[[#This Row],[ICA ($COP)]]+D.sign_Data[[#This Row],[4 * 1000 ($COP)]]</f>
        <v>72410.432931712974</v>
      </c>
    </row>
    <row r="664" spans="1:33" ht="60" hidden="1" customHeight="1" x14ac:dyDescent="0.25">
      <c r="A664" s="14"/>
      <c r="B664" s="87" t="s">
        <v>442</v>
      </c>
      <c r="C664" s="182" t="s">
        <v>894</v>
      </c>
      <c r="D664" s="189" t="str">
        <f>VLOOKUP(D.sign_Data[[#This Row],[CÓDIGO]],Descripciones[[CÓDIGO]:[NOMBRE DE SERVICIO]],3,FALSE)</f>
        <v>D2. Edificación en Altura</v>
      </c>
      <c r="E664" s="87" t="s">
        <v>497</v>
      </c>
      <c r="F664" s="88" t="s">
        <v>895</v>
      </c>
      <c r="G664" s="88" t="s">
        <v>536</v>
      </c>
      <c r="H664" s="87" t="s">
        <v>500</v>
      </c>
      <c r="I664" s="89">
        <v>1</v>
      </c>
      <c r="J664" s="88" t="s">
        <v>902</v>
      </c>
      <c r="K664" s="102"/>
      <c r="L664" s="88" t="s">
        <v>848</v>
      </c>
      <c r="M664" s="89" t="s">
        <v>381</v>
      </c>
      <c r="N664" s="90">
        <v>0.5</v>
      </c>
      <c r="O664" s="27">
        <f>IFERROR(+VLOOKUP(M664,D.sign_Lista_Data[[RESPONSABLE]:[SOFTWARE 
VALOR HORA]],3,FALSE),"0")</f>
        <v>20263.424518743668</v>
      </c>
      <c r="P664" s="3">
        <f t="shared" si="22"/>
        <v>10131.712259371834</v>
      </c>
      <c r="Q664" s="11">
        <f>IFERROR(+VLOOKUP(M664,D.sign_Lista_Data[[RESPONSABLE]:[SOFTWARE 
VALOR HORA]],5,FALSE)*D.sign_Data[[#This Row],[TIEMPO (HORAS)]],0)</f>
        <v>2110.7733873691318</v>
      </c>
      <c r="R664" s="11">
        <f>IFERROR(+VLOOKUP(M664,D.sign_Lista_Data[[RESPONSABLE]:[SOFTWARE 
VALOR HORA]],8,FALSE)*D.sign_Data[[#This Row],[TIEMPO (HORAS)]],0)</f>
        <v>1705.4274435719917</v>
      </c>
      <c r="S664" s="99"/>
      <c r="T664" s="99"/>
      <c r="U664" s="3">
        <f t="shared" si="23"/>
        <v>13947.913090312959</v>
      </c>
      <c r="V664" s="100">
        <f>D.sign_Data[[#This Row],[TIEMPO (HORAS)]]*Gastos_Operativos[[#Totals],[GASTOS HORA]]</f>
        <v>13894.738536155201</v>
      </c>
      <c r="W664" s="3">
        <f>+D.sign_Data[[#This Row],[COSTO 
DIRECTO ($COP)]]+D.sign_Data[[#This Row],[PRORRATEO GASTOS ($COP)]]</f>
        <v>27842.65162646816</v>
      </c>
      <c r="X664" s="101">
        <v>0.1</v>
      </c>
      <c r="Y664" s="15">
        <f>+D.sign_Data[[#This Row],[COSTOS OPERACIONALES ($COP)]]*D.sign_Data[[#This Row],[DESFASE (%)]]</f>
        <v>2784.265162646816</v>
      </c>
      <c r="Z664" s="101">
        <v>0.1</v>
      </c>
      <c r="AA664" s="15">
        <f>+((D.sign_Data[[#This Row],[COSTOS OPERACIONALES ($COP)]]/(100%-D.sign_Data[[#This Row],[UTILIDAD (%)]])))-D.sign_Data[[#This Row],[COSTOS OPERACIONALES ($COP)]]</f>
        <v>3093.6279584964614</v>
      </c>
      <c r="AB664" s="3">
        <f>+D.sign_Data[[#This Row],[COSTOS OPERACIONALES ($COP)]]+D.sign_Data[[#This Row],[DESFASE ($COP)]]+D.sign_Data[[#This Row],[UTILIDAD ($COP)]]</f>
        <v>33720.544747611435</v>
      </c>
      <c r="AC664" s="101">
        <v>0.05</v>
      </c>
      <c r="AD664" s="15">
        <f>+D.sign_Data[[#This Row],[VALOR NETO ($COP)]]/(100%-D.sign_Data[[#This Row],[MARGEN DE NEGOCIACIÓN (%)]])-D.sign_Data[[#This Row],[VALOR NETO ($COP)]]</f>
        <v>1774.76551303218</v>
      </c>
      <c r="AE664" s="15">
        <f>+(D.sign_Data[[#This Row],[VALOR NETO ($COP)]]+D.sign_Data[[#This Row],[NEGOCIACIÓN ($COP)]])*1%</f>
        <v>354.95310260643618</v>
      </c>
      <c r="AF664" s="15">
        <f>+(D.sign_Data[[#This Row],[VALOR NETO ($COP)]]+D.sign_Data[[#This Row],[NEGOCIACIÓN ($COP)]])*1%</f>
        <v>354.95310260643618</v>
      </c>
      <c r="AG664" s="3">
        <f>+D.sign_Data[[#This Row],[VALOR NETO ($COP)]]+D.sign_Data[[#This Row],[NEGOCIACIÓN ($COP)]]+D.sign_Data[[#This Row],[ICA ($COP)]]+D.sign_Data[[#This Row],[4 * 1000 ($COP)]]</f>
        <v>36205.216465856487</v>
      </c>
    </row>
    <row r="665" spans="1:33" ht="60" hidden="1" customHeight="1" x14ac:dyDescent="0.25">
      <c r="A665" s="14"/>
      <c r="B665" s="87" t="s">
        <v>442</v>
      </c>
      <c r="C665" s="182" t="s">
        <v>894</v>
      </c>
      <c r="D665" s="189" t="str">
        <f>VLOOKUP(D.sign_Data[[#This Row],[CÓDIGO]],Descripciones[[CÓDIGO]:[NOMBRE DE SERVICIO]],3,FALSE)</f>
        <v>D2. Edificación en Altura</v>
      </c>
      <c r="E665" s="87" t="s">
        <v>497</v>
      </c>
      <c r="F665" s="88" t="s">
        <v>895</v>
      </c>
      <c r="G665" s="88" t="s">
        <v>536</v>
      </c>
      <c r="H665" s="87" t="s">
        <v>448</v>
      </c>
      <c r="I665" s="89">
        <v>1</v>
      </c>
      <c r="J665" s="88" t="s">
        <v>903</v>
      </c>
      <c r="K665" s="102"/>
      <c r="L665" s="88" t="s">
        <v>863</v>
      </c>
      <c r="M665" s="89" t="s">
        <v>381</v>
      </c>
      <c r="N665" s="90">
        <v>0.2</v>
      </c>
      <c r="O665" s="27">
        <f>IFERROR(+VLOOKUP(M665,D.sign_Lista_Data[[RESPONSABLE]:[SOFTWARE 
VALOR HORA]],3,FALSE),"0")</f>
        <v>20263.424518743668</v>
      </c>
      <c r="P665" s="3">
        <f t="shared" si="22"/>
        <v>4052.6849037487336</v>
      </c>
      <c r="Q665" s="11">
        <f>IFERROR(+VLOOKUP(M665,D.sign_Lista_Data[[RESPONSABLE]:[SOFTWARE 
VALOR HORA]],5,FALSE)*D.sign_Data[[#This Row],[TIEMPO (HORAS)]],0)</f>
        <v>844.30935494765276</v>
      </c>
      <c r="R665" s="11">
        <f>IFERROR(+VLOOKUP(M665,D.sign_Lista_Data[[RESPONSABLE]:[SOFTWARE 
VALOR HORA]],8,FALSE)*D.sign_Data[[#This Row],[TIEMPO (HORAS)]],0)</f>
        <v>682.17097742879673</v>
      </c>
      <c r="S665" s="99"/>
      <c r="T665" s="99"/>
      <c r="U665" s="3">
        <f t="shared" si="23"/>
        <v>5579.1652361251827</v>
      </c>
      <c r="V665" s="100">
        <f>D.sign_Data[[#This Row],[TIEMPO (HORAS)]]*Gastos_Operativos[[#Totals],[GASTOS HORA]]</f>
        <v>5557.8954144620802</v>
      </c>
      <c r="W665" s="3">
        <f>+D.sign_Data[[#This Row],[COSTO 
DIRECTO ($COP)]]+D.sign_Data[[#This Row],[PRORRATEO GASTOS ($COP)]]</f>
        <v>11137.060650587264</v>
      </c>
      <c r="X665" s="101">
        <v>0.1</v>
      </c>
      <c r="Y665" s="15">
        <f>+D.sign_Data[[#This Row],[COSTOS OPERACIONALES ($COP)]]*D.sign_Data[[#This Row],[DESFASE (%)]]</f>
        <v>1113.7060650587264</v>
      </c>
      <c r="Z665" s="101">
        <v>0.1</v>
      </c>
      <c r="AA665" s="15">
        <f>+((D.sign_Data[[#This Row],[COSTOS OPERACIONALES ($COP)]]/(100%-D.sign_Data[[#This Row],[UTILIDAD (%)]])))-D.sign_Data[[#This Row],[COSTOS OPERACIONALES ($COP)]]</f>
        <v>1237.4511833985853</v>
      </c>
      <c r="AB665" s="3">
        <f>+D.sign_Data[[#This Row],[COSTOS OPERACIONALES ($COP)]]+D.sign_Data[[#This Row],[DESFASE ($COP)]]+D.sign_Data[[#This Row],[UTILIDAD ($COP)]]</f>
        <v>13488.217899044575</v>
      </c>
      <c r="AC665" s="101">
        <v>0.05</v>
      </c>
      <c r="AD665" s="15">
        <f>+D.sign_Data[[#This Row],[VALOR NETO ($COP)]]/(100%-D.sign_Data[[#This Row],[MARGEN DE NEGOCIACIÓN (%)]])-D.sign_Data[[#This Row],[VALOR NETO ($COP)]]</f>
        <v>709.90620521287383</v>
      </c>
      <c r="AE665" s="15">
        <f>+(D.sign_Data[[#This Row],[VALOR NETO ($COP)]]+D.sign_Data[[#This Row],[NEGOCIACIÓN ($COP)]])*1%</f>
        <v>141.98124104257451</v>
      </c>
      <c r="AF665" s="15">
        <f>+(D.sign_Data[[#This Row],[VALOR NETO ($COP)]]+D.sign_Data[[#This Row],[NEGOCIACIÓN ($COP)]])*1%</f>
        <v>141.98124104257451</v>
      </c>
      <c r="AG665" s="3">
        <f>+D.sign_Data[[#This Row],[VALOR NETO ($COP)]]+D.sign_Data[[#This Row],[NEGOCIACIÓN ($COP)]]+D.sign_Data[[#This Row],[ICA ($COP)]]+D.sign_Data[[#This Row],[4 * 1000 ($COP)]]</f>
        <v>14482.086586342599</v>
      </c>
    </row>
    <row r="666" spans="1:33" ht="60" hidden="1" customHeight="1" x14ac:dyDescent="0.25">
      <c r="A666" s="14"/>
      <c r="B666" s="87" t="s">
        <v>442</v>
      </c>
      <c r="C666" s="182" t="s">
        <v>904</v>
      </c>
      <c r="D666" s="189" t="str">
        <f>VLOOKUP(D.sign_Data[[#This Row],[CÓDIGO]],Descripciones[[CÓDIGO]:[NOMBRE DE SERVICIO]],3,FALSE)</f>
        <v>D2. Edificación en Altura</v>
      </c>
      <c r="E666" s="87" t="s">
        <v>497</v>
      </c>
      <c r="F666" s="88" t="s">
        <v>905</v>
      </c>
      <c r="G666" s="88" t="s">
        <v>906</v>
      </c>
      <c r="H666" s="87" t="s">
        <v>500</v>
      </c>
      <c r="I666" s="89">
        <v>1</v>
      </c>
      <c r="J666" s="88" t="s">
        <v>907</v>
      </c>
      <c r="K666" s="102"/>
      <c r="L666" s="88" t="s">
        <v>471</v>
      </c>
      <c r="M666" s="89" t="s">
        <v>381</v>
      </c>
      <c r="N666" s="90">
        <v>0.5</v>
      </c>
      <c r="O666" s="27">
        <f>IFERROR(+VLOOKUP(M666,D.sign_Lista_Data[[RESPONSABLE]:[SOFTWARE 
VALOR HORA]],3,FALSE),"0")</f>
        <v>20263.424518743668</v>
      </c>
      <c r="P666" s="3">
        <f t="shared" si="22"/>
        <v>10131.712259371834</v>
      </c>
      <c r="Q666" s="11">
        <f>IFERROR(+VLOOKUP(M666,D.sign_Lista_Data[[RESPONSABLE]:[SOFTWARE 
VALOR HORA]],5,FALSE)*D.sign_Data[[#This Row],[TIEMPO (HORAS)]],0)</f>
        <v>2110.7733873691318</v>
      </c>
      <c r="R666" s="11">
        <f>IFERROR(+VLOOKUP(M666,D.sign_Lista_Data[[RESPONSABLE]:[SOFTWARE 
VALOR HORA]],8,FALSE)*D.sign_Data[[#This Row],[TIEMPO (HORAS)]],0)</f>
        <v>1705.4274435719917</v>
      </c>
      <c r="S666" s="99"/>
      <c r="T666" s="99"/>
      <c r="U666" s="3">
        <f t="shared" si="23"/>
        <v>13947.913090312959</v>
      </c>
      <c r="V666" s="100">
        <f>D.sign_Data[[#This Row],[TIEMPO (HORAS)]]*Gastos_Operativos[[#Totals],[GASTOS HORA]]</f>
        <v>13894.738536155201</v>
      </c>
      <c r="W666" s="3">
        <f>+D.sign_Data[[#This Row],[COSTO 
DIRECTO ($COP)]]+D.sign_Data[[#This Row],[PRORRATEO GASTOS ($COP)]]</f>
        <v>27842.65162646816</v>
      </c>
      <c r="X666" s="101">
        <v>0.1</v>
      </c>
      <c r="Y666" s="15">
        <f>+D.sign_Data[[#This Row],[COSTOS OPERACIONALES ($COP)]]*D.sign_Data[[#This Row],[DESFASE (%)]]</f>
        <v>2784.265162646816</v>
      </c>
      <c r="Z666" s="101">
        <v>0.15</v>
      </c>
      <c r="AA666" s="15">
        <f>+((D.sign_Data[[#This Row],[COSTOS OPERACIONALES ($COP)]]/(100%-D.sign_Data[[#This Row],[UTILIDAD (%)]])))-D.sign_Data[[#This Row],[COSTOS OPERACIONALES ($COP)]]</f>
        <v>4913.4091105532061</v>
      </c>
      <c r="AB666" s="3">
        <f>+D.sign_Data[[#This Row],[COSTOS OPERACIONALES ($COP)]]+D.sign_Data[[#This Row],[DESFASE ($COP)]]+D.sign_Data[[#This Row],[UTILIDAD ($COP)]]</f>
        <v>35540.325899668183</v>
      </c>
      <c r="AC666" s="101">
        <v>0.05</v>
      </c>
      <c r="AD666" s="15">
        <f>+D.sign_Data[[#This Row],[VALOR NETO ($COP)]]/(100%-D.sign_Data[[#This Row],[MARGEN DE NEGOCIACIÓN (%)]])-D.sign_Data[[#This Row],[VALOR NETO ($COP)]]</f>
        <v>1870.5434684035936</v>
      </c>
      <c r="AE666" s="15">
        <f>+(D.sign_Data[[#This Row],[VALOR NETO ($COP)]]+D.sign_Data[[#This Row],[NEGOCIACIÓN ($COP)]])*1%</f>
        <v>374.10869368071775</v>
      </c>
      <c r="AF666" s="15">
        <f>+(D.sign_Data[[#This Row],[VALOR NETO ($COP)]]+D.sign_Data[[#This Row],[NEGOCIACIÓN ($COP)]])*1%</f>
        <v>374.10869368071775</v>
      </c>
      <c r="AG666" s="3">
        <f>+D.sign_Data[[#This Row],[VALOR NETO ($COP)]]+D.sign_Data[[#This Row],[NEGOCIACIÓN ($COP)]]+D.sign_Data[[#This Row],[ICA ($COP)]]+D.sign_Data[[#This Row],[4 * 1000 ($COP)]]</f>
        <v>38159.086755433214</v>
      </c>
    </row>
    <row r="667" spans="1:33" ht="60" hidden="1" customHeight="1" x14ac:dyDescent="0.25">
      <c r="A667" s="14"/>
      <c r="B667" s="87" t="s">
        <v>442</v>
      </c>
      <c r="C667" s="182" t="s">
        <v>904</v>
      </c>
      <c r="D667" s="189" t="str">
        <f>VLOOKUP(D.sign_Data[[#This Row],[CÓDIGO]],Descripciones[[CÓDIGO]:[NOMBRE DE SERVICIO]],3,FALSE)</f>
        <v>D2. Edificación en Altura</v>
      </c>
      <c r="E667" s="87" t="s">
        <v>497</v>
      </c>
      <c r="F667" s="88" t="s">
        <v>905</v>
      </c>
      <c r="G667" s="88" t="s">
        <v>906</v>
      </c>
      <c r="H667" s="87" t="s">
        <v>448</v>
      </c>
      <c r="I667" s="89">
        <v>1</v>
      </c>
      <c r="J667" s="88" t="s">
        <v>907</v>
      </c>
      <c r="K667" s="102"/>
      <c r="L667" s="88" t="s">
        <v>473</v>
      </c>
      <c r="M667" s="89" t="s">
        <v>381</v>
      </c>
      <c r="N667" s="90">
        <v>0.5</v>
      </c>
      <c r="O667" s="27">
        <f>IFERROR(+VLOOKUP(M667,D.sign_Lista_Data[[RESPONSABLE]:[SOFTWARE 
VALOR HORA]],3,FALSE),"0")</f>
        <v>20263.424518743668</v>
      </c>
      <c r="P667" s="3">
        <f t="shared" si="22"/>
        <v>10131.712259371834</v>
      </c>
      <c r="Q667" s="11">
        <f>IFERROR(+VLOOKUP(M667,D.sign_Lista_Data[[RESPONSABLE]:[SOFTWARE 
VALOR HORA]],5,FALSE)*D.sign_Data[[#This Row],[TIEMPO (HORAS)]],0)</f>
        <v>2110.7733873691318</v>
      </c>
      <c r="R667" s="11">
        <f>IFERROR(+VLOOKUP(M667,D.sign_Lista_Data[[RESPONSABLE]:[SOFTWARE 
VALOR HORA]],8,FALSE)*D.sign_Data[[#This Row],[TIEMPO (HORAS)]],0)</f>
        <v>1705.4274435719917</v>
      </c>
      <c r="S667" s="99"/>
      <c r="T667" s="99"/>
      <c r="U667" s="3">
        <f t="shared" si="23"/>
        <v>13947.913090312959</v>
      </c>
      <c r="V667" s="100">
        <f>D.sign_Data[[#This Row],[TIEMPO (HORAS)]]*Gastos_Operativos[[#Totals],[GASTOS HORA]]</f>
        <v>13894.738536155201</v>
      </c>
      <c r="W667" s="3">
        <f>+D.sign_Data[[#This Row],[COSTO 
DIRECTO ($COP)]]+D.sign_Data[[#This Row],[PRORRATEO GASTOS ($COP)]]</f>
        <v>27842.65162646816</v>
      </c>
      <c r="X667" s="101">
        <v>0.1</v>
      </c>
      <c r="Y667" s="15">
        <f>+D.sign_Data[[#This Row],[COSTOS OPERACIONALES ($COP)]]*D.sign_Data[[#This Row],[DESFASE (%)]]</f>
        <v>2784.265162646816</v>
      </c>
      <c r="Z667" s="101">
        <v>0.15</v>
      </c>
      <c r="AA667" s="15">
        <f>+((D.sign_Data[[#This Row],[COSTOS OPERACIONALES ($COP)]]/(100%-D.sign_Data[[#This Row],[UTILIDAD (%)]])))-D.sign_Data[[#This Row],[COSTOS OPERACIONALES ($COP)]]</f>
        <v>4913.4091105532061</v>
      </c>
      <c r="AB667" s="3">
        <f>+D.sign_Data[[#This Row],[COSTOS OPERACIONALES ($COP)]]+D.sign_Data[[#This Row],[DESFASE ($COP)]]+D.sign_Data[[#This Row],[UTILIDAD ($COP)]]</f>
        <v>35540.325899668183</v>
      </c>
      <c r="AC667" s="101">
        <v>0.05</v>
      </c>
      <c r="AD667" s="15">
        <f>+D.sign_Data[[#This Row],[VALOR NETO ($COP)]]/(100%-D.sign_Data[[#This Row],[MARGEN DE NEGOCIACIÓN (%)]])-D.sign_Data[[#This Row],[VALOR NETO ($COP)]]</f>
        <v>1870.5434684035936</v>
      </c>
      <c r="AE667" s="15">
        <f>+(D.sign_Data[[#This Row],[VALOR NETO ($COP)]]+D.sign_Data[[#This Row],[NEGOCIACIÓN ($COP)]])*1%</f>
        <v>374.10869368071775</v>
      </c>
      <c r="AF667" s="15">
        <f>+(D.sign_Data[[#This Row],[VALOR NETO ($COP)]]+D.sign_Data[[#This Row],[NEGOCIACIÓN ($COP)]])*1%</f>
        <v>374.10869368071775</v>
      </c>
      <c r="AG667" s="3">
        <f>+D.sign_Data[[#This Row],[VALOR NETO ($COP)]]+D.sign_Data[[#This Row],[NEGOCIACIÓN ($COP)]]+D.sign_Data[[#This Row],[ICA ($COP)]]+D.sign_Data[[#This Row],[4 * 1000 ($COP)]]</f>
        <v>38159.086755433214</v>
      </c>
    </row>
    <row r="668" spans="1:33" ht="60" hidden="1" customHeight="1" x14ac:dyDescent="0.25">
      <c r="A668" s="14"/>
      <c r="B668" s="87" t="s">
        <v>442</v>
      </c>
      <c r="C668" s="182" t="s">
        <v>904</v>
      </c>
      <c r="D668" s="189" t="str">
        <f>VLOOKUP(D.sign_Data[[#This Row],[CÓDIGO]],Descripciones[[CÓDIGO]:[NOMBRE DE SERVICIO]],3,FALSE)</f>
        <v>D2. Edificación en Altura</v>
      </c>
      <c r="E668" s="87" t="s">
        <v>497</v>
      </c>
      <c r="F668" s="88" t="s">
        <v>905</v>
      </c>
      <c r="G668" s="88" t="s">
        <v>906</v>
      </c>
      <c r="H668" s="87" t="s">
        <v>448</v>
      </c>
      <c r="I668" s="89">
        <v>1</v>
      </c>
      <c r="J668" s="88" t="s">
        <v>907</v>
      </c>
      <c r="K668" s="102"/>
      <c r="L668" s="88" t="s">
        <v>474</v>
      </c>
      <c r="M668" s="89" t="s">
        <v>381</v>
      </c>
      <c r="N668" s="90">
        <v>0.25</v>
      </c>
      <c r="O668" s="27">
        <f>IFERROR(+VLOOKUP(M668,D.sign_Lista_Data[[RESPONSABLE]:[SOFTWARE 
VALOR HORA]],3,FALSE),"0")</f>
        <v>20263.424518743668</v>
      </c>
      <c r="P668" s="3">
        <f t="shared" si="22"/>
        <v>5065.856129685917</v>
      </c>
      <c r="Q668" s="11">
        <f>IFERROR(+VLOOKUP(M668,D.sign_Lista_Data[[RESPONSABLE]:[SOFTWARE 
VALOR HORA]],5,FALSE)*D.sign_Data[[#This Row],[TIEMPO (HORAS)]],0)</f>
        <v>1055.3866936845659</v>
      </c>
      <c r="R668" s="11">
        <f>IFERROR(+VLOOKUP(M668,D.sign_Lista_Data[[RESPONSABLE]:[SOFTWARE 
VALOR HORA]],8,FALSE)*D.sign_Data[[#This Row],[TIEMPO (HORAS)]],0)</f>
        <v>852.71372178599586</v>
      </c>
      <c r="S668" s="99"/>
      <c r="T668" s="99"/>
      <c r="U668" s="3">
        <f t="shared" si="23"/>
        <v>6973.9565451564795</v>
      </c>
      <c r="V668" s="100">
        <f>D.sign_Data[[#This Row],[TIEMPO (HORAS)]]*Gastos_Operativos[[#Totals],[GASTOS HORA]]</f>
        <v>6947.3692680776003</v>
      </c>
      <c r="W668" s="3">
        <f>+D.sign_Data[[#This Row],[COSTO 
DIRECTO ($COP)]]+D.sign_Data[[#This Row],[PRORRATEO GASTOS ($COP)]]</f>
        <v>13921.32581323408</v>
      </c>
      <c r="X668" s="101">
        <v>0.1</v>
      </c>
      <c r="Y668" s="15">
        <f>+D.sign_Data[[#This Row],[COSTOS OPERACIONALES ($COP)]]*D.sign_Data[[#This Row],[DESFASE (%)]]</f>
        <v>1392.132581323408</v>
      </c>
      <c r="Z668" s="101">
        <v>0.15</v>
      </c>
      <c r="AA668" s="15">
        <f>+((D.sign_Data[[#This Row],[COSTOS OPERACIONALES ($COP)]]/(100%-D.sign_Data[[#This Row],[UTILIDAD (%)]])))-D.sign_Data[[#This Row],[COSTOS OPERACIONALES ($COP)]]</f>
        <v>2456.7045552766031</v>
      </c>
      <c r="AB668" s="3">
        <f>+D.sign_Data[[#This Row],[COSTOS OPERACIONALES ($COP)]]+D.sign_Data[[#This Row],[DESFASE ($COP)]]+D.sign_Data[[#This Row],[UTILIDAD ($COP)]]</f>
        <v>17770.162949834092</v>
      </c>
      <c r="AC668" s="101">
        <v>0.05</v>
      </c>
      <c r="AD668" s="15">
        <f>+D.sign_Data[[#This Row],[VALOR NETO ($COP)]]/(100%-D.sign_Data[[#This Row],[MARGEN DE NEGOCIACIÓN (%)]])-D.sign_Data[[#This Row],[VALOR NETO ($COP)]]</f>
        <v>935.27173420179679</v>
      </c>
      <c r="AE668" s="15">
        <f>+(D.sign_Data[[#This Row],[VALOR NETO ($COP)]]+D.sign_Data[[#This Row],[NEGOCIACIÓN ($COP)]])*1%</f>
        <v>187.05434684035887</v>
      </c>
      <c r="AF668" s="15">
        <f>+(D.sign_Data[[#This Row],[VALOR NETO ($COP)]]+D.sign_Data[[#This Row],[NEGOCIACIÓN ($COP)]])*1%</f>
        <v>187.05434684035887</v>
      </c>
      <c r="AG668" s="3">
        <f>+D.sign_Data[[#This Row],[VALOR NETO ($COP)]]+D.sign_Data[[#This Row],[NEGOCIACIÓN ($COP)]]+D.sign_Data[[#This Row],[ICA ($COP)]]+D.sign_Data[[#This Row],[4 * 1000 ($COP)]]</f>
        <v>19079.543377716607</v>
      </c>
    </row>
    <row r="669" spans="1:33" ht="60" hidden="1" customHeight="1" x14ac:dyDescent="0.25">
      <c r="A669" s="14"/>
      <c r="B669" s="87" t="s">
        <v>442</v>
      </c>
      <c r="C669" s="182" t="s">
        <v>904</v>
      </c>
      <c r="D669" s="189" t="str">
        <f>VLOOKUP(D.sign_Data[[#This Row],[CÓDIGO]],Descripciones[[CÓDIGO]:[NOMBRE DE SERVICIO]],3,FALSE)</f>
        <v>D2. Edificación en Altura</v>
      </c>
      <c r="E669" s="87" t="s">
        <v>497</v>
      </c>
      <c r="F669" s="88" t="s">
        <v>905</v>
      </c>
      <c r="G669" s="88" t="s">
        <v>906</v>
      </c>
      <c r="H669" s="87" t="s">
        <v>448</v>
      </c>
      <c r="I669" s="89">
        <v>1</v>
      </c>
      <c r="J669" s="88" t="s">
        <v>908</v>
      </c>
      <c r="K669" s="102"/>
      <c r="L669" s="88" t="s">
        <v>476</v>
      </c>
      <c r="M669" s="89" t="s">
        <v>381</v>
      </c>
      <c r="N669" s="90">
        <v>0.25</v>
      </c>
      <c r="O669" s="27">
        <f>IFERROR(+VLOOKUP(M669,D.sign_Lista_Data[[RESPONSABLE]:[SOFTWARE 
VALOR HORA]],3,FALSE),"0")</f>
        <v>20263.424518743668</v>
      </c>
      <c r="P669" s="3">
        <f t="shared" si="22"/>
        <v>5065.856129685917</v>
      </c>
      <c r="Q669" s="11">
        <f>IFERROR(+VLOOKUP(M669,D.sign_Lista_Data[[RESPONSABLE]:[SOFTWARE 
VALOR HORA]],5,FALSE)*D.sign_Data[[#This Row],[TIEMPO (HORAS)]],0)</f>
        <v>1055.3866936845659</v>
      </c>
      <c r="R669" s="11">
        <f>IFERROR(+VLOOKUP(M669,D.sign_Lista_Data[[RESPONSABLE]:[SOFTWARE 
VALOR HORA]],8,FALSE)*D.sign_Data[[#This Row],[TIEMPO (HORAS)]],0)</f>
        <v>852.71372178599586</v>
      </c>
      <c r="S669" s="99"/>
      <c r="T669" s="99"/>
      <c r="U669" s="3">
        <f t="shared" si="23"/>
        <v>6973.9565451564795</v>
      </c>
      <c r="V669" s="100">
        <f>D.sign_Data[[#This Row],[TIEMPO (HORAS)]]*Gastos_Operativos[[#Totals],[GASTOS HORA]]</f>
        <v>6947.3692680776003</v>
      </c>
      <c r="W669" s="3">
        <f>+D.sign_Data[[#This Row],[COSTO 
DIRECTO ($COP)]]+D.sign_Data[[#This Row],[PRORRATEO GASTOS ($COP)]]</f>
        <v>13921.32581323408</v>
      </c>
      <c r="X669" s="101">
        <v>0.1</v>
      </c>
      <c r="Y669" s="15">
        <f>+D.sign_Data[[#This Row],[COSTOS OPERACIONALES ($COP)]]*D.sign_Data[[#This Row],[DESFASE (%)]]</f>
        <v>1392.132581323408</v>
      </c>
      <c r="Z669" s="101">
        <v>0.15</v>
      </c>
      <c r="AA669" s="15">
        <f>+((D.sign_Data[[#This Row],[COSTOS OPERACIONALES ($COP)]]/(100%-D.sign_Data[[#This Row],[UTILIDAD (%)]])))-D.sign_Data[[#This Row],[COSTOS OPERACIONALES ($COP)]]</f>
        <v>2456.7045552766031</v>
      </c>
      <c r="AB669" s="3">
        <f>+D.sign_Data[[#This Row],[COSTOS OPERACIONALES ($COP)]]+D.sign_Data[[#This Row],[DESFASE ($COP)]]+D.sign_Data[[#This Row],[UTILIDAD ($COP)]]</f>
        <v>17770.162949834092</v>
      </c>
      <c r="AC669" s="101">
        <v>0.05</v>
      </c>
      <c r="AD669" s="15">
        <f>+D.sign_Data[[#This Row],[VALOR NETO ($COP)]]/(100%-D.sign_Data[[#This Row],[MARGEN DE NEGOCIACIÓN (%)]])-D.sign_Data[[#This Row],[VALOR NETO ($COP)]]</f>
        <v>935.27173420179679</v>
      </c>
      <c r="AE669" s="15">
        <f>+(D.sign_Data[[#This Row],[VALOR NETO ($COP)]]+D.sign_Data[[#This Row],[NEGOCIACIÓN ($COP)]])*1%</f>
        <v>187.05434684035887</v>
      </c>
      <c r="AF669" s="15">
        <f>+(D.sign_Data[[#This Row],[VALOR NETO ($COP)]]+D.sign_Data[[#This Row],[NEGOCIACIÓN ($COP)]])*1%</f>
        <v>187.05434684035887</v>
      </c>
      <c r="AG669" s="3">
        <f>+D.sign_Data[[#This Row],[VALOR NETO ($COP)]]+D.sign_Data[[#This Row],[NEGOCIACIÓN ($COP)]]+D.sign_Data[[#This Row],[ICA ($COP)]]+D.sign_Data[[#This Row],[4 * 1000 ($COP)]]</f>
        <v>19079.543377716607</v>
      </c>
    </row>
    <row r="670" spans="1:33" ht="60" hidden="1" customHeight="1" x14ac:dyDescent="0.25">
      <c r="A670" s="14"/>
      <c r="B670" s="87" t="s">
        <v>442</v>
      </c>
      <c r="C670" s="182" t="s">
        <v>904</v>
      </c>
      <c r="D670" s="189" t="str">
        <f>VLOOKUP(D.sign_Data[[#This Row],[CÓDIGO]],Descripciones[[CÓDIGO]:[NOMBRE DE SERVICIO]],3,FALSE)</f>
        <v>D2. Edificación en Altura</v>
      </c>
      <c r="E670" s="87" t="s">
        <v>497</v>
      </c>
      <c r="F670" s="88" t="s">
        <v>905</v>
      </c>
      <c r="G670" s="88" t="s">
        <v>906</v>
      </c>
      <c r="H670" s="87" t="s">
        <v>448</v>
      </c>
      <c r="I670" s="89">
        <v>1</v>
      </c>
      <c r="J670" s="88" t="s">
        <v>908</v>
      </c>
      <c r="K670" s="102"/>
      <c r="L670" s="91" t="s">
        <v>477</v>
      </c>
      <c r="M670" s="89" t="s">
        <v>381</v>
      </c>
      <c r="N670" s="90">
        <v>1</v>
      </c>
      <c r="O670" s="27">
        <f>IFERROR(+VLOOKUP(M670,D.sign_Lista_Data[[RESPONSABLE]:[SOFTWARE 
VALOR HORA]],3,FALSE),"0")</f>
        <v>20263.424518743668</v>
      </c>
      <c r="P670" s="3">
        <f t="shared" si="22"/>
        <v>20263.424518743668</v>
      </c>
      <c r="Q670" s="11">
        <f>IFERROR(+VLOOKUP(M670,D.sign_Lista_Data[[RESPONSABLE]:[SOFTWARE 
VALOR HORA]],5,FALSE)*D.sign_Data[[#This Row],[TIEMPO (HORAS)]],0)</f>
        <v>4221.5467747382636</v>
      </c>
      <c r="R670" s="11">
        <f>IFERROR(+VLOOKUP(M670,D.sign_Lista_Data[[RESPONSABLE]:[SOFTWARE 
VALOR HORA]],8,FALSE)*D.sign_Data[[#This Row],[TIEMPO (HORAS)]],0)</f>
        <v>3410.8548871439834</v>
      </c>
      <c r="S670" s="99"/>
      <c r="T670" s="99"/>
      <c r="U670" s="3">
        <f t="shared" si="23"/>
        <v>27895.826180625918</v>
      </c>
      <c r="V670" s="100">
        <f>D.sign_Data[[#This Row],[TIEMPO (HORAS)]]*Gastos_Operativos[[#Totals],[GASTOS HORA]]</f>
        <v>27789.477072310401</v>
      </c>
      <c r="W670" s="3">
        <f>+D.sign_Data[[#This Row],[COSTO 
DIRECTO ($COP)]]+D.sign_Data[[#This Row],[PRORRATEO GASTOS ($COP)]]</f>
        <v>55685.303252936319</v>
      </c>
      <c r="X670" s="101">
        <v>0.1</v>
      </c>
      <c r="Y670" s="15">
        <f>+D.sign_Data[[#This Row],[COSTOS OPERACIONALES ($COP)]]*D.sign_Data[[#This Row],[DESFASE (%)]]</f>
        <v>5568.5303252936319</v>
      </c>
      <c r="Z670" s="101">
        <v>0.15</v>
      </c>
      <c r="AA670" s="15">
        <f>+((D.sign_Data[[#This Row],[COSTOS OPERACIONALES ($COP)]]/(100%-D.sign_Data[[#This Row],[UTILIDAD (%)]])))-D.sign_Data[[#This Row],[COSTOS OPERACIONALES ($COP)]]</f>
        <v>9826.8182211064122</v>
      </c>
      <c r="AB670" s="3">
        <f>+D.sign_Data[[#This Row],[COSTOS OPERACIONALES ($COP)]]+D.sign_Data[[#This Row],[DESFASE ($COP)]]+D.sign_Data[[#This Row],[UTILIDAD ($COP)]]</f>
        <v>71080.651799336367</v>
      </c>
      <c r="AC670" s="101">
        <v>0.05</v>
      </c>
      <c r="AD670" s="15">
        <f>+D.sign_Data[[#This Row],[VALOR NETO ($COP)]]/(100%-D.sign_Data[[#This Row],[MARGEN DE NEGOCIACIÓN (%)]])-D.sign_Data[[#This Row],[VALOR NETO ($COP)]]</f>
        <v>3741.0869368071872</v>
      </c>
      <c r="AE670" s="15">
        <f>+(D.sign_Data[[#This Row],[VALOR NETO ($COP)]]+D.sign_Data[[#This Row],[NEGOCIACIÓN ($COP)]])*1%</f>
        <v>748.2173873614355</v>
      </c>
      <c r="AF670" s="15">
        <f>+(D.sign_Data[[#This Row],[VALOR NETO ($COP)]]+D.sign_Data[[#This Row],[NEGOCIACIÓN ($COP)]])*1%</f>
        <v>748.2173873614355</v>
      </c>
      <c r="AG670" s="3">
        <f>+D.sign_Data[[#This Row],[VALOR NETO ($COP)]]+D.sign_Data[[#This Row],[NEGOCIACIÓN ($COP)]]+D.sign_Data[[#This Row],[ICA ($COP)]]+D.sign_Data[[#This Row],[4 * 1000 ($COP)]]</f>
        <v>76318.173510866429</v>
      </c>
    </row>
    <row r="671" spans="1:33" ht="60" hidden="1" customHeight="1" x14ac:dyDescent="0.25">
      <c r="A671" s="14"/>
      <c r="B671" s="87" t="s">
        <v>442</v>
      </c>
      <c r="C671" s="182" t="s">
        <v>904</v>
      </c>
      <c r="D671" s="189" t="str">
        <f>VLOOKUP(D.sign_Data[[#This Row],[CÓDIGO]],Descripciones[[CÓDIGO]:[NOMBRE DE SERVICIO]],3,FALSE)</f>
        <v>D2. Edificación en Altura</v>
      </c>
      <c r="E671" s="87" t="s">
        <v>497</v>
      </c>
      <c r="F671" s="88" t="s">
        <v>905</v>
      </c>
      <c r="G671" s="88" t="s">
        <v>906</v>
      </c>
      <c r="H671" s="87" t="s">
        <v>500</v>
      </c>
      <c r="I671" s="89">
        <v>1</v>
      </c>
      <c r="J671" s="88" t="s">
        <v>908</v>
      </c>
      <c r="K671" s="102"/>
      <c r="L671" s="91" t="s">
        <v>471</v>
      </c>
      <c r="M671" s="89" t="s">
        <v>381</v>
      </c>
      <c r="N671" s="90">
        <v>2</v>
      </c>
      <c r="O671" s="27">
        <f>IFERROR(+VLOOKUP(M671,D.sign_Lista_Data[[RESPONSABLE]:[SOFTWARE 
VALOR HORA]],3,FALSE),"0")</f>
        <v>20263.424518743668</v>
      </c>
      <c r="P671" s="3">
        <f t="shared" si="22"/>
        <v>40526.849037487336</v>
      </c>
      <c r="Q671" s="11">
        <f>IFERROR(+VLOOKUP(M671,D.sign_Lista_Data[[RESPONSABLE]:[SOFTWARE 
VALOR HORA]],5,FALSE)*D.sign_Data[[#This Row],[TIEMPO (HORAS)]],0)</f>
        <v>8443.0935494765272</v>
      </c>
      <c r="R671" s="11">
        <f>IFERROR(+VLOOKUP(M671,D.sign_Lista_Data[[RESPONSABLE]:[SOFTWARE 
VALOR HORA]],8,FALSE)*D.sign_Data[[#This Row],[TIEMPO (HORAS)]],0)</f>
        <v>6821.7097742879669</v>
      </c>
      <c r="S671" s="99"/>
      <c r="T671" s="99"/>
      <c r="U671" s="3">
        <f t="shared" si="23"/>
        <v>55791.652361251836</v>
      </c>
      <c r="V671" s="100">
        <f>D.sign_Data[[#This Row],[TIEMPO (HORAS)]]*Gastos_Operativos[[#Totals],[GASTOS HORA]]</f>
        <v>55578.954144620802</v>
      </c>
      <c r="W671" s="3">
        <f>+D.sign_Data[[#This Row],[COSTO 
DIRECTO ($COP)]]+D.sign_Data[[#This Row],[PRORRATEO GASTOS ($COP)]]</f>
        <v>111370.60650587264</v>
      </c>
      <c r="X671" s="101">
        <v>0.1</v>
      </c>
      <c r="Y671" s="15">
        <f>+D.sign_Data[[#This Row],[COSTOS OPERACIONALES ($COP)]]*D.sign_Data[[#This Row],[DESFASE (%)]]</f>
        <v>11137.060650587264</v>
      </c>
      <c r="Z671" s="101">
        <v>0.15</v>
      </c>
      <c r="AA671" s="15">
        <f>+((D.sign_Data[[#This Row],[COSTOS OPERACIONALES ($COP)]]/(100%-D.sign_Data[[#This Row],[UTILIDAD (%)]])))-D.sign_Data[[#This Row],[COSTOS OPERACIONALES ($COP)]]</f>
        <v>19653.636442212824</v>
      </c>
      <c r="AB671" s="3">
        <f>+D.sign_Data[[#This Row],[COSTOS OPERACIONALES ($COP)]]+D.sign_Data[[#This Row],[DESFASE ($COP)]]+D.sign_Data[[#This Row],[UTILIDAD ($COP)]]</f>
        <v>142161.30359867273</v>
      </c>
      <c r="AC671" s="101">
        <v>0.05</v>
      </c>
      <c r="AD671" s="15">
        <f>+D.sign_Data[[#This Row],[VALOR NETO ($COP)]]/(100%-D.sign_Data[[#This Row],[MARGEN DE NEGOCIACIÓN (%)]])-D.sign_Data[[#This Row],[VALOR NETO ($COP)]]</f>
        <v>7482.1738736143743</v>
      </c>
      <c r="AE671" s="15">
        <f>+(D.sign_Data[[#This Row],[VALOR NETO ($COP)]]+D.sign_Data[[#This Row],[NEGOCIACIÓN ($COP)]])*1%</f>
        <v>1496.434774722871</v>
      </c>
      <c r="AF671" s="15">
        <f>+(D.sign_Data[[#This Row],[VALOR NETO ($COP)]]+D.sign_Data[[#This Row],[NEGOCIACIÓN ($COP)]])*1%</f>
        <v>1496.434774722871</v>
      </c>
      <c r="AG671" s="3">
        <f>+D.sign_Data[[#This Row],[VALOR NETO ($COP)]]+D.sign_Data[[#This Row],[NEGOCIACIÓN ($COP)]]+D.sign_Data[[#This Row],[ICA ($COP)]]+D.sign_Data[[#This Row],[4 * 1000 ($COP)]]</f>
        <v>152636.34702173286</v>
      </c>
    </row>
    <row r="672" spans="1:33" ht="60" hidden="1" customHeight="1" x14ac:dyDescent="0.25">
      <c r="A672" s="14"/>
      <c r="B672" s="87" t="s">
        <v>442</v>
      </c>
      <c r="C672" s="182" t="s">
        <v>904</v>
      </c>
      <c r="D672" s="189" t="str">
        <f>VLOOKUP(D.sign_Data[[#This Row],[CÓDIGO]],Descripciones[[CÓDIGO]:[NOMBRE DE SERVICIO]],3,FALSE)</f>
        <v>D2. Edificación en Altura</v>
      </c>
      <c r="E672" s="87" t="s">
        <v>497</v>
      </c>
      <c r="F672" s="88" t="s">
        <v>905</v>
      </c>
      <c r="G672" s="88" t="s">
        <v>906</v>
      </c>
      <c r="H672" s="87" t="s">
        <v>448</v>
      </c>
      <c r="I672" s="89">
        <v>1</v>
      </c>
      <c r="J672" s="88" t="s">
        <v>908</v>
      </c>
      <c r="K672" s="102"/>
      <c r="L672" s="91" t="s">
        <v>503</v>
      </c>
      <c r="M672" s="89" t="s">
        <v>381</v>
      </c>
      <c r="N672" s="90">
        <v>2</v>
      </c>
      <c r="O672" s="27">
        <f>IFERROR(+VLOOKUP(M672,D.sign_Lista_Data[[RESPONSABLE]:[SOFTWARE 
VALOR HORA]],3,FALSE),"0")</f>
        <v>20263.424518743668</v>
      </c>
      <c r="P672" s="3">
        <f t="shared" si="22"/>
        <v>40526.849037487336</v>
      </c>
      <c r="Q672" s="11">
        <f>IFERROR(+VLOOKUP(M672,D.sign_Lista_Data[[RESPONSABLE]:[SOFTWARE 
VALOR HORA]],5,FALSE)*D.sign_Data[[#This Row],[TIEMPO (HORAS)]],0)</f>
        <v>8443.0935494765272</v>
      </c>
      <c r="R672" s="11">
        <f>IFERROR(+VLOOKUP(M672,D.sign_Lista_Data[[RESPONSABLE]:[SOFTWARE 
VALOR HORA]],8,FALSE)*D.sign_Data[[#This Row],[TIEMPO (HORAS)]],0)</f>
        <v>6821.7097742879669</v>
      </c>
      <c r="S672" s="99"/>
      <c r="T672" s="99"/>
      <c r="U672" s="3">
        <f t="shared" si="23"/>
        <v>55791.652361251836</v>
      </c>
      <c r="V672" s="100">
        <f>D.sign_Data[[#This Row],[TIEMPO (HORAS)]]*Gastos_Operativos[[#Totals],[GASTOS HORA]]</f>
        <v>55578.954144620802</v>
      </c>
      <c r="W672" s="3">
        <f>+D.sign_Data[[#This Row],[COSTO 
DIRECTO ($COP)]]+D.sign_Data[[#This Row],[PRORRATEO GASTOS ($COP)]]</f>
        <v>111370.60650587264</v>
      </c>
      <c r="X672" s="101">
        <v>0.1</v>
      </c>
      <c r="Y672" s="15">
        <f>+D.sign_Data[[#This Row],[COSTOS OPERACIONALES ($COP)]]*D.sign_Data[[#This Row],[DESFASE (%)]]</f>
        <v>11137.060650587264</v>
      </c>
      <c r="Z672" s="101">
        <v>0.15</v>
      </c>
      <c r="AA672" s="15">
        <f>+((D.sign_Data[[#This Row],[COSTOS OPERACIONALES ($COP)]]/(100%-D.sign_Data[[#This Row],[UTILIDAD (%)]])))-D.sign_Data[[#This Row],[COSTOS OPERACIONALES ($COP)]]</f>
        <v>19653.636442212824</v>
      </c>
      <c r="AB672" s="3">
        <f>+D.sign_Data[[#This Row],[COSTOS OPERACIONALES ($COP)]]+D.sign_Data[[#This Row],[DESFASE ($COP)]]+D.sign_Data[[#This Row],[UTILIDAD ($COP)]]</f>
        <v>142161.30359867273</v>
      </c>
      <c r="AC672" s="101">
        <v>0.05</v>
      </c>
      <c r="AD672" s="15">
        <f>+D.sign_Data[[#This Row],[VALOR NETO ($COP)]]/(100%-D.sign_Data[[#This Row],[MARGEN DE NEGOCIACIÓN (%)]])-D.sign_Data[[#This Row],[VALOR NETO ($COP)]]</f>
        <v>7482.1738736143743</v>
      </c>
      <c r="AE672" s="15">
        <f>+(D.sign_Data[[#This Row],[VALOR NETO ($COP)]]+D.sign_Data[[#This Row],[NEGOCIACIÓN ($COP)]])*1%</f>
        <v>1496.434774722871</v>
      </c>
      <c r="AF672" s="15">
        <f>+(D.sign_Data[[#This Row],[VALOR NETO ($COP)]]+D.sign_Data[[#This Row],[NEGOCIACIÓN ($COP)]])*1%</f>
        <v>1496.434774722871</v>
      </c>
      <c r="AG672" s="3">
        <f>+D.sign_Data[[#This Row],[VALOR NETO ($COP)]]+D.sign_Data[[#This Row],[NEGOCIACIÓN ($COP)]]+D.sign_Data[[#This Row],[ICA ($COP)]]+D.sign_Data[[#This Row],[4 * 1000 ($COP)]]</f>
        <v>152636.34702173286</v>
      </c>
    </row>
    <row r="673" spans="1:33" ht="60" hidden="1" customHeight="1" x14ac:dyDescent="0.25">
      <c r="A673" s="14"/>
      <c r="B673" s="87" t="s">
        <v>442</v>
      </c>
      <c r="C673" s="182" t="s">
        <v>904</v>
      </c>
      <c r="D673" s="189" t="str">
        <f>VLOOKUP(D.sign_Data[[#This Row],[CÓDIGO]],Descripciones[[CÓDIGO]:[NOMBRE DE SERVICIO]],3,FALSE)</f>
        <v>D2. Edificación en Altura</v>
      </c>
      <c r="E673" s="87" t="s">
        <v>497</v>
      </c>
      <c r="F673" s="88" t="s">
        <v>905</v>
      </c>
      <c r="G673" s="88" t="s">
        <v>906</v>
      </c>
      <c r="H673" s="87" t="s">
        <v>448</v>
      </c>
      <c r="I673" s="89">
        <v>1</v>
      </c>
      <c r="J673" s="88" t="s">
        <v>908</v>
      </c>
      <c r="K673" s="102"/>
      <c r="L673" s="88" t="s">
        <v>473</v>
      </c>
      <c r="M673" s="89" t="s">
        <v>381</v>
      </c>
      <c r="N673" s="90">
        <v>0.25</v>
      </c>
      <c r="O673" s="27">
        <f>IFERROR(+VLOOKUP(M673,D.sign_Lista_Data[[RESPONSABLE]:[SOFTWARE 
VALOR HORA]],3,FALSE),"0")</f>
        <v>20263.424518743668</v>
      </c>
      <c r="P673" s="3">
        <f t="shared" si="22"/>
        <v>5065.856129685917</v>
      </c>
      <c r="Q673" s="11">
        <f>IFERROR(+VLOOKUP(M673,D.sign_Lista_Data[[RESPONSABLE]:[SOFTWARE 
VALOR HORA]],5,FALSE)*D.sign_Data[[#This Row],[TIEMPO (HORAS)]],0)</f>
        <v>1055.3866936845659</v>
      </c>
      <c r="R673" s="11">
        <f>IFERROR(+VLOOKUP(M673,D.sign_Lista_Data[[RESPONSABLE]:[SOFTWARE 
VALOR HORA]],8,FALSE)*D.sign_Data[[#This Row],[TIEMPO (HORAS)]],0)</f>
        <v>852.71372178599586</v>
      </c>
      <c r="S673" s="99"/>
      <c r="T673" s="99"/>
      <c r="U673" s="3">
        <f t="shared" si="23"/>
        <v>6973.9565451564795</v>
      </c>
      <c r="V673" s="100">
        <f>D.sign_Data[[#This Row],[TIEMPO (HORAS)]]*Gastos_Operativos[[#Totals],[GASTOS HORA]]</f>
        <v>6947.3692680776003</v>
      </c>
      <c r="W673" s="3">
        <f>+D.sign_Data[[#This Row],[COSTO 
DIRECTO ($COP)]]+D.sign_Data[[#This Row],[PRORRATEO GASTOS ($COP)]]</f>
        <v>13921.32581323408</v>
      </c>
      <c r="X673" s="101">
        <v>0.1</v>
      </c>
      <c r="Y673" s="15">
        <f>+D.sign_Data[[#This Row],[COSTOS OPERACIONALES ($COP)]]*D.sign_Data[[#This Row],[DESFASE (%)]]</f>
        <v>1392.132581323408</v>
      </c>
      <c r="Z673" s="101">
        <v>0.15</v>
      </c>
      <c r="AA673" s="15">
        <f>+((D.sign_Data[[#This Row],[COSTOS OPERACIONALES ($COP)]]/(100%-D.sign_Data[[#This Row],[UTILIDAD (%)]])))-D.sign_Data[[#This Row],[COSTOS OPERACIONALES ($COP)]]</f>
        <v>2456.7045552766031</v>
      </c>
      <c r="AB673" s="3">
        <f>+D.sign_Data[[#This Row],[COSTOS OPERACIONALES ($COP)]]+D.sign_Data[[#This Row],[DESFASE ($COP)]]+D.sign_Data[[#This Row],[UTILIDAD ($COP)]]</f>
        <v>17770.162949834092</v>
      </c>
      <c r="AC673" s="101">
        <v>0.05</v>
      </c>
      <c r="AD673" s="15">
        <f>+D.sign_Data[[#This Row],[VALOR NETO ($COP)]]/(100%-D.sign_Data[[#This Row],[MARGEN DE NEGOCIACIÓN (%)]])-D.sign_Data[[#This Row],[VALOR NETO ($COP)]]</f>
        <v>935.27173420179679</v>
      </c>
      <c r="AE673" s="15">
        <f>+(D.sign_Data[[#This Row],[VALOR NETO ($COP)]]+D.sign_Data[[#This Row],[NEGOCIACIÓN ($COP)]])*1%</f>
        <v>187.05434684035887</v>
      </c>
      <c r="AF673" s="15">
        <f>+(D.sign_Data[[#This Row],[VALOR NETO ($COP)]]+D.sign_Data[[#This Row],[NEGOCIACIÓN ($COP)]])*1%</f>
        <v>187.05434684035887</v>
      </c>
      <c r="AG673" s="3">
        <f>+D.sign_Data[[#This Row],[VALOR NETO ($COP)]]+D.sign_Data[[#This Row],[NEGOCIACIÓN ($COP)]]+D.sign_Data[[#This Row],[ICA ($COP)]]+D.sign_Data[[#This Row],[4 * 1000 ($COP)]]</f>
        <v>19079.543377716607</v>
      </c>
    </row>
    <row r="674" spans="1:33" ht="60" hidden="1" customHeight="1" x14ac:dyDescent="0.25">
      <c r="A674" s="14"/>
      <c r="B674" s="87" t="s">
        <v>442</v>
      </c>
      <c r="C674" s="182" t="s">
        <v>904</v>
      </c>
      <c r="D674" s="189" t="str">
        <f>VLOOKUP(D.sign_Data[[#This Row],[CÓDIGO]],Descripciones[[CÓDIGO]:[NOMBRE DE SERVICIO]],3,FALSE)</f>
        <v>D2. Edificación en Altura</v>
      </c>
      <c r="E674" s="87" t="s">
        <v>497</v>
      </c>
      <c r="F674" s="88" t="s">
        <v>905</v>
      </c>
      <c r="G674" s="88" t="s">
        <v>906</v>
      </c>
      <c r="H674" s="87" t="s">
        <v>500</v>
      </c>
      <c r="I674" s="89">
        <v>1</v>
      </c>
      <c r="J674" s="88" t="s">
        <v>908</v>
      </c>
      <c r="K674" s="102"/>
      <c r="L674" s="88" t="s">
        <v>478</v>
      </c>
      <c r="M674" s="89" t="s">
        <v>381</v>
      </c>
      <c r="N674" s="90">
        <v>0.5</v>
      </c>
      <c r="O674" s="27">
        <f>IFERROR(+VLOOKUP(M674,D.sign_Lista_Data[[RESPONSABLE]:[SOFTWARE 
VALOR HORA]],3,FALSE),"0")</f>
        <v>20263.424518743668</v>
      </c>
      <c r="P674" s="3">
        <f t="shared" si="22"/>
        <v>10131.712259371834</v>
      </c>
      <c r="Q674" s="11">
        <f>IFERROR(+VLOOKUP(M674,D.sign_Lista_Data[[RESPONSABLE]:[SOFTWARE 
VALOR HORA]],5,FALSE)*D.sign_Data[[#This Row],[TIEMPO (HORAS)]],0)</f>
        <v>2110.7733873691318</v>
      </c>
      <c r="R674" s="11">
        <f>IFERROR(+VLOOKUP(M674,D.sign_Lista_Data[[RESPONSABLE]:[SOFTWARE 
VALOR HORA]],8,FALSE)*D.sign_Data[[#This Row],[TIEMPO (HORAS)]],0)</f>
        <v>1705.4274435719917</v>
      </c>
      <c r="S674" s="99"/>
      <c r="T674" s="99"/>
      <c r="U674" s="3">
        <f t="shared" si="23"/>
        <v>13947.913090312959</v>
      </c>
      <c r="V674" s="100">
        <f>D.sign_Data[[#This Row],[TIEMPO (HORAS)]]*Gastos_Operativos[[#Totals],[GASTOS HORA]]</f>
        <v>13894.738536155201</v>
      </c>
      <c r="W674" s="3">
        <f>+D.sign_Data[[#This Row],[COSTO 
DIRECTO ($COP)]]+D.sign_Data[[#This Row],[PRORRATEO GASTOS ($COP)]]</f>
        <v>27842.65162646816</v>
      </c>
      <c r="X674" s="101">
        <v>0.1</v>
      </c>
      <c r="Y674" s="15">
        <f>+D.sign_Data[[#This Row],[COSTOS OPERACIONALES ($COP)]]*D.sign_Data[[#This Row],[DESFASE (%)]]</f>
        <v>2784.265162646816</v>
      </c>
      <c r="Z674" s="101">
        <v>0.15</v>
      </c>
      <c r="AA674" s="15">
        <f>+((D.sign_Data[[#This Row],[COSTOS OPERACIONALES ($COP)]]/(100%-D.sign_Data[[#This Row],[UTILIDAD (%)]])))-D.sign_Data[[#This Row],[COSTOS OPERACIONALES ($COP)]]</f>
        <v>4913.4091105532061</v>
      </c>
      <c r="AB674" s="3">
        <f>+D.sign_Data[[#This Row],[COSTOS OPERACIONALES ($COP)]]+D.sign_Data[[#This Row],[DESFASE ($COP)]]+D.sign_Data[[#This Row],[UTILIDAD ($COP)]]</f>
        <v>35540.325899668183</v>
      </c>
      <c r="AC674" s="101">
        <v>0.05</v>
      </c>
      <c r="AD674" s="15">
        <f>+D.sign_Data[[#This Row],[VALOR NETO ($COP)]]/(100%-D.sign_Data[[#This Row],[MARGEN DE NEGOCIACIÓN (%)]])-D.sign_Data[[#This Row],[VALOR NETO ($COP)]]</f>
        <v>1870.5434684035936</v>
      </c>
      <c r="AE674" s="15">
        <f>+(D.sign_Data[[#This Row],[VALOR NETO ($COP)]]+D.sign_Data[[#This Row],[NEGOCIACIÓN ($COP)]])*1%</f>
        <v>374.10869368071775</v>
      </c>
      <c r="AF674" s="15">
        <f>+(D.sign_Data[[#This Row],[VALOR NETO ($COP)]]+D.sign_Data[[#This Row],[NEGOCIACIÓN ($COP)]])*1%</f>
        <v>374.10869368071775</v>
      </c>
      <c r="AG674" s="3">
        <f>+D.sign_Data[[#This Row],[VALOR NETO ($COP)]]+D.sign_Data[[#This Row],[NEGOCIACIÓN ($COP)]]+D.sign_Data[[#This Row],[ICA ($COP)]]+D.sign_Data[[#This Row],[4 * 1000 ($COP)]]</f>
        <v>38159.086755433214</v>
      </c>
    </row>
    <row r="675" spans="1:33" ht="60" hidden="1" customHeight="1" x14ac:dyDescent="0.25">
      <c r="A675" s="14"/>
      <c r="B675" s="87" t="s">
        <v>442</v>
      </c>
      <c r="C675" s="182" t="s">
        <v>904</v>
      </c>
      <c r="D675" s="189" t="str">
        <f>VLOOKUP(D.sign_Data[[#This Row],[CÓDIGO]],Descripciones[[CÓDIGO]:[NOMBRE DE SERVICIO]],3,FALSE)</f>
        <v>D2. Edificación en Altura</v>
      </c>
      <c r="E675" s="87" t="s">
        <v>497</v>
      </c>
      <c r="F675" s="88" t="s">
        <v>905</v>
      </c>
      <c r="G675" s="88" t="s">
        <v>906</v>
      </c>
      <c r="H675" s="87" t="s">
        <v>448</v>
      </c>
      <c r="I675" s="89">
        <v>1</v>
      </c>
      <c r="J675" s="88" t="s">
        <v>908</v>
      </c>
      <c r="K675" s="102"/>
      <c r="L675" s="88" t="s">
        <v>474</v>
      </c>
      <c r="M675" s="89" t="s">
        <v>381</v>
      </c>
      <c r="N675" s="90">
        <v>0.25</v>
      </c>
      <c r="O675" s="27">
        <f>IFERROR(+VLOOKUP(M675,D.sign_Lista_Data[[RESPONSABLE]:[SOFTWARE 
VALOR HORA]],3,FALSE),"0")</f>
        <v>20263.424518743668</v>
      </c>
      <c r="P675" s="3">
        <f t="shared" si="22"/>
        <v>5065.856129685917</v>
      </c>
      <c r="Q675" s="11">
        <f>IFERROR(+VLOOKUP(M675,D.sign_Lista_Data[[RESPONSABLE]:[SOFTWARE 
VALOR HORA]],5,FALSE)*D.sign_Data[[#This Row],[TIEMPO (HORAS)]],0)</f>
        <v>1055.3866936845659</v>
      </c>
      <c r="R675" s="11">
        <f>IFERROR(+VLOOKUP(M675,D.sign_Lista_Data[[RESPONSABLE]:[SOFTWARE 
VALOR HORA]],8,FALSE)*D.sign_Data[[#This Row],[TIEMPO (HORAS)]],0)</f>
        <v>852.71372178599586</v>
      </c>
      <c r="S675" s="99"/>
      <c r="T675" s="99"/>
      <c r="U675" s="3">
        <f t="shared" si="23"/>
        <v>6973.9565451564795</v>
      </c>
      <c r="V675" s="100">
        <f>D.sign_Data[[#This Row],[TIEMPO (HORAS)]]*Gastos_Operativos[[#Totals],[GASTOS HORA]]</f>
        <v>6947.3692680776003</v>
      </c>
      <c r="W675" s="3">
        <f>+D.sign_Data[[#This Row],[COSTO 
DIRECTO ($COP)]]+D.sign_Data[[#This Row],[PRORRATEO GASTOS ($COP)]]</f>
        <v>13921.32581323408</v>
      </c>
      <c r="X675" s="101">
        <v>0.1</v>
      </c>
      <c r="Y675" s="15">
        <f>+D.sign_Data[[#This Row],[COSTOS OPERACIONALES ($COP)]]*D.sign_Data[[#This Row],[DESFASE (%)]]</f>
        <v>1392.132581323408</v>
      </c>
      <c r="Z675" s="101">
        <v>0.15</v>
      </c>
      <c r="AA675" s="15">
        <f>+((D.sign_Data[[#This Row],[COSTOS OPERACIONALES ($COP)]]/(100%-D.sign_Data[[#This Row],[UTILIDAD (%)]])))-D.sign_Data[[#This Row],[COSTOS OPERACIONALES ($COP)]]</f>
        <v>2456.7045552766031</v>
      </c>
      <c r="AB675" s="3">
        <f>+D.sign_Data[[#This Row],[COSTOS OPERACIONALES ($COP)]]+D.sign_Data[[#This Row],[DESFASE ($COP)]]+D.sign_Data[[#This Row],[UTILIDAD ($COP)]]</f>
        <v>17770.162949834092</v>
      </c>
      <c r="AC675" s="101">
        <v>0.05</v>
      </c>
      <c r="AD675" s="15">
        <f>+D.sign_Data[[#This Row],[VALOR NETO ($COP)]]/(100%-D.sign_Data[[#This Row],[MARGEN DE NEGOCIACIÓN (%)]])-D.sign_Data[[#This Row],[VALOR NETO ($COP)]]</f>
        <v>935.27173420179679</v>
      </c>
      <c r="AE675" s="15">
        <f>+(D.sign_Data[[#This Row],[VALOR NETO ($COP)]]+D.sign_Data[[#This Row],[NEGOCIACIÓN ($COP)]])*1%</f>
        <v>187.05434684035887</v>
      </c>
      <c r="AF675" s="15">
        <f>+(D.sign_Data[[#This Row],[VALOR NETO ($COP)]]+D.sign_Data[[#This Row],[NEGOCIACIÓN ($COP)]])*1%</f>
        <v>187.05434684035887</v>
      </c>
      <c r="AG675" s="3">
        <f>+D.sign_Data[[#This Row],[VALOR NETO ($COP)]]+D.sign_Data[[#This Row],[NEGOCIACIÓN ($COP)]]+D.sign_Data[[#This Row],[ICA ($COP)]]+D.sign_Data[[#This Row],[4 * 1000 ($COP)]]</f>
        <v>19079.543377716607</v>
      </c>
    </row>
    <row r="676" spans="1:33" ht="60" hidden="1" customHeight="1" x14ac:dyDescent="0.25">
      <c r="A676" s="14"/>
      <c r="B676" s="87" t="s">
        <v>442</v>
      </c>
      <c r="C676" s="182" t="s">
        <v>904</v>
      </c>
      <c r="D676" s="189" t="str">
        <f>VLOOKUP(D.sign_Data[[#This Row],[CÓDIGO]],Descripciones[[CÓDIGO]:[NOMBRE DE SERVICIO]],3,FALSE)</f>
        <v>D2. Edificación en Altura</v>
      </c>
      <c r="E676" s="87" t="s">
        <v>497</v>
      </c>
      <c r="F676" s="88" t="s">
        <v>905</v>
      </c>
      <c r="G676" s="88" t="s">
        <v>906</v>
      </c>
      <c r="H676" s="87" t="s">
        <v>448</v>
      </c>
      <c r="I676" s="89">
        <v>1</v>
      </c>
      <c r="J676" s="88" t="s">
        <v>908</v>
      </c>
      <c r="K676" s="102"/>
      <c r="L676" s="88" t="s">
        <v>476</v>
      </c>
      <c r="M676" s="89" t="s">
        <v>381</v>
      </c>
      <c r="N676" s="90">
        <v>0.25</v>
      </c>
      <c r="O676" s="27">
        <f>IFERROR(+VLOOKUP(M676,D.sign_Lista_Data[[RESPONSABLE]:[SOFTWARE 
VALOR HORA]],3,FALSE),"0")</f>
        <v>20263.424518743668</v>
      </c>
      <c r="P676" s="3">
        <f t="shared" si="22"/>
        <v>5065.856129685917</v>
      </c>
      <c r="Q676" s="11">
        <f>IFERROR(+VLOOKUP(M676,D.sign_Lista_Data[[RESPONSABLE]:[SOFTWARE 
VALOR HORA]],5,FALSE)*D.sign_Data[[#This Row],[TIEMPO (HORAS)]],0)</f>
        <v>1055.3866936845659</v>
      </c>
      <c r="R676" s="11">
        <f>IFERROR(+VLOOKUP(M676,D.sign_Lista_Data[[RESPONSABLE]:[SOFTWARE 
VALOR HORA]],8,FALSE)*D.sign_Data[[#This Row],[TIEMPO (HORAS)]],0)</f>
        <v>852.71372178599586</v>
      </c>
      <c r="S676" s="99"/>
      <c r="T676" s="99"/>
      <c r="U676" s="3">
        <f t="shared" si="23"/>
        <v>6973.9565451564795</v>
      </c>
      <c r="V676" s="100">
        <f>D.sign_Data[[#This Row],[TIEMPO (HORAS)]]*Gastos_Operativos[[#Totals],[GASTOS HORA]]</f>
        <v>6947.3692680776003</v>
      </c>
      <c r="W676" s="3">
        <f>+D.sign_Data[[#This Row],[COSTO 
DIRECTO ($COP)]]+D.sign_Data[[#This Row],[PRORRATEO GASTOS ($COP)]]</f>
        <v>13921.32581323408</v>
      </c>
      <c r="X676" s="101">
        <v>0.1</v>
      </c>
      <c r="Y676" s="15">
        <f>+D.sign_Data[[#This Row],[COSTOS OPERACIONALES ($COP)]]*D.sign_Data[[#This Row],[DESFASE (%)]]</f>
        <v>1392.132581323408</v>
      </c>
      <c r="Z676" s="101">
        <v>0.15</v>
      </c>
      <c r="AA676" s="15">
        <f>+((D.sign_Data[[#This Row],[COSTOS OPERACIONALES ($COP)]]/(100%-D.sign_Data[[#This Row],[UTILIDAD (%)]])))-D.sign_Data[[#This Row],[COSTOS OPERACIONALES ($COP)]]</f>
        <v>2456.7045552766031</v>
      </c>
      <c r="AB676" s="3">
        <f>+D.sign_Data[[#This Row],[COSTOS OPERACIONALES ($COP)]]+D.sign_Data[[#This Row],[DESFASE ($COP)]]+D.sign_Data[[#This Row],[UTILIDAD ($COP)]]</f>
        <v>17770.162949834092</v>
      </c>
      <c r="AC676" s="101">
        <v>0.05</v>
      </c>
      <c r="AD676" s="15">
        <f>+D.sign_Data[[#This Row],[VALOR NETO ($COP)]]/(100%-D.sign_Data[[#This Row],[MARGEN DE NEGOCIACIÓN (%)]])-D.sign_Data[[#This Row],[VALOR NETO ($COP)]]</f>
        <v>935.27173420179679</v>
      </c>
      <c r="AE676" s="15">
        <f>+(D.sign_Data[[#This Row],[VALOR NETO ($COP)]]+D.sign_Data[[#This Row],[NEGOCIACIÓN ($COP)]])*1%</f>
        <v>187.05434684035887</v>
      </c>
      <c r="AF676" s="15">
        <f>+(D.sign_Data[[#This Row],[VALOR NETO ($COP)]]+D.sign_Data[[#This Row],[NEGOCIACIÓN ($COP)]])*1%</f>
        <v>187.05434684035887</v>
      </c>
      <c r="AG676" s="3">
        <f>+D.sign_Data[[#This Row],[VALOR NETO ($COP)]]+D.sign_Data[[#This Row],[NEGOCIACIÓN ($COP)]]+D.sign_Data[[#This Row],[ICA ($COP)]]+D.sign_Data[[#This Row],[4 * 1000 ($COP)]]</f>
        <v>19079.543377716607</v>
      </c>
    </row>
    <row r="677" spans="1:33" ht="60" hidden="1" customHeight="1" x14ac:dyDescent="0.25">
      <c r="A677" s="14"/>
      <c r="B677" s="87" t="s">
        <v>442</v>
      </c>
      <c r="C677" s="182" t="s">
        <v>904</v>
      </c>
      <c r="D677" s="189" t="str">
        <f>VLOOKUP(D.sign_Data[[#This Row],[CÓDIGO]],Descripciones[[CÓDIGO]:[NOMBRE DE SERVICIO]],3,FALSE)</f>
        <v>D2. Edificación en Altura</v>
      </c>
      <c r="E677" s="87" t="s">
        <v>497</v>
      </c>
      <c r="F677" s="88" t="s">
        <v>905</v>
      </c>
      <c r="G677" s="88" t="s">
        <v>906</v>
      </c>
      <c r="H677" s="87" t="s">
        <v>448</v>
      </c>
      <c r="I677" s="89">
        <v>1</v>
      </c>
      <c r="J677" s="88" t="s">
        <v>909</v>
      </c>
      <c r="K677" s="102"/>
      <c r="L677" s="88" t="s">
        <v>471</v>
      </c>
      <c r="M677" s="89" t="s">
        <v>381</v>
      </c>
      <c r="N677" s="90">
        <v>1</v>
      </c>
      <c r="O677" s="27">
        <f>IFERROR(+VLOOKUP(M677,D.sign_Lista_Data[[RESPONSABLE]:[SOFTWARE 
VALOR HORA]],3,FALSE),"0")</f>
        <v>20263.424518743668</v>
      </c>
      <c r="P677" s="3">
        <f t="shared" si="22"/>
        <v>20263.424518743668</v>
      </c>
      <c r="Q677" s="11">
        <f>IFERROR(+VLOOKUP(M677,D.sign_Lista_Data[[RESPONSABLE]:[SOFTWARE 
VALOR HORA]],5,FALSE)*D.sign_Data[[#This Row],[TIEMPO (HORAS)]],0)</f>
        <v>4221.5467747382636</v>
      </c>
      <c r="R677" s="11">
        <f>IFERROR(+VLOOKUP(M677,D.sign_Lista_Data[[RESPONSABLE]:[SOFTWARE 
VALOR HORA]],8,FALSE)*D.sign_Data[[#This Row],[TIEMPO (HORAS)]],0)</f>
        <v>3410.8548871439834</v>
      </c>
      <c r="S677" s="99"/>
      <c r="T677" s="99"/>
      <c r="U677" s="3">
        <f t="shared" si="23"/>
        <v>27895.826180625918</v>
      </c>
      <c r="V677" s="100">
        <f>D.sign_Data[[#This Row],[TIEMPO (HORAS)]]*Gastos_Operativos[[#Totals],[GASTOS HORA]]</f>
        <v>27789.477072310401</v>
      </c>
      <c r="W677" s="3">
        <f>+D.sign_Data[[#This Row],[COSTO 
DIRECTO ($COP)]]+D.sign_Data[[#This Row],[PRORRATEO GASTOS ($COP)]]</f>
        <v>55685.303252936319</v>
      </c>
      <c r="X677" s="101">
        <v>0.1</v>
      </c>
      <c r="Y677" s="15">
        <f>+D.sign_Data[[#This Row],[COSTOS OPERACIONALES ($COP)]]*D.sign_Data[[#This Row],[DESFASE (%)]]</f>
        <v>5568.5303252936319</v>
      </c>
      <c r="Z677" s="101">
        <v>0.15</v>
      </c>
      <c r="AA677" s="15">
        <f>+((D.sign_Data[[#This Row],[COSTOS OPERACIONALES ($COP)]]/(100%-D.sign_Data[[#This Row],[UTILIDAD (%)]])))-D.sign_Data[[#This Row],[COSTOS OPERACIONALES ($COP)]]</f>
        <v>9826.8182211064122</v>
      </c>
      <c r="AB677" s="3">
        <f>+D.sign_Data[[#This Row],[COSTOS OPERACIONALES ($COP)]]+D.sign_Data[[#This Row],[DESFASE ($COP)]]+D.sign_Data[[#This Row],[UTILIDAD ($COP)]]</f>
        <v>71080.651799336367</v>
      </c>
      <c r="AC677" s="101">
        <v>0.05</v>
      </c>
      <c r="AD677" s="15">
        <f>+D.sign_Data[[#This Row],[VALOR NETO ($COP)]]/(100%-D.sign_Data[[#This Row],[MARGEN DE NEGOCIACIÓN (%)]])-D.sign_Data[[#This Row],[VALOR NETO ($COP)]]</f>
        <v>3741.0869368071872</v>
      </c>
      <c r="AE677" s="15">
        <f>+(D.sign_Data[[#This Row],[VALOR NETO ($COP)]]+D.sign_Data[[#This Row],[NEGOCIACIÓN ($COP)]])*1%</f>
        <v>748.2173873614355</v>
      </c>
      <c r="AF677" s="15">
        <f>+(D.sign_Data[[#This Row],[VALOR NETO ($COP)]]+D.sign_Data[[#This Row],[NEGOCIACIÓN ($COP)]])*1%</f>
        <v>748.2173873614355</v>
      </c>
      <c r="AG677" s="3">
        <f>+D.sign_Data[[#This Row],[VALOR NETO ($COP)]]+D.sign_Data[[#This Row],[NEGOCIACIÓN ($COP)]]+D.sign_Data[[#This Row],[ICA ($COP)]]+D.sign_Data[[#This Row],[4 * 1000 ($COP)]]</f>
        <v>76318.173510866429</v>
      </c>
    </row>
    <row r="678" spans="1:33" ht="60" hidden="1" customHeight="1" x14ac:dyDescent="0.25">
      <c r="A678" s="14"/>
      <c r="B678" s="87" t="s">
        <v>442</v>
      </c>
      <c r="C678" s="182" t="s">
        <v>904</v>
      </c>
      <c r="D678" s="189" t="str">
        <f>VLOOKUP(D.sign_Data[[#This Row],[CÓDIGO]],Descripciones[[CÓDIGO]:[NOMBRE DE SERVICIO]],3,FALSE)</f>
        <v>D2. Edificación en Altura</v>
      </c>
      <c r="E678" s="87" t="s">
        <v>497</v>
      </c>
      <c r="F678" s="88" t="s">
        <v>905</v>
      </c>
      <c r="G678" s="88" t="s">
        <v>906</v>
      </c>
      <c r="H678" s="87" t="s">
        <v>448</v>
      </c>
      <c r="I678" s="89">
        <v>1</v>
      </c>
      <c r="J678" s="88" t="s">
        <v>909</v>
      </c>
      <c r="K678" s="102"/>
      <c r="L678" s="88" t="s">
        <v>480</v>
      </c>
      <c r="M678" s="89" t="s">
        <v>381</v>
      </c>
      <c r="N678" s="90">
        <v>0.5</v>
      </c>
      <c r="O678" s="27">
        <f>IFERROR(+VLOOKUP(M678,D.sign_Lista_Data[[RESPONSABLE]:[SOFTWARE 
VALOR HORA]],3,FALSE),"0")</f>
        <v>20263.424518743668</v>
      </c>
      <c r="P678" s="3">
        <f t="shared" si="22"/>
        <v>10131.712259371834</v>
      </c>
      <c r="Q678" s="11">
        <f>IFERROR(+VLOOKUP(M678,D.sign_Lista_Data[[RESPONSABLE]:[SOFTWARE 
VALOR HORA]],5,FALSE)*D.sign_Data[[#This Row],[TIEMPO (HORAS)]],0)</f>
        <v>2110.7733873691318</v>
      </c>
      <c r="R678" s="11">
        <f>IFERROR(+VLOOKUP(M678,D.sign_Lista_Data[[RESPONSABLE]:[SOFTWARE 
VALOR HORA]],8,FALSE)*D.sign_Data[[#This Row],[TIEMPO (HORAS)]],0)</f>
        <v>1705.4274435719917</v>
      </c>
      <c r="S678" s="99"/>
      <c r="T678" s="99"/>
      <c r="U678" s="3">
        <f t="shared" si="23"/>
        <v>13947.913090312959</v>
      </c>
      <c r="V678" s="100">
        <f>D.sign_Data[[#This Row],[TIEMPO (HORAS)]]*Gastos_Operativos[[#Totals],[GASTOS HORA]]</f>
        <v>13894.738536155201</v>
      </c>
      <c r="W678" s="3">
        <f>+D.sign_Data[[#This Row],[COSTO 
DIRECTO ($COP)]]+D.sign_Data[[#This Row],[PRORRATEO GASTOS ($COP)]]</f>
        <v>27842.65162646816</v>
      </c>
      <c r="X678" s="101">
        <v>0.1</v>
      </c>
      <c r="Y678" s="15">
        <f>+D.sign_Data[[#This Row],[COSTOS OPERACIONALES ($COP)]]*D.sign_Data[[#This Row],[DESFASE (%)]]</f>
        <v>2784.265162646816</v>
      </c>
      <c r="Z678" s="101">
        <v>0.15</v>
      </c>
      <c r="AA678" s="15">
        <f>+((D.sign_Data[[#This Row],[COSTOS OPERACIONALES ($COP)]]/(100%-D.sign_Data[[#This Row],[UTILIDAD (%)]])))-D.sign_Data[[#This Row],[COSTOS OPERACIONALES ($COP)]]</f>
        <v>4913.4091105532061</v>
      </c>
      <c r="AB678" s="3">
        <f>+D.sign_Data[[#This Row],[COSTOS OPERACIONALES ($COP)]]+D.sign_Data[[#This Row],[DESFASE ($COP)]]+D.sign_Data[[#This Row],[UTILIDAD ($COP)]]</f>
        <v>35540.325899668183</v>
      </c>
      <c r="AC678" s="101">
        <v>0.05</v>
      </c>
      <c r="AD678" s="15">
        <f>+D.sign_Data[[#This Row],[VALOR NETO ($COP)]]/(100%-D.sign_Data[[#This Row],[MARGEN DE NEGOCIACIÓN (%)]])-D.sign_Data[[#This Row],[VALOR NETO ($COP)]]</f>
        <v>1870.5434684035936</v>
      </c>
      <c r="AE678" s="15">
        <f>+(D.sign_Data[[#This Row],[VALOR NETO ($COP)]]+D.sign_Data[[#This Row],[NEGOCIACIÓN ($COP)]])*1%</f>
        <v>374.10869368071775</v>
      </c>
      <c r="AF678" s="15">
        <f>+(D.sign_Data[[#This Row],[VALOR NETO ($COP)]]+D.sign_Data[[#This Row],[NEGOCIACIÓN ($COP)]])*1%</f>
        <v>374.10869368071775</v>
      </c>
      <c r="AG678" s="3">
        <f>+D.sign_Data[[#This Row],[VALOR NETO ($COP)]]+D.sign_Data[[#This Row],[NEGOCIACIÓN ($COP)]]+D.sign_Data[[#This Row],[ICA ($COP)]]+D.sign_Data[[#This Row],[4 * 1000 ($COP)]]</f>
        <v>38159.086755433214</v>
      </c>
    </row>
    <row r="679" spans="1:33" ht="60" hidden="1" customHeight="1" x14ac:dyDescent="0.25">
      <c r="A679" s="14"/>
      <c r="B679" s="87" t="s">
        <v>442</v>
      </c>
      <c r="C679" s="182" t="s">
        <v>904</v>
      </c>
      <c r="D679" s="189" t="str">
        <f>VLOOKUP(D.sign_Data[[#This Row],[CÓDIGO]],Descripciones[[CÓDIGO]:[NOMBRE DE SERVICIO]],3,FALSE)</f>
        <v>D2. Edificación en Altura</v>
      </c>
      <c r="E679" s="87" t="s">
        <v>497</v>
      </c>
      <c r="F679" s="88" t="s">
        <v>905</v>
      </c>
      <c r="G679" s="88" t="s">
        <v>906</v>
      </c>
      <c r="H679" s="87" t="s">
        <v>448</v>
      </c>
      <c r="I679" s="89">
        <v>1</v>
      </c>
      <c r="J679" s="88" t="s">
        <v>909</v>
      </c>
      <c r="K679" s="102"/>
      <c r="L679" s="88" t="s">
        <v>481</v>
      </c>
      <c r="M679" s="89" t="s">
        <v>381</v>
      </c>
      <c r="N679" s="90">
        <v>0.5</v>
      </c>
      <c r="O679" s="27">
        <f>IFERROR(+VLOOKUP(M679,D.sign_Lista_Data[[RESPONSABLE]:[SOFTWARE 
VALOR HORA]],3,FALSE),"0")</f>
        <v>20263.424518743668</v>
      </c>
      <c r="P679" s="3">
        <f t="shared" si="22"/>
        <v>10131.712259371834</v>
      </c>
      <c r="Q679" s="11">
        <f>IFERROR(+VLOOKUP(M679,D.sign_Lista_Data[[RESPONSABLE]:[SOFTWARE 
VALOR HORA]],5,FALSE)*D.sign_Data[[#This Row],[TIEMPO (HORAS)]],0)</f>
        <v>2110.7733873691318</v>
      </c>
      <c r="R679" s="11">
        <f>IFERROR(+VLOOKUP(M679,D.sign_Lista_Data[[RESPONSABLE]:[SOFTWARE 
VALOR HORA]],8,FALSE)*D.sign_Data[[#This Row],[TIEMPO (HORAS)]],0)</f>
        <v>1705.4274435719917</v>
      </c>
      <c r="S679" s="99"/>
      <c r="T679" s="99"/>
      <c r="U679" s="3">
        <f t="shared" si="23"/>
        <v>13947.913090312959</v>
      </c>
      <c r="V679" s="100">
        <f>D.sign_Data[[#This Row],[TIEMPO (HORAS)]]*Gastos_Operativos[[#Totals],[GASTOS HORA]]</f>
        <v>13894.738536155201</v>
      </c>
      <c r="W679" s="3">
        <f>+D.sign_Data[[#This Row],[COSTO 
DIRECTO ($COP)]]+D.sign_Data[[#This Row],[PRORRATEO GASTOS ($COP)]]</f>
        <v>27842.65162646816</v>
      </c>
      <c r="X679" s="101">
        <v>0.1</v>
      </c>
      <c r="Y679" s="15">
        <f>+D.sign_Data[[#This Row],[COSTOS OPERACIONALES ($COP)]]*D.sign_Data[[#This Row],[DESFASE (%)]]</f>
        <v>2784.265162646816</v>
      </c>
      <c r="Z679" s="101">
        <v>0.15</v>
      </c>
      <c r="AA679" s="15">
        <f>+((D.sign_Data[[#This Row],[COSTOS OPERACIONALES ($COP)]]/(100%-D.sign_Data[[#This Row],[UTILIDAD (%)]])))-D.sign_Data[[#This Row],[COSTOS OPERACIONALES ($COP)]]</f>
        <v>4913.4091105532061</v>
      </c>
      <c r="AB679" s="3">
        <f>+D.sign_Data[[#This Row],[COSTOS OPERACIONALES ($COP)]]+D.sign_Data[[#This Row],[DESFASE ($COP)]]+D.sign_Data[[#This Row],[UTILIDAD ($COP)]]</f>
        <v>35540.325899668183</v>
      </c>
      <c r="AC679" s="101">
        <v>0.05</v>
      </c>
      <c r="AD679" s="15">
        <f>+D.sign_Data[[#This Row],[VALOR NETO ($COP)]]/(100%-D.sign_Data[[#This Row],[MARGEN DE NEGOCIACIÓN (%)]])-D.sign_Data[[#This Row],[VALOR NETO ($COP)]]</f>
        <v>1870.5434684035936</v>
      </c>
      <c r="AE679" s="15">
        <f>+(D.sign_Data[[#This Row],[VALOR NETO ($COP)]]+D.sign_Data[[#This Row],[NEGOCIACIÓN ($COP)]])*1%</f>
        <v>374.10869368071775</v>
      </c>
      <c r="AF679" s="15">
        <f>+(D.sign_Data[[#This Row],[VALOR NETO ($COP)]]+D.sign_Data[[#This Row],[NEGOCIACIÓN ($COP)]])*1%</f>
        <v>374.10869368071775</v>
      </c>
      <c r="AG679" s="3">
        <f>+D.sign_Data[[#This Row],[VALOR NETO ($COP)]]+D.sign_Data[[#This Row],[NEGOCIACIÓN ($COP)]]+D.sign_Data[[#This Row],[ICA ($COP)]]+D.sign_Data[[#This Row],[4 * 1000 ($COP)]]</f>
        <v>38159.086755433214</v>
      </c>
    </row>
    <row r="680" spans="1:33" ht="60" hidden="1" customHeight="1" x14ac:dyDescent="0.25">
      <c r="A680" s="14"/>
      <c r="B680" s="87" t="s">
        <v>442</v>
      </c>
      <c r="C680" s="182" t="s">
        <v>904</v>
      </c>
      <c r="D680" s="189" t="str">
        <f>VLOOKUP(D.sign_Data[[#This Row],[CÓDIGO]],Descripciones[[CÓDIGO]:[NOMBRE DE SERVICIO]],3,FALSE)</f>
        <v>D2. Edificación en Altura</v>
      </c>
      <c r="E680" s="87" t="s">
        <v>497</v>
      </c>
      <c r="F680" s="88" t="s">
        <v>905</v>
      </c>
      <c r="G680" s="88" t="s">
        <v>906</v>
      </c>
      <c r="H680" s="87" t="s">
        <v>448</v>
      </c>
      <c r="I680" s="89">
        <v>1</v>
      </c>
      <c r="J680" s="88" t="s">
        <v>909</v>
      </c>
      <c r="K680" s="102"/>
      <c r="L680" s="88" t="s">
        <v>482</v>
      </c>
      <c r="M680" s="89" t="s">
        <v>381</v>
      </c>
      <c r="N680" s="90">
        <v>0.5</v>
      </c>
      <c r="O680" s="27">
        <f>IFERROR(+VLOOKUP(M680,D.sign_Lista_Data[[RESPONSABLE]:[SOFTWARE 
VALOR HORA]],3,FALSE),"0")</f>
        <v>20263.424518743668</v>
      </c>
      <c r="P680" s="3">
        <f t="shared" si="22"/>
        <v>10131.712259371834</v>
      </c>
      <c r="Q680" s="11">
        <f>IFERROR(+VLOOKUP(M680,D.sign_Lista_Data[[RESPONSABLE]:[SOFTWARE 
VALOR HORA]],5,FALSE)*D.sign_Data[[#This Row],[TIEMPO (HORAS)]],0)</f>
        <v>2110.7733873691318</v>
      </c>
      <c r="R680" s="11">
        <f>IFERROR(+VLOOKUP(M680,D.sign_Lista_Data[[RESPONSABLE]:[SOFTWARE 
VALOR HORA]],8,FALSE)*D.sign_Data[[#This Row],[TIEMPO (HORAS)]],0)</f>
        <v>1705.4274435719917</v>
      </c>
      <c r="S680" s="99"/>
      <c r="T680" s="99"/>
      <c r="U680" s="3">
        <f t="shared" si="23"/>
        <v>13947.913090312959</v>
      </c>
      <c r="V680" s="100">
        <f>D.sign_Data[[#This Row],[TIEMPO (HORAS)]]*Gastos_Operativos[[#Totals],[GASTOS HORA]]</f>
        <v>13894.738536155201</v>
      </c>
      <c r="W680" s="3">
        <f>+D.sign_Data[[#This Row],[COSTO 
DIRECTO ($COP)]]+D.sign_Data[[#This Row],[PRORRATEO GASTOS ($COP)]]</f>
        <v>27842.65162646816</v>
      </c>
      <c r="X680" s="101">
        <v>0.1</v>
      </c>
      <c r="Y680" s="15">
        <f>+D.sign_Data[[#This Row],[COSTOS OPERACIONALES ($COP)]]*D.sign_Data[[#This Row],[DESFASE (%)]]</f>
        <v>2784.265162646816</v>
      </c>
      <c r="Z680" s="101">
        <v>0.15</v>
      </c>
      <c r="AA680" s="15">
        <f>+((D.sign_Data[[#This Row],[COSTOS OPERACIONALES ($COP)]]/(100%-D.sign_Data[[#This Row],[UTILIDAD (%)]])))-D.sign_Data[[#This Row],[COSTOS OPERACIONALES ($COP)]]</f>
        <v>4913.4091105532061</v>
      </c>
      <c r="AB680" s="3">
        <f>+D.sign_Data[[#This Row],[COSTOS OPERACIONALES ($COP)]]+D.sign_Data[[#This Row],[DESFASE ($COP)]]+D.sign_Data[[#This Row],[UTILIDAD ($COP)]]</f>
        <v>35540.325899668183</v>
      </c>
      <c r="AC680" s="101">
        <v>0.05</v>
      </c>
      <c r="AD680" s="15">
        <f>+D.sign_Data[[#This Row],[VALOR NETO ($COP)]]/(100%-D.sign_Data[[#This Row],[MARGEN DE NEGOCIACIÓN (%)]])-D.sign_Data[[#This Row],[VALOR NETO ($COP)]]</f>
        <v>1870.5434684035936</v>
      </c>
      <c r="AE680" s="15">
        <f>+(D.sign_Data[[#This Row],[VALOR NETO ($COP)]]+D.sign_Data[[#This Row],[NEGOCIACIÓN ($COP)]])*1%</f>
        <v>374.10869368071775</v>
      </c>
      <c r="AF680" s="15">
        <f>+(D.sign_Data[[#This Row],[VALOR NETO ($COP)]]+D.sign_Data[[#This Row],[NEGOCIACIÓN ($COP)]])*1%</f>
        <v>374.10869368071775</v>
      </c>
      <c r="AG680" s="3">
        <f>+D.sign_Data[[#This Row],[VALOR NETO ($COP)]]+D.sign_Data[[#This Row],[NEGOCIACIÓN ($COP)]]+D.sign_Data[[#This Row],[ICA ($COP)]]+D.sign_Data[[#This Row],[4 * 1000 ($COP)]]</f>
        <v>38159.086755433214</v>
      </c>
    </row>
    <row r="681" spans="1:33" ht="60" hidden="1" customHeight="1" x14ac:dyDescent="0.25">
      <c r="A681" s="14"/>
      <c r="B681" s="87" t="s">
        <v>442</v>
      </c>
      <c r="C681" s="182" t="s">
        <v>904</v>
      </c>
      <c r="D681" s="189" t="str">
        <f>VLOOKUP(D.sign_Data[[#This Row],[CÓDIGO]],Descripciones[[CÓDIGO]:[NOMBRE DE SERVICIO]],3,FALSE)</f>
        <v>D2. Edificación en Altura</v>
      </c>
      <c r="E681" s="87" t="s">
        <v>497</v>
      </c>
      <c r="F681" s="88" t="s">
        <v>905</v>
      </c>
      <c r="G681" s="88" t="s">
        <v>906</v>
      </c>
      <c r="H681" s="87" t="s">
        <v>448</v>
      </c>
      <c r="I681" s="89">
        <v>1</v>
      </c>
      <c r="J681" s="88" t="s">
        <v>909</v>
      </c>
      <c r="K681" s="102"/>
      <c r="L681" s="88" t="s">
        <v>483</v>
      </c>
      <c r="M681" s="89" t="s">
        <v>381</v>
      </c>
      <c r="N681" s="90">
        <v>0.25</v>
      </c>
      <c r="O681" s="27">
        <f>IFERROR(+VLOOKUP(M681,D.sign_Lista_Data[[RESPONSABLE]:[SOFTWARE 
VALOR HORA]],3,FALSE),"0")</f>
        <v>20263.424518743668</v>
      </c>
      <c r="P681" s="3">
        <f t="shared" si="22"/>
        <v>5065.856129685917</v>
      </c>
      <c r="Q681" s="11">
        <f>IFERROR(+VLOOKUP(M681,D.sign_Lista_Data[[RESPONSABLE]:[SOFTWARE 
VALOR HORA]],5,FALSE)*D.sign_Data[[#This Row],[TIEMPO (HORAS)]],0)</f>
        <v>1055.3866936845659</v>
      </c>
      <c r="R681" s="11">
        <f>IFERROR(+VLOOKUP(M681,D.sign_Lista_Data[[RESPONSABLE]:[SOFTWARE 
VALOR HORA]],8,FALSE)*D.sign_Data[[#This Row],[TIEMPO (HORAS)]],0)</f>
        <v>852.71372178599586</v>
      </c>
      <c r="S681" s="99"/>
      <c r="T681" s="99"/>
      <c r="U681" s="3">
        <f t="shared" si="23"/>
        <v>6973.9565451564795</v>
      </c>
      <c r="V681" s="100">
        <f>D.sign_Data[[#This Row],[TIEMPO (HORAS)]]*Gastos_Operativos[[#Totals],[GASTOS HORA]]</f>
        <v>6947.3692680776003</v>
      </c>
      <c r="W681" s="3">
        <f>+D.sign_Data[[#This Row],[COSTO 
DIRECTO ($COP)]]+D.sign_Data[[#This Row],[PRORRATEO GASTOS ($COP)]]</f>
        <v>13921.32581323408</v>
      </c>
      <c r="X681" s="101">
        <v>0.1</v>
      </c>
      <c r="Y681" s="15">
        <f>+D.sign_Data[[#This Row],[COSTOS OPERACIONALES ($COP)]]*D.sign_Data[[#This Row],[DESFASE (%)]]</f>
        <v>1392.132581323408</v>
      </c>
      <c r="Z681" s="101">
        <v>0.15</v>
      </c>
      <c r="AA681" s="15">
        <f>+((D.sign_Data[[#This Row],[COSTOS OPERACIONALES ($COP)]]/(100%-D.sign_Data[[#This Row],[UTILIDAD (%)]])))-D.sign_Data[[#This Row],[COSTOS OPERACIONALES ($COP)]]</f>
        <v>2456.7045552766031</v>
      </c>
      <c r="AB681" s="3">
        <f>+D.sign_Data[[#This Row],[COSTOS OPERACIONALES ($COP)]]+D.sign_Data[[#This Row],[DESFASE ($COP)]]+D.sign_Data[[#This Row],[UTILIDAD ($COP)]]</f>
        <v>17770.162949834092</v>
      </c>
      <c r="AC681" s="101">
        <v>0.05</v>
      </c>
      <c r="AD681" s="15">
        <f>+D.sign_Data[[#This Row],[VALOR NETO ($COP)]]/(100%-D.sign_Data[[#This Row],[MARGEN DE NEGOCIACIÓN (%)]])-D.sign_Data[[#This Row],[VALOR NETO ($COP)]]</f>
        <v>935.27173420179679</v>
      </c>
      <c r="AE681" s="15">
        <f>+(D.sign_Data[[#This Row],[VALOR NETO ($COP)]]+D.sign_Data[[#This Row],[NEGOCIACIÓN ($COP)]])*1%</f>
        <v>187.05434684035887</v>
      </c>
      <c r="AF681" s="15">
        <f>+(D.sign_Data[[#This Row],[VALOR NETO ($COP)]]+D.sign_Data[[#This Row],[NEGOCIACIÓN ($COP)]])*1%</f>
        <v>187.05434684035887</v>
      </c>
      <c r="AG681" s="3">
        <f>+D.sign_Data[[#This Row],[VALOR NETO ($COP)]]+D.sign_Data[[#This Row],[NEGOCIACIÓN ($COP)]]+D.sign_Data[[#This Row],[ICA ($COP)]]+D.sign_Data[[#This Row],[4 * 1000 ($COP)]]</f>
        <v>19079.543377716607</v>
      </c>
    </row>
    <row r="682" spans="1:33" ht="60" hidden="1" customHeight="1" x14ac:dyDescent="0.25">
      <c r="A682" s="14"/>
      <c r="B682" s="87" t="s">
        <v>442</v>
      </c>
      <c r="C682" s="182" t="s">
        <v>904</v>
      </c>
      <c r="D682" s="189" t="str">
        <f>VLOOKUP(D.sign_Data[[#This Row],[CÓDIGO]],Descripciones[[CÓDIGO]:[NOMBRE DE SERVICIO]],3,FALSE)</f>
        <v>D2. Edificación en Altura</v>
      </c>
      <c r="E682" s="87" t="s">
        <v>497</v>
      </c>
      <c r="F682" s="88" t="s">
        <v>905</v>
      </c>
      <c r="G682" s="88" t="s">
        <v>906</v>
      </c>
      <c r="H682" s="87" t="s">
        <v>448</v>
      </c>
      <c r="I682" s="89">
        <v>1</v>
      </c>
      <c r="J682" s="88" t="s">
        <v>909</v>
      </c>
      <c r="K682" s="102"/>
      <c r="L682" s="88" t="s">
        <v>478</v>
      </c>
      <c r="M682" s="89" t="s">
        <v>381</v>
      </c>
      <c r="N682" s="90">
        <v>0.5</v>
      </c>
      <c r="O682" s="27">
        <f>IFERROR(+VLOOKUP(M682,D.sign_Lista_Data[[RESPONSABLE]:[SOFTWARE 
VALOR HORA]],3,FALSE),"0")</f>
        <v>20263.424518743668</v>
      </c>
      <c r="P682" s="3">
        <f t="shared" si="22"/>
        <v>10131.712259371834</v>
      </c>
      <c r="Q682" s="11">
        <f>IFERROR(+VLOOKUP(M682,D.sign_Lista_Data[[RESPONSABLE]:[SOFTWARE 
VALOR HORA]],5,FALSE)*D.sign_Data[[#This Row],[TIEMPO (HORAS)]],0)</f>
        <v>2110.7733873691318</v>
      </c>
      <c r="R682" s="11">
        <f>IFERROR(+VLOOKUP(M682,D.sign_Lista_Data[[RESPONSABLE]:[SOFTWARE 
VALOR HORA]],8,FALSE)*D.sign_Data[[#This Row],[TIEMPO (HORAS)]],0)</f>
        <v>1705.4274435719917</v>
      </c>
      <c r="S682" s="99"/>
      <c r="T682" s="99"/>
      <c r="U682" s="3">
        <f t="shared" si="23"/>
        <v>13947.913090312959</v>
      </c>
      <c r="V682" s="100">
        <f>D.sign_Data[[#This Row],[TIEMPO (HORAS)]]*Gastos_Operativos[[#Totals],[GASTOS HORA]]</f>
        <v>13894.738536155201</v>
      </c>
      <c r="W682" s="3">
        <f>+D.sign_Data[[#This Row],[COSTO 
DIRECTO ($COP)]]+D.sign_Data[[#This Row],[PRORRATEO GASTOS ($COP)]]</f>
        <v>27842.65162646816</v>
      </c>
      <c r="X682" s="101">
        <v>0.1</v>
      </c>
      <c r="Y682" s="15">
        <f>+D.sign_Data[[#This Row],[COSTOS OPERACIONALES ($COP)]]*D.sign_Data[[#This Row],[DESFASE (%)]]</f>
        <v>2784.265162646816</v>
      </c>
      <c r="Z682" s="101">
        <v>0.15</v>
      </c>
      <c r="AA682" s="15">
        <f>+((D.sign_Data[[#This Row],[COSTOS OPERACIONALES ($COP)]]/(100%-D.sign_Data[[#This Row],[UTILIDAD (%)]])))-D.sign_Data[[#This Row],[COSTOS OPERACIONALES ($COP)]]</f>
        <v>4913.4091105532061</v>
      </c>
      <c r="AB682" s="3">
        <f>+D.sign_Data[[#This Row],[COSTOS OPERACIONALES ($COP)]]+D.sign_Data[[#This Row],[DESFASE ($COP)]]+D.sign_Data[[#This Row],[UTILIDAD ($COP)]]</f>
        <v>35540.325899668183</v>
      </c>
      <c r="AC682" s="101">
        <v>0.05</v>
      </c>
      <c r="AD682" s="15">
        <f>+D.sign_Data[[#This Row],[VALOR NETO ($COP)]]/(100%-D.sign_Data[[#This Row],[MARGEN DE NEGOCIACIÓN (%)]])-D.sign_Data[[#This Row],[VALOR NETO ($COP)]]</f>
        <v>1870.5434684035936</v>
      </c>
      <c r="AE682" s="15">
        <f>+(D.sign_Data[[#This Row],[VALOR NETO ($COP)]]+D.sign_Data[[#This Row],[NEGOCIACIÓN ($COP)]])*1%</f>
        <v>374.10869368071775</v>
      </c>
      <c r="AF682" s="15">
        <f>+(D.sign_Data[[#This Row],[VALOR NETO ($COP)]]+D.sign_Data[[#This Row],[NEGOCIACIÓN ($COP)]])*1%</f>
        <v>374.10869368071775</v>
      </c>
      <c r="AG682" s="3">
        <f>+D.sign_Data[[#This Row],[VALOR NETO ($COP)]]+D.sign_Data[[#This Row],[NEGOCIACIÓN ($COP)]]+D.sign_Data[[#This Row],[ICA ($COP)]]+D.sign_Data[[#This Row],[4 * 1000 ($COP)]]</f>
        <v>38159.086755433214</v>
      </c>
    </row>
    <row r="683" spans="1:33" ht="60" hidden="1" customHeight="1" x14ac:dyDescent="0.25">
      <c r="A683" s="14"/>
      <c r="B683" s="87" t="s">
        <v>442</v>
      </c>
      <c r="C683" s="182" t="s">
        <v>904</v>
      </c>
      <c r="D683" s="189" t="str">
        <f>VLOOKUP(D.sign_Data[[#This Row],[CÓDIGO]],Descripciones[[CÓDIGO]:[NOMBRE DE SERVICIO]],3,FALSE)</f>
        <v>D2. Edificación en Altura</v>
      </c>
      <c r="E683" s="87" t="s">
        <v>497</v>
      </c>
      <c r="F683" s="88" t="s">
        <v>905</v>
      </c>
      <c r="G683" s="88" t="s">
        <v>906</v>
      </c>
      <c r="H683" s="87" t="s">
        <v>448</v>
      </c>
      <c r="I683" s="89">
        <v>1</v>
      </c>
      <c r="J683" s="88" t="s">
        <v>909</v>
      </c>
      <c r="K683" s="102"/>
      <c r="L683" s="88" t="s">
        <v>474</v>
      </c>
      <c r="M683" s="89" t="s">
        <v>381</v>
      </c>
      <c r="N683" s="90">
        <v>0.21</v>
      </c>
      <c r="O683" s="27">
        <f>IFERROR(+VLOOKUP(M683,D.sign_Lista_Data[[RESPONSABLE]:[SOFTWARE 
VALOR HORA]],3,FALSE),"0")</f>
        <v>20263.424518743668</v>
      </c>
      <c r="P683" s="3">
        <f t="shared" si="22"/>
        <v>4255.3191489361698</v>
      </c>
      <c r="Q683" s="11">
        <f>IFERROR(+VLOOKUP(M683,D.sign_Lista_Data[[RESPONSABLE]:[SOFTWARE 
VALOR HORA]],5,FALSE)*D.sign_Data[[#This Row],[TIEMPO (HORAS)]],0)</f>
        <v>886.52482269503537</v>
      </c>
      <c r="R683" s="11">
        <f>IFERROR(+VLOOKUP(M683,D.sign_Lista_Data[[RESPONSABLE]:[SOFTWARE 
VALOR HORA]],8,FALSE)*D.sign_Data[[#This Row],[TIEMPO (HORAS)]],0)</f>
        <v>716.27952630023651</v>
      </c>
      <c r="S683" s="99"/>
      <c r="T683" s="99"/>
      <c r="U683" s="3">
        <f t="shared" si="23"/>
        <v>5858.1234979314413</v>
      </c>
      <c r="V683" s="100">
        <f>D.sign_Data[[#This Row],[TIEMPO (HORAS)]]*Gastos_Operativos[[#Totals],[GASTOS HORA]]</f>
        <v>5835.7901851851839</v>
      </c>
      <c r="W683" s="3">
        <f>+D.sign_Data[[#This Row],[COSTO 
DIRECTO ($COP)]]+D.sign_Data[[#This Row],[PRORRATEO GASTOS ($COP)]]</f>
        <v>11693.913683116625</v>
      </c>
      <c r="X683" s="101">
        <v>0.1</v>
      </c>
      <c r="Y683" s="15">
        <f>+D.sign_Data[[#This Row],[COSTOS OPERACIONALES ($COP)]]*D.sign_Data[[#This Row],[DESFASE (%)]]</f>
        <v>1169.3913683116625</v>
      </c>
      <c r="Z683" s="101">
        <v>0.15</v>
      </c>
      <c r="AA683" s="15">
        <f>+((D.sign_Data[[#This Row],[COSTOS OPERACIONALES ($COP)]]/(100%-D.sign_Data[[#This Row],[UTILIDAD (%)]])))-D.sign_Data[[#This Row],[COSTOS OPERACIONALES ($COP)]]</f>
        <v>2063.6318264323454</v>
      </c>
      <c r="AB683" s="3">
        <f>+D.sign_Data[[#This Row],[COSTOS OPERACIONALES ($COP)]]+D.sign_Data[[#This Row],[DESFASE ($COP)]]+D.sign_Data[[#This Row],[UTILIDAD ($COP)]]</f>
        <v>14926.936877860633</v>
      </c>
      <c r="AC683" s="101">
        <v>0.05</v>
      </c>
      <c r="AD683" s="15">
        <f>+D.sign_Data[[#This Row],[VALOR NETO ($COP)]]/(100%-D.sign_Data[[#This Row],[MARGEN DE NEGOCIACIÓN (%)]])-D.sign_Data[[#This Row],[VALOR NETO ($COP)]]</f>
        <v>785.62825672950748</v>
      </c>
      <c r="AE683" s="15">
        <f>+(D.sign_Data[[#This Row],[VALOR NETO ($COP)]]+D.sign_Data[[#This Row],[NEGOCIACIÓN ($COP)]])*1%</f>
        <v>157.12565134590142</v>
      </c>
      <c r="AF683" s="15">
        <f>+(D.sign_Data[[#This Row],[VALOR NETO ($COP)]]+D.sign_Data[[#This Row],[NEGOCIACIÓN ($COP)]])*1%</f>
        <v>157.12565134590142</v>
      </c>
      <c r="AG683" s="3">
        <f>+D.sign_Data[[#This Row],[VALOR NETO ($COP)]]+D.sign_Data[[#This Row],[NEGOCIACIÓN ($COP)]]+D.sign_Data[[#This Row],[ICA ($COP)]]+D.sign_Data[[#This Row],[4 * 1000 ($COP)]]</f>
        <v>16026.816437281943</v>
      </c>
    </row>
    <row r="684" spans="1:33" ht="60" hidden="1" customHeight="1" x14ac:dyDescent="0.25">
      <c r="A684" s="14"/>
      <c r="B684" s="87" t="s">
        <v>442</v>
      </c>
      <c r="C684" s="182" t="s">
        <v>904</v>
      </c>
      <c r="D684" s="189" t="str">
        <f>VLOOKUP(D.sign_Data[[#This Row],[CÓDIGO]],Descripciones[[CÓDIGO]:[NOMBRE DE SERVICIO]],3,FALSE)</f>
        <v>D2. Edificación en Altura</v>
      </c>
      <c r="E684" s="87" t="s">
        <v>497</v>
      </c>
      <c r="F684" s="88" t="s">
        <v>905</v>
      </c>
      <c r="G684" s="88" t="s">
        <v>906</v>
      </c>
      <c r="H684" s="87" t="s">
        <v>448</v>
      </c>
      <c r="I684" s="89">
        <v>1</v>
      </c>
      <c r="J684" s="88" t="s">
        <v>910</v>
      </c>
      <c r="K684" s="102"/>
      <c r="L684" s="88" t="s">
        <v>485</v>
      </c>
      <c r="M684" s="89" t="s">
        <v>381</v>
      </c>
      <c r="N684" s="90">
        <v>0.5</v>
      </c>
      <c r="O684" s="27">
        <f>IFERROR(+VLOOKUP(M684,D.sign_Lista_Data[[RESPONSABLE]:[SOFTWARE 
VALOR HORA]],3,FALSE),"0")</f>
        <v>20263.424518743668</v>
      </c>
      <c r="P684" s="3">
        <f t="shared" si="22"/>
        <v>10131.712259371834</v>
      </c>
      <c r="Q684" s="11">
        <f>IFERROR(+VLOOKUP(M684,D.sign_Lista_Data[[RESPONSABLE]:[SOFTWARE 
VALOR HORA]],5,FALSE)*D.sign_Data[[#This Row],[TIEMPO (HORAS)]],0)</f>
        <v>2110.7733873691318</v>
      </c>
      <c r="R684" s="11">
        <f>IFERROR(+VLOOKUP(M684,D.sign_Lista_Data[[RESPONSABLE]:[SOFTWARE 
VALOR HORA]],8,FALSE)*D.sign_Data[[#This Row],[TIEMPO (HORAS)]],0)</f>
        <v>1705.4274435719917</v>
      </c>
      <c r="S684" s="99"/>
      <c r="T684" s="99"/>
      <c r="U684" s="3">
        <f t="shared" si="23"/>
        <v>13947.913090312959</v>
      </c>
      <c r="V684" s="100">
        <f>D.sign_Data[[#This Row],[TIEMPO (HORAS)]]*Gastos_Operativos[[#Totals],[GASTOS HORA]]</f>
        <v>13894.738536155201</v>
      </c>
      <c r="W684" s="3">
        <f>+D.sign_Data[[#This Row],[COSTO 
DIRECTO ($COP)]]+D.sign_Data[[#This Row],[PRORRATEO GASTOS ($COP)]]</f>
        <v>27842.65162646816</v>
      </c>
      <c r="X684" s="101">
        <v>0.1</v>
      </c>
      <c r="Y684" s="15">
        <f>+D.sign_Data[[#This Row],[COSTOS OPERACIONALES ($COP)]]*D.sign_Data[[#This Row],[DESFASE (%)]]</f>
        <v>2784.265162646816</v>
      </c>
      <c r="Z684" s="101">
        <v>0.15</v>
      </c>
      <c r="AA684" s="15">
        <f>+((D.sign_Data[[#This Row],[COSTOS OPERACIONALES ($COP)]]/(100%-D.sign_Data[[#This Row],[UTILIDAD (%)]])))-D.sign_Data[[#This Row],[COSTOS OPERACIONALES ($COP)]]</f>
        <v>4913.4091105532061</v>
      </c>
      <c r="AB684" s="3">
        <f>+D.sign_Data[[#This Row],[COSTOS OPERACIONALES ($COP)]]+D.sign_Data[[#This Row],[DESFASE ($COP)]]+D.sign_Data[[#This Row],[UTILIDAD ($COP)]]</f>
        <v>35540.325899668183</v>
      </c>
      <c r="AC684" s="101">
        <v>0.05</v>
      </c>
      <c r="AD684" s="15">
        <f>+D.sign_Data[[#This Row],[VALOR NETO ($COP)]]/(100%-D.sign_Data[[#This Row],[MARGEN DE NEGOCIACIÓN (%)]])-D.sign_Data[[#This Row],[VALOR NETO ($COP)]]</f>
        <v>1870.5434684035936</v>
      </c>
      <c r="AE684" s="15">
        <f>+(D.sign_Data[[#This Row],[VALOR NETO ($COP)]]+D.sign_Data[[#This Row],[NEGOCIACIÓN ($COP)]])*1%</f>
        <v>374.10869368071775</v>
      </c>
      <c r="AF684" s="15">
        <f>+(D.sign_Data[[#This Row],[VALOR NETO ($COP)]]+D.sign_Data[[#This Row],[NEGOCIACIÓN ($COP)]])*1%</f>
        <v>374.10869368071775</v>
      </c>
      <c r="AG684" s="3">
        <f>+D.sign_Data[[#This Row],[VALOR NETO ($COP)]]+D.sign_Data[[#This Row],[NEGOCIACIÓN ($COP)]]+D.sign_Data[[#This Row],[ICA ($COP)]]+D.sign_Data[[#This Row],[4 * 1000 ($COP)]]</f>
        <v>38159.086755433214</v>
      </c>
    </row>
    <row r="685" spans="1:33" ht="60" hidden="1" customHeight="1" x14ac:dyDescent="0.25">
      <c r="A685" s="14"/>
      <c r="B685" s="87" t="s">
        <v>442</v>
      </c>
      <c r="C685" s="182" t="s">
        <v>904</v>
      </c>
      <c r="D685" s="189" t="str">
        <f>VLOOKUP(D.sign_Data[[#This Row],[CÓDIGO]],Descripciones[[CÓDIGO]:[NOMBRE DE SERVICIO]],3,FALSE)</f>
        <v>D2. Edificación en Altura</v>
      </c>
      <c r="E685" s="87" t="s">
        <v>497</v>
      </c>
      <c r="F685" s="88" t="s">
        <v>905</v>
      </c>
      <c r="G685" s="88" t="s">
        <v>906</v>
      </c>
      <c r="H685" s="87" t="s">
        <v>448</v>
      </c>
      <c r="I685" s="89">
        <v>1</v>
      </c>
      <c r="J685" s="88" t="s">
        <v>910</v>
      </c>
      <c r="K685" s="102"/>
      <c r="L685" s="88" t="s">
        <v>486</v>
      </c>
      <c r="M685" s="89" t="s">
        <v>381</v>
      </c>
      <c r="N685" s="90">
        <v>0.5</v>
      </c>
      <c r="O685" s="27">
        <f>IFERROR(+VLOOKUP(M685,D.sign_Lista_Data[[RESPONSABLE]:[SOFTWARE 
VALOR HORA]],3,FALSE),"0")</f>
        <v>20263.424518743668</v>
      </c>
      <c r="P685" s="3">
        <f t="shared" ref="P685:P748" si="24">+O685*N685</f>
        <v>10131.712259371834</v>
      </c>
      <c r="Q685" s="11">
        <f>IFERROR(+VLOOKUP(M685,D.sign_Lista_Data[[RESPONSABLE]:[SOFTWARE 
VALOR HORA]],5,FALSE)*D.sign_Data[[#This Row],[TIEMPO (HORAS)]],0)</f>
        <v>2110.7733873691318</v>
      </c>
      <c r="R685" s="11">
        <f>IFERROR(+VLOOKUP(M685,D.sign_Lista_Data[[RESPONSABLE]:[SOFTWARE 
VALOR HORA]],8,FALSE)*D.sign_Data[[#This Row],[TIEMPO (HORAS)]],0)</f>
        <v>1705.4274435719917</v>
      </c>
      <c r="S685" s="99"/>
      <c r="T685" s="99"/>
      <c r="U685" s="3">
        <f t="shared" ref="U685:U748" si="25">SUM(P685:T685)</f>
        <v>13947.913090312959</v>
      </c>
      <c r="V685" s="100">
        <f>D.sign_Data[[#This Row],[TIEMPO (HORAS)]]*Gastos_Operativos[[#Totals],[GASTOS HORA]]</f>
        <v>13894.738536155201</v>
      </c>
      <c r="W685" s="3">
        <f>+D.sign_Data[[#This Row],[COSTO 
DIRECTO ($COP)]]+D.sign_Data[[#This Row],[PRORRATEO GASTOS ($COP)]]</f>
        <v>27842.65162646816</v>
      </c>
      <c r="X685" s="101">
        <v>0.1</v>
      </c>
      <c r="Y685" s="15">
        <f>+D.sign_Data[[#This Row],[COSTOS OPERACIONALES ($COP)]]*D.sign_Data[[#This Row],[DESFASE (%)]]</f>
        <v>2784.265162646816</v>
      </c>
      <c r="Z685" s="101">
        <v>0.15</v>
      </c>
      <c r="AA685" s="15">
        <f>+((D.sign_Data[[#This Row],[COSTOS OPERACIONALES ($COP)]]/(100%-D.sign_Data[[#This Row],[UTILIDAD (%)]])))-D.sign_Data[[#This Row],[COSTOS OPERACIONALES ($COP)]]</f>
        <v>4913.4091105532061</v>
      </c>
      <c r="AB685" s="3">
        <f>+D.sign_Data[[#This Row],[COSTOS OPERACIONALES ($COP)]]+D.sign_Data[[#This Row],[DESFASE ($COP)]]+D.sign_Data[[#This Row],[UTILIDAD ($COP)]]</f>
        <v>35540.325899668183</v>
      </c>
      <c r="AC685" s="101">
        <v>0.05</v>
      </c>
      <c r="AD685" s="15">
        <f>+D.sign_Data[[#This Row],[VALOR NETO ($COP)]]/(100%-D.sign_Data[[#This Row],[MARGEN DE NEGOCIACIÓN (%)]])-D.sign_Data[[#This Row],[VALOR NETO ($COP)]]</f>
        <v>1870.5434684035936</v>
      </c>
      <c r="AE685" s="15">
        <f>+(D.sign_Data[[#This Row],[VALOR NETO ($COP)]]+D.sign_Data[[#This Row],[NEGOCIACIÓN ($COP)]])*1%</f>
        <v>374.10869368071775</v>
      </c>
      <c r="AF685" s="15">
        <f>+(D.sign_Data[[#This Row],[VALOR NETO ($COP)]]+D.sign_Data[[#This Row],[NEGOCIACIÓN ($COP)]])*1%</f>
        <v>374.10869368071775</v>
      </c>
      <c r="AG685" s="3">
        <f>+D.sign_Data[[#This Row],[VALOR NETO ($COP)]]+D.sign_Data[[#This Row],[NEGOCIACIÓN ($COP)]]+D.sign_Data[[#This Row],[ICA ($COP)]]+D.sign_Data[[#This Row],[4 * 1000 ($COP)]]</f>
        <v>38159.086755433214</v>
      </c>
    </row>
    <row r="686" spans="1:33" ht="60" hidden="1" customHeight="1" x14ac:dyDescent="0.25">
      <c r="A686" s="14"/>
      <c r="B686" s="87" t="s">
        <v>442</v>
      </c>
      <c r="C686" s="182" t="s">
        <v>904</v>
      </c>
      <c r="D686" s="189" t="str">
        <f>VLOOKUP(D.sign_Data[[#This Row],[CÓDIGO]],Descripciones[[CÓDIGO]:[NOMBRE DE SERVICIO]],3,FALSE)</f>
        <v>D2. Edificación en Altura</v>
      </c>
      <c r="E686" s="87" t="s">
        <v>497</v>
      </c>
      <c r="F686" s="88" t="s">
        <v>905</v>
      </c>
      <c r="G686" s="88" t="s">
        <v>906</v>
      </c>
      <c r="H686" s="87" t="s">
        <v>448</v>
      </c>
      <c r="I686" s="89">
        <v>1</v>
      </c>
      <c r="J686" s="88" t="s">
        <v>910</v>
      </c>
      <c r="K686" s="102"/>
      <c r="L686" s="88" t="s">
        <v>471</v>
      </c>
      <c r="M686" s="89" t="s">
        <v>381</v>
      </c>
      <c r="N686" s="90">
        <v>1</v>
      </c>
      <c r="O686" s="27">
        <f>IFERROR(+VLOOKUP(M686,D.sign_Lista_Data[[RESPONSABLE]:[SOFTWARE 
VALOR HORA]],3,FALSE),"0")</f>
        <v>20263.424518743668</v>
      </c>
      <c r="P686" s="3">
        <f t="shared" si="24"/>
        <v>20263.424518743668</v>
      </c>
      <c r="Q686" s="11">
        <f>IFERROR(+VLOOKUP(M686,D.sign_Lista_Data[[RESPONSABLE]:[SOFTWARE 
VALOR HORA]],5,FALSE)*D.sign_Data[[#This Row],[TIEMPO (HORAS)]],0)</f>
        <v>4221.5467747382636</v>
      </c>
      <c r="R686" s="11">
        <f>IFERROR(+VLOOKUP(M686,D.sign_Lista_Data[[RESPONSABLE]:[SOFTWARE 
VALOR HORA]],8,FALSE)*D.sign_Data[[#This Row],[TIEMPO (HORAS)]],0)</f>
        <v>3410.8548871439834</v>
      </c>
      <c r="S686" s="99"/>
      <c r="T686" s="99"/>
      <c r="U686" s="3">
        <f t="shared" si="25"/>
        <v>27895.826180625918</v>
      </c>
      <c r="V686" s="100">
        <f>D.sign_Data[[#This Row],[TIEMPO (HORAS)]]*Gastos_Operativos[[#Totals],[GASTOS HORA]]</f>
        <v>27789.477072310401</v>
      </c>
      <c r="W686" s="3">
        <f>+D.sign_Data[[#This Row],[COSTO 
DIRECTO ($COP)]]+D.sign_Data[[#This Row],[PRORRATEO GASTOS ($COP)]]</f>
        <v>55685.303252936319</v>
      </c>
      <c r="X686" s="101">
        <v>0.1</v>
      </c>
      <c r="Y686" s="15">
        <f>+D.sign_Data[[#This Row],[COSTOS OPERACIONALES ($COP)]]*D.sign_Data[[#This Row],[DESFASE (%)]]</f>
        <v>5568.5303252936319</v>
      </c>
      <c r="Z686" s="101">
        <v>0.15</v>
      </c>
      <c r="AA686" s="15">
        <f>+((D.sign_Data[[#This Row],[COSTOS OPERACIONALES ($COP)]]/(100%-D.sign_Data[[#This Row],[UTILIDAD (%)]])))-D.sign_Data[[#This Row],[COSTOS OPERACIONALES ($COP)]]</f>
        <v>9826.8182211064122</v>
      </c>
      <c r="AB686" s="3">
        <f>+D.sign_Data[[#This Row],[COSTOS OPERACIONALES ($COP)]]+D.sign_Data[[#This Row],[DESFASE ($COP)]]+D.sign_Data[[#This Row],[UTILIDAD ($COP)]]</f>
        <v>71080.651799336367</v>
      </c>
      <c r="AC686" s="101">
        <v>0.05</v>
      </c>
      <c r="AD686" s="15">
        <f>+D.sign_Data[[#This Row],[VALOR NETO ($COP)]]/(100%-D.sign_Data[[#This Row],[MARGEN DE NEGOCIACIÓN (%)]])-D.sign_Data[[#This Row],[VALOR NETO ($COP)]]</f>
        <v>3741.0869368071872</v>
      </c>
      <c r="AE686" s="15">
        <f>+(D.sign_Data[[#This Row],[VALOR NETO ($COP)]]+D.sign_Data[[#This Row],[NEGOCIACIÓN ($COP)]])*1%</f>
        <v>748.2173873614355</v>
      </c>
      <c r="AF686" s="15">
        <f>+(D.sign_Data[[#This Row],[VALOR NETO ($COP)]]+D.sign_Data[[#This Row],[NEGOCIACIÓN ($COP)]])*1%</f>
        <v>748.2173873614355</v>
      </c>
      <c r="AG686" s="3">
        <f>+D.sign_Data[[#This Row],[VALOR NETO ($COP)]]+D.sign_Data[[#This Row],[NEGOCIACIÓN ($COP)]]+D.sign_Data[[#This Row],[ICA ($COP)]]+D.sign_Data[[#This Row],[4 * 1000 ($COP)]]</f>
        <v>76318.173510866429</v>
      </c>
    </row>
    <row r="687" spans="1:33" ht="60" hidden="1" customHeight="1" x14ac:dyDescent="0.25">
      <c r="A687" s="14"/>
      <c r="B687" s="87" t="s">
        <v>442</v>
      </c>
      <c r="C687" s="182" t="s">
        <v>904</v>
      </c>
      <c r="D687" s="189" t="str">
        <f>VLOOKUP(D.sign_Data[[#This Row],[CÓDIGO]],Descripciones[[CÓDIGO]:[NOMBRE DE SERVICIO]],3,FALSE)</f>
        <v>D2. Edificación en Altura</v>
      </c>
      <c r="E687" s="87" t="s">
        <v>497</v>
      </c>
      <c r="F687" s="88" t="s">
        <v>905</v>
      </c>
      <c r="G687" s="88" t="s">
        <v>906</v>
      </c>
      <c r="H687" s="87" t="s">
        <v>448</v>
      </c>
      <c r="I687" s="89">
        <v>1</v>
      </c>
      <c r="J687" s="88" t="s">
        <v>910</v>
      </c>
      <c r="K687" s="102"/>
      <c r="L687" s="88" t="s">
        <v>473</v>
      </c>
      <c r="M687" s="89" t="s">
        <v>381</v>
      </c>
      <c r="N687" s="90">
        <v>0.3</v>
      </c>
      <c r="O687" s="27">
        <f>IFERROR(+VLOOKUP(M687,D.sign_Lista_Data[[RESPONSABLE]:[SOFTWARE 
VALOR HORA]],3,FALSE),"0")</f>
        <v>20263.424518743668</v>
      </c>
      <c r="P687" s="3">
        <f t="shared" si="24"/>
        <v>6079.0273556231004</v>
      </c>
      <c r="Q687" s="11">
        <f>IFERROR(+VLOOKUP(M687,D.sign_Lista_Data[[RESPONSABLE]:[SOFTWARE 
VALOR HORA]],5,FALSE)*D.sign_Data[[#This Row],[TIEMPO (HORAS)]],0)</f>
        <v>1266.464032421479</v>
      </c>
      <c r="R687" s="11">
        <f>IFERROR(+VLOOKUP(M687,D.sign_Lista_Data[[RESPONSABLE]:[SOFTWARE 
VALOR HORA]],8,FALSE)*D.sign_Data[[#This Row],[TIEMPO (HORAS)]],0)</f>
        <v>1023.256466143195</v>
      </c>
      <c r="S687" s="99"/>
      <c r="T687" s="99"/>
      <c r="U687" s="3">
        <f t="shared" si="25"/>
        <v>8368.7478541877736</v>
      </c>
      <c r="V687" s="100">
        <f>D.sign_Data[[#This Row],[TIEMPO (HORAS)]]*Gastos_Operativos[[#Totals],[GASTOS HORA]]</f>
        <v>8336.8431216931203</v>
      </c>
      <c r="W687" s="3">
        <f>+D.sign_Data[[#This Row],[COSTO 
DIRECTO ($COP)]]+D.sign_Data[[#This Row],[PRORRATEO GASTOS ($COP)]]</f>
        <v>16705.590975880892</v>
      </c>
      <c r="X687" s="101">
        <v>0.1</v>
      </c>
      <c r="Y687" s="15">
        <f>+D.sign_Data[[#This Row],[COSTOS OPERACIONALES ($COP)]]*D.sign_Data[[#This Row],[DESFASE (%)]]</f>
        <v>1670.5590975880893</v>
      </c>
      <c r="Z687" s="101">
        <v>0.15</v>
      </c>
      <c r="AA687" s="15">
        <f>+((D.sign_Data[[#This Row],[COSTOS OPERACIONALES ($COP)]]/(100%-D.sign_Data[[#This Row],[UTILIDAD (%)]])))-D.sign_Data[[#This Row],[COSTOS OPERACIONALES ($COP)]]</f>
        <v>2948.0454663319215</v>
      </c>
      <c r="AB687" s="3">
        <f>+D.sign_Data[[#This Row],[COSTOS OPERACIONALES ($COP)]]+D.sign_Data[[#This Row],[DESFASE ($COP)]]+D.sign_Data[[#This Row],[UTILIDAD ($COP)]]</f>
        <v>21324.195539800901</v>
      </c>
      <c r="AC687" s="101">
        <v>0.05</v>
      </c>
      <c r="AD687" s="15">
        <f>+D.sign_Data[[#This Row],[VALOR NETO ($COP)]]/(100%-D.sign_Data[[#This Row],[MARGEN DE NEGOCIACIÓN (%)]])-D.sign_Data[[#This Row],[VALOR NETO ($COP)]]</f>
        <v>1122.3260810421525</v>
      </c>
      <c r="AE687" s="15">
        <f>+(D.sign_Data[[#This Row],[VALOR NETO ($COP)]]+D.sign_Data[[#This Row],[NEGOCIACIÓN ($COP)]])*1%</f>
        <v>224.46521620843055</v>
      </c>
      <c r="AF687" s="15">
        <f>+(D.sign_Data[[#This Row],[VALOR NETO ($COP)]]+D.sign_Data[[#This Row],[NEGOCIACIÓN ($COP)]])*1%</f>
        <v>224.46521620843055</v>
      </c>
      <c r="AG687" s="3">
        <f>+D.sign_Data[[#This Row],[VALOR NETO ($COP)]]+D.sign_Data[[#This Row],[NEGOCIACIÓN ($COP)]]+D.sign_Data[[#This Row],[ICA ($COP)]]+D.sign_Data[[#This Row],[4 * 1000 ($COP)]]</f>
        <v>22895.452053259916</v>
      </c>
    </row>
    <row r="688" spans="1:33" ht="60" hidden="1" customHeight="1" x14ac:dyDescent="0.25">
      <c r="A688" s="14"/>
      <c r="B688" s="87" t="s">
        <v>442</v>
      </c>
      <c r="C688" s="182" t="s">
        <v>904</v>
      </c>
      <c r="D688" s="189" t="str">
        <f>VLOOKUP(D.sign_Data[[#This Row],[CÓDIGO]],Descripciones[[CÓDIGO]:[NOMBRE DE SERVICIO]],3,FALSE)</f>
        <v>D2. Edificación en Altura</v>
      </c>
      <c r="E688" s="87" t="s">
        <v>497</v>
      </c>
      <c r="F688" s="88" t="s">
        <v>905</v>
      </c>
      <c r="G688" s="88" t="s">
        <v>906</v>
      </c>
      <c r="H688" s="87" t="s">
        <v>448</v>
      </c>
      <c r="I688" s="89">
        <v>1</v>
      </c>
      <c r="J688" s="88" t="s">
        <v>910</v>
      </c>
      <c r="K688" s="102"/>
      <c r="L688" s="88" t="s">
        <v>478</v>
      </c>
      <c r="M688" s="89" t="s">
        <v>381</v>
      </c>
      <c r="N688" s="90">
        <v>0.5</v>
      </c>
      <c r="O688" s="27">
        <f>IFERROR(+VLOOKUP(M688,D.sign_Lista_Data[[RESPONSABLE]:[SOFTWARE 
VALOR HORA]],3,FALSE),"0")</f>
        <v>20263.424518743668</v>
      </c>
      <c r="P688" s="3">
        <f t="shared" si="24"/>
        <v>10131.712259371834</v>
      </c>
      <c r="Q688" s="11">
        <f>IFERROR(+VLOOKUP(M688,D.sign_Lista_Data[[RESPONSABLE]:[SOFTWARE 
VALOR HORA]],5,FALSE)*D.sign_Data[[#This Row],[TIEMPO (HORAS)]],0)</f>
        <v>2110.7733873691318</v>
      </c>
      <c r="R688" s="11">
        <f>IFERROR(+VLOOKUP(M688,D.sign_Lista_Data[[RESPONSABLE]:[SOFTWARE 
VALOR HORA]],8,FALSE)*D.sign_Data[[#This Row],[TIEMPO (HORAS)]],0)</f>
        <v>1705.4274435719917</v>
      </c>
      <c r="S688" s="99"/>
      <c r="T688" s="99"/>
      <c r="U688" s="3">
        <f t="shared" si="25"/>
        <v>13947.913090312959</v>
      </c>
      <c r="V688" s="100">
        <f>D.sign_Data[[#This Row],[TIEMPO (HORAS)]]*Gastos_Operativos[[#Totals],[GASTOS HORA]]</f>
        <v>13894.738536155201</v>
      </c>
      <c r="W688" s="3">
        <f>+D.sign_Data[[#This Row],[COSTO 
DIRECTO ($COP)]]+D.sign_Data[[#This Row],[PRORRATEO GASTOS ($COP)]]</f>
        <v>27842.65162646816</v>
      </c>
      <c r="X688" s="101">
        <v>0.1</v>
      </c>
      <c r="Y688" s="15">
        <f>+D.sign_Data[[#This Row],[COSTOS OPERACIONALES ($COP)]]*D.sign_Data[[#This Row],[DESFASE (%)]]</f>
        <v>2784.265162646816</v>
      </c>
      <c r="Z688" s="101">
        <v>0.15</v>
      </c>
      <c r="AA688" s="15">
        <f>+((D.sign_Data[[#This Row],[COSTOS OPERACIONALES ($COP)]]/(100%-D.sign_Data[[#This Row],[UTILIDAD (%)]])))-D.sign_Data[[#This Row],[COSTOS OPERACIONALES ($COP)]]</f>
        <v>4913.4091105532061</v>
      </c>
      <c r="AB688" s="3">
        <f>+D.sign_Data[[#This Row],[COSTOS OPERACIONALES ($COP)]]+D.sign_Data[[#This Row],[DESFASE ($COP)]]+D.sign_Data[[#This Row],[UTILIDAD ($COP)]]</f>
        <v>35540.325899668183</v>
      </c>
      <c r="AC688" s="101">
        <v>0.05</v>
      </c>
      <c r="AD688" s="15">
        <f>+D.sign_Data[[#This Row],[VALOR NETO ($COP)]]/(100%-D.sign_Data[[#This Row],[MARGEN DE NEGOCIACIÓN (%)]])-D.sign_Data[[#This Row],[VALOR NETO ($COP)]]</f>
        <v>1870.5434684035936</v>
      </c>
      <c r="AE688" s="15">
        <f>+(D.sign_Data[[#This Row],[VALOR NETO ($COP)]]+D.sign_Data[[#This Row],[NEGOCIACIÓN ($COP)]])*1%</f>
        <v>374.10869368071775</v>
      </c>
      <c r="AF688" s="15">
        <f>+(D.sign_Data[[#This Row],[VALOR NETO ($COP)]]+D.sign_Data[[#This Row],[NEGOCIACIÓN ($COP)]])*1%</f>
        <v>374.10869368071775</v>
      </c>
      <c r="AG688" s="3">
        <f>+D.sign_Data[[#This Row],[VALOR NETO ($COP)]]+D.sign_Data[[#This Row],[NEGOCIACIÓN ($COP)]]+D.sign_Data[[#This Row],[ICA ($COP)]]+D.sign_Data[[#This Row],[4 * 1000 ($COP)]]</f>
        <v>38159.086755433214</v>
      </c>
    </row>
    <row r="689" spans="1:33" ht="60" hidden="1" customHeight="1" x14ac:dyDescent="0.25">
      <c r="A689" s="14"/>
      <c r="B689" s="87" t="s">
        <v>442</v>
      </c>
      <c r="C689" s="182" t="s">
        <v>904</v>
      </c>
      <c r="D689" s="189" t="str">
        <f>VLOOKUP(D.sign_Data[[#This Row],[CÓDIGO]],Descripciones[[CÓDIGO]:[NOMBRE DE SERVICIO]],3,FALSE)</f>
        <v>D2. Edificación en Altura</v>
      </c>
      <c r="E689" s="87" t="s">
        <v>497</v>
      </c>
      <c r="F689" s="88" t="s">
        <v>905</v>
      </c>
      <c r="G689" s="88" t="s">
        <v>906</v>
      </c>
      <c r="H689" s="87" t="s">
        <v>448</v>
      </c>
      <c r="I689" s="89">
        <v>1</v>
      </c>
      <c r="J689" s="88" t="s">
        <v>910</v>
      </c>
      <c r="K689" s="102"/>
      <c r="L689" s="88" t="s">
        <v>474</v>
      </c>
      <c r="M689" s="89" t="s">
        <v>381</v>
      </c>
      <c r="N689" s="90">
        <v>0.3</v>
      </c>
      <c r="O689" s="27">
        <f>IFERROR(+VLOOKUP(M689,D.sign_Lista_Data[[RESPONSABLE]:[SOFTWARE 
VALOR HORA]],3,FALSE),"0")</f>
        <v>20263.424518743668</v>
      </c>
      <c r="P689" s="3">
        <f t="shared" si="24"/>
        <v>6079.0273556231004</v>
      </c>
      <c r="Q689" s="11">
        <f>IFERROR(+VLOOKUP(M689,D.sign_Lista_Data[[RESPONSABLE]:[SOFTWARE 
VALOR HORA]],5,FALSE)*D.sign_Data[[#This Row],[TIEMPO (HORAS)]],0)</f>
        <v>1266.464032421479</v>
      </c>
      <c r="R689" s="11">
        <f>IFERROR(+VLOOKUP(M689,D.sign_Lista_Data[[RESPONSABLE]:[SOFTWARE 
VALOR HORA]],8,FALSE)*D.sign_Data[[#This Row],[TIEMPO (HORAS)]],0)</f>
        <v>1023.256466143195</v>
      </c>
      <c r="S689" s="99"/>
      <c r="T689" s="99"/>
      <c r="U689" s="3">
        <f t="shared" si="25"/>
        <v>8368.7478541877736</v>
      </c>
      <c r="V689" s="100">
        <f>D.sign_Data[[#This Row],[TIEMPO (HORAS)]]*Gastos_Operativos[[#Totals],[GASTOS HORA]]</f>
        <v>8336.8431216931203</v>
      </c>
      <c r="W689" s="3">
        <f>+D.sign_Data[[#This Row],[COSTO 
DIRECTO ($COP)]]+D.sign_Data[[#This Row],[PRORRATEO GASTOS ($COP)]]</f>
        <v>16705.590975880892</v>
      </c>
      <c r="X689" s="101">
        <v>0.1</v>
      </c>
      <c r="Y689" s="15">
        <f>+D.sign_Data[[#This Row],[COSTOS OPERACIONALES ($COP)]]*D.sign_Data[[#This Row],[DESFASE (%)]]</f>
        <v>1670.5590975880893</v>
      </c>
      <c r="Z689" s="101">
        <v>0.15</v>
      </c>
      <c r="AA689" s="15">
        <f>+((D.sign_Data[[#This Row],[COSTOS OPERACIONALES ($COP)]]/(100%-D.sign_Data[[#This Row],[UTILIDAD (%)]])))-D.sign_Data[[#This Row],[COSTOS OPERACIONALES ($COP)]]</f>
        <v>2948.0454663319215</v>
      </c>
      <c r="AB689" s="3">
        <f>+D.sign_Data[[#This Row],[COSTOS OPERACIONALES ($COP)]]+D.sign_Data[[#This Row],[DESFASE ($COP)]]+D.sign_Data[[#This Row],[UTILIDAD ($COP)]]</f>
        <v>21324.195539800901</v>
      </c>
      <c r="AC689" s="101">
        <v>0.05</v>
      </c>
      <c r="AD689" s="15">
        <f>+D.sign_Data[[#This Row],[VALOR NETO ($COP)]]/(100%-D.sign_Data[[#This Row],[MARGEN DE NEGOCIACIÓN (%)]])-D.sign_Data[[#This Row],[VALOR NETO ($COP)]]</f>
        <v>1122.3260810421525</v>
      </c>
      <c r="AE689" s="15">
        <f>+(D.sign_Data[[#This Row],[VALOR NETO ($COP)]]+D.sign_Data[[#This Row],[NEGOCIACIÓN ($COP)]])*1%</f>
        <v>224.46521620843055</v>
      </c>
      <c r="AF689" s="15">
        <f>+(D.sign_Data[[#This Row],[VALOR NETO ($COP)]]+D.sign_Data[[#This Row],[NEGOCIACIÓN ($COP)]])*1%</f>
        <v>224.46521620843055</v>
      </c>
      <c r="AG689" s="3">
        <f>+D.sign_Data[[#This Row],[VALOR NETO ($COP)]]+D.sign_Data[[#This Row],[NEGOCIACIÓN ($COP)]]+D.sign_Data[[#This Row],[ICA ($COP)]]+D.sign_Data[[#This Row],[4 * 1000 ($COP)]]</f>
        <v>22895.452053259916</v>
      </c>
    </row>
    <row r="690" spans="1:33" ht="60" hidden="1" customHeight="1" x14ac:dyDescent="0.25">
      <c r="A690" s="14"/>
      <c r="B690" s="87" t="s">
        <v>442</v>
      </c>
      <c r="C690" s="182" t="s">
        <v>904</v>
      </c>
      <c r="D690" s="189" t="str">
        <f>VLOOKUP(D.sign_Data[[#This Row],[CÓDIGO]],Descripciones[[CÓDIGO]:[NOMBRE DE SERVICIO]],3,FALSE)</f>
        <v>D2. Edificación en Altura</v>
      </c>
      <c r="E690" s="87" t="s">
        <v>497</v>
      </c>
      <c r="F690" s="88" t="s">
        <v>905</v>
      </c>
      <c r="G690" s="88" t="s">
        <v>906</v>
      </c>
      <c r="H690" s="87" t="s">
        <v>448</v>
      </c>
      <c r="I690" s="89">
        <v>1</v>
      </c>
      <c r="J690" s="88" t="s">
        <v>911</v>
      </c>
      <c r="K690" s="102"/>
      <c r="L690" s="88" t="s">
        <v>488</v>
      </c>
      <c r="M690" s="89" t="s">
        <v>381</v>
      </c>
      <c r="N690" s="90">
        <v>0.5</v>
      </c>
      <c r="O690" s="27">
        <f>IFERROR(+VLOOKUP(M690,D.sign_Lista_Data[[RESPONSABLE]:[SOFTWARE 
VALOR HORA]],3,FALSE),"0")</f>
        <v>20263.424518743668</v>
      </c>
      <c r="P690" s="3">
        <f t="shared" si="24"/>
        <v>10131.712259371834</v>
      </c>
      <c r="Q690" s="11">
        <f>IFERROR(+VLOOKUP(M690,D.sign_Lista_Data[[RESPONSABLE]:[SOFTWARE 
VALOR HORA]],5,FALSE)*D.sign_Data[[#This Row],[TIEMPO (HORAS)]],0)</f>
        <v>2110.7733873691318</v>
      </c>
      <c r="R690" s="11">
        <f>IFERROR(+VLOOKUP(M690,D.sign_Lista_Data[[RESPONSABLE]:[SOFTWARE 
VALOR HORA]],8,FALSE)*D.sign_Data[[#This Row],[TIEMPO (HORAS)]],0)</f>
        <v>1705.4274435719917</v>
      </c>
      <c r="S690" s="99"/>
      <c r="T690" s="99"/>
      <c r="U690" s="3">
        <f t="shared" si="25"/>
        <v>13947.913090312959</v>
      </c>
      <c r="V690" s="100">
        <f>D.sign_Data[[#This Row],[TIEMPO (HORAS)]]*Gastos_Operativos[[#Totals],[GASTOS HORA]]</f>
        <v>13894.738536155201</v>
      </c>
      <c r="W690" s="3">
        <f>+D.sign_Data[[#This Row],[COSTO 
DIRECTO ($COP)]]+D.sign_Data[[#This Row],[PRORRATEO GASTOS ($COP)]]</f>
        <v>27842.65162646816</v>
      </c>
      <c r="X690" s="101">
        <v>0.1</v>
      </c>
      <c r="Y690" s="15">
        <f>+D.sign_Data[[#This Row],[COSTOS OPERACIONALES ($COP)]]*D.sign_Data[[#This Row],[DESFASE (%)]]</f>
        <v>2784.265162646816</v>
      </c>
      <c r="Z690" s="101">
        <v>0.15</v>
      </c>
      <c r="AA690" s="15">
        <f>+((D.sign_Data[[#This Row],[COSTOS OPERACIONALES ($COP)]]/(100%-D.sign_Data[[#This Row],[UTILIDAD (%)]])))-D.sign_Data[[#This Row],[COSTOS OPERACIONALES ($COP)]]</f>
        <v>4913.4091105532061</v>
      </c>
      <c r="AB690" s="3">
        <f>+D.sign_Data[[#This Row],[COSTOS OPERACIONALES ($COP)]]+D.sign_Data[[#This Row],[DESFASE ($COP)]]+D.sign_Data[[#This Row],[UTILIDAD ($COP)]]</f>
        <v>35540.325899668183</v>
      </c>
      <c r="AC690" s="101">
        <v>0.05</v>
      </c>
      <c r="AD690" s="15">
        <f>+D.sign_Data[[#This Row],[VALOR NETO ($COP)]]/(100%-D.sign_Data[[#This Row],[MARGEN DE NEGOCIACIÓN (%)]])-D.sign_Data[[#This Row],[VALOR NETO ($COP)]]</f>
        <v>1870.5434684035936</v>
      </c>
      <c r="AE690" s="15">
        <f>+(D.sign_Data[[#This Row],[VALOR NETO ($COP)]]+D.sign_Data[[#This Row],[NEGOCIACIÓN ($COP)]])*1%</f>
        <v>374.10869368071775</v>
      </c>
      <c r="AF690" s="15">
        <f>+(D.sign_Data[[#This Row],[VALOR NETO ($COP)]]+D.sign_Data[[#This Row],[NEGOCIACIÓN ($COP)]])*1%</f>
        <v>374.10869368071775</v>
      </c>
      <c r="AG690" s="3">
        <f>+D.sign_Data[[#This Row],[VALOR NETO ($COP)]]+D.sign_Data[[#This Row],[NEGOCIACIÓN ($COP)]]+D.sign_Data[[#This Row],[ICA ($COP)]]+D.sign_Data[[#This Row],[4 * 1000 ($COP)]]</f>
        <v>38159.086755433214</v>
      </c>
    </row>
    <row r="691" spans="1:33" ht="60" hidden="1" customHeight="1" x14ac:dyDescent="0.25">
      <c r="A691" s="14"/>
      <c r="B691" s="87" t="s">
        <v>442</v>
      </c>
      <c r="C691" s="182" t="s">
        <v>904</v>
      </c>
      <c r="D691" s="189" t="str">
        <f>VLOOKUP(D.sign_Data[[#This Row],[CÓDIGO]],Descripciones[[CÓDIGO]:[NOMBRE DE SERVICIO]],3,FALSE)</f>
        <v>D2. Edificación en Altura</v>
      </c>
      <c r="E691" s="87" t="s">
        <v>497</v>
      </c>
      <c r="F691" s="88" t="s">
        <v>905</v>
      </c>
      <c r="G691" s="88" t="s">
        <v>906</v>
      </c>
      <c r="H691" s="87" t="s">
        <v>448</v>
      </c>
      <c r="I691" s="89">
        <v>1</v>
      </c>
      <c r="J691" s="88" t="s">
        <v>911</v>
      </c>
      <c r="K691" s="102"/>
      <c r="L691" s="91" t="s">
        <v>478</v>
      </c>
      <c r="M691" s="89" t="s">
        <v>381</v>
      </c>
      <c r="N691" s="90">
        <v>0.5</v>
      </c>
      <c r="O691" s="27">
        <f>IFERROR(+VLOOKUP(M691,D.sign_Lista_Data[[RESPONSABLE]:[SOFTWARE 
VALOR HORA]],3,FALSE),"0")</f>
        <v>20263.424518743668</v>
      </c>
      <c r="P691" s="3">
        <f t="shared" si="24"/>
        <v>10131.712259371834</v>
      </c>
      <c r="Q691" s="11">
        <f>IFERROR(+VLOOKUP(M691,D.sign_Lista_Data[[RESPONSABLE]:[SOFTWARE 
VALOR HORA]],5,FALSE)*D.sign_Data[[#This Row],[TIEMPO (HORAS)]],0)</f>
        <v>2110.7733873691318</v>
      </c>
      <c r="R691" s="11">
        <f>IFERROR(+VLOOKUP(M691,D.sign_Lista_Data[[RESPONSABLE]:[SOFTWARE 
VALOR HORA]],8,FALSE)*D.sign_Data[[#This Row],[TIEMPO (HORAS)]],0)</f>
        <v>1705.4274435719917</v>
      </c>
      <c r="S691" s="99"/>
      <c r="T691" s="99"/>
      <c r="U691" s="3">
        <f t="shared" si="25"/>
        <v>13947.913090312959</v>
      </c>
      <c r="V691" s="100">
        <f>D.sign_Data[[#This Row],[TIEMPO (HORAS)]]*Gastos_Operativos[[#Totals],[GASTOS HORA]]</f>
        <v>13894.738536155201</v>
      </c>
      <c r="W691" s="3">
        <f>+D.sign_Data[[#This Row],[COSTO 
DIRECTO ($COP)]]+D.sign_Data[[#This Row],[PRORRATEO GASTOS ($COP)]]</f>
        <v>27842.65162646816</v>
      </c>
      <c r="X691" s="101">
        <v>0.1</v>
      </c>
      <c r="Y691" s="15">
        <f>+D.sign_Data[[#This Row],[COSTOS OPERACIONALES ($COP)]]*D.sign_Data[[#This Row],[DESFASE (%)]]</f>
        <v>2784.265162646816</v>
      </c>
      <c r="Z691" s="101">
        <v>0.15</v>
      </c>
      <c r="AA691" s="15">
        <f>+((D.sign_Data[[#This Row],[COSTOS OPERACIONALES ($COP)]]/(100%-D.sign_Data[[#This Row],[UTILIDAD (%)]])))-D.sign_Data[[#This Row],[COSTOS OPERACIONALES ($COP)]]</f>
        <v>4913.4091105532061</v>
      </c>
      <c r="AB691" s="3">
        <f>+D.sign_Data[[#This Row],[COSTOS OPERACIONALES ($COP)]]+D.sign_Data[[#This Row],[DESFASE ($COP)]]+D.sign_Data[[#This Row],[UTILIDAD ($COP)]]</f>
        <v>35540.325899668183</v>
      </c>
      <c r="AC691" s="101">
        <v>0.05</v>
      </c>
      <c r="AD691" s="15">
        <f>+D.sign_Data[[#This Row],[VALOR NETO ($COP)]]/(100%-D.sign_Data[[#This Row],[MARGEN DE NEGOCIACIÓN (%)]])-D.sign_Data[[#This Row],[VALOR NETO ($COP)]]</f>
        <v>1870.5434684035936</v>
      </c>
      <c r="AE691" s="15">
        <f>+(D.sign_Data[[#This Row],[VALOR NETO ($COP)]]+D.sign_Data[[#This Row],[NEGOCIACIÓN ($COP)]])*1%</f>
        <v>374.10869368071775</v>
      </c>
      <c r="AF691" s="15">
        <f>+(D.sign_Data[[#This Row],[VALOR NETO ($COP)]]+D.sign_Data[[#This Row],[NEGOCIACIÓN ($COP)]])*1%</f>
        <v>374.10869368071775</v>
      </c>
      <c r="AG691" s="3">
        <f>+D.sign_Data[[#This Row],[VALOR NETO ($COP)]]+D.sign_Data[[#This Row],[NEGOCIACIÓN ($COP)]]+D.sign_Data[[#This Row],[ICA ($COP)]]+D.sign_Data[[#This Row],[4 * 1000 ($COP)]]</f>
        <v>38159.086755433214</v>
      </c>
    </row>
    <row r="692" spans="1:33" ht="60" hidden="1" customHeight="1" x14ac:dyDescent="0.25">
      <c r="A692" s="14"/>
      <c r="B692" s="87" t="s">
        <v>442</v>
      </c>
      <c r="C692" s="182" t="s">
        <v>904</v>
      </c>
      <c r="D692" s="189" t="str">
        <f>VLOOKUP(D.sign_Data[[#This Row],[CÓDIGO]],Descripciones[[CÓDIGO]:[NOMBRE DE SERVICIO]],3,FALSE)</f>
        <v>D2. Edificación en Altura</v>
      </c>
      <c r="E692" s="87" t="s">
        <v>497</v>
      </c>
      <c r="F692" s="88" t="s">
        <v>905</v>
      </c>
      <c r="G692" s="88" t="s">
        <v>906</v>
      </c>
      <c r="H692" s="87" t="s">
        <v>448</v>
      </c>
      <c r="I692" s="89">
        <v>1</v>
      </c>
      <c r="J692" s="88" t="s">
        <v>911</v>
      </c>
      <c r="K692" s="102"/>
      <c r="L692" s="91" t="s">
        <v>471</v>
      </c>
      <c r="M692" s="89" t="s">
        <v>381</v>
      </c>
      <c r="N692" s="90">
        <v>1</v>
      </c>
      <c r="O692" s="27">
        <f>IFERROR(+VLOOKUP(M692,D.sign_Lista_Data[[RESPONSABLE]:[SOFTWARE 
VALOR HORA]],3,FALSE),"0")</f>
        <v>20263.424518743668</v>
      </c>
      <c r="P692" s="3">
        <f t="shared" si="24"/>
        <v>20263.424518743668</v>
      </c>
      <c r="Q692" s="11">
        <f>IFERROR(+VLOOKUP(M692,D.sign_Lista_Data[[RESPONSABLE]:[SOFTWARE 
VALOR HORA]],5,FALSE)*D.sign_Data[[#This Row],[TIEMPO (HORAS)]],0)</f>
        <v>4221.5467747382636</v>
      </c>
      <c r="R692" s="11">
        <f>IFERROR(+VLOOKUP(M692,D.sign_Lista_Data[[RESPONSABLE]:[SOFTWARE 
VALOR HORA]],8,FALSE)*D.sign_Data[[#This Row],[TIEMPO (HORAS)]],0)</f>
        <v>3410.8548871439834</v>
      </c>
      <c r="S692" s="99"/>
      <c r="T692" s="99"/>
      <c r="U692" s="3">
        <f t="shared" si="25"/>
        <v>27895.826180625918</v>
      </c>
      <c r="V692" s="100">
        <f>D.sign_Data[[#This Row],[TIEMPO (HORAS)]]*Gastos_Operativos[[#Totals],[GASTOS HORA]]</f>
        <v>27789.477072310401</v>
      </c>
      <c r="W692" s="3">
        <f>+D.sign_Data[[#This Row],[COSTO 
DIRECTO ($COP)]]+D.sign_Data[[#This Row],[PRORRATEO GASTOS ($COP)]]</f>
        <v>55685.303252936319</v>
      </c>
      <c r="X692" s="101">
        <v>0.1</v>
      </c>
      <c r="Y692" s="15">
        <f>+D.sign_Data[[#This Row],[COSTOS OPERACIONALES ($COP)]]*D.sign_Data[[#This Row],[DESFASE (%)]]</f>
        <v>5568.5303252936319</v>
      </c>
      <c r="Z692" s="101">
        <v>0.15</v>
      </c>
      <c r="AA692" s="15">
        <f>+((D.sign_Data[[#This Row],[COSTOS OPERACIONALES ($COP)]]/(100%-D.sign_Data[[#This Row],[UTILIDAD (%)]])))-D.sign_Data[[#This Row],[COSTOS OPERACIONALES ($COP)]]</f>
        <v>9826.8182211064122</v>
      </c>
      <c r="AB692" s="3">
        <f>+D.sign_Data[[#This Row],[COSTOS OPERACIONALES ($COP)]]+D.sign_Data[[#This Row],[DESFASE ($COP)]]+D.sign_Data[[#This Row],[UTILIDAD ($COP)]]</f>
        <v>71080.651799336367</v>
      </c>
      <c r="AC692" s="101">
        <v>0.05</v>
      </c>
      <c r="AD692" s="15">
        <f>+D.sign_Data[[#This Row],[VALOR NETO ($COP)]]/(100%-D.sign_Data[[#This Row],[MARGEN DE NEGOCIACIÓN (%)]])-D.sign_Data[[#This Row],[VALOR NETO ($COP)]]</f>
        <v>3741.0869368071872</v>
      </c>
      <c r="AE692" s="15">
        <f>+(D.sign_Data[[#This Row],[VALOR NETO ($COP)]]+D.sign_Data[[#This Row],[NEGOCIACIÓN ($COP)]])*1%</f>
        <v>748.2173873614355</v>
      </c>
      <c r="AF692" s="15">
        <f>+(D.sign_Data[[#This Row],[VALOR NETO ($COP)]]+D.sign_Data[[#This Row],[NEGOCIACIÓN ($COP)]])*1%</f>
        <v>748.2173873614355</v>
      </c>
      <c r="AG692" s="3">
        <f>+D.sign_Data[[#This Row],[VALOR NETO ($COP)]]+D.sign_Data[[#This Row],[NEGOCIACIÓN ($COP)]]+D.sign_Data[[#This Row],[ICA ($COP)]]+D.sign_Data[[#This Row],[4 * 1000 ($COP)]]</f>
        <v>76318.173510866429</v>
      </c>
    </row>
    <row r="693" spans="1:33" ht="60" hidden="1" customHeight="1" x14ac:dyDescent="0.25">
      <c r="A693" s="14"/>
      <c r="B693" s="87" t="s">
        <v>442</v>
      </c>
      <c r="C693" s="182" t="s">
        <v>904</v>
      </c>
      <c r="D693" s="189" t="str">
        <f>VLOOKUP(D.sign_Data[[#This Row],[CÓDIGO]],Descripciones[[CÓDIGO]:[NOMBRE DE SERVICIO]],3,FALSE)</f>
        <v>D2. Edificación en Altura</v>
      </c>
      <c r="E693" s="87" t="s">
        <v>497</v>
      </c>
      <c r="F693" s="88" t="s">
        <v>905</v>
      </c>
      <c r="G693" s="88" t="s">
        <v>906</v>
      </c>
      <c r="H693" s="87" t="s">
        <v>448</v>
      </c>
      <c r="I693" s="89">
        <v>1</v>
      </c>
      <c r="J693" s="88" t="s">
        <v>911</v>
      </c>
      <c r="K693" s="102"/>
      <c r="L693" s="91" t="s">
        <v>473</v>
      </c>
      <c r="M693" s="89" t="s">
        <v>381</v>
      </c>
      <c r="N693" s="90">
        <v>0.25</v>
      </c>
      <c r="O693" s="27">
        <f>IFERROR(+VLOOKUP(M693,D.sign_Lista_Data[[RESPONSABLE]:[SOFTWARE 
VALOR HORA]],3,FALSE),"0")</f>
        <v>20263.424518743668</v>
      </c>
      <c r="P693" s="3">
        <f t="shared" si="24"/>
        <v>5065.856129685917</v>
      </c>
      <c r="Q693" s="11">
        <f>IFERROR(+VLOOKUP(M693,D.sign_Lista_Data[[RESPONSABLE]:[SOFTWARE 
VALOR HORA]],5,FALSE)*D.sign_Data[[#This Row],[TIEMPO (HORAS)]],0)</f>
        <v>1055.3866936845659</v>
      </c>
      <c r="R693" s="11">
        <f>IFERROR(+VLOOKUP(M693,D.sign_Lista_Data[[RESPONSABLE]:[SOFTWARE 
VALOR HORA]],8,FALSE)*D.sign_Data[[#This Row],[TIEMPO (HORAS)]],0)</f>
        <v>852.71372178599586</v>
      </c>
      <c r="S693" s="99"/>
      <c r="T693" s="99"/>
      <c r="U693" s="3">
        <f t="shared" si="25"/>
        <v>6973.9565451564795</v>
      </c>
      <c r="V693" s="100">
        <f>D.sign_Data[[#This Row],[TIEMPO (HORAS)]]*Gastos_Operativos[[#Totals],[GASTOS HORA]]</f>
        <v>6947.3692680776003</v>
      </c>
      <c r="W693" s="3">
        <f>+D.sign_Data[[#This Row],[COSTO 
DIRECTO ($COP)]]+D.sign_Data[[#This Row],[PRORRATEO GASTOS ($COP)]]</f>
        <v>13921.32581323408</v>
      </c>
      <c r="X693" s="101">
        <v>0.1</v>
      </c>
      <c r="Y693" s="15">
        <f>+D.sign_Data[[#This Row],[COSTOS OPERACIONALES ($COP)]]*D.sign_Data[[#This Row],[DESFASE (%)]]</f>
        <v>1392.132581323408</v>
      </c>
      <c r="Z693" s="101">
        <v>0.15</v>
      </c>
      <c r="AA693" s="15">
        <f>+((D.sign_Data[[#This Row],[COSTOS OPERACIONALES ($COP)]]/(100%-D.sign_Data[[#This Row],[UTILIDAD (%)]])))-D.sign_Data[[#This Row],[COSTOS OPERACIONALES ($COP)]]</f>
        <v>2456.7045552766031</v>
      </c>
      <c r="AB693" s="3">
        <f>+D.sign_Data[[#This Row],[COSTOS OPERACIONALES ($COP)]]+D.sign_Data[[#This Row],[DESFASE ($COP)]]+D.sign_Data[[#This Row],[UTILIDAD ($COP)]]</f>
        <v>17770.162949834092</v>
      </c>
      <c r="AC693" s="101">
        <v>0.05</v>
      </c>
      <c r="AD693" s="15">
        <f>+D.sign_Data[[#This Row],[VALOR NETO ($COP)]]/(100%-D.sign_Data[[#This Row],[MARGEN DE NEGOCIACIÓN (%)]])-D.sign_Data[[#This Row],[VALOR NETO ($COP)]]</f>
        <v>935.27173420179679</v>
      </c>
      <c r="AE693" s="15">
        <f>+(D.sign_Data[[#This Row],[VALOR NETO ($COP)]]+D.sign_Data[[#This Row],[NEGOCIACIÓN ($COP)]])*1%</f>
        <v>187.05434684035887</v>
      </c>
      <c r="AF693" s="15">
        <f>+(D.sign_Data[[#This Row],[VALOR NETO ($COP)]]+D.sign_Data[[#This Row],[NEGOCIACIÓN ($COP)]])*1%</f>
        <v>187.05434684035887</v>
      </c>
      <c r="AG693" s="3">
        <f>+D.sign_Data[[#This Row],[VALOR NETO ($COP)]]+D.sign_Data[[#This Row],[NEGOCIACIÓN ($COP)]]+D.sign_Data[[#This Row],[ICA ($COP)]]+D.sign_Data[[#This Row],[4 * 1000 ($COP)]]</f>
        <v>19079.543377716607</v>
      </c>
    </row>
    <row r="694" spans="1:33" ht="60" hidden="1" customHeight="1" x14ac:dyDescent="0.25">
      <c r="A694" s="14"/>
      <c r="B694" s="87" t="s">
        <v>442</v>
      </c>
      <c r="C694" s="182" t="s">
        <v>904</v>
      </c>
      <c r="D694" s="189" t="str">
        <f>VLOOKUP(D.sign_Data[[#This Row],[CÓDIGO]],Descripciones[[CÓDIGO]:[NOMBRE DE SERVICIO]],3,FALSE)</f>
        <v>D2. Edificación en Altura</v>
      </c>
      <c r="E694" s="87" t="s">
        <v>497</v>
      </c>
      <c r="F694" s="88" t="s">
        <v>905</v>
      </c>
      <c r="G694" s="88" t="s">
        <v>906</v>
      </c>
      <c r="H694" s="87" t="s">
        <v>448</v>
      </c>
      <c r="I694" s="89">
        <v>1</v>
      </c>
      <c r="J694" s="88" t="s">
        <v>911</v>
      </c>
      <c r="K694" s="102"/>
      <c r="L694" s="88" t="s">
        <v>474</v>
      </c>
      <c r="M694" s="89" t="s">
        <v>381</v>
      </c>
      <c r="N694" s="90">
        <v>0.1</v>
      </c>
      <c r="O694" s="27">
        <f>IFERROR(+VLOOKUP(M694,D.sign_Lista_Data[[RESPONSABLE]:[SOFTWARE 
VALOR HORA]],3,FALSE),"0")</f>
        <v>20263.424518743668</v>
      </c>
      <c r="P694" s="3">
        <f t="shared" si="24"/>
        <v>2026.3424518743668</v>
      </c>
      <c r="Q694" s="11">
        <f>IFERROR(+VLOOKUP(M694,D.sign_Lista_Data[[RESPONSABLE]:[SOFTWARE 
VALOR HORA]],5,FALSE)*D.sign_Data[[#This Row],[TIEMPO (HORAS)]],0)</f>
        <v>422.15467747382638</v>
      </c>
      <c r="R694" s="11">
        <f>IFERROR(+VLOOKUP(M694,D.sign_Lista_Data[[RESPONSABLE]:[SOFTWARE 
VALOR HORA]],8,FALSE)*D.sign_Data[[#This Row],[TIEMPO (HORAS)]],0)</f>
        <v>341.08548871439837</v>
      </c>
      <c r="S694" s="99"/>
      <c r="T694" s="99"/>
      <c r="U694" s="3">
        <f t="shared" si="25"/>
        <v>2789.5826180625913</v>
      </c>
      <c r="V694" s="100">
        <f>D.sign_Data[[#This Row],[TIEMPO (HORAS)]]*Gastos_Operativos[[#Totals],[GASTOS HORA]]</f>
        <v>2778.9477072310401</v>
      </c>
      <c r="W694" s="3">
        <f>+D.sign_Data[[#This Row],[COSTO 
DIRECTO ($COP)]]+D.sign_Data[[#This Row],[PRORRATEO GASTOS ($COP)]]</f>
        <v>5568.5303252936319</v>
      </c>
      <c r="X694" s="101">
        <v>0.1</v>
      </c>
      <c r="Y694" s="15">
        <f>+D.sign_Data[[#This Row],[COSTOS OPERACIONALES ($COP)]]*D.sign_Data[[#This Row],[DESFASE (%)]]</f>
        <v>556.85303252936319</v>
      </c>
      <c r="Z694" s="101">
        <v>0.15</v>
      </c>
      <c r="AA694" s="15">
        <f>+((D.sign_Data[[#This Row],[COSTOS OPERACIONALES ($COP)]]/(100%-D.sign_Data[[#This Row],[UTILIDAD (%)]])))-D.sign_Data[[#This Row],[COSTOS OPERACIONALES ($COP)]]</f>
        <v>982.68182211064141</v>
      </c>
      <c r="AB694" s="3">
        <f>+D.sign_Data[[#This Row],[COSTOS OPERACIONALES ($COP)]]+D.sign_Data[[#This Row],[DESFASE ($COP)]]+D.sign_Data[[#This Row],[UTILIDAD ($COP)]]</f>
        <v>7108.0651799336365</v>
      </c>
      <c r="AC694" s="101">
        <v>0.05</v>
      </c>
      <c r="AD694" s="15">
        <f>+D.sign_Data[[#This Row],[VALOR NETO ($COP)]]/(100%-D.sign_Data[[#This Row],[MARGEN DE NEGOCIACIÓN (%)]])-D.sign_Data[[#This Row],[VALOR NETO ($COP)]]</f>
        <v>374.10869368071781</v>
      </c>
      <c r="AE694" s="15">
        <f>+(D.sign_Data[[#This Row],[VALOR NETO ($COP)]]+D.sign_Data[[#This Row],[NEGOCIACIÓN ($COP)]])*1%</f>
        <v>74.821738736143544</v>
      </c>
      <c r="AF694" s="15">
        <f>+(D.sign_Data[[#This Row],[VALOR NETO ($COP)]]+D.sign_Data[[#This Row],[NEGOCIACIÓN ($COP)]])*1%</f>
        <v>74.821738736143544</v>
      </c>
      <c r="AG694" s="3">
        <f>+D.sign_Data[[#This Row],[VALOR NETO ($COP)]]+D.sign_Data[[#This Row],[NEGOCIACIÓN ($COP)]]+D.sign_Data[[#This Row],[ICA ($COP)]]+D.sign_Data[[#This Row],[4 * 1000 ($COP)]]</f>
        <v>7631.8173510866418</v>
      </c>
    </row>
    <row r="695" spans="1:33" ht="60" hidden="1" customHeight="1" x14ac:dyDescent="0.25">
      <c r="A695" s="14"/>
      <c r="B695" s="87" t="s">
        <v>442</v>
      </c>
      <c r="C695" s="182" t="s">
        <v>904</v>
      </c>
      <c r="D695" s="189" t="str">
        <f>VLOOKUP(D.sign_Data[[#This Row],[CÓDIGO]],Descripciones[[CÓDIGO]:[NOMBRE DE SERVICIO]],3,FALSE)</f>
        <v>D2. Edificación en Altura</v>
      </c>
      <c r="E695" s="87" t="s">
        <v>497</v>
      </c>
      <c r="F695" s="88" t="s">
        <v>905</v>
      </c>
      <c r="G695" s="88" t="s">
        <v>906</v>
      </c>
      <c r="H695" s="87" t="s">
        <v>448</v>
      </c>
      <c r="I695" s="89">
        <v>1</v>
      </c>
      <c r="J695" s="88" t="s">
        <v>892</v>
      </c>
      <c r="K695" s="102"/>
      <c r="L695" s="88" t="s">
        <v>490</v>
      </c>
      <c r="M695" s="89" t="s">
        <v>381</v>
      </c>
      <c r="N695" s="90">
        <v>0.5</v>
      </c>
      <c r="O695" s="27">
        <f>IFERROR(+VLOOKUP(M695,D.sign_Lista_Data[[RESPONSABLE]:[SOFTWARE 
VALOR HORA]],3,FALSE),"0")</f>
        <v>20263.424518743668</v>
      </c>
      <c r="P695" s="3">
        <f t="shared" si="24"/>
        <v>10131.712259371834</v>
      </c>
      <c r="Q695" s="11">
        <f>IFERROR(+VLOOKUP(M695,D.sign_Lista_Data[[RESPONSABLE]:[SOFTWARE 
VALOR HORA]],5,FALSE)*D.sign_Data[[#This Row],[TIEMPO (HORAS)]],0)</f>
        <v>2110.7733873691318</v>
      </c>
      <c r="R695" s="11">
        <f>IFERROR(+VLOOKUP(M695,D.sign_Lista_Data[[RESPONSABLE]:[SOFTWARE 
VALOR HORA]],8,FALSE)*D.sign_Data[[#This Row],[TIEMPO (HORAS)]],0)</f>
        <v>1705.4274435719917</v>
      </c>
      <c r="S695" s="99"/>
      <c r="T695" s="99"/>
      <c r="U695" s="3">
        <f t="shared" si="25"/>
        <v>13947.913090312959</v>
      </c>
      <c r="V695" s="100">
        <f>D.sign_Data[[#This Row],[TIEMPO (HORAS)]]*Gastos_Operativos[[#Totals],[GASTOS HORA]]</f>
        <v>13894.738536155201</v>
      </c>
      <c r="W695" s="3">
        <f>+D.sign_Data[[#This Row],[COSTO 
DIRECTO ($COP)]]+D.sign_Data[[#This Row],[PRORRATEO GASTOS ($COP)]]</f>
        <v>27842.65162646816</v>
      </c>
      <c r="X695" s="101">
        <v>0.1</v>
      </c>
      <c r="Y695" s="15">
        <f>+D.sign_Data[[#This Row],[COSTOS OPERACIONALES ($COP)]]*D.sign_Data[[#This Row],[DESFASE (%)]]</f>
        <v>2784.265162646816</v>
      </c>
      <c r="Z695" s="101">
        <v>0.15</v>
      </c>
      <c r="AA695" s="15">
        <f>+((D.sign_Data[[#This Row],[COSTOS OPERACIONALES ($COP)]]/(100%-D.sign_Data[[#This Row],[UTILIDAD (%)]])))-D.sign_Data[[#This Row],[COSTOS OPERACIONALES ($COP)]]</f>
        <v>4913.4091105532061</v>
      </c>
      <c r="AB695" s="3">
        <f>+D.sign_Data[[#This Row],[COSTOS OPERACIONALES ($COP)]]+D.sign_Data[[#This Row],[DESFASE ($COP)]]+D.sign_Data[[#This Row],[UTILIDAD ($COP)]]</f>
        <v>35540.325899668183</v>
      </c>
      <c r="AC695" s="101">
        <v>0.05</v>
      </c>
      <c r="AD695" s="15">
        <f>+D.sign_Data[[#This Row],[VALOR NETO ($COP)]]/(100%-D.sign_Data[[#This Row],[MARGEN DE NEGOCIACIÓN (%)]])-D.sign_Data[[#This Row],[VALOR NETO ($COP)]]</f>
        <v>1870.5434684035936</v>
      </c>
      <c r="AE695" s="15">
        <f>+(D.sign_Data[[#This Row],[VALOR NETO ($COP)]]+D.sign_Data[[#This Row],[NEGOCIACIÓN ($COP)]])*1%</f>
        <v>374.10869368071775</v>
      </c>
      <c r="AF695" s="15">
        <f>+(D.sign_Data[[#This Row],[VALOR NETO ($COP)]]+D.sign_Data[[#This Row],[NEGOCIACIÓN ($COP)]])*1%</f>
        <v>374.10869368071775</v>
      </c>
      <c r="AG695" s="3">
        <f>+D.sign_Data[[#This Row],[VALOR NETO ($COP)]]+D.sign_Data[[#This Row],[NEGOCIACIÓN ($COP)]]+D.sign_Data[[#This Row],[ICA ($COP)]]+D.sign_Data[[#This Row],[4 * 1000 ($COP)]]</f>
        <v>38159.086755433214</v>
      </c>
    </row>
    <row r="696" spans="1:33" ht="60" hidden="1" customHeight="1" x14ac:dyDescent="0.25">
      <c r="A696" s="14"/>
      <c r="B696" s="87" t="s">
        <v>442</v>
      </c>
      <c r="C696" s="182" t="s">
        <v>904</v>
      </c>
      <c r="D696" s="189" t="str">
        <f>VLOOKUP(D.sign_Data[[#This Row],[CÓDIGO]],Descripciones[[CÓDIGO]:[NOMBRE DE SERVICIO]],3,FALSE)</f>
        <v>D2. Edificación en Altura</v>
      </c>
      <c r="E696" s="87" t="s">
        <v>497</v>
      </c>
      <c r="F696" s="88" t="s">
        <v>905</v>
      </c>
      <c r="G696" s="88" t="s">
        <v>906</v>
      </c>
      <c r="H696" s="87" t="s">
        <v>448</v>
      </c>
      <c r="I696" s="89">
        <v>1</v>
      </c>
      <c r="J696" s="88" t="s">
        <v>912</v>
      </c>
      <c r="K696" s="102"/>
      <c r="L696" s="88" t="s">
        <v>492</v>
      </c>
      <c r="M696" s="89" t="s">
        <v>381</v>
      </c>
      <c r="N696" s="90">
        <v>0.6</v>
      </c>
      <c r="O696" s="27">
        <f>IFERROR(+VLOOKUP(M696,D.sign_Lista_Data[[RESPONSABLE]:[SOFTWARE 
VALOR HORA]],3,FALSE),"0")</f>
        <v>20263.424518743668</v>
      </c>
      <c r="P696" s="3">
        <f t="shared" si="24"/>
        <v>12158.054711246201</v>
      </c>
      <c r="Q696" s="11">
        <f>IFERROR(+VLOOKUP(M696,D.sign_Lista_Data[[RESPONSABLE]:[SOFTWARE 
VALOR HORA]],5,FALSE)*D.sign_Data[[#This Row],[TIEMPO (HORAS)]],0)</f>
        <v>2532.9280648429581</v>
      </c>
      <c r="R696" s="11">
        <f>IFERROR(+VLOOKUP(M696,D.sign_Lista_Data[[RESPONSABLE]:[SOFTWARE 
VALOR HORA]],8,FALSE)*D.sign_Data[[#This Row],[TIEMPO (HORAS)]],0)</f>
        <v>2046.51293228639</v>
      </c>
      <c r="S696" s="99"/>
      <c r="T696" s="99"/>
      <c r="U696" s="3">
        <f t="shared" si="25"/>
        <v>16737.495708375547</v>
      </c>
      <c r="V696" s="100">
        <f>D.sign_Data[[#This Row],[TIEMPO (HORAS)]]*Gastos_Operativos[[#Totals],[GASTOS HORA]]</f>
        <v>16673.686243386241</v>
      </c>
      <c r="W696" s="3">
        <f>+D.sign_Data[[#This Row],[COSTO 
DIRECTO ($COP)]]+D.sign_Data[[#This Row],[PRORRATEO GASTOS ($COP)]]</f>
        <v>33411.181951761784</v>
      </c>
      <c r="X696" s="101">
        <v>0.1</v>
      </c>
      <c r="Y696" s="15">
        <f>+D.sign_Data[[#This Row],[COSTOS OPERACIONALES ($COP)]]*D.sign_Data[[#This Row],[DESFASE (%)]]</f>
        <v>3341.1181951761787</v>
      </c>
      <c r="Z696" s="101">
        <v>0.15</v>
      </c>
      <c r="AA696" s="15">
        <f>+((D.sign_Data[[#This Row],[COSTOS OPERACIONALES ($COP)]]/(100%-D.sign_Data[[#This Row],[UTILIDAD (%)]])))-D.sign_Data[[#This Row],[COSTOS OPERACIONALES ($COP)]]</f>
        <v>5896.090932663843</v>
      </c>
      <c r="AB696" s="3">
        <f>+D.sign_Data[[#This Row],[COSTOS OPERACIONALES ($COP)]]+D.sign_Data[[#This Row],[DESFASE ($COP)]]+D.sign_Data[[#This Row],[UTILIDAD ($COP)]]</f>
        <v>42648.391079601803</v>
      </c>
      <c r="AC696" s="101">
        <v>0.05</v>
      </c>
      <c r="AD696" s="15">
        <f>+D.sign_Data[[#This Row],[VALOR NETO ($COP)]]/(100%-D.sign_Data[[#This Row],[MARGEN DE NEGOCIACIÓN (%)]])-D.sign_Data[[#This Row],[VALOR NETO ($COP)]]</f>
        <v>2244.652162084305</v>
      </c>
      <c r="AE696" s="15">
        <f>+(D.sign_Data[[#This Row],[VALOR NETO ($COP)]]+D.sign_Data[[#This Row],[NEGOCIACIÓN ($COP)]])*1%</f>
        <v>448.93043241686109</v>
      </c>
      <c r="AF696" s="15">
        <f>+(D.sign_Data[[#This Row],[VALOR NETO ($COP)]]+D.sign_Data[[#This Row],[NEGOCIACIÓN ($COP)]])*1%</f>
        <v>448.93043241686109</v>
      </c>
      <c r="AG696" s="3">
        <f>+D.sign_Data[[#This Row],[VALOR NETO ($COP)]]+D.sign_Data[[#This Row],[NEGOCIACIÓN ($COP)]]+D.sign_Data[[#This Row],[ICA ($COP)]]+D.sign_Data[[#This Row],[4 * 1000 ($COP)]]</f>
        <v>45790.904106519833</v>
      </c>
    </row>
    <row r="697" spans="1:33" ht="60" hidden="1" customHeight="1" x14ac:dyDescent="0.25">
      <c r="A697" s="14"/>
      <c r="B697" s="87" t="s">
        <v>442</v>
      </c>
      <c r="C697" s="182" t="s">
        <v>904</v>
      </c>
      <c r="D697" s="189" t="str">
        <f>VLOOKUP(D.sign_Data[[#This Row],[CÓDIGO]],Descripciones[[CÓDIGO]:[NOMBRE DE SERVICIO]],3,FALSE)</f>
        <v>D2. Edificación en Altura</v>
      </c>
      <c r="E697" s="87" t="s">
        <v>497</v>
      </c>
      <c r="F697" s="88" t="s">
        <v>905</v>
      </c>
      <c r="G697" s="88" t="s">
        <v>906</v>
      </c>
      <c r="H697" s="87" t="s">
        <v>448</v>
      </c>
      <c r="I697" s="89">
        <v>1</v>
      </c>
      <c r="J697" s="88" t="s">
        <v>912</v>
      </c>
      <c r="K697" s="102"/>
      <c r="L697" s="91" t="s">
        <v>483</v>
      </c>
      <c r="M697" s="89" t="s">
        <v>381</v>
      </c>
      <c r="N697" s="90">
        <v>0.1</v>
      </c>
      <c r="O697" s="27">
        <f>IFERROR(+VLOOKUP(M697,D.sign_Lista_Data[[RESPONSABLE]:[SOFTWARE 
VALOR HORA]],3,FALSE),"0")</f>
        <v>20263.424518743668</v>
      </c>
      <c r="P697" s="3">
        <f t="shared" si="24"/>
        <v>2026.3424518743668</v>
      </c>
      <c r="Q697" s="11">
        <f>IFERROR(+VLOOKUP(M697,D.sign_Lista_Data[[RESPONSABLE]:[SOFTWARE 
VALOR HORA]],5,FALSE)*D.sign_Data[[#This Row],[TIEMPO (HORAS)]],0)</f>
        <v>422.15467747382638</v>
      </c>
      <c r="R697" s="11">
        <f>IFERROR(+VLOOKUP(M697,D.sign_Lista_Data[[RESPONSABLE]:[SOFTWARE 
VALOR HORA]],8,FALSE)*D.sign_Data[[#This Row],[TIEMPO (HORAS)]],0)</f>
        <v>341.08548871439837</v>
      </c>
      <c r="S697" s="99"/>
      <c r="T697" s="99"/>
      <c r="U697" s="3">
        <f t="shared" si="25"/>
        <v>2789.5826180625913</v>
      </c>
      <c r="V697" s="100">
        <f>D.sign_Data[[#This Row],[TIEMPO (HORAS)]]*Gastos_Operativos[[#Totals],[GASTOS HORA]]</f>
        <v>2778.9477072310401</v>
      </c>
      <c r="W697" s="3">
        <f>+D.sign_Data[[#This Row],[COSTO 
DIRECTO ($COP)]]+D.sign_Data[[#This Row],[PRORRATEO GASTOS ($COP)]]</f>
        <v>5568.5303252936319</v>
      </c>
      <c r="X697" s="101">
        <v>0.1</v>
      </c>
      <c r="Y697" s="15">
        <f>+D.sign_Data[[#This Row],[COSTOS OPERACIONALES ($COP)]]*D.sign_Data[[#This Row],[DESFASE (%)]]</f>
        <v>556.85303252936319</v>
      </c>
      <c r="Z697" s="101">
        <v>0.15</v>
      </c>
      <c r="AA697" s="15">
        <f>+((D.sign_Data[[#This Row],[COSTOS OPERACIONALES ($COP)]]/(100%-D.sign_Data[[#This Row],[UTILIDAD (%)]])))-D.sign_Data[[#This Row],[COSTOS OPERACIONALES ($COP)]]</f>
        <v>982.68182211064141</v>
      </c>
      <c r="AB697" s="3">
        <f>+D.sign_Data[[#This Row],[COSTOS OPERACIONALES ($COP)]]+D.sign_Data[[#This Row],[DESFASE ($COP)]]+D.sign_Data[[#This Row],[UTILIDAD ($COP)]]</f>
        <v>7108.0651799336365</v>
      </c>
      <c r="AC697" s="101">
        <v>0.05</v>
      </c>
      <c r="AD697" s="15">
        <f>+D.sign_Data[[#This Row],[VALOR NETO ($COP)]]/(100%-D.sign_Data[[#This Row],[MARGEN DE NEGOCIACIÓN (%)]])-D.sign_Data[[#This Row],[VALOR NETO ($COP)]]</f>
        <v>374.10869368071781</v>
      </c>
      <c r="AE697" s="15">
        <f>+(D.sign_Data[[#This Row],[VALOR NETO ($COP)]]+D.sign_Data[[#This Row],[NEGOCIACIÓN ($COP)]])*1%</f>
        <v>74.821738736143544</v>
      </c>
      <c r="AF697" s="15">
        <f>+(D.sign_Data[[#This Row],[VALOR NETO ($COP)]]+D.sign_Data[[#This Row],[NEGOCIACIÓN ($COP)]])*1%</f>
        <v>74.821738736143544</v>
      </c>
      <c r="AG697" s="3">
        <f>+D.sign_Data[[#This Row],[VALOR NETO ($COP)]]+D.sign_Data[[#This Row],[NEGOCIACIÓN ($COP)]]+D.sign_Data[[#This Row],[ICA ($COP)]]+D.sign_Data[[#This Row],[4 * 1000 ($COP)]]</f>
        <v>7631.8173510866418</v>
      </c>
    </row>
    <row r="698" spans="1:33" ht="60" hidden="1" customHeight="1" x14ac:dyDescent="0.25">
      <c r="A698" s="14"/>
      <c r="B698" s="87" t="s">
        <v>442</v>
      </c>
      <c r="C698" s="182" t="s">
        <v>913</v>
      </c>
      <c r="D698" s="189" t="str">
        <f>VLOOKUP(D.sign_Data[[#This Row],[CÓDIGO]],Descripciones[[CÓDIGO]:[NOMBRE DE SERVICIO]],3,FALSE)</f>
        <v>D2. Edificación en Altura</v>
      </c>
      <c r="E698" s="87" t="s">
        <v>497</v>
      </c>
      <c r="F698" s="88" t="s">
        <v>914</v>
      </c>
      <c r="G698" s="88" t="s">
        <v>915</v>
      </c>
      <c r="H698" s="87" t="s">
        <v>866</v>
      </c>
      <c r="I698" s="89">
        <v>1</v>
      </c>
      <c r="J698" s="88" t="s">
        <v>522</v>
      </c>
      <c r="K698" s="102"/>
      <c r="L698" s="88" t="s">
        <v>524</v>
      </c>
      <c r="M698" s="89" t="s">
        <v>381</v>
      </c>
      <c r="N698" s="90">
        <v>1</v>
      </c>
      <c r="O698" s="27">
        <f>IFERROR(+VLOOKUP(M698,D.sign_Lista_Data[[RESPONSABLE]:[SOFTWARE 
VALOR HORA]],3,FALSE),"0")</f>
        <v>20263.424518743668</v>
      </c>
      <c r="P698" s="3">
        <f t="shared" si="24"/>
        <v>20263.424518743668</v>
      </c>
      <c r="Q698" s="11">
        <f>IFERROR(+VLOOKUP(M698,D.sign_Lista_Data[[RESPONSABLE]:[SOFTWARE 
VALOR HORA]],5,FALSE)*D.sign_Data[[#This Row],[TIEMPO (HORAS)]],0)</f>
        <v>4221.5467747382636</v>
      </c>
      <c r="R698" s="11">
        <f>IFERROR(+VLOOKUP(M698,D.sign_Lista_Data[[RESPONSABLE]:[SOFTWARE 
VALOR HORA]],8,FALSE)*D.sign_Data[[#This Row],[TIEMPO (HORAS)]],0)</f>
        <v>3410.8548871439834</v>
      </c>
      <c r="S698" s="99"/>
      <c r="T698" s="99"/>
      <c r="U698" s="3">
        <f t="shared" si="25"/>
        <v>27895.826180625918</v>
      </c>
      <c r="V698" s="100">
        <f>D.sign_Data[[#This Row],[TIEMPO (HORAS)]]*Gastos_Operativos[[#Totals],[GASTOS HORA]]</f>
        <v>27789.477072310401</v>
      </c>
      <c r="W698" s="3">
        <f>+D.sign_Data[[#This Row],[COSTO 
DIRECTO ($COP)]]+D.sign_Data[[#This Row],[PRORRATEO GASTOS ($COP)]]</f>
        <v>55685.303252936319</v>
      </c>
      <c r="X698" s="101">
        <v>0.1</v>
      </c>
      <c r="Y698" s="15">
        <f>+D.sign_Data[[#This Row],[COSTOS OPERACIONALES ($COP)]]*D.sign_Data[[#This Row],[DESFASE (%)]]</f>
        <v>5568.5303252936319</v>
      </c>
      <c r="Z698" s="101">
        <v>0.2</v>
      </c>
      <c r="AA698" s="15">
        <f>+((D.sign_Data[[#This Row],[COSTOS OPERACIONALES ($COP)]]/(100%-D.sign_Data[[#This Row],[UTILIDAD (%)]])))-D.sign_Data[[#This Row],[COSTOS OPERACIONALES ($COP)]]</f>
        <v>13921.325813234078</v>
      </c>
      <c r="AB698" s="3">
        <f>+D.sign_Data[[#This Row],[COSTOS OPERACIONALES ($COP)]]+D.sign_Data[[#This Row],[DESFASE ($COP)]]+D.sign_Data[[#This Row],[UTILIDAD ($COP)]]</f>
        <v>75175.159391464025</v>
      </c>
      <c r="AC698" s="101">
        <v>0.05</v>
      </c>
      <c r="AD698" s="15">
        <f>+D.sign_Data[[#This Row],[VALOR NETO ($COP)]]/(100%-D.sign_Data[[#This Row],[MARGEN DE NEGOCIACIÓN (%)]])-D.sign_Data[[#This Row],[VALOR NETO ($COP)]]</f>
        <v>3956.5873363928404</v>
      </c>
      <c r="AE698" s="15">
        <f>+(D.sign_Data[[#This Row],[VALOR NETO ($COP)]]+D.sign_Data[[#This Row],[NEGOCIACIÓN ($COP)]])*1%</f>
        <v>791.31746727856864</v>
      </c>
      <c r="AF698" s="15">
        <f>+(D.sign_Data[[#This Row],[VALOR NETO ($COP)]]+D.sign_Data[[#This Row],[NEGOCIACIÓN ($COP)]])*1%</f>
        <v>791.31746727856864</v>
      </c>
      <c r="AG698" s="3">
        <f>+D.sign_Data[[#This Row],[VALOR NETO ($COP)]]+D.sign_Data[[#This Row],[NEGOCIACIÓN ($COP)]]+D.sign_Data[[#This Row],[ICA ($COP)]]+D.sign_Data[[#This Row],[4 * 1000 ($COP)]]</f>
        <v>80714.381662414002</v>
      </c>
    </row>
    <row r="699" spans="1:33" ht="60" hidden="1" customHeight="1" x14ac:dyDescent="0.25">
      <c r="A699" s="14"/>
      <c r="B699" s="87" t="s">
        <v>442</v>
      </c>
      <c r="C699" s="182" t="s">
        <v>913</v>
      </c>
      <c r="D699" s="189" t="str">
        <f>VLOOKUP(D.sign_Data[[#This Row],[CÓDIGO]],Descripciones[[CÓDIGO]:[NOMBRE DE SERVICIO]],3,FALSE)</f>
        <v>D2. Edificación en Altura</v>
      </c>
      <c r="E699" s="87" t="s">
        <v>497</v>
      </c>
      <c r="F699" s="88" t="s">
        <v>914</v>
      </c>
      <c r="G699" s="88" t="s">
        <v>915</v>
      </c>
      <c r="H699" s="87" t="s">
        <v>866</v>
      </c>
      <c r="I699" s="89">
        <v>1</v>
      </c>
      <c r="J699" s="88" t="s">
        <v>522</v>
      </c>
      <c r="K699" s="102"/>
      <c r="L699" s="88" t="s">
        <v>525</v>
      </c>
      <c r="M699" s="89" t="s">
        <v>381</v>
      </c>
      <c r="N699" s="90">
        <v>2</v>
      </c>
      <c r="O699" s="27">
        <f>IFERROR(+VLOOKUP(M699,D.sign_Lista_Data[[RESPONSABLE]:[SOFTWARE 
VALOR HORA]],3,FALSE),"0")</f>
        <v>20263.424518743668</v>
      </c>
      <c r="P699" s="3">
        <f t="shared" si="24"/>
        <v>40526.849037487336</v>
      </c>
      <c r="Q699" s="11">
        <f>IFERROR(+VLOOKUP(M699,D.sign_Lista_Data[[RESPONSABLE]:[SOFTWARE 
VALOR HORA]],5,FALSE)*D.sign_Data[[#This Row],[TIEMPO (HORAS)]],0)</f>
        <v>8443.0935494765272</v>
      </c>
      <c r="R699" s="11">
        <f>IFERROR(+VLOOKUP(M699,D.sign_Lista_Data[[RESPONSABLE]:[SOFTWARE 
VALOR HORA]],8,FALSE)*D.sign_Data[[#This Row],[TIEMPO (HORAS)]],0)</f>
        <v>6821.7097742879669</v>
      </c>
      <c r="S699" s="99"/>
      <c r="T699" s="99"/>
      <c r="U699" s="3">
        <f t="shared" si="25"/>
        <v>55791.652361251836</v>
      </c>
      <c r="V699" s="100">
        <f>D.sign_Data[[#This Row],[TIEMPO (HORAS)]]*Gastos_Operativos[[#Totals],[GASTOS HORA]]</f>
        <v>55578.954144620802</v>
      </c>
      <c r="W699" s="3">
        <f>+D.sign_Data[[#This Row],[COSTO 
DIRECTO ($COP)]]+D.sign_Data[[#This Row],[PRORRATEO GASTOS ($COP)]]</f>
        <v>111370.60650587264</v>
      </c>
      <c r="X699" s="101">
        <v>0.1</v>
      </c>
      <c r="Y699" s="15">
        <f>+D.sign_Data[[#This Row],[COSTOS OPERACIONALES ($COP)]]*D.sign_Data[[#This Row],[DESFASE (%)]]</f>
        <v>11137.060650587264</v>
      </c>
      <c r="Z699" s="101">
        <v>0.2</v>
      </c>
      <c r="AA699" s="15">
        <f>+((D.sign_Data[[#This Row],[COSTOS OPERACIONALES ($COP)]]/(100%-D.sign_Data[[#This Row],[UTILIDAD (%)]])))-D.sign_Data[[#This Row],[COSTOS OPERACIONALES ($COP)]]</f>
        <v>27842.651626468156</v>
      </c>
      <c r="AB699" s="3">
        <f>+D.sign_Data[[#This Row],[COSTOS OPERACIONALES ($COP)]]+D.sign_Data[[#This Row],[DESFASE ($COP)]]+D.sign_Data[[#This Row],[UTILIDAD ($COP)]]</f>
        <v>150350.31878292805</v>
      </c>
      <c r="AC699" s="101">
        <v>0.05</v>
      </c>
      <c r="AD699" s="15">
        <f>+D.sign_Data[[#This Row],[VALOR NETO ($COP)]]/(100%-D.sign_Data[[#This Row],[MARGEN DE NEGOCIACIÓN (%)]])-D.sign_Data[[#This Row],[VALOR NETO ($COP)]]</f>
        <v>7913.1746727856807</v>
      </c>
      <c r="AE699" s="15">
        <f>+(D.sign_Data[[#This Row],[VALOR NETO ($COP)]]+D.sign_Data[[#This Row],[NEGOCIACIÓN ($COP)]])*1%</f>
        <v>1582.6349345571373</v>
      </c>
      <c r="AF699" s="15">
        <f>+(D.sign_Data[[#This Row],[VALOR NETO ($COP)]]+D.sign_Data[[#This Row],[NEGOCIACIÓN ($COP)]])*1%</f>
        <v>1582.6349345571373</v>
      </c>
      <c r="AG699" s="3">
        <f>+D.sign_Data[[#This Row],[VALOR NETO ($COP)]]+D.sign_Data[[#This Row],[NEGOCIACIÓN ($COP)]]+D.sign_Data[[#This Row],[ICA ($COP)]]+D.sign_Data[[#This Row],[4 * 1000 ($COP)]]</f>
        <v>161428.763324828</v>
      </c>
    </row>
    <row r="700" spans="1:33" ht="60" hidden="1" customHeight="1" x14ac:dyDescent="0.25">
      <c r="A700" s="14"/>
      <c r="B700" s="87" t="s">
        <v>442</v>
      </c>
      <c r="C700" s="182" t="s">
        <v>913</v>
      </c>
      <c r="D700" s="189" t="str">
        <f>VLOOKUP(D.sign_Data[[#This Row],[CÓDIGO]],Descripciones[[CÓDIGO]:[NOMBRE DE SERVICIO]],3,FALSE)</f>
        <v>D2. Edificación en Altura</v>
      </c>
      <c r="E700" s="87" t="s">
        <v>497</v>
      </c>
      <c r="F700" s="88" t="s">
        <v>914</v>
      </c>
      <c r="G700" s="88" t="s">
        <v>915</v>
      </c>
      <c r="H700" s="87" t="s">
        <v>866</v>
      </c>
      <c r="I700" s="89">
        <v>1</v>
      </c>
      <c r="J700" s="88" t="s">
        <v>511</v>
      </c>
      <c r="K700" s="102"/>
      <c r="L700" s="91" t="s">
        <v>526</v>
      </c>
      <c r="M700" s="89" t="s">
        <v>381</v>
      </c>
      <c r="N700" s="90">
        <v>0.3</v>
      </c>
      <c r="O700" s="27">
        <f>IFERROR(+VLOOKUP(M700,D.sign_Lista_Data[[RESPONSABLE]:[SOFTWARE 
VALOR HORA]],3,FALSE),"0")</f>
        <v>20263.424518743668</v>
      </c>
      <c r="P700" s="3">
        <f t="shared" si="24"/>
        <v>6079.0273556231004</v>
      </c>
      <c r="Q700" s="11">
        <f>IFERROR(+VLOOKUP(M700,D.sign_Lista_Data[[RESPONSABLE]:[SOFTWARE 
VALOR HORA]],5,FALSE)*D.sign_Data[[#This Row],[TIEMPO (HORAS)]],0)</f>
        <v>1266.464032421479</v>
      </c>
      <c r="R700" s="11">
        <f>IFERROR(+VLOOKUP(M700,D.sign_Lista_Data[[RESPONSABLE]:[SOFTWARE 
VALOR HORA]],8,FALSE)*D.sign_Data[[#This Row],[TIEMPO (HORAS)]],0)</f>
        <v>1023.256466143195</v>
      </c>
      <c r="S700" s="99"/>
      <c r="T700" s="99"/>
      <c r="U700" s="3">
        <f t="shared" si="25"/>
        <v>8368.7478541877736</v>
      </c>
      <c r="V700" s="100">
        <f>D.sign_Data[[#This Row],[TIEMPO (HORAS)]]*Gastos_Operativos[[#Totals],[GASTOS HORA]]</f>
        <v>8336.8431216931203</v>
      </c>
      <c r="W700" s="3">
        <f>+D.sign_Data[[#This Row],[COSTO 
DIRECTO ($COP)]]+D.sign_Data[[#This Row],[PRORRATEO GASTOS ($COP)]]</f>
        <v>16705.590975880892</v>
      </c>
      <c r="X700" s="101">
        <v>0.1</v>
      </c>
      <c r="Y700" s="15">
        <f>+D.sign_Data[[#This Row],[COSTOS OPERACIONALES ($COP)]]*D.sign_Data[[#This Row],[DESFASE (%)]]</f>
        <v>1670.5590975880893</v>
      </c>
      <c r="Z700" s="101">
        <v>0.2</v>
      </c>
      <c r="AA700" s="15">
        <f>+((D.sign_Data[[#This Row],[COSTOS OPERACIONALES ($COP)]]/(100%-D.sign_Data[[#This Row],[UTILIDAD (%)]])))-D.sign_Data[[#This Row],[COSTOS OPERACIONALES ($COP)]]</f>
        <v>4176.3977439702212</v>
      </c>
      <c r="AB700" s="3">
        <f>+D.sign_Data[[#This Row],[COSTOS OPERACIONALES ($COP)]]+D.sign_Data[[#This Row],[DESFASE ($COP)]]+D.sign_Data[[#This Row],[UTILIDAD ($COP)]]</f>
        <v>22552.547817439201</v>
      </c>
      <c r="AC700" s="101">
        <v>0.05</v>
      </c>
      <c r="AD700" s="15">
        <f>+D.sign_Data[[#This Row],[VALOR NETO ($COP)]]/(100%-D.sign_Data[[#This Row],[MARGEN DE NEGOCIACIÓN (%)]])-D.sign_Data[[#This Row],[VALOR NETO ($COP)]]</f>
        <v>1186.9762009178521</v>
      </c>
      <c r="AE700" s="15">
        <f>+(D.sign_Data[[#This Row],[VALOR NETO ($COP)]]+D.sign_Data[[#This Row],[NEGOCIACIÓN ($COP)]])*1%</f>
        <v>237.39524018357054</v>
      </c>
      <c r="AF700" s="15">
        <f>+(D.sign_Data[[#This Row],[VALOR NETO ($COP)]]+D.sign_Data[[#This Row],[NEGOCIACIÓN ($COP)]])*1%</f>
        <v>237.39524018357054</v>
      </c>
      <c r="AG700" s="3">
        <f>+D.sign_Data[[#This Row],[VALOR NETO ($COP)]]+D.sign_Data[[#This Row],[NEGOCIACIÓN ($COP)]]+D.sign_Data[[#This Row],[ICA ($COP)]]+D.sign_Data[[#This Row],[4 * 1000 ($COP)]]</f>
        <v>24214.314498724194</v>
      </c>
    </row>
    <row r="701" spans="1:33" ht="60" hidden="1" customHeight="1" x14ac:dyDescent="0.25">
      <c r="A701" s="14"/>
      <c r="B701" s="87" t="s">
        <v>442</v>
      </c>
      <c r="C701" s="182" t="s">
        <v>913</v>
      </c>
      <c r="D701" s="189" t="str">
        <f>VLOOKUP(D.sign_Data[[#This Row],[CÓDIGO]],Descripciones[[CÓDIGO]:[NOMBRE DE SERVICIO]],3,FALSE)</f>
        <v>D2. Edificación en Altura</v>
      </c>
      <c r="E701" s="87" t="s">
        <v>497</v>
      </c>
      <c r="F701" s="88" t="s">
        <v>914</v>
      </c>
      <c r="G701" s="88" t="s">
        <v>915</v>
      </c>
      <c r="H701" s="87" t="s">
        <v>866</v>
      </c>
      <c r="I701" s="89">
        <v>1</v>
      </c>
      <c r="J701" s="88" t="s">
        <v>511</v>
      </c>
      <c r="K701" s="102"/>
      <c r="L701" s="91" t="s">
        <v>514</v>
      </c>
      <c r="M701" s="89" t="s">
        <v>381</v>
      </c>
      <c r="N701" s="90">
        <v>4</v>
      </c>
      <c r="O701" s="27">
        <f>IFERROR(+VLOOKUP(M701,D.sign_Lista_Data[[RESPONSABLE]:[SOFTWARE 
VALOR HORA]],3,FALSE),"0")</f>
        <v>20263.424518743668</v>
      </c>
      <c r="P701" s="3">
        <f t="shared" si="24"/>
        <v>81053.698074974673</v>
      </c>
      <c r="Q701" s="11">
        <f>IFERROR(+VLOOKUP(M701,D.sign_Lista_Data[[RESPONSABLE]:[SOFTWARE 
VALOR HORA]],5,FALSE)*D.sign_Data[[#This Row],[TIEMPO (HORAS)]],0)</f>
        <v>16886.187098953054</v>
      </c>
      <c r="R701" s="11">
        <f>IFERROR(+VLOOKUP(M701,D.sign_Lista_Data[[RESPONSABLE]:[SOFTWARE 
VALOR HORA]],8,FALSE)*D.sign_Data[[#This Row],[TIEMPO (HORAS)]],0)</f>
        <v>13643.419548575934</v>
      </c>
      <c r="S701" s="99"/>
      <c r="T701" s="99"/>
      <c r="U701" s="3">
        <f t="shared" si="25"/>
        <v>111583.30472250367</v>
      </c>
      <c r="V701" s="100">
        <f>D.sign_Data[[#This Row],[TIEMPO (HORAS)]]*Gastos_Operativos[[#Totals],[GASTOS HORA]]</f>
        <v>111157.9082892416</v>
      </c>
      <c r="W701" s="3">
        <f>+D.sign_Data[[#This Row],[COSTO 
DIRECTO ($COP)]]+D.sign_Data[[#This Row],[PRORRATEO GASTOS ($COP)]]</f>
        <v>222741.21301174528</v>
      </c>
      <c r="X701" s="101">
        <v>0.1</v>
      </c>
      <c r="Y701" s="15">
        <f>+D.sign_Data[[#This Row],[COSTOS OPERACIONALES ($COP)]]*D.sign_Data[[#This Row],[DESFASE (%)]]</f>
        <v>22274.121301174528</v>
      </c>
      <c r="Z701" s="101">
        <v>0.2</v>
      </c>
      <c r="AA701" s="15">
        <f>+((D.sign_Data[[#This Row],[COSTOS OPERACIONALES ($COP)]]/(100%-D.sign_Data[[#This Row],[UTILIDAD (%)]])))-D.sign_Data[[#This Row],[COSTOS OPERACIONALES ($COP)]]</f>
        <v>55685.303252936312</v>
      </c>
      <c r="AB701" s="3">
        <f>+D.sign_Data[[#This Row],[COSTOS OPERACIONALES ($COP)]]+D.sign_Data[[#This Row],[DESFASE ($COP)]]+D.sign_Data[[#This Row],[UTILIDAD ($COP)]]</f>
        <v>300700.6375658561</v>
      </c>
      <c r="AC701" s="101">
        <v>0.05</v>
      </c>
      <c r="AD701" s="15">
        <f>+D.sign_Data[[#This Row],[VALOR NETO ($COP)]]/(100%-D.sign_Data[[#This Row],[MARGEN DE NEGOCIACIÓN (%)]])-D.sign_Data[[#This Row],[VALOR NETO ($COP)]]</f>
        <v>15826.349345571361</v>
      </c>
      <c r="AE701" s="15">
        <f>+(D.sign_Data[[#This Row],[VALOR NETO ($COP)]]+D.sign_Data[[#This Row],[NEGOCIACIÓN ($COP)]])*1%</f>
        <v>3165.2698691142746</v>
      </c>
      <c r="AF701" s="15">
        <f>+(D.sign_Data[[#This Row],[VALOR NETO ($COP)]]+D.sign_Data[[#This Row],[NEGOCIACIÓN ($COP)]])*1%</f>
        <v>3165.2698691142746</v>
      </c>
      <c r="AG701" s="3">
        <f>+D.sign_Data[[#This Row],[VALOR NETO ($COP)]]+D.sign_Data[[#This Row],[NEGOCIACIÓN ($COP)]]+D.sign_Data[[#This Row],[ICA ($COP)]]+D.sign_Data[[#This Row],[4 * 1000 ($COP)]]</f>
        <v>322857.52664965601</v>
      </c>
    </row>
    <row r="702" spans="1:33" ht="60" hidden="1" customHeight="1" x14ac:dyDescent="0.25">
      <c r="A702" s="14"/>
      <c r="B702" s="87" t="s">
        <v>442</v>
      </c>
      <c r="C702" s="182" t="s">
        <v>913</v>
      </c>
      <c r="D702" s="189" t="str">
        <f>VLOOKUP(D.sign_Data[[#This Row],[CÓDIGO]],Descripciones[[CÓDIGO]:[NOMBRE DE SERVICIO]],3,FALSE)</f>
        <v>D2. Edificación en Altura</v>
      </c>
      <c r="E702" s="87" t="s">
        <v>497</v>
      </c>
      <c r="F702" s="88" t="s">
        <v>914</v>
      </c>
      <c r="G702" s="88" t="s">
        <v>915</v>
      </c>
      <c r="H702" s="87" t="s">
        <v>866</v>
      </c>
      <c r="I702" s="89">
        <v>1</v>
      </c>
      <c r="J702" s="88" t="s">
        <v>511</v>
      </c>
      <c r="K702" s="102"/>
      <c r="L702" s="88" t="s">
        <v>527</v>
      </c>
      <c r="M702" s="89" t="s">
        <v>381</v>
      </c>
      <c r="N702" s="90">
        <v>3</v>
      </c>
      <c r="O702" s="27">
        <f>IFERROR(+VLOOKUP(M702,D.sign_Lista_Data[[RESPONSABLE]:[SOFTWARE 
VALOR HORA]],3,FALSE),"0")</f>
        <v>20263.424518743668</v>
      </c>
      <c r="P702" s="3">
        <f t="shared" si="24"/>
        <v>60790.273556231004</v>
      </c>
      <c r="Q702" s="11">
        <f>IFERROR(+VLOOKUP(M702,D.sign_Lista_Data[[RESPONSABLE]:[SOFTWARE 
VALOR HORA]],5,FALSE)*D.sign_Data[[#This Row],[TIEMPO (HORAS)]],0)</f>
        <v>12664.64032421479</v>
      </c>
      <c r="R702" s="11">
        <f>IFERROR(+VLOOKUP(M702,D.sign_Lista_Data[[RESPONSABLE]:[SOFTWARE 
VALOR HORA]],8,FALSE)*D.sign_Data[[#This Row],[TIEMPO (HORAS)]],0)</f>
        <v>10232.56466143195</v>
      </c>
      <c r="S702" s="99"/>
      <c r="T702" s="99"/>
      <c r="U702" s="3">
        <f t="shared" si="25"/>
        <v>83687.478541877746</v>
      </c>
      <c r="V702" s="100">
        <f>D.sign_Data[[#This Row],[TIEMPO (HORAS)]]*Gastos_Operativos[[#Totals],[GASTOS HORA]]</f>
        <v>83368.431216931203</v>
      </c>
      <c r="W702" s="3">
        <f>+D.sign_Data[[#This Row],[COSTO 
DIRECTO ($COP)]]+D.sign_Data[[#This Row],[PRORRATEO GASTOS ($COP)]]</f>
        <v>167055.90975880896</v>
      </c>
      <c r="X702" s="101">
        <v>0.1</v>
      </c>
      <c r="Y702" s="15">
        <f>+D.sign_Data[[#This Row],[COSTOS OPERACIONALES ($COP)]]*D.sign_Data[[#This Row],[DESFASE (%)]]</f>
        <v>16705.590975880896</v>
      </c>
      <c r="Z702" s="101">
        <v>0.2</v>
      </c>
      <c r="AA702" s="15">
        <f>+((D.sign_Data[[#This Row],[COSTOS OPERACIONALES ($COP)]]/(100%-D.sign_Data[[#This Row],[UTILIDAD (%)]])))-D.sign_Data[[#This Row],[COSTOS OPERACIONALES ($COP)]]</f>
        <v>41763.977439702227</v>
      </c>
      <c r="AB702" s="3">
        <f>+D.sign_Data[[#This Row],[COSTOS OPERACIONALES ($COP)]]+D.sign_Data[[#This Row],[DESFASE ($COP)]]+D.sign_Data[[#This Row],[UTILIDAD ($COP)]]</f>
        <v>225525.47817439208</v>
      </c>
      <c r="AC702" s="101">
        <v>0.05</v>
      </c>
      <c r="AD702" s="15">
        <f>+D.sign_Data[[#This Row],[VALOR NETO ($COP)]]/(100%-D.sign_Data[[#This Row],[MARGEN DE NEGOCIACIÓN (%)]])-D.sign_Data[[#This Row],[VALOR NETO ($COP)]]</f>
        <v>11869.76200917855</v>
      </c>
      <c r="AE702" s="15">
        <f>+(D.sign_Data[[#This Row],[VALOR NETO ($COP)]]+D.sign_Data[[#This Row],[NEGOCIACIÓN ($COP)]])*1%</f>
        <v>2373.9524018357065</v>
      </c>
      <c r="AF702" s="15">
        <f>+(D.sign_Data[[#This Row],[VALOR NETO ($COP)]]+D.sign_Data[[#This Row],[NEGOCIACIÓN ($COP)]])*1%</f>
        <v>2373.9524018357065</v>
      </c>
      <c r="AG702" s="3">
        <f>+D.sign_Data[[#This Row],[VALOR NETO ($COP)]]+D.sign_Data[[#This Row],[NEGOCIACIÓN ($COP)]]+D.sign_Data[[#This Row],[ICA ($COP)]]+D.sign_Data[[#This Row],[4 * 1000 ($COP)]]</f>
        <v>242143.14498724203</v>
      </c>
    </row>
    <row r="703" spans="1:33" ht="60" hidden="1" customHeight="1" x14ac:dyDescent="0.25">
      <c r="A703" s="14"/>
      <c r="B703" s="87" t="s">
        <v>442</v>
      </c>
      <c r="C703" s="182" t="s">
        <v>913</v>
      </c>
      <c r="D703" s="189" t="str">
        <f>VLOOKUP(D.sign_Data[[#This Row],[CÓDIGO]],Descripciones[[CÓDIGO]:[NOMBRE DE SERVICIO]],3,FALSE)</f>
        <v>D2. Edificación en Altura</v>
      </c>
      <c r="E703" s="87" t="s">
        <v>497</v>
      </c>
      <c r="F703" s="88" t="s">
        <v>914</v>
      </c>
      <c r="G703" s="88" t="s">
        <v>915</v>
      </c>
      <c r="H703" s="87" t="s">
        <v>866</v>
      </c>
      <c r="I703" s="89">
        <v>1</v>
      </c>
      <c r="J703" s="88" t="s">
        <v>511</v>
      </c>
      <c r="K703" s="102"/>
      <c r="L703" s="88" t="s">
        <v>516</v>
      </c>
      <c r="M703" s="89" t="s">
        <v>381</v>
      </c>
      <c r="N703" s="90">
        <v>9.4</v>
      </c>
      <c r="O703" s="27">
        <f>IFERROR(+VLOOKUP(M703,D.sign_Lista_Data[[RESPONSABLE]:[SOFTWARE 
VALOR HORA]],3,FALSE),"0")</f>
        <v>20263.424518743668</v>
      </c>
      <c r="P703" s="3">
        <f t="shared" si="24"/>
        <v>190476.19047619047</v>
      </c>
      <c r="Q703" s="11">
        <f>IFERROR(+VLOOKUP(M703,D.sign_Lista_Data[[RESPONSABLE]:[SOFTWARE 
VALOR HORA]],5,FALSE)*D.sign_Data[[#This Row],[TIEMPO (HORAS)]],0)</f>
        <v>39682.539682539682</v>
      </c>
      <c r="R703" s="11">
        <f>IFERROR(+VLOOKUP(M703,D.sign_Lista_Data[[RESPONSABLE]:[SOFTWARE 
VALOR HORA]],8,FALSE)*D.sign_Data[[#This Row],[TIEMPO (HORAS)]],0)</f>
        <v>32062.035939153444</v>
      </c>
      <c r="S703" s="99"/>
      <c r="T703" s="99"/>
      <c r="U703" s="3">
        <f t="shared" si="25"/>
        <v>262220.76609788358</v>
      </c>
      <c r="V703" s="100">
        <f>D.sign_Data[[#This Row],[TIEMPO (HORAS)]]*Gastos_Operativos[[#Totals],[GASTOS HORA]]</f>
        <v>261221.08447971777</v>
      </c>
      <c r="W703" s="3">
        <f>+D.sign_Data[[#This Row],[COSTO 
DIRECTO ($COP)]]+D.sign_Data[[#This Row],[PRORRATEO GASTOS ($COP)]]</f>
        <v>523441.85057760135</v>
      </c>
      <c r="X703" s="101">
        <v>0.1</v>
      </c>
      <c r="Y703" s="15">
        <f>+D.sign_Data[[#This Row],[COSTOS OPERACIONALES ($COP)]]*D.sign_Data[[#This Row],[DESFASE (%)]]</f>
        <v>52344.185057760136</v>
      </c>
      <c r="Z703" s="101">
        <v>0.2</v>
      </c>
      <c r="AA703" s="15">
        <f>+((D.sign_Data[[#This Row],[COSTOS OPERACIONALES ($COP)]]/(100%-D.sign_Data[[#This Row],[UTILIDAD (%)]])))-D.sign_Data[[#This Row],[COSTOS OPERACIONALES ($COP)]]</f>
        <v>130860.46264440031</v>
      </c>
      <c r="AB703" s="3">
        <f>+D.sign_Data[[#This Row],[COSTOS OPERACIONALES ($COP)]]+D.sign_Data[[#This Row],[DESFASE ($COP)]]+D.sign_Data[[#This Row],[UTILIDAD ($COP)]]</f>
        <v>706646.49827976176</v>
      </c>
      <c r="AC703" s="101">
        <v>0.05</v>
      </c>
      <c r="AD703" s="15">
        <f>+D.sign_Data[[#This Row],[VALOR NETO ($COP)]]/(100%-D.sign_Data[[#This Row],[MARGEN DE NEGOCIACIÓN (%)]])-D.sign_Data[[#This Row],[VALOR NETO ($COP)]]</f>
        <v>37191.920962092816</v>
      </c>
      <c r="AE703" s="15">
        <f>+(D.sign_Data[[#This Row],[VALOR NETO ($COP)]]+D.sign_Data[[#This Row],[NEGOCIACIÓN ($COP)]])*1%</f>
        <v>7438.3841924185463</v>
      </c>
      <c r="AF703" s="15">
        <f>+(D.sign_Data[[#This Row],[VALOR NETO ($COP)]]+D.sign_Data[[#This Row],[NEGOCIACIÓN ($COP)]])*1%</f>
        <v>7438.3841924185463</v>
      </c>
      <c r="AG703" s="3">
        <f>+D.sign_Data[[#This Row],[VALOR NETO ($COP)]]+D.sign_Data[[#This Row],[NEGOCIACIÓN ($COP)]]+D.sign_Data[[#This Row],[ICA ($COP)]]+D.sign_Data[[#This Row],[4 * 1000 ($COP)]]</f>
        <v>758715.18762669165</v>
      </c>
    </row>
    <row r="704" spans="1:33" ht="60" hidden="1" customHeight="1" x14ac:dyDescent="0.25">
      <c r="A704" s="14"/>
      <c r="B704" s="87" t="s">
        <v>442</v>
      </c>
      <c r="C704" s="182" t="s">
        <v>913</v>
      </c>
      <c r="D704" s="189" t="str">
        <f>VLOOKUP(D.sign_Data[[#This Row],[CÓDIGO]],Descripciones[[CÓDIGO]:[NOMBRE DE SERVICIO]],3,FALSE)</f>
        <v>D2. Edificación en Altura</v>
      </c>
      <c r="E704" s="87" t="s">
        <v>497</v>
      </c>
      <c r="F704" s="88" t="s">
        <v>914</v>
      </c>
      <c r="G704" s="88" t="s">
        <v>915</v>
      </c>
      <c r="H704" s="87" t="s">
        <v>866</v>
      </c>
      <c r="I704" s="89">
        <v>1</v>
      </c>
      <c r="J704" s="88" t="s">
        <v>511</v>
      </c>
      <c r="K704" s="102"/>
      <c r="L704" s="88" t="s">
        <v>518</v>
      </c>
      <c r="M704" s="89" t="s">
        <v>381</v>
      </c>
      <c r="N704" s="90">
        <v>9.4</v>
      </c>
      <c r="O704" s="27">
        <f>IFERROR(+VLOOKUP(M704,D.sign_Lista_Data[[RESPONSABLE]:[SOFTWARE 
VALOR HORA]],3,FALSE),"0")</f>
        <v>20263.424518743668</v>
      </c>
      <c r="P704" s="3">
        <f t="shared" si="24"/>
        <v>190476.19047619047</v>
      </c>
      <c r="Q704" s="11">
        <f>IFERROR(+VLOOKUP(M704,D.sign_Lista_Data[[RESPONSABLE]:[SOFTWARE 
VALOR HORA]],5,FALSE)*D.sign_Data[[#This Row],[TIEMPO (HORAS)]],0)</f>
        <v>39682.539682539682</v>
      </c>
      <c r="R704" s="11">
        <f>IFERROR(+VLOOKUP(M704,D.sign_Lista_Data[[RESPONSABLE]:[SOFTWARE 
VALOR HORA]],8,FALSE)*D.sign_Data[[#This Row],[TIEMPO (HORAS)]],0)</f>
        <v>32062.035939153444</v>
      </c>
      <c r="S704" s="99"/>
      <c r="T704" s="99"/>
      <c r="U704" s="3">
        <f t="shared" si="25"/>
        <v>262220.76609788358</v>
      </c>
      <c r="V704" s="100">
        <f>D.sign_Data[[#This Row],[TIEMPO (HORAS)]]*Gastos_Operativos[[#Totals],[GASTOS HORA]]</f>
        <v>261221.08447971777</v>
      </c>
      <c r="W704" s="3">
        <f>+D.sign_Data[[#This Row],[COSTO 
DIRECTO ($COP)]]+D.sign_Data[[#This Row],[PRORRATEO GASTOS ($COP)]]</f>
        <v>523441.85057760135</v>
      </c>
      <c r="X704" s="101">
        <v>0.1</v>
      </c>
      <c r="Y704" s="15">
        <f>+D.sign_Data[[#This Row],[COSTOS OPERACIONALES ($COP)]]*D.sign_Data[[#This Row],[DESFASE (%)]]</f>
        <v>52344.185057760136</v>
      </c>
      <c r="Z704" s="101">
        <v>0.2</v>
      </c>
      <c r="AA704" s="15">
        <f>+((D.sign_Data[[#This Row],[COSTOS OPERACIONALES ($COP)]]/(100%-D.sign_Data[[#This Row],[UTILIDAD (%)]])))-D.sign_Data[[#This Row],[COSTOS OPERACIONALES ($COP)]]</f>
        <v>130860.46264440031</v>
      </c>
      <c r="AB704" s="3">
        <f>+D.sign_Data[[#This Row],[COSTOS OPERACIONALES ($COP)]]+D.sign_Data[[#This Row],[DESFASE ($COP)]]+D.sign_Data[[#This Row],[UTILIDAD ($COP)]]</f>
        <v>706646.49827976176</v>
      </c>
      <c r="AC704" s="101">
        <v>0.05</v>
      </c>
      <c r="AD704" s="15">
        <f>+D.sign_Data[[#This Row],[VALOR NETO ($COP)]]/(100%-D.sign_Data[[#This Row],[MARGEN DE NEGOCIACIÓN (%)]])-D.sign_Data[[#This Row],[VALOR NETO ($COP)]]</f>
        <v>37191.920962092816</v>
      </c>
      <c r="AE704" s="15">
        <f>+(D.sign_Data[[#This Row],[VALOR NETO ($COP)]]+D.sign_Data[[#This Row],[NEGOCIACIÓN ($COP)]])*1%</f>
        <v>7438.3841924185463</v>
      </c>
      <c r="AF704" s="15">
        <f>+(D.sign_Data[[#This Row],[VALOR NETO ($COP)]]+D.sign_Data[[#This Row],[NEGOCIACIÓN ($COP)]])*1%</f>
        <v>7438.3841924185463</v>
      </c>
      <c r="AG704" s="3">
        <f>+D.sign_Data[[#This Row],[VALOR NETO ($COP)]]+D.sign_Data[[#This Row],[NEGOCIACIÓN ($COP)]]+D.sign_Data[[#This Row],[ICA ($COP)]]+D.sign_Data[[#This Row],[4 * 1000 ($COP)]]</f>
        <v>758715.18762669165</v>
      </c>
    </row>
    <row r="705" spans="1:33" ht="60" hidden="1" customHeight="1" x14ac:dyDescent="0.25">
      <c r="A705" s="14"/>
      <c r="B705" s="87" t="s">
        <v>442</v>
      </c>
      <c r="C705" s="182" t="s">
        <v>913</v>
      </c>
      <c r="D705" s="189" t="str">
        <f>VLOOKUP(D.sign_Data[[#This Row],[CÓDIGO]],Descripciones[[CÓDIGO]:[NOMBRE DE SERVICIO]],3,FALSE)</f>
        <v>D2. Edificación en Altura</v>
      </c>
      <c r="E705" s="87" t="s">
        <v>497</v>
      </c>
      <c r="F705" s="88" t="s">
        <v>914</v>
      </c>
      <c r="G705" s="88" t="s">
        <v>915</v>
      </c>
      <c r="H705" s="87" t="s">
        <v>866</v>
      </c>
      <c r="I705" s="89">
        <v>1</v>
      </c>
      <c r="J705" s="88" t="s">
        <v>511</v>
      </c>
      <c r="K705" s="102"/>
      <c r="L705" s="88" t="s">
        <v>519</v>
      </c>
      <c r="M705" s="89" t="s">
        <v>381</v>
      </c>
      <c r="N705" s="90">
        <v>0.3</v>
      </c>
      <c r="O705" s="27">
        <f>IFERROR(+VLOOKUP(M705,D.sign_Lista_Data[[RESPONSABLE]:[SOFTWARE 
VALOR HORA]],3,FALSE),"0")</f>
        <v>20263.424518743668</v>
      </c>
      <c r="P705" s="3">
        <f t="shared" si="24"/>
        <v>6079.0273556231004</v>
      </c>
      <c r="Q705" s="11">
        <f>IFERROR(+VLOOKUP(M705,D.sign_Lista_Data[[RESPONSABLE]:[SOFTWARE 
VALOR HORA]],5,FALSE)*D.sign_Data[[#This Row],[TIEMPO (HORAS)]],0)</f>
        <v>1266.464032421479</v>
      </c>
      <c r="R705" s="11">
        <f>IFERROR(+VLOOKUP(M705,D.sign_Lista_Data[[RESPONSABLE]:[SOFTWARE 
VALOR HORA]],8,FALSE)*D.sign_Data[[#This Row],[TIEMPO (HORAS)]],0)</f>
        <v>1023.256466143195</v>
      </c>
      <c r="S705" s="99"/>
      <c r="T705" s="99"/>
      <c r="U705" s="3">
        <f t="shared" si="25"/>
        <v>8368.7478541877736</v>
      </c>
      <c r="V705" s="100">
        <f>D.sign_Data[[#This Row],[TIEMPO (HORAS)]]*Gastos_Operativos[[#Totals],[GASTOS HORA]]</f>
        <v>8336.8431216931203</v>
      </c>
      <c r="W705" s="3">
        <f>+D.sign_Data[[#This Row],[COSTO 
DIRECTO ($COP)]]+D.sign_Data[[#This Row],[PRORRATEO GASTOS ($COP)]]</f>
        <v>16705.590975880892</v>
      </c>
      <c r="X705" s="101">
        <v>0.1</v>
      </c>
      <c r="Y705" s="15">
        <f>+D.sign_Data[[#This Row],[COSTOS OPERACIONALES ($COP)]]*D.sign_Data[[#This Row],[DESFASE (%)]]</f>
        <v>1670.5590975880893</v>
      </c>
      <c r="Z705" s="101">
        <v>0.2</v>
      </c>
      <c r="AA705" s="15">
        <f>+((D.sign_Data[[#This Row],[COSTOS OPERACIONALES ($COP)]]/(100%-D.sign_Data[[#This Row],[UTILIDAD (%)]])))-D.sign_Data[[#This Row],[COSTOS OPERACIONALES ($COP)]]</f>
        <v>4176.3977439702212</v>
      </c>
      <c r="AB705" s="3">
        <f>+D.sign_Data[[#This Row],[COSTOS OPERACIONALES ($COP)]]+D.sign_Data[[#This Row],[DESFASE ($COP)]]+D.sign_Data[[#This Row],[UTILIDAD ($COP)]]</f>
        <v>22552.547817439201</v>
      </c>
      <c r="AC705" s="101">
        <v>0.05</v>
      </c>
      <c r="AD705" s="15">
        <f>+D.sign_Data[[#This Row],[VALOR NETO ($COP)]]/(100%-D.sign_Data[[#This Row],[MARGEN DE NEGOCIACIÓN (%)]])-D.sign_Data[[#This Row],[VALOR NETO ($COP)]]</f>
        <v>1186.9762009178521</v>
      </c>
      <c r="AE705" s="15">
        <f>+(D.sign_Data[[#This Row],[VALOR NETO ($COP)]]+D.sign_Data[[#This Row],[NEGOCIACIÓN ($COP)]])*1%</f>
        <v>237.39524018357054</v>
      </c>
      <c r="AF705" s="15">
        <f>+(D.sign_Data[[#This Row],[VALOR NETO ($COP)]]+D.sign_Data[[#This Row],[NEGOCIACIÓN ($COP)]])*1%</f>
        <v>237.39524018357054</v>
      </c>
      <c r="AG705" s="3">
        <f>+D.sign_Data[[#This Row],[VALOR NETO ($COP)]]+D.sign_Data[[#This Row],[NEGOCIACIÓN ($COP)]]+D.sign_Data[[#This Row],[ICA ($COP)]]+D.sign_Data[[#This Row],[4 * 1000 ($COP)]]</f>
        <v>24214.314498724194</v>
      </c>
    </row>
    <row r="706" spans="1:33" ht="60" hidden="1" customHeight="1" x14ac:dyDescent="0.25">
      <c r="A706" s="14"/>
      <c r="B706" s="87" t="s">
        <v>493</v>
      </c>
      <c r="C706" s="182" t="s">
        <v>916</v>
      </c>
      <c r="D706" s="189" t="str">
        <f>VLOOKUP(D.sign_Data[[#This Row],[CÓDIGO]],Descripciones[[CÓDIGO]:[NOMBRE DE SERVICIO]],3,FALSE)</f>
        <v>D2. Edificación en Altura</v>
      </c>
      <c r="E706" s="87" t="s">
        <v>497</v>
      </c>
      <c r="F706" s="88" t="s">
        <v>551</v>
      </c>
      <c r="G706" s="88" t="s">
        <v>536</v>
      </c>
      <c r="H706" s="104" t="s">
        <v>552</v>
      </c>
      <c r="I706" s="89">
        <v>1</v>
      </c>
      <c r="J706" s="88" t="s">
        <v>538</v>
      </c>
      <c r="K706" s="102"/>
      <c r="L706" s="88" t="s">
        <v>553</v>
      </c>
      <c r="M706" s="89" t="s">
        <v>381</v>
      </c>
      <c r="N706" s="90">
        <v>0.2</v>
      </c>
      <c r="O706" s="27">
        <f>IFERROR(+VLOOKUP(M706,D.sign_Lista_Data[[RESPONSABLE]:[SOFTWARE 
VALOR HORA]],3,FALSE),"0")</f>
        <v>20263.424518743668</v>
      </c>
      <c r="P706" s="3">
        <f t="shared" si="24"/>
        <v>4052.6849037487336</v>
      </c>
      <c r="Q706" s="11">
        <f>IFERROR(+VLOOKUP(M706,D.sign_Lista_Data[[RESPONSABLE]:[SOFTWARE 
VALOR HORA]],5,FALSE)*D.sign_Data[[#This Row],[TIEMPO (HORAS)]],0)</f>
        <v>844.30935494765276</v>
      </c>
      <c r="R706" s="11">
        <f>IFERROR(+VLOOKUP(M706,D.sign_Lista_Data[[RESPONSABLE]:[SOFTWARE 
VALOR HORA]],8,FALSE)*D.sign_Data[[#This Row],[TIEMPO (HORAS)]],0)</f>
        <v>682.17097742879673</v>
      </c>
      <c r="S706" s="99"/>
      <c r="T706" s="99"/>
      <c r="U706" s="3">
        <f t="shared" si="25"/>
        <v>5579.1652361251827</v>
      </c>
      <c r="V706" s="100">
        <f>D.sign_Data[[#This Row],[TIEMPO (HORAS)]]*Gastos_Operativos[[#Totals],[GASTOS HORA]]</f>
        <v>5557.8954144620802</v>
      </c>
      <c r="W706" s="3">
        <f>+D.sign_Data[[#This Row],[COSTO 
DIRECTO ($COP)]]+D.sign_Data[[#This Row],[PRORRATEO GASTOS ($COP)]]</f>
        <v>11137.060650587264</v>
      </c>
      <c r="X706" s="101">
        <v>0.15</v>
      </c>
      <c r="Y706" s="15">
        <f>+D.sign_Data[[#This Row],[COSTOS OPERACIONALES ($COP)]]*D.sign_Data[[#This Row],[DESFASE (%)]]</f>
        <v>1670.5590975880896</v>
      </c>
      <c r="Z706" s="101">
        <v>0.16</v>
      </c>
      <c r="AA706" s="15">
        <f>+((D.sign_Data[[#This Row],[COSTOS OPERACIONALES ($COP)]]/(100%-D.sign_Data[[#This Row],[UTILIDAD (%)]])))-D.sign_Data[[#This Row],[COSTOS OPERACIONALES ($COP)]]</f>
        <v>2121.3448858261454</v>
      </c>
      <c r="AB706" s="3">
        <f>+D.sign_Data[[#This Row],[COSTOS OPERACIONALES ($COP)]]+D.sign_Data[[#This Row],[DESFASE ($COP)]]+D.sign_Data[[#This Row],[UTILIDAD ($COP)]]</f>
        <v>14928.964634001499</v>
      </c>
      <c r="AC706" s="101">
        <v>0.05</v>
      </c>
      <c r="AD706" s="15">
        <f>+D.sign_Data[[#This Row],[VALOR NETO ($COP)]]/(100%-D.sign_Data[[#This Row],[MARGEN DE NEGOCIACIÓN (%)]])-D.sign_Data[[#This Row],[VALOR NETO ($COP)]]</f>
        <v>785.73498073692099</v>
      </c>
      <c r="AE706" s="15">
        <f>+(D.sign_Data[[#This Row],[VALOR NETO ($COP)]]+D.sign_Data[[#This Row],[NEGOCIACIÓN ($COP)]])*1%</f>
        <v>157.14699614738421</v>
      </c>
      <c r="AF706" s="15">
        <f>+(D.sign_Data[[#This Row],[VALOR NETO ($COP)]]+D.sign_Data[[#This Row],[NEGOCIACIÓN ($COP)]])*1%</f>
        <v>157.14699614738421</v>
      </c>
      <c r="AG706" s="3">
        <f>+D.sign_Data[[#This Row],[VALOR NETO ($COP)]]+D.sign_Data[[#This Row],[NEGOCIACIÓN ($COP)]]+D.sign_Data[[#This Row],[ICA ($COP)]]+D.sign_Data[[#This Row],[4 * 1000 ($COP)]]</f>
        <v>16028.99360703319</v>
      </c>
    </row>
    <row r="707" spans="1:33" ht="60" hidden="1" customHeight="1" x14ac:dyDescent="0.25">
      <c r="A707" s="14"/>
      <c r="B707" s="87" t="s">
        <v>493</v>
      </c>
      <c r="C707" s="182" t="s">
        <v>916</v>
      </c>
      <c r="D707" s="189" t="str">
        <f>VLOOKUP(D.sign_Data[[#This Row],[CÓDIGO]],Descripciones[[CÓDIGO]:[NOMBRE DE SERVICIO]],3,FALSE)</f>
        <v>D2. Edificación en Altura</v>
      </c>
      <c r="E707" s="87" t="s">
        <v>497</v>
      </c>
      <c r="F707" s="88" t="s">
        <v>551</v>
      </c>
      <c r="G707" s="88" t="s">
        <v>536</v>
      </c>
      <c r="H707" s="104" t="s">
        <v>552</v>
      </c>
      <c r="I707" s="89">
        <v>1</v>
      </c>
      <c r="J707" s="88" t="s">
        <v>538</v>
      </c>
      <c r="K707" s="102"/>
      <c r="L707" s="88" t="s">
        <v>540</v>
      </c>
      <c r="M707" s="89" t="s">
        <v>381</v>
      </c>
      <c r="N707" s="90">
        <v>0.2</v>
      </c>
      <c r="O707" s="27">
        <f>IFERROR(+VLOOKUP(M707,D.sign_Lista_Data[[RESPONSABLE]:[SOFTWARE 
VALOR HORA]],3,FALSE),"0")</f>
        <v>20263.424518743668</v>
      </c>
      <c r="P707" s="3">
        <f t="shared" si="24"/>
        <v>4052.6849037487336</v>
      </c>
      <c r="Q707" s="11">
        <f>IFERROR(+VLOOKUP(M707,D.sign_Lista_Data[[RESPONSABLE]:[SOFTWARE 
VALOR HORA]],5,FALSE)*D.sign_Data[[#This Row],[TIEMPO (HORAS)]],0)</f>
        <v>844.30935494765276</v>
      </c>
      <c r="R707" s="11">
        <f>IFERROR(+VLOOKUP(M707,D.sign_Lista_Data[[RESPONSABLE]:[SOFTWARE 
VALOR HORA]],8,FALSE)*D.sign_Data[[#This Row],[TIEMPO (HORAS)]],0)</f>
        <v>682.17097742879673</v>
      </c>
      <c r="S707" s="99"/>
      <c r="T707" s="99"/>
      <c r="U707" s="3">
        <f t="shared" si="25"/>
        <v>5579.1652361251827</v>
      </c>
      <c r="V707" s="100">
        <f>D.sign_Data[[#This Row],[TIEMPO (HORAS)]]*Gastos_Operativos[[#Totals],[GASTOS HORA]]</f>
        <v>5557.8954144620802</v>
      </c>
      <c r="W707" s="3">
        <f>+D.sign_Data[[#This Row],[COSTO 
DIRECTO ($COP)]]+D.sign_Data[[#This Row],[PRORRATEO GASTOS ($COP)]]</f>
        <v>11137.060650587264</v>
      </c>
      <c r="X707" s="101">
        <v>0.15</v>
      </c>
      <c r="Y707" s="15">
        <f>+D.sign_Data[[#This Row],[COSTOS OPERACIONALES ($COP)]]*D.sign_Data[[#This Row],[DESFASE (%)]]</f>
        <v>1670.5590975880896</v>
      </c>
      <c r="Z707" s="101">
        <v>0.16</v>
      </c>
      <c r="AA707" s="15">
        <f>+((D.sign_Data[[#This Row],[COSTOS OPERACIONALES ($COP)]]/(100%-D.sign_Data[[#This Row],[UTILIDAD (%)]])))-D.sign_Data[[#This Row],[COSTOS OPERACIONALES ($COP)]]</f>
        <v>2121.3448858261454</v>
      </c>
      <c r="AB707" s="3">
        <f>+D.sign_Data[[#This Row],[COSTOS OPERACIONALES ($COP)]]+D.sign_Data[[#This Row],[DESFASE ($COP)]]+D.sign_Data[[#This Row],[UTILIDAD ($COP)]]</f>
        <v>14928.964634001499</v>
      </c>
      <c r="AC707" s="101">
        <v>0.05</v>
      </c>
      <c r="AD707" s="15">
        <f>+D.sign_Data[[#This Row],[VALOR NETO ($COP)]]/(100%-D.sign_Data[[#This Row],[MARGEN DE NEGOCIACIÓN (%)]])-D.sign_Data[[#This Row],[VALOR NETO ($COP)]]</f>
        <v>785.73498073692099</v>
      </c>
      <c r="AE707" s="15">
        <f>+(D.sign_Data[[#This Row],[VALOR NETO ($COP)]]+D.sign_Data[[#This Row],[NEGOCIACIÓN ($COP)]])*1%</f>
        <v>157.14699614738421</v>
      </c>
      <c r="AF707" s="15">
        <f>+(D.sign_Data[[#This Row],[VALOR NETO ($COP)]]+D.sign_Data[[#This Row],[NEGOCIACIÓN ($COP)]])*1%</f>
        <v>157.14699614738421</v>
      </c>
      <c r="AG707" s="3">
        <f>+D.sign_Data[[#This Row],[VALOR NETO ($COP)]]+D.sign_Data[[#This Row],[NEGOCIACIÓN ($COP)]]+D.sign_Data[[#This Row],[ICA ($COP)]]+D.sign_Data[[#This Row],[4 * 1000 ($COP)]]</f>
        <v>16028.99360703319</v>
      </c>
    </row>
    <row r="708" spans="1:33" ht="60" hidden="1" customHeight="1" x14ac:dyDescent="0.25">
      <c r="A708" s="14"/>
      <c r="B708" s="87" t="s">
        <v>493</v>
      </c>
      <c r="C708" s="182" t="s">
        <v>916</v>
      </c>
      <c r="D708" s="189" t="str">
        <f>VLOOKUP(D.sign_Data[[#This Row],[CÓDIGO]],Descripciones[[CÓDIGO]:[NOMBRE DE SERVICIO]],3,FALSE)</f>
        <v>D2. Edificación en Altura</v>
      </c>
      <c r="E708" s="87" t="s">
        <v>497</v>
      </c>
      <c r="F708" s="88" t="s">
        <v>551</v>
      </c>
      <c r="G708" s="88" t="s">
        <v>536</v>
      </c>
      <c r="H708" s="104" t="s">
        <v>552</v>
      </c>
      <c r="I708" s="89">
        <v>1</v>
      </c>
      <c r="J708" s="88" t="s">
        <v>541</v>
      </c>
      <c r="K708" s="102"/>
      <c r="L708" s="88" t="s">
        <v>554</v>
      </c>
      <c r="M708" s="89" t="s">
        <v>381</v>
      </c>
      <c r="N708" s="90">
        <v>4</v>
      </c>
      <c r="O708" s="27">
        <f>IFERROR(+VLOOKUP(M708,D.sign_Lista_Data[[RESPONSABLE]:[SOFTWARE 
VALOR HORA]],3,FALSE),"0")</f>
        <v>20263.424518743668</v>
      </c>
      <c r="P708" s="3">
        <f t="shared" si="24"/>
        <v>81053.698074974673</v>
      </c>
      <c r="Q708" s="11">
        <f>IFERROR(+VLOOKUP(M708,D.sign_Lista_Data[[RESPONSABLE]:[SOFTWARE 
VALOR HORA]],5,FALSE)*D.sign_Data[[#This Row],[TIEMPO (HORAS)]],0)</f>
        <v>16886.187098953054</v>
      </c>
      <c r="R708" s="11">
        <f>IFERROR(+VLOOKUP(M708,D.sign_Lista_Data[[RESPONSABLE]:[SOFTWARE 
VALOR HORA]],8,FALSE)*D.sign_Data[[#This Row],[TIEMPO (HORAS)]],0)</f>
        <v>13643.419548575934</v>
      </c>
      <c r="S708" s="99"/>
      <c r="T708" s="99"/>
      <c r="U708" s="3">
        <f t="shared" si="25"/>
        <v>111583.30472250367</v>
      </c>
      <c r="V708" s="100">
        <f>D.sign_Data[[#This Row],[TIEMPO (HORAS)]]*Gastos_Operativos[[#Totals],[GASTOS HORA]]</f>
        <v>111157.9082892416</v>
      </c>
      <c r="W708" s="3">
        <f>+D.sign_Data[[#This Row],[COSTO 
DIRECTO ($COP)]]+D.sign_Data[[#This Row],[PRORRATEO GASTOS ($COP)]]</f>
        <v>222741.21301174528</v>
      </c>
      <c r="X708" s="101">
        <v>0.15</v>
      </c>
      <c r="Y708" s="15">
        <f>+D.sign_Data[[#This Row],[COSTOS OPERACIONALES ($COP)]]*D.sign_Data[[#This Row],[DESFASE (%)]]</f>
        <v>33411.181951761791</v>
      </c>
      <c r="Z708" s="101">
        <v>0.16</v>
      </c>
      <c r="AA708" s="15">
        <f>+((D.sign_Data[[#This Row],[COSTOS OPERACIONALES ($COP)]]/(100%-D.sign_Data[[#This Row],[UTILIDAD (%)]])))-D.sign_Data[[#This Row],[COSTOS OPERACIONALES ($COP)]]</f>
        <v>42426.897716522944</v>
      </c>
      <c r="AB708" s="3">
        <f>+D.sign_Data[[#This Row],[COSTOS OPERACIONALES ($COP)]]+D.sign_Data[[#This Row],[DESFASE ($COP)]]+D.sign_Data[[#This Row],[UTILIDAD ($COP)]]</f>
        <v>298579.29268002999</v>
      </c>
      <c r="AC708" s="101">
        <v>0.05</v>
      </c>
      <c r="AD708" s="15">
        <f>+D.sign_Data[[#This Row],[VALOR NETO ($COP)]]/(100%-D.sign_Data[[#This Row],[MARGEN DE NEGOCIACIÓN (%)]])-D.sign_Data[[#This Row],[VALOR NETO ($COP)]]</f>
        <v>15714.699614738463</v>
      </c>
      <c r="AE708" s="15">
        <f>+(D.sign_Data[[#This Row],[VALOR NETO ($COP)]]+D.sign_Data[[#This Row],[NEGOCIACIÓN ($COP)]])*1%</f>
        <v>3142.9399229476844</v>
      </c>
      <c r="AF708" s="15">
        <f>+(D.sign_Data[[#This Row],[VALOR NETO ($COP)]]+D.sign_Data[[#This Row],[NEGOCIACIÓN ($COP)]])*1%</f>
        <v>3142.9399229476844</v>
      </c>
      <c r="AG708" s="3">
        <f>+D.sign_Data[[#This Row],[VALOR NETO ($COP)]]+D.sign_Data[[#This Row],[NEGOCIACIÓN ($COP)]]+D.sign_Data[[#This Row],[ICA ($COP)]]+D.sign_Data[[#This Row],[4 * 1000 ($COP)]]</f>
        <v>320579.87214066379</v>
      </c>
    </row>
    <row r="709" spans="1:33" ht="60" hidden="1" customHeight="1" x14ac:dyDescent="0.25">
      <c r="A709" s="14"/>
      <c r="B709" s="87" t="s">
        <v>493</v>
      </c>
      <c r="C709" s="182" t="s">
        <v>916</v>
      </c>
      <c r="D709" s="189" t="str">
        <f>VLOOKUP(D.sign_Data[[#This Row],[CÓDIGO]],Descripciones[[CÓDIGO]:[NOMBRE DE SERVICIO]],3,FALSE)</f>
        <v>D2. Edificación en Altura</v>
      </c>
      <c r="E709" s="87" t="s">
        <v>497</v>
      </c>
      <c r="F709" s="88" t="s">
        <v>551</v>
      </c>
      <c r="G709" s="88" t="s">
        <v>536</v>
      </c>
      <c r="H709" s="104" t="s">
        <v>552</v>
      </c>
      <c r="I709" s="89">
        <v>1</v>
      </c>
      <c r="J709" s="88" t="s">
        <v>541</v>
      </c>
      <c r="K709" s="102"/>
      <c r="L709" s="88" t="s">
        <v>555</v>
      </c>
      <c r="M709" s="89" t="s">
        <v>381</v>
      </c>
      <c r="N709" s="90">
        <v>9</v>
      </c>
      <c r="O709" s="27">
        <f>IFERROR(+VLOOKUP(M709,D.sign_Lista_Data[[RESPONSABLE]:[SOFTWARE 
VALOR HORA]],3,FALSE),"0")</f>
        <v>20263.424518743668</v>
      </c>
      <c r="P709" s="3">
        <f t="shared" si="24"/>
        <v>182370.82066869302</v>
      </c>
      <c r="Q709" s="11">
        <f>IFERROR(+VLOOKUP(M709,D.sign_Lista_Data[[RESPONSABLE]:[SOFTWARE 
VALOR HORA]],5,FALSE)*D.sign_Data[[#This Row],[TIEMPO (HORAS)]],0)</f>
        <v>37993.920972644373</v>
      </c>
      <c r="R709" s="11">
        <f>IFERROR(+VLOOKUP(M709,D.sign_Lista_Data[[RESPONSABLE]:[SOFTWARE 
VALOR HORA]],8,FALSE)*D.sign_Data[[#This Row],[TIEMPO (HORAS)]],0)</f>
        <v>30697.693984295853</v>
      </c>
      <c r="S709" s="99"/>
      <c r="T709" s="99"/>
      <c r="U709" s="3">
        <f t="shared" si="25"/>
        <v>251062.43562563325</v>
      </c>
      <c r="V709" s="100">
        <f>D.sign_Data[[#This Row],[TIEMPO (HORAS)]]*Gastos_Operativos[[#Totals],[GASTOS HORA]]</f>
        <v>250105.29365079361</v>
      </c>
      <c r="W709" s="3">
        <f>+D.sign_Data[[#This Row],[COSTO 
DIRECTO ($COP)]]+D.sign_Data[[#This Row],[PRORRATEO GASTOS ($COP)]]</f>
        <v>501167.72927642683</v>
      </c>
      <c r="X709" s="101">
        <v>0.15</v>
      </c>
      <c r="Y709" s="15">
        <f>+D.sign_Data[[#This Row],[COSTOS OPERACIONALES ($COP)]]*D.sign_Data[[#This Row],[DESFASE (%)]]</f>
        <v>75175.159391464025</v>
      </c>
      <c r="Z709" s="101">
        <v>0.16</v>
      </c>
      <c r="AA709" s="15">
        <f>+((D.sign_Data[[#This Row],[COSTOS OPERACIONALES ($COP)]]/(100%-D.sign_Data[[#This Row],[UTILIDAD (%)]])))-D.sign_Data[[#This Row],[COSTOS OPERACIONALES ($COP)]]</f>
        <v>95460.519862176618</v>
      </c>
      <c r="AB709" s="3">
        <f>+D.sign_Data[[#This Row],[COSTOS OPERACIONALES ($COP)]]+D.sign_Data[[#This Row],[DESFASE ($COP)]]+D.sign_Data[[#This Row],[UTILIDAD ($COP)]]</f>
        <v>671803.40853006742</v>
      </c>
      <c r="AC709" s="101">
        <v>0.05</v>
      </c>
      <c r="AD709" s="15">
        <f>+D.sign_Data[[#This Row],[VALOR NETO ($COP)]]/(100%-D.sign_Data[[#This Row],[MARGEN DE NEGOCIACIÓN (%)]])-D.sign_Data[[#This Row],[VALOR NETO ($COP)]]</f>
        <v>35358.074133161455</v>
      </c>
      <c r="AE709" s="15">
        <f>+(D.sign_Data[[#This Row],[VALOR NETO ($COP)]]+D.sign_Data[[#This Row],[NEGOCIACIÓN ($COP)]])*1%</f>
        <v>7071.6148266322889</v>
      </c>
      <c r="AF709" s="15">
        <f>+(D.sign_Data[[#This Row],[VALOR NETO ($COP)]]+D.sign_Data[[#This Row],[NEGOCIACIÓN ($COP)]])*1%</f>
        <v>7071.6148266322889</v>
      </c>
      <c r="AG709" s="3">
        <f>+D.sign_Data[[#This Row],[VALOR NETO ($COP)]]+D.sign_Data[[#This Row],[NEGOCIACIÓN ($COP)]]+D.sign_Data[[#This Row],[ICA ($COP)]]+D.sign_Data[[#This Row],[4 * 1000 ($COP)]]</f>
        <v>721304.7123164935</v>
      </c>
    </row>
    <row r="710" spans="1:33" ht="60" hidden="1" customHeight="1" x14ac:dyDescent="0.25">
      <c r="A710" s="14"/>
      <c r="B710" s="87" t="s">
        <v>493</v>
      </c>
      <c r="C710" s="182" t="s">
        <v>916</v>
      </c>
      <c r="D710" s="189" t="str">
        <f>VLOOKUP(D.sign_Data[[#This Row],[CÓDIGO]],Descripciones[[CÓDIGO]:[NOMBRE DE SERVICIO]],3,FALSE)</f>
        <v>D2. Edificación en Altura</v>
      </c>
      <c r="E710" s="87" t="s">
        <v>497</v>
      </c>
      <c r="F710" s="88" t="s">
        <v>551</v>
      </c>
      <c r="G710" s="88" t="s">
        <v>536</v>
      </c>
      <c r="H710" s="104" t="s">
        <v>552</v>
      </c>
      <c r="I710" s="89">
        <v>1</v>
      </c>
      <c r="J710" s="88" t="s">
        <v>541</v>
      </c>
      <c r="K710" s="102"/>
      <c r="L710" s="88" t="s">
        <v>556</v>
      </c>
      <c r="M710" s="89" t="s">
        <v>381</v>
      </c>
      <c r="N710" s="90">
        <v>5</v>
      </c>
      <c r="O710" s="27">
        <f>IFERROR(+VLOOKUP(M710,D.sign_Lista_Data[[RESPONSABLE]:[SOFTWARE 
VALOR HORA]],3,FALSE),"0")</f>
        <v>20263.424518743668</v>
      </c>
      <c r="P710" s="3">
        <f t="shared" si="24"/>
        <v>101317.12259371835</v>
      </c>
      <c r="Q710" s="11">
        <f>IFERROR(+VLOOKUP(M710,D.sign_Lista_Data[[RESPONSABLE]:[SOFTWARE 
VALOR HORA]],5,FALSE)*D.sign_Data[[#This Row],[TIEMPO (HORAS)]],0)</f>
        <v>21107.733873691319</v>
      </c>
      <c r="R710" s="11">
        <f>IFERROR(+VLOOKUP(M710,D.sign_Lista_Data[[RESPONSABLE]:[SOFTWARE 
VALOR HORA]],8,FALSE)*D.sign_Data[[#This Row],[TIEMPO (HORAS)]],0)</f>
        <v>17054.274435719919</v>
      </c>
      <c r="S710" s="99"/>
      <c r="T710" s="99"/>
      <c r="U710" s="3">
        <f t="shared" si="25"/>
        <v>139479.13090312958</v>
      </c>
      <c r="V710" s="100">
        <f>D.sign_Data[[#This Row],[TIEMPO (HORAS)]]*Gastos_Operativos[[#Totals],[GASTOS HORA]]</f>
        <v>138947.38536155201</v>
      </c>
      <c r="W710" s="3">
        <f>+D.sign_Data[[#This Row],[COSTO 
DIRECTO ($COP)]]+D.sign_Data[[#This Row],[PRORRATEO GASTOS ($COP)]]</f>
        <v>278426.51626468159</v>
      </c>
      <c r="X710" s="101">
        <v>0.15</v>
      </c>
      <c r="Y710" s="15">
        <f>+D.sign_Data[[#This Row],[COSTOS OPERACIONALES ($COP)]]*D.sign_Data[[#This Row],[DESFASE (%)]]</f>
        <v>41763.977439702234</v>
      </c>
      <c r="Z710" s="101">
        <v>0.16</v>
      </c>
      <c r="AA710" s="15">
        <f>+((D.sign_Data[[#This Row],[COSTOS OPERACIONALES ($COP)]]/(100%-D.sign_Data[[#This Row],[UTILIDAD (%)]])))-D.sign_Data[[#This Row],[COSTOS OPERACIONALES ($COP)]]</f>
        <v>53033.622145653644</v>
      </c>
      <c r="AB710" s="3">
        <f>+D.sign_Data[[#This Row],[COSTOS OPERACIONALES ($COP)]]+D.sign_Data[[#This Row],[DESFASE ($COP)]]+D.sign_Data[[#This Row],[UTILIDAD ($COP)]]</f>
        <v>373224.11585003749</v>
      </c>
      <c r="AC710" s="101">
        <v>0.05</v>
      </c>
      <c r="AD710" s="15">
        <f>+D.sign_Data[[#This Row],[VALOR NETO ($COP)]]/(100%-D.sign_Data[[#This Row],[MARGEN DE NEGOCIACIÓN (%)]])-D.sign_Data[[#This Row],[VALOR NETO ($COP)]]</f>
        <v>19643.37451842305</v>
      </c>
      <c r="AE710" s="15">
        <f>+(D.sign_Data[[#This Row],[VALOR NETO ($COP)]]+D.sign_Data[[#This Row],[NEGOCIACIÓN ($COP)]])*1%</f>
        <v>3928.6749036846054</v>
      </c>
      <c r="AF710" s="15">
        <f>+(D.sign_Data[[#This Row],[VALOR NETO ($COP)]]+D.sign_Data[[#This Row],[NEGOCIACIÓN ($COP)]])*1%</f>
        <v>3928.6749036846054</v>
      </c>
      <c r="AG710" s="3">
        <f>+D.sign_Data[[#This Row],[VALOR NETO ($COP)]]+D.sign_Data[[#This Row],[NEGOCIACIÓN ($COP)]]+D.sign_Data[[#This Row],[ICA ($COP)]]+D.sign_Data[[#This Row],[4 * 1000 ($COP)]]</f>
        <v>400724.84017582971</v>
      </c>
    </row>
    <row r="711" spans="1:33" ht="60" hidden="1" customHeight="1" x14ac:dyDescent="0.25">
      <c r="A711" s="14"/>
      <c r="B711" s="87" t="s">
        <v>493</v>
      </c>
      <c r="C711" s="182" t="s">
        <v>916</v>
      </c>
      <c r="D711" s="189" t="str">
        <f>VLOOKUP(D.sign_Data[[#This Row],[CÓDIGO]],Descripciones[[CÓDIGO]:[NOMBRE DE SERVICIO]],3,FALSE)</f>
        <v>D2. Edificación en Altura</v>
      </c>
      <c r="E711" s="87" t="s">
        <v>497</v>
      </c>
      <c r="F711" s="88" t="s">
        <v>551</v>
      </c>
      <c r="G711" s="88" t="s">
        <v>536</v>
      </c>
      <c r="H711" s="104" t="s">
        <v>552</v>
      </c>
      <c r="I711" s="89">
        <v>1</v>
      </c>
      <c r="J711" s="88" t="s">
        <v>541</v>
      </c>
      <c r="K711" s="102"/>
      <c r="L711" s="88" t="s">
        <v>557</v>
      </c>
      <c r="M711" s="89" t="s">
        <v>381</v>
      </c>
      <c r="N711" s="90">
        <v>9</v>
      </c>
      <c r="O711" s="27">
        <f>IFERROR(+VLOOKUP(M711,D.sign_Lista_Data[[RESPONSABLE]:[SOFTWARE 
VALOR HORA]],3,FALSE),"0")</f>
        <v>20263.424518743668</v>
      </c>
      <c r="P711" s="3">
        <f t="shared" si="24"/>
        <v>182370.82066869302</v>
      </c>
      <c r="Q711" s="11">
        <f>IFERROR(+VLOOKUP(M711,D.sign_Lista_Data[[RESPONSABLE]:[SOFTWARE 
VALOR HORA]],5,FALSE)*D.sign_Data[[#This Row],[TIEMPO (HORAS)]],0)</f>
        <v>37993.920972644373</v>
      </c>
      <c r="R711" s="11">
        <f>IFERROR(+VLOOKUP(M711,D.sign_Lista_Data[[RESPONSABLE]:[SOFTWARE 
VALOR HORA]],8,FALSE)*D.sign_Data[[#This Row],[TIEMPO (HORAS)]],0)</f>
        <v>30697.693984295853</v>
      </c>
      <c r="S711" s="99"/>
      <c r="T711" s="99"/>
      <c r="U711" s="3">
        <f t="shared" si="25"/>
        <v>251062.43562563325</v>
      </c>
      <c r="V711" s="100">
        <f>D.sign_Data[[#This Row],[TIEMPO (HORAS)]]*Gastos_Operativos[[#Totals],[GASTOS HORA]]</f>
        <v>250105.29365079361</v>
      </c>
      <c r="W711" s="3">
        <f>+D.sign_Data[[#This Row],[COSTO 
DIRECTO ($COP)]]+D.sign_Data[[#This Row],[PRORRATEO GASTOS ($COP)]]</f>
        <v>501167.72927642683</v>
      </c>
      <c r="X711" s="101">
        <v>0.15</v>
      </c>
      <c r="Y711" s="15">
        <f>+D.sign_Data[[#This Row],[COSTOS OPERACIONALES ($COP)]]*D.sign_Data[[#This Row],[DESFASE (%)]]</f>
        <v>75175.159391464025</v>
      </c>
      <c r="Z711" s="101">
        <v>0.16</v>
      </c>
      <c r="AA711" s="15">
        <f>+((D.sign_Data[[#This Row],[COSTOS OPERACIONALES ($COP)]]/(100%-D.sign_Data[[#This Row],[UTILIDAD (%)]])))-D.sign_Data[[#This Row],[COSTOS OPERACIONALES ($COP)]]</f>
        <v>95460.519862176618</v>
      </c>
      <c r="AB711" s="3">
        <f>+D.sign_Data[[#This Row],[COSTOS OPERACIONALES ($COP)]]+D.sign_Data[[#This Row],[DESFASE ($COP)]]+D.sign_Data[[#This Row],[UTILIDAD ($COP)]]</f>
        <v>671803.40853006742</v>
      </c>
      <c r="AC711" s="101">
        <v>0.05</v>
      </c>
      <c r="AD711" s="15">
        <f>+D.sign_Data[[#This Row],[VALOR NETO ($COP)]]/(100%-D.sign_Data[[#This Row],[MARGEN DE NEGOCIACIÓN (%)]])-D.sign_Data[[#This Row],[VALOR NETO ($COP)]]</f>
        <v>35358.074133161455</v>
      </c>
      <c r="AE711" s="15">
        <f>+(D.sign_Data[[#This Row],[VALOR NETO ($COP)]]+D.sign_Data[[#This Row],[NEGOCIACIÓN ($COP)]])*1%</f>
        <v>7071.6148266322889</v>
      </c>
      <c r="AF711" s="15">
        <f>+(D.sign_Data[[#This Row],[VALOR NETO ($COP)]]+D.sign_Data[[#This Row],[NEGOCIACIÓN ($COP)]])*1%</f>
        <v>7071.6148266322889</v>
      </c>
      <c r="AG711" s="3">
        <f>+D.sign_Data[[#This Row],[VALOR NETO ($COP)]]+D.sign_Data[[#This Row],[NEGOCIACIÓN ($COP)]]+D.sign_Data[[#This Row],[ICA ($COP)]]+D.sign_Data[[#This Row],[4 * 1000 ($COP)]]</f>
        <v>721304.7123164935</v>
      </c>
    </row>
    <row r="712" spans="1:33" ht="60" hidden="1" customHeight="1" x14ac:dyDescent="0.25">
      <c r="A712" s="14"/>
      <c r="B712" s="87" t="s">
        <v>493</v>
      </c>
      <c r="C712" s="182" t="s">
        <v>916</v>
      </c>
      <c r="D712" s="189" t="str">
        <f>VLOOKUP(D.sign_Data[[#This Row],[CÓDIGO]],Descripciones[[CÓDIGO]:[NOMBRE DE SERVICIO]],3,FALSE)</f>
        <v>D2. Edificación en Altura</v>
      </c>
      <c r="E712" s="87" t="s">
        <v>497</v>
      </c>
      <c r="F712" s="88" t="s">
        <v>551</v>
      </c>
      <c r="G712" s="88" t="s">
        <v>536</v>
      </c>
      <c r="H712" s="104" t="s">
        <v>552</v>
      </c>
      <c r="I712" s="89">
        <v>1</v>
      </c>
      <c r="J712" s="88" t="s">
        <v>541</v>
      </c>
      <c r="K712" s="102"/>
      <c r="L712" s="88" t="s">
        <v>558</v>
      </c>
      <c r="M712" s="89" t="s">
        <v>381</v>
      </c>
      <c r="N712" s="90">
        <v>9</v>
      </c>
      <c r="O712" s="27">
        <f>IFERROR(+VLOOKUP(M712,D.sign_Lista_Data[[RESPONSABLE]:[SOFTWARE 
VALOR HORA]],3,FALSE),"0")</f>
        <v>20263.424518743668</v>
      </c>
      <c r="P712" s="3">
        <f t="shared" si="24"/>
        <v>182370.82066869302</v>
      </c>
      <c r="Q712" s="11">
        <f>IFERROR(+VLOOKUP(M712,D.sign_Lista_Data[[RESPONSABLE]:[SOFTWARE 
VALOR HORA]],5,FALSE)*D.sign_Data[[#This Row],[TIEMPO (HORAS)]],0)</f>
        <v>37993.920972644373</v>
      </c>
      <c r="R712" s="11">
        <f>IFERROR(+VLOOKUP(M712,D.sign_Lista_Data[[RESPONSABLE]:[SOFTWARE 
VALOR HORA]],8,FALSE)*D.sign_Data[[#This Row],[TIEMPO (HORAS)]],0)</f>
        <v>30697.693984295853</v>
      </c>
      <c r="S712" s="99"/>
      <c r="T712" s="99"/>
      <c r="U712" s="3">
        <f t="shared" si="25"/>
        <v>251062.43562563325</v>
      </c>
      <c r="V712" s="100">
        <f>D.sign_Data[[#This Row],[TIEMPO (HORAS)]]*Gastos_Operativos[[#Totals],[GASTOS HORA]]</f>
        <v>250105.29365079361</v>
      </c>
      <c r="W712" s="3">
        <f>+D.sign_Data[[#This Row],[COSTO 
DIRECTO ($COP)]]+D.sign_Data[[#This Row],[PRORRATEO GASTOS ($COP)]]</f>
        <v>501167.72927642683</v>
      </c>
      <c r="X712" s="101">
        <v>0.15</v>
      </c>
      <c r="Y712" s="15">
        <f>+D.sign_Data[[#This Row],[COSTOS OPERACIONALES ($COP)]]*D.sign_Data[[#This Row],[DESFASE (%)]]</f>
        <v>75175.159391464025</v>
      </c>
      <c r="Z712" s="101">
        <v>0.16</v>
      </c>
      <c r="AA712" s="15">
        <f>+((D.sign_Data[[#This Row],[COSTOS OPERACIONALES ($COP)]]/(100%-D.sign_Data[[#This Row],[UTILIDAD (%)]])))-D.sign_Data[[#This Row],[COSTOS OPERACIONALES ($COP)]]</f>
        <v>95460.519862176618</v>
      </c>
      <c r="AB712" s="3">
        <f>+D.sign_Data[[#This Row],[COSTOS OPERACIONALES ($COP)]]+D.sign_Data[[#This Row],[DESFASE ($COP)]]+D.sign_Data[[#This Row],[UTILIDAD ($COP)]]</f>
        <v>671803.40853006742</v>
      </c>
      <c r="AC712" s="101">
        <v>0.05</v>
      </c>
      <c r="AD712" s="15">
        <f>+D.sign_Data[[#This Row],[VALOR NETO ($COP)]]/(100%-D.sign_Data[[#This Row],[MARGEN DE NEGOCIACIÓN (%)]])-D.sign_Data[[#This Row],[VALOR NETO ($COP)]]</f>
        <v>35358.074133161455</v>
      </c>
      <c r="AE712" s="15">
        <f>+(D.sign_Data[[#This Row],[VALOR NETO ($COP)]]+D.sign_Data[[#This Row],[NEGOCIACIÓN ($COP)]])*1%</f>
        <v>7071.6148266322889</v>
      </c>
      <c r="AF712" s="15">
        <f>+(D.sign_Data[[#This Row],[VALOR NETO ($COP)]]+D.sign_Data[[#This Row],[NEGOCIACIÓN ($COP)]])*1%</f>
        <v>7071.6148266322889</v>
      </c>
      <c r="AG712" s="3">
        <f>+D.sign_Data[[#This Row],[VALOR NETO ($COP)]]+D.sign_Data[[#This Row],[NEGOCIACIÓN ($COP)]]+D.sign_Data[[#This Row],[ICA ($COP)]]+D.sign_Data[[#This Row],[4 * 1000 ($COP)]]</f>
        <v>721304.7123164935</v>
      </c>
    </row>
    <row r="713" spans="1:33" ht="60" hidden="1" customHeight="1" x14ac:dyDescent="0.25">
      <c r="A713" s="14"/>
      <c r="B713" s="87" t="s">
        <v>493</v>
      </c>
      <c r="C713" s="182" t="s">
        <v>916</v>
      </c>
      <c r="D713" s="189" t="str">
        <f>VLOOKUP(D.sign_Data[[#This Row],[CÓDIGO]],Descripciones[[CÓDIGO]:[NOMBRE DE SERVICIO]],3,FALSE)</f>
        <v>D2. Edificación en Altura</v>
      </c>
      <c r="E713" s="87" t="s">
        <v>497</v>
      </c>
      <c r="F713" s="88" t="s">
        <v>551</v>
      </c>
      <c r="G713" s="88" t="s">
        <v>536</v>
      </c>
      <c r="H713" s="104" t="s">
        <v>552</v>
      </c>
      <c r="I713" s="89">
        <v>1</v>
      </c>
      <c r="J713" s="88" t="s">
        <v>541</v>
      </c>
      <c r="K713" s="102"/>
      <c r="L713" s="88" t="s">
        <v>559</v>
      </c>
      <c r="M713" s="89" t="s">
        <v>381</v>
      </c>
      <c r="N713" s="90">
        <v>9</v>
      </c>
      <c r="O713" s="27">
        <f>IFERROR(+VLOOKUP(M713,D.sign_Lista_Data[[RESPONSABLE]:[SOFTWARE 
VALOR HORA]],3,FALSE),"0")</f>
        <v>20263.424518743668</v>
      </c>
      <c r="P713" s="3">
        <f t="shared" si="24"/>
        <v>182370.82066869302</v>
      </c>
      <c r="Q713" s="11">
        <f>IFERROR(+VLOOKUP(M713,D.sign_Lista_Data[[RESPONSABLE]:[SOFTWARE 
VALOR HORA]],5,FALSE)*D.sign_Data[[#This Row],[TIEMPO (HORAS)]],0)</f>
        <v>37993.920972644373</v>
      </c>
      <c r="R713" s="11">
        <f>IFERROR(+VLOOKUP(M713,D.sign_Lista_Data[[RESPONSABLE]:[SOFTWARE 
VALOR HORA]],8,FALSE)*D.sign_Data[[#This Row],[TIEMPO (HORAS)]],0)</f>
        <v>30697.693984295853</v>
      </c>
      <c r="S713" s="99"/>
      <c r="T713" s="99"/>
      <c r="U713" s="3">
        <f t="shared" si="25"/>
        <v>251062.43562563325</v>
      </c>
      <c r="V713" s="100">
        <f>D.sign_Data[[#This Row],[TIEMPO (HORAS)]]*Gastos_Operativos[[#Totals],[GASTOS HORA]]</f>
        <v>250105.29365079361</v>
      </c>
      <c r="W713" s="3">
        <f>+D.sign_Data[[#This Row],[COSTO 
DIRECTO ($COP)]]+D.sign_Data[[#This Row],[PRORRATEO GASTOS ($COP)]]</f>
        <v>501167.72927642683</v>
      </c>
      <c r="X713" s="101">
        <v>0.15</v>
      </c>
      <c r="Y713" s="15">
        <f>+D.sign_Data[[#This Row],[COSTOS OPERACIONALES ($COP)]]*D.sign_Data[[#This Row],[DESFASE (%)]]</f>
        <v>75175.159391464025</v>
      </c>
      <c r="Z713" s="101">
        <v>0.16</v>
      </c>
      <c r="AA713" s="15">
        <f>+((D.sign_Data[[#This Row],[COSTOS OPERACIONALES ($COP)]]/(100%-D.sign_Data[[#This Row],[UTILIDAD (%)]])))-D.sign_Data[[#This Row],[COSTOS OPERACIONALES ($COP)]]</f>
        <v>95460.519862176618</v>
      </c>
      <c r="AB713" s="3">
        <f>+D.sign_Data[[#This Row],[COSTOS OPERACIONALES ($COP)]]+D.sign_Data[[#This Row],[DESFASE ($COP)]]+D.sign_Data[[#This Row],[UTILIDAD ($COP)]]</f>
        <v>671803.40853006742</v>
      </c>
      <c r="AC713" s="101">
        <v>0.05</v>
      </c>
      <c r="AD713" s="15">
        <f>+D.sign_Data[[#This Row],[VALOR NETO ($COP)]]/(100%-D.sign_Data[[#This Row],[MARGEN DE NEGOCIACIÓN (%)]])-D.sign_Data[[#This Row],[VALOR NETO ($COP)]]</f>
        <v>35358.074133161455</v>
      </c>
      <c r="AE713" s="15">
        <f>+(D.sign_Data[[#This Row],[VALOR NETO ($COP)]]+D.sign_Data[[#This Row],[NEGOCIACIÓN ($COP)]])*1%</f>
        <v>7071.6148266322889</v>
      </c>
      <c r="AF713" s="15">
        <f>+(D.sign_Data[[#This Row],[VALOR NETO ($COP)]]+D.sign_Data[[#This Row],[NEGOCIACIÓN ($COP)]])*1%</f>
        <v>7071.6148266322889</v>
      </c>
      <c r="AG713" s="3">
        <f>+D.sign_Data[[#This Row],[VALOR NETO ($COP)]]+D.sign_Data[[#This Row],[NEGOCIACIÓN ($COP)]]+D.sign_Data[[#This Row],[ICA ($COP)]]+D.sign_Data[[#This Row],[4 * 1000 ($COP)]]</f>
        <v>721304.7123164935</v>
      </c>
    </row>
    <row r="714" spans="1:33" ht="60" hidden="1" customHeight="1" x14ac:dyDescent="0.25">
      <c r="A714" s="14"/>
      <c r="B714" s="87" t="s">
        <v>493</v>
      </c>
      <c r="C714" s="182" t="s">
        <v>916</v>
      </c>
      <c r="D714" s="189" t="str">
        <f>VLOOKUP(D.sign_Data[[#This Row],[CÓDIGO]],Descripciones[[CÓDIGO]:[NOMBRE DE SERVICIO]],3,FALSE)</f>
        <v>D2. Edificación en Altura</v>
      </c>
      <c r="E714" s="87" t="s">
        <v>497</v>
      </c>
      <c r="F714" s="88" t="s">
        <v>551</v>
      </c>
      <c r="G714" s="88" t="s">
        <v>536</v>
      </c>
      <c r="H714" s="104" t="s">
        <v>552</v>
      </c>
      <c r="I714" s="89">
        <v>1</v>
      </c>
      <c r="J714" s="88" t="s">
        <v>541</v>
      </c>
      <c r="K714" s="102"/>
      <c r="L714" s="88" t="s">
        <v>560</v>
      </c>
      <c r="M714" s="89" t="s">
        <v>381</v>
      </c>
      <c r="N714" s="90">
        <v>9.4</v>
      </c>
      <c r="O714" s="27">
        <f>IFERROR(+VLOOKUP(M714,D.sign_Lista_Data[[RESPONSABLE]:[SOFTWARE 
VALOR HORA]],3,FALSE),"0")</f>
        <v>20263.424518743668</v>
      </c>
      <c r="P714" s="3">
        <f t="shared" si="24"/>
        <v>190476.19047619047</v>
      </c>
      <c r="Q714" s="11">
        <f>IFERROR(+VLOOKUP(M714,D.sign_Lista_Data[[RESPONSABLE]:[SOFTWARE 
VALOR HORA]],5,FALSE)*D.sign_Data[[#This Row],[TIEMPO (HORAS)]],0)</f>
        <v>39682.539682539682</v>
      </c>
      <c r="R714" s="11">
        <f>IFERROR(+VLOOKUP(M714,D.sign_Lista_Data[[RESPONSABLE]:[SOFTWARE 
VALOR HORA]],8,FALSE)*D.sign_Data[[#This Row],[TIEMPO (HORAS)]],0)</f>
        <v>32062.035939153444</v>
      </c>
      <c r="S714" s="99"/>
      <c r="T714" s="99"/>
      <c r="U714" s="3">
        <f t="shared" si="25"/>
        <v>262220.76609788358</v>
      </c>
      <c r="V714" s="100">
        <f>D.sign_Data[[#This Row],[TIEMPO (HORAS)]]*Gastos_Operativos[[#Totals],[GASTOS HORA]]</f>
        <v>261221.08447971777</v>
      </c>
      <c r="W714" s="3">
        <f>+D.sign_Data[[#This Row],[COSTO 
DIRECTO ($COP)]]+D.sign_Data[[#This Row],[PRORRATEO GASTOS ($COP)]]</f>
        <v>523441.85057760135</v>
      </c>
      <c r="X714" s="101">
        <v>0.15</v>
      </c>
      <c r="Y714" s="15">
        <f>+D.sign_Data[[#This Row],[COSTOS OPERACIONALES ($COP)]]*D.sign_Data[[#This Row],[DESFASE (%)]]</f>
        <v>78516.277586640193</v>
      </c>
      <c r="Z714" s="101">
        <v>0.16</v>
      </c>
      <c r="AA714" s="15">
        <f>+((D.sign_Data[[#This Row],[COSTOS OPERACIONALES ($COP)]]/(100%-D.sign_Data[[#This Row],[UTILIDAD (%)]])))-D.sign_Data[[#This Row],[COSTOS OPERACIONALES ($COP)]]</f>
        <v>99703.209633828839</v>
      </c>
      <c r="AB714" s="3">
        <f>+D.sign_Data[[#This Row],[COSTOS OPERACIONALES ($COP)]]+D.sign_Data[[#This Row],[DESFASE ($COP)]]+D.sign_Data[[#This Row],[UTILIDAD ($COP)]]</f>
        <v>701661.3377980704</v>
      </c>
      <c r="AC714" s="101">
        <v>0.05</v>
      </c>
      <c r="AD714" s="15">
        <f>+D.sign_Data[[#This Row],[VALOR NETO ($COP)]]/(100%-D.sign_Data[[#This Row],[MARGEN DE NEGOCIACIÓN (%)]])-D.sign_Data[[#This Row],[VALOR NETO ($COP)]]</f>
        <v>36929.54409463529</v>
      </c>
      <c r="AE714" s="15">
        <f>+(D.sign_Data[[#This Row],[VALOR NETO ($COP)]]+D.sign_Data[[#This Row],[NEGOCIACIÓN ($COP)]])*1%</f>
        <v>7385.9088189270569</v>
      </c>
      <c r="AF714" s="15">
        <f>+(D.sign_Data[[#This Row],[VALOR NETO ($COP)]]+D.sign_Data[[#This Row],[NEGOCIACIÓN ($COP)]])*1%</f>
        <v>7385.9088189270569</v>
      </c>
      <c r="AG714" s="3">
        <f>+D.sign_Data[[#This Row],[VALOR NETO ($COP)]]+D.sign_Data[[#This Row],[NEGOCIACIÓN ($COP)]]+D.sign_Data[[#This Row],[ICA ($COP)]]+D.sign_Data[[#This Row],[4 * 1000 ($COP)]]</f>
        <v>753362.69953055971</v>
      </c>
    </row>
    <row r="715" spans="1:33" ht="60" hidden="1" customHeight="1" x14ac:dyDescent="0.25">
      <c r="A715" s="14"/>
      <c r="B715" s="87" t="s">
        <v>493</v>
      </c>
      <c r="C715" s="182" t="s">
        <v>916</v>
      </c>
      <c r="D715" s="189" t="str">
        <f>VLOOKUP(D.sign_Data[[#This Row],[CÓDIGO]],Descripciones[[CÓDIGO]:[NOMBRE DE SERVICIO]],3,FALSE)</f>
        <v>D2. Edificación en Altura</v>
      </c>
      <c r="E715" s="87" t="s">
        <v>497</v>
      </c>
      <c r="F715" s="88" t="s">
        <v>551</v>
      </c>
      <c r="G715" s="88" t="s">
        <v>536</v>
      </c>
      <c r="H715" s="104" t="s">
        <v>552</v>
      </c>
      <c r="I715" s="89">
        <v>1</v>
      </c>
      <c r="J715" s="88" t="s">
        <v>541</v>
      </c>
      <c r="K715" s="102"/>
      <c r="L715" s="88" t="s">
        <v>561</v>
      </c>
      <c r="M715" s="89" t="s">
        <v>381</v>
      </c>
      <c r="N715" s="90">
        <v>6</v>
      </c>
      <c r="O715" s="27">
        <f>IFERROR(+VLOOKUP(M715,D.sign_Lista_Data[[RESPONSABLE]:[SOFTWARE 
VALOR HORA]],3,FALSE),"0")</f>
        <v>20263.424518743668</v>
      </c>
      <c r="P715" s="3">
        <f t="shared" si="24"/>
        <v>121580.54711246201</v>
      </c>
      <c r="Q715" s="11">
        <f>IFERROR(+VLOOKUP(M715,D.sign_Lista_Data[[RESPONSABLE]:[SOFTWARE 
VALOR HORA]],5,FALSE)*D.sign_Data[[#This Row],[TIEMPO (HORAS)]],0)</f>
        <v>25329.28064842958</v>
      </c>
      <c r="R715" s="11">
        <f>IFERROR(+VLOOKUP(M715,D.sign_Lista_Data[[RESPONSABLE]:[SOFTWARE 
VALOR HORA]],8,FALSE)*D.sign_Data[[#This Row],[TIEMPO (HORAS)]],0)</f>
        <v>20465.129322863901</v>
      </c>
      <c r="S715" s="99"/>
      <c r="T715" s="99"/>
      <c r="U715" s="3">
        <f t="shared" si="25"/>
        <v>167374.95708375549</v>
      </c>
      <c r="V715" s="100">
        <f>D.sign_Data[[#This Row],[TIEMPO (HORAS)]]*Gastos_Operativos[[#Totals],[GASTOS HORA]]</f>
        <v>166736.86243386241</v>
      </c>
      <c r="W715" s="3">
        <f>+D.sign_Data[[#This Row],[COSTO 
DIRECTO ($COP)]]+D.sign_Data[[#This Row],[PRORRATEO GASTOS ($COP)]]</f>
        <v>334111.81951761793</v>
      </c>
      <c r="X715" s="101">
        <v>0.15</v>
      </c>
      <c r="Y715" s="15">
        <f>+D.sign_Data[[#This Row],[COSTOS OPERACIONALES ($COP)]]*D.sign_Data[[#This Row],[DESFASE (%)]]</f>
        <v>50116.772927642691</v>
      </c>
      <c r="Z715" s="101">
        <v>0.16</v>
      </c>
      <c r="AA715" s="15">
        <f>+((D.sign_Data[[#This Row],[COSTOS OPERACIONALES ($COP)]]/(100%-D.sign_Data[[#This Row],[UTILIDAD (%)]])))-D.sign_Data[[#This Row],[COSTOS OPERACIONALES ($COP)]]</f>
        <v>63640.346574784373</v>
      </c>
      <c r="AB715" s="3">
        <f>+D.sign_Data[[#This Row],[COSTOS OPERACIONALES ($COP)]]+D.sign_Data[[#This Row],[DESFASE ($COP)]]+D.sign_Data[[#This Row],[UTILIDAD ($COP)]]</f>
        <v>447868.93902004499</v>
      </c>
      <c r="AC715" s="101">
        <v>0.05</v>
      </c>
      <c r="AD715" s="15">
        <f>+D.sign_Data[[#This Row],[VALOR NETO ($COP)]]/(100%-D.sign_Data[[#This Row],[MARGEN DE NEGOCIACIÓN (%)]])-D.sign_Data[[#This Row],[VALOR NETO ($COP)]]</f>
        <v>23572.049422107637</v>
      </c>
      <c r="AE715" s="15">
        <f>+(D.sign_Data[[#This Row],[VALOR NETO ($COP)]]+D.sign_Data[[#This Row],[NEGOCIACIÓN ($COP)]])*1%</f>
        <v>4714.4098844215259</v>
      </c>
      <c r="AF715" s="15">
        <f>+(D.sign_Data[[#This Row],[VALOR NETO ($COP)]]+D.sign_Data[[#This Row],[NEGOCIACIÓN ($COP)]])*1%</f>
        <v>4714.4098844215259</v>
      </c>
      <c r="AG715" s="3">
        <f>+D.sign_Data[[#This Row],[VALOR NETO ($COP)]]+D.sign_Data[[#This Row],[NEGOCIACIÓN ($COP)]]+D.sign_Data[[#This Row],[ICA ($COP)]]+D.sign_Data[[#This Row],[4 * 1000 ($COP)]]</f>
        <v>480869.80821099563</v>
      </c>
    </row>
    <row r="716" spans="1:33" ht="60" hidden="1" customHeight="1" x14ac:dyDescent="0.25">
      <c r="A716" s="14"/>
      <c r="B716" s="87" t="s">
        <v>493</v>
      </c>
      <c r="C716" s="182" t="s">
        <v>916</v>
      </c>
      <c r="D716" s="189" t="str">
        <f>VLOOKUP(D.sign_Data[[#This Row],[CÓDIGO]],Descripciones[[CÓDIGO]:[NOMBRE DE SERVICIO]],3,FALSE)</f>
        <v>D2. Edificación en Altura</v>
      </c>
      <c r="E716" s="87" t="s">
        <v>497</v>
      </c>
      <c r="F716" s="88" t="s">
        <v>551</v>
      </c>
      <c r="G716" s="88" t="s">
        <v>536</v>
      </c>
      <c r="H716" s="104" t="s">
        <v>552</v>
      </c>
      <c r="I716" s="89">
        <v>1</v>
      </c>
      <c r="J716" s="88" t="s">
        <v>541</v>
      </c>
      <c r="K716" s="102"/>
      <c r="L716" s="88" t="s">
        <v>547</v>
      </c>
      <c r="M716" s="89" t="s">
        <v>381</v>
      </c>
      <c r="N716" s="90">
        <v>5</v>
      </c>
      <c r="O716" s="27">
        <f>IFERROR(+VLOOKUP(M716,D.sign_Lista_Data[[RESPONSABLE]:[SOFTWARE 
VALOR HORA]],3,FALSE),"0")</f>
        <v>20263.424518743668</v>
      </c>
      <c r="P716" s="3">
        <f t="shared" si="24"/>
        <v>101317.12259371835</v>
      </c>
      <c r="Q716" s="11">
        <f>IFERROR(+VLOOKUP(M716,D.sign_Lista_Data[[RESPONSABLE]:[SOFTWARE 
VALOR HORA]],5,FALSE)*D.sign_Data[[#This Row],[TIEMPO (HORAS)]],0)</f>
        <v>21107.733873691319</v>
      </c>
      <c r="R716" s="11">
        <f>IFERROR(+VLOOKUP(M716,D.sign_Lista_Data[[RESPONSABLE]:[SOFTWARE 
VALOR HORA]],8,FALSE)*D.sign_Data[[#This Row],[TIEMPO (HORAS)]],0)</f>
        <v>17054.274435719919</v>
      </c>
      <c r="S716" s="99"/>
      <c r="T716" s="99"/>
      <c r="U716" s="3">
        <f t="shared" si="25"/>
        <v>139479.13090312958</v>
      </c>
      <c r="V716" s="100">
        <f>D.sign_Data[[#This Row],[TIEMPO (HORAS)]]*Gastos_Operativos[[#Totals],[GASTOS HORA]]</f>
        <v>138947.38536155201</v>
      </c>
      <c r="W716" s="3">
        <f>+D.sign_Data[[#This Row],[COSTO 
DIRECTO ($COP)]]+D.sign_Data[[#This Row],[PRORRATEO GASTOS ($COP)]]</f>
        <v>278426.51626468159</v>
      </c>
      <c r="X716" s="101">
        <v>0.15</v>
      </c>
      <c r="Y716" s="15">
        <f>+D.sign_Data[[#This Row],[COSTOS OPERACIONALES ($COP)]]*D.sign_Data[[#This Row],[DESFASE (%)]]</f>
        <v>41763.977439702234</v>
      </c>
      <c r="Z716" s="101">
        <v>0.16</v>
      </c>
      <c r="AA716" s="15">
        <f>+((D.sign_Data[[#This Row],[COSTOS OPERACIONALES ($COP)]]/(100%-D.sign_Data[[#This Row],[UTILIDAD (%)]])))-D.sign_Data[[#This Row],[COSTOS OPERACIONALES ($COP)]]</f>
        <v>53033.622145653644</v>
      </c>
      <c r="AB716" s="3">
        <f>+D.sign_Data[[#This Row],[COSTOS OPERACIONALES ($COP)]]+D.sign_Data[[#This Row],[DESFASE ($COP)]]+D.sign_Data[[#This Row],[UTILIDAD ($COP)]]</f>
        <v>373224.11585003749</v>
      </c>
      <c r="AC716" s="101">
        <v>0.05</v>
      </c>
      <c r="AD716" s="15">
        <f>+D.sign_Data[[#This Row],[VALOR NETO ($COP)]]/(100%-D.sign_Data[[#This Row],[MARGEN DE NEGOCIACIÓN (%)]])-D.sign_Data[[#This Row],[VALOR NETO ($COP)]]</f>
        <v>19643.37451842305</v>
      </c>
      <c r="AE716" s="15">
        <f>+(D.sign_Data[[#This Row],[VALOR NETO ($COP)]]+D.sign_Data[[#This Row],[NEGOCIACIÓN ($COP)]])*1%</f>
        <v>3928.6749036846054</v>
      </c>
      <c r="AF716" s="15">
        <f>+(D.sign_Data[[#This Row],[VALOR NETO ($COP)]]+D.sign_Data[[#This Row],[NEGOCIACIÓN ($COP)]])*1%</f>
        <v>3928.6749036846054</v>
      </c>
      <c r="AG716" s="3">
        <f>+D.sign_Data[[#This Row],[VALOR NETO ($COP)]]+D.sign_Data[[#This Row],[NEGOCIACIÓN ($COP)]]+D.sign_Data[[#This Row],[ICA ($COP)]]+D.sign_Data[[#This Row],[4 * 1000 ($COP)]]</f>
        <v>400724.84017582971</v>
      </c>
    </row>
    <row r="717" spans="1:33" ht="60" hidden="1" customHeight="1" x14ac:dyDescent="0.25">
      <c r="A717" s="14"/>
      <c r="B717" s="87" t="s">
        <v>493</v>
      </c>
      <c r="C717" s="182" t="s">
        <v>916</v>
      </c>
      <c r="D717" s="189" t="str">
        <f>VLOOKUP(D.sign_Data[[#This Row],[CÓDIGO]],Descripciones[[CÓDIGO]:[NOMBRE DE SERVICIO]],3,FALSE)</f>
        <v>D2. Edificación en Altura</v>
      </c>
      <c r="E717" s="87" t="s">
        <v>497</v>
      </c>
      <c r="F717" s="88" t="s">
        <v>551</v>
      </c>
      <c r="G717" s="88" t="s">
        <v>536</v>
      </c>
      <c r="H717" s="104" t="s">
        <v>552</v>
      </c>
      <c r="I717" s="89">
        <v>1</v>
      </c>
      <c r="J717" s="88" t="s">
        <v>541</v>
      </c>
      <c r="K717" s="102"/>
      <c r="L717" s="88" t="s">
        <v>562</v>
      </c>
      <c r="M717" s="89" t="s">
        <v>381</v>
      </c>
      <c r="N717" s="90">
        <v>9</v>
      </c>
      <c r="O717" s="27">
        <f>IFERROR(+VLOOKUP(M717,D.sign_Lista_Data[[RESPONSABLE]:[SOFTWARE 
VALOR HORA]],3,FALSE),"0")</f>
        <v>20263.424518743668</v>
      </c>
      <c r="P717" s="3">
        <f t="shared" si="24"/>
        <v>182370.82066869302</v>
      </c>
      <c r="Q717" s="11">
        <f>IFERROR(+VLOOKUP(M717,D.sign_Lista_Data[[RESPONSABLE]:[SOFTWARE 
VALOR HORA]],5,FALSE)*D.sign_Data[[#This Row],[TIEMPO (HORAS)]],0)</f>
        <v>37993.920972644373</v>
      </c>
      <c r="R717" s="11">
        <f>IFERROR(+VLOOKUP(M717,D.sign_Lista_Data[[RESPONSABLE]:[SOFTWARE 
VALOR HORA]],8,FALSE)*D.sign_Data[[#This Row],[TIEMPO (HORAS)]],0)</f>
        <v>30697.693984295853</v>
      </c>
      <c r="S717" s="99"/>
      <c r="T717" s="99"/>
      <c r="U717" s="3">
        <f t="shared" si="25"/>
        <v>251062.43562563325</v>
      </c>
      <c r="V717" s="100">
        <f>D.sign_Data[[#This Row],[TIEMPO (HORAS)]]*Gastos_Operativos[[#Totals],[GASTOS HORA]]</f>
        <v>250105.29365079361</v>
      </c>
      <c r="W717" s="3">
        <f>+D.sign_Data[[#This Row],[COSTO 
DIRECTO ($COP)]]+D.sign_Data[[#This Row],[PRORRATEO GASTOS ($COP)]]</f>
        <v>501167.72927642683</v>
      </c>
      <c r="X717" s="101">
        <v>0.15</v>
      </c>
      <c r="Y717" s="15">
        <f>+D.sign_Data[[#This Row],[COSTOS OPERACIONALES ($COP)]]*D.sign_Data[[#This Row],[DESFASE (%)]]</f>
        <v>75175.159391464025</v>
      </c>
      <c r="Z717" s="101">
        <v>0.16</v>
      </c>
      <c r="AA717" s="15">
        <f>+((D.sign_Data[[#This Row],[COSTOS OPERACIONALES ($COP)]]/(100%-D.sign_Data[[#This Row],[UTILIDAD (%)]])))-D.sign_Data[[#This Row],[COSTOS OPERACIONALES ($COP)]]</f>
        <v>95460.519862176618</v>
      </c>
      <c r="AB717" s="3">
        <f>+D.sign_Data[[#This Row],[COSTOS OPERACIONALES ($COP)]]+D.sign_Data[[#This Row],[DESFASE ($COP)]]+D.sign_Data[[#This Row],[UTILIDAD ($COP)]]</f>
        <v>671803.40853006742</v>
      </c>
      <c r="AC717" s="101">
        <v>0.05</v>
      </c>
      <c r="AD717" s="15">
        <f>+D.sign_Data[[#This Row],[VALOR NETO ($COP)]]/(100%-D.sign_Data[[#This Row],[MARGEN DE NEGOCIACIÓN (%)]])-D.sign_Data[[#This Row],[VALOR NETO ($COP)]]</f>
        <v>35358.074133161455</v>
      </c>
      <c r="AE717" s="15">
        <f>+(D.sign_Data[[#This Row],[VALOR NETO ($COP)]]+D.sign_Data[[#This Row],[NEGOCIACIÓN ($COP)]])*1%</f>
        <v>7071.6148266322889</v>
      </c>
      <c r="AF717" s="15">
        <f>+(D.sign_Data[[#This Row],[VALOR NETO ($COP)]]+D.sign_Data[[#This Row],[NEGOCIACIÓN ($COP)]])*1%</f>
        <v>7071.6148266322889</v>
      </c>
      <c r="AG717" s="3">
        <f>+D.sign_Data[[#This Row],[VALOR NETO ($COP)]]+D.sign_Data[[#This Row],[NEGOCIACIÓN ($COP)]]+D.sign_Data[[#This Row],[ICA ($COP)]]+D.sign_Data[[#This Row],[4 * 1000 ($COP)]]</f>
        <v>721304.7123164935</v>
      </c>
    </row>
    <row r="718" spans="1:33" ht="60" hidden="1" customHeight="1" x14ac:dyDescent="0.25">
      <c r="A718" s="14"/>
      <c r="B718" s="87" t="s">
        <v>493</v>
      </c>
      <c r="C718" s="182" t="s">
        <v>917</v>
      </c>
      <c r="D718" s="189" t="str">
        <f>VLOOKUP(D.sign_Data[[#This Row],[CÓDIGO]],Descripciones[[CÓDIGO]:[NOMBRE DE SERVICIO]],3,FALSE)</f>
        <v>D2. Edificación en Altura</v>
      </c>
      <c r="E718" s="87" t="s">
        <v>497</v>
      </c>
      <c r="F718" s="88" t="s">
        <v>918</v>
      </c>
      <c r="G718" s="88" t="s">
        <v>565</v>
      </c>
      <c r="H718" s="104" t="s">
        <v>552</v>
      </c>
      <c r="I718" s="89">
        <v>1</v>
      </c>
      <c r="J718" s="88" t="s">
        <v>603</v>
      </c>
      <c r="K718" s="102"/>
      <c r="L718" s="88" t="s">
        <v>567</v>
      </c>
      <c r="M718" s="89" t="s">
        <v>381</v>
      </c>
      <c r="N718" s="90">
        <v>0.2</v>
      </c>
      <c r="O718" s="27">
        <f>IFERROR(+VLOOKUP(M718,D.sign_Lista_Data[[RESPONSABLE]:[SOFTWARE 
VALOR HORA]],3,FALSE),"0")</f>
        <v>20263.424518743668</v>
      </c>
      <c r="P718" s="3">
        <f t="shared" si="24"/>
        <v>4052.6849037487336</v>
      </c>
      <c r="Q718" s="11">
        <f>IFERROR(+VLOOKUP(M718,D.sign_Lista_Data[[RESPONSABLE]:[SOFTWARE 
VALOR HORA]],5,FALSE)*D.sign_Data[[#This Row],[TIEMPO (HORAS)]],0)</f>
        <v>844.30935494765276</v>
      </c>
      <c r="R718" s="11">
        <f>IFERROR(+VLOOKUP(M718,D.sign_Lista_Data[[RESPONSABLE]:[SOFTWARE 
VALOR HORA]],8,FALSE)*D.sign_Data[[#This Row],[TIEMPO (HORAS)]],0)</f>
        <v>682.17097742879673</v>
      </c>
      <c r="S718" s="99"/>
      <c r="T718" s="99"/>
      <c r="U718" s="3">
        <f t="shared" si="25"/>
        <v>5579.1652361251827</v>
      </c>
      <c r="V718" s="100">
        <f>D.sign_Data[[#This Row],[TIEMPO (HORAS)]]*Gastos_Operativos[[#Totals],[GASTOS HORA]]</f>
        <v>5557.8954144620802</v>
      </c>
      <c r="W718" s="3">
        <f>+D.sign_Data[[#This Row],[COSTO 
DIRECTO ($COP)]]+D.sign_Data[[#This Row],[PRORRATEO GASTOS ($COP)]]</f>
        <v>11137.060650587264</v>
      </c>
      <c r="X718" s="101">
        <v>0.1</v>
      </c>
      <c r="Y718" s="15">
        <f>+D.sign_Data[[#This Row],[COSTOS OPERACIONALES ($COP)]]*D.sign_Data[[#This Row],[DESFASE (%)]]</f>
        <v>1113.7060650587264</v>
      </c>
      <c r="Z718" s="101">
        <v>0.15</v>
      </c>
      <c r="AA718" s="15">
        <f>+((D.sign_Data[[#This Row],[COSTOS OPERACIONALES ($COP)]]/(100%-D.sign_Data[[#This Row],[UTILIDAD (%)]])))-D.sign_Data[[#This Row],[COSTOS OPERACIONALES ($COP)]]</f>
        <v>1965.3636442212828</v>
      </c>
      <c r="AB718" s="3">
        <f>+D.sign_Data[[#This Row],[COSTOS OPERACIONALES ($COP)]]+D.sign_Data[[#This Row],[DESFASE ($COP)]]+D.sign_Data[[#This Row],[UTILIDAD ($COP)]]</f>
        <v>14216.130359867273</v>
      </c>
      <c r="AC718" s="101">
        <v>0.05</v>
      </c>
      <c r="AD718" s="15">
        <f>+D.sign_Data[[#This Row],[VALOR NETO ($COP)]]/(100%-D.sign_Data[[#This Row],[MARGEN DE NEGOCIACIÓN (%)]])-D.sign_Data[[#This Row],[VALOR NETO ($COP)]]</f>
        <v>748.21738736143561</v>
      </c>
      <c r="AE718" s="15">
        <f>+(D.sign_Data[[#This Row],[VALOR NETO ($COP)]]+D.sign_Data[[#This Row],[NEGOCIACIÓN ($COP)]])*1%</f>
        <v>149.64347747228709</v>
      </c>
      <c r="AF718" s="15">
        <f>+(D.sign_Data[[#This Row],[VALOR NETO ($COP)]]+D.sign_Data[[#This Row],[NEGOCIACIÓN ($COP)]])*1%</f>
        <v>149.64347747228709</v>
      </c>
      <c r="AG718" s="3">
        <f>+D.sign_Data[[#This Row],[VALOR NETO ($COP)]]+D.sign_Data[[#This Row],[NEGOCIACIÓN ($COP)]]+D.sign_Data[[#This Row],[ICA ($COP)]]+D.sign_Data[[#This Row],[4 * 1000 ($COP)]]</f>
        <v>15263.634702173284</v>
      </c>
    </row>
    <row r="719" spans="1:33" ht="60" hidden="1" customHeight="1" x14ac:dyDescent="0.25">
      <c r="A719" s="14"/>
      <c r="B719" s="87" t="s">
        <v>493</v>
      </c>
      <c r="C719" s="182" t="s">
        <v>917</v>
      </c>
      <c r="D719" s="189" t="str">
        <f>VLOOKUP(D.sign_Data[[#This Row],[CÓDIGO]],Descripciones[[CÓDIGO]:[NOMBRE DE SERVICIO]],3,FALSE)</f>
        <v>D2. Edificación en Altura</v>
      </c>
      <c r="E719" s="87" t="s">
        <v>497</v>
      </c>
      <c r="F719" s="88" t="s">
        <v>918</v>
      </c>
      <c r="G719" s="88" t="s">
        <v>565</v>
      </c>
      <c r="H719" s="104" t="s">
        <v>552</v>
      </c>
      <c r="I719" s="89">
        <v>1</v>
      </c>
      <c r="J719" s="88" t="s">
        <v>603</v>
      </c>
      <c r="K719" s="102"/>
      <c r="L719" s="88" t="s">
        <v>604</v>
      </c>
      <c r="M719" s="89" t="s">
        <v>381</v>
      </c>
      <c r="N719" s="90">
        <v>0.1</v>
      </c>
      <c r="O719" s="27">
        <f>IFERROR(+VLOOKUP(M719,D.sign_Lista_Data[[RESPONSABLE]:[SOFTWARE 
VALOR HORA]],3,FALSE),"0")</f>
        <v>20263.424518743668</v>
      </c>
      <c r="P719" s="3">
        <f t="shared" si="24"/>
        <v>2026.3424518743668</v>
      </c>
      <c r="Q719" s="11">
        <f>IFERROR(+VLOOKUP(M719,D.sign_Lista_Data[[RESPONSABLE]:[SOFTWARE 
VALOR HORA]],5,FALSE)*D.sign_Data[[#This Row],[TIEMPO (HORAS)]],0)</f>
        <v>422.15467747382638</v>
      </c>
      <c r="R719" s="11">
        <f>IFERROR(+VLOOKUP(M719,D.sign_Lista_Data[[RESPONSABLE]:[SOFTWARE 
VALOR HORA]],8,FALSE)*D.sign_Data[[#This Row],[TIEMPO (HORAS)]],0)</f>
        <v>341.08548871439837</v>
      </c>
      <c r="S719" s="99"/>
      <c r="T719" s="99"/>
      <c r="U719" s="3">
        <f t="shared" si="25"/>
        <v>2789.5826180625913</v>
      </c>
      <c r="V719" s="100">
        <f>D.sign_Data[[#This Row],[TIEMPO (HORAS)]]*Gastos_Operativos[[#Totals],[GASTOS HORA]]</f>
        <v>2778.9477072310401</v>
      </c>
      <c r="W719" s="3">
        <f>+D.sign_Data[[#This Row],[COSTO 
DIRECTO ($COP)]]+D.sign_Data[[#This Row],[PRORRATEO GASTOS ($COP)]]</f>
        <v>5568.5303252936319</v>
      </c>
      <c r="X719" s="101">
        <v>0.1</v>
      </c>
      <c r="Y719" s="15">
        <f>+D.sign_Data[[#This Row],[COSTOS OPERACIONALES ($COP)]]*D.sign_Data[[#This Row],[DESFASE (%)]]</f>
        <v>556.85303252936319</v>
      </c>
      <c r="Z719" s="101">
        <v>0.15</v>
      </c>
      <c r="AA719" s="15">
        <f>+((D.sign_Data[[#This Row],[COSTOS OPERACIONALES ($COP)]]/(100%-D.sign_Data[[#This Row],[UTILIDAD (%)]])))-D.sign_Data[[#This Row],[COSTOS OPERACIONALES ($COP)]]</f>
        <v>982.68182211064141</v>
      </c>
      <c r="AB719" s="3">
        <f>+D.sign_Data[[#This Row],[COSTOS OPERACIONALES ($COP)]]+D.sign_Data[[#This Row],[DESFASE ($COP)]]+D.sign_Data[[#This Row],[UTILIDAD ($COP)]]</f>
        <v>7108.0651799336365</v>
      </c>
      <c r="AC719" s="101">
        <v>0.05</v>
      </c>
      <c r="AD719" s="15">
        <f>+D.sign_Data[[#This Row],[VALOR NETO ($COP)]]/(100%-D.sign_Data[[#This Row],[MARGEN DE NEGOCIACIÓN (%)]])-D.sign_Data[[#This Row],[VALOR NETO ($COP)]]</f>
        <v>374.10869368071781</v>
      </c>
      <c r="AE719" s="15">
        <f>+(D.sign_Data[[#This Row],[VALOR NETO ($COP)]]+D.sign_Data[[#This Row],[NEGOCIACIÓN ($COP)]])*1%</f>
        <v>74.821738736143544</v>
      </c>
      <c r="AF719" s="15">
        <f>+(D.sign_Data[[#This Row],[VALOR NETO ($COP)]]+D.sign_Data[[#This Row],[NEGOCIACIÓN ($COP)]])*1%</f>
        <v>74.821738736143544</v>
      </c>
      <c r="AG719" s="3">
        <f>+D.sign_Data[[#This Row],[VALOR NETO ($COP)]]+D.sign_Data[[#This Row],[NEGOCIACIÓN ($COP)]]+D.sign_Data[[#This Row],[ICA ($COP)]]+D.sign_Data[[#This Row],[4 * 1000 ($COP)]]</f>
        <v>7631.8173510866418</v>
      </c>
    </row>
    <row r="720" spans="1:33" ht="60" hidden="1" customHeight="1" x14ac:dyDescent="0.25">
      <c r="A720" s="14"/>
      <c r="B720" s="87" t="s">
        <v>493</v>
      </c>
      <c r="C720" s="182" t="s">
        <v>917</v>
      </c>
      <c r="D720" s="189" t="str">
        <f>VLOOKUP(D.sign_Data[[#This Row],[CÓDIGO]],Descripciones[[CÓDIGO]:[NOMBRE DE SERVICIO]],3,FALSE)</f>
        <v>D2. Edificación en Altura</v>
      </c>
      <c r="E720" s="87" t="s">
        <v>497</v>
      </c>
      <c r="F720" s="88" t="s">
        <v>918</v>
      </c>
      <c r="G720" s="88" t="s">
        <v>565</v>
      </c>
      <c r="H720" s="104" t="s">
        <v>552</v>
      </c>
      <c r="I720" s="89">
        <v>1</v>
      </c>
      <c r="J720" s="88" t="s">
        <v>603</v>
      </c>
      <c r="K720" s="102"/>
      <c r="L720" s="88" t="s">
        <v>570</v>
      </c>
      <c r="M720" s="89" t="s">
        <v>381</v>
      </c>
      <c r="N720" s="90">
        <v>0.5</v>
      </c>
      <c r="O720" s="27">
        <f>IFERROR(+VLOOKUP(M720,D.sign_Lista_Data[[RESPONSABLE]:[SOFTWARE 
VALOR HORA]],3,FALSE),"0")</f>
        <v>20263.424518743668</v>
      </c>
      <c r="P720" s="3">
        <f t="shared" si="24"/>
        <v>10131.712259371834</v>
      </c>
      <c r="Q720" s="11">
        <f>IFERROR(+VLOOKUP(M720,D.sign_Lista_Data[[RESPONSABLE]:[SOFTWARE 
VALOR HORA]],5,FALSE)*D.sign_Data[[#This Row],[TIEMPO (HORAS)]],0)</f>
        <v>2110.7733873691318</v>
      </c>
      <c r="R720" s="11">
        <f>IFERROR(+VLOOKUP(M720,D.sign_Lista_Data[[RESPONSABLE]:[SOFTWARE 
VALOR HORA]],8,FALSE)*D.sign_Data[[#This Row],[TIEMPO (HORAS)]],0)</f>
        <v>1705.4274435719917</v>
      </c>
      <c r="S720" s="99"/>
      <c r="T720" s="99"/>
      <c r="U720" s="3">
        <f t="shared" si="25"/>
        <v>13947.913090312959</v>
      </c>
      <c r="V720" s="100">
        <f>D.sign_Data[[#This Row],[TIEMPO (HORAS)]]*Gastos_Operativos[[#Totals],[GASTOS HORA]]</f>
        <v>13894.738536155201</v>
      </c>
      <c r="W720" s="3">
        <f>+D.sign_Data[[#This Row],[COSTO 
DIRECTO ($COP)]]+D.sign_Data[[#This Row],[PRORRATEO GASTOS ($COP)]]</f>
        <v>27842.65162646816</v>
      </c>
      <c r="X720" s="101">
        <v>0.1</v>
      </c>
      <c r="Y720" s="15">
        <f>+D.sign_Data[[#This Row],[COSTOS OPERACIONALES ($COP)]]*D.sign_Data[[#This Row],[DESFASE (%)]]</f>
        <v>2784.265162646816</v>
      </c>
      <c r="Z720" s="101">
        <v>0.15</v>
      </c>
      <c r="AA720" s="15">
        <f>+((D.sign_Data[[#This Row],[COSTOS OPERACIONALES ($COP)]]/(100%-D.sign_Data[[#This Row],[UTILIDAD (%)]])))-D.sign_Data[[#This Row],[COSTOS OPERACIONALES ($COP)]]</f>
        <v>4913.4091105532061</v>
      </c>
      <c r="AB720" s="3">
        <f>+D.sign_Data[[#This Row],[COSTOS OPERACIONALES ($COP)]]+D.sign_Data[[#This Row],[DESFASE ($COP)]]+D.sign_Data[[#This Row],[UTILIDAD ($COP)]]</f>
        <v>35540.325899668183</v>
      </c>
      <c r="AC720" s="101">
        <v>0.05</v>
      </c>
      <c r="AD720" s="15">
        <f>+D.sign_Data[[#This Row],[VALOR NETO ($COP)]]/(100%-D.sign_Data[[#This Row],[MARGEN DE NEGOCIACIÓN (%)]])-D.sign_Data[[#This Row],[VALOR NETO ($COP)]]</f>
        <v>1870.5434684035936</v>
      </c>
      <c r="AE720" s="15">
        <f>+(D.sign_Data[[#This Row],[VALOR NETO ($COP)]]+D.sign_Data[[#This Row],[NEGOCIACIÓN ($COP)]])*1%</f>
        <v>374.10869368071775</v>
      </c>
      <c r="AF720" s="15">
        <f>+(D.sign_Data[[#This Row],[VALOR NETO ($COP)]]+D.sign_Data[[#This Row],[NEGOCIACIÓN ($COP)]])*1%</f>
        <v>374.10869368071775</v>
      </c>
      <c r="AG720" s="3">
        <f>+D.sign_Data[[#This Row],[VALOR NETO ($COP)]]+D.sign_Data[[#This Row],[NEGOCIACIÓN ($COP)]]+D.sign_Data[[#This Row],[ICA ($COP)]]+D.sign_Data[[#This Row],[4 * 1000 ($COP)]]</f>
        <v>38159.086755433214</v>
      </c>
    </row>
    <row r="721" spans="1:33" ht="60" hidden="1" customHeight="1" x14ac:dyDescent="0.25">
      <c r="A721" s="14"/>
      <c r="B721" s="87" t="s">
        <v>493</v>
      </c>
      <c r="C721" s="182" t="s">
        <v>917</v>
      </c>
      <c r="D721" s="189" t="str">
        <f>VLOOKUP(D.sign_Data[[#This Row],[CÓDIGO]],Descripciones[[CÓDIGO]:[NOMBRE DE SERVICIO]],3,FALSE)</f>
        <v>D2. Edificación en Altura</v>
      </c>
      <c r="E721" s="87" t="s">
        <v>497</v>
      </c>
      <c r="F721" s="88" t="s">
        <v>918</v>
      </c>
      <c r="G721" s="88" t="s">
        <v>565</v>
      </c>
      <c r="H721" s="104" t="s">
        <v>552</v>
      </c>
      <c r="I721" s="89">
        <v>1</v>
      </c>
      <c r="J721" s="88" t="s">
        <v>603</v>
      </c>
      <c r="K721" s="102"/>
      <c r="L721" s="88" t="s">
        <v>571</v>
      </c>
      <c r="M721" s="89" t="s">
        <v>381</v>
      </c>
      <c r="N721" s="90">
        <v>0.1</v>
      </c>
      <c r="O721" s="27">
        <f>IFERROR(+VLOOKUP(M721,D.sign_Lista_Data[[RESPONSABLE]:[SOFTWARE 
VALOR HORA]],3,FALSE),"0")</f>
        <v>20263.424518743668</v>
      </c>
      <c r="P721" s="3">
        <f t="shared" si="24"/>
        <v>2026.3424518743668</v>
      </c>
      <c r="Q721" s="11">
        <f>IFERROR(+VLOOKUP(M721,D.sign_Lista_Data[[RESPONSABLE]:[SOFTWARE 
VALOR HORA]],5,FALSE)*D.sign_Data[[#This Row],[TIEMPO (HORAS)]],0)</f>
        <v>422.15467747382638</v>
      </c>
      <c r="R721" s="11">
        <f>IFERROR(+VLOOKUP(M721,D.sign_Lista_Data[[RESPONSABLE]:[SOFTWARE 
VALOR HORA]],8,FALSE)*D.sign_Data[[#This Row],[TIEMPO (HORAS)]],0)</f>
        <v>341.08548871439837</v>
      </c>
      <c r="S721" s="99"/>
      <c r="T721" s="99"/>
      <c r="U721" s="3">
        <f t="shared" si="25"/>
        <v>2789.5826180625913</v>
      </c>
      <c r="V721" s="100">
        <f>D.sign_Data[[#This Row],[TIEMPO (HORAS)]]*Gastos_Operativos[[#Totals],[GASTOS HORA]]</f>
        <v>2778.9477072310401</v>
      </c>
      <c r="W721" s="3">
        <f>+D.sign_Data[[#This Row],[COSTO 
DIRECTO ($COP)]]+D.sign_Data[[#This Row],[PRORRATEO GASTOS ($COP)]]</f>
        <v>5568.5303252936319</v>
      </c>
      <c r="X721" s="101">
        <v>0.1</v>
      </c>
      <c r="Y721" s="15">
        <f>+D.sign_Data[[#This Row],[COSTOS OPERACIONALES ($COP)]]*D.sign_Data[[#This Row],[DESFASE (%)]]</f>
        <v>556.85303252936319</v>
      </c>
      <c r="Z721" s="101">
        <v>0.15</v>
      </c>
      <c r="AA721" s="15">
        <f>+((D.sign_Data[[#This Row],[COSTOS OPERACIONALES ($COP)]]/(100%-D.sign_Data[[#This Row],[UTILIDAD (%)]])))-D.sign_Data[[#This Row],[COSTOS OPERACIONALES ($COP)]]</f>
        <v>982.68182211064141</v>
      </c>
      <c r="AB721" s="3">
        <f>+D.sign_Data[[#This Row],[COSTOS OPERACIONALES ($COP)]]+D.sign_Data[[#This Row],[DESFASE ($COP)]]+D.sign_Data[[#This Row],[UTILIDAD ($COP)]]</f>
        <v>7108.0651799336365</v>
      </c>
      <c r="AC721" s="101">
        <v>0.05</v>
      </c>
      <c r="AD721" s="15">
        <f>+D.sign_Data[[#This Row],[VALOR NETO ($COP)]]/(100%-D.sign_Data[[#This Row],[MARGEN DE NEGOCIACIÓN (%)]])-D.sign_Data[[#This Row],[VALOR NETO ($COP)]]</f>
        <v>374.10869368071781</v>
      </c>
      <c r="AE721" s="15">
        <f>+(D.sign_Data[[#This Row],[VALOR NETO ($COP)]]+D.sign_Data[[#This Row],[NEGOCIACIÓN ($COP)]])*1%</f>
        <v>74.821738736143544</v>
      </c>
      <c r="AF721" s="15">
        <f>+(D.sign_Data[[#This Row],[VALOR NETO ($COP)]]+D.sign_Data[[#This Row],[NEGOCIACIÓN ($COP)]])*1%</f>
        <v>74.821738736143544</v>
      </c>
      <c r="AG721" s="3">
        <f>+D.sign_Data[[#This Row],[VALOR NETO ($COP)]]+D.sign_Data[[#This Row],[NEGOCIACIÓN ($COP)]]+D.sign_Data[[#This Row],[ICA ($COP)]]+D.sign_Data[[#This Row],[4 * 1000 ($COP)]]</f>
        <v>7631.8173510866418</v>
      </c>
    </row>
    <row r="722" spans="1:33" ht="60" hidden="1" customHeight="1" x14ac:dyDescent="0.25">
      <c r="A722" s="14"/>
      <c r="B722" s="87" t="s">
        <v>493</v>
      </c>
      <c r="C722" s="182" t="s">
        <v>917</v>
      </c>
      <c r="D722" s="189" t="str">
        <f>VLOOKUP(D.sign_Data[[#This Row],[CÓDIGO]],Descripciones[[CÓDIGO]:[NOMBRE DE SERVICIO]],3,FALSE)</f>
        <v>D2. Edificación en Altura</v>
      </c>
      <c r="E722" s="87" t="s">
        <v>497</v>
      </c>
      <c r="F722" s="88" t="s">
        <v>918</v>
      </c>
      <c r="G722" s="88" t="s">
        <v>565</v>
      </c>
      <c r="H722" s="104" t="s">
        <v>552</v>
      </c>
      <c r="I722" s="89">
        <v>1</v>
      </c>
      <c r="J722" s="88" t="s">
        <v>603</v>
      </c>
      <c r="K722" s="102"/>
      <c r="L722" s="88" t="s">
        <v>572</v>
      </c>
      <c r="M722" s="89" t="s">
        <v>381</v>
      </c>
      <c r="N722" s="90">
        <v>0.1</v>
      </c>
      <c r="O722" s="27">
        <f>IFERROR(+VLOOKUP(M722,D.sign_Lista_Data[[RESPONSABLE]:[SOFTWARE 
VALOR HORA]],3,FALSE),"0")</f>
        <v>20263.424518743668</v>
      </c>
      <c r="P722" s="3">
        <f t="shared" si="24"/>
        <v>2026.3424518743668</v>
      </c>
      <c r="Q722" s="11">
        <f>IFERROR(+VLOOKUP(M722,D.sign_Lista_Data[[RESPONSABLE]:[SOFTWARE 
VALOR HORA]],5,FALSE)*D.sign_Data[[#This Row],[TIEMPO (HORAS)]],0)</f>
        <v>422.15467747382638</v>
      </c>
      <c r="R722" s="11">
        <f>IFERROR(+VLOOKUP(M722,D.sign_Lista_Data[[RESPONSABLE]:[SOFTWARE 
VALOR HORA]],8,FALSE)*D.sign_Data[[#This Row],[TIEMPO (HORAS)]],0)</f>
        <v>341.08548871439837</v>
      </c>
      <c r="S722" s="99"/>
      <c r="T722" s="99"/>
      <c r="U722" s="3">
        <f t="shared" si="25"/>
        <v>2789.5826180625913</v>
      </c>
      <c r="V722" s="100">
        <f>D.sign_Data[[#This Row],[TIEMPO (HORAS)]]*Gastos_Operativos[[#Totals],[GASTOS HORA]]</f>
        <v>2778.9477072310401</v>
      </c>
      <c r="W722" s="3">
        <f>+D.sign_Data[[#This Row],[COSTO 
DIRECTO ($COP)]]+D.sign_Data[[#This Row],[PRORRATEO GASTOS ($COP)]]</f>
        <v>5568.5303252936319</v>
      </c>
      <c r="X722" s="101">
        <v>0.1</v>
      </c>
      <c r="Y722" s="15">
        <f>+D.sign_Data[[#This Row],[COSTOS OPERACIONALES ($COP)]]*D.sign_Data[[#This Row],[DESFASE (%)]]</f>
        <v>556.85303252936319</v>
      </c>
      <c r="Z722" s="101">
        <v>0.15</v>
      </c>
      <c r="AA722" s="15">
        <f>+((D.sign_Data[[#This Row],[COSTOS OPERACIONALES ($COP)]]/(100%-D.sign_Data[[#This Row],[UTILIDAD (%)]])))-D.sign_Data[[#This Row],[COSTOS OPERACIONALES ($COP)]]</f>
        <v>982.68182211064141</v>
      </c>
      <c r="AB722" s="3">
        <f>+D.sign_Data[[#This Row],[COSTOS OPERACIONALES ($COP)]]+D.sign_Data[[#This Row],[DESFASE ($COP)]]+D.sign_Data[[#This Row],[UTILIDAD ($COP)]]</f>
        <v>7108.0651799336365</v>
      </c>
      <c r="AC722" s="101">
        <v>0.05</v>
      </c>
      <c r="AD722" s="15">
        <f>+D.sign_Data[[#This Row],[VALOR NETO ($COP)]]/(100%-D.sign_Data[[#This Row],[MARGEN DE NEGOCIACIÓN (%)]])-D.sign_Data[[#This Row],[VALOR NETO ($COP)]]</f>
        <v>374.10869368071781</v>
      </c>
      <c r="AE722" s="15">
        <f>+(D.sign_Data[[#This Row],[VALOR NETO ($COP)]]+D.sign_Data[[#This Row],[NEGOCIACIÓN ($COP)]])*1%</f>
        <v>74.821738736143544</v>
      </c>
      <c r="AF722" s="15">
        <f>+(D.sign_Data[[#This Row],[VALOR NETO ($COP)]]+D.sign_Data[[#This Row],[NEGOCIACIÓN ($COP)]])*1%</f>
        <v>74.821738736143544</v>
      </c>
      <c r="AG722" s="3">
        <f>+D.sign_Data[[#This Row],[VALOR NETO ($COP)]]+D.sign_Data[[#This Row],[NEGOCIACIÓN ($COP)]]+D.sign_Data[[#This Row],[ICA ($COP)]]+D.sign_Data[[#This Row],[4 * 1000 ($COP)]]</f>
        <v>7631.8173510866418</v>
      </c>
    </row>
    <row r="723" spans="1:33" ht="60" hidden="1" customHeight="1" x14ac:dyDescent="0.25">
      <c r="A723" s="14"/>
      <c r="B723" s="87" t="s">
        <v>493</v>
      </c>
      <c r="C723" s="182" t="s">
        <v>917</v>
      </c>
      <c r="D723" s="189" t="str">
        <f>VLOOKUP(D.sign_Data[[#This Row],[CÓDIGO]],Descripciones[[CÓDIGO]:[NOMBRE DE SERVICIO]],3,FALSE)</f>
        <v>D2. Edificación en Altura</v>
      </c>
      <c r="E723" s="87" t="s">
        <v>497</v>
      </c>
      <c r="F723" s="88" t="s">
        <v>918</v>
      </c>
      <c r="G723" s="88" t="s">
        <v>573</v>
      </c>
      <c r="H723" s="104" t="s">
        <v>552</v>
      </c>
      <c r="I723" s="89">
        <v>1</v>
      </c>
      <c r="J723" s="88" t="s">
        <v>605</v>
      </c>
      <c r="K723" s="102"/>
      <c r="L723" s="88" t="s">
        <v>575</v>
      </c>
      <c r="M723" s="89" t="s">
        <v>381</v>
      </c>
      <c r="N723" s="90">
        <v>0.2</v>
      </c>
      <c r="O723" s="27">
        <f>IFERROR(+VLOOKUP(M723,D.sign_Lista_Data[[RESPONSABLE]:[SOFTWARE 
VALOR HORA]],3,FALSE),"0")</f>
        <v>20263.424518743668</v>
      </c>
      <c r="P723" s="3">
        <f t="shared" si="24"/>
        <v>4052.6849037487336</v>
      </c>
      <c r="Q723" s="11">
        <f>IFERROR(+VLOOKUP(M723,D.sign_Lista_Data[[RESPONSABLE]:[SOFTWARE 
VALOR HORA]],5,FALSE)*D.sign_Data[[#This Row],[TIEMPO (HORAS)]],0)</f>
        <v>844.30935494765276</v>
      </c>
      <c r="R723" s="11">
        <f>IFERROR(+VLOOKUP(M723,D.sign_Lista_Data[[RESPONSABLE]:[SOFTWARE 
VALOR HORA]],8,FALSE)*D.sign_Data[[#This Row],[TIEMPO (HORAS)]],0)</f>
        <v>682.17097742879673</v>
      </c>
      <c r="S723" s="99"/>
      <c r="T723" s="99"/>
      <c r="U723" s="3">
        <f t="shared" si="25"/>
        <v>5579.1652361251827</v>
      </c>
      <c r="V723" s="100">
        <f>D.sign_Data[[#This Row],[TIEMPO (HORAS)]]*Gastos_Operativos[[#Totals],[GASTOS HORA]]</f>
        <v>5557.8954144620802</v>
      </c>
      <c r="W723" s="3">
        <f>+D.sign_Data[[#This Row],[COSTO 
DIRECTO ($COP)]]+D.sign_Data[[#This Row],[PRORRATEO GASTOS ($COP)]]</f>
        <v>11137.060650587264</v>
      </c>
      <c r="X723" s="101">
        <v>0.1</v>
      </c>
      <c r="Y723" s="15">
        <f>+D.sign_Data[[#This Row],[COSTOS OPERACIONALES ($COP)]]*D.sign_Data[[#This Row],[DESFASE (%)]]</f>
        <v>1113.7060650587264</v>
      </c>
      <c r="Z723" s="101">
        <v>0.15</v>
      </c>
      <c r="AA723" s="15">
        <f>+((D.sign_Data[[#This Row],[COSTOS OPERACIONALES ($COP)]]/(100%-D.sign_Data[[#This Row],[UTILIDAD (%)]])))-D.sign_Data[[#This Row],[COSTOS OPERACIONALES ($COP)]]</f>
        <v>1965.3636442212828</v>
      </c>
      <c r="AB723" s="3">
        <f>+D.sign_Data[[#This Row],[COSTOS OPERACIONALES ($COP)]]+D.sign_Data[[#This Row],[DESFASE ($COP)]]+D.sign_Data[[#This Row],[UTILIDAD ($COP)]]</f>
        <v>14216.130359867273</v>
      </c>
      <c r="AC723" s="101">
        <v>0.05</v>
      </c>
      <c r="AD723" s="15">
        <f>+D.sign_Data[[#This Row],[VALOR NETO ($COP)]]/(100%-D.sign_Data[[#This Row],[MARGEN DE NEGOCIACIÓN (%)]])-D.sign_Data[[#This Row],[VALOR NETO ($COP)]]</f>
        <v>748.21738736143561</v>
      </c>
      <c r="AE723" s="15">
        <f>+(D.sign_Data[[#This Row],[VALOR NETO ($COP)]]+D.sign_Data[[#This Row],[NEGOCIACIÓN ($COP)]])*1%</f>
        <v>149.64347747228709</v>
      </c>
      <c r="AF723" s="15">
        <f>+(D.sign_Data[[#This Row],[VALOR NETO ($COP)]]+D.sign_Data[[#This Row],[NEGOCIACIÓN ($COP)]])*1%</f>
        <v>149.64347747228709</v>
      </c>
      <c r="AG723" s="3">
        <f>+D.sign_Data[[#This Row],[VALOR NETO ($COP)]]+D.sign_Data[[#This Row],[NEGOCIACIÓN ($COP)]]+D.sign_Data[[#This Row],[ICA ($COP)]]+D.sign_Data[[#This Row],[4 * 1000 ($COP)]]</f>
        <v>15263.634702173284</v>
      </c>
    </row>
    <row r="724" spans="1:33" ht="60" hidden="1" customHeight="1" x14ac:dyDescent="0.25">
      <c r="A724" s="14"/>
      <c r="B724" s="87" t="s">
        <v>493</v>
      </c>
      <c r="C724" s="182" t="s">
        <v>917</v>
      </c>
      <c r="D724" s="189" t="str">
        <f>VLOOKUP(D.sign_Data[[#This Row],[CÓDIGO]],Descripciones[[CÓDIGO]:[NOMBRE DE SERVICIO]],3,FALSE)</f>
        <v>D2. Edificación en Altura</v>
      </c>
      <c r="E724" s="87" t="s">
        <v>497</v>
      </c>
      <c r="F724" s="88" t="s">
        <v>918</v>
      </c>
      <c r="G724" s="88" t="s">
        <v>573</v>
      </c>
      <c r="H724" s="104" t="s">
        <v>552</v>
      </c>
      <c r="I724" s="89">
        <v>1</v>
      </c>
      <c r="J724" s="88" t="s">
        <v>605</v>
      </c>
      <c r="K724" s="102"/>
      <c r="L724" s="88" t="s">
        <v>576</v>
      </c>
      <c r="M724" s="89" t="s">
        <v>381</v>
      </c>
      <c r="N724" s="90">
        <v>5</v>
      </c>
      <c r="O724" s="27">
        <f>IFERROR(+VLOOKUP(M724,D.sign_Lista_Data[[RESPONSABLE]:[SOFTWARE 
VALOR HORA]],3,FALSE),"0")</f>
        <v>20263.424518743668</v>
      </c>
      <c r="P724" s="3">
        <f t="shared" si="24"/>
        <v>101317.12259371835</v>
      </c>
      <c r="Q724" s="11">
        <f>IFERROR(+VLOOKUP(M724,D.sign_Lista_Data[[RESPONSABLE]:[SOFTWARE 
VALOR HORA]],5,FALSE)*D.sign_Data[[#This Row],[TIEMPO (HORAS)]],0)</f>
        <v>21107.733873691319</v>
      </c>
      <c r="R724" s="11">
        <f>IFERROR(+VLOOKUP(M724,D.sign_Lista_Data[[RESPONSABLE]:[SOFTWARE 
VALOR HORA]],8,FALSE)*D.sign_Data[[#This Row],[TIEMPO (HORAS)]],0)</f>
        <v>17054.274435719919</v>
      </c>
      <c r="S724" s="99"/>
      <c r="T724" s="99"/>
      <c r="U724" s="3">
        <f t="shared" si="25"/>
        <v>139479.13090312958</v>
      </c>
      <c r="V724" s="100">
        <f>D.sign_Data[[#This Row],[TIEMPO (HORAS)]]*Gastos_Operativos[[#Totals],[GASTOS HORA]]</f>
        <v>138947.38536155201</v>
      </c>
      <c r="W724" s="3">
        <f>+D.sign_Data[[#This Row],[COSTO 
DIRECTO ($COP)]]+D.sign_Data[[#This Row],[PRORRATEO GASTOS ($COP)]]</f>
        <v>278426.51626468159</v>
      </c>
      <c r="X724" s="101">
        <v>0.1</v>
      </c>
      <c r="Y724" s="15">
        <f>+D.sign_Data[[#This Row],[COSTOS OPERACIONALES ($COP)]]*D.sign_Data[[#This Row],[DESFASE (%)]]</f>
        <v>27842.65162646816</v>
      </c>
      <c r="Z724" s="101">
        <v>0.15</v>
      </c>
      <c r="AA724" s="15">
        <f>+((D.sign_Data[[#This Row],[COSTOS OPERACIONALES ($COP)]]/(100%-D.sign_Data[[#This Row],[UTILIDAD (%)]])))-D.sign_Data[[#This Row],[COSTOS OPERACIONALES ($COP)]]</f>
        <v>49134.091105532076</v>
      </c>
      <c r="AB724" s="3">
        <f>+D.sign_Data[[#This Row],[COSTOS OPERACIONALES ($COP)]]+D.sign_Data[[#This Row],[DESFASE ($COP)]]+D.sign_Data[[#This Row],[UTILIDAD ($COP)]]</f>
        <v>355403.25899668183</v>
      </c>
      <c r="AC724" s="101">
        <v>0.05</v>
      </c>
      <c r="AD724" s="15">
        <f>+D.sign_Data[[#This Row],[VALOR NETO ($COP)]]/(100%-D.sign_Data[[#This Row],[MARGEN DE NEGOCIACIÓN (%)]])-D.sign_Data[[#This Row],[VALOR NETO ($COP)]]</f>
        <v>18705.434684035892</v>
      </c>
      <c r="AE724" s="15">
        <f>+(D.sign_Data[[#This Row],[VALOR NETO ($COP)]]+D.sign_Data[[#This Row],[NEGOCIACIÓN ($COP)]])*1%</f>
        <v>3741.0869368071772</v>
      </c>
      <c r="AF724" s="15">
        <f>+(D.sign_Data[[#This Row],[VALOR NETO ($COP)]]+D.sign_Data[[#This Row],[NEGOCIACIÓN ($COP)]])*1%</f>
        <v>3741.0869368071772</v>
      </c>
      <c r="AG724" s="3">
        <f>+D.sign_Data[[#This Row],[VALOR NETO ($COP)]]+D.sign_Data[[#This Row],[NEGOCIACIÓN ($COP)]]+D.sign_Data[[#This Row],[ICA ($COP)]]+D.sign_Data[[#This Row],[4 * 1000 ($COP)]]</f>
        <v>381590.86755433213</v>
      </c>
    </row>
    <row r="725" spans="1:33" ht="60" hidden="1" customHeight="1" x14ac:dyDescent="0.25">
      <c r="A725" s="14"/>
      <c r="B725" s="87" t="s">
        <v>493</v>
      </c>
      <c r="C725" s="182" t="s">
        <v>917</v>
      </c>
      <c r="D725" s="189" t="str">
        <f>VLOOKUP(D.sign_Data[[#This Row],[CÓDIGO]],Descripciones[[CÓDIGO]:[NOMBRE DE SERVICIO]],3,FALSE)</f>
        <v>D2. Edificación en Altura</v>
      </c>
      <c r="E725" s="87" t="s">
        <v>497</v>
      </c>
      <c r="F725" s="88" t="s">
        <v>918</v>
      </c>
      <c r="G725" s="88" t="s">
        <v>573</v>
      </c>
      <c r="H725" s="104" t="s">
        <v>552</v>
      </c>
      <c r="I725" s="89">
        <v>1</v>
      </c>
      <c r="J725" s="88" t="s">
        <v>605</v>
      </c>
      <c r="K725" s="102"/>
      <c r="L725" s="88" t="s">
        <v>577</v>
      </c>
      <c r="M725" s="89" t="s">
        <v>381</v>
      </c>
      <c r="N725" s="90">
        <v>1</v>
      </c>
      <c r="O725" s="27">
        <f>IFERROR(+VLOOKUP(M725,D.sign_Lista_Data[[RESPONSABLE]:[SOFTWARE 
VALOR HORA]],3,FALSE),"0")</f>
        <v>20263.424518743668</v>
      </c>
      <c r="P725" s="3">
        <f t="shared" si="24"/>
        <v>20263.424518743668</v>
      </c>
      <c r="Q725" s="11">
        <f>IFERROR(+VLOOKUP(M725,D.sign_Lista_Data[[RESPONSABLE]:[SOFTWARE 
VALOR HORA]],5,FALSE)*D.sign_Data[[#This Row],[TIEMPO (HORAS)]],0)</f>
        <v>4221.5467747382636</v>
      </c>
      <c r="R725" s="11">
        <f>IFERROR(+VLOOKUP(M725,D.sign_Lista_Data[[RESPONSABLE]:[SOFTWARE 
VALOR HORA]],8,FALSE)*D.sign_Data[[#This Row],[TIEMPO (HORAS)]],0)</f>
        <v>3410.8548871439834</v>
      </c>
      <c r="S725" s="99"/>
      <c r="T725" s="99"/>
      <c r="U725" s="3">
        <f t="shared" si="25"/>
        <v>27895.826180625918</v>
      </c>
      <c r="V725" s="100">
        <f>D.sign_Data[[#This Row],[TIEMPO (HORAS)]]*Gastos_Operativos[[#Totals],[GASTOS HORA]]</f>
        <v>27789.477072310401</v>
      </c>
      <c r="W725" s="3">
        <f>+D.sign_Data[[#This Row],[COSTO 
DIRECTO ($COP)]]+D.sign_Data[[#This Row],[PRORRATEO GASTOS ($COP)]]</f>
        <v>55685.303252936319</v>
      </c>
      <c r="X725" s="101">
        <v>0.1</v>
      </c>
      <c r="Y725" s="15">
        <f>+D.sign_Data[[#This Row],[COSTOS OPERACIONALES ($COP)]]*D.sign_Data[[#This Row],[DESFASE (%)]]</f>
        <v>5568.5303252936319</v>
      </c>
      <c r="Z725" s="101">
        <v>0.15</v>
      </c>
      <c r="AA725" s="15">
        <f>+((D.sign_Data[[#This Row],[COSTOS OPERACIONALES ($COP)]]/(100%-D.sign_Data[[#This Row],[UTILIDAD (%)]])))-D.sign_Data[[#This Row],[COSTOS OPERACIONALES ($COP)]]</f>
        <v>9826.8182211064122</v>
      </c>
      <c r="AB725" s="3">
        <f>+D.sign_Data[[#This Row],[COSTOS OPERACIONALES ($COP)]]+D.sign_Data[[#This Row],[DESFASE ($COP)]]+D.sign_Data[[#This Row],[UTILIDAD ($COP)]]</f>
        <v>71080.651799336367</v>
      </c>
      <c r="AC725" s="101">
        <v>0.05</v>
      </c>
      <c r="AD725" s="15">
        <f>+D.sign_Data[[#This Row],[VALOR NETO ($COP)]]/(100%-D.sign_Data[[#This Row],[MARGEN DE NEGOCIACIÓN (%)]])-D.sign_Data[[#This Row],[VALOR NETO ($COP)]]</f>
        <v>3741.0869368071872</v>
      </c>
      <c r="AE725" s="15">
        <f>+(D.sign_Data[[#This Row],[VALOR NETO ($COP)]]+D.sign_Data[[#This Row],[NEGOCIACIÓN ($COP)]])*1%</f>
        <v>748.2173873614355</v>
      </c>
      <c r="AF725" s="15">
        <f>+(D.sign_Data[[#This Row],[VALOR NETO ($COP)]]+D.sign_Data[[#This Row],[NEGOCIACIÓN ($COP)]])*1%</f>
        <v>748.2173873614355</v>
      </c>
      <c r="AG725" s="3">
        <f>+D.sign_Data[[#This Row],[VALOR NETO ($COP)]]+D.sign_Data[[#This Row],[NEGOCIACIÓN ($COP)]]+D.sign_Data[[#This Row],[ICA ($COP)]]+D.sign_Data[[#This Row],[4 * 1000 ($COP)]]</f>
        <v>76318.173510866429</v>
      </c>
    </row>
    <row r="726" spans="1:33" ht="60" hidden="1" customHeight="1" x14ac:dyDescent="0.25">
      <c r="A726" s="14"/>
      <c r="B726" s="87" t="s">
        <v>493</v>
      </c>
      <c r="C726" s="182" t="s">
        <v>917</v>
      </c>
      <c r="D726" s="189" t="str">
        <f>VLOOKUP(D.sign_Data[[#This Row],[CÓDIGO]],Descripciones[[CÓDIGO]:[NOMBRE DE SERVICIO]],3,FALSE)</f>
        <v>D2. Edificación en Altura</v>
      </c>
      <c r="E726" s="87" t="s">
        <v>497</v>
      </c>
      <c r="F726" s="88" t="s">
        <v>918</v>
      </c>
      <c r="G726" s="88" t="s">
        <v>573</v>
      </c>
      <c r="H726" s="104" t="s">
        <v>552</v>
      </c>
      <c r="I726" s="89">
        <v>1</v>
      </c>
      <c r="J726" s="88" t="s">
        <v>605</v>
      </c>
      <c r="K726" s="102"/>
      <c r="L726" s="88" t="s">
        <v>606</v>
      </c>
      <c r="M726" s="89" t="s">
        <v>381</v>
      </c>
      <c r="N726" s="90">
        <v>1</v>
      </c>
      <c r="O726" s="27">
        <f>IFERROR(+VLOOKUP(M726,D.sign_Lista_Data[[RESPONSABLE]:[SOFTWARE 
VALOR HORA]],3,FALSE),"0")</f>
        <v>20263.424518743668</v>
      </c>
      <c r="P726" s="3">
        <f t="shared" si="24"/>
        <v>20263.424518743668</v>
      </c>
      <c r="Q726" s="11">
        <f>IFERROR(+VLOOKUP(M726,D.sign_Lista_Data[[RESPONSABLE]:[SOFTWARE 
VALOR HORA]],5,FALSE)*D.sign_Data[[#This Row],[TIEMPO (HORAS)]],0)</f>
        <v>4221.5467747382636</v>
      </c>
      <c r="R726" s="11">
        <f>IFERROR(+VLOOKUP(M726,D.sign_Lista_Data[[RESPONSABLE]:[SOFTWARE 
VALOR HORA]],8,FALSE)*D.sign_Data[[#This Row],[TIEMPO (HORAS)]],0)</f>
        <v>3410.8548871439834</v>
      </c>
      <c r="S726" s="99"/>
      <c r="T726" s="99"/>
      <c r="U726" s="3">
        <f t="shared" si="25"/>
        <v>27895.826180625918</v>
      </c>
      <c r="V726" s="100">
        <f>D.sign_Data[[#This Row],[TIEMPO (HORAS)]]*Gastos_Operativos[[#Totals],[GASTOS HORA]]</f>
        <v>27789.477072310401</v>
      </c>
      <c r="W726" s="3">
        <f>+D.sign_Data[[#This Row],[COSTO 
DIRECTO ($COP)]]+D.sign_Data[[#This Row],[PRORRATEO GASTOS ($COP)]]</f>
        <v>55685.303252936319</v>
      </c>
      <c r="X726" s="101">
        <v>0.1</v>
      </c>
      <c r="Y726" s="15">
        <f>+D.sign_Data[[#This Row],[COSTOS OPERACIONALES ($COP)]]*D.sign_Data[[#This Row],[DESFASE (%)]]</f>
        <v>5568.5303252936319</v>
      </c>
      <c r="Z726" s="101">
        <v>0.15</v>
      </c>
      <c r="AA726" s="15">
        <f>+((D.sign_Data[[#This Row],[COSTOS OPERACIONALES ($COP)]]/(100%-D.sign_Data[[#This Row],[UTILIDAD (%)]])))-D.sign_Data[[#This Row],[COSTOS OPERACIONALES ($COP)]]</f>
        <v>9826.8182211064122</v>
      </c>
      <c r="AB726" s="3">
        <f>+D.sign_Data[[#This Row],[COSTOS OPERACIONALES ($COP)]]+D.sign_Data[[#This Row],[DESFASE ($COP)]]+D.sign_Data[[#This Row],[UTILIDAD ($COP)]]</f>
        <v>71080.651799336367</v>
      </c>
      <c r="AC726" s="101">
        <v>0.05</v>
      </c>
      <c r="AD726" s="15">
        <f>+D.sign_Data[[#This Row],[VALOR NETO ($COP)]]/(100%-D.sign_Data[[#This Row],[MARGEN DE NEGOCIACIÓN (%)]])-D.sign_Data[[#This Row],[VALOR NETO ($COP)]]</f>
        <v>3741.0869368071872</v>
      </c>
      <c r="AE726" s="15">
        <f>+(D.sign_Data[[#This Row],[VALOR NETO ($COP)]]+D.sign_Data[[#This Row],[NEGOCIACIÓN ($COP)]])*1%</f>
        <v>748.2173873614355</v>
      </c>
      <c r="AF726" s="15">
        <f>+(D.sign_Data[[#This Row],[VALOR NETO ($COP)]]+D.sign_Data[[#This Row],[NEGOCIACIÓN ($COP)]])*1%</f>
        <v>748.2173873614355</v>
      </c>
      <c r="AG726" s="3">
        <f>+D.sign_Data[[#This Row],[VALOR NETO ($COP)]]+D.sign_Data[[#This Row],[NEGOCIACIÓN ($COP)]]+D.sign_Data[[#This Row],[ICA ($COP)]]+D.sign_Data[[#This Row],[4 * 1000 ($COP)]]</f>
        <v>76318.173510866429</v>
      </c>
    </row>
    <row r="727" spans="1:33" ht="60" hidden="1" customHeight="1" x14ac:dyDescent="0.25">
      <c r="A727" s="14"/>
      <c r="B727" s="87" t="s">
        <v>493</v>
      </c>
      <c r="C727" s="182" t="s">
        <v>917</v>
      </c>
      <c r="D727" s="189" t="str">
        <f>VLOOKUP(D.sign_Data[[#This Row],[CÓDIGO]],Descripciones[[CÓDIGO]:[NOMBRE DE SERVICIO]],3,FALSE)</f>
        <v>D2. Edificación en Altura</v>
      </c>
      <c r="E727" s="87" t="s">
        <v>497</v>
      </c>
      <c r="F727" s="88" t="s">
        <v>918</v>
      </c>
      <c r="G727" s="88" t="s">
        <v>573</v>
      </c>
      <c r="H727" s="104" t="s">
        <v>552</v>
      </c>
      <c r="I727" s="89">
        <v>1</v>
      </c>
      <c r="J727" s="88" t="s">
        <v>605</v>
      </c>
      <c r="K727" s="102"/>
      <c r="L727" s="88" t="s">
        <v>579</v>
      </c>
      <c r="M727" s="89" t="s">
        <v>381</v>
      </c>
      <c r="N727" s="90">
        <v>1</v>
      </c>
      <c r="O727" s="27">
        <f>IFERROR(+VLOOKUP(M727,D.sign_Lista_Data[[RESPONSABLE]:[SOFTWARE 
VALOR HORA]],3,FALSE),"0")</f>
        <v>20263.424518743668</v>
      </c>
      <c r="P727" s="3">
        <f t="shared" si="24"/>
        <v>20263.424518743668</v>
      </c>
      <c r="Q727" s="11">
        <f>IFERROR(+VLOOKUP(M727,D.sign_Lista_Data[[RESPONSABLE]:[SOFTWARE 
VALOR HORA]],5,FALSE)*D.sign_Data[[#This Row],[TIEMPO (HORAS)]],0)</f>
        <v>4221.5467747382636</v>
      </c>
      <c r="R727" s="11">
        <f>IFERROR(+VLOOKUP(M727,D.sign_Lista_Data[[RESPONSABLE]:[SOFTWARE 
VALOR HORA]],8,FALSE)*D.sign_Data[[#This Row],[TIEMPO (HORAS)]],0)</f>
        <v>3410.8548871439834</v>
      </c>
      <c r="S727" s="99"/>
      <c r="T727" s="99"/>
      <c r="U727" s="3">
        <f t="shared" si="25"/>
        <v>27895.826180625918</v>
      </c>
      <c r="V727" s="100">
        <f>D.sign_Data[[#This Row],[TIEMPO (HORAS)]]*Gastos_Operativos[[#Totals],[GASTOS HORA]]</f>
        <v>27789.477072310401</v>
      </c>
      <c r="W727" s="3">
        <f>+D.sign_Data[[#This Row],[COSTO 
DIRECTO ($COP)]]+D.sign_Data[[#This Row],[PRORRATEO GASTOS ($COP)]]</f>
        <v>55685.303252936319</v>
      </c>
      <c r="X727" s="101">
        <v>0.1</v>
      </c>
      <c r="Y727" s="15">
        <f>+D.sign_Data[[#This Row],[COSTOS OPERACIONALES ($COP)]]*D.sign_Data[[#This Row],[DESFASE (%)]]</f>
        <v>5568.5303252936319</v>
      </c>
      <c r="Z727" s="101">
        <v>0.15</v>
      </c>
      <c r="AA727" s="15">
        <f>+((D.sign_Data[[#This Row],[COSTOS OPERACIONALES ($COP)]]/(100%-D.sign_Data[[#This Row],[UTILIDAD (%)]])))-D.sign_Data[[#This Row],[COSTOS OPERACIONALES ($COP)]]</f>
        <v>9826.8182211064122</v>
      </c>
      <c r="AB727" s="3">
        <f>+D.sign_Data[[#This Row],[COSTOS OPERACIONALES ($COP)]]+D.sign_Data[[#This Row],[DESFASE ($COP)]]+D.sign_Data[[#This Row],[UTILIDAD ($COP)]]</f>
        <v>71080.651799336367</v>
      </c>
      <c r="AC727" s="101">
        <v>0.05</v>
      </c>
      <c r="AD727" s="15">
        <f>+D.sign_Data[[#This Row],[VALOR NETO ($COP)]]/(100%-D.sign_Data[[#This Row],[MARGEN DE NEGOCIACIÓN (%)]])-D.sign_Data[[#This Row],[VALOR NETO ($COP)]]</f>
        <v>3741.0869368071872</v>
      </c>
      <c r="AE727" s="15">
        <f>+(D.sign_Data[[#This Row],[VALOR NETO ($COP)]]+D.sign_Data[[#This Row],[NEGOCIACIÓN ($COP)]])*1%</f>
        <v>748.2173873614355</v>
      </c>
      <c r="AF727" s="15">
        <f>+(D.sign_Data[[#This Row],[VALOR NETO ($COP)]]+D.sign_Data[[#This Row],[NEGOCIACIÓN ($COP)]])*1%</f>
        <v>748.2173873614355</v>
      </c>
      <c r="AG727" s="3">
        <f>+D.sign_Data[[#This Row],[VALOR NETO ($COP)]]+D.sign_Data[[#This Row],[NEGOCIACIÓN ($COP)]]+D.sign_Data[[#This Row],[ICA ($COP)]]+D.sign_Data[[#This Row],[4 * 1000 ($COP)]]</f>
        <v>76318.173510866429</v>
      </c>
    </row>
    <row r="728" spans="1:33" ht="60" hidden="1" customHeight="1" x14ac:dyDescent="0.25">
      <c r="A728" s="14"/>
      <c r="B728" s="87" t="s">
        <v>493</v>
      </c>
      <c r="C728" s="182" t="s">
        <v>917</v>
      </c>
      <c r="D728" s="189" t="str">
        <f>VLOOKUP(D.sign_Data[[#This Row],[CÓDIGO]],Descripciones[[CÓDIGO]:[NOMBRE DE SERVICIO]],3,FALSE)</f>
        <v>D2. Edificación en Altura</v>
      </c>
      <c r="E728" s="87" t="s">
        <v>497</v>
      </c>
      <c r="F728" s="88" t="s">
        <v>918</v>
      </c>
      <c r="G728" s="88" t="s">
        <v>573</v>
      </c>
      <c r="H728" s="104" t="s">
        <v>552</v>
      </c>
      <c r="I728" s="89">
        <v>1</v>
      </c>
      <c r="J728" s="88" t="s">
        <v>605</v>
      </c>
      <c r="K728" s="102"/>
      <c r="L728" s="88" t="s">
        <v>570</v>
      </c>
      <c r="M728" s="89" t="s">
        <v>381</v>
      </c>
      <c r="N728" s="90">
        <v>0.6</v>
      </c>
      <c r="O728" s="27">
        <f>IFERROR(+VLOOKUP(M728,D.sign_Lista_Data[[RESPONSABLE]:[SOFTWARE 
VALOR HORA]],3,FALSE),"0")</f>
        <v>20263.424518743668</v>
      </c>
      <c r="P728" s="3">
        <f t="shared" si="24"/>
        <v>12158.054711246201</v>
      </c>
      <c r="Q728" s="11">
        <f>IFERROR(+VLOOKUP(M728,D.sign_Lista_Data[[RESPONSABLE]:[SOFTWARE 
VALOR HORA]],5,FALSE)*D.sign_Data[[#This Row],[TIEMPO (HORAS)]],0)</f>
        <v>2532.9280648429581</v>
      </c>
      <c r="R728" s="11">
        <f>IFERROR(+VLOOKUP(M728,D.sign_Lista_Data[[RESPONSABLE]:[SOFTWARE 
VALOR HORA]],8,FALSE)*D.sign_Data[[#This Row],[TIEMPO (HORAS)]],0)</f>
        <v>2046.51293228639</v>
      </c>
      <c r="S728" s="99"/>
      <c r="T728" s="99"/>
      <c r="U728" s="3">
        <f t="shared" si="25"/>
        <v>16737.495708375547</v>
      </c>
      <c r="V728" s="100">
        <f>D.sign_Data[[#This Row],[TIEMPO (HORAS)]]*Gastos_Operativos[[#Totals],[GASTOS HORA]]</f>
        <v>16673.686243386241</v>
      </c>
      <c r="W728" s="3">
        <f>+D.sign_Data[[#This Row],[COSTO 
DIRECTO ($COP)]]+D.sign_Data[[#This Row],[PRORRATEO GASTOS ($COP)]]</f>
        <v>33411.181951761784</v>
      </c>
      <c r="X728" s="101">
        <v>0.1</v>
      </c>
      <c r="Y728" s="15">
        <f>+D.sign_Data[[#This Row],[COSTOS OPERACIONALES ($COP)]]*D.sign_Data[[#This Row],[DESFASE (%)]]</f>
        <v>3341.1181951761787</v>
      </c>
      <c r="Z728" s="101">
        <v>0.15</v>
      </c>
      <c r="AA728" s="15">
        <f>+((D.sign_Data[[#This Row],[COSTOS OPERACIONALES ($COP)]]/(100%-D.sign_Data[[#This Row],[UTILIDAD (%)]])))-D.sign_Data[[#This Row],[COSTOS OPERACIONALES ($COP)]]</f>
        <v>5896.090932663843</v>
      </c>
      <c r="AB728" s="3">
        <f>+D.sign_Data[[#This Row],[COSTOS OPERACIONALES ($COP)]]+D.sign_Data[[#This Row],[DESFASE ($COP)]]+D.sign_Data[[#This Row],[UTILIDAD ($COP)]]</f>
        <v>42648.391079601803</v>
      </c>
      <c r="AC728" s="101">
        <v>0.05</v>
      </c>
      <c r="AD728" s="15">
        <f>+D.sign_Data[[#This Row],[VALOR NETO ($COP)]]/(100%-D.sign_Data[[#This Row],[MARGEN DE NEGOCIACIÓN (%)]])-D.sign_Data[[#This Row],[VALOR NETO ($COP)]]</f>
        <v>2244.652162084305</v>
      </c>
      <c r="AE728" s="15">
        <f>+(D.sign_Data[[#This Row],[VALOR NETO ($COP)]]+D.sign_Data[[#This Row],[NEGOCIACIÓN ($COP)]])*1%</f>
        <v>448.93043241686109</v>
      </c>
      <c r="AF728" s="15">
        <f>+(D.sign_Data[[#This Row],[VALOR NETO ($COP)]]+D.sign_Data[[#This Row],[NEGOCIACIÓN ($COP)]])*1%</f>
        <v>448.93043241686109</v>
      </c>
      <c r="AG728" s="3">
        <f>+D.sign_Data[[#This Row],[VALOR NETO ($COP)]]+D.sign_Data[[#This Row],[NEGOCIACIÓN ($COP)]]+D.sign_Data[[#This Row],[ICA ($COP)]]+D.sign_Data[[#This Row],[4 * 1000 ($COP)]]</f>
        <v>45790.904106519833</v>
      </c>
    </row>
    <row r="729" spans="1:33" ht="60" hidden="1" customHeight="1" x14ac:dyDescent="0.25">
      <c r="A729" s="14"/>
      <c r="B729" s="87" t="s">
        <v>493</v>
      </c>
      <c r="C729" s="182" t="s">
        <v>917</v>
      </c>
      <c r="D729" s="189" t="str">
        <f>VLOOKUP(D.sign_Data[[#This Row],[CÓDIGO]],Descripciones[[CÓDIGO]:[NOMBRE DE SERVICIO]],3,FALSE)</f>
        <v>D2. Edificación en Altura</v>
      </c>
      <c r="E729" s="87" t="s">
        <v>497</v>
      </c>
      <c r="F729" s="88" t="s">
        <v>918</v>
      </c>
      <c r="G729" s="88" t="s">
        <v>573</v>
      </c>
      <c r="H729" s="104" t="s">
        <v>552</v>
      </c>
      <c r="I729" s="89">
        <v>1</v>
      </c>
      <c r="J729" s="88" t="s">
        <v>605</v>
      </c>
      <c r="K729" s="102"/>
      <c r="L729" s="88" t="s">
        <v>483</v>
      </c>
      <c r="M729" s="89" t="s">
        <v>381</v>
      </c>
      <c r="N729" s="90">
        <v>0.1</v>
      </c>
      <c r="O729" s="27">
        <f>IFERROR(+VLOOKUP(M729,D.sign_Lista_Data[[RESPONSABLE]:[SOFTWARE 
VALOR HORA]],3,FALSE),"0")</f>
        <v>20263.424518743668</v>
      </c>
      <c r="P729" s="3">
        <f t="shared" si="24"/>
        <v>2026.3424518743668</v>
      </c>
      <c r="Q729" s="11">
        <f>IFERROR(+VLOOKUP(M729,D.sign_Lista_Data[[RESPONSABLE]:[SOFTWARE 
VALOR HORA]],5,FALSE)*D.sign_Data[[#This Row],[TIEMPO (HORAS)]],0)</f>
        <v>422.15467747382638</v>
      </c>
      <c r="R729" s="11">
        <f>IFERROR(+VLOOKUP(M729,D.sign_Lista_Data[[RESPONSABLE]:[SOFTWARE 
VALOR HORA]],8,FALSE)*D.sign_Data[[#This Row],[TIEMPO (HORAS)]],0)</f>
        <v>341.08548871439837</v>
      </c>
      <c r="S729" s="99"/>
      <c r="T729" s="99"/>
      <c r="U729" s="3">
        <f t="shared" si="25"/>
        <v>2789.5826180625913</v>
      </c>
      <c r="V729" s="100">
        <f>D.sign_Data[[#This Row],[TIEMPO (HORAS)]]*Gastos_Operativos[[#Totals],[GASTOS HORA]]</f>
        <v>2778.9477072310401</v>
      </c>
      <c r="W729" s="3">
        <f>+D.sign_Data[[#This Row],[COSTO 
DIRECTO ($COP)]]+D.sign_Data[[#This Row],[PRORRATEO GASTOS ($COP)]]</f>
        <v>5568.5303252936319</v>
      </c>
      <c r="X729" s="101">
        <v>0.1</v>
      </c>
      <c r="Y729" s="15">
        <f>+D.sign_Data[[#This Row],[COSTOS OPERACIONALES ($COP)]]*D.sign_Data[[#This Row],[DESFASE (%)]]</f>
        <v>556.85303252936319</v>
      </c>
      <c r="Z729" s="101">
        <v>0.15</v>
      </c>
      <c r="AA729" s="15">
        <f>+((D.sign_Data[[#This Row],[COSTOS OPERACIONALES ($COP)]]/(100%-D.sign_Data[[#This Row],[UTILIDAD (%)]])))-D.sign_Data[[#This Row],[COSTOS OPERACIONALES ($COP)]]</f>
        <v>982.68182211064141</v>
      </c>
      <c r="AB729" s="3">
        <f>+D.sign_Data[[#This Row],[COSTOS OPERACIONALES ($COP)]]+D.sign_Data[[#This Row],[DESFASE ($COP)]]+D.sign_Data[[#This Row],[UTILIDAD ($COP)]]</f>
        <v>7108.0651799336365</v>
      </c>
      <c r="AC729" s="101">
        <v>0.05</v>
      </c>
      <c r="AD729" s="15">
        <f>+D.sign_Data[[#This Row],[VALOR NETO ($COP)]]/(100%-D.sign_Data[[#This Row],[MARGEN DE NEGOCIACIÓN (%)]])-D.sign_Data[[#This Row],[VALOR NETO ($COP)]]</f>
        <v>374.10869368071781</v>
      </c>
      <c r="AE729" s="15">
        <f>+(D.sign_Data[[#This Row],[VALOR NETO ($COP)]]+D.sign_Data[[#This Row],[NEGOCIACIÓN ($COP)]])*1%</f>
        <v>74.821738736143544</v>
      </c>
      <c r="AF729" s="15">
        <f>+(D.sign_Data[[#This Row],[VALOR NETO ($COP)]]+D.sign_Data[[#This Row],[NEGOCIACIÓN ($COP)]])*1%</f>
        <v>74.821738736143544</v>
      </c>
      <c r="AG729" s="3">
        <f>+D.sign_Data[[#This Row],[VALOR NETO ($COP)]]+D.sign_Data[[#This Row],[NEGOCIACIÓN ($COP)]]+D.sign_Data[[#This Row],[ICA ($COP)]]+D.sign_Data[[#This Row],[4 * 1000 ($COP)]]</f>
        <v>7631.8173510866418</v>
      </c>
    </row>
    <row r="730" spans="1:33" ht="60" hidden="1" customHeight="1" x14ac:dyDescent="0.25">
      <c r="A730" s="14"/>
      <c r="B730" s="87" t="s">
        <v>493</v>
      </c>
      <c r="C730" s="182" t="s">
        <v>917</v>
      </c>
      <c r="D730" s="189" t="str">
        <f>VLOOKUP(D.sign_Data[[#This Row],[CÓDIGO]],Descripciones[[CÓDIGO]:[NOMBRE DE SERVICIO]],3,FALSE)</f>
        <v>D2. Edificación en Altura</v>
      </c>
      <c r="E730" s="87" t="s">
        <v>497</v>
      </c>
      <c r="F730" s="88" t="s">
        <v>918</v>
      </c>
      <c r="G730" s="88" t="s">
        <v>573</v>
      </c>
      <c r="H730" s="104" t="s">
        <v>552</v>
      </c>
      <c r="I730" s="89">
        <v>1</v>
      </c>
      <c r="J730" s="88" t="s">
        <v>605</v>
      </c>
      <c r="K730" s="102"/>
      <c r="L730" s="88" t="s">
        <v>572</v>
      </c>
      <c r="M730" s="89" t="s">
        <v>381</v>
      </c>
      <c r="N730" s="90">
        <v>0.1</v>
      </c>
      <c r="O730" s="27">
        <f>IFERROR(+VLOOKUP(M730,D.sign_Lista_Data[[RESPONSABLE]:[SOFTWARE 
VALOR HORA]],3,FALSE),"0")</f>
        <v>20263.424518743668</v>
      </c>
      <c r="P730" s="3">
        <f t="shared" si="24"/>
        <v>2026.3424518743668</v>
      </c>
      <c r="Q730" s="11">
        <f>IFERROR(+VLOOKUP(M730,D.sign_Lista_Data[[RESPONSABLE]:[SOFTWARE 
VALOR HORA]],5,FALSE)*D.sign_Data[[#This Row],[TIEMPO (HORAS)]],0)</f>
        <v>422.15467747382638</v>
      </c>
      <c r="R730" s="11">
        <f>IFERROR(+VLOOKUP(M730,D.sign_Lista_Data[[RESPONSABLE]:[SOFTWARE 
VALOR HORA]],8,FALSE)*D.sign_Data[[#This Row],[TIEMPO (HORAS)]],0)</f>
        <v>341.08548871439837</v>
      </c>
      <c r="S730" s="99"/>
      <c r="T730" s="99"/>
      <c r="U730" s="3">
        <f t="shared" si="25"/>
        <v>2789.5826180625913</v>
      </c>
      <c r="V730" s="100">
        <f>D.sign_Data[[#This Row],[TIEMPO (HORAS)]]*Gastos_Operativos[[#Totals],[GASTOS HORA]]</f>
        <v>2778.9477072310401</v>
      </c>
      <c r="W730" s="3">
        <f>+D.sign_Data[[#This Row],[COSTO 
DIRECTO ($COP)]]+D.sign_Data[[#This Row],[PRORRATEO GASTOS ($COP)]]</f>
        <v>5568.5303252936319</v>
      </c>
      <c r="X730" s="101">
        <v>0.1</v>
      </c>
      <c r="Y730" s="15">
        <f>+D.sign_Data[[#This Row],[COSTOS OPERACIONALES ($COP)]]*D.sign_Data[[#This Row],[DESFASE (%)]]</f>
        <v>556.85303252936319</v>
      </c>
      <c r="Z730" s="101">
        <v>0.15</v>
      </c>
      <c r="AA730" s="15">
        <f>+((D.sign_Data[[#This Row],[COSTOS OPERACIONALES ($COP)]]/(100%-D.sign_Data[[#This Row],[UTILIDAD (%)]])))-D.sign_Data[[#This Row],[COSTOS OPERACIONALES ($COP)]]</f>
        <v>982.68182211064141</v>
      </c>
      <c r="AB730" s="3">
        <f>+D.sign_Data[[#This Row],[COSTOS OPERACIONALES ($COP)]]+D.sign_Data[[#This Row],[DESFASE ($COP)]]+D.sign_Data[[#This Row],[UTILIDAD ($COP)]]</f>
        <v>7108.0651799336365</v>
      </c>
      <c r="AC730" s="101">
        <v>0.05</v>
      </c>
      <c r="AD730" s="15">
        <f>+D.sign_Data[[#This Row],[VALOR NETO ($COP)]]/(100%-D.sign_Data[[#This Row],[MARGEN DE NEGOCIACIÓN (%)]])-D.sign_Data[[#This Row],[VALOR NETO ($COP)]]</f>
        <v>374.10869368071781</v>
      </c>
      <c r="AE730" s="15">
        <f>+(D.sign_Data[[#This Row],[VALOR NETO ($COP)]]+D.sign_Data[[#This Row],[NEGOCIACIÓN ($COP)]])*1%</f>
        <v>74.821738736143544</v>
      </c>
      <c r="AF730" s="15">
        <f>+(D.sign_Data[[#This Row],[VALOR NETO ($COP)]]+D.sign_Data[[#This Row],[NEGOCIACIÓN ($COP)]])*1%</f>
        <v>74.821738736143544</v>
      </c>
      <c r="AG730" s="3">
        <f>+D.sign_Data[[#This Row],[VALOR NETO ($COP)]]+D.sign_Data[[#This Row],[NEGOCIACIÓN ($COP)]]+D.sign_Data[[#This Row],[ICA ($COP)]]+D.sign_Data[[#This Row],[4 * 1000 ($COP)]]</f>
        <v>7631.8173510866418</v>
      </c>
    </row>
    <row r="731" spans="1:33" ht="60" hidden="1" customHeight="1" x14ac:dyDescent="0.25">
      <c r="A731" s="14"/>
      <c r="B731" s="87" t="s">
        <v>493</v>
      </c>
      <c r="C731" s="182" t="s">
        <v>917</v>
      </c>
      <c r="D731" s="189" t="str">
        <f>VLOOKUP(D.sign_Data[[#This Row],[CÓDIGO]],Descripciones[[CÓDIGO]:[NOMBRE DE SERVICIO]],3,FALSE)</f>
        <v>D2. Edificación en Altura</v>
      </c>
      <c r="E731" s="87" t="s">
        <v>497</v>
      </c>
      <c r="F731" s="88" t="s">
        <v>918</v>
      </c>
      <c r="G731" s="88" t="s">
        <v>580</v>
      </c>
      <c r="H731" s="104" t="s">
        <v>552</v>
      </c>
      <c r="I731" s="89">
        <v>1</v>
      </c>
      <c r="J731" s="88" t="s">
        <v>607</v>
      </c>
      <c r="K731" s="102"/>
      <c r="L731" s="88" t="s">
        <v>608</v>
      </c>
      <c r="M731" s="89" t="s">
        <v>381</v>
      </c>
      <c r="N731" s="90">
        <v>5</v>
      </c>
      <c r="O731" s="27">
        <f>IFERROR(+VLOOKUP(M731,D.sign_Lista_Data[[RESPONSABLE]:[SOFTWARE 
VALOR HORA]],3,FALSE),"0")</f>
        <v>20263.424518743668</v>
      </c>
      <c r="P731" s="3">
        <f t="shared" si="24"/>
        <v>101317.12259371835</v>
      </c>
      <c r="Q731" s="11">
        <f>IFERROR(+VLOOKUP(M731,D.sign_Lista_Data[[RESPONSABLE]:[SOFTWARE 
VALOR HORA]],5,FALSE)*D.sign_Data[[#This Row],[TIEMPO (HORAS)]],0)</f>
        <v>21107.733873691319</v>
      </c>
      <c r="R731" s="11">
        <f>IFERROR(+VLOOKUP(M731,D.sign_Lista_Data[[RESPONSABLE]:[SOFTWARE 
VALOR HORA]],8,FALSE)*D.sign_Data[[#This Row],[TIEMPO (HORAS)]],0)</f>
        <v>17054.274435719919</v>
      </c>
      <c r="S731" s="99"/>
      <c r="T731" s="99"/>
      <c r="U731" s="3">
        <f t="shared" si="25"/>
        <v>139479.13090312958</v>
      </c>
      <c r="V731" s="100">
        <f>D.sign_Data[[#This Row],[TIEMPO (HORAS)]]*Gastos_Operativos[[#Totals],[GASTOS HORA]]</f>
        <v>138947.38536155201</v>
      </c>
      <c r="W731" s="3">
        <f>+D.sign_Data[[#This Row],[COSTO 
DIRECTO ($COP)]]+D.sign_Data[[#This Row],[PRORRATEO GASTOS ($COP)]]</f>
        <v>278426.51626468159</v>
      </c>
      <c r="X731" s="101">
        <v>0.1</v>
      </c>
      <c r="Y731" s="15">
        <f>+D.sign_Data[[#This Row],[COSTOS OPERACIONALES ($COP)]]*D.sign_Data[[#This Row],[DESFASE (%)]]</f>
        <v>27842.65162646816</v>
      </c>
      <c r="Z731" s="101">
        <v>0.15</v>
      </c>
      <c r="AA731" s="15">
        <f>+((D.sign_Data[[#This Row],[COSTOS OPERACIONALES ($COP)]]/(100%-D.sign_Data[[#This Row],[UTILIDAD (%)]])))-D.sign_Data[[#This Row],[COSTOS OPERACIONALES ($COP)]]</f>
        <v>49134.091105532076</v>
      </c>
      <c r="AB731" s="3">
        <f>+D.sign_Data[[#This Row],[COSTOS OPERACIONALES ($COP)]]+D.sign_Data[[#This Row],[DESFASE ($COP)]]+D.sign_Data[[#This Row],[UTILIDAD ($COP)]]</f>
        <v>355403.25899668183</v>
      </c>
      <c r="AC731" s="101">
        <v>0.05</v>
      </c>
      <c r="AD731" s="15">
        <f>+D.sign_Data[[#This Row],[VALOR NETO ($COP)]]/(100%-D.sign_Data[[#This Row],[MARGEN DE NEGOCIACIÓN (%)]])-D.sign_Data[[#This Row],[VALOR NETO ($COP)]]</f>
        <v>18705.434684035892</v>
      </c>
      <c r="AE731" s="15">
        <f>+(D.sign_Data[[#This Row],[VALOR NETO ($COP)]]+D.sign_Data[[#This Row],[NEGOCIACIÓN ($COP)]])*1%</f>
        <v>3741.0869368071772</v>
      </c>
      <c r="AF731" s="15">
        <f>+(D.sign_Data[[#This Row],[VALOR NETO ($COP)]]+D.sign_Data[[#This Row],[NEGOCIACIÓN ($COP)]])*1%</f>
        <v>3741.0869368071772</v>
      </c>
      <c r="AG731" s="3">
        <f>+D.sign_Data[[#This Row],[VALOR NETO ($COP)]]+D.sign_Data[[#This Row],[NEGOCIACIÓN ($COP)]]+D.sign_Data[[#This Row],[ICA ($COP)]]+D.sign_Data[[#This Row],[4 * 1000 ($COP)]]</f>
        <v>381590.86755433213</v>
      </c>
    </row>
    <row r="732" spans="1:33" ht="60" hidden="1" customHeight="1" x14ac:dyDescent="0.25">
      <c r="A732" s="14"/>
      <c r="B732" s="87" t="s">
        <v>493</v>
      </c>
      <c r="C732" s="182" t="s">
        <v>917</v>
      </c>
      <c r="D732" s="189" t="str">
        <f>VLOOKUP(D.sign_Data[[#This Row],[CÓDIGO]],Descripciones[[CÓDIGO]:[NOMBRE DE SERVICIO]],3,FALSE)</f>
        <v>D2. Edificación en Altura</v>
      </c>
      <c r="E732" s="87" t="s">
        <v>497</v>
      </c>
      <c r="F732" s="88" t="s">
        <v>918</v>
      </c>
      <c r="G732" s="88" t="s">
        <v>580</v>
      </c>
      <c r="H732" s="104" t="s">
        <v>552</v>
      </c>
      <c r="I732" s="89">
        <v>1</v>
      </c>
      <c r="J732" s="88" t="s">
        <v>607</v>
      </c>
      <c r="K732" s="102"/>
      <c r="L732" s="88" t="s">
        <v>609</v>
      </c>
      <c r="M732" s="89" t="s">
        <v>381</v>
      </c>
      <c r="N732" s="90">
        <v>0.5</v>
      </c>
      <c r="O732" s="27">
        <f>IFERROR(+VLOOKUP(M732,D.sign_Lista_Data[[RESPONSABLE]:[SOFTWARE 
VALOR HORA]],3,FALSE),"0")</f>
        <v>20263.424518743668</v>
      </c>
      <c r="P732" s="3">
        <f t="shared" si="24"/>
        <v>10131.712259371834</v>
      </c>
      <c r="Q732" s="11">
        <f>IFERROR(+VLOOKUP(M732,D.sign_Lista_Data[[RESPONSABLE]:[SOFTWARE 
VALOR HORA]],5,FALSE)*D.sign_Data[[#This Row],[TIEMPO (HORAS)]],0)</f>
        <v>2110.7733873691318</v>
      </c>
      <c r="R732" s="11">
        <f>IFERROR(+VLOOKUP(M732,D.sign_Lista_Data[[RESPONSABLE]:[SOFTWARE 
VALOR HORA]],8,FALSE)*D.sign_Data[[#This Row],[TIEMPO (HORAS)]],0)</f>
        <v>1705.4274435719917</v>
      </c>
      <c r="S732" s="99"/>
      <c r="T732" s="99"/>
      <c r="U732" s="3">
        <f t="shared" si="25"/>
        <v>13947.913090312959</v>
      </c>
      <c r="V732" s="100">
        <f>D.sign_Data[[#This Row],[TIEMPO (HORAS)]]*Gastos_Operativos[[#Totals],[GASTOS HORA]]</f>
        <v>13894.738536155201</v>
      </c>
      <c r="W732" s="3">
        <f>+D.sign_Data[[#This Row],[COSTO 
DIRECTO ($COP)]]+D.sign_Data[[#This Row],[PRORRATEO GASTOS ($COP)]]</f>
        <v>27842.65162646816</v>
      </c>
      <c r="X732" s="101">
        <v>0.1</v>
      </c>
      <c r="Y732" s="15">
        <f>+D.sign_Data[[#This Row],[COSTOS OPERACIONALES ($COP)]]*D.sign_Data[[#This Row],[DESFASE (%)]]</f>
        <v>2784.265162646816</v>
      </c>
      <c r="Z732" s="101">
        <v>0.15</v>
      </c>
      <c r="AA732" s="15">
        <f>+((D.sign_Data[[#This Row],[COSTOS OPERACIONALES ($COP)]]/(100%-D.sign_Data[[#This Row],[UTILIDAD (%)]])))-D.sign_Data[[#This Row],[COSTOS OPERACIONALES ($COP)]]</f>
        <v>4913.4091105532061</v>
      </c>
      <c r="AB732" s="3">
        <f>+D.sign_Data[[#This Row],[COSTOS OPERACIONALES ($COP)]]+D.sign_Data[[#This Row],[DESFASE ($COP)]]+D.sign_Data[[#This Row],[UTILIDAD ($COP)]]</f>
        <v>35540.325899668183</v>
      </c>
      <c r="AC732" s="101">
        <v>0.05</v>
      </c>
      <c r="AD732" s="15">
        <f>+D.sign_Data[[#This Row],[VALOR NETO ($COP)]]/(100%-D.sign_Data[[#This Row],[MARGEN DE NEGOCIACIÓN (%)]])-D.sign_Data[[#This Row],[VALOR NETO ($COP)]]</f>
        <v>1870.5434684035936</v>
      </c>
      <c r="AE732" s="15">
        <f>+(D.sign_Data[[#This Row],[VALOR NETO ($COP)]]+D.sign_Data[[#This Row],[NEGOCIACIÓN ($COP)]])*1%</f>
        <v>374.10869368071775</v>
      </c>
      <c r="AF732" s="15">
        <f>+(D.sign_Data[[#This Row],[VALOR NETO ($COP)]]+D.sign_Data[[#This Row],[NEGOCIACIÓN ($COP)]])*1%</f>
        <v>374.10869368071775</v>
      </c>
      <c r="AG732" s="3">
        <f>+D.sign_Data[[#This Row],[VALOR NETO ($COP)]]+D.sign_Data[[#This Row],[NEGOCIACIÓN ($COP)]]+D.sign_Data[[#This Row],[ICA ($COP)]]+D.sign_Data[[#This Row],[4 * 1000 ($COP)]]</f>
        <v>38159.086755433214</v>
      </c>
    </row>
    <row r="733" spans="1:33" ht="60" hidden="1" customHeight="1" x14ac:dyDescent="0.25">
      <c r="A733" s="14"/>
      <c r="B733" s="87" t="s">
        <v>493</v>
      </c>
      <c r="C733" s="182" t="s">
        <v>917</v>
      </c>
      <c r="D733" s="189" t="str">
        <f>VLOOKUP(D.sign_Data[[#This Row],[CÓDIGO]],Descripciones[[CÓDIGO]:[NOMBRE DE SERVICIO]],3,FALSE)</f>
        <v>D2. Edificación en Altura</v>
      </c>
      <c r="E733" s="87" t="s">
        <v>497</v>
      </c>
      <c r="F733" s="88" t="s">
        <v>918</v>
      </c>
      <c r="G733" s="88" t="s">
        <v>580</v>
      </c>
      <c r="H733" s="104" t="s">
        <v>552</v>
      </c>
      <c r="I733" s="89">
        <v>1</v>
      </c>
      <c r="J733" s="88" t="s">
        <v>607</v>
      </c>
      <c r="K733" s="102"/>
      <c r="L733" s="88" t="s">
        <v>610</v>
      </c>
      <c r="M733" s="89" t="s">
        <v>381</v>
      </c>
      <c r="N733" s="90">
        <v>1.5</v>
      </c>
      <c r="O733" s="27">
        <f>IFERROR(+VLOOKUP(M733,D.sign_Lista_Data[[RESPONSABLE]:[SOFTWARE 
VALOR HORA]],3,FALSE),"0")</f>
        <v>20263.424518743668</v>
      </c>
      <c r="P733" s="3">
        <f t="shared" si="24"/>
        <v>30395.136778115502</v>
      </c>
      <c r="Q733" s="11">
        <f>IFERROR(+VLOOKUP(M733,D.sign_Lista_Data[[RESPONSABLE]:[SOFTWARE 
VALOR HORA]],5,FALSE)*D.sign_Data[[#This Row],[TIEMPO (HORAS)]],0)</f>
        <v>6332.3201621073949</v>
      </c>
      <c r="R733" s="11">
        <f>IFERROR(+VLOOKUP(M733,D.sign_Lista_Data[[RESPONSABLE]:[SOFTWARE 
VALOR HORA]],8,FALSE)*D.sign_Data[[#This Row],[TIEMPO (HORAS)]],0)</f>
        <v>5116.2823307159751</v>
      </c>
      <c r="S733" s="99"/>
      <c r="T733" s="99"/>
      <c r="U733" s="3">
        <f t="shared" si="25"/>
        <v>41843.739270938873</v>
      </c>
      <c r="V733" s="100">
        <f>D.sign_Data[[#This Row],[TIEMPO (HORAS)]]*Gastos_Operativos[[#Totals],[GASTOS HORA]]</f>
        <v>41684.215608465602</v>
      </c>
      <c r="W733" s="3">
        <f>+D.sign_Data[[#This Row],[COSTO 
DIRECTO ($COP)]]+D.sign_Data[[#This Row],[PRORRATEO GASTOS ($COP)]]</f>
        <v>83527.954879404482</v>
      </c>
      <c r="X733" s="101">
        <v>0.1</v>
      </c>
      <c r="Y733" s="15">
        <f>+D.sign_Data[[#This Row],[COSTOS OPERACIONALES ($COP)]]*D.sign_Data[[#This Row],[DESFASE (%)]]</f>
        <v>8352.7954879404479</v>
      </c>
      <c r="Z733" s="101">
        <v>0.15</v>
      </c>
      <c r="AA733" s="15">
        <f>+((D.sign_Data[[#This Row],[COSTOS OPERACIONALES ($COP)]]/(100%-D.sign_Data[[#This Row],[UTILIDAD (%)]])))-D.sign_Data[[#This Row],[COSTOS OPERACIONALES ($COP)]]</f>
        <v>14740.227331659611</v>
      </c>
      <c r="AB733" s="3">
        <f>+D.sign_Data[[#This Row],[COSTOS OPERACIONALES ($COP)]]+D.sign_Data[[#This Row],[DESFASE ($COP)]]+D.sign_Data[[#This Row],[UTILIDAD ($COP)]]</f>
        <v>106620.97769900454</v>
      </c>
      <c r="AC733" s="101">
        <v>0.05</v>
      </c>
      <c r="AD733" s="15">
        <f>+D.sign_Data[[#This Row],[VALOR NETO ($COP)]]/(100%-D.sign_Data[[#This Row],[MARGEN DE NEGOCIACIÓN (%)]])-D.sign_Data[[#This Row],[VALOR NETO ($COP)]]</f>
        <v>5611.6304052107735</v>
      </c>
      <c r="AE733" s="15">
        <f>+(D.sign_Data[[#This Row],[VALOR NETO ($COP)]]+D.sign_Data[[#This Row],[NEGOCIACIÓN ($COP)]])*1%</f>
        <v>1122.3260810421532</v>
      </c>
      <c r="AF733" s="15">
        <f>+(D.sign_Data[[#This Row],[VALOR NETO ($COP)]]+D.sign_Data[[#This Row],[NEGOCIACIÓN ($COP)]])*1%</f>
        <v>1122.3260810421532</v>
      </c>
      <c r="AG733" s="3">
        <f>+D.sign_Data[[#This Row],[VALOR NETO ($COP)]]+D.sign_Data[[#This Row],[NEGOCIACIÓN ($COP)]]+D.sign_Data[[#This Row],[ICA ($COP)]]+D.sign_Data[[#This Row],[4 * 1000 ($COP)]]</f>
        <v>114477.26026629961</v>
      </c>
    </row>
    <row r="734" spans="1:33" ht="60" hidden="1" customHeight="1" x14ac:dyDescent="0.25">
      <c r="A734" s="14"/>
      <c r="B734" s="87" t="s">
        <v>493</v>
      </c>
      <c r="C734" s="182" t="s">
        <v>917</v>
      </c>
      <c r="D734" s="189" t="str">
        <f>VLOOKUP(D.sign_Data[[#This Row],[CÓDIGO]],Descripciones[[CÓDIGO]:[NOMBRE DE SERVICIO]],3,FALSE)</f>
        <v>D2. Edificación en Altura</v>
      </c>
      <c r="E734" s="87" t="s">
        <v>497</v>
      </c>
      <c r="F734" s="88" t="s">
        <v>918</v>
      </c>
      <c r="G734" s="88" t="s">
        <v>580</v>
      </c>
      <c r="H734" s="104" t="s">
        <v>552</v>
      </c>
      <c r="I734" s="89">
        <v>1</v>
      </c>
      <c r="J734" s="88" t="s">
        <v>607</v>
      </c>
      <c r="K734" s="102"/>
      <c r="L734" s="88" t="s">
        <v>611</v>
      </c>
      <c r="M734" s="89" t="s">
        <v>381</v>
      </c>
      <c r="N734" s="90">
        <v>2</v>
      </c>
      <c r="O734" s="27">
        <f>IFERROR(+VLOOKUP(M734,D.sign_Lista_Data[[RESPONSABLE]:[SOFTWARE 
VALOR HORA]],3,FALSE),"0")</f>
        <v>20263.424518743668</v>
      </c>
      <c r="P734" s="3">
        <f t="shared" si="24"/>
        <v>40526.849037487336</v>
      </c>
      <c r="Q734" s="11">
        <f>IFERROR(+VLOOKUP(M734,D.sign_Lista_Data[[RESPONSABLE]:[SOFTWARE 
VALOR HORA]],5,FALSE)*D.sign_Data[[#This Row],[TIEMPO (HORAS)]],0)</f>
        <v>8443.0935494765272</v>
      </c>
      <c r="R734" s="11">
        <f>IFERROR(+VLOOKUP(M734,D.sign_Lista_Data[[RESPONSABLE]:[SOFTWARE 
VALOR HORA]],8,FALSE)*D.sign_Data[[#This Row],[TIEMPO (HORAS)]],0)</f>
        <v>6821.7097742879669</v>
      </c>
      <c r="S734" s="99"/>
      <c r="T734" s="99"/>
      <c r="U734" s="3">
        <f t="shared" si="25"/>
        <v>55791.652361251836</v>
      </c>
      <c r="V734" s="100">
        <f>D.sign_Data[[#This Row],[TIEMPO (HORAS)]]*Gastos_Operativos[[#Totals],[GASTOS HORA]]</f>
        <v>55578.954144620802</v>
      </c>
      <c r="W734" s="3">
        <f>+D.sign_Data[[#This Row],[COSTO 
DIRECTO ($COP)]]+D.sign_Data[[#This Row],[PRORRATEO GASTOS ($COP)]]</f>
        <v>111370.60650587264</v>
      </c>
      <c r="X734" s="101">
        <v>0.1</v>
      </c>
      <c r="Y734" s="15">
        <f>+D.sign_Data[[#This Row],[COSTOS OPERACIONALES ($COP)]]*D.sign_Data[[#This Row],[DESFASE (%)]]</f>
        <v>11137.060650587264</v>
      </c>
      <c r="Z734" s="101">
        <v>0.15</v>
      </c>
      <c r="AA734" s="15">
        <f>+((D.sign_Data[[#This Row],[COSTOS OPERACIONALES ($COP)]]/(100%-D.sign_Data[[#This Row],[UTILIDAD (%)]])))-D.sign_Data[[#This Row],[COSTOS OPERACIONALES ($COP)]]</f>
        <v>19653.636442212824</v>
      </c>
      <c r="AB734" s="3">
        <f>+D.sign_Data[[#This Row],[COSTOS OPERACIONALES ($COP)]]+D.sign_Data[[#This Row],[DESFASE ($COP)]]+D.sign_Data[[#This Row],[UTILIDAD ($COP)]]</f>
        <v>142161.30359867273</v>
      </c>
      <c r="AC734" s="101">
        <v>0.05</v>
      </c>
      <c r="AD734" s="15">
        <f>+D.sign_Data[[#This Row],[VALOR NETO ($COP)]]/(100%-D.sign_Data[[#This Row],[MARGEN DE NEGOCIACIÓN (%)]])-D.sign_Data[[#This Row],[VALOR NETO ($COP)]]</f>
        <v>7482.1738736143743</v>
      </c>
      <c r="AE734" s="15">
        <f>+(D.sign_Data[[#This Row],[VALOR NETO ($COP)]]+D.sign_Data[[#This Row],[NEGOCIACIÓN ($COP)]])*1%</f>
        <v>1496.434774722871</v>
      </c>
      <c r="AF734" s="15">
        <f>+(D.sign_Data[[#This Row],[VALOR NETO ($COP)]]+D.sign_Data[[#This Row],[NEGOCIACIÓN ($COP)]])*1%</f>
        <v>1496.434774722871</v>
      </c>
      <c r="AG734" s="3">
        <f>+D.sign_Data[[#This Row],[VALOR NETO ($COP)]]+D.sign_Data[[#This Row],[NEGOCIACIÓN ($COP)]]+D.sign_Data[[#This Row],[ICA ($COP)]]+D.sign_Data[[#This Row],[4 * 1000 ($COP)]]</f>
        <v>152636.34702173286</v>
      </c>
    </row>
    <row r="735" spans="1:33" ht="60" hidden="1" customHeight="1" x14ac:dyDescent="0.25">
      <c r="A735" s="14"/>
      <c r="B735" s="87" t="s">
        <v>493</v>
      </c>
      <c r="C735" s="182" t="s">
        <v>917</v>
      </c>
      <c r="D735" s="189" t="str">
        <f>VLOOKUP(D.sign_Data[[#This Row],[CÓDIGO]],Descripciones[[CÓDIGO]:[NOMBRE DE SERVICIO]],3,FALSE)</f>
        <v>D2. Edificación en Altura</v>
      </c>
      <c r="E735" s="87" t="s">
        <v>497</v>
      </c>
      <c r="F735" s="88" t="s">
        <v>918</v>
      </c>
      <c r="G735" s="88" t="s">
        <v>580</v>
      </c>
      <c r="H735" s="104" t="s">
        <v>552</v>
      </c>
      <c r="I735" s="89">
        <v>1</v>
      </c>
      <c r="J735" s="88" t="s">
        <v>607</v>
      </c>
      <c r="K735" s="102"/>
      <c r="L735" s="88" t="s">
        <v>612</v>
      </c>
      <c r="M735" s="89" t="s">
        <v>381</v>
      </c>
      <c r="N735" s="90">
        <v>2</v>
      </c>
      <c r="O735" s="27">
        <f>IFERROR(+VLOOKUP(M735,D.sign_Lista_Data[[RESPONSABLE]:[SOFTWARE 
VALOR HORA]],3,FALSE),"0")</f>
        <v>20263.424518743668</v>
      </c>
      <c r="P735" s="3">
        <f t="shared" si="24"/>
        <v>40526.849037487336</v>
      </c>
      <c r="Q735" s="11">
        <f>IFERROR(+VLOOKUP(M735,D.sign_Lista_Data[[RESPONSABLE]:[SOFTWARE 
VALOR HORA]],5,FALSE)*D.sign_Data[[#This Row],[TIEMPO (HORAS)]],0)</f>
        <v>8443.0935494765272</v>
      </c>
      <c r="R735" s="11">
        <f>IFERROR(+VLOOKUP(M735,D.sign_Lista_Data[[RESPONSABLE]:[SOFTWARE 
VALOR HORA]],8,FALSE)*D.sign_Data[[#This Row],[TIEMPO (HORAS)]],0)</f>
        <v>6821.7097742879669</v>
      </c>
      <c r="S735" s="99"/>
      <c r="T735" s="99"/>
      <c r="U735" s="3">
        <f t="shared" si="25"/>
        <v>55791.652361251836</v>
      </c>
      <c r="V735" s="100">
        <f>D.sign_Data[[#This Row],[TIEMPO (HORAS)]]*Gastos_Operativos[[#Totals],[GASTOS HORA]]</f>
        <v>55578.954144620802</v>
      </c>
      <c r="W735" s="3">
        <f>+D.sign_Data[[#This Row],[COSTO 
DIRECTO ($COP)]]+D.sign_Data[[#This Row],[PRORRATEO GASTOS ($COP)]]</f>
        <v>111370.60650587264</v>
      </c>
      <c r="X735" s="101">
        <v>0.1</v>
      </c>
      <c r="Y735" s="15">
        <f>+D.sign_Data[[#This Row],[COSTOS OPERACIONALES ($COP)]]*D.sign_Data[[#This Row],[DESFASE (%)]]</f>
        <v>11137.060650587264</v>
      </c>
      <c r="Z735" s="101">
        <v>0.15</v>
      </c>
      <c r="AA735" s="15">
        <f>+((D.sign_Data[[#This Row],[COSTOS OPERACIONALES ($COP)]]/(100%-D.sign_Data[[#This Row],[UTILIDAD (%)]])))-D.sign_Data[[#This Row],[COSTOS OPERACIONALES ($COP)]]</f>
        <v>19653.636442212824</v>
      </c>
      <c r="AB735" s="3">
        <f>+D.sign_Data[[#This Row],[COSTOS OPERACIONALES ($COP)]]+D.sign_Data[[#This Row],[DESFASE ($COP)]]+D.sign_Data[[#This Row],[UTILIDAD ($COP)]]</f>
        <v>142161.30359867273</v>
      </c>
      <c r="AC735" s="101">
        <v>0.05</v>
      </c>
      <c r="AD735" s="15">
        <f>+D.sign_Data[[#This Row],[VALOR NETO ($COP)]]/(100%-D.sign_Data[[#This Row],[MARGEN DE NEGOCIACIÓN (%)]])-D.sign_Data[[#This Row],[VALOR NETO ($COP)]]</f>
        <v>7482.1738736143743</v>
      </c>
      <c r="AE735" s="15">
        <f>+(D.sign_Data[[#This Row],[VALOR NETO ($COP)]]+D.sign_Data[[#This Row],[NEGOCIACIÓN ($COP)]])*1%</f>
        <v>1496.434774722871</v>
      </c>
      <c r="AF735" s="15">
        <f>+(D.sign_Data[[#This Row],[VALOR NETO ($COP)]]+D.sign_Data[[#This Row],[NEGOCIACIÓN ($COP)]])*1%</f>
        <v>1496.434774722871</v>
      </c>
      <c r="AG735" s="3">
        <f>+D.sign_Data[[#This Row],[VALOR NETO ($COP)]]+D.sign_Data[[#This Row],[NEGOCIACIÓN ($COP)]]+D.sign_Data[[#This Row],[ICA ($COP)]]+D.sign_Data[[#This Row],[4 * 1000 ($COP)]]</f>
        <v>152636.34702173286</v>
      </c>
    </row>
    <row r="736" spans="1:33" ht="60" hidden="1" customHeight="1" x14ac:dyDescent="0.25">
      <c r="A736" s="14"/>
      <c r="B736" s="87" t="s">
        <v>493</v>
      </c>
      <c r="C736" s="182" t="s">
        <v>917</v>
      </c>
      <c r="D736" s="189" t="str">
        <f>VLOOKUP(D.sign_Data[[#This Row],[CÓDIGO]],Descripciones[[CÓDIGO]:[NOMBRE DE SERVICIO]],3,FALSE)</f>
        <v>D2. Edificación en Altura</v>
      </c>
      <c r="E736" s="87" t="s">
        <v>497</v>
      </c>
      <c r="F736" s="88" t="s">
        <v>918</v>
      </c>
      <c r="G736" s="88" t="s">
        <v>580</v>
      </c>
      <c r="H736" s="104" t="s">
        <v>552</v>
      </c>
      <c r="I736" s="89">
        <v>1</v>
      </c>
      <c r="J736" s="88" t="s">
        <v>607</v>
      </c>
      <c r="K736" s="102"/>
      <c r="L736" s="88" t="s">
        <v>613</v>
      </c>
      <c r="M736" s="89" t="s">
        <v>381</v>
      </c>
      <c r="N736" s="90">
        <v>0.5</v>
      </c>
      <c r="O736" s="27">
        <f>IFERROR(+VLOOKUP(M736,D.sign_Lista_Data[[RESPONSABLE]:[SOFTWARE 
VALOR HORA]],3,FALSE),"0")</f>
        <v>20263.424518743668</v>
      </c>
      <c r="P736" s="3">
        <f t="shared" si="24"/>
        <v>10131.712259371834</v>
      </c>
      <c r="Q736" s="11">
        <f>IFERROR(+VLOOKUP(M736,D.sign_Lista_Data[[RESPONSABLE]:[SOFTWARE 
VALOR HORA]],5,FALSE)*D.sign_Data[[#This Row],[TIEMPO (HORAS)]],0)</f>
        <v>2110.7733873691318</v>
      </c>
      <c r="R736" s="11">
        <f>IFERROR(+VLOOKUP(M736,D.sign_Lista_Data[[RESPONSABLE]:[SOFTWARE 
VALOR HORA]],8,FALSE)*D.sign_Data[[#This Row],[TIEMPO (HORAS)]],0)</f>
        <v>1705.4274435719917</v>
      </c>
      <c r="S736" s="99"/>
      <c r="T736" s="99"/>
      <c r="U736" s="3">
        <f t="shared" si="25"/>
        <v>13947.913090312959</v>
      </c>
      <c r="V736" s="100">
        <f>D.sign_Data[[#This Row],[TIEMPO (HORAS)]]*Gastos_Operativos[[#Totals],[GASTOS HORA]]</f>
        <v>13894.738536155201</v>
      </c>
      <c r="W736" s="3">
        <f>+D.sign_Data[[#This Row],[COSTO 
DIRECTO ($COP)]]+D.sign_Data[[#This Row],[PRORRATEO GASTOS ($COP)]]</f>
        <v>27842.65162646816</v>
      </c>
      <c r="X736" s="101">
        <v>0.1</v>
      </c>
      <c r="Y736" s="15">
        <f>+D.sign_Data[[#This Row],[COSTOS OPERACIONALES ($COP)]]*D.sign_Data[[#This Row],[DESFASE (%)]]</f>
        <v>2784.265162646816</v>
      </c>
      <c r="Z736" s="101">
        <v>0.15</v>
      </c>
      <c r="AA736" s="15">
        <f>+((D.sign_Data[[#This Row],[COSTOS OPERACIONALES ($COP)]]/(100%-D.sign_Data[[#This Row],[UTILIDAD (%)]])))-D.sign_Data[[#This Row],[COSTOS OPERACIONALES ($COP)]]</f>
        <v>4913.4091105532061</v>
      </c>
      <c r="AB736" s="3">
        <f>+D.sign_Data[[#This Row],[COSTOS OPERACIONALES ($COP)]]+D.sign_Data[[#This Row],[DESFASE ($COP)]]+D.sign_Data[[#This Row],[UTILIDAD ($COP)]]</f>
        <v>35540.325899668183</v>
      </c>
      <c r="AC736" s="101">
        <v>0.05</v>
      </c>
      <c r="AD736" s="15">
        <f>+D.sign_Data[[#This Row],[VALOR NETO ($COP)]]/(100%-D.sign_Data[[#This Row],[MARGEN DE NEGOCIACIÓN (%)]])-D.sign_Data[[#This Row],[VALOR NETO ($COP)]]</f>
        <v>1870.5434684035936</v>
      </c>
      <c r="AE736" s="15">
        <f>+(D.sign_Data[[#This Row],[VALOR NETO ($COP)]]+D.sign_Data[[#This Row],[NEGOCIACIÓN ($COP)]])*1%</f>
        <v>374.10869368071775</v>
      </c>
      <c r="AF736" s="15">
        <f>+(D.sign_Data[[#This Row],[VALOR NETO ($COP)]]+D.sign_Data[[#This Row],[NEGOCIACIÓN ($COP)]])*1%</f>
        <v>374.10869368071775</v>
      </c>
      <c r="AG736" s="3">
        <f>+D.sign_Data[[#This Row],[VALOR NETO ($COP)]]+D.sign_Data[[#This Row],[NEGOCIACIÓN ($COP)]]+D.sign_Data[[#This Row],[ICA ($COP)]]+D.sign_Data[[#This Row],[4 * 1000 ($COP)]]</f>
        <v>38159.086755433214</v>
      </c>
    </row>
    <row r="737" spans="1:33" ht="60" hidden="1" customHeight="1" x14ac:dyDescent="0.25">
      <c r="A737" s="14"/>
      <c r="B737" s="87" t="s">
        <v>493</v>
      </c>
      <c r="C737" s="182" t="s">
        <v>917</v>
      </c>
      <c r="D737" s="189" t="str">
        <f>VLOOKUP(D.sign_Data[[#This Row],[CÓDIGO]],Descripciones[[CÓDIGO]:[NOMBRE DE SERVICIO]],3,FALSE)</f>
        <v>D2. Edificación en Altura</v>
      </c>
      <c r="E737" s="87" t="s">
        <v>497</v>
      </c>
      <c r="F737" s="88" t="s">
        <v>918</v>
      </c>
      <c r="G737" s="88" t="s">
        <v>580</v>
      </c>
      <c r="H737" s="104" t="s">
        <v>552</v>
      </c>
      <c r="I737" s="89">
        <v>1</v>
      </c>
      <c r="J737" s="88" t="s">
        <v>607</v>
      </c>
      <c r="K737" s="102"/>
      <c r="L737" s="88" t="s">
        <v>579</v>
      </c>
      <c r="M737" s="89" t="s">
        <v>381</v>
      </c>
      <c r="N737" s="90">
        <v>1</v>
      </c>
      <c r="O737" s="27">
        <f>IFERROR(+VLOOKUP(M737,D.sign_Lista_Data[[RESPONSABLE]:[SOFTWARE 
VALOR HORA]],3,FALSE),"0")</f>
        <v>20263.424518743668</v>
      </c>
      <c r="P737" s="3">
        <f t="shared" si="24"/>
        <v>20263.424518743668</v>
      </c>
      <c r="Q737" s="11">
        <f>IFERROR(+VLOOKUP(M737,D.sign_Lista_Data[[RESPONSABLE]:[SOFTWARE 
VALOR HORA]],5,FALSE)*D.sign_Data[[#This Row],[TIEMPO (HORAS)]],0)</f>
        <v>4221.5467747382636</v>
      </c>
      <c r="R737" s="11">
        <f>IFERROR(+VLOOKUP(M737,D.sign_Lista_Data[[RESPONSABLE]:[SOFTWARE 
VALOR HORA]],8,FALSE)*D.sign_Data[[#This Row],[TIEMPO (HORAS)]],0)</f>
        <v>3410.8548871439834</v>
      </c>
      <c r="S737" s="99"/>
      <c r="T737" s="99"/>
      <c r="U737" s="3">
        <f t="shared" si="25"/>
        <v>27895.826180625918</v>
      </c>
      <c r="V737" s="100">
        <f>D.sign_Data[[#This Row],[TIEMPO (HORAS)]]*Gastos_Operativos[[#Totals],[GASTOS HORA]]</f>
        <v>27789.477072310401</v>
      </c>
      <c r="W737" s="3">
        <f>+D.sign_Data[[#This Row],[COSTO 
DIRECTO ($COP)]]+D.sign_Data[[#This Row],[PRORRATEO GASTOS ($COP)]]</f>
        <v>55685.303252936319</v>
      </c>
      <c r="X737" s="101">
        <v>0.1</v>
      </c>
      <c r="Y737" s="15">
        <f>+D.sign_Data[[#This Row],[COSTOS OPERACIONALES ($COP)]]*D.sign_Data[[#This Row],[DESFASE (%)]]</f>
        <v>5568.5303252936319</v>
      </c>
      <c r="Z737" s="101">
        <v>0.15</v>
      </c>
      <c r="AA737" s="15">
        <f>+((D.sign_Data[[#This Row],[COSTOS OPERACIONALES ($COP)]]/(100%-D.sign_Data[[#This Row],[UTILIDAD (%)]])))-D.sign_Data[[#This Row],[COSTOS OPERACIONALES ($COP)]]</f>
        <v>9826.8182211064122</v>
      </c>
      <c r="AB737" s="3">
        <f>+D.sign_Data[[#This Row],[COSTOS OPERACIONALES ($COP)]]+D.sign_Data[[#This Row],[DESFASE ($COP)]]+D.sign_Data[[#This Row],[UTILIDAD ($COP)]]</f>
        <v>71080.651799336367</v>
      </c>
      <c r="AC737" s="101">
        <v>0.05</v>
      </c>
      <c r="AD737" s="15">
        <f>+D.sign_Data[[#This Row],[VALOR NETO ($COP)]]/(100%-D.sign_Data[[#This Row],[MARGEN DE NEGOCIACIÓN (%)]])-D.sign_Data[[#This Row],[VALOR NETO ($COP)]]</f>
        <v>3741.0869368071872</v>
      </c>
      <c r="AE737" s="15">
        <f>+(D.sign_Data[[#This Row],[VALOR NETO ($COP)]]+D.sign_Data[[#This Row],[NEGOCIACIÓN ($COP)]])*1%</f>
        <v>748.2173873614355</v>
      </c>
      <c r="AF737" s="15">
        <f>+(D.sign_Data[[#This Row],[VALOR NETO ($COP)]]+D.sign_Data[[#This Row],[NEGOCIACIÓN ($COP)]])*1%</f>
        <v>748.2173873614355</v>
      </c>
      <c r="AG737" s="3">
        <f>+D.sign_Data[[#This Row],[VALOR NETO ($COP)]]+D.sign_Data[[#This Row],[NEGOCIACIÓN ($COP)]]+D.sign_Data[[#This Row],[ICA ($COP)]]+D.sign_Data[[#This Row],[4 * 1000 ($COP)]]</f>
        <v>76318.173510866429</v>
      </c>
    </row>
    <row r="738" spans="1:33" ht="60" hidden="1" customHeight="1" x14ac:dyDescent="0.25">
      <c r="A738" s="14"/>
      <c r="B738" s="87" t="s">
        <v>493</v>
      </c>
      <c r="C738" s="182" t="s">
        <v>917</v>
      </c>
      <c r="D738" s="189" t="str">
        <f>VLOOKUP(D.sign_Data[[#This Row],[CÓDIGO]],Descripciones[[CÓDIGO]:[NOMBRE DE SERVICIO]],3,FALSE)</f>
        <v>D2. Edificación en Altura</v>
      </c>
      <c r="E738" s="87" t="s">
        <v>497</v>
      </c>
      <c r="F738" s="88" t="s">
        <v>918</v>
      </c>
      <c r="G738" s="88" t="s">
        <v>580</v>
      </c>
      <c r="H738" s="104" t="s">
        <v>552</v>
      </c>
      <c r="I738" s="89">
        <v>1</v>
      </c>
      <c r="J738" s="88" t="s">
        <v>607</v>
      </c>
      <c r="K738" s="102"/>
      <c r="L738" s="88" t="s">
        <v>567</v>
      </c>
      <c r="M738" s="89" t="s">
        <v>381</v>
      </c>
      <c r="N738" s="90">
        <v>0.2</v>
      </c>
      <c r="O738" s="27">
        <f>IFERROR(+VLOOKUP(M738,D.sign_Lista_Data[[RESPONSABLE]:[SOFTWARE 
VALOR HORA]],3,FALSE),"0")</f>
        <v>20263.424518743668</v>
      </c>
      <c r="P738" s="3">
        <f t="shared" si="24"/>
        <v>4052.6849037487336</v>
      </c>
      <c r="Q738" s="11">
        <f>IFERROR(+VLOOKUP(M738,D.sign_Lista_Data[[RESPONSABLE]:[SOFTWARE 
VALOR HORA]],5,FALSE)*D.sign_Data[[#This Row],[TIEMPO (HORAS)]],0)</f>
        <v>844.30935494765276</v>
      </c>
      <c r="R738" s="11">
        <f>IFERROR(+VLOOKUP(M738,D.sign_Lista_Data[[RESPONSABLE]:[SOFTWARE 
VALOR HORA]],8,FALSE)*D.sign_Data[[#This Row],[TIEMPO (HORAS)]],0)</f>
        <v>682.17097742879673</v>
      </c>
      <c r="S738" s="99"/>
      <c r="T738" s="99"/>
      <c r="U738" s="3">
        <f t="shared" si="25"/>
        <v>5579.1652361251827</v>
      </c>
      <c r="V738" s="100">
        <f>D.sign_Data[[#This Row],[TIEMPO (HORAS)]]*Gastos_Operativos[[#Totals],[GASTOS HORA]]</f>
        <v>5557.8954144620802</v>
      </c>
      <c r="W738" s="3">
        <f>+D.sign_Data[[#This Row],[COSTO 
DIRECTO ($COP)]]+D.sign_Data[[#This Row],[PRORRATEO GASTOS ($COP)]]</f>
        <v>11137.060650587264</v>
      </c>
      <c r="X738" s="101">
        <v>0.1</v>
      </c>
      <c r="Y738" s="15">
        <f>+D.sign_Data[[#This Row],[COSTOS OPERACIONALES ($COP)]]*D.sign_Data[[#This Row],[DESFASE (%)]]</f>
        <v>1113.7060650587264</v>
      </c>
      <c r="Z738" s="101">
        <v>0.15</v>
      </c>
      <c r="AA738" s="15">
        <f>+((D.sign_Data[[#This Row],[COSTOS OPERACIONALES ($COP)]]/(100%-D.sign_Data[[#This Row],[UTILIDAD (%)]])))-D.sign_Data[[#This Row],[COSTOS OPERACIONALES ($COP)]]</f>
        <v>1965.3636442212828</v>
      </c>
      <c r="AB738" s="3">
        <f>+D.sign_Data[[#This Row],[COSTOS OPERACIONALES ($COP)]]+D.sign_Data[[#This Row],[DESFASE ($COP)]]+D.sign_Data[[#This Row],[UTILIDAD ($COP)]]</f>
        <v>14216.130359867273</v>
      </c>
      <c r="AC738" s="101">
        <v>0.05</v>
      </c>
      <c r="AD738" s="15">
        <f>+D.sign_Data[[#This Row],[VALOR NETO ($COP)]]/(100%-D.sign_Data[[#This Row],[MARGEN DE NEGOCIACIÓN (%)]])-D.sign_Data[[#This Row],[VALOR NETO ($COP)]]</f>
        <v>748.21738736143561</v>
      </c>
      <c r="AE738" s="15">
        <f>+(D.sign_Data[[#This Row],[VALOR NETO ($COP)]]+D.sign_Data[[#This Row],[NEGOCIACIÓN ($COP)]])*1%</f>
        <v>149.64347747228709</v>
      </c>
      <c r="AF738" s="15">
        <f>+(D.sign_Data[[#This Row],[VALOR NETO ($COP)]]+D.sign_Data[[#This Row],[NEGOCIACIÓN ($COP)]])*1%</f>
        <v>149.64347747228709</v>
      </c>
      <c r="AG738" s="3">
        <f>+D.sign_Data[[#This Row],[VALOR NETO ($COP)]]+D.sign_Data[[#This Row],[NEGOCIACIÓN ($COP)]]+D.sign_Data[[#This Row],[ICA ($COP)]]+D.sign_Data[[#This Row],[4 * 1000 ($COP)]]</f>
        <v>15263.634702173284</v>
      </c>
    </row>
    <row r="739" spans="1:33" ht="60" hidden="1" customHeight="1" x14ac:dyDescent="0.25">
      <c r="A739" s="14"/>
      <c r="B739" s="87" t="s">
        <v>493</v>
      </c>
      <c r="C739" s="182" t="s">
        <v>917</v>
      </c>
      <c r="D739" s="189" t="str">
        <f>VLOOKUP(D.sign_Data[[#This Row],[CÓDIGO]],Descripciones[[CÓDIGO]:[NOMBRE DE SERVICIO]],3,FALSE)</f>
        <v>D2. Edificación en Altura</v>
      </c>
      <c r="E739" s="87" t="s">
        <v>497</v>
      </c>
      <c r="F739" s="88" t="s">
        <v>918</v>
      </c>
      <c r="G739" s="88" t="s">
        <v>580</v>
      </c>
      <c r="H739" s="104" t="s">
        <v>552</v>
      </c>
      <c r="I739" s="89">
        <v>1</v>
      </c>
      <c r="J739" s="88" t="s">
        <v>607</v>
      </c>
      <c r="K739" s="102"/>
      <c r="L739" s="88" t="s">
        <v>604</v>
      </c>
      <c r="M739" s="89" t="s">
        <v>381</v>
      </c>
      <c r="N739" s="90">
        <v>0.5</v>
      </c>
      <c r="O739" s="27">
        <f>IFERROR(+VLOOKUP(M739,D.sign_Lista_Data[[RESPONSABLE]:[SOFTWARE 
VALOR HORA]],3,FALSE),"0")</f>
        <v>20263.424518743668</v>
      </c>
      <c r="P739" s="3">
        <f t="shared" si="24"/>
        <v>10131.712259371834</v>
      </c>
      <c r="Q739" s="11">
        <f>IFERROR(+VLOOKUP(M739,D.sign_Lista_Data[[RESPONSABLE]:[SOFTWARE 
VALOR HORA]],5,FALSE)*D.sign_Data[[#This Row],[TIEMPO (HORAS)]],0)</f>
        <v>2110.7733873691318</v>
      </c>
      <c r="R739" s="11">
        <f>IFERROR(+VLOOKUP(M739,D.sign_Lista_Data[[RESPONSABLE]:[SOFTWARE 
VALOR HORA]],8,FALSE)*D.sign_Data[[#This Row],[TIEMPO (HORAS)]],0)</f>
        <v>1705.4274435719917</v>
      </c>
      <c r="S739" s="99"/>
      <c r="T739" s="99"/>
      <c r="U739" s="3">
        <f t="shared" si="25"/>
        <v>13947.913090312959</v>
      </c>
      <c r="V739" s="100">
        <f>D.sign_Data[[#This Row],[TIEMPO (HORAS)]]*Gastos_Operativos[[#Totals],[GASTOS HORA]]</f>
        <v>13894.738536155201</v>
      </c>
      <c r="W739" s="3">
        <f>+D.sign_Data[[#This Row],[COSTO 
DIRECTO ($COP)]]+D.sign_Data[[#This Row],[PRORRATEO GASTOS ($COP)]]</f>
        <v>27842.65162646816</v>
      </c>
      <c r="X739" s="101">
        <v>0.1</v>
      </c>
      <c r="Y739" s="15">
        <f>+D.sign_Data[[#This Row],[COSTOS OPERACIONALES ($COP)]]*D.sign_Data[[#This Row],[DESFASE (%)]]</f>
        <v>2784.265162646816</v>
      </c>
      <c r="Z739" s="101">
        <v>0.15</v>
      </c>
      <c r="AA739" s="15">
        <f>+((D.sign_Data[[#This Row],[COSTOS OPERACIONALES ($COP)]]/(100%-D.sign_Data[[#This Row],[UTILIDAD (%)]])))-D.sign_Data[[#This Row],[COSTOS OPERACIONALES ($COP)]]</f>
        <v>4913.4091105532061</v>
      </c>
      <c r="AB739" s="3">
        <f>+D.sign_Data[[#This Row],[COSTOS OPERACIONALES ($COP)]]+D.sign_Data[[#This Row],[DESFASE ($COP)]]+D.sign_Data[[#This Row],[UTILIDAD ($COP)]]</f>
        <v>35540.325899668183</v>
      </c>
      <c r="AC739" s="101">
        <v>0.05</v>
      </c>
      <c r="AD739" s="15">
        <f>+D.sign_Data[[#This Row],[VALOR NETO ($COP)]]/(100%-D.sign_Data[[#This Row],[MARGEN DE NEGOCIACIÓN (%)]])-D.sign_Data[[#This Row],[VALOR NETO ($COP)]]</f>
        <v>1870.5434684035936</v>
      </c>
      <c r="AE739" s="15">
        <f>+(D.sign_Data[[#This Row],[VALOR NETO ($COP)]]+D.sign_Data[[#This Row],[NEGOCIACIÓN ($COP)]])*1%</f>
        <v>374.10869368071775</v>
      </c>
      <c r="AF739" s="15">
        <f>+(D.sign_Data[[#This Row],[VALOR NETO ($COP)]]+D.sign_Data[[#This Row],[NEGOCIACIÓN ($COP)]])*1%</f>
        <v>374.10869368071775</v>
      </c>
      <c r="AG739" s="3">
        <f>+D.sign_Data[[#This Row],[VALOR NETO ($COP)]]+D.sign_Data[[#This Row],[NEGOCIACIÓN ($COP)]]+D.sign_Data[[#This Row],[ICA ($COP)]]+D.sign_Data[[#This Row],[4 * 1000 ($COP)]]</f>
        <v>38159.086755433214</v>
      </c>
    </row>
    <row r="740" spans="1:33" ht="60" hidden="1" customHeight="1" x14ac:dyDescent="0.25">
      <c r="A740" s="14"/>
      <c r="B740" s="87" t="s">
        <v>493</v>
      </c>
      <c r="C740" s="182" t="s">
        <v>917</v>
      </c>
      <c r="D740" s="189" t="str">
        <f>VLOOKUP(D.sign_Data[[#This Row],[CÓDIGO]],Descripciones[[CÓDIGO]:[NOMBRE DE SERVICIO]],3,FALSE)</f>
        <v>D2. Edificación en Altura</v>
      </c>
      <c r="E740" s="87" t="s">
        <v>497</v>
      </c>
      <c r="F740" s="88" t="s">
        <v>918</v>
      </c>
      <c r="G740" s="88" t="s">
        <v>580</v>
      </c>
      <c r="H740" s="104" t="s">
        <v>552</v>
      </c>
      <c r="I740" s="89">
        <v>1</v>
      </c>
      <c r="J740" s="88" t="s">
        <v>607</v>
      </c>
      <c r="K740" s="102"/>
      <c r="L740" s="88" t="s">
        <v>570</v>
      </c>
      <c r="M740" s="89" t="s">
        <v>381</v>
      </c>
      <c r="N740" s="90">
        <v>1</v>
      </c>
      <c r="O740" s="27">
        <f>IFERROR(+VLOOKUP(M740,D.sign_Lista_Data[[RESPONSABLE]:[SOFTWARE 
VALOR HORA]],3,FALSE),"0")</f>
        <v>20263.424518743668</v>
      </c>
      <c r="P740" s="3">
        <f t="shared" si="24"/>
        <v>20263.424518743668</v>
      </c>
      <c r="Q740" s="11">
        <f>IFERROR(+VLOOKUP(M740,D.sign_Lista_Data[[RESPONSABLE]:[SOFTWARE 
VALOR HORA]],5,FALSE)*D.sign_Data[[#This Row],[TIEMPO (HORAS)]],0)</f>
        <v>4221.5467747382636</v>
      </c>
      <c r="R740" s="11">
        <f>IFERROR(+VLOOKUP(M740,D.sign_Lista_Data[[RESPONSABLE]:[SOFTWARE 
VALOR HORA]],8,FALSE)*D.sign_Data[[#This Row],[TIEMPO (HORAS)]],0)</f>
        <v>3410.8548871439834</v>
      </c>
      <c r="S740" s="99"/>
      <c r="T740" s="99"/>
      <c r="U740" s="3">
        <f t="shared" si="25"/>
        <v>27895.826180625918</v>
      </c>
      <c r="V740" s="100">
        <f>D.sign_Data[[#This Row],[TIEMPO (HORAS)]]*Gastos_Operativos[[#Totals],[GASTOS HORA]]</f>
        <v>27789.477072310401</v>
      </c>
      <c r="W740" s="3">
        <f>+D.sign_Data[[#This Row],[COSTO 
DIRECTO ($COP)]]+D.sign_Data[[#This Row],[PRORRATEO GASTOS ($COP)]]</f>
        <v>55685.303252936319</v>
      </c>
      <c r="X740" s="101">
        <v>0.1</v>
      </c>
      <c r="Y740" s="15">
        <f>+D.sign_Data[[#This Row],[COSTOS OPERACIONALES ($COP)]]*D.sign_Data[[#This Row],[DESFASE (%)]]</f>
        <v>5568.5303252936319</v>
      </c>
      <c r="Z740" s="101">
        <v>0.15</v>
      </c>
      <c r="AA740" s="15">
        <f>+((D.sign_Data[[#This Row],[COSTOS OPERACIONALES ($COP)]]/(100%-D.sign_Data[[#This Row],[UTILIDAD (%)]])))-D.sign_Data[[#This Row],[COSTOS OPERACIONALES ($COP)]]</f>
        <v>9826.8182211064122</v>
      </c>
      <c r="AB740" s="3">
        <f>+D.sign_Data[[#This Row],[COSTOS OPERACIONALES ($COP)]]+D.sign_Data[[#This Row],[DESFASE ($COP)]]+D.sign_Data[[#This Row],[UTILIDAD ($COP)]]</f>
        <v>71080.651799336367</v>
      </c>
      <c r="AC740" s="101">
        <v>0.05</v>
      </c>
      <c r="AD740" s="15">
        <f>+D.sign_Data[[#This Row],[VALOR NETO ($COP)]]/(100%-D.sign_Data[[#This Row],[MARGEN DE NEGOCIACIÓN (%)]])-D.sign_Data[[#This Row],[VALOR NETO ($COP)]]</f>
        <v>3741.0869368071872</v>
      </c>
      <c r="AE740" s="15">
        <f>+(D.sign_Data[[#This Row],[VALOR NETO ($COP)]]+D.sign_Data[[#This Row],[NEGOCIACIÓN ($COP)]])*1%</f>
        <v>748.2173873614355</v>
      </c>
      <c r="AF740" s="15">
        <f>+(D.sign_Data[[#This Row],[VALOR NETO ($COP)]]+D.sign_Data[[#This Row],[NEGOCIACIÓN ($COP)]])*1%</f>
        <v>748.2173873614355</v>
      </c>
      <c r="AG740" s="3">
        <f>+D.sign_Data[[#This Row],[VALOR NETO ($COP)]]+D.sign_Data[[#This Row],[NEGOCIACIÓN ($COP)]]+D.sign_Data[[#This Row],[ICA ($COP)]]+D.sign_Data[[#This Row],[4 * 1000 ($COP)]]</f>
        <v>76318.173510866429</v>
      </c>
    </row>
    <row r="741" spans="1:33" ht="60" hidden="1" customHeight="1" x14ac:dyDescent="0.25">
      <c r="A741" s="14"/>
      <c r="B741" s="87" t="s">
        <v>493</v>
      </c>
      <c r="C741" s="182" t="s">
        <v>917</v>
      </c>
      <c r="D741" s="189" t="str">
        <f>VLOOKUP(D.sign_Data[[#This Row],[CÓDIGO]],Descripciones[[CÓDIGO]:[NOMBRE DE SERVICIO]],3,FALSE)</f>
        <v>D2. Edificación en Altura</v>
      </c>
      <c r="E741" s="87" t="s">
        <v>497</v>
      </c>
      <c r="F741" s="88" t="s">
        <v>918</v>
      </c>
      <c r="G741" s="88" t="s">
        <v>580</v>
      </c>
      <c r="H741" s="104" t="s">
        <v>552</v>
      </c>
      <c r="I741" s="89">
        <v>1</v>
      </c>
      <c r="J741" s="88" t="s">
        <v>607</v>
      </c>
      <c r="K741" s="102"/>
      <c r="L741" s="88" t="s">
        <v>571</v>
      </c>
      <c r="M741" s="89" t="s">
        <v>381</v>
      </c>
      <c r="N741" s="90">
        <v>0.1</v>
      </c>
      <c r="O741" s="27">
        <f>IFERROR(+VLOOKUP(M741,D.sign_Lista_Data[[RESPONSABLE]:[SOFTWARE 
VALOR HORA]],3,FALSE),"0")</f>
        <v>20263.424518743668</v>
      </c>
      <c r="P741" s="3">
        <f t="shared" si="24"/>
        <v>2026.3424518743668</v>
      </c>
      <c r="Q741" s="11">
        <f>IFERROR(+VLOOKUP(M741,D.sign_Lista_Data[[RESPONSABLE]:[SOFTWARE 
VALOR HORA]],5,FALSE)*D.sign_Data[[#This Row],[TIEMPO (HORAS)]],0)</f>
        <v>422.15467747382638</v>
      </c>
      <c r="R741" s="11">
        <f>IFERROR(+VLOOKUP(M741,D.sign_Lista_Data[[RESPONSABLE]:[SOFTWARE 
VALOR HORA]],8,FALSE)*D.sign_Data[[#This Row],[TIEMPO (HORAS)]],0)</f>
        <v>341.08548871439837</v>
      </c>
      <c r="S741" s="99"/>
      <c r="T741" s="99"/>
      <c r="U741" s="3">
        <f t="shared" si="25"/>
        <v>2789.5826180625913</v>
      </c>
      <c r="V741" s="100">
        <f>D.sign_Data[[#This Row],[TIEMPO (HORAS)]]*Gastos_Operativos[[#Totals],[GASTOS HORA]]</f>
        <v>2778.9477072310401</v>
      </c>
      <c r="W741" s="3">
        <f>+D.sign_Data[[#This Row],[COSTO 
DIRECTO ($COP)]]+D.sign_Data[[#This Row],[PRORRATEO GASTOS ($COP)]]</f>
        <v>5568.5303252936319</v>
      </c>
      <c r="X741" s="101">
        <v>0.1</v>
      </c>
      <c r="Y741" s="15">
        <f>+D.sign_Data[[#This Row],[COSTOS OPERACIONALES ($COP)]]*D.sign_Data[[#This Row],[DESFASE (%)]]</f>
        <v>556.85303252936319</v>
      </c>
      <c r="Z741" s="101">
        <v>0.15</v>
      </c>
      <c r="AA741" s="15">
        <f>+((D.sign_Data[[#This Row],[COSTOS OPERACIONALES ($COP)]]/(100%-D.sign_Data[[#This Row],[UTILIDAD (%)]])))-D.sign_Data[[#This Row],[COSTOS OPERACIONALES ($COP)]]</f>
        <v>982.68182211064141</v>
      </c>
      <c r="AB741" s="3">
        <f>+D.sign_Data[[#This Row],[COSTOS OPERACIONALES ($COP)]]+D.sign_Data[[#This Row],[DESFASE ($COP)]]+D.sign_Data[[#This Row],[UTILIDAD ($COP)]]</f>
        <v>7108.0651799336365</v>
      </c>
      <c r="AC741" s="101">
        <v>0.05</v>
      </c>
      <c r="AD741" s="15">
        <f>+D.sign_Data[[#This Row],[VALOR NETO ($COP)]]/(100%-D.sign_Data[[#This Row],[MARGEN DE NEGOCIACIÓN (%)]])-D.sign_Data[[#This Row],[VALOR NETO ($COP)]]</f>
        <v>374.10869368071781</v>
      </c>
      <c r="AE741" s="15">
        <f>+(D.sign_Data[[#This Row],[VALOR NETO ($COP)]]+D.sign_Data[[#This Row],[NEGOCIACIÓN ($COP)]])*1%</f>
        <v>74.821738736143544</v>
      </c>
      <c r="AF741" s="15">
        <f>+(D.sign_Data[[#This Row],[VALOR NETO ($COP)]]+D.sign_Data[[#This Row],[NEGOCIACIÓN ($COP)]])*1%</f>
        <v>74.821738736143544</v>
      </c>
      <c r="AG741" s="3">
        <f>+D.sign_Data[[#This Row],[VALOR NETO ($COP)]]+D.sign_Data[[#This Row],[NEGOCIACIÓN ($COP)]]+D.sign_Data[[#This Row],[ICA ($COP)]]+D.sign_Data[[#This Row],[4 * 1000 ($COP)]]</f>
        <v>7631.8173510866418</v>
      </c>
    </row>
    <row r="742" spans="1:33" ht="60" hidden="1" customHeight="1" x14ac:dyDescent="0.25">
      <c r="A742" s="14"/>
      <c r="B742" s="87" t="s">
        <v>493</v>
      </c>
      <c r="C742" s="182" t="s">
        <v>917</v>
      </c>
      <c r="D742" s="189" t="str">
        <f>VLOOKUP(D.sign_Data[[#This Row],[CÓDIGO]],Descripciones[[CÓDIGO]:[NOMBRE DE SERVICIO]],3,FALSE)</f>
        <v>D2. Edificación en Altura</v>
      </c>
      <c r="E742" s="87" t="s">
        <v>497</v>
      </c>
      <c r="F742" s="88" t="s">
        <v>918</v>
      </c>
      <c r="G742" s="88" t="s">
        <v>580</v>
      </c>
      <c r="H742" s="104" t="s">
        <v>552</v>
      </c>
      <c r="I742" s="89">
        <v>1</v>
      </c>
      <c r="J742" s="88" t="s">
        <v>607</v>
      </c>
      <c r="K742" s="102"/>
      <c r="L742" s="88" t="s">
        <v>572</v>
      </c>
      <c r="M742" s="89" t="s">
        <v>381</v>
      </c>
      <c r="N742" s="90">
        <v>0.1</v>
      </c>
      <c r="O742" s="27">
        <f>IFERROR(+VLOOKUP(M742,D.sign_Lista_Data[[RESPONSABLE]:[SOFTWARE 
VALOR HORA]],3,FALSE),"0")</f>
        <v>20263.424518743668</v>
      </c>
      <c r="P742" s="3">
        <f t="shared" si="24"/>
        <v>2026.3424518743668</v>
      </c>
      <c r="Q742" s="11">
        <f>IFERROR(+VLOOKUP(M742,D.sign_Lista_Data[[RESPONSABLE]:[SOFTWARE 
VALOR HORA]],5,FALSE)*D.sign_Data[[#This Row],[TIEMPO (HORAS)]],0)</f>
        <v>422.15467747382638</v>
      </c>
      <c r="R742" s="11">
        <f>IFERROR(+VLOOKUP(M742,D.sign_Lista_Data[[RESPONSABLE]:[SOFTWARE 
VALOR HORA]],8,FALSE)*D.sign_Data[[#This Row],[TIEMPO (HORAS)]],0)</f>
        <v>341.08548871439837</v>
      </c>
      <c r="S742" s="99"/>
      <c r="T742" s="99"/>
      <c r="U742" s="3">
        <f t="shared" si="25"/>
        <v>2789.5826180625913</v>
      </c>
      <c r="V742" s="100">
        <f>D.sign_Data[[#This Row],[TIEMPO (HORAS)]]*Gastos_Operativos[[#Totals],[GASTOS HORA]]</f>
        <v>2778.9477072310401</v>
      </c>
      <c r="W742" s="3">
        <f>+D.sign_Data[[#This Row],[COSTO 
DIRECTO ($COP)]]+D.sign_Data[[#This Row],[PRORRATEO GASTOS ($COP)]]</f>
        <v>5568.5303252936319</v>
      </c>
      <c r="X742" s="101">
        <v>0.1</v>
      </c>
      <c r="Y742" s="15">
        <f>+D.sign_Data[[#This Row],[COSTOS OPERACIONALES ($COP)]]*D.sign_Data[[#This Row],[DESFASE (%)]]</f>
        <v>556.85303252936319</v>
      </c>
      <c r="Z742" s="101">
        <v>0.15</v>
      </c>
      <c r="AA742" s="15">
        <f>+((D.sign_Data[[#This Row],[COSTOS OPERACIONALES ($COP)]]/(100%-D.sign_Data[[#This Row],[UTILIDAD (%)]])))-D.sign_Data[[#This Row],[COSTOS OPERACIONALES ($COP)]]</f>
        <v>982.68182211064141</v>
      </c>
      <c r="AB742" s="3">
        <f>+D.sign_Data[[#This Row],[COSTOS OPERACIONALES ($COP)]]+D.sign_Data[[#This Row],[DESFASE ($COP)]]+D.sign_Data[[#This Row],[UTILIDAD ($COP)]]</f>
        <v>7108.0651799336365</v>
      </c>
      <c r="AC742" s="101">
        <v>0.05</v>
      </c>
      <c r="AD742" s="15">
        <f>+D.sign_Data[[#This Row],[VALOR NETO ($COP)]]/(100%-D.sign_Data[[#This Row],[MARGEN DE NEGOCIACIÓN (%)]])-D.sign_Data[[#This Row],[VALOR NETO ($COP)]]</f>
        <v>374.10869368071781</v>
      </c>
      <c r="AE742" s="15">
        <f>+(D.sign_Data[[#This Row],[VALOR NETO ($COP)]]+D.sign_Data[[#This Row],[NEGOCIACIÓN ($COP)]])*1%</f>
        <v>74.821738736143544</v>
      </c>
      <c r="AF742" s="15">
        <f>+(D.sign_Data[[#This Row],[VALOR NETO ($COP)]]+D.sign_Data[[#This Row],[NEGOCIACIÓN ($COP)]])*1%</f>
        <v>74.821738736143544</v>
      </c>
      <c r="AG742" s="3">
        <f>+D.sign_Data[[#This Row],[VALOR NETO ($COP)]]+D.sign_Data[[#This Row],[NEGOCIACIÓN ($COP)]]+D.sign_Data[[#This Row],[ICA ($COP)]]+D.sign_Data[[#This Row],[4 * 1000 ($COP)]]</f>
        <v>7631.8173510866418</v>
      </c>
    </row>
    <row r="743" spans="1:33" ht="60" hidden="1" customHeight="1" x14ac:dyDescent="0.25">
      <c r="A743" s="14"/>
      <c r="B743" s="87" t="s">
        <v>493</v>
      </c>
      <c r="C743" s="182" t="s">
        <v>917</v>
      </c>
      <c r="D743" s="189" t="str">
        <f>VLOOKUP(D.sign_Data[[#This Row],[CÓDIGO]],Descripciones[[CÓDIGO]:[NOMBRE DE SERVICIO]],3,FALSE)</f>
        <v>D2. Edificación en Altura</v>
      </c>
      <c r="E743" s="87" t="s">
        <v>497</v>
      </c>
      <c r="F743" s="88" t="s">
        <v>918</v>
      </c>
      <c r="G743" s="88" t="s">
        <v>582</v>
      </c>
      <c r="H743" s="104" t="s">
        <v>552</v>
      </c>
      <c r="I743" s="89">
        <v>1</v>
      </c>
      <c r="J743" s="88" t="s">
        <v>614</v>
      </c>
      <c r="K743" s="102"/>
      <c r="L743" s="88" t="s">
        <v>584</v>
      </c>
      <c r="M743" s="89" t="s">
        <v>381</v>
      </c>
      <c r="N743" s="90">
        <v>1</v>
      </c>
      <c r="O743" s="27">
        <f>IFERROR(+VLOOKUP(M743,D.sign_Lista_Data[[RESPONSABLE]:[SOFTWARE 
VALOR HORA]],3,FALSE),"0")</f>
        <v>20263.424518743668</v>
      </c>
      <c r="P743" s="3">
        <f t="shared" si="24"/>
        <v>20263.424518743668</v>
      </c>
      <c r="Q743" s="11">
        <f>IFERROR(+VLOOKUP(M743,D.sign_Lista_Data[[RESPONSABLE]:[SOFTWARE 
VALOR HORA]],5,FALSE)*D.sign_Data[[#This Row],[TIEMPO (HORAS)]],0)</f>
        <v>4221.5467747382636</v>
      </c>
      <c r="R743" s="11">
        <f>IFERROR(+VLOOKUP(M743,D.sign_Lista_Data[[RESPONSABLE]:[SOFTWARE 
VALOR HORA]],8,FALSE)*D.sign_Data[[#This Row],[TIEMPO (HORAS)]],0)</f>
        <v>3410.8548871439834</v>
      </c>
      <c r="S743" s="99"/>
      <c r="T743" s="99"/>
      <c r="U743" s="3">
        <f t="shared" si="25"/>
        <v>27895.826180625918</v>
      </c>
      <c r="V743" s="100">
        <f>D.sign_Data[[#This Row],[TIEMPO (HORAS)]]*Gastos_Operativos[[#Totals],[GASTOS HORA]]</f>
        <v>27789.477072310401</v>
      </c>
      <c r="W743" s="3">
        <f>+D.sign_Data[[#This Row],[COSTO 
DIRECTO ($COP)]]+D.sign_Data[[#This Row],[PRORRATEO GASTOS ($COP)]]</f>
        <v>55685.303252936319</v>
      </c>
      <c r="X743" s="101">
        <v>0.1</v>
      </c>
      <c r="Y743" s="15">
        <f>+D.sign_Data[[#This Row],[COSTOS OPERACIONALES ($COP)]]*D.sign_Data[[#This Row],[DESFASE (%)]]</f>
        <v>5568.5303252936319</v>
      </c>
      <c r="Z743" s="101">
        <v>0.15</v>
      </c>
      <c r="AA743" s="15">
        <f>+((D.sign_Data[[#This Row],[COSTOS OPERACIONALES ($COP)]]/(100%-D.sign_Data[[#This Row],[UTILIDAD (%)]])))-D.sign_Data[[#This Row],[COSTOS OPERACIONALES ($COP)]]</f>
        <v>9826.8182211064122</v>
      </c>
      <c r="AB743" s="3">
        <f>+D.sign_Data[[#This Row],[COSTOS OPERACIONALES ($COP)]]+D.sign_Data[[#This Row],[DESFASE ($COP)]]+D.sign_Data[[#This Row],[UTILIDAD ($COP)]]</f>
        <v>71080.651799336367</v>
      </c>
      <c r="AC743" s="101">
        <v>0.05</v>
      </c>
      <c r="AD743" s="15">
        <f>+D.sign_Data[[#This Row],[VALOR NETO ($COP)]]/(100%-D.sign_Data[[#This Row],[MARGEN DE NEGOCIACIÓN (%)]])-D.sign_Data[[#This Row],[VALOR NETO ($COP)]]</f>
        <v>3741.0869368071872</v>
      </c>
      <c r="AE743" s="15">
        <f>+(D.sign_Data[[#This Row],[VALOR NETO ($COP)]]+D.sign_Data[[#This Row],[NEGOCIACIÓN ($COP)]])*1%</f>
        <v>748.2173873614355</v>
      </c>
      <c r="AF743" s="15">
        <f>+(D.sign_Data[[#This Row],[VALOR NETO ($COP)]]+D.sign_Data[[#This Row],[NEGOCIACIÓN ($COP)]])*1%</f>
        <v>748.2173873614355</v>
      </c>
      <c r="AG743" s="3">
        <f>+D.sign_Data[[#This Row],[VALOR NETO ($COP)]]+D.sign_Data[[#This Row],[NEGOCIACIÓN ($COP)]]+D.sign_Data[[#This Row],[ICA ($COP)]]+D.sign_Data[[#This Row],[4 * 1000 ($COP)]]</f>
        <v>76318.173510866429</v>
      </c>
    </row>
    <row r="744" spans="1:33" ht="60" hidden="1" customHeight="1" x14ac:dyDescent="0.25">
      <c r="A744" s="14"/>
      <c r="B744" s="87" t="s">
        <v>493</v>
      </c>
      <c r="C744" s="182" t="s">
        <v>917</v>
      </c>
      <c r="D744" s="189" t="str">
        <f>VLOOKUP(D.sign_Data[[#This Row],[CÓDIGO]],Descripciones[[CÓDIGO]:[NOMBRE DE SERVICIO]],3,FALSE)</f>
        <v>D2. Edificación en Altura</v>
      </c>
      <c r="E744" s="87" t="s">
        <v>497</v>
      </c>
      <c r="F744" s="88" t="s">
        <v>918</v>
      </c>
      <c r="G744" s="88" t="s">
        <v>582</v>
      </c>
      <c r="H744" s="104" t="s">
        <v>552</v>
      </c>
      <c r="I744" s="89">
        <v>1</v>
      </c>
      <c r="J744" s="88" t="s">
        <v>614</v>
      </c>
      <c r="K744" s="102"/>
      <c r="L744" s="88" t="s">
        <v>575</v>
      </c>
      <c r="M744" s="89" t="s">
        <v>381</v>
      </c>
      <c r="N744" s="90">
        <v>0.2</v>
      </c>
      <c r="O744" s="27">
        <f>IFERROR(+VLOOKUP(M744,D.sign_Lista_Data[[RESPONSABLE]:[SOFTWARE 
VALOR HORA]],3,FALSE),"0")</f>
        <v>20263.424518743668</v>
      </c>
      <c r="P744" s="3">
        <f t="shared" si="24"/>
        <v>4052.6849037487336</v>
      </c>
      <c r="Q744" s="11">
        <f>IFERROR(+VLOOKUP(M744,D.sign_Lista_Data[[RESPONSABLE]:[SOFTWARE 
VALOR HORA]],5,FALSE)*D.sign_Data[[#This Row],[TIEMPO (HORAS)]],0)</f>
        <v>844.30935494765276</v>
      </c>
      <c r="R744" s="11">
        <f>IFERROR(+VLOOKUP(M744,D.sign_Lista_Data[[RESPONSABLE]:[SOFTWARE 
VALOR HORA]],8,FALSE)*D.sign_Data[[#This Row],[TIEMPO (HORAS)]],0)</f>
        <v>682.17097742879673</v>
      </c>
      <c r="S744" s="99"/>
      <c r="T744" s="99"/>
      <c r="U744" s="3">
        <f t="shared" si="25"/>
        <v>5579.1652361251827</v>
      </c>
      <c r="V744" s="100">
        <f>D.sign_Data[[#This Row],[TIEMPO (HORAS)]]*Gastos_Operativos[[#Totals],[GASTOS HORA]]</f>
        <v>5557.8954144620802</v>
      </c>
      <c r="W744" s="3">
        <f>+D.sign_Data[[#This Row],[COSTO 
DIRECTO ($COP)]]+D.sign_Data[[#This Row],[PRORRATEO GASTOS ($COP)]]</f>
        <v>11137.060650587264</v>
      </c>
      <c r="X744" s="101">
        <v>0.1</v>
      </c>
      <c r="Y744" s="15">
        <f>+D.sign_Data[[#This Row],[COSTOS OPERACIONALES ($COP)]]*D.sign_Data[[#This Row],[DESFASE (%)]]</f>
        <v>1113.7060650587264</v>
      </c>
      <c r="Z744" s="101">
        <v>0.15</v>
      </c>
      <c r="AA744" s="15">
        <f>+((D.sign_Data[[#This Row],[COSTOS OPERACIONALES ($COP)]]/(100%-D.sign_Data[[#This Row],[UTILIDAD (%)]])))-D.sign_Data[[#This Row],[COSTOS OPERACIONALES ($COP)]]</f>
        <v>1965.3636442212828</v>
      </c>
      <c r="AB744" s="3">
        <f>+D.sign_Data[[#This Row],[COSTOS OPERACIONALES ($COP)]]+D.sign_Data[[#This Row],[DESFASE ($COP)]]+D.sign_Data[[#This Row],[UTILIDAD ($COP)]]</f>
        <v>14216.130359867273</v>
      </c>
      <c r="AC744" s="101">
        <v>0.05</v>
      </c>
      <c r="AD744" s="15">
        <f>+D.sign_Data[[#This Row],[VALOR NETO ($COP)]]/(100%-D.sign_Data[[#This Row],[MARGEN DE NEGOCIACIÓN (%)]])-D.sign_Data[[#This Row],[VALOR NETO ($COP)]]</f>
        <v>748.21738736143561</v>
      </c>
      <c r="AE744" s="15">
        <f>+(D.sign_Data[[#This Row],[VALOR NETO ($COP)]]+D.sign_Data[[#This Row],[NEGOCIACIÓN ($COP)]])*1%</f>
        <v>149.64347747228709</v>
      </c>
      <c r="AF744" s="15">
        <f>+(D.sign_Data[[#This Row],[VALOR NETO ($COP)]]+D.sign_Data[[#This Row],[NEGOCIACIÓN ($COP)]])*1%</f>
        <v>149.64347747228709</v>
      </c>
      <c r="AG744" s="3">
        <f>+D.sign_Data[[#This Row],[VALOR NETO ($COP)]]+D.sign_Data[[#This Row],[NEGOCIACIÓN ($COP)]]+D.sign_Data[[#This Row],[ICA ($COP)]]+D.sign_Data[[#This Row],[4 * 1000 ($COP)]]</f>
        <v>15263.634702173284</v>
      </c>
    </row>
    <row r="745" spans="1:33" ht="60" hidden="1" customHeight="1" x14ac:dyDescent="0.25">
      <c r="A745" s="14"/>
      <c r="B745" s="87" t="s">
        <v>493</v>
      </c>
      <c r="C745" s="182" t="s">
        <v>917</v>
      </c>
      <c r="D745" s="189" t="str">
        <f>VLOOKUP(D.sign_Data[[#This Row],[CÓDIGO]],Descripciones[[CÓDIGO]:[NOMBRE DE SERVICIO]],3,FALSE)</f>
        <v>D2. Edificación en Altura</v>
      </c>
      <c r="E745" s="87" t="s">
        <v>497</v>
      </c>
      <c r="F745" s="88" t="s">
        <v>918</v>
      </c>
      <c r="G745" s="88" t="s">
        <v>582</v>
      </c>
      <c r="H745" s="104" t="s">
        <v>552</v>
      </c>
      <c r="I745" s="89">
        <v>1</v>
      </c>
      <c r="J745" s="88" t="s">
        <v>614</v>
      </c>
      <c r="K745" s="102"/>
      <c r="L745" s="88" t="s">
        <v>604</v>
      </c>
      <c r="M745" s="89" t="s">
        <v>381</v>
      </c>
      <c r="N745" s="90">
        <v>0.5</v>
      </c>
      <c r="O745" s="27">
        <f>IFERROR(+VLOOKUP(M745,D.sign_Lista_Data[[RESPONSABLE]:[SOFTWARE 
VALOR HORA]],3,FALSE),"0")</f>
        <v>20263.424518743668</v>
      </c>
      <c r="P745" s="3">
        <f t="shared" si="24"/>
        <v>10131.712259371834</v>
      </c>
      <c r="Q745" s="11">
        <f>IFERROR(+VLOOKUP(M745,D.sign_Lista_Data[[RESPONSABLE]:[SOFTWARE 
VALOR HORA]],5,FALSE)*D.sign_Data[[#This Row],[TIEMPO (HORAS)]],0)</f>
        <v>2110.7733873691318</v>
      </c>
      <c r="R745" s="11">
        <f>IFERROR(+VLOOKUP(M745,D.sign_Lista_Data[[RESPONSABLE]:[SOFTWARE 
VALOR HORA]],8,FALSE)*D.sign_Data[[#This Row],[TIEMPO (HORAS)]],0)</f>
        <v>1705.4274435719917</v>
      </c>
      <c r="S745" s="99"/>
      <c r="T745" s="99"/>
      <c r="U745" s="3">
        <f t="shared" si="25"/>
        <v>13947.913090312959</v>
      </c>
      <c r="V745" s="100">
        <f>D.sign_Data[[#This Row],[TIEMPO (HORAS)]]*Gastos_Operativos[[#Totals],[GASTOS HORA]]</f>
        <v>13894.738536155201</v>
      </c>
      <c r="W745" s="3">
        <f>+D.sign_Data[[#This Row],[COSTO 
DIRECTO ($COP)]]+D.sign_Data[[#This Row],[PRORRATEO GASTOS ($COP)]]</f>
        <v>27842.65162646816</v>
      </c>
      <c r="X745" s="101">
        <v>0.1</v>
      </c>
      <c r="Y745" s="15">
        <f>+D.sign_Data[[#This Row],[COSTOS OPERACIONALES ($COP)]]*D.sign_Data[[#This Row],[DESFASE (%)]]</f>
        <v>2784.265162646816</v>
      </c>
      <c r="Z745" s="101">
        <v>0.15</v>
      </c>
      <c r="AA745" s="15">
        <f>+((D.sign_Data[[#This Row],[COSTOS OPERACIONALES ($COP)]]/(100%-D.sign_Data[[#This Row],[UTILIDAD (%)]])))-D.sign_Data[[#This Row],[COSTOS OPERACIONALES ($COP)]]</f>
        <v>4913.4091105532061</v>
      </c>
      <c r="AB745" s="3">
        <f>+D.sign_Data[[#This Row],[COSTOS OPERACIONALES ($COP)]]+D.sign_Data[[#This Row],[DESFASE ($COP)]]+D.sign_Data[[#This Row],[UTILIDAD ($COP)]]</f>
        <v>35540.325899668183</v>
      </c>
      <c r="AC745" s="101">
        <v>0.05</v>
      </c>
      <c r="AD745" s="15">
        <f>+D.sign_Data[[#This Row],[VALOR NETO ($COP)]]/(100%-D.sign_Data[[#This Row],[MARGEN DE NEGOCIACIÓN (%)]])-D.sign_Data[[#This Row],[VALOR NETO ($COP)]]</f>
        <v>1870.5434684035936</v>
      </c>
      <c r="AE745" s="15">
        <f>+(D.sign_Data[[#This Row],[VALOR NETO ($COP)]]+D.sign_Data[[#This Row],[NEGOCIACIÓN ($COP)]])*1%</f>
        <v>374.10869368071775</v>
      </c>
      <c r="AF745" s="15">
        <f>+(D.sign_Data[[#This Row],[VALOR NETO ($COP)]]+D.sign_Data[[#This Row],[NEGOCIACIÓN ($COP)]])*1%</f>
        <v>374.10869368071775</v>
      </c>
      <c r="AG745" s="3">
        <f>+D.sign_Data[[#This Row],[VALOR NETO ($COP)]]+D.sign_Data[[#This Row],[NEGOCIACIÓN ($COP)]]+D.sign_Data[[#This Row],[ICA ($COP)]]+D.sign_Data[[#This Row],[4 * 1000 ($COP)]]</f>
        <v>38159.086755433214</v>
      </c>
    </row>
    <row r="746" spans="1:33" ht="60" hidden="1" customHeight="1" x14ac:dyDescent="0.25">
      <c r="A746" s="14"/>
      <c r="B746" s="87" t="s">
        <v>493</v>
      </c>
      <c r="C746" s="182" t="s">
        <v>917</v>
      </c>
      <c r="D746" s="189" t="str">
        <f>VLOOKUP(D.sign_Data[[#This Row],[CÓDIGO]],Descripciones[[CÓDIGO]:[NOMBRE DE SERVICIO]],3,FALSE)</f>
        <v>D2. Edificación en Altura</v>
      </c>
      <c r="E746" s="87" t="s">
        <v>497</v>
      </c>
      <c r="F746" s="88" t="s">
        <v>918</v>
      </c>
      <c r="G746" s="88" t="s">
        <v>582</v>
      </c>
      <c r="H746" s="104" t="s">
        <v>552</v>
      </c>
      <c r="I746" s="89">
        <v>1</v>
      </c>
      <c r="J746" s="88" t="s">
        <v>614</v>
      </c>
      <c r="K746" s="102"/>
      <c r="L746" s="88" t="s">
        <v>570</v>
      </c>
      <c r="M746" s="89" t="s">
        <v>381</v>
      </c>
      <c r="N746" s="90">
        <v>0.6</v>
      </c>
      <c r="O746" s="27">
        <f>IFERROR(+VLOOKUP(M746,D.sign_Lista_Data[[RESPONSABLE]:[SOFTWARE 
VALOR HORA]],3,FALSE),"0")</f>
        <v>20263.424518743668</v>
      </c>
      <c r="P746" s="3">
        <f t="shared" si="24"/>
        <v>12158.054711246201</v>
      </c>
      <c r="Q746" s="11">
        <f>IFERROR(+VLOOKUP(M746,D.sign_Lista_Data[[RESPONSABLE]:[SOFTWARE 
VALOR HORA]],5,FALSE)*D.sign_Data[[#This Row],[TIEMPO (HORAS)]],0)</f>
        <v>2532.9280648429581</v>
      </c>
      <c r="R746" s="11">
        <f>IFERROR(+VLOOKUP(M746,D.sign_Lista_Data[[RESPONSABLE]:[SOFTWARE 
VALOR HORA]],8,FALSE)*D.sign_Data[[#This Row],[TIEMPO (HORAS)]],0)</f>
        <v>2046.51293228639</v>
      </c>
      <c r="S746" s="99"/>
      <c r="T746" s="99"/>
      <c r="U746" s="3">
        <f t="shared" si="25"/>
        <v>16737.495708375547</v>
      </c>
      <c r="V746" s="100">
        <f>D.sign_Data[[#This Row],[TIEMPO (HORAS)]]*Gastos_Operativos[[#Totals],[GASTOS HORA]]</f>
        <v>16673.686243386241</v>
      </c>
      <c r="W746" s="3">
        <f>+D.sign_Data[[#This Row],[COSTO 
DIRECTO ($COP)]]+D.sign_Data[[#This Row],[PRORRATEO GASTOS ($COP)]]</f>
        <v>33411.181951761784</v>
      </c>
      <c r="X746" s="101">
        <v>0.1</v>
      </c>
      <c r="Y746" s="15">
        <f>+D.sign_Data[[#This Row],[COSTOS OPERACIONALES ($COP)]]*D.sign_Data[[#This Row],[DESFASE (%)]]</f>
        <v>3341.1181951761787</v>
      </c>
      <c r="Z746" s="101">
        <v>0.15</v>
      </c>
      <c r="AA746" s="15">
        <f>+((D.sign_Data[[#This Row],[COSTOS OPERACIONALES ($COP)]]/(100%-D.sign_Data[[#This Row],[UTILIDAD (%)]])))-D.sign_Data[[#This Row],[COSTOS OPERACIONALES ($COP)]]</f>
        <v>5896.090932663843</v>
      </c>
      <c r="AB746" s="3">
        <f>+D.sign_Data[[#This Row],[COSTOS OPERACIONALES ($COP)]]+D.sign_Data[[#This Row],[DESFASE ($COP)]]+D.sign_Data[[#This Row],[UTILIDAD ($COP)]]</f>
        <v>42648.391079601803</v>
      </c>
      <c r="AC746" s="101">
        <v>0.05</v>
      </c>
      <c r="AD746" s="15">
        <f>+D.sign_Data[[#This Row],[VALOR NETO ($COP)]]/(100%-D.sign_Data[[#This Row],[MARGEN DE NEGOCIACIÓN (%)]])-D.sign_Data[[#This Row],[VALOR NETO ($COP)]]</f>
        <v>2244.652162084305</v>
      </c>
      <c r="AE746" s="15">
        <f>+(D.sign_Data[[#This Row],[VALOR NETO ($COP)]]+D.sign_Data[[#This Row],[NEGOCIACIÓN ($COP)]])*1%</f>
        <v>448.93043241686109</v>
      </c>
      <c r="AF746" s="15">
        <f>+(D.sign_Data[[#This Row],[VALOR NETO ($COP)]]+D.sign_Data[[#This Row],[NEGOCIACIÓN ($COP)]])*1%</f>
        <v>448.93043241686109</v>
      </c>
      <c r="AG746" s="3">
        <f>+D.sign_Data[[#This Row],[VALOR NETO ($COP)]]+D.sign_Data[[#This Row],[NEGOCIACIÓN ($COP)]]+D.sign_Data[[#This Row],[ICA ($COP)]]+D.sign_Data[[#This Row],[4 * 1000 ($COP)]]</f>
        <v>45790.904106519833</v>
      </c>
    </row>
    <row r="747" spans="1:33" ht="60" hidden="1" customHeight="1" x14ac:dyDescent="0.25">
      <c r="A747" s="14"/>
      <c r="B747" s="87" t="s">
        <v>493</v>
      </c>
      <c r="C747" s="182" t="s">
        <v>917</v>
      </c>
      <c r="D747" s="189" t="str">
        <f>VLOOKUP(D.sign_Data[[#This Row],[CÓDIGO]],Descripciones[[CÓDIGO]:[NOMBRE DE SERVICIO]],3,FALSE)</f>
        <v>D2. Edificación en Altura</v>
      </c>
      <c r="E747" s="87" t="s">
        <v>497</v>
      </c>
      <c r="F747" s="88" t="s">
        <v>918</v>
      </c>
      <c r="G747" s="88" t="s">
        <v>582</v>
      </c>
      <c r="H747" s="104" t="s">
        <v>552</v>
      </c>
      <c r="I747" s="89">
        <v>1</v>
      </c>
      <c r="J747" s="88" t="s">
        <v>614</v>
      </c>
      <c r="K747" s="102"/>
      <c r="L747" s="88" t="s">
        <v>571</v>
      </c>
      <c r="M747" s="89" t="s">
        <v>381</v>
      </c>
      <c r="N747" s="90">
        <v>0.1</v>
      </c>
      <c r="O747" s="27">
        <f>IFERROR(+VLOOKUP(M747,D.sign_Lista_Data[[RESPONSABLE]:[SOFTWARE 
VALOR HORA]],3,FALSE),"0")</f>
        <v>20263.424518743668</v>
      </c>
      <c r="P747" s="3">
        <f t="shared" si="24"/>
        <v>2026.3424518743668</v>
      </c>
      <c r="Q747" s="11">
        <f>IFERROR(+VLOOKUP(M747,D.sign_Lista_Data[[RESPONSABLE]:[SOFTWARE 
VALOR HORA]],5,FALSE)*D.sign_Data[[#This Row],[TIEMPO (HORAS)]],0)</f>
        <v>422.15467747382638</v>
      </c>
      <c r="R747" s="11">
        <f>IFERROR(+VLOOKUP(M747,D.sign_Lista_Data[[RESPONSABLE]:[SOFTWARE 
VALOR HORA]],8,FALSE)*D.sign_Data[[#This Row],[TIEMPO (HORAS)]],0)</f>
        <v>341.08548871439837</v>
      </c>
      <c r="S747" s="99"/>
      <c r="T747" s="99"/>
      <c r="U747" s="3">
        <f t="shared" si="25"/>
        <v>2789.5826180625913</v>
      </c>
      <c r="V747" s="100">
        <f>D.sign_Data[[#This Row],[TIEMPO (HORAS)]]*Gastos_Operativos[[#Totals],[GASTOS HORA]]</f>
        <v>2778.9477072310401</v>
      </c>
      <c r="W747" s="3">
        <f>+D.sign_Data[[#This Row],[COSTO 
DIRECTO ($COP)]]+D.sign_Data[[#This Row],[PRORRATEO GASTOS ($COP)]]</f>
        <v>5568.5303252936319</v>
      </c>
      <c r="X747" s="101">
        <v>0.1</v>
      </c>
      <c r="Y747" s="15">
        <f>+D.sign_Data[[#This Row],[COSTOS OPERACIONALES ($COP)]]*D.sign_Data[[#This Row],[DESFASE (%)]]</f>
        <v>556.85303252936319</v>
      </c>
      <c r="Z747" s="101">
        <v>0.15</v>
      </c>
      <c r="AA747" s="15">
        <f>+((D.sign_Data[[#This Row],[COSTOS OPERACIONALES ($COP)]]/(100%-D.sign_Data[[#This Row],[UTILIDAD (%)]])))-D.sign_Data[[#This Row],[COSTOS OPERACIONALES ($COP)]]</f>
        <v>982.68182211064141</v>
      </c>
      <c r="AB747" s="3">
        <f>+D.sign_Data[[#This Row],[COSTOS OPERACIONALES ($COP)]]+D.sign_Data[[#This Row],[DESFASE ($COP)]]+D.sign_Data[[#This Row],[UTILIDAD ($COP)]]</f>
        <v>7108.0651799336365</v>
      </c>
      <c r="AC747" s="101">
        <v>0.05</v>
      </c>
      <c r="AD747" s="15">
        <f>+D.sign_Data[[#This Row],[VALOR NETO ($COP)]]/(100%-D.sign_Data[[#This Row],[MARGEN DE NEGOCIACIÓN (%)]])-D.sign_Data[[#This Row],[VALOR NETO ($COP)]]</f>
        <v>374.10869368071781</v>
      </c>
      <c r="AE747" s="15">
        <f>+(D.sign_Data[[#This Row],[VALOR NETO ($COP)]]+D.sign_Data[[#This Row],[NEGOCIACIÓN ($COP)]])*1%</f>
        <v>74.821738736143544</v>
      </c>
      <c r="AF747" s="15">
        <f>+(D.sign_Data[[#This Row],[VALOR NETO ($COP)]]+D.sign_Data[[#This Row],[NEGOCIACIÓN ($COP)]])*1%</f>
        <v>74.821738736143544</v>
      </c>
      <c r="AG747" s="3">
        <f>+D.sign_Data[[#This Row],[VALOR NETO ($COP)]]+D.sign_Data[[#This Row],[NEGOCIACIÓN ($COP)]]+D.sign_Data[[#This Row],[ICA ($COP)]]+D.sign_Data[[#This Row],[4 * 1000 ($COP)]]</f>
        <v>7631.8173510866418</v>
      </c>
    </row>
    <row r="748" spans="1:33" ht="60" hidden="1" customHeight="1" x14ac:dyDescent="0.25">
      <c r="A748" s="14"/>
      <c r="B748" s="87" t="s">
        <v>493</v>
      </c>
      <c r="C748" s="182" t="s">
        <v>917</v>
      </c>
      <c r="D748" s="189" t="str">
        <f>VLOOKUP(D.sign_Data[[#This Row],[CÓDIGO]],Descripciones[[CÓDIGO]:[NOMBRE DE SERVICIO]],3,FALSE)</f>
        <v>D2. Edificación en Altura</v>
      </c>
      <c r="E748" s="87" t="s">
        <v>497</v>
      </c>
      <c r="F748" s="88" t="s">
        <v>918</v>
      </c>
      <c r="G748" s="88" t="s">
        <v>582</v>
      </c>
      <c r="H748" s="104" t="s">
        <v>552</v>
      </c>
      <c r="I748" s="89">
        <v>1</v>
      </c>
      <c r="J748" s="88" t="s">
        <v>614</v>
      </c>
      <c r="K748" s="102"/>
      <c r="L748" s="88" t="s">
        <v>579</v>
      </c>
      <c r="M748" s="89" t="s">
        <v>381</v>
      </c>
      <c r="N748" s="90">
        <v>1</v>
      </c>
      <c r="O748" s="27">
        <f>IFERROR(+VLOOKUP(M748,D.sign_Lista_Data[[RESPONSABLE]:[SOFTWARE 
VALOR HORA]],3,FALSE),"0")</f>
        <v>20263.424518743668</v>
      </c>
      <c r="P748" s="3">
        <f t="shared" si="24"/>
        <v>20263.424518743668</v>
      </c>
      <c r="Q748" s="11">
        <f>IFERROR(+VLOOKUP(M748,D.sign_Lista_Data[[RESPONSABLE]:[SOFTWARE 
VALOR HORA]],5,FALSE)*D.sign_Data[[#This Row],[TIEMPO (HORAS)]],0)</f>
        <v>4221.5467747382636</v>
      </c>
      <c r="R748" s="11">
        <f>IFERROR(+VLOOKUP(M748,D.sign_Lista_Data[[RESPONSABLE]:[SOFTWARE 
VALOR HORA]],8,FALSE)*D.sign_Data[[#This Row],[TIEMPO (HORAS)]],0)</f>
        <v>3410.8548871439834</v>
      </c>
      <c r="S748" s="99"/>
      <c r="T748" s="99"/>
      <c r="U748" s="3">
        <f t="shared" si="25"/>
        <v>27895.826180625918</v>
      </c>
      <c r="V748" s="100">
        <f>D.sign_Data[[#This Row],[TIEMPO (HORAS)]]*Gastos_Operativos[[#Totals],[GASTOS HORA]]</f>
        <v>27789.477072310401</v>
      </c>
      <c r="W748" s="3">
        <f>+D.sign_Data[[#This Row],[COSTO 
DIRECTO ($COP)]]+D.sign_Data[[#This Row],[PRORRATEO GASTOS ($COP)]]</f>
        <v>55685.303252936319</v>
      </c>
      <c r="X748" s="101">
        <v>0.1</v>
      </c>
      <c r="Y748" s="15">
        <f>+D.sign_Data[[#This Row],[COSTOS OPERACIONALES ($COP)]]*D.sign_Data[[#This Row],[DESFASE (%)]]</f>
        <v>5568.5303252936319</v>
      </c>
      <c r="Z748" s="101">
        <v>0.15</v>
      </c>
      <c r="AA748" s="15">
        <f>+((D.sign_Data[[#This Row],[COSTOS OPERACIONALES ($COP)]]/(100%-D.sign_Data[[#This Row],[UTILIDAD (%)]])))-D.sign_Data[[#This Row],[COSTOS OPERACIONALES ($COP)]]</f>
        <v>9826.8182211064122</v>
      </c>
      <c r="AB748" s="3">
        <f>+D.sign_Data[[#This Row],[COSTOS OPERACIONALES ($COP)]]+D.sign_Data[[#This Row],[DESFASE ($COP)]]+D.sign_Data[[#This Row],[UTILIDAD ($COP)]]</f>
        <v>71080.651799336367</v>
      </c>
      <c r="AC748" s="101">
        <v>0.05</v>
      </c>
      <c r="AD748" s="15">
        <f>+D.sign_Data[[#This Row],[VALOR NETO ($COP)]]/(100%-D.sign_Data[[#This Row],[MARGEN DE NEGOCIACIÓN (%)]])-D.sign_Data[[#This Row],[VALOR NETO ($COP)]]</f>
        <v>3741.0869368071872</v>
      </c>
      <c r="AE748" s="15">
        <f>+(D.sign_Data[[#This Row],[VALOR NETO ($COP)]]+D.sign_Data[[#This Row],[NEGOCIACIÓN ($COP)]])*1%</f>
        <v>748.2173873614355</v>
      </c>
      <c r="AF748" s="15">
        <f>+(D.sign_Data[[#This Row],[VALOR NETO ($COP)]]+D.sign_Data[[#This Row],[NEGOCIACIÓN ($COP)]])*1%</f>
        <v>748.2173873614355</v>
      </c>
      <c r="AG748" s="3">
        <f>+D.sign_Data[[#This Row],[VALOR NETO ($COP)]]+D.sign_Data[[#This Row],[NEGOCIACIÓN ($COP)]]+D.sign_Data[[#This Row],[ICA ($COP)]]+D.sign_Data[[#This Row],[4 * 1000 ($COP)]]</f>
        <v>76318.173510866429</v>
      </c>
    </row>
    <row r="749" spans="1:33" ht="60" hidden="1" customHeight="1" x14ac:dyDescent="0.25">
      <c r="A749" s="14"/>
      <c r="B749" s="87" t="s">
        <v>493</v>
      </c>
      <c r="C749" s="182" t="s">
        <v>917</v>
      </c>
      <c r="D749" s="189" t="str">
        <f>VLOOKUP(D.sign_Data[[#This Row],[CÓDIGO]],Descripciones[[CÓDIGO]:[NOMBRE DE SERVICIO]],3,FALSE)</f>
        <v>D2. Edificación en Altura</v>
      </c>
      <c r="E749" s="87" t="s">
        <v>497</v>
      </c>
      <c r="F749" s="88" t="s">
        <v>918</v>
      </c>
      <c r="G749" s="88" t="s">
        <v>582</v>
      </c>
      <c r="H749" s="104" t="s">
        <v>552</v>
      </c>
      <c r="I749" s="89">
        <v>1</v>
      </c>
      <c r="J749" s="88" t="s">
        <v>614</v>
      </c>
      <c r="K749" s="102"/>
      <c r="L749" s="88" t="s">
        <v>572</v>
      </c>
      <c r="M749" s="89" t="s">
        <v>381</v>
      </c>
      <c r="N749" s="90">
        <v>0.1</v>
      </c>
      <c r="O749" s="27">
        <f>IFERROR(+VLOOKUP(M749,D.sign_Lista_Data[[RESPONSABLE]:[SOFTWARE 
VALOR HORA]],3,FALSE),"0")</f>
        <v>20263.424518743668</v>
      </c>
      <c r="P749" s="3">
        <f t="shared" ref="P749:P812" si="26">+O749*N749</f>
        <v>2026.3424518743668</v>
      </c>
      <c r="Q749" s="11">
        <f>IFERROR(+VLOOKUP(M749,D.sign_Lista_Data[[RESPONSABLE]:[SOFTWARE 
VALOR HORA]],5,FALSE)*D.sign_Data[[#This Row],[TIEMPO (HORAS)]],0)</f>
        <v>422.15467747382638</v>
      </c>
      <c r="R749" s="11">
        <f>IFERROR(+VLOOKUP(M749,D.sign_Lista_Data[[RESPONSABLE]:[SOFTWARE 
VALOR HORA]],8,FALSE)*D.sign_Data[[#This Row],[TIEMPO (HORAS)]],0)</f>
        <v>341.08548871439837</v>
      </c>
      <c r="S749" s="99"/>
      <c r="T749" s="99"/>
      <c r="U749" s="3">
        <f t="shared" ref="U749:U812" si="27">SUM(P749:T749)</f>
        <v>2789.5826180625913</v>
      </c>
      <c r="V749" s="100">
        <f>D.sign_Data[[#This Row],[TIEMPO (HORAS)]]*Gastos_Operativos[[#Totals],[GASTOS HORA]]</f>
        <v>2778.9477072310401</v>
      </c>
      <c r="W749" s="3">
        <f>+D.sign_Data[[#This Row],[COSTO 
DIRECTO ($COP)]]+D.sign_Data[[#This Row],[PRORRATEO GASTOS ($COP)]]</f>
        <v>5568.5303252936319</v>
      </c>
      <c r="X749" s="101">
        <v>0.1</v>
      </c>
      <c r="Y749" s="15">
        <f>+D.sign_Data[[#This Row],[COSTOS OPERACIONALES ($COP)]]*D.sign_Data[[#This Row],[DESFASE (%)]]</f>
        <v>556.85303252936319</v>
      </c>
      <c r="Z749" s="101">
        <v>0.15</v>
      </c>
      <c r="AA749" s="15">
        <f>+((D.sign_Data[[#This Row],[COSTOS OPERACIONALES ($COP)]]/(100%-D.sign_Data[[#This Row],[UTILIDAD (%)]])))-D.sign_Data[[#This Row],[COSTOS OPERACIONALES ($COP)]]</f>
        <v>982.68182211064141</v>
      </c>
      <c r="AB749" s="3">
        <f>+D.sign_Data[[#This Row],[COSTOS OPERACIONALES ($COP)]]+D.sign_Data[[#This Row],[DESFASE ($COP)]]+D.sign_Data[[#This Row],[UTILIDAD ($COP)]]</f>
        <v>7108.0651799336365</v>
      </c>
      <c r="AC749" s="101">
        <v>0.05</v>
      </c>
      <c r="AD749" s="15">
        <f>+D.sign_Data[[#This Row],[VALOR NETO ($COP)]]/(100%-D.sign_Data[[#This Row],[MARGEN DE NEGOCIACIÓN (%)]])-D.sign_Data[[#This Row],[VALOR NETO ($COP)]]</f>
        <v>374.10869368071781</v>
      </c>
      <c r="AE749" s="15">
        <f>+(D.sign_Data[[#This Row],[VALOR NETO ($COP)]]+D.sign_Data[[#This Row],[NEGOCIACIÓN ($COP)]])*1%</f>
        <v>74.821738736143544</v>
      </c>
      <c r="AF749" s="15">
        <f>+(D.sign_Data[[#This Row],[VALOR NETO ($COP)]]+D.sign_Data[[#This Row],[NEGOCIACIÓN ($COP)]])*1%</f>
        <v>74.821738736143544</v>
      </c>
      <c r="AG749" s="3">
        <f>+D.sign_Data[[#This Row],[VALOR NETO ($COP)]]+D.sign_Data[[#This Row],[NEGOCIACIÓN ($COP)]]+D.sign_Data[[#This Row],[ICA ($COP)]]+D.sign_Data[[#This Row],[4 * 1000 ($COP)]]</f>
        <v>7631.8173510866418</v>
      </c>
    </row>
    <row r="750" spans="1:33" ht="60" hidden="1" customHeight="1" x14ac:dyDescent="0.25">
      <c r="A750" s="14"/>
      <c r="B750" s="87" t="s">
        <v>493</v>
      </c>
      <c r="C750" s="182" t="s">
        <v>917</v>
      </c>
      <c r="D750" s="189" t="str">
        <f>VLOOKUP(D.sign_Data[[#This Row],[CÓDIGO]],Descripciones[[CÓDIGO]:[NOMBRE DE SERVICIO]],3,FALSE)</f>
        <v>D2. Edificación en Altura</v>
      </c>
      <c r="E750" s="87" t="s">
        <v>497</v>
      </c>
      <c r="F750" s="88" t="s">
        <v>918</v>
      </c>
      <c r="G750" s="88" t="s">
        <v>587</v>
      </c>
      <c r="H750" s="104" t="s">
        <v>552</v>
      </c>
      <c r="I750" s="89">
        <v>1</v>
      </c>
      <c r="J750" s="88" t="s">
        <v>588</v>
      </c>
      <c r="K750" s="102"/>
      <c r="L750" s="88" t="s">
        <v>589</v>
      </c>
      <c r="M750" s="89" t="s">
        <v>381</v>
      </c>
      <c r="N750" s="90">
        <v>1</v>
      </c>
      <c r="O750" s="27">
        <f>IFERROR(+VLOOKUP(M750,D.sign_Lista_Data[[RESPONSABLE]:[SOFTWARE 
VALOR HORA]],3,FALSE),"0")</f>
        <v>20263.424518743668</v>
      </c>
      <c r="P750" s="3">
        <f t="shared" si="26"/>
        <v>20263.424518743668</v>
      </c>
      <c r="Q750" s="11">
        <f>IFERROR(+VLOOKUP(M750,D.sign_Lista_Data[[RESPONSABLE]:[SOFTWARE 
VALOR HORA]],5,FALSE)*D.sign_Data[[#This Row],[TIEMPO (HORAS)]],0)</f>
        <v>4221.5467747382636</v>
      </c>
      <c r="R750" s="11">
        <f>IFERROR(+VLOOKUP(M750,D.sign_Lista_Data[[RESPONSABLE]:[SOFTWARE 
VALOR HORA]],8,FALSE)*D.sign_Data[[#This Row],[TIEMPO (HORAS)]],0)</f>
        <v>3410.8548871439834</v>
      </c>
      <c r="S750" s="99"/>
      <c r="T750" s="99"/>
      <c r="U750" s="3">
        <f t="shared" si="27"/>
        <v>27895.826180625918</v>
      </c>
      <c r="V750" s="100">
        <f>D.sign_Data[[#This Row],[TIEMPO (HORAS)]]*Gastos_Operativos[[#Totals],[GASTOS HORA]]</f>
        <v>27789.477072310401</v>
      </c>
      <c r="W750" s="3">
        <f>+D.sign_Data[[#This Row],[COSTO 
DIRECTO ($COP)]]+D.sign_Data[[#This Row],[PRORRATEO GASTOS ($COP)]]</f>
        <v>55685.303252936319</v>
      </c>
      <c r="X750" s="101">
        <v>0.1</v>
      </c>
      <c r="Y750" s="15">
        <f>+D.sign_Data[[#This Row],[COSTOS OPERACIONALES ($COP)]]*D.sign_Data[[#This Row],[DESFASE (%)]]</f>
        <v>5568.5303252936319</v>
      </c>
      <c r="Z750" s="101">
        <v>0.15</v>
      </c>
      <c r="AA750" s="15">
        <f>+((D.sign_Data[[#This Row],[COSTOS OPERACIONALES ($COP)]]/(100%-D.sign_Data[[#This Row],[UTILIDAD (%)]])))-D.sign_Data[[#This Row],[COSTOS OPERACIONALES ($COP)]]</f>
        <v>9826.8182211064122</v>
      </c>
      <c r="AB750" s="3">
        <f>+D.sign_Data[[#This Row],[COSTOS OPERACIONALES ($COP)]]+D.sign_Data[[#This Row],[DESFASE ($COP)]]+D.sign_Data[[#This Row],[UTILIDAD ($COP)]]</f>
        <v>71080.651799336367</v>
      </c>
      <c r="AC750" s="101">
        <v>0.05</v>
      </c>
      <c r="AD750" s="15">
        <f>+D.sign_Data[[#This Row],[VALOR NETO ($COP)]]/(100%-D.sign_Data[[#This Row],[MARGEN DE NEGOCIACIÓN (%)]])-D.sign_Data[[#This Row],[VALOR NETO ($COP)]]</f>
        <v>3741.0869368071872</v>
      </c>
      <c r="AE750" s="15">
        <f>+(D.sign_Data[[#This Row],[VALOR NETO ($COP)]]+D.sign_Data[[#This Row],[NEGOCIACIÓN ($COP)]])*1%</f>
        <v>748.2173873614355</v>
      </c>
      <c r="AF750" s="15">
        <f>+(D.sign_Data[[#This Row],[VALOR NETO ($COP)]]+D.sign_Data[[#This Row],[NEGOCIACIÓN ($COP)]])*1%</f>
        <v>748.2173873614355</v>
      </c>
      <c r="AG750" s="3">
        <f>+D.sign_Data[[#This Row],[VALOR NETO ($COP)]]+D.sign_Data[[#This Row],[NEGOCIACIÓN ($COP)]]+D.sign_Data[[#This Row],[ICA ($COP)]]+D.sign_Data[[#This Row],[4 * 1000 ($COP)]]</f>
        <v>76318.173510866429</v>
      </c>
    </row>
    <row r="751" spans="1:33" ht="60" hidden="1" customHeight="1" x14ac:dyDescent="0.25">
      <c r="A751" s="14"/>
      <c r="B751" s="87" t="s">
        <v>493</v>
      </c>
      <c r="C751" s="182" t="s">
        <v>917</v>
      </c>
      <c r="D751" s="189" t="str">
        <f>VLOOKUP(D.sign_Data[[#This Row],[CÓDIGO]],Descripciones[[CÓDIGO]:[NOMBRE DE SERVICIO]],3,FALSE)</f>
        <v>D2. Edificación en Altura</v>
      </c>
      <c r="E751" s="87" t="s">
        <v>497</v>
      </c>
      <c r="F751" s="88" t="s">
        <v>918</v>
      </c>
      <c r="G751" s="88" t="s">
        <v>587</v>
      </c>
      <c r="H751" s="104" t="s">
        <v>552</v>
      </c>
      <c r="I751" s="89">
        <v>1</v>
      </c>
      <c r="J751" s="88" t="s">
        <v>588</v>
      </c>
      <c r="K751" s="102"/>
      <c r="L751" s="88" t="s">
        <v>575</v>
      </c>
      <c r="M751" s="89" t="s">
        <v>381</v>
      </c>
      <c r="N751" s="90">
        <v>0.2</v>
      </c>
      <c r="O751" s="27">
        <f>IFERROR(+VLOOKUP(M751,D.sign_Lista_Data[[RESPONSABLE]:[SOFTWARE 
VALOR HORA]],3,FALSE),"0")</f>
        <v>20263.424518743668</v>
      </c>
      <c r="P751" s="3">
        <f t="shared" si="26"/>
        <v>4052.6849037487336</v>
      </c>
      <c r="Q751" s="11">
        <f>IFERROR(+VLOOKUP(M751,D.sign_Lista_Data[[RESPONSABLE]:[SOFTWARE 
VALOR HORA]],5,FALSE)*D.sign_Data[[#This Row],[TIEMPO (HORAS)]],0)</f>
        <v>844.30935494765276</v>
      </c>
      <c r="R751" s="11">
        <f>IFERROR(+VLOOKUP(M751,D.sign_Lista_Data[[RESPONSABLE]:[SOFTWARE 
VALOR HORA]],8,FALSE)*D.sign_Data[[#This Row],[TIEMPO (HORAS)]],0)</f>
        <v>682.17097742879673</v>
      </c>
      <c r="S751" s="99"/>
      <c r="T751" s="99"/>
      <c r="U751" s="3">
        <f t="shared" si="27"/>
        <v>5579.1652361251827</v>
      </c>
      <c r="V751" s="100">
        <f>D.sign_Data[[#This Row],[TIEMPO (HORAS)]]*Gastos_Operativos[[#Totals],[GASTOS HORA]]</f>
        <v>5557.8954144620802</v>
      </c>
      <c r="W751" s="3">
        <f>+D.sign_Data[[#This Row],[COSTO 
DIRECTO ($COP)]]+D.sign_Data[[#This Row],[PRORRATEO GASTOS ($COP)]]</f>
        <v>11137.060650587264</v>
      </c>
      <c r="X751" s="101">
        <v>0.1</v>
      </c>
      <c r="Y751" s="15">
        <f>+D.sign_Data[[#This Row],[COSTOS OPERACIONALES ($COP)]]*D.sign_Data[[#This Row],[DESFASE (%)]]</f>
        <v>1113.7060650587264</v>
      </c>
      <c r="Z751" s="101">
        <v>0.15</v>
      </c>
      <c r="AA751" s="15">
        <f>+((D.sign_Data[[#This Row],[COSTOS OPERACIONALES ($COP)]]/(100%-D.sign_Data[[#This Row],[UTILIDAD (%)]])))-D.sign_Data[[#This Row],[COSTOS OPERACIONALES ($COP)]]</f>
        <v>1965.3636442212828</v>
      </c>
      <c r="AB751" s="3">
        <f>+D.sign_Data[[#This Row],[COSTOS OPERACIONALES ($COP)]]+D.sign_Data[[#This Row],[DESFASE ($COP)]]+D.sign_Data[[#This Row],[UTILIDAD ($COP)]]</f>
        <v>14216.130359867273</v>
      </c>
      <c r="AC751" s="101">
        <v>0.05</v>
      </c>
      <c r="AD751" s="15">
        <f>+D.sign_Data[[#This Row],[VALOR NETO ($COP)]]/(100%-D.sign_Data[[#This Row],[MARGEN DE NEGOCIACIÓN (%)]])-D.sign_Data[[#This Row],[VALOR NETO ($COP)]]</f>
        <v>748.21738736143561</v>
      </c>
      <c r="AE751" s="15">
        <f>+(D.sign_Data[[#This Row],[VALOR NETO ($COP)]]+D.sign_Data[[#This Row],[NEGOCIACIÓN ($COP)]])*1%</f>
        <v>149.64347747228709</v>
      </c>
      <c r="AF751" s="15">
        <f>+(D.sign_Data[[#This Row],[VALOR NETO ($COP)]]+D.sign_Data[[#This Row],[NEGOCIACIÓN ($COP)]])*1%</f>
        <v>149.64347747228709</v>
      </c>
      <c r="AG751" s="3">
        <f>+D.sign_Data[[#This Row],[VALOR NETO ($COP)]]+D.sign_Data[[#This Row],[NEGOCIACIÓN ($COP)]]+D.sign_Data[[#This Row],[ICA ($COP)]]+D.sign_Data[[#This Row],[4 * 1000 ($COP)]]</f>
        <v>15263.634702173284</v>
      </c>
    </row>
    <row r="752" spans="1:33" ht="60" hidden="1" customHeight="1" x14ac:dyDescent="0.25">
      <c r="A752" s="14"/>
      <c r="B752" s="87" t="s">
        <v>493</v>
      </c>
      <c r="C752" s="182" t="s">
        <v>917</v>
      </c>
      <c r="D752" s="189" t="str">
        <f>VLOOKUP(D.sign_Data[[#This Row],[CÓDIGO]],Descripciones[[CÓDIGO]:[NOMBRE DE SERVICIO]],3,FALSE)</f>
        <v>D2. Edificación en Altura</v>
      </c>
      <c r="E752" s="87" t="s">
        <v>497</v>
      </c>
      <c r="F752" s="88" t="s">
        <v>918</v>
      </c>
      <c r="G752" s="88" t="s">
        <v>587</v>
      </c>
      <c r="H752" s="104" t="s">
        <v>552</v>
      </c>
      <c r="I752" s="89">
        <v>1</v>
      </c>
      <c r="J752" s="88" t="s">
        <v>588</v>
      </c>
      <c r="K752" s="102"/>
      <c r="L752" s="88" t="s">
        <v>590</v>
      </c>
      <c r="M752" s="89" t="s">
        <v>381</v>
      </c>
      <c r="N752" s="90">
        <v>0.5</v>
      </c>
      <c r="O752" s="27">
        <f>IFERROR(+VLOOKUP(M752,D.sign_Lista_Data[[RESPONSABLE]:[SOFTWARE 
VALOR HORA]],3,FALSE),"0")</f>
        <v>20263.424518743668</v>
      </c>
      <c r="P752" s="3">
        <f t="shared" si="26"/>
        <v>10131.712259371834</v>
      </c>
      <c r="Q752" s="11">
        <f>IFERROR(+VLOOKUP(M752,D.sign_Lista_Data[[RESPONSABLE]:[SOFTWARE 
VALOR HORA]],5,FALSE)*D.sign_Data[[#This Row],[TIEMPO (HORAS)]],0)</f>
        <v>2110.7733873691318</v>
      </c>
      <c r="R752" s="11">
        <f>IFERROR(+VLOOKUP(M752,D.sign_Lista_Data[[RESPONSABLE]:[SOFTWARE 
VALOR HORA]],8,FALSE)*D.sign_Data[[#This Row],[TIEMPO (HORAS)]],0)</f>
        <v>1705.4274435719917</v>
      </c>
      <c r="S752" s="99"/>
      <c r="T752" s="99"/>
      <c r="U752" s="3">
        <f t="shared" si="27"/>
        <v>13947.913090312959</v>
      </c>
      <c r="V752" s="100">
        <f>D.sign_Data[[#This Row],[TIEMPO (HORAS)]]*Gastos_Operativos[[#Totals],[GASTOS HORA]]</f>
        <v>13894.738536155201</v>
      </c>
      <c r="W752" s="3">
        <f>+D.sign_Data[[#This Row],[COSTO 
DIRECTO ($COP)]]+D.sign_Data[[#This Row],[PRORRATEO GASTOS ($COP)]]</f>
        <v>27842.65162646816</v>
      </c>
      <c r="X752" s="101">
        <v>0.1</v>
      </c>
      <c r="Y752" s="15">
        <f>+D.sign_Data[[#This Row],[COSTOS OPERACIONALES ($COP)]]*D.sign_Data[[#This Row],[DESFASE (%)]]</f>
        <v>2784.265162646816</v>
      </c>
      <c r="Z752" s="101">
        <v>0.15</v>
      </c>
      <c r="AA752" s="15">
        <f>+((D.sign_Data[[#This Row],[COSTOS OPERACIONALES ($COP)]]/(100%-D.sign_Data[[#This Row],[UTILIDAD (%)]])))-D.sign_Data[[#This Row],[COSTOS OPERACIONALES ($COP)]]</f>
        <v>4913.4091105532061</v>
      </c>
      <c r="AB752" s="3">
        <f>+D.sign_Data[[#This Row],[COSTOS OPERACIONALES ($COP)]]+D.sign_Data[[#This Row],[DESFASE ($COP)]]+D.sign_Data[[#This Row],[UTILIDAD ($COP)]]</f>
        <v>35540.325899668183</v>
      </c>
      <c r="AC752" s="101">
        <v>0.05</v>
      </c>
      <c r="AD752" s="15">
        <f>+D.sign_Data[[#This Row],[VALOR NETO ($COP)]]/(100%-D.sign_Data[[#This Row],[MARGEN DE NEGOCIACIÓN (%)]])-D.sign_Data[[#This Row],[VALOR NETO ($COP)]]</f>
        <v>1870.5434684035936</v>
      </c>
      <c r="AE752" s="15">
        <f>+(D.sign_Data[[#This Row],[VALOR NETO ($COP)]]+D.sign_Data[[#This Row],[NEGOCIACIÓN ($COP)]])*1%</f>
        <v>374.10869368071775</v>
      </c>
      <c r="AF752" s="15">
        <f>+(D.sign_Data[[#This Row],[VALOR NETO ($COP)]]+D.sign_Data[[#This Row],[NEGOCIACIÓN ($COP)]])*1%</f>
        <v>374.10869368071775</v>
      </c>
      <c r="AG752" s="3">
        <f>+D.sign_Data[[#This Row],[VALOR NETO ($COP)]]+D.sign_Data[[#This Row],[NEGOCIACIÓN ($COP)]]+D.sign_Data[[#This Row],[ICA ($COP)]]+D.sign_Data[[#This Row],[4 * 1000 ($COP)]]</f>
        <v>38159.086755433214</v>
      </c>
    </row>
    <row r="753" spans="1:33" ht="60" hidden="1" customHeight="1" x14ac:dyDescent="0.25">
      <c r="A753" s="14"/>
      <c r="B753" s="87" t="s">
        <v>493</v>
      </c>
      <c r="C753" s="182" t="s">
        <v>917</v>
      </c>
      <c r="D753" s="189" t="str">
        <f>VLOOKUP(D.sign_Data[[#This Row],[CÓDIGO]],Descripciones[[CÓDIGO]:[NOMBRE DE SERVICIO]],3,FALSE)</f>
        <v>D2. Edificación en Altura</v>
      </c>
      <c r="E753" s="87" t="s">
        <v>497</v>
      </c>
      <c r="F753" s="88" t="s">
        <v>918</v>
      </c>
      <c r="G753" s="88" t="s">
        <v>587</v>
      </c>
      <c r="H753" s="104" t="s">
        <v>552</v>
      </c>
      <c r="I753" s="89">
        <v>1</v>
      </c>
      <c r="J753" s="88" t="s">
        <v>588</v>
      </c>
      <c r="K753" s="102"/>
      <c r="L753" s="88" t="s">
        <v>591</v>
      </c>
      <c r="M753" s="89" t="s">
        <v>381</v>
      </c>
      <c r="N753" s="90">
        <v>1</v>
      </c>
      <c r="O753" s="27">
        <f>IFERROR(+VLOOKUP(M753,D.sign_Lista_Data[[RESPONSABLE]:[SOFTWARE 
VALOR HORA]],3,FALSE),"0")</f>
        <v>20263.424518743668</v>
      </c>
      <c r="P753" s="3">
        <f t="shared" si="26"/>
        <v>20263.424518743668</v>
      </c>
      <c r="Q753" s="11">
        <f>IFERROR(+VLOOKUP(M753,D.sign_Lista_Data[[RESPONSABLE]:[SOFTWARE 
VALOR HORA]],5,FALSE)*D.sign_Data[[#This Row],[TIEMPO (HORAS)]],0)</f>
        <v>4221.5467747382636</v>
      </c>
      <c r="R753" s="11">
        <f>IFERROR(+VLOOKUP(M753,D.sign_Lista_Data[[RESPONSABLE]:[SOFTWARE 
VALOR HORA]],8,FALSE)*D.sign_Data[[#This Row],[TIEMPO (HORAS)]],0)</f>
        <v>3410.8548871439834</v>
      </c>
      <c r="S753" s="99"/>
      <c r="T753" s="99"/>
      <c r="U753" s="3">
        <f t="shared" si="27"/>
        <v>27895.826180625918</v>
      </c>
      <c r="V753" s="100">
        <f>D.sign_Data[[#This Row],[TIEMPO (HORAS)]]*Gastos_Operativos[[#Totals],[GASTOS HORA]]</f>
        <v>27789.477072310401</v>
      </c>
      <c r="W753" s="3">
        <f>+D.sign_Data[[#This Row],[COSTO 
DIRECTO ($COP)]]+D.sign_Data[[#This Row],[PRORRATEO GASTOS ($COP)]]</f>
        <v>55685.303252936319</v>
      </c>
      <c r="X753" s="101">
        <v>0.1</v>
      </c>
      <c r="Y753" s="15">
        <f>+D.sign_Data[[#This Row],[COSTOS OPERACIONALES ($COP)]]*D.sign_Data[[#This Row],[DESFASE (%)]]</f>
        <v>5568.5303252936319</v>
      </c>
      <c r="Z753" s="101">
        <v>0.15</v>
      </c>
      <c r="AA753" s="15">
        <f>+((D.sign_Data[[#This Row],[COSTOS OPERACIONALES ($COP)]]/(100%-D.sign_Data[[#This Row],[UTILIDAD (%)]])))-D.sign_Data[[#This Row],[COSTOS OPERACIONALES ($COP)]]</f>
        <v>9826.8182211064122</v>
      </c>
      <c r="AB753" s="3">
        <f>+D.sign_Data[[#This Row],[COSTOS OPERACIONALES ($COP)]]+D.sign_Data[[#This Row],[DESFASE ($COP)]]+D.sign_Data[[#This Row],[UTILIDAD ($COP)]]</f>
        <v>71080.651799336367</v>
      </c>
      <c r="AC753" s="101">
        <v>0.05</v>
      </c>
      <c r="AD753" s="15">
        <f>+D.sign_Data[[#This Row],[VALOR NETO ($COP)]]/(100%-D.sign_Data[[#This Row],[MARGEN DE NEGOCIACIÓN (%)]])-D.sign_Data[[#This Row],[VALOR NETO ($COP)]]</f>
        <v>3741.0869368071872</v>
      </c>
      <c r="AE753" s="15">
        <f>+(D.sign_Data[[#This Row],[VALOR NETO ($COP)]]+D.sign_Data[[#This Row],[NEGOCIACIÓN ($COP)]])*1%</f>
        <v>748.2173873614355</v>
      </c>
      <c r="AF753" s="15">
        <f>+(D.sign_Data[[#This Row],[VALOR NETO ($COP)]]+D.sign_Data[[#This Row],[NEGOCIACIÓN ($COP)]])*1%</f>
        <v>748.2173873614355</v>
      </c>
      <c r="AG753" s="3">
        <f>+D.sign_Data[[#This Row],[VALOR NETO ($COP)]]+D.sign_Data[[#This Row],[NEGOCIACIÓN ($COP)]]+D.sign_Data[[#This Row],[ICA ($COP)]]+D.sign_Data[[#This Row],[4 * 1000 ($COP)]]</f>
        <v>76318.173510866429</v>
      </c>
    </row>
    <row r="754" spans="1:33" ht="60" hidden="1" customHeight="1" x14ac:dyDescent="0.25">
      <c r="A754" s="14"/>
      <c r="B754" s="87" t="s">
        <v>493</v>
      </c>
      <c r="C754" s="182" t="s">
        <v>917</v>
      </c>
      <c r="D754" s="189" t="str">
        <f>VLOOKUP(D.sign_Data[[#This Row],[CÓDIGO]],Descripciones[[CÓDIGO]:[NOMBRE DE SERVICIO]],3,FALSE)</f>
        <v>D2. Edificación en Altura</v>
      </c>
      <c r="E754" s="87" t="s">
        <v>497</v>
      </c>
      <c r="F754" s="88" t="s">
        <v>918</v>
      </c>
      <c r="G754" s="88" t="s">
        <v>587</v>
      </c>
      <c r="H754" s="104" t="s">
        <v>552</v>
      </c>
      <c r="I754" s="89">
        <v>1</v>
      </c>
      <c r="J754" s="88" t="s">
        <v>588</v>
      </c>
      <c r="K754" s="102"/>
      <c r="L754" s="88" t="s">
        <v>570</v>
      </c>
      <c r="M754" s="89" t="s">
        <v>381</v>
      </c>
      <c r="N754" s="90">
        <v>1</v>
      </c>
      <c r="O754" s="27">
        <f>IFERROR(+VLOOKUP(M754,D.sign_Lista_Data[[RESPONSABLE]:[SOFTWARE 
VALOR HORA]],3,FALSE),"0")</f>
        <v>20263.424518743668</v>
      </c>
      <c r="P754" s="3">
        <f t="shared" si="26"/>
        <v>20263.424518743668</v>
      </c>
      <c r="Q754" s="11">
        <f>IFERROR(+VLOOKUP(M754,D.sign_Lista_Data[[RESPONSABLE]:[SOFTWARE 
VALOR HORA]],5,FALSE)*D.sign_Data[[#This Row],[TIEMPO (HORAS)]],0)</f>
        <v>4221.5467747382636</v>
      </c>
      <c r="R754" s="11">
        <f>IFERROR(+VLOOKUP(M754,D.sign_Lista_Data[[RESPONSABLE]:[SOFTWARE 
VALOR HORA]],8,FALSE)*D.sign_Data[[#This Row],[TIEMPO (HORAS)]],0)</f>
        <v>3410.8548871439834</v>
      </c>
      <c r="S754" s="99"/>
      <c r="T754" s="99"/>
      <c r="U754" s="3">
        <f t="shared" si="27"/>
        <v>27895.826180625918</v>
      </c>
      <c r="V754" s="100">
        <f>D.sign_Data[[#This Row],[TIEMPO (HORAS)]]*Gastos_Operativos[[#Totals],[GASTOS HORA]]</f>
        <v>27789.477072310401</v>
      </c>
      <c r="W754" s="3">
        <f>+D.sign_Data[[#This Row],[COSTO 
DIRECTO ($COP)]]+D.sign_Data[[#This Row],[PRORRATEO GASTOS ($COP)]]</f>
        <v>55685.303252936319</v>
      </c>
      <c r="X754" s="101">
        <v>0.1</v>
      </c>
      <c r="Y754" s="15">
        <f>+D.sign_Data[[#This Row],[COSTOS OPERACIONALES ($COP)]]*D.sign_Data[[#This Row],[DESFASE (%)]]</f>
        <v>5568.5303252936319</v>
      </c>
      <c r="Z754" s="101">
        <v>0.15</v>
      </c>
      <c r="AA754" s="15">
        <f>+((D.sign_Data[[#This Row],[COSTOS OPERACIONALES ($COP)]]/(100%-D.sign_Data[[#This Row],[UTILIDAD (%)]])))-D.sign_Data[[#This Row],[COSTOS OPERACIONALES ($COP)]]</f>
        <v>9826.8182211064122</v>
      </c>
      <c r="AB754" s="3">
        <f>+D.sign_Data[[#This Row],[COSTOS OPERACIONALES ($COP)]]+D.sign_Data[[#This Row],[DESFASE ($COP)]]+D.sign_Data[[#This Row],[UTILIDAD ($COP)]]</f>
        <v>71080.651799336367</v>
      </c>
      <c r="AC754" s="101">
        <v>0.05</v>
      </c>
      <c r="AD754" s="15">
        <f>+D.sign_Data[[#This Row],[VALOR NETO ($COP)]]/(100%-D.sign_Data[[#This Row],[MARGEN DE NEGOCIACIÓN (%)]])-D.sign_Data[[#This Row],[VALOR NETO ($COP)]]</f>
        <v>3741.0869368071872</v>
      </c>
      <c r="AE754" s="15">
        <f>+(D.sign_Data[[#This Row],[VALOR NETO ($COP)]]+D.sign_Data[[#This Row],[NEGOCIACIÓN ($COP)]])*1%</f>
        <v>748.2173873614355</v>
      </c>
      <c r="AF754" s="15">
        <f>+(D.sign_Data[[#This Row],[VALOR NETO ($COP)]]+D.sign_Data[[#This Row],[NEGOCIACIÓN ($COP)]])*1%</f>
        <v>748.2173873614355</v>
      </c>
      <c r="AG754" s="3">
        <f>+D.sign_Data[[#This Row],[VALOR NETO ($COP)]]+D.sign_Data[[#This Row],[NEGOCIACIÓN ($COP)]]+D.sign_Data[[#This Row],[ICA ($COP)]]+D.sign_Data[[#This Row],[4 * 1000 ($COP)]]</f>
        <v>76318.173510866429</v>
      </c>
    </row>
    <row r="755" spans="1:33" ht="60" hidden="1" customHeight="1" x14ac:dyDescent="0.25">
      <c r="A755" s="14"/>
      <c r="B755" s="87" t="s">
        <v>493</v>
      </c>
      <c r="C755" s="182" t="s">
        <v>917</v>
      </c>
      <c r="D755" s="189" t="str">
        <f>VLOOKUP(D.sign_Data[[#This Row],[CÓDIGO]],Descripciones[[CÓDIGO]:[NOMBRE DE SERVICIO]],3,FALSE)</f>
        <v>D2. Edificación en Altura</v>
      </c>
      <c r="E755" s="87" t="s">
        <v>497</v>
      </c>
      <c r="F755" s="88" t="s">
        <v>918</v>
      </c>
      <c r="G755" s="88" t="s">
        <v>587</v>
      </c>
      <c r="H755" s="104" t="s">
        <v>552</v>
      </c>
      <c r="I755" s="89">
        <v>1</v>
      </c>
      <c r="J755" s="88" t="s">
        <v>588</v>
      </c>
      <c r="K755" s="102"/>
      <c r="L755" s="88" t="s">
        <v>571</v>
      </c>
      <c r="M755" s="89" t="s">
        <v>381</v>
      </c>
      <c r="N755" s="90">
        <v>0.1</v>
      </c>
      <c r="O755" s="27">
        <f>IFERROR(+VLOOKUP(M755,D.sign_Lista_Data[[RESPONSABLE]:[SOFTWARE 
VALOR HORA]],3,FALSE),"0")</f>
        <v>20263.424518743668</v>
      </c>
      <c r="P755" s="3">
        <f t="shared" si="26"/>
        <v>2026.3424518743668</v>
      </c>
      <c r="Q755" s="11">
        <f>IFERROR(+VLOOKUP(M755,D.sign_Lista_Data[[RESPONSABLE]:[SOFTWARE 
VALOR HORA]],5,FALSE)*D.sign_Data[[#This Row],[TIEMPO (HORAS)]],0)</f>
        <v>422.15467747382638</v>
      </c>
      <c r="R755" s="11">
        <f>IFERROR(+VLOOKUP(M755,D.sign_Lista_Data[[RESPONSABLE]:[SOFTWARE 
VALOR HORA]],8,FALSE)*D.sign_Data[[#This Row],[TIEMPO (HORAS)]],0)</f>
        <v>341.08548871439837</v>
      </c>
      <c r="S755" s="99"/>
      <c r="T755" s="99"/>
      <c r="U755" s="3">
        <f t="shared" si="27"/>
        <v>2789.5826180625913</v>
      </c>
      <c r="V755" s="100">
        <f>D.sign_Data[[#This Row],[TIEMPO (HORAS)]]*Gastos_Operativos[[#Totals],[GASTOS HORA]]</f>
        <v>2778.9477072310401</v>
      </c>
      <c r="W755" s="3">
        <f>+D.sign_Data[[#This Row],[COSTO 
DIRECTO ($COP)]]+D.sign_Data[[#This Row],[PRORRATEO GASTOS ($COP)]]</f>
        <v>5568.5303252936319</v>
      </c>
      <c r="X755" s="101">
        <v>0.1</v>
      </c>
      <c r="Y755" s="15">
        <f>+D.sign_Data[[#This Row],[COSTOS OPERACIONALES ($COP)]]*D.sign_Data[[#This Row],[DESFASE (%)]]</f>
        <v>556.85303252936319</v>
      </c>
      <c r="Z755" s="101">
        <v>0.15</v>
      </c>
      <c r="AA755" s="15">
        <f>+((D.sign_Data[[#This Row],[COSTOS OPERACIONALES ($COP)]]/(100%-D.sign_Data[[#This Row],[UTILIDAD (%)]])))-D.sign_Data[[#This Row],[COSTOS OPERACIONALES ($COP)]]</f>
        <v>982.68182211064141</v>
      </c>
      <c r="AB755" s="3">
        <f>+D.sign_Data[[#This Row],[COSTOS OPERACIONALES ($COP)]]+D.sign_Data[[#This Row],[DESFASE ($COP)]]+D.sign_Data[[#This Row],[UTILIDAD ($COP)]]</f>
        <v>7108.0651799336365</v>
      </c>
      <c r="AC755" s="101">
        <v>0.05</v>
      </c>
      <c r="AD755" s="15">
        <f>+D.sign_Data[[#This Row],[VALOR NETO ($COP)]]/(100%-D.sign_Data[[#This Row],[MARGEN DE NEGOCIACIÓN (%)]])-D.sign_Data[[#This Row],[VALOR NETO ($COP)]]</f>
        <v>374.10869368071781</v>
      </c>
      <c r="AE755" s="15">
        <f>+(D.sign_Data[[#This Row],[VALOR NETO ($COP)]]+D.sign_Data[[#This Row],[NEGOCIACIÓN ($COP)]])*1%</f>
        <v>74.821738736143544</v>
      </c>
      <c r="AF755" s="15">
        <f>+(D.sign_Data[[#This Row],[VALOR NETO ($COP)]]+D.sign_Data[[#This Row],[NEGOCIACIÓN ($COP)]])*1%</f>
        <v>74.821738736143544</v>
      </c>
      <c r="AG755" s="3">
        <f>+D.sign_Data[[#This Row],[VALOR NETO ($COP)]]+D.sign_Data[[#This Row],[NEGOCIACIÓN ($COP)]]+D.sign_Data[[#This Row],[ICA ($COP)]]+D.sign_Data[[#This Row],[4 * 1000 ($COP)]]</f>
        <v>7631.8173510866418</v>
      </c>
    </row>
    <row r="756" spans="1:33" ht="60" hidden="1" customHeight="1" x14ac:dyDescent="0.25">
      <c r="A756" s="14"/>
      <c r="B756" s="87" t="s">
        <v>493</v>
      </c>
      <c r="C756" s="182" t="s">
        <v>917</v>
      </c>
      <c r="D756" s="189" t="str">
        <f>VLOOKUP(D.sign_Data[[#This Row],[CÓDIGO]],Descripciones[[CÓDIGO]:[NOMBRE DE SERVICIO]],3,FALSE)</f>
        <v>D2. Edificación en Altura</v>
      </c>
      <c r="E756" s="87" t="s">
        <v>497</v>
      </c>
      <c r="F756" s="88" t="s">
        <v>918</v>
      </c>
      <c r="G756" s="88" t="s">
        <v>587</v>
      </c>
      <c r="H756" s="104" t="s">
        <v>552</v>
      </c>
      <c r="I756" s="89">
        <v>1</v>
      </c>
      <c r="J756" s="88" t="s">
        <v>588</v>
      </c>
      <c r="K756" s="102"/>
      <c r="L756" s="88" t="s">
        <v>579</v>
      </c>
      <c r="M756" s="89" t="s">
        <v>381</v>
      </c>
      <c r="N756" s="90">
        <v>0.5</v>
      </c>
      <c r="O756" s="27">
        <f>IFERROR(+VLOOKUP(M756,D.sign_Lista_Data[[RESPONSABLE]:[SOFTWARE 
VALOR HORA]],3,FALSE),"0")</f>
        <v>20263.424518743668</v>
      </c>
      <c r="P756" s="3">
        <f t="shared" si="26"/>
        <v>10131.712259371834</v>
      </c>
      <c r="Q756" s="11">
        <f>IFERROR(+VLOOKUP(M756,D.sign_Lista_Data[[RESPONSABLE]:[SOFTWARE 
VALOR HORA]],5,FALSE)*D.sign_Data[[#This Row],[TIEMPO (HORAS)]],0)</f>
        <v>2110.7733873691318</v>
      </c>
      <c r="R756" s="11">
        <f>IFERROR(+VLOOKUP(M756,D.sign_Lista_Data[[RESPONSABLE]:[SOFTWARE 
VALOR HORA]],8,FALSE)*D.sign_Data[[#This Row],[TIEMPO (HORAS)]],0)</f>
        <v>1705.4274435719917</v>
      </c>
      <c r="S756" s="99"/>
      <c r="T756" s="99"/>
      <c r="U756" s="3">
        <f t="shared" si="27"/>
        <v>13947.913090312959</v>
      </c>
      <c r="V756" s="100">
        <f>D.sign_Data[[#This Row],[TIEMPO (HORAS)]]*Gastos_Operativos[[#Totals],[GASTOS HORA]]</f>
        <v>13894.738536155201</v>
      </c>
      <c r="W756" s="3">
        <f>+D.sign_Data[[#This Row],[COSTO 
DIRECTO ($COP)]]+D.sign_Data[[#This Row],[PRORRATEO GASTOS ($COP)]]</f>
        <v>27842.65162646816</v>
      </c>
      <c r="X756" s="101">
        <v>0.1</v>
      </c>
      <c r="Y756" s="15">
        <f>+D.sign_Data[[#This Row],[COSTOS OPERACIONALES ($COP)]]*D.sign_Data[[#This Row],[DESFASE (%)]]</f>
        <v>2784.265162646816</v>
      </c>
      <c r="Z756" s="101">
        <v>0.15</v>
      </c>
      <c r="AA756" s="15">
        <f>+((D.sign_Data[[#This Row],[COSTOS OPERACIONALES ($COP)]]/(100%-D.sign_Data[[#This Row],[UTILIDAD (%)]])))-D.sign_Data[[#This Row],[COSTOS OPERACIONALES ($COP)]]</f>
        <v>4913.4091105532061</v>
      </c>
      <c r="AB756" s="3">
        <f>+D.sign_Data[[#This Row],[COSTOS OPERACIONALES ($COP)]]+D.sign_Data[[#This Row],[DESFASE ($COP)]]+D.sign_Data[[#This Row],[UTILIDAD ($COP)]]</f>
        <v>35540.325899668183</v>
      </c>
      <c r="AC756" s="101">
        <v>0.05</v>
      </c>
      <c r="AD756" s="15">
        <f>+D.sign_Data[[#This Row],[VALOR NETO ($COP)]]/(100%-D.sign_Data[[#This Row],[MARGEN DE NEGOCIACIÓN (%)]])-D.sign_Data[[#This Row],[VALOR NETO ($COP)]]</f>
        <v>1870.5434684035936</v>
      </c>
      <c r="AE756" s="15">
        <f>+(D.sign_Data[[#This Row],[VALOR NETO ($COP)]]+D.sign_Data[[#This Row],[NEGOCIACIÓN ($COP)]])*1%</f>
        <v>374.10869368071775</v>
      </c>
      <c r="AF756" s="15">
        <f>+(D.sign_Data[[#This Row],[VALOR NETO ($COP)]]+D.sign_Data[[#This Row],[NEGOCIACIÓN ($COP)]])*1%</f>
        <v>374.10869368071775</v>
      </c>
      <c r="AG756" s="3">
        <f>+D.sign_Data[[#This Row],[VALOR NETO ($COP)]]+D.sign_Data[[#This Row],[NEGOCIACIÓN ($COP)]]+D.sign_Data[[#This Row],[ICA ($COP)]]+D.sign_Data[[#This Row],[4 * 1000 ($COP)]]</f>
        <v>38159.086755433214</v>
      </c>
    </row>
    <row r="757" spans="1:33" ht="60" hidden="1" customHeight="1" x14ac:dyDescent="0.25">
      <c r="A757" s="14"/>
      <c r="B757" s="87" t="s">
        <v>493</v>
      </c>
      <c r="C757" s="182" t="s">
        <v>917</v>
      </c>
      <c r="D757" s="189" t="str">
        <f>VLOOKUP(D.sign_Data[[#This Row],[CÓDIGO]],Descripciones[[CÓDIGO]:[NOMBRE DE SERVICIO]],3,FALSE)</f>
        <v>D2. Edificación en Altura</v>
      </c>
      <c r="E757" s="87" t="s">
        <v>497</v>
      </c>
      <c r="F757" s="88" t="s">
        <v>918</v>
      </c>
      <c r="G757" s="88" t="s">
        <v>592</v>
      </c>
      <c r="H757" s="104" t="s">
        <v>552</v>
      </c>
      <c r="I757" s="89">
        <v>1</v>
      </c>
      <c r="J757" s="88" t="s">
        <v>588</v>
      </c>
      <c r="K757" s="102"/>
      <c r="L757" s="88" t="s">
        <v>572</v>
      </c>
      <c r="M757" s="89" t="s">
        <v>381</v>
      </c>
      <c r="N757" s="90">
        <v>0.1</v>
      </c>
      <c r="O757" s="27">
        <f>IFERROR(+VLOOKUP(M757,D.sign_Lista_Data[[RESPONSABLE]:[SOFTWARE 
VALOR HORA]],3,FALSE),"0")</f>
        <v>20263.424518743668</v>
      </c>
      <c r="P757" s="3">
        <f t="shared" si="26"/>
        <v>2026.3424518743668</v>
      </c>
      <c r="Q757" s="11">
        <f>IFERROR(+VLOOKUP(M757,D.sign_Lista_Data[[RESPONSABLE]:[SOFTWARE 
VALOR HORA]],5,FALSE)*D.sign_Data[[#This Row],[TIEMPO (HORAS)]],0)</f>
        <v>422.15467747382638</v>
      </c>
      <c r="R757" s="11">
        <f>IFERROR(+VLOOKUP(M757,D.sign_Lista_Data[[RESPONSABLE]:[SOFTWARE 
VALOR HORA]],8,FALSE)*D.sign_Data[[#This Row],[TIEMPO (HORAS)]],0)</f>
        <v>341.08548871439837</v>
      </c>
      <c r="S757" s="99"/>
      <c r="T757" s="99"/>
      <c r="U757" s="3">
        <f t="shared" si="27"/>
        <v>2789.5826180625913</v>
      </c>
      <c r="V757" s="100">
        <f>D.sign_Data[[#This Row],[TIEMPO (HORAS)]]*Gastos_Operativos[[#Totals],[GASTOS HORA]]</f>
        <v>2778.9477072310401</v>
      </c>
      <c r="W757" s="3">
        <f>+D.sign_Data[[#This Row],[COSTO 
DIRECTO ($COP)]]+D.sign_Data[[#This Row],[PRORRATEO GASTOS ($COP)]]</f>
        <v>5568.5303252936319</v>
      </c>
      <c r="X757" s="101">
        <v>0.1</v>
      </c>
      <c r="Y757" s="15">
        <f>+D.sign_Data[[#This Row],[COSTOS OPERACIONALES ($COP)]]*D.sign_Data[[#This Row],[DESFASE (%)]]</f>
        <v>556.85303252936319</v>
      </c>
      <c r="Z757" s="101">
        <v>0.15</v>
      </c>
      <c r="AA757" s="15">
        <f>+((D.sign_Data[[#This Row],[COSTOS OPERACIONALES ($COP)]]/(100%-D.sign_Data[[#This Row],[UTILIDAD (%)]])))-D.sign_Data[[#This Row],[COSTOS OPERACIONALES ($COP)]]</f>
        <v>982.68182211064141</v>
      </c>
      <c r="AB757" s="3">
        <f>+D.sign_Data[[#This Row],[COSTOS OPERACIONALES ($COP)]]+D.sign_Data[[#This Row],[DESFASE ($COP)]]+D.sign_Data[[#This Row],[UTILIDAD ($COP)]]</f>
        <v>7108.0651799336365</v>
      </c>
      <c r="AC757" s="101">
        <v>0.05</v>
      </c>
      <c r="AD757" s="15">
        <f>+D.sign_Data[[#This Row],[VALOR NETO ($COP)]]/(100%-D.sign_Data[[#This Row],[MARGEN DE NEGOCIACIÓN (%)]])-D.sign_Data[[#This Row],[VALOR NETO ($COP)]]</f>
        <v>374.10869368071781</v>
      </c>
      <c r="AE757" s="15">
        <f>+(D.sign_Data[[#This Row],[VALOR NETO ($COP)]]+D.sign_Data[[#This Row],[NEGOCIACIÓN ($COP)]])*1%</f>
        <v>74.821738736143544</v>
      </c>
      <c r="AF757" s="15">
        <f>+(D.sign_Data[[#This Row],[VALOR NETO ($COP)]]+D.sign_Data[[#This Row],[NEGOCIACIÓN ($COP)]])*1%</f>
        <v>74.821738736143544</v>
      </c>
      <c r="AG757" s="3">
        <f>+D.sign_Data[[#This Row],[VALOR NETO ($COP)]]+D.sign_Data[[#This Row],[NEGOCIACIÓN ($COP)]]+D.sign_Data[[#This Row],[ICA ($COP)]]+D.sign_Data[[#This Row],[4 * 1000 ($COP)]]</f>
        <v>7631.8173510866418</v>
      </c>
    </row>
    <row r="758" spans="1:33" ht="60" hidden="1" customHeight="1" x14ac:dyDescent="0.25">
      <c r="A758" s="14"/>
      <c r="B758" s="87" t="s">
        <v>493</v>
      </c>
      <c r="C758" s="182" t="s">
        <v>917</v>
      </c>
      <c r="D758" s="189" t="str">
        <f>VLOOKUP(D.sign_Data[[#This Row],[CÓDIGO]],Descripciones[[CÓDIGO]:[NOMBRE DE SERVICIO]],3,FALSE)</f>
        <v>D2. Edificación en Altura</v>
      </c>
      <c r="E758" s="87" t="s">
        <v>497</v>
      </c>
      <c r="F758" s="88" t="s">
        <v>918</v>
      </c>
      <c r="G758" s="88" t="s">
        <v>587</v>
      </c>
      <c r="H758" s="104" t="s">
        <v>552</v>
      </c>
      <c r="I758" s="89">
        <v>1</v>
      </c>
      <c r="J758" s="88" t="s">
        <v>615</v>
      </c>
      <c r="K758" s="102"/>
      <c r="L758" s="88" t="s">
        <v>575</v>
      </c>
      <c r="M758" s="89" t="s">
        <v>381</v>
      </c>
      <c r="N758" s="90">
        <v>0.2</v>
      </c>
      <c r="O758" s="27">
        <f>IFERROR(+VLOOKUP(M758,D.sign_Lista_Data[[RESPONSABLE]:[SOFTWARE 
VALOR HORA]],3,FALSE),"0")</f>
        <v>20263.424518743668</v>
      </c>
      <c r="P758" s="3">
        <f t="shared" si="26"/>
        <v>4052.6849037487336</v>
      </c>
      <c r="Q758" s="11">
        <f>IFERROR(+VLOOKUP(M758,D.sign_Lista_Data[[RESPONSABLE]:[SOFTWARE 
VALOR HORA]],5,FALSE)*D.sign_Data[[#This Row],[TIEMPO (HORAS)]],0)</f>
        <v>844.30935494765276</v>
      </c>
      <c r="R758" s="11">
        <f>IFERROR(+VLOOKUP(M758,D.sign_Lista_Data[[RESPONSABLE]:[SOFTWARE 
VALOR HORA]],8,FALSE)*D.sign_Data[[#This Row],[TIEMPO (HORAS)]],0)</f>
        <v>682.17097742879673</v>
      </c>
      <c r="S758" s="99"/>
      <c r="T758" s="99"/>
      <c r="U758" s="3">
        <f t="shared" si="27"/>
        <v>5579.1652361251827</v>
      </c>
      <c r="V758" s="100">
        <f>D.sign_Data[[#This Row],[TIEMPO (HORAS)]]*Gastos_Operativos[[#Totals],[GASTOS HORA]]</f>
        <v>5557.8954144620802</v>
      </c>
      <c r="W758" s="3">
        <f>+D.sign_Data[[#This Row],[COSTO 
DIRECTO ($COP)]]+D.sign_Data[[#This Row],[PRORRATEO GASTOS ($COP)]]</f>
        <v>11137.060650587264</v>
      </c>
      <c r="X758" s="101">
        <v>0.1</v>
      </c>
      <c r="Y758" s="15">
        <f>+D.sign_Data[[#This Row],[COSTOS OPERACIONALES ($COP)]]*D.sign_Data[[#This Row],[DESFASE (%)]]</f>
        <v>1113.7060650587264</v>
      </c>
      <c r="Z758" s="101">
        <v>0.15</v>
      </c>
      <c r="AA758" s="15">
        <f>+((D.sign_Data[[#This Row],[COSTOS OPERACIONALES ($COP)]]/(100%-D.sign_Data[[#This Row],[UTILIDAD (%)]])))-D.sign_Data[[#This Row],[COSTOS OPERACIONALES ($COP)]]</f>
        <v>1965.3636442212828</v>
      </c>
      <c r="AB758" s="3">
        <f>+D.sign_Data[[#This Row],[COSTOS OPERACIONALES ($COP)]]+D.sign_Data[[#This Row],[DESFASE ($COP)]]+D.sign_Data[[#This Row],[UTILIDAD ($COP)]]</f>
        <v>14216.130359867273</v>
      </c>
      <c r="AC758" s="101">
        <v>0.05</v>
      </c>
      <c r="AD758" s="15">
        <f>+D.sign_Data[[#This Row],[VALOR NETO ($COP)]]/(100%-D.sign_Data[[#This Row],[MARGEN DE NEGOCIACIÓN (%)]])-D.sign_Data[[#This Row],[VALOR NETO ($COP)]]</f>
        <v>748.21738736143561</v>
      </c>
      <c r="AE758" s="15">
        <f>+(D.sign_Data[[#This Row],[VALOR NETO ($COP)]]+D.sign_Data[[#This Row],[NEGOCIACIÓN ($COP)]])*1%</f>
        <v>149.64347747228709</v>
      </c>
      <c r="AF758" s="15">
        <f>+(D.sign_Data[[#This Row],[VALOR NETO ($COP)]]+D.sign_Data[[#This Row],[NEGOCIACIÓN ($COP)]])*1%</f>
        <v>149.64347747228709</v>
      </c>
      <c r="AG758" s="3">
        <f>+D.sign_Data[[#This Row],[VALOR NETO ($COP)]]+D.sign_Data[[#This Row],[NEGOCIACIÓN ($COP)]]+D.sign_Data[[#This Row],[ICA ($COP)]]+D.sign_Data[[#This Row],[4 * 1000 ($COP)]]</f>
        <v>15263.634702173284</v>
      </c>
    </row>
    <row r="759" spans="1:33" ht="60" hidden="1" customHeight="1" x14ac:dyDescent="0.25">
      <c r="A759" s="14"/>
      <c r="B759" s="87" t="s">
        <v>493</v>
      </c>
      <c r="C759" s="182" t="s">
        <v>917</v>
      </c>
      <c r="D759" s="189" t="str">
        <f>VLOOKUP(D.sign_Data[[#This Row],[CÓDIGO]],Descripciones[[CÓDIGO]:[NOMBRE DE SERVICIO]],3,FALSE)</f>
        <v>D2. Edificación en Altura</v>
      </c>
      <c r="E759" s="87" t="s">
        <v>497</v>
      </c>
      <c r="F759" s="88" t="s">
        <v>918</v>
      </c>
      <c r="G759" s="88" t="s">
        <v>587</v>
      </c>
      <c r="H759" s="104" t="s">
        <v>552</v>
      </c>
      <c r="I759" s="89">
        <v>1</v>
      </c>
      <c r="J759" s="88" t="s">
        <v>615</v>
      </c>
      <c r="K759" s="102"/>
      <c r="L759" s="88" t="s">
        <v>616</v>
      </c>
      <c r="M759" s="89" t="s">
        <v>381</v>
      </c>
      <c r="N759" s="90">
        <v>1</v>
      </c>
      <c r="O759" s="27">
        <f>IFERROR(+VLOOKUP(M759,D.sign_Lista_Data[[RESPONSABLE]:[SOFTWARE 
VALOR HORA]],3,FALSE),"0")</f>
        <v>20263.424518743668</v>
      </c>
      <c r="P759" s="3">
        <f t="shared" si="26"/>
        <v>20263.424518743668</v>
      </c>
      <c r="Q759" s="11">
        <f>IFERROR(+VLOOKUP(M759,D.sign_Lista_Data[[RESPONSABLE]:[SOFTWARE 
VALOR HORA]],5,FALSE)*D.sign_Data[[#This Row],[TIEMPO (HORAS)]],0)</f>
        <v>4221.5467747382636</v>
      </c>
      <c r="R759" s="11">
        <f>IFERROR(+VLOOKUP(M759,D.sign_Lista_Data[[RESPONSABLE]:[SOFTWARE 
VALOR HORA]],8,FALSE)*D.sign_Data[[#This Row],[TIEMPO (HORAS)]],0)</f>
        <v>3410.8548871439834</v>
      </c>
      <c r="S759" s="99"/>
      <c r="T759" s="99"/>
      <c r="U759" s="3">
        <f t="shared" si="27"/>
        <v>27895.826180625918</v>
      </c>
      <c r="V759" s="100">
        <f>D.sign_Data[[#This Row],[TIEMPO (HORAS)]]*Gastos_Operativos[[#Totals],[GASTOS HORA]]</f>
        <v>27789.477072310401</v>
      </c>
      <c r="W759" s="3">
        <f>+D.sign_Data[[#This Row],[COSTO 
DIRECTO ($COP)]]+D.sign_Data[[#This Row],[PRORRATEO GASTOS ($COP)]]</f>
        <v>55685.303252936319</v>
      </c>
      <c r="X759" s="101">
        <v>0.1</v>
      </c>
      <c r="Y759" s="15">
        <f>+D.sign_Data[[#This Row],[COSTOS OPERACIONALES ($COP)]]*D.sign_Data[[#This Row],[DESFASE (%)]]</f>
        <v>5568.5303252936319</v>
      </c>
      <c r="Z759" s="101">
        <v>0.15</v>
      </c>
      <c r="AA759" s="15">
        <f>+((D.sign_Data[[#This Row],[COSTOS OPERACIONALES ($COP)]]/(100%-D.sign_Data[[#This Row],[UTILIDAD (%)]])))-D.sign_Data[[#This Row],[COSTOS OPERACIONALES ($COP)]]</f>
        <v>9826.8182211064122</v>
      </c>
      <c r="AB759" s="3">
        <f>+D.sign_Data[[#This Row],[COSTOS OPERACIONALES ($COP)]]+D.sign_Data[[#This Row],[DESFASE ($COP)]]+D.sign_Data[[#This Row],[UTILIDAD ($COP)]]</f>
        <v>71080.651799336367</v>
      </c>
      <c r="AC759" s="101">
        <v>0.05</v>
      </c>
      <c r="AD759" s="15">
        <f>+D.sign_Data[[#This Row],[VALOR NETO ($COP)]]/(100%-D.sign_Data[[#This Row],[MARGEN DE NEGOCIACIÓN (%)]])-D.sign_Data[[#This Row],[VALOR NETO ($COP)]]</f>
        <v>3741.0869368071872</v>
      </c>
      <c r="AE759" s="15">
        <f>+(D.sign_Data[[#This Row],[VALOR NETO ($COP)]]+D.sign_Data[[#This Row],[NEGOCIACIÓN ($COP)]])*1%</f>
        <v>748.2173873614355</v>
      </c>
      <c r="AF759" s="15">
        <f>+(D.sign_Data[[#This Row],[VALOR NETO ($COP)]]+D.sign_Data[[#This Row],[NEGOCIACIÓN ($COP)]])*1%</f>
        <v>748.2173873614355</v>
      </c>
      <c r="AG759" s="3">
        <f>+D.sign_Data[[#This Row],[VALOR NETO ($COP)]]+D.sign_Data[[#This Row],[NEGOCIACIÓN ($COP)]]+D.sign_Data[[#This Row],[ICA ($COP)]]+D.sign_Data[[#This Row],[4 * 1000 ($COP)]]</f>
        <v>76318.173510866429</v>
      </c>
    </row>
    <row r="760" spans="1:33" ht="60" hidden="1" customHeight="1" x14ac:dyDescent="0.25">
      <c r="A760" s="14"/>
      <c r="B760" s="87" t="s">
        <v>493</v>
      </c>
      <c r="C760" s="182" t="s">
        <v>917</v>
      </c>
      <c r="D760" s="189" t="str">
        <f>VLOOKUP(D.sign_Data[[#This Row],[CÓDIGO]],Descripciones[[CÓDIGO]:[NOMBRE DE SERVICIO]],3,FALSE)</f>
        <v>D2. Edificación en Altura</v>
      </c>
      <c r="E760" s="87" t="s">
        <v>497</v>
      </c>
      <c r="F760" s="88" t="s">
        <v>918</v>
      </c>
      <c r="G760" s="88" t="s">
        <v>587</v>
      </c>
      <c r="H760" s="104" t="s">
        <v>552</v>
      </c>
      <c r="I760" s="89">
        <v>1</v>
      </c>
      <c r="J760" s="88" t="s">
        <v>615</v>
      </c>
      <c r="K760" s="102"/>
      <c r="L760" s="88" t="s">
        <v>577</v>
      </c>
      <c r="M760" s="89" t="s">
        <v>381</v>
      </c>
      <c r="N760" s="90">
        <v>0.5</v>
      </c>
      <c r="O760" s="27">
        <f>IFERROR(+VLOOKUP(M760,D.sign_Lista_Data[[RESPONSABLE]:[SOFTWARE 
VALOR HORA]],3,FALSE),"0")</f>
        <v>20263.424518743668</v>
      </c>
      <c r="P760" s="3">
        <f t="shared" si="26"/>
        <v>10131.712259371834</v>
      </c>
      <c r="Q760" s="11">
        <f>IFERROR(+VLOOKUP(M760,D.sign_Lista_Data[[RESPONSABLE]:[SOFTWARE 
VALOR HORA]],5,FALSE)*D.sign_Data[[#This Row],[TIEMPO (HORAS)]],0)</f>
        <v>2110.7733873691318</v>
      </c>
      <c r="R760" s="11">
        <f>IFERROR(+VLOOKUP(M760,D.sign_Lista_Data[[RESPONSABLE]:[SOFTWARE 
VALOR HORA]],8,FALSE)*D.sign_Data[[#This Row],[TIEMPO (HORAS)]],0)</f>
        <v>1705.4274435719917</v>
      </c>
      <c r="S760" s="99"/>
      <c r="T760" s="99"/>
      <c r="U760" s="3">
        <f t="shared" si="27"/>
        <v>13947.913090312959</v>
      </c>
      <c r="V760" s="100">
        <f>D.sign_Data[[#This Row],[TIEMPO (HORAS)]]*Gastos_Operativos[[#Totals],[GASTOS HORA]]</f>
        <v>13894.738536155201</v>
      </c>
      <c r="W760" s="3">
        <f>+D.sign_Data[[#This Row],[COSTO 
DIRECTO ($COP)]]+D.sign_Data[[#This Row],[PRORRATEO GASTOS ($COP)]]</f>
        <v>27842.65162646816</v>
      </c>
      <c r="X760" s="101">
        <v>0.1</v>
      </c>
      <c r="Y760" s="15">
        <f>+D.sign_Data[[#This Row],[COSTOS OPERACIONALES ($COP)]]*D.sign_Data[[#This Row],[DESFASE (%)]]</f>
        <v>2784.265162646816</v>
      </c>
      <c r="Z760" s="101">
        <v>0.15</v>
      </c>
      <c r="AA760" s="15">
        <f>+((D.sign_Data[[#This Row],[COSTOS OPERACIONALES ($COP)]]/(100%-D.sign_Data[[#This Row],[UTILIDAD (%)]])))-D.sign_Data[[#This Row],[COSTOS OPERACIONALES ($COP)]]</f>
        <v>4913.4091105532061</v>
      </c>
      <c r="AB760" s="3">
        <f>+D.sign_Data[[#This Row],[COSTOS OPERACIONALES ($COP)]]+D.sign_Data[[#This Row],[DESFASE ($COP)]]+D.sign_Data[[#This Row],[UTILIDAD ($COP)]]</f>
        <v>35540.325899668183</v>
      </c>
      <c r="AC760" s="101">
        <v>0.05</v>
      </c>
      <c r="AD760" s="15">
        <f>+D.sign_Data[[#This Row],[VALOR NETO ($COP)]]/(100%-D.sign_Data[[#This Row],[MARGEN DE NEGOCIACIÓN (%)]])-D.sign_Data[[#This Row],[VALOR NETO ($COP)]]</f>
        <v>1870.5434684035936</v>
      </c>
      <c r="AE760" s="15">
        <f>+(D.sign_Data[[#This Row],[VALOR NETO ($COP)]]+D.sign_Data[[#This Row],[NEGOCIACIÓN ($COP)]])*1%</f>
        <v>374.10869368071775</v>
      </c>
      <c r="AF760" s="15">
        <f>+(D.sign_Data[[#This Row],[VALOR NETO ($COP)]]+D.sign_Data[[#This Row],[NEGOCIACIÓN ($COP)]])*1%</f>
        <v>374.10869368071775</v>
      </c>
      <c r="AG760" s="3">
        <f>+D.sign_Data[[#This Row],[VALOR NETO ($COP)]]+D.sign_Data[[#This Row],[NEGOCIACIÓN ($COP)]]+D.sign_Data[[#This Row],[ICA ($COP)]]+D.sign_Data[[#This Row],[4 * 1000 ($COP)]]</f>
        <v>38159.086755433214</v>
      </c>
    </row>
    <row r="761" spans="1:33" ht="60" hidden="1" customHeight="1" x14ac:dyDescent="0.25">
      <c r="A761" s="14"/>
      <c r="B761" s="87" t="s">
        <v>493</v>
      </c>
      <c r="C761" s="182" t="s">
        <v>917</v>
      </c>
      <c r="D761" s="189" t="str">
        <f>VLOOKUP(D.sign_Data[[#This Row],[CÓDIGO]],Descripciones[[CÓDIGO]:[NOMBRE DE SERVICIO]],3,FALSE)</f>
        <v>D2. Edificación en Altura</v>
      </c>
      <c r="E761" s="87" t="s">
        <v>497</v>
      </c>
      <c r="F761" s="88" t="s">
        <v>918</v>
      </c>
      <c r="G761" s="88" t="s">
        <v>587</v>
      </c>
      <c r="H761" s="104" t="s">
        <v>552</v>
      </c>
      <c r="I761" s="89">
        <v>1</v>
      </c>
      <c r="J761" s="88" t="s">
        <v>615</v>
      </c>
      <c r="K761" s="102"/>
      <c r="L761" s="88" t="s">
        <v>606</v>
      </c>
      <c r="M761" s="89" t="s">
        <v>381</v>
      </c>
      <c r="N761" s="90">
        <v>0.5</v>
      </c>
      <c r="O761" s="27">
        <f>IFERROR(+VLOOKUP(M761,D.sign_Lista_Data[[RESPONSABLE]:[SOFTWARE 
VALOR HORA]],3,FALSE),"0")</f>
        <v>20263.424518743668</v>
      </c>
      <c r="P761" s="3">
        <f t="shared" si="26"/>
        <v>10131.712259371834</v>
      </c>
      <c r="Q761" s="11">
        <f>IFERROR(+VLOOKUP(M761,D.sign_Lista_Data[[RESPONSABLE]:[SOFTWARE 
VALOR HORA]],5,FALSE)*D.sign_Data[[#This Row],[TIEMPO (HORAS)]],0)</f>
        <v>2110.7733873691318</v>
      </c>
      <c r="R761" s="11">
        <f>IFERROR(+VLOOKUP(M761,D.sign_Lista_Data[[RESPONSABLE]:[SOFTWARE 
VALOR HORA]],8,FALSE)*D.sign_Data[[#This Row],[TIEMPO (HORAS)]],0)</f>
        <v>1705.4274435719917</v>
      </c>
      <c r="S761" s="99"/>
      <c r="T761" s="99"/>
      <c r="U761" s="3">
        <f t="shared" si="27"/>
        <v>13947.913090312959</v>
      </c>
      <c r="V761" s="100">
        <f>D.sign_Data[[#This Row],[TIEMPO (HORAS)]]*Gastos_Operativos[[#Totals],[GASTOS HORA]]</f>
        <v>13894.738536155201</v>
      </c>
      <c r="W761" s="3">
        <f>+D.sign_Data[[#This Row],[COSTO 
DIRECTO ($COP)]]+D.sign_Data[[#This Row],[PRORRATEO GASTOS ($COP)]]</f>
        <v>27842.65162646816</v>
      </c>
      <c r="X761" s="101">
        <v>0.1</v>
      </c>
      <c r="Y761" s="15">
        <f>+D.sign_Data[[#This Row],[COSTOS OPERACIONALES ($COP)]]*D.sign_Data[[#This Row],[DESFASE (%)]]</f>
        <v>2784.265162646816</v>
      </c>
      <c r="Z761" s="101">
        <v>0.15</v>
      </c>
      <c r="AA761" s="15">
        <f>+((D.sign_Data[[#This Row],[COSTOS OPERACIONALES ($COP)]]/(100%-D.sign_Data[[#This Row],[UTILIDAD (%)]])))-D.sign_Data[[#This Row],[COSTOS OPERACIONALES ($COP)]]</f>
        <v>4913.4091105532061</v>
      </c>
      <c r="AB761" s="3">
        <f>+D.sign_Data[[#This Row],[COSTOS OPERACIONALES ($COP)]]+D.sign_Data[[#This Row],[DESFASE ($COP)]]+D.sign_Data[[#This Row],[UTILIDAD ($COP)]]</f>
        <v>35540.325899668183</v>
      </c>
      <c r="AC761" s="101">
        <v>0.05</v>
      </c>
      <c r="AD761" s="15">
        <f>+D.sign_Data[[#This Row],[VALOR NETO ($COP)]]/(100%-D.sign_Data[[#This Row],[MARGEN DE NEGOCIACIÓN (%)]])-D.sign_Data[[#This Row],[VALOR NETO ($COP)]]</f>
        <v>1870.5434684035936</v>
      </c>
      <c r="AE761" s="15">
        <f>+(D.sign_Data[[#This Row],[VALOR NETO ($COP)]]+D.sign_Data[[#This Row],[NEGOCIACIÓN ($COP)]])*1%</f>
        <v>374.10869368071775</v>
      </c>
      <c r="AF761" s="15">
        <f>+(D.sign_Data[[#This Row],[VALOR NETO ($COP)]]+D.sign_Data[[#This Row],[NEGOCIACIÓN ($COP)]])*1%</f>
        <v>374.10869368071775</v>
      </c>
      <c r="AG761" s="3">
        <f>+D.sign_Data[[#This Row],[VALOR NETO ($COP)]]+D.sign_Data[[#This Row],[NEGOCIACIÓN ($COP)]]+D.sign_Data[[#This Row],[ICA ($COP)]]+D.sign_Data[[#This Row],[4 * 1000 ($COP)]]</f>
        <v>38159.086755433214</v>
      </c>
    </row>
    <row r="762" spans="1:33" ht="60" hidden="1" customHeight="1" x14ac:dyDescent="0.25">
      <c r="A762" s="14"/>
      <c r="B762" s="87" t="s">
        <v>493</v>
      </c>
      <c r="C762" s="182" t="s">
        <v>917</v>
      </c>
      <c r="D762" s="189" t="str">
        <f>VLOOKUP(D.sign_Data[[#This Row],[CÓDIGO]],Descripciones[[CÓDIGO]:[NOMBRE DE SERVICIO]],3,FALSE)</f>
        <v>D2. Edificación en Altura</v>
      </c>
      <c r="E762" s="87" t="s">
        <v>497</v>
      </c>
      <c r="F762" s="88" t="s">
        <v>918</v>
      </c>
      <c r="G762" s="88" t="s">
        <v>587</v>
      </c>
      <c r="H762" s="104" t="s">
        <v>552</v>
      </c>
      <c r="I762" s="89">
        <v>1</v>
      </c>
      <c r="J762" s="88" t="s">
        <v>615</v>
      </c>
      <c r="K762" s="102"/>
      <c r="L762" s="88" t="s">
        <v>596</v>
      </c>
      <c r="M762" s="89" t="s">
        <v>381</v>
      </c>
      <c r="N762" s="90">
        <v>5</v>
      </c>
      <c r="O762" s="27">
        <f>IFERROR(+VLOOKUP(M762,D.sign_Lista_Data[[RESPONSABLE]:[SOFTWARE 
VALOR HORA]],3,FALSE),"0")</f>
        <v>20263.424518743668</v>
      </c>
      <c r="P762" s="3">
        <f t="shared" si="26"/>
        <v>101317.12259371835</v>
      </c>
      <c r="Q762" s="11">
        <f>IFERROR(+VLOOKUP(M762,D.sign_Lista_Data[[RESPONSABLE]:[SOFTWARE 
VALOR HORA]],5,FALSE)*D.sign_Data[[#This Row],[TIEMPO (HORAS)]],0)</f>
        <v>21107.733873691319</v>
      </c>
      <c r="R762" s="11">
        <f>IFERROR(+VLOOKUP(M762,D.sign_Lista_Data[[RESPONSABLE]:[SOFTWARE 
VALOR HORA]],8,FALSE)*D.sign_Data[[#This Row],[TIEMPO (HORAS)]],0)</f>
        <v>17054.274435719919</v>
      </c>
      <c r="S762" s="99"/>
      <c r="T762" s="99"/>
      <c r="U762" s="3">
        <f t="shared" si="27"/>
        <v>139479.13090312958</v>
      </c>
      <c r="V762" s="100">
        <f>D.sign_Data[[#This Row],[TIEMPO (HORAS)]]*Gastos_Operativos[[#Totals],[GASTOS HORA]]</f>
        <v>138947.38536155201</v>
      </c>
      <c r="W762" s="3">
        <f>+D.sign_Data[[#This Row],[COSTO 
DIRECTO ($COP)]]+D.sign_Data[[#This Row],[PRORRATEO GASTOS ($COP)]]</f>
        <v>278426.51626468159</v>
      </c>
      <c r="X762" s="101">
        <v>0.1</v>
      </c>
      <c r="Y762" s="15">
        <f>+D.sign_Data[[#This Row],[COSTOS OPERACIONALES ($COP)]]*D.sign_Data[[#This Row],[DESFASE (%)]]</f>
        <v>27842.65162646816</v>
      </c>
      <c r="Z762" s="101">
        <v>0.15</v>
      </c>
      <c r="AA762" s="15">
        <f>+((D.sign_Data[[#This Row],[COSTOS OPERACIONALES ($COP)]]/(100%-D.sign_Data[[#This Row],[UTILIDAD (%)]])))-D.sign_Data[[#This Row],[COSTOS OPERACIONALES ($COP)]]</f>
        <v>49134.091105532076</v>
      </c>
      <c r="AB762" s="3">
        <f>+D.sign_Data[[#This Row],[COSTOS OPERACIONALES ($COP)]]+D.sign_Data[[#This Row],[DESFASE ($COP)]]+D.sign_Data[[#This Row],[UTILIDAD ($COP)]]</f>
        <v>355403.25899668183</v>
      </c>
      <c r="AC762" s="101">
        <v>0.05</v>
      </c>
      <c r="AD762" s="15">
        <f>+D.sign_Data[[#This Row],[VALOR NETO ($COP)]]/(100%-D.sign_Data[[#This Row],[MARGEN DE NEGOCIACIÓN (%)]])-D.sign_Data[[#This Row],[VALOR NETO ($COP)]]</f>
        <v>18705.434684035892</v>
      </c>
      <c r="AE762" s="15">
        <f>+(D.sign_Data[[#This Row],[VALOR NETO ($COP)]]+D.sign_Data[[#This Row],[NEGOCIACIÓN ($COP)]])*1%</f>
        <v>3741.0869368071772</v>
      </c>
      <c r="AF762" s="15">
        <f>+(D.sign_Data[[#This Row],[VALOR NETO ($COP)]]+D.sign_Data[[#This Row],[NEGOCIACIÓN ($COP)]])*1%</f>
        <v>3741.0869368071772</v>
      </c>
      <c r="AG762" s="3">
        <f>+D.sign_Data[[#This Row],[VALOR NETO ($COP)]]+D.sign_Data[[#This Row],[NEGOCIACIÓN ($COP)]]+D.sign_Data[[#This Row],[ICA ($COP)]]+D.sign_Data[[#This Row],[4 * 1000 ($COP)]]</f>
        <v>381590.86755433213</v>
      </c>
    </row>
    <row r="763" spans="1:33" ht="60" hidden="1" customHeight="1" x14ac:dyDescent="0.25">
      <c r="A763" s="14"/>
      <c r="B763" s="87" t="s">
        <v>493</v>
      </c>
      <c r="C763" s="182" t="s">
        <v>917</v>
      </c>
      <c r="D763" s="189" t="str">
        <f>VLOOKUP(D.sign_Data[[#This Row],[CÓDIGO]],Descripciones[[CÓDIGO]:[NOMBRE DE SERVICIO]],3,FALSE)</f>
        <v>D2. Edificación en Altura</v>
      </c>
      <c r="E763" s="87" t="s">
        <v>497</v>
      </c>
      <c r="F763" s="88" t="s">
        <v>918</v>
      </c>
      <c r="G763" s="88" t="s">
        <v>587</v>
      </c>
      <c r="H763" s="104" t="s">
        <v>552</v>
      </c>
      <c r="I763" s="89">
        <v>1</v>
      </c>
      <c r="J763" s="88" t="s">
        <v>615</v>
      </c>
      <c r="K763" s="102"/>
      <c r="L763" s="88" t="s">
        <v>579</v>
      </c>
      <c r="M763" s="89" t="s">
        <v>381</v>
      </c>
      <c r="N763" s="90">
        <v>1</v>
      </c>
      <c r="O763" s="27">
        <f>IFERROR(+VLOOKUP(M763,D.sign_Lista_Data[[RESPONSABLE]:[SOFTWARE 
VALOR HORA]],3,FALSE),"0")</f>
        <v>20263.424518743668</v>
      </c>
      <c r="P763" s="3">
        <f t="shared" si="26"/>
        <v>20263.424518743668</v>
      </c>
      <c r="Q763" s="11">
        <f>IFERROR(+VLOOKUP(M763,D.sign_Lista_Data[[RESPONSABLE]:[SOFTWARE 
VALOR HORA]],5,FALSE)*D.sign_Data[[#This Row],[TIEMPO (HORAS)]],0)</f>
        <v>4221.5467747382636</v>
      </c>
      <c r="R763" s="11">
        <f>IFERROR(+VLOOKUP(M763,D.sign_Lista_Data[[RESPONSABLE]:[SOFTWARE 
VALOR HORA]],8,FALSE)*D.sign_Data[[#This Row],[TIEMPO (HORAS)]],0)</f>
        <v>3410.8548871439834</v>
      </c>
      <c r="S763" s="99"/>
      <c r="T763" s="99"/>
      <c r="U763" s="3">
        <f t="shared" si="27"/>
        <v>27895.826180625918</v>
      </c>
      <c r="V763" s="100">
        <f>D.sign_Data[[#This Row],[TIEMPO (HORAS)]]*Gastos_Operativos[[#Totals],[GASTOS HORA]]</f>
        <v>27789.477072310401</v>
      </c>
      <c r="W763" s="3">
        <f>+D.sign_Data[[#This Row],[COSTO 
DIRECTO ($COP)]]+D.sign_Data[[#This Row],[PRORRATEO GASTOS ($COP)]]</f>
        <v>55685.303252936319</v>
      </c>
      <c r="X763" s="101">
        <v>0.1</v>
      </c>
      <c r="Y763" s="15">
        <f>+D.sign_Data[[#This Row],[COSTOS OPERACIONALES ($COP)]]*D.sign_Data[[#This Row],[DESFASE (%)]]</f>
        <v>5568.5303252936319</v>
      </c>
      <c r="Z763" s="101">
        <v>0.15</v>
      </c>
      <c r="AA763" s="15">
        <f>+((D.sign_Data[[#This Row],[COSTOS OPERACIONALES ($COP)]]/(100%-D.sign_Data[[#This Row],[UTILIDAD (%)]])))-D.sign_Data[[#This Row],[COSTOS OPERACIONALES ($COP)]]</f>
        <v>9826.8182211064122</v>
      </c>
      <c r="AB763" s="3">
        <f>+D.sign_Data[[#This Row],[COSTOS OPERACIONALES ($COP)]]+D.sign_Data[[#This Row],[DESFASE ($COP)]]+D.sign_Data[[#This Row],[UTILIDAD ($COP)]]</f>
        <v>71080.651799336367</v>
      </c>
      <c r="AC763" s="101">
        <v>0.05</v>
      </c>
      <c r="AD763" s="15">
        <f>+D.sign_Data[[#This Row],[VALOR NETO ($COP)]]/(100%-D.sign_Data[[#This Row],[MARGEN DE NEGOCIACIÓN (%)]])-D.sign_Data[[#This Row],[VALOR NETO ($COP)]]</f>
        <v>3741.0869368071872</v>
      </c>
      <c r="AE763" s="15">
        <f>+(D.sign_Data[[#This Row],[VALOR NETO ($COP)]]+D.sign_Data[[#This Row],[NEGOCIACIÓN ($COP)]])*1%</f>
        <v>748.2173873614355</v>
      </c>
      <c r="AF763" s="15">
        <f>+(D.sign_Data[[#This Row],[VALOR NETO ($COP)]]+D.sign_Data[[#This Row],[NEGOCIACIÓN ($COP)]])*1%</f>
        <v>748.2173873614355</v>
      </c>
      <c r="AG763" s="3">
        <f>+D.sign_Data[[#This Row],[VALOR NETO ($COP)]]+D.sign_Data[[#This Row],[NEGOCIACIÓN ($COP)]]+D.sign_Data[[#This Row],[ICA ($COP)]]+D.sign_Data[[#This Row],[4 * 1000 ($COP)]]</f>
        <v>76318.173510866429</v>
      </c>
    </row>
    <row r="764" spans="1:33" ht="60" hidden="1" customHeight="1" x14ac:dyDescent="0.25">
      <c r="A764" s="14"/>
      <c r="B764" s="87" t="s">
        <v>493</v>
      </c>
      <c r="C764" s="182" t="s">
        <v>917</v>
      </c>
      <c r="D764" s="189" t="str">
        <f>VLOOKUP(D.sign_Data[[#This Row],[CÓDIGO]],Descripciones[[CÓDIGO]:[NOMBRE DE SERVICIO]],3,FALSE)</f>
        <v>D2. Edificación en Altura</v>
      </c>
      <c r="E764" s="87" t="s">
        <v>497</v>
      </c>
      <c r="F764" s="88" t="s">
        <v>918</v>
      </c>
      <c r="G764" s="88" t="s">
        <v>587</v>
      </c>
      <c r="H764" s="104" t="s">
        <v>552</v>
      </c>
      <c r="I764" s="89">
        <v>1</v>
      </c>
      <c r="J764" s="88" t="s">
        <v>615</v>
      </c>
      <c r="K764" s="102"/>
      <c r="L764" s="88" t="s">
        <v>570</v>
      </c>
      <c r="M764" s="89" t="s">
        <v>381</v>
      </c>
      <c r="N764" s="90">
        <v>0.5</v>
      </c>
      <c r="O764" s="27">
        <f>IFERROR(+VLOOKUP(M764,D.sign_Lista_Data[[RESPONSABLE]:[SOFTWARE 
VALOR HORA]],3,FALSE),"0")</f>
        <v>20263.424518743668</v>
      </c>
      <c r="P764" s="3">
        <f t="shared" si="26"/>
        <v>10131.712259371834</v>
      </c>
      <c r="Q764" s="11">
        <f>IFERROR(+VLOOKUP(M764,D.sign_Lista_Data[[RESPONSABLE]:[SOFTWARE 
VALOR HORA]],5,FALSE)*D.sign_Data[[#This Row],[TIEMPO (HORAS)]],0)</f>
        <v>2110.7733873691318</v>
      </c>
      <c r="R764" s="11">
        <f>IFERROR(+VLOOKUP(M764,D.sign_Lista_Data[[RESPONSABLE]:[SOFTWARE 
VALOR HORA]],8,FALSE)*D.sign_Data[[#This Row],[TIEMPO (HORAS)]],0)</f>
        <v>1705.4274435719917</v>
      </c>
      <c r="S764" s="99"/>
      <c r="T764" s="99"/>
      <c r="U764" s="3">
        <f t="shared" si="27"/>
        <v>13947.913090312959</v>
      </c>
      <c r="V764" s="100">
        <f>D.sign_Data[[#This Row],[TIEMPO (HORAS)]]*Gastos_Operativos[[#Totals],[GASTOS HORA]]</f>
        <v>13894.738536155201</v>
      </c>
      <c r="W764" s="3">
        <f>+D.sign_Data[[#This Row],[COSTO 
DIRECTO ($COP)]]+D.sign_Data[[#This Row],[PRORRATEO GASTOS ($COP)]]</f>
        <v>27842.65162646816</v>
      </c>
      <c r="X764" s="101">
        <v>0.1</v>
      </c>
      <c r="Y764" s="15">
        <f>+D.sign_Data[[#This Row],[COSTOS OPERACIONALES ($COP)]]*D.sign_Data[[#This Row],[DESFASE (%)]]</f>
        <v>2784.265162646816</v>
      </c>
      <c r="Z764" s="101">
        <v>0.15</v>
      </c>
      <c r="AA764" s="15">
        <f>+((D.sign_Data[[#This Row],[COSTOS OPERACIONALES ($COP)]]/(100%-D.sign_Data[[#This Row],[UTILIDAD (%)]])))-D.sign_Data[[#This Row],[COSTOS OPERACIONALES ($COP)]]</f>
        <v>4913.4091105532061</v>
      </c>
      <c r="AB764" s="3">
        <f>+D.sign_Data[[#This Row],[COSTOS OPERACIONALES ($COP)]]+D.sign_Data[[#This Row],[DESFASE ($COP)]]+D.sign_Data[[#This Row],[UTILIDAD ($COP)]]</f>
        <v>35540.325899668183</v>
      </c>
      <c r="AC764" s="101">
        <v>0.05</v>
      </c>
      <c r="AD764" s="15">
        <f>+D.sign_Data[[#This Row],[VALOR NETO ($COP)]]/(100%-D.sign_Data[[#This Row],[MARGEN DE NEGOCIACIÓN (%)]])-D.sign_Data[[#This Row],[VALOR NETO ($COP)]]</f>
        <v>1870.5434684035936</v>
      </c>
      <c r="AE764" s="15">
        <f>+(D.sign_Data[[#This Row],[VALOR NETO ($COP)]]+D.sign_Data[[#This Row],[NEGOCIACIÓN ($COP)]])*1%</f>
        <v>374.10869368071775</v>
      </c>
      <c r="AF764" s="15">
        <f>+(D.sign_Data[[#This Row],[VALOR NETO ($COP)]]+D.sign_Data[[#This Row],[NEGOCIACIÓN ($COP)]])*1%</f>
        <v>374.10869368071775</v>
      </c>
      <c r="AG764" s="3">
        <f>+D.sign_Data[[#This Row],[VALOR NETO ($COP)]]+D.sign_Data[[#This Row],[NEGOCIACIÓN ($COP)]]+D.sign_Data[[#This Row],[ICA ($COP)]]+D.sign_Data[[#This Row],[4 * 1000 ($COP)]]</f>
        <v>38159.086755433214</v>
      </c>
    </row>
    <row r="765" spans="1:33" ht="60" hidden="1" customHeight="1" x14ac:dyDescent="0.25">
      <c r="A765" s="14"/>
      <c r="B765" s="87" t="s">
        <v>493</v>
      </c>
      <c r="C765" s="182" t="s">
        <v>917</v>
      </c>
      <c r="D765" s="189" t="str">
        <f>VLOOKUP(D.sign_Data[[#This Row],[CÓDIGO]],Descripciones[[CÓDIGO]:[NOMBRE DE SERVICIO]],3,FALSE)</f>
        <v>D2. Edificación en Altura</v>
      </c>
      <c r="E765" s="87" t="s">
        <v>497</v>
      </c>
      <c r="F765" s="88" t="s">
        <v>918</v>
      </c>
      <c r="G765" s="88" t="s">
        <v>587</v>
      </c>
      <c r="H765" s="104" t="s">
        <v>552</v>
      </c>
      <c r="I765" s="89">
        <v>1</v>
      </c>
      <c r="J765" s="88" t="s">
        <v>615</v>
      </c>
      <c r="K765" s="102"/>
      <c r="L765" s="88" t="s">
        <v>483</v>
      </c>
      <c r="M765" s="89" t="s">
        <v>381</v>
      </c>
      <c r="N765" s="90">
        <v>0.1</v>
      </c>
      <c r="O765" s="27">
        <f>IFERROR(+VLOOKUP(M765,D.sign_Lista_Data[[RESPONSABLE]:[SOFTWARE 
VALOR HORA]],3,FALSE),"0")</f>
        <v>20263.424518743668</v>
      </c>
      <c r="P765" s="3">
        <f t="shared" si="26"/>
        <v>2026.3424518743668</v>
      </c>
      <c r="Q765" s="11">
        <f>IFERROR(+VLOOKUP(M765,D.sign_Lista_Data[[RESPONSABLE]:[SOFTWARE 
VALOR HORA]],5,FALSE)*D.sign_Data[[#This Row],[TIEMPO (HORAS)]],0)</f>
        <v>422.15467747382638</v>
      </c>
      <c r="R765" s="11">
        <f>IFERROR(+VLOOKUP(M765,D.sign_Lista_Data[[RESPONSABLE]:[SOFTWARE 
VALOR HORA]],8,FALSE)*D.sign_Data[[#This Row],[TIEMPO (HORAS)]],0)</f>
        <v>341.08548871439837</v>
      </c>
      <c r="S765" s="99"/>
      <c r="T765" s="99"/>
      <c r="U765" s="3">
        <f t="shared" si="27"/>
        <v>2789.5826180625913</v>
      </c>
      <c r="V765" s="100">
        <f>D.sign_Data[[#This Row],[TIEMPO (HORAS)]]*Gastos_Operativos[[#Totals],[GASTOS HORA]]</f>
        <v>2778.9477072310401</v>
      </c>
      <c r="W765" s="3">
        <f>+D.sign_Data[[#This Row],[COSTO 
DIRECTO ($COP)]]+D.sign_Data[[#This Row],[PRORRATEO GASTOS ($COP)]]</f>
        <v>5568.5303252936319</v>
      </c>
      <c r="X765" s="101">
        <v>0.1</v>
      </c>
      <c r="Y765" s="15">
        <f>+D.sign_Data[[#This Row],[COSTOS OPERACIONALES ($COP)]]*D.sign_Data[[#This Row],[DESFASE (%)]]</f>
        <v>556.85303252936319</v>
      </c>
      <c r="Z765" s="101">
        <v>0.15</v>
      </c>
      <c r="AA765" s="15">
        <f>+((D.sign_Data[[#This Row],[COSTOS OPERACIONALES ($COP)]]/(100%-D.sign_Data[[#This Row],[UTILIDAD (%)]])))-D.sign_Data[[#This Row],[COSTOS OPERACIONALES ($COP)]]</f>
        <v>982.68182211064141</v>
      </c>
      <c r="AB765" s="3">
        <f>+D.sign_Data[[#This Row],[COSTOS OPERACIONALES ($COP)]]+D.sign_Data[[#This Row],[DESFASE ($COP)]]+D.sign_Data[[#This Row],[UTILIDAD ($COP)]]</f>
        <v>7108.0651799336365</v>
      </c>
      <c r="AC765" s="101">
        <v>0.05</v>
      </c>
      <c r="AD765" s="15">
        <f>+D.sign_Data[[#This Row],[VALOR NETO ($COP)]]/(100%-D.sign_Data[[#This Row],[MARGEN DE NEGOCIACIÓN (%)]])-D.sign_Data[[#This Row],[VALOR NETO ($COP)]]</f>
        <v>374.10869368071781</v>
      </c>
      <c r="AE765" s="15">
        <f>+(D.sign_Data[[#This Row],[VALOR NETO ($COP)]]+D.sign_Data[[#This Row],[NEGOCIACIÓN ($COP)]])*1%</f>
        <v>74.821738736143544</v>
      </c>
      <c r="AF765" s="15">
        <f>+(D.sign_Data[[#This Row],[VALOR NETO ($COP)]]+D.sign_Data[[#This Row],[NEGOCIACIÓN ($COP)]])*1%</f>
        <v>74.821738736143544</v>
      </c>
      <c r="AG765" s="3">
        <f>+D.sign_Data[[#This Row],[VALOR NETO ($COP)]]+D.sign_Data[[#This Row],[NEGOCIACIÓN ($COP)]]+D.sign_Data[[#This Row],[ICA ($COP)]]+D.sign_Data[[#This Row],[4 * 1000 ($COP)]]</f>
        <v>7631.8173510866418</v>
      </c>
    </row>
    <row r="766" spans="1:33" ht="60" hidden="1" customHeight="1" x14ac:dyDescent="0.25">
      <c r="A766" s="14"/>
      <c r="B766" s="87" t="s">
        <v>493</v>
      </c>
      <c r="C766" s="182" t="s">
        <v>917</v>
      </c>
      <c r="D766" s="189" t="str">
        <f>VLOOKUP(D.sign_Data[[#This Row],[CÓDIGO]],Descripciones[[CÓDIGO]:[NOMBRE DE SERVICIO]],3,FALSE)</f>
        <v>D2. Edificación en Altura</v>
      </c>
      <c r="E766" s="87" t="s">
        <v>497</v>
      </c>
      <c r="F766" s="88" t="s">
        <v>918</v>
      </c>
      <c r="G766" s="88" t="s">
        <v>587</v>
      </c>
      <c r="H766" s="104" t="s">
        <v>552</v>
      </c>
      <c r="I766" s="89">
        <v>1</v>
      </c>
      <c r="J766" s="88" t="s">
        <v>615</v>
      </c>
      <c r="K766" s="102"/>
      <c r="L766" s="88" t="s">
        <v>572</v>
      </c>
      <c r="M766" s="89" t="s">
        <v>381</v>
      </c>
      <c r="N766" s="90">
        <v>0.1</v>
      </c>
      <c r="O766" s="27">
        <f>IFERROR(+VLOOKUP(M766,D.sign_Lista_Data[[RESPONSABLE]:[SOFTWARE 
VALOR HORA]],3,FALSE),"0")</f>
        <v>20263.424518743668</v>
      </c>
      <c r="P766" s="3">
        <f t="shared" si="26"/>
        <v>2026.3424518743668</v>
      </c>
      <c r="Q766" s="11">
        <f>IFERROR(+VLOOKUP(M766,D.sign_Lista_Data[[RESPONSABLE]:[SOFTWARE 
VALOR HORA]],5,FALSE)*D.sign_Data[[#This Row],[TIEMPO (HORAS)]],0)</f>
        <v>422.15467747382638</v>
      </c>
      <c r="R766" s="11">
        <f>IFERROR(+VLOOKUP(M766,D.sign_Lista_Data[[RESPONSABLE]:[SOFTWARE 
VALOR HORA]],8,FALSE)*D.sign_Data[[#This Row],[TIEMPO (HORAS)]],0)</f>
        <v>341.08548871439837</v>
      </c>
      <c r="S766" s="99"/>
      <c r="T766" s="99"/>
      <c r="U766" s="3">
        <f t="shared" si="27"/>
        <v>2789.5826180625913</v>
      </c>
      <c r="V766" s="100">
        <f>D.sign_Data[[#This Row],[TIEMPO (HORAS)]]*Gastos_Operativos[[#Totals],[GASTOS HORA]]</f>
        <v>2778.9477072310401</v>
      </c>
      <c r="W766" s="3">
        <f>+D.sign_Data[[#This Row],[COSTO 
DIRECTO ($COP)]]+D.sign_Data[[#This Row],[PRORRATEO GASTOS ($COP)]]</f>
        <v>5568.5303252936319</v>
      </c>
      <c r="X766" s="101">
        <v>0.1</v>
      </c>
      <c r="Y766" s="15">
        <f>+D.sign_Data[[#This Row],[COSTOS OPERACIONALES ($COP)]]*D.sign_Data[[#This Row],[DESFASE (%)]]</f>
        <v>556.85303252936319</v>
      </c>
      <c r="Z766" s="101">
        <v>0.15</v>
      </c>
      <c r="AA766" s="15">
        <f>+((D.sign_Data[[#This Row],[COSTOS OPERACIONALES ($COP)]]/(100%-D.sign_Data[[#This Row],[UTILIDAD (%)]])))-D.sign_Data[[#This Row],[COSTOS OPERACIONALES ($COP)]]</f>
        <v>982.68182211064141</v>
      </c>
      <c r="AB766" s="3">
        <f>+D.sign_Data[[#This Row],[COSTOS OPERACIONALES ($COP)]]+D.sign_Data[[#This Row],[DESFASE ($COP)]]+D.sign_Data[[#This Row],[UTILIDAD ($COP)]]</f>
        <v>7108.0651799336365</v>
      </c>
      <c r="AC766" s="101">
        <v>0.05</v>
      </c>
      <c r="AD766" s="15">
        <f>+D.sign_Data[[#This Row],[VALOR NETO ($COP)]]/(100%-D.sign_Data[[#This Row],[MARGEN DE NEGOCIACIÓN (%)]])-D.sign_Data[[#This Row],[VALOR NETO ($COP)]]</f>
        <v>374.10869368071781</v>
      </c>
      <c r="AE766" s="15">
        <f>+(D.sign_Data[[#This Row],[VALOR NETO ($COP)]]+D.sign_Data[[#This Row],[NEGOCIACIÓN ($COP)]])*1%</f>
        <v>74.821738736143544</v>
      </c>
      <c r="AF766" s="15">
        <f>+(D.sign_Data[[#This Row],[VALOR NETO ($COP)]]+D.sign_Data[[#This Row],[NEGOCIACIÓN ($COP)]])*1%</f>
        <v>74.821738736143544</v>
      </c>
      <c r="AG766" s="3">
        <f>+D.sign_Data[[#This Row],[VALOR NETO ($COP)]]+D.sign_Data[[#This Row],[NEGOCIACIÓN ($COP)]]+D.sign_Data[[#This Row],[ICA ($COP)]]+D.sign_Data[[#This Row],[4 * 1000 ($COP)]]</f>
        <v>7631.8173510866418</v>
      </c>
    </row>
    <row r="767" spans="1:33" ht="60" hidden="1" customHeight="1" x14ac:dyDescent="0.25">
      <c r="A767" s="14"/>
      <c r="B767" s="87" t="s">
        <v>493</v>
      </c>
      <c r="C767" s="182" t="s">
        <v>917</v>
      </c>
      <c r="D767" s="189" t="str">
        <f>VLOOKUP(D.sign_Data[[#This Row],[CÓDIGO]],Descripciones[[CÓDIGO]:[NOMBRE DE SERVICIO]],3,FALSE)</f>
        <v>D2. Edificación en Altura</v>
      </c>
      <c r="E767" s="87" t="s">
        <v>497</v>
      </c>
      <c r="F767" s="88" t="s">
        <v>918</v>
      </c>
      <c r="G767" s="88" t="s">
        <v>597</v>
      </c>
      <c r="H767" s="104" t="s">
        <v>552</v>
      </c>
      <c r="I767" s="89">
        <v>1</v>
      </c>
      <c r="J767" s="88" t="s">
        <v>617</v>
      </c>
      <c r="K767" s="102"/>
      <c r="L767" s="88" t="s">
        <v>618</v>
      </c>
      <c r="M767" s="89" t="s">
        <v>381</v>
      </c>
      <c r="N767" s="90">
        <v>1</v>
      </c>
      <c r="O767" s="27">
        <f>IFERROR(+VLOOKUP(M767,D.sign_Lista_Data[[RESPONSABLE]:[SOFTWARE 
VALOR HORA]],3,FALSE),"0")</f>
        <v>20263.424518743668</v>
      </c>
      <c r="P767" s="3">
        <f t="shared" si="26"/>
        <v>20263.424518743668</v>
      </c>
      <c r="Q767" s="11">
        <f>IFERROR(+VLOOKUP(M767,D.sign_Lista_Data[[RESPONSABLE]:[SOFTWARE 
VALOR HORA]],5,FALSE)*D.sign_Data[[#This Row],[TIEMPO (HORAS)]],0)</f>
        <v>4221.5467747382636</v>
      </c>
      <c r="R767" s="11">
        <f>IFERROR(+VLOOKUP(M767,D.sign_Lista_Data[[RESPONSABLE]:[SOFTWARE 
VALOR HORA]],8,FALSE)*D.sign_Data[[#This Row],[TIEMPO (HORAS)]],0)</f>
        <v>3410.8548871439834</v>
      </c>
      <c r="S767" s="99"/>
      <c r="T767" s="99"/>
      <c r="U767" s="3">
        <f t="shared" si="27"/>
        <v>27895.826180625918</v>
      </c>
      <c r="V767" s="100">
        <f>D.sign_Data[[#This Row],[TIEMPO (HORAS)]]*Gastos_Operativos[[#Totals],[GASTOS HORA]]</f>
        <v>27789.477072310401</v>
      </c>
      <c r="W767" s="3">
        <f>+D.sign_Data[[#This Row],[COSTO 
DIRECTO ($COP)]]+D.sign_Data[[#This Row],[PRORRATEO GASTOS ($COP)]]</f>
        <v>55685.303252936319</v>
      </c>
      <c r="X767" s="101">
        <v>0.1</v>
      </c>
      <c r="Y767" s="15">
        <f>+D.sign_Data[[#This Row],[COSTOS OPERACIONALES ($COP)]]*D.sign_Data[[#This Row],[DESFASE (%)]]</f>
        <v>5568.5303252936319</v>
      </c>
      <c r="Z767" s="101">
        <v>0.15</v>
      </c>
      <c r="AA767" s="15">
        <f>+((D.sign_Data[[#This Row],[COSTOS OPERACIONALES ($COP)]]/(100%-D.sign_Data[[#This Row],[UTILIDAD (%)]])))-D.sign_Data[[#This Row],[COSTOS OPERACIONALES ($COP)]]</f>
        <v>9826.8182211064122</v>
      </c>
      <c r="AB767" s="3">
        <f>+D.sign_Data[[#This Row],[COSTOS OPERACIONALES ($COP)]]+D.sign_Data[[#This Row],[DESFASE ($COP)]]+D.sign_Data[[#This Row],[UTILIDAD ($COP)]]</f>
        <v>71080.651799336367</v>
      </c>
      <c r="AC767" s="101">
        <v>0.05</v>
      </c>
      <c r="AD767" s="15">
        <f>+D.sign_Data[[#This Row],[VALOR NETO ($COP)]]/(100%-D.sign_Data[[#This Row],[MARGEN DE NEGOCIACIÓN (%)]])-D.sign_Data[[#This Row],[VALOR NETO ($COP)]]</f>
        <v>3741.0869368071872</v>
      </c>
      <c r="AE767" s="15">
        <f>+(D.sign_Data[[#This Row],[VALOR NETO ($COP)]]+D.sign_Data[[#This Row],[NEGOCIACIÓN ($COP)]])*1%</f>
        <v>748.2173873614355</v>
      </c>
      <c r="AF767" s="15">
        <f>+(D.sign_Data[[#This Row],[VALOR NETO ($COP)]]+D.sign_Data[[#This Row],[NEGOCIACIÓN ($COP)]])*1%</f>
        <v>748.2173873614355</v>
      </c>
      <c r="AG767" s="3">
        <f>+D.sign_Data[[#This Row],[VALOR NETO ($COP)]]+D.sign_Data[[#This Row],[NEGOCIACIÓN ($COP)]]+D.sign_Data[[#This Row],[ICA ($COP)]]+D.sign_Data[[#This Row],[4 * 1000 ($COP)]]</f>
        <v>76318.173510866429</v>
      </c>
    </row>
    <row r="768" spans="1:33" ht="60" hidden="1" customHeight="1" x14ac:dyDescent="0.25">
      <c r="A768" s="14"/>
      <c r="B768" s="87" t="s">
        <v>493</v>
      </c>
      <c r="C768" s="182" t="s">
        <v>917</v>
      </c>
      <c r="D768" s="189" t="str">
        <f>VLOOKUP(D.sign_Data[[#This Row],[CÓDIGO]],Descripciones[[CÓDIGO]:[NOMBRE DE SERVICIO]],3,FALSE)</f>
        <v>D2. Edificación en Altura</v>
      </c>
      <c r="E768" s="87" t="s">
        <v>497</v>
      </c>
      <c r="F768" s="88" t="s">
        <v>918</v>
      </c>
      <c r="G768" s="88" t="s">
        <v>597</v>
      </c>
      <c r="H768" s="104" t="s">
        <v>552</v>
      </c>
      <c r="I768" s="89">
        <v>1</v>
      </c>
      <c r="J768" s="88" t="s">
        <v>617</v>
      </c>
      <c r="K768" s="102"/>
      <c r="L768" s="88" t="s">
        <v>619</v>
      </c>
      <c r="M768" s="89" t="s">
        <v>381</v>
      </c>
      <c r="N768" s="90">
        <v>1</v>
      </c>
      <c r="O768" s="27">
        <f>IFERROR(+VLOOKUP(M768,D.sign_Lista_Data[[RESPONSABLE]:[SOFTWARE 
VALOR HORA]],3,FALSE),"0")</f>
        <v>20263.424518743668</v>
      </c>
      <c r="P768" s="3">
        <f t="shared" si="26"/>
        <v>20263.424518743668</v>
      </c>
      <c r="Q768" s="11">
        <f>IFERROR(+VLOOKUP(M768,D.sign_Lista_Data[[RESPONSABLE]:[SOFTWARE 
VALOR HORA]],5,FALSE)*D.sign_Data[[#This Row],[TIEMPO (HORAS)]],0)</f>
        <v>4221.5467747382636</v>
      </c>
      <c r="R768" s="11">
        <f>IFERROR(+VLOOKUP(M768,D.sign_Lista_Data[[RESPONSABLE]:[SOFTWARE 
VALOR HORA]],8,FALSE)*D.sign_Data[[#This Row],[TIEMPO (HORAS)]],0)</f>
        <v>3410.8548871439834</v>
      </c>
      <c r="S768" s="99"/>
      <c r="T768" s="99"/>
      <c r="U768" s="3">
        <f t="shared" si="27"/>
        <v>27895.826180625918</v>
      </c>
      <c r="V768" s="100">
        <f>D.sign_Data[[#This Row],[TIEMPO (HORAS)]]*Gastos_Operativos[[#Totals],[GASTOS HORA]]</f>
        <v>27789.477072310401</v>
      </c>
      <c r="W768" s="3">
        <f>+D.sign_Data[[#This Row],[COSTO 
DIRECTO ($COP)]]+D.sign_Data[[#This Row],[PRORRATEO GASTOS ($COP)]]</f>
        <v>55685.303252936319</v>
      </c>
      <c r="X768" s="101">
        <v>0.1</v>
      </c>
      <c r="Y768" s="15">
        <f>+D.sign_Data[[#This Row],[COSTOS OPERACIONALES ($COP)]]*D.sign_Data[[#This Row],[DESFASE (%)]]</f>
        <v>5568.5303252936319</v>
      </c>
      <c r="Z768" s="101">
        <v>0.15</v>
      </c>
      <c r="AA768" s="15">
        <f>+((D.sign_Data[[#This Row],[COSTOS OPERACIONALES ($COP)]]/(100%-D.sign_Data[[#This Row],[UTILIDAD (%)]])))-D.sign_Data[[#This Row],[COSTOS OPERACIONALES ($COP)]]</f>
        <v>9826.8182211064122</v>
      </c>
      <c r="AB768" s="3">
        <f>+D.sign_Data[[#This Row],[COSTOS OPERACIONALES ($COP)]]+D.sign_Data[[#This Row],[DESFASE ($COP)]]+D.sign_Data[[#This Row],[UTILIDAD ($COP)]]</f>
        <v>71080.651799336367</v>
      </c>
      <c r="AC768" s="101">
        <v>0.05</v>
      </c>
      <c r="AD768" s="15">
        <f>+D.sign_Data[[#This Row],[VALOR NETO ($COP)]]/(100%-D.sign_Data[[#This Row],[MARGEN DE NEGOCIACIÓN (%)]])-D.sign_Data[[#This Row],[VALOR NETO ($COP)]]</f>
        <v>3741.0869368071872</v>
      </c>
      <c r="AE768" s="15">
        <f>+(D.sign_Data[[#This Row],[VALOR NETO ($COP)]]+D.sign_Data[[#This Row],[NEGOCIACIÓN ($COP)]])*1%</f>
        <v>748.2173873614355</v>
      </c>
      <c r="AF768" s="15">
        <f>+(D.sign_Data[[#This Row],[VALOR NETO ($COP)]]+D.sign_Data[[#This Row],[NEGOCIACIÓN ($COP)]])*1%</f>
        <v>748.2173873614355</v>
      </c>
      <c r="AG768" s="3">
        <f>+D.sign_Data[[#This Row],[VALOR NETO ($COP)]]+D.sign_Data[[#This Row],[NEGOCIACIÓN ($COP)]]+D.sign_Data[[#This Row],[ICA ($COP)]]+D.sign_Data[[#This Row],[4 * 1000 ($COP)]]</f>
        <v>76318.173510866429</v>
      </c>
    </row>
    <row r="769" spans="1:33" ht="60" hidden="1" customHeight="1" x14ac:dyDescent="0.25">
      <c r="A769" s="14"/>
      <c r="B769" s="87" t="s">
        <v>493</v>
      </c>
      <c r="C769" s="182" t="s">
        <v>917</v>
      </c>
      <c r="D769" s="189" t="str">
        <f>VLOOKUP(D.sign_Data[[#This Row],[CÓDIGO]],Descripciones[[CÓDIGO]:[NOMBRE DE SERVICIO]],3,FALSE)</f>
        <v>D2. Edificación en Altura</v>
      </c>
      <c r="E769" s="87" t="s">
        <v>497</v>
      </c>
      <c r="F769" s="88" t="s">
        <v>918</v>
      </c>
      <c r="G769" s="88" t="s">
        <v>597</v>
      </c>
      <c r="H769" s="104" t="s">
        <v>552</v>
      </c>
      <c r="I769" s="89">
        <v>1</v>
      </c>
      <c r="J769" s="88" t="s">
        <v>617</v>
      </c>
      <c r="K769" s="102"/>
      <c r="L769" s="88" t="s">
        <v>620</v>
      </c>
      <c r="M769" s="89" t="s">
        <v>381</v>
      </c>
      <c r="N769" s="90">
        <v>1</v>
      </c>
      <c r="O769" s="27">
        <f>IFERROR(+VLOOKUP(M769,D.sign_Lista_Data[[RESPONSABLE]:[SOFTWARE 
VALOR HORA]],3,FALSE),"0")</f>
        <v>20263.424518743668</v>
      </c>
      <c r="P769" s="3">
        <f t="shared" si="26"/>
        <v>20263.424518743668</v>
      </c>
      <c r="Q769" s="11">
        <f>IFERROR(+VLOOKUP(M769,D.sign_Lista_Data[[RESPONSABLE]:[SOFTWARE 
VALOR HORA]],5,FALSE)*D.sign_Data[[#This Row],[TIEMPO (HORAS)]],0)</f>
        <v>4221.5467747382636</v>
      </c>
      <c r="R769" s="11">
        <f>IFERROR(+VLOOKUP(M769,D.sign_Lista_Data[[RESPONSABLE]:[SOFTWARE 
VALOR HORA]],8,FALSE)*D.sign_Data[[#This Row],[TIEMPO (HORAS)]],0)</f>
        <v>3410.8548871439834</v>
      </c>
      <c r="S769" s="99"/>
      <c r="T769" s="99"/>
      <c r="U769" s="3">
        <f t="shared" si="27"/>
        <v>27895.826180625918</v>
      </c>
      <c r="V769" s="100">
        <f>D.sign_Data[[#This Row],[TIEMPO (HORAS)]]*Gastos_Operativos[[#Totals],[GASTOS HORA]]</f>
        <v>27789.477072310401</v>
      </c>
      <c r="W769" s="3">
        <f>+D.sign_Data[[#This Row],[COSTO 
DIRECTO ($COP)]]+D.sign_Data[[#This Row],[PRORRATEO GASTOS ($COP)]]</f>
        <v>55685.303252936319</v>
      </c>
      <c r="X769" s="101">
        <v>0.1</v>
      </c>
      <c r="Y769" s="15">
        <f>+D.sign_Data[[#This Row],[COSTOS OPERACIONALES ($COP)]]*D.sign_Data[[#This Row],[DESFASE (%)]]</f>
        <v>5568.5303252936319</v>
      </c>
      <c r="Z769" s="101">
        <v>0.15</v>
      </c>
      <c r="AA769" s="15">
        <f>+((D.sign_Data[[#This Row],[COSTOS OPERACIONALES ($COP)]]/(100%-D.sign_Data[[#This Row],[UTILIDAD (%)]])))-D.sign_Data[[#This Row],[COSTOS OPERACIONALES ($COP)]]</f>
        <v>9826.8182211064122</v>
      </c>
      <c r="AB769" s="3">
        <f>+D.sign_Data[[#This Row],[COSTOS OPERACIONALES ($COP)]]+D.sign_Data[[#This Row],[DESFASE ($COP)]]+D.sign_Data[[#This Row],[UTILIDAD ($COP)]]</f>
        <v>71080.651799336367</v>
      </c>
      <c r="AC769" s="101">
        <v>0.05</v>
      </c>
      <c r="AD769" s="15">
        <f>+D.sign_Data[[#This Row],[VALOR NETO ($COP)]]/(100%-D.sign_Data[[#This Row],[MARGEN DE NEGOCIACIÓN (%)]])-D.sign_Data[[#This Row],[VALOR NETO ($COP)]]</f>
        <v>3741.0869368071872</v>
      </c>
      <c r="AE769" s="15">
        <f>+(D.sign_Data[[#This Row],[VALOR NETO ($COP)]]+D.sign_Data[[#This Row],[NEGOCIACIÓN ($COP)]])*1%</f>
        <v>748.2173873614355</v>
      </c>
      <c r="AF769" s="15">
        <f>+(D.sign_Data[[#This Row],[VALOR NETO ($COP)]]+D.sign_Data[[#This Row],[NEGOCIACIÓN ($COP)]])*1%</f>
        <v>748.2173873614355</v>
      </c>
      <c r="AG769" s="3">
        <f>+D.sign_Data[[#This Row],[VALOR NETO ($COP)]]+D.sign_Data[[#This Row],[NEGOCIACIÓN ($COP)]]+D.sign_Data[[#This Row],[ICA ($COP)]]+D.sign_Data[[#This Row],[4 * 1000 ($COP)]]</f>
        <v>76318.173510866429</v>
      </c>
    </row>
    <row r="770" spans="1:33" ht="60" hidden="1" customHeight="1" x14ac:dyDescent="0.25">
      <c r="A770" s="14"/>
      <c r="B770" s="87" t="s">
        <v>493</v>
      </c>
      <c r="C770" s="182" t="s">
        <v>917</v>
      </c>
      <c r="D770" s="189" t="str">
        <f>VLOOKUP(D.sign_Data[[#This Row],[CÓDIGO]],Descripciones[[CÓDIGO]:[NOMBRE DE SERVICIO]],3,FALSE)</f>
        <v>D2. Edificación en Altura</v>
      </c>
      <c r="E770" s="87" t="s">
        <v>497</v>
      </c>
      <c r="F770" s="88" t="s">
        <v>918</v>
      </c>
      <c r="G770" s="88" t="s">
        <v>597</v>
      </c>
      <c r="H770" s="104" t="s">
        <v>552</v>
      </c>
      <c r="I770" s="89">
        <v>1</v>
      </c>
      <c r="J770" s="88" t="s">
        <v>617</v>
      </c>
      <c r="K770" s="102"/>
      <c r="L770" s="88" t="s">
        <v>621</v>
      </c>
      <c r="M770" s="89" t="s">
        <v>381</v>
      </c>
      <c r="N770" s="90">
        <v>1</v>
      </c>
      <c r="O770" s="27">
        <f>IFERROR(+VLOOKUP(M770,D.sign_Lista_Data[[RESPONSABLE]:[SOFTWARE 
VALOR HORA]],3,FALSE),"0")</f>
        <v>20263.424518743668</v>
      </c>
      <c r="P770" s="3">
        <f t="shared" si="26"/>
        <v>20263.424518743668</v>
      </c>
      <c r="Q770" s="11">
        <f>IFERROR(+VLOOKUP(M770,D.sign_Lista_Data[[RESPONSABLE]:[SOFTWARE 
VALOR HORA]],5,FALSE)*D.sign_Data[[#This Row],[TIEMPO (HORAS)]],0)</f>
        <v>4221.5467747382636</v>
      </c>
      <c r="R770" s="11">
        <f>IFERROR(+VLOOKUP(M770,D.sign_Lista_Data[[RESPONSABLE]:[SOFTWARE 
VALOR HORA]],8,FALSE)*D.sign_Data[[#This Row],[TIEMPO (HORAS)]],0)</f>
        <v>3410.8548871439834</v>
      </c>
      <c r="S770" s="99"/>
      <c r="T770" s="99"/>
      <c r="U770" s="3">
        <f t="shared" si="27"/>
        <v>27895.826180625918</v>
      </c>
      <c r="V770" s="100">
        <f>D.sign_Data[[#This Row],[TIEMPO (HORAS)]]*Gastos_Operativos[[#Totals],[GASTOS HORA]]</f>
        <v>27789.477072310401</v>
      </c>
      <c r="W770" s="3">
        <f>+D.sign_Data[[#This Row],[COSTO 
DIRECTO ($COP)]]+D.sign_Data[[#This Row],[PRORRATEO GASTOS ($COP)]]</f>
        <v>55685.303252936319</v>
      </c>
      <c r="X770" s="101">
        <v>0.1</v>
      </c>
      <c r="Y770" s="15">
        <f>+D.sign_Data[[#This Row],[COSTOS OPERACIONALES ($COP)]]*D.sign_Data[[#This Row],[DESFASE (%)]]</f>
        <v>5568.5303252936319</v>
      </c>
      <c r="Z770" s="101">
        <v>0.15</v>
      </c>
      <c r="AA770" s="15">
        <f>+((D.sign_Data[[#This Row],[COSTOS OPERACIONALES ($COP)]]/(100%-D.sign_Data[[#This Row],[UTILIDAD (%)]])))-D.sign_Data[[#This Row],[COSTOS OPERACIONALES ($COP)]]</f>
        <v>9826.8182211064122</v>
      </c>
      <c r="AB770" s="3">
        <f>+D.sign_Data[[#This Row],[COSTOS OPERACIONALES ($COP)]]+D.sign_Data[[#This Row],[DESFASE ($COP)]]+D.sign_Data[[#This Row],[UTILIDAD ($COP)]]</f>
        <v>71080.651799336367</v>
      </c>
      <c r="AC770" s="101">
        <v>0.05</v>
      </c>
      <c r="AD770" s="15">
        <f>+D.sign_Data[[#This Row],[VALOR NETO ($COP)]]/(100%-D.sign_Data[[#This Row],[MARGEN DE NEGOCIACIÓN (%)]])-D.sign_Data[[#This Row],[VALOR NETO ($COP)]]</f>
        <v>3741.0869368071872</v>
      </c>
      <c r="AE770" s="15">
        <f>+(D.sign_Data[[#This Row],[VALOR NETO ($COP)]]+D.sign_Data[[#This Row],[NEGOCIACIÓN ($COP)]])*1%</f>
        <v>748.2173873614355</v>
      </c>
      <c r="AF770" s="15">
        <f>+(D.sign_Data[[#This Row],[VALOR NETO ($COP)]]+D.sign_Data[[#This Row],[NEGOCIACIÓN ($COP)]])*1%</f>
        <v>748.2173873614355</v>
      </c>
      <c r="AG770" s="3">
        <f>+D.sign_Data[[#This Row],[VALOR NETO ($COP)]]+D.sign_Data[[#This Row],[NEGOCIACIÓN ($COP)]]+D.sign_Data[[#This Row],[ICA ($COP)]]+D.sign_Data[[#This Row],[4 * 1000 ($COP)]]</f>
        <v>76318.173510866429</v>
      </c>
    </row>
    <row r="771" spans="1:33" ht="60" hidden="1" customHeight="1" x14ac:dyDescent="0.25">
      <c r="A771" s="14"/>
      <c r="B771" s="87" t="s">
        <v>493</v>
      </c>
      <c r="C771" s="182" t="s">
        <v>917</v>
      </c>
      <c r="D771" s="189" t="str">
        <f>VLOOKUP(D.sign_Data[[#This Row],[CÓDIGO]],Descripciones[[CÓDIGO]:[NOMBRE DE SERVICIO]],3,FALSE)</f>
        <v>D2. Edificación en Altura</v>
      </c>
      <c r="E771" s="87" t="s">
        <v>497</v>
      </c>
      <c r="F771" s="88" t="s">
        <v>918</v>
      </c>
      <c r="G771" s="88" t="s">
        <v>597</v>
      </c>
      <c r="H771" s="104" t="s">
        <v>552</v>
      </c>
      <c r="I771" s="89">
        <v>1</v>
      </c>
      <c r="J771" s="88" t="s">
        <v>617</v>
      </c>
      <c r="K771" s="102"/>
      <c r="L771" s="88" t="s">
        <v>622</v>
      </c>
      <c r="M771" s="89" t="s">
        <v>381</v>
      </c>
      <c r="N771" s="90">
        <v>5</v>
      </c>
      <c r="O771" s="27">
        <f>IFERROR(+VLOOKUP(M771,D.sign_Lista_Data[[RESPONSABLE]:[SOFTWARE 
VALOR HORA]],3,FALSE),"0")</f>
        <v>20263.424518743668</v>
      </c>
      <c r="P771" s="3">
        <f t="shared" si="26"/>
        <v>101317.12259371835</v>
      </c>
      <c r="Q771" s="11">
        <f>IFERROR(+VLOOKUP(M771,D.sign_Lista_Data[[RESPONSABLE]:[SOFTWARE 
VALOR HORA]],5,FALSE)*D.sign_Data[[#This Row],[TIEMPO (HORAS)]],0)</f>
        <v>21107.733873691319</v>
      </c>
      <c r="R771" s="11">
        <f>IFERROR(+VLOOKUP(M771,D.sign_Lista_Data[[RESPONSABLE]:[SOFTWARE 
VALOR HORA]],8,FALSE)*D.sign_Data[[#This Row],[TIEMPO (HORAS)]],0)</f>
        <v>17054.274435719919</v>
      </c>
      <c r="S771" s="99"/>
      <c r="T771" s="99"/>
      <c r="U771" s="3">
        <f t="shared" si="27"/>
        <v>139479.13090312958</v>
      </c>
      <c r="V771" s="100">
        <f>D.sign_Data[[#This Row],[TIEMPO (HORAS)]]*Gastos_Operativos[[#Totals],[GASTOS HORA]]</f>
        <v>138947.38536155201</v>
      </c>
      <c r="W771" s="3">
        <f>+D.sign_Data[[#This Row],[COSTO 
DIRECTO ($COP)]]+D.sign_Data[[#This Row],[PRORRATEO GASTOS ($COP)]]</f>
        <v>278426.51626468159</v>
      </c>
      <c r="X771" s="101">
        <v>0.1</v>
      </c>
      <c r="Y771" s="15">
        <f>+D.sign_Data[[#This Row],[COSTOS OPERACIONALES ($COP)]]*D.sign_Data[[#This Row],[DESFASE (%)]]</f>
        <v>27842.65162646816</v>
      </c>
      <c r="Z771" s="101">
        <v>0.15</v>
      </c>
      <c r="AA771" s="15">
        <f>+((D.sign_Data[[#This Row],[COSTOS OPERACIONALES ($COP)]]/(100%-D.sign_Data[[#This Row],[UTILIDAD (%)]])))-D.sign_Data[[#This Row],[COSTOS OPERACIONALES ($COP)]]</f>
        <v>49134.091105532076</v>
      </c>
      <c r="AB771" s="3">
        <f>+D.sign_Data[[#This Row],[COSTOS OPERACIONALES ($COP)]]+D.sign_Data[[#This Row],[DESFASE ($COP)]]+D.sign_Data[[#This Row],[UTILIDAD ($COP)]]</f>
        <v>355403.25899668183</v>
      </c>
      <c r="AC771" s="101">
        <v>0.05</v>
      </c>
      <c r="AD771" s="15">
        <f>+D.sign_Data[[#This Row],[VALOR NETO ($COP)]]/(100%-D.sign_Data[[#This Row],[MARGEN DE NEGOCIACIÓN (%)]])-D.sign_Data[[#This Row],[VALOR NETO ($COP)]]</f>
        <v>18705.434684035892</v>
      </c>
      <c r="AE771" s="15">
        <f>+(D.sign_Data[[#This Row],[VALOR NETO ($COP)]]+D.sign_Data[[#This Row],[NEGOCIACIÓN ($COP)]])*1%</f>
        <v>3741.0869368071772</v>
      </c>
      <c r="AF771" s="15">
        <f>+(D.sign_Data[[#This Row],[VALOR NETO ($COP)]]+D.sign_Data[[#This Row],[NEGOCIACIÓN ($COP)]])*1%</f>
        <v>3741.0869368071772</v>
      </c>
      <c r="AG771" s="3">
        <f>+D.sign_Data[[#This Row],[VALOR NETO ($COP)]]+D.sign_Data[[#This Row],[NEGOCIACIÓN ($COP)]]+D.sign_Data[[#This Row],[ICA ($COP)]]+D.sign_Data[[#This Row],[4 * 1000 ($COP)]]</f>
        <v>381590.86755433213</v>
      </c>
    </row>
    <row r="772" spans="1:33" ht="60" hidden="1" customHeight="1" x14ac:dyDescent="0.25">
      <c r="A772" s="14"/>
      <c r="B772" s="87" t="s">
        <v>493</v>
      </c>
      <c r="C772" s="182" t="s">
        <v>917</v>
      </c>
      <c r="D772" s="189" t="str">
        <f>VLOOKUP(D.sign_Data[[#This Row],[CÓDIGO]],Descripciones[[CÓDIGO]:[NOMBRE DE SERVICIO]],3,FALSE)</f>
        <v>D2. Edificación en Altura</v>
      </c>
      <c r="E772" s="87" t="s">
        <v>497</v>
      </c>
      <c r="F772" s="88" t="s">
        <v>918</v>
      </c>
      <c r="G772" s="88" t="s">
        <v>597</v>
      </c>
      <c r="H772" s="104" t="s">
        <v>552</v>
      </c>
      <c r="I772" s="89">
        <v>1</v>
      </c>
      <c r="J772" s="88" t="s">
        <v>617</v>
      </c>
      <c r="K772" s="102"/>
      <c r="L772" s="88" t="s">
        <v>623</v>
      </c>
      <c r="M772" s="89" t="s">
        <v>381</v>
      </c>
      <c r="N772" s="90">
        <v>5</v>
      </c>
      <c r="O772" s="27">
        <f>IFERROR(+VLOOKUP(M772,D.sign_Lista_Data[[RESPONSABLE]:[SOFTWARE 
VALOR HORA]],3,FALSE),"0")</f>
        <v>20263.424518743668</v>
      </c>
      <c r="P772" s="3">
        <f t="shared" si="26"/>
        <v>101317.12259371835</v>
      </c>
      <c r="Q772" s="11">
        <f>IFERROR(+VLOOKUP(M772,D.sign_Lista_Data[[RESPONSABLE]:[SOFTWARE 
VALOR HORA]],5,FALSE)*D.sign_Data[[#This Row],[TIEMPO (HORAS)]],0)</f>
        <v>21107.733873691319</v>
      </c>
      <c r="R772" s="11">
        <f>IFERROR(+VLOOKUP(M772,D.sign_Lista_Data[[RESPONSABLE]:[SOFTWARE 
VALOR HORA]],8,FALSE)*D.sign_Data[[#This Row],[TIEMPO (HORAS)]],0)</f>
        <v>17054.274435719919</v>
      </c>
      <c r="S772" s="99"/>
      <c r="T772" s="99"/>
      <c r="U772" s="3">
        <f t="shared" si="27"/>
        <v>139479.13090312958</v>
      </c>
      <c r="V772" s="100">
        <f>D.sign_Data[[#This Row],[TIEMPO (HORAS)]]*Gastos_Operativos[[#Totals],[GASTOS HORA]]</f>
        <v>138947.38536155201</v>
      </c>
      <c r="W772" s="3">
        <f>+D.sign_Data[[#This Row],[COSTO 
DIRECTO ($COP)]]+D.sign_Data[[#This Row],[PRORRATEO GASTOS ($COP)]]</f>
        <v>278426.51626468159</v>
      </c>
      <c r="X772" s="101">
        <v>0.1</v>
      </c>
      <c r="Y772" s="15">
        <f>+D.sign_Data[[#This Row],[COSTOS OPERACIONALES ($COP)]]*D.sign_Data[[#This Row],[DESFASE (%)]]</f>
        <v>27842.65162646816</v>
      </c>
      <c r="Z772" s="101">
        <v>0.15</v>
      </c>
      <c r="AA772" s="15">
        <f>+((D.sign_Data[[#This Row],[COSTOS OPERACIONALES ($COP)]]/(100%-D.sign_Data[[#This Row],[UTILIDAD (%)]])))-D.sign_Data[[#This Row],[COSTOS OPERACIONALES ($COP)]]</f>
        <v>49134.091105532076</v>
      </c>
      <c r="AB772" s="3">
        <f>+D.sign_Data[[#This Row],[COSTOS OPERACIONALES ($COP)]]+D.sign_Data[[#This Row],[DESFASE ($COP)]]+D.sign_Data[[#This Row],[UTILIDAD ($COP)]]</f>
        <v>355403.25899668183</v>
      </c>
      <c r="AC772" s="101">
        <v>0.05</v>
      </c>
      <c r="AD772" s="15">
        <f>+D.sign_Data[[#This Row],[VALOR NETO ($COP)]]/(100%-D.sign_Data[[#This Row],[MARGEN DE NEGOCIACIÓN (%)]])-D.sign_Data[[#This Row],[VALOR NETO ($COP)]]</f>
        <v>18705.434684035892</v>
      </c>
      <c r="AE772" s="15">
        <f>+(D.sign_Data[[#This Row],[VALOR NETO ($COP)]]+D.sign_Data[[#This Row],[NEGOCIACIÓN ($COP)]])*1%</f>
        <v>3741.0869368071772</v>
      </c>
      <c r="AF772" s="15">
        <f>+(D.sign_Data[[#This Row],[VALOR NETO ($COP)]]+D.sign_Data[[#This Row],[NEGOCIACIÓN ($COP)]])*1%</f>
        <v>3741.0869368071772</v>
      </c>
      <c r="AG772" s="3">
        <f>+D.sign_Data[[#This Row],[VALOR NETO ($COP)]]+D.sign_Data[[#This Row],[NEGOCIACIÓN ($COP)]]+D.sign_Data[[#This Row],[ICA ($COP)]]+D.sign_Data[[#This Row],[4 * 1000 ($COP)]]</f>
        <v>381590.86755433213</v>
      </c>
    </row>
    <row r="773" spans="1:33" ht="60" hidden="1" customHeight="1" x14ac:dyDescent="0.25">
      <c r="A773" s="14"/>
      <c r="B773" s="87" t="s">
        <v>493</v>
      </c>
      <c r="C773" s="182" t="s">
        <v>917</v>
      </c>
      <c r="D773" s="189" t="str">
        <f>VLOOKUP(D.sign_Data[[#This Row],[CÓDIGO]],Descripciones[[CÓDIGO]:[NOMBRE DE SERVICIO]],3,FALSE)</f>
        <v>D2. Edificación en Altura</v>
      </c>
      <c r="E773" s="87" t="s">
        <v>497</v>
      </c>
      <c r="F773" s="88" t="s">
        <v>918</v>
      </c>
      <c r="G773" s="88" t="s">
        <v>597</v>
      </c>
      <c r="H773" s="104" t="s">
        <v>552</v>
      </c>
      <c r="I773" s="89">
        <v>1</v>
      </c>
      <c r="J773" s="88" t="s">
        <v>617</v>
      </c>
      <c r="K773" s="102"/>
      <c r="L773" s="88" t="s">
        <v>483</v>
      </c>
      <c r="M773" s="89" t="s">
        <v>381</v>
      </c>
      <c r="N773" s="90">
        <v>1.5</v>
      </c>
      <c r="O773" s="27">
        <f>IFERROR(+VLOOKUP(M773,D.sign_Lista_Data[[RESPONSABLE]:[SOFTWARE 
VALOR HORA]],3,FALSE),"0")</f>
        <v>20263.424518743668</v>
      </c>
      <c r="P773" s="3">
        <f t="shared" si="26"/>
        <v>30395.136778115502</v>
      </c>
      <c r="Q773" s="11">
        <f>IFERROR(+VLOOKUP(M773,D.sign_Lista_Data[[RESPONSABLE]:[SOFTWARE 
VALOR HORA]],5,FALSE)*D.sign_Data[[#This Row],[TIEMPO (HORAS)]],0)</f>
        <v>6332.3201621073949</v>
      </c>
      <c r="R773" s="11">
        <f>IFERROR(+VLOOKUP(M773,D.sign_Lista_Data[[RESPONSABLE]:[SOFTWARE 
VALOR HORA]],8,FALSE)*D.sign_Data[[#This Row],[TIEMPO (HORAS)]],0)</f>
        <v>5116.2823307159751</v>
      </c>
      <c r="S773" s="99"/>
      <c r="T773" s="99"/>
      <c r="U773" s="3">
        <f t="shared" si="27"/>
        <v>41843.739270938873</v>
      </c>
      <c r="V773" s="100">
        <f>D.sign_Data[[#This Row],[TIEMPO (HORAS)]]*Gastos_Operativos[[#Totals],[GASTOS HORA]]</f>
        <v>41684.215608465602</v>
      </c>
      <c r="W773" s="3">
        <f>+D.sign_Data[[#This Row],[COSTO 
DIRECTO ($COP)]]+D.sign_Data[[#This Row],[PRORRATEO GASTOS ($COP)]]</f>
        <v>83527.954879404482</v>
      </c>
      <c r="X773" s="101">
        <v>0.1</v>
      </c>
      <c r="Y773" s="15">
        <f>+D.sign_Data[[#This Row],[COSTOS OPERACIONALES ($COP)]]*D.sign_Data[[#This Row],[DESFASE (%)]]</f>
        <v>8352.7954879404479</v>
      </c>
      <c r="Z773" s="101">
        <v>0.15</v>
      </c>
      <c r="AA773" s="15">
        <f>+((D.sign_Data[[#This Row],[COSTOS OPERACIONALES ($COP)]]/(100%-D.sign_Data[[#This Row],[UTILIDAD (%)]])))-D.sign_Data[[#This Row],[COSTOS OPERACIONALES ($COP)]]</f>
        <v>14740.227331659611</v>
      </c>
      <c r="AB773" s="3">
        <f>+D.sign_Data[[#This Row],[COSTOS OPERACIONALES ($COP)]]+D.sign_Data[[#This Row],[DESFASE ($COP)]]+D.sign_Data[[#This Row],[UTILIDAD ($COP)]]</f>
        <v>106620.97769900454</v>
      </c>
      <c r="AC773" s="101">
        <v>0.05</v>
      </c>
      <c r="AD773" s="15">
        <f>+D.sign_Data[[#This Row],[VALOR NETO ($COP)]]/(100%-D.sign_Data[[#This Row],[MARGEN DE NEGOCIACIÓN (%)]])-D.sign_Data[[#This Row],[VALOR NETO ($COP)]]</f>
        <v>5611.6304052107735</v>
      </c>
      <c r="AE773" s="15">
        <f>+(D.sign_Data[[#This Row],[VALOR NETO ($COP)]]+D.sign_Data[[#This Row],[NEGOCIACIÓN ($COP)]])*1%</f>
        <v>1122.3260810421532</v>
      </c>
      <c r="AF773" s="15">
        <f>+(D.sign_Data[[#This Row],[VALOR NETO ($COP)]]+D.sign_Data[[#This Row],[NEGOCIACIÓN ($COP)]])*1%</f>
        <v>1122.3260810421532</v>
      </c>
      <c r="AG773" s="3">
        <f>+D.sign_Data[[#This Row],[VALOR NETO ($COP)]]+D.sign_Data[[#This Row],[NEGOCIACIÓN ($COP)]]+D.sign_Data[[#This Row],[ICA ($COP)]]+D.sign_Data[[#This Row],[4 * 1000 ($COP)]]</f>
        <v>114477.26026629961</v>
      </c>
    </row>
    <row r="774" spans="1:33" ht="60" hidden="1" customHeight="1" x14ac:dyDescent="0.25">
      <c r="A774" s="14"/>
      <c r="B774" s="87" t="s">
        <v>493</v>
      </c>
      <c r="C774" s="182" t="s">
        <v>917</v>
      </c>
      <c r="D774" s="189" t="str">
        <f>VLOOKUP(D.sign_Data[[#This Row],[CÓDIGO]],Descripciones[[CÓDIGO]:[NOMBRE DE SERVICIO]],3,FALSE)</f>
        <v>D2. Edificación en Altura</v>
      </c>
      <c r="E774" s="87" t="s">
        <v>497</v>
      </c>
      <c r="F774" s="88" t="s">
        <v>918</v>
      </c>
      <c r="G774" s="88" t="s">
        <v>597</v>
      </c>
      <c r="H774" s="104" t="s">
        <v>552</v>
      </c>
      <c r="I774" s="89">
        <v>1</v>
      </c>
      <c r="J774" s="88" t="s">
        <v>617</v>
      </c>
      <c r="K774" s="102"/>
      <c r="L774" s="88" t="s">
        <v>624</v>
      </c>
      <c r="M774" s="89" t="s">
        <v>381</v>
      </c>
      <c r="N774" s="90">
        <v>1</v>
      </c>
      <c r="O774" s="27">
        <f>IFERROR(+VLOOKUP(M774,D.sign_Lista_Data[[RESPONSABLE]:[SOFTWARE 
VALOR HORA]],3,FALSE),"0")</f>
        <v>20263.424518743668</v>
      </c>
      <c r="P774" s="3">
        <f t="shared" si="26"/>
        <v>20263.424518743668</v>
      </c>
      <c r="Q774" s="11">
        <f>IFERROR(+VLOOKUP(M774,D.sign_Lista_Data[[RESPONSABLE]:[SOFTWARE 
VALOR HORA]],5,FALSE)*D.sign_Data[[#This Row],[TIEMPO (HORAS)]],0)</f>
        <v>4221.5467747382636</v>
      </c>
      <c r="R774" s="11">
        <f>IFERROR(+VLOOKUP(M774,D.sign_Lista_Data[[RESPONSABLE]:[SOFTWARE 
VALOR HORA]],8,FALSE)*D.sign_Data[[#This Row],[TIEMPO (HORAS)]],0)</f>
        <v>3410.8548871439834</v>
      </c>
      <c r="S774" s="99"/>
      <c r="T774" s="99"/>
      <c r="U774" s="3">
        <f t="shared" si="27"/>
        <v>27895.826180625918</v>
      </c>
      <c r="V774" s="100">
        <f>D.sign_Data[[#This Row],[TIEMPO (HORAS)]]*Gastos_Operativos[[#Totals],[GASTOS HORA]]</f>
        <v>27789.477072310401</v>
      </c>
      <c r="W774" s="3">
        <f>+D.sign_Data[[#This Row],[COSTO 
DIRECTO ($COP)]]+D.sign_Data[[#This Row],[PRORRATEO GASTOS ($COP)]]</f>
        <v>55685.303252936319</v>
      </c>
      <c r="X774" s="101">
        <v>0.1</v>
      </c>
      <c r="Y774" s="15">
        <f>+D.sign_Data[[#This Row],[COSTOS OPERACIONALES ($COP)]]*D.sign_Data[[#This Row],[DESFASE (%)]]</f>
        <v>5568.5303252936319</v>
      </c>
      <c r="Z774" s="101">
        <v>0.15</v>
      </c>
      <c r="AA774" s="15">
        <f>+((D.sign_Data[[#This Row],[COSTOS OPERACIONALES ($COP)]]/(100%-D.sign_Data[[#This Row],[UTILIDAD (%)]])))-D.sign_Data[[#This Row],[COSTOS OPERACIONALES ($COP)]]</f>
        <v>9826.8182211064122</v>
      </c>
      <c r="AB774" s="3">
        <f>+D.sign_Data[[#This Row],[COSTOS OPERACIONALES ($COP)]]+D.sign_Data[[#This Row],[DESFASE ($COP)]]+D.sign_Data[[#This Row],[UTILIDAD ($COP)]]</f>
        <v>71080.651799336367</v>
      </c>
      <c r="AC774" s="101">
        <v>0.05</v>
      </c>
      <c r="AD774" s="15">
        <f>+D.sign_Data[[#This Row],[VALOR NETO ($COP)]]/(100%-D.sign_Data[[#This Row],[MARGEN DE NEGOCIACIÓN (%)]])-D.sign_Data[[#This Row],[VALOR NETO ($COP)]]</f>
        <v>3741.0869368071872</v>
      </c>
      <c r="AE774" s="15">
        <f>+(D.sign_Data[[#This Row],[VALOR NETO ($COP)]]+D.sign_Data[[#This Row],[NEGOCIACIÓN ($COP)]])*1%</f>
        <v>748.2173873614355</v>
      </c>
      <c r="AF774" s="15">
        <f>+(D.sign_Data[[#This Row],[VALOR NETO ($COP)]]+D.sign_Data[[#This Row],[NEGOCIACIÓN ($COP)]])*1%</f>
        <v>748.2173873614355</v>
      </c>
      <c r="AG774" s="3">
        <f>+D.sign_Data[[#This Row],[VALOR NETO ($COP)]]+D.sign_Data[[#This Row],[NEGOCIACIÓN ($COP)]]+D.sign_Data[[#This Row],[ICA ($COP)]]+D.sign_Data[[#This Row],[4 * 1000 ($COP)]]</f>
        <v>76318.173510866429</v>
      </c>
    </row>
    <row r="775" spans="1:33" ht="60" hidden="1" customHeight="1" x14ac:dyDescent="0.25">
      <c r="A775" s="14"/>
      <c r="B775" s="87" t="s">
        <v>493</v>
      </c>
      <c r="C775" s="182" t="s">
        <v>917</v>
      </c>
      <c r="D775" s="189" t="str">
        <f>VLOOKUP(D.sign_Data[[#This Row],[CÓDIGO]],Descripciones[[CÓDIGO]:[NOMBRE DE SERVICIO]],3,FALSE)</f>
        <v>D2. Edificación en Altura</v>
      </c>
      <c r="E775" s="87" t="s">
        <v>497</v>
      </c>
      <c r="F775" s="88" t="s">
        <v>918</v>
      </c>
      <c r="G775" s="88" t="s">
        <v>597</v>
      </c>
      <c r="H775" s="104" t="s">
        <v>552</v>
      </c>
      <c r="I775" s="89">
        <v>1</v>
      </c>
      <c r="J775" s="88" t="s">
        <v>617</v>
      </c>
      <c r="K775" s="102"/>
      <c r="L775" s="88" t="s">
        <v>579</v>
      </c>
      <c r="M775" s="89" t="s">
        <v>381</v>
      </c>
      <c r="N775" s="90">
        <v>1</v>
      </c>
      <c r="O775" s="27">
        <f>IFERROR(+VLOOKUP(M775,D.sign_Lista_Data[[RESPONSABLE]:[SOFTWARE 
VALOR HORA]],3,FALSE),"0")</f>
        <v>20263.424518743668</v>
      </c>
      <c r="P775" s="3">
        <f t="shared" si="26"/>
        <v>20263.424518743668</v>
      </c>
      <c r="Q775" s="11">
        <f>IFERROR(+VLOOKUP(M775,D.sign_Lista_Data[[RESPONSABLE]:[SOFTWARE 
VALOR HORA]],5,FALSE)*D.sign_Data[[#This Row],[TIEMPO (HORAS)]],0)</f>
        <v>4221.5467747382636</v>
      </c>
      <c r="R775" s="11">
        <f>IFERROR(+VLOOKUP(M775,D.sign_Lista_Data[[RESPONSABLE]:[SOFTWARE 
VALOR HORA]],8,FALSE)*D.sign_Data[[#This Row],[TIEMPO (HORAS)]],0)</f>
        <v>3410.8548871439834</v>
      </c>
      <c r="S775" s="99"/>
      <c r="T775" s="99"/>
      <c r="U775" s="3">
        <f t="shared" si="27"/>
        <v>27895.826180625918</v>
      </c>
      <c r="V775" s="100">
        <f>D.sign_Data[[#This Row],[TIEMPO (HORAS)]]*Gastos_Operativos[[#Totals],[GASTOS HORA]]</f>
        <v>27789.477072310401</v>
      </c>
      <c r="W775" s="3">
        <f>+D.sign_Data[[#This Row],[COSTO 
DIRECTO ($COP)]]+D.sign_Data[[#This Row],[PRORRATEO GASTOS ($COP)]]</f>
        <v>55685.303252936319</v>
      </c>
      <c r="X775" s="101">
        <v>0.1</v>
      </c>
      <c r="Y775" s="15">
        <f>+D.sign_Data[[#This Row],[COSTOS OPERACIONALES ($COP)]]*D.sign_Data[[#This Row],[DESFASE (%)]]</f>
        <v>5568.5303252936319</v>
      </c>
      <c r="Z775" s="101">
        <v>0.15</v>
      </c>
      <c r="AA775" s="15">
        <f>+((D.sign_Data[[#This Row],[COSTOS OPERACIONALES ($COP)]]/(100%-D.sign_Data[[#This Row],[UTILIDAD (%)]])))-D.sign_Data[[#This Row],[COSTOS OPERACIONALES ($COP)]]</f>
        <v>9826.8182211064122</v>
      </c>
      <c r="AB775" s="3">
        <f>+D.sign_Data[[#This Row],[COSTOS OPERACIONALES ($COP)]]+D.sign_Data[[#This Row],[DESFASE ($COP)]]+D.sign_Data[[#This Row],[UTILIDAD ($COP)]]</f>
        <v>71080.651799336367</v>
      </c>
      <c r="AC775" s="101">
        <v>0.05</v>
      </c>
      <c r="AD775" s="15">
        <f>+D.sign_Data[[#This Row],[VALOR NETO ($COP)]]/(100%-D.sign_Data[[#This Row],[MARGEN DE NEGOCIACIÓN (%)]])-D.sign_Data[[#This Row],[VALOR NETO ($COP)]]</f>
        <v>3741.0869368071872</v>
      </c>
      <c r="AE775" s="15">
        <f>+(D.sign_Data[[#This Row],[VALOR NETO ($COP)]]+D.sign_Data[[#This Row],[NEGOCIACIÓN ($COP)]])*1%</f>
        <v>748.2173873614355</v>
      </c>
      <c r="AF775" s="15">
        <f>+(D.sign_Data[[#This Row],[VALOR NETO ($COP)]]+D.sign_Data[[#This Row],[NEGOCIACIÓN ($COP)]])*1%</f>
        <v>748.2173873614355</v>
      </c>
      <c r="AG775" s="3">
        <f>+D.sign_Data[[#This Row],[VALOR NETO ($COP)]]+D.sign_Data[[#This Row],[NEGOCIACIÓN ($COP)]]+D.sign_Data[[#This Row],[ICA ($COP)]]+D.sign_Data[[#This Row],[4 * 1000 ($COP)]]</f>
        <v>76318.173510866429</v>
      </c>
    </row>
    <row r="776" spans="1:33" ht="60" hidden="1" customHeight="1" x14ac:dyDescent="0.25">
      <c r="A776" s="14"/>
      <c r="B776" s="87" t="s">
        <v>493</v>
      </c>
      <c r="C776" s="182" t="s">
        <v>917</v>
      </c>
      <c r="D776" s="189" t="str">
        <f>VLOOKUP(D.sign_Data[[#This Row],[CÓDIGO]],Descripciones[[CÓDIGO]:[NOMBRE DE SERVICIO]],3,FALSE)</f>
        <v>D2. Edificación en Altura</v>
      </c>
      <c r="E776" s="87" t="s">
        <v>497</v>
      </c>
      <c r="F776" s="88" t="s">
        <v>918</v>
      </c>
      <c r="G776" s="88" t="s">
        <v>597</v>
      </c>
      <c r="H776" s="104" t="s">
        <v>552</v>
      </c>
      <c r="I776" s="89">
        <v>1</v>
      </c>
      <c r="J776" s="88" t="s">
        <v>617</v>
      </c>
      <c r="K776" s="102"/>
      <c r="L776" s="88" t="s">
        <v>625</v>
      </c>
      <c r="M776" s="89" t="s">
        <v>381</v>
      </c>
      <c r="N776" s="90">
        <v>1</v>
      </c>
      <c r="O776" s="27">
        <f>IFERROR(+VLOOKUP(M776,D.sign_Lista_Data[[RESPONSABLE]:[SOFTWARE 
VALOR HORA]],3,FALSE),"0")</f>
        <v>20263.424518743668</v>
      </c>
      <c r="P776" s="3">
        <f t="shared" si="26"/>
        <v>20263.424518743668</v>
      </c>
      <c r="Q776" s="11">
        <f>IFERROR(+VLOOKUP(M776,D.sign_Lista_Data[[RESPONSABLE]:[SOFTWARE 
VALOR HORA]],5,FALSE)*D.sign_Data[[#This Row],[TIEMPO (HORAS)]],0)</f>
        <v>4221.5467747382636</v>
      </c>
      <c r="R776" s="11">
        <f>IFERROR(+VLOOKUP(M776,D.sign_Lista_Data[[RESPONSABLE]:[SOFTWARE 
VALOR HORA]],8,FALSE)*D.sign_Data[[#This Row],[TIEMPO (HORAS)]],0)</f>
        <v>3410.8548871439834</v>
      </c>
      <c r="S776" s="99"/>
      <c r="T776" s="99"/>
      <c r="U776" s="3">
        <f t="shared" si="27"/>
        <v>27895.826180625918</v>
      </c>
      <c r="V776" s="100">
        <f>D.sign_Data[[#This Row],[TIEMPO (HORAS)]]*Gastos_Operativos[[#Totals],[GASTOS HORA]]</f>
        <v>27789.477072310401</v>
      </c>
      <c r="W776" s="3">
        <f>+D.sign_Data[[#This Row],[COSTO 
DIRECTO ($COP)]]+D.sign_Data[[#This Row],[PRORRATEO GASTOS ($COP)]]</f>
        <v>55685.303252936319</v>
      </c>
      <c r="X776" s="101">
        <v>0.1</v>
      </c>
      <c r="Y776" s="15">
        <f>+D.sign_Data[[#This Row],[COSTOS OPERACIONALES ($COP)]]*D.sign_Data[[#This Row],[DESFASE (%)]]</f>
        <v>5568.5303252936319</v>
      </c>
      <c r="Z776" s="101">
        <v>0.15</v>
      </c>
      <c r="AA776" s="15">
        <f>+((D.sign_Data[[#This Row],[COSTOS OPERACIONALES ($COP)]]/(100%-D.sign_Data[[#This Row],[UTILIDAD (%)]])))-D.sign_Data[[#This Row],[COSTOS OPERACIONALES ($COP)]]</f>
        <v>9826.8182211064122</v>
      </c>
      <c r="AB776" s="3">
        <f>+D.sign_Data[[#This Row],[COSTOS OPERACIONALES ($COP)]]+D.sign_Data[[#This Row],[DESFASE ($COP)]]+D.sign_Data[[#This Row],[UTILIDAD ($COP)]]</f>
        <v>71080.651799336367</v>
      </c>
      <c r="AC776" s="101">
        <v>0.05</v>
      </c>
      <c r="AD776" s="15">
        <f>+D.sign_Data[[#This Row],[VALOR NETO ($COP)]]/(100%-D.sign_Data[[#This Row],[MARGEN DE NEGOCIACIÓN (%)]])-D.sign_Data[[#This Row],[VALOR NETO ($COP)]]</f>
        <v>3741.0869368071872</v>
      </c>
      <c r="AE776" s="15">
        <f>+(D.sign_Data[[#This Row],[VALOR NETO ($COP)]]+D.sign_Data[[#This Row],[NEGOCIACIÓN ($COP)]])*1%</f>
        <v>748.2173873614355</v>
      </c>
      <c r="AF776" s="15">
        <f>+(D.sign_Data[[#This Row],[VALOR NETO ($COP)]]+D.sign_Data[[#This Row],[NEGOCIACIÓN ($COP)]])*1%</f>
        <v>748.2173873614355</v>
      </c>
      <c r="AG776" s="3">
        <f>+D.sign_Data[[#This Row],[VALOR NETO ($COP)]]+D.sign_Data[[#This Row],[NEGOCIACIÓN ($COP)]]+D.sign_Data[[#This Row],[ICA ($COP)]]+D.sign_Data[[#This Row],[4 * 1000 ($COP)]]</f>
        <v>76318.173510866429</v>
      </c>
    </row>
    <row r="777" spans="1:33" ht="60" hidden="1" customHeight="1" x14ac:dyDescent="0.25">
      <c r="A777" s="14"/>
      <c r="B777" s="87" t="s">
        <v>493</v>
      </c>
      <c r="C777" s="182" t="s">
        <v>917</v>
      </c>
      <c r="D777" s="189" t="str">
        <f>VLOOKUP(D.sign_Data[[#This Row],[CÓDIGO]],Descripciones[[CÓDIGO]:[NOMBRE DE SERVICIO]],3,FALSE)</f>
        <v>D2. Edificación en Altura</v>
      </c>
      <c r="E777" s="87" t="s">
        <v>497</v>
      </c>
      <c r="F777" s="88" t="s">
        <v>918</v>
      </c>
      <c r="G777" s="88" t="s">
        <v>597</v>
      </c>
      <c r="H777" s="104" t="s">
        <v>552</v>
      </c>
      <c r="I777" s="89">
        <v>1</v>
      </c>
      <c r="J777" s="88" t="s">
        <v>617</v>
      </c>
      <c r="K777" s="102"/>
      <c r="L777" s="88" t="s">
        <v>572</v>
      </c>
      <c r="M777" s="89" t="s">
        <v>381</v>
      </c>
      <c r="N777" s="90">
        <v>0.1</v>
      </c>
      <c r="O777" s="27">
        <f>IFERROR(+VLOOKUP(M777,D.sign_Lista_Data[[RESPONSABLE]:[SOFTWARE 
VALOR HORA]],3,FALSE),"0")</f>
        <v>20263.424518743668</v>
      </c>
      <c r="P777" s="3">
        <f t="shared" si="26"/>
        <v>2026.3424518743668</v>
      </c>
      <c r="Q777" s="11">
        <f>IFERROR(+VLOOKUP(M777,D.sign_Lista_Data[[RESPONSABLE]:[SOFTWARE 
VALOR HORA]],5,FALSE)*D.sign_Data[[#This Row],[TIEMPO (HORAS)]],0)</f>
        <v>422.15467747382638</v>
      </c>
      <c r="R777" s="11">
        <f>IFERROR(+VLOOKUP(M777,D.sign_Lista_Data[[RESPONSABLE]:[SOFTWARE 
VALOR HORA]],8,FALSE)*D.sign_Data[[#This Row],[TIEMPO (HORAS)]],0)</f>
        <v>341.08548871439837</v>
      </c>
      <c r="S777" s="99"/>
      <c r="T777" s="99"/>
      <c r="U777" s="3">
        <f t="shared" si="27"/>
        <v>2789.5826180625913</v>
      </c>
      <c r="V777" s="100">
        <f>D.sign_Data[[#This Row],[TIEMPO (HORAS)]]*Gastos_Operativos[[#Totals],[GASTOS HORA]]</f>
        <v>2778.9477072310401</v>
      </c>
      <c r="W777" s="3">
        <f>+D.sign_Data[[#This Row],[COSTO 
DIRECTO ($COP)]]+D.sign_Data[[#This Row],[PRORRATEO GASTOS ($COP)]]</f>
        <v>5568.5303252936319</v>
      </c>
      <c r="X777" s="101">
        <v>0.1</v>
      </c>
      <c r="Y777" s="15">
        <f>+D.sign_Data[[#This Row],[COSTOS OPERACIONALES ($COP)]]*D.sign_Data[[#This Row],[DESFASE (%)]]</f>
        <v>556.85303252936319</v>
      </c>
      <c r="Z777" s="101">
        <v>0.15</v>
      </c>
      <c r="AA777" s="15">
        <f>+((D.sign_Data[[#This Row],[COSTOS OPERACIONALES ($COP)]]/(100%-D.sign_Data[[#This Row],[UTILIDAD (%)]])))-D.sign_Data[[#This Row],[COSTOS OPERACIONALES ($COP)]]</f>
        <v>982.68182211064141</v>
      </c>
      <c r="AB777" s="3">
        <f>+D.sign_Data[[#This Row],[COSTOS OPERACIONALES ($COP)]]+D.sign_Data[[#This Row],[DESFASE ($COP)]]+D.sign_Data[[#This Row],[UTILIDAD ($COP)]]</f>
        <v>7108.0651799336365</v>
      </c>
      <c r="AC777" s="101">
        <v>0.05</v>
      </c>
      <c r="AD777" s="15">
        <f>+D.sign_Data[[#This Row],[VALOR NETO ($COP)]]/(100%-D.sign_Data[[#This Row],[MARGEN DE NEGOCIACIÓN (%)]])-D.sign_Data[[#This Row],[VALOR NETO ($COP)]]</f>
        <v>374.10869368071781</v>
      </c>
      <c r="AE777" s="15">
        <f>+(D.sign_Data[[#This Row],[VALOR NETO ($COP)]]+D.sign_Data[[#This Row],[NEGOCIACIÓN ($COP)]])*1%</f>
        <v>74.821738736143544</v>
      </c>
      <c r="AF777" s="15">
        <f>+(D.sign_Data[[#This Row],[VALOR NETO ($COP)]]+D.sign_Data[[#This Row],[NEGOCIACIÓN ($COP)]])*1%</f>
        <v>74.821738736143544</v>
      </c>
      <c r="AG777" s="3">
        <f>+D.sign_Data[[#This Row],[VALOR NETO ($COP)]]+D.sign_Data[[#This Row],[NEGOCIACIÓN ($COP)]]+D.sign_Data[[#This Row],[ICA ($COP)]]+D.sign_Data[[#This Row],[4 * 1000 ($COP)]]</f>
        <v>7631.8173510866418</v>
      </c>
    </row>
    <row r="778" spans="1:33" ht="60" hidden="1" customHeight="1" x14ac:dyDescent="0.25">
      <c r="A778" s="14"/>
      <c r="B778" s="87" t="s">
        <v>493</v>
      </c>
      <c r="C778" s="182" t="s">
        <v>917</v>
      </c>
      <c r="D778" s="189" t="str">
        <f>VLOOKUP(D.sign_Data[[#This Row],[CÓDIGO]],Descripciones[[CÓDIGO]:[NOMBRE DE SERVICIO]],3,FALSE)</f>
        <v>D2. Edificación en Altura</v>
      </c>
      <c r="E778" s="87" t="s">
        <v>497</v>
      </c>
      <c r="F778" s="88" t="s">
        <v>918</v>
      </c>
      <c r="G778" s="88" t="s">
        <v>626</v>
      </c>
      <c r="H778" s="104" t="s">
        <v>552</v>
      </c>
      <c r="I778" s="89">
        <v>1</v>
      </c>
      <c r="J778" s="88" t="s">
        <v>627</v>
      </c>
      <c r="K778" s="102"/>
      <c r="L778" s="88" t="s">
        <v>628</v>
      </c>
      <c r="M778" s="89" t="s">
        <v>381</v>
      </c>
      <c r="N778" s="90">
        <v>1</v>
      </c>
      <c r="O778" s="27">
        <f>IFERROR(+VLOOKUP(M778,D.sign_Lista_Data[[RESPONSABLE]:[SOFTWARE 
VALOR HORA]],3,FALSE),"0")</f>
        <v>20263.424518743668</v>
      </c>
      <c r="P778" s="3">
        <f t="shared" si="26"/>
        <v>20263.424518743668</v>
      </c>
      <c r="Q778" s="11">
        <f>IFERROR(+VLOOKUP(M778,D.sign_Lista_Data[[RESPONSABLE]:[SOFTWARE 
VALOR HORA]],5,FALSE)*D.sign_Data[[#This Row],[TIEMPO (HORAS)]],0)</f>
        <v>4221.5467747382636</v>
      </c>
      <c r="R778" s="11">
        <f>IFERROR(+VLOOKUP(M778,D.sign_Lista_Data[[RESPONSABLE]:[SOFTWARE 
VALOR HORA]],8,FALSE)*D.sign_Data[[#This Row],[TIEMPO (HORAS)]],0)</f>
        <v>3410.8548871439834</v>
      </c>
      <c r="S778" s="99"/>
      <c r="T778" s="99"/>
      <c r="U778" s="3">
        <f t="shared" si="27"/>
        <v>27895.826180625918</v>
      </c>
      <c r="V778" s="100">
        <f>D.sign_Data[[#This Row],[TIEMPO (HORAS)]]*Gastos_Operativos[[#Totals],[GASTOS HORA]]</f>
        <v>27789.477072310401</v>
      </c>
      <c r="W778" s="3">
        <f>+D.sign_Data[[#This Row],[COSTO 
DIRECTO ($COP)]]+D.sign_Data[[#This Row],[PRORRATEO GASTOS ($COP)]]</f>
        <v>55685.303252936319</v>
      </c>
      <c r="X778" s="101">
        <v>0.1</v>
      </c>
      <c r="Y778" s="15">
        <f>+D.sign_Data[[#This Row],[COSTOS OPERACIONALES ($COP)]]*D.sign_Data[[#This Row],[DESFASE (%)]]</f>
        <v>5568.5303252936319</v>
      </c>
      <c r="Z778" s="101">
        <v>0.15</v>
      </c>
      <c r="AA778" s="15">
        <f>+((D.sign_Data[[#This Row],[COSTOS OPERACIONALES ($COP)]]/(100%-D.sign_Data[[#This Row],[UTILIDAD (%)]])))-D.sign_Data[[#This Row],[COSTOS OPERACIONALES ($COP)]]</f>
        <v>9826.8182211064122</v>
      </c>
      <c r="AB778" s="3">
        <f>+D.sign_Data[[#This Row],[COSTOS OPERACIONALES ($COP)]]+D.sign_Data[[#This Row],[DESFASE ($COP)]]+D.sign_Data[[#This Row],[UTILIDAD ($COP)]]</f>
        <v>71080.651799336367</v>
      </c>
      <c r="AC778" s="101">
        <v>0.05</v>
      </c>
      <c r="AD778" s="15">
        <f>+D.sign_Data[[#This Row],[VALOR NETO ($COP)]]/(100%-D.sign_Data[[#This Row],[MARGEN DE NEGOCIACIÓN (%)]])-D.sign_Data[[#This Row],[VALOR NETO ($COP)]]</f>
        <v>3741.0869368071872</v>
      </c>
      <c r="AE778" s="15">
        <f>+(D.sign_Data[[#This Row],[VALOR NETO ($COP)]]+D.sign_Data[[#This Row],[NEGOCIACIÓN ($COP)]])*1%</f>
        <v>748.2173873614355</v>
      </c>
      <c r="AF778" s="15">
        <f>+(D.sign_Data[[#This Row],[VALOR NETO ($COP)]]+D.sign_Data[[#This Row],[NEGOCIACIÓN ($COP)]])*1%</f>
        <v>748.2173873614355</v>
      </c>
      <c r="AG778" s="3">
        <f>+D.sign_Data[[#This Row],[VALOR NETO ($COP)]]+D.sign_Data[[#This Row],[NEGOCIACIÓN ($COP)]]+D.sign_Data[[#This Row],[ICA ($COP)]]+D.sign_Data[[#This Row],[4 * 1000 ($COP)]]</f>
        <v>76318.173510866429</v>
      </c>
    </row>
    <row r="779" spans="1:33" ht="60" hidden="1" customHeight="1" x14ac:dyDescent="0.25">
      <c r="A779" s="14"/>
      <c r="B779" s="87" t="s">
        <v>493</v>
      </c>
      <c r="C779" s="182" t="s">
        <v>917</v>
      </c>
      <c r="D779" s="189" t="str">
        <f>VLOOKUP(D.sign_Data[[#This Row],[CÓDIGO]],Descripciones[[CÓDIGO]:[NOMBRE DE SERVICIO]],3,FALSE)</f>
        <v>D2. Edificación en Altura</v>
      </c>
      <c r="E779" s="87" t="s">
        <v>497</v>
      </c>
      <c r="F779" s="88" t="s">
        <v>918</v>
      </c>
      <c r="G779" s="88" t="s">
        <v>626</v>
      </c>
      <c r="H779" s="104" t="s">
        <v>552</v>
      </c>
      <c r="I779" s="89">
        <v>1</v>
      </c>
      <c r="J779" s="88" t="s">
        <v>627</v>
      </c>
      <c r="K779" s="102"/>
      <c r="L779" s="88" t="s">
        <v>629</v>
      </c>
      <c r="M779" s="89" t="s">
        <v>381</v>
      </c>
      <c r="N779" s="90">
        <v>1</v>
      </c>
      <c r="O779" s="27">
        <f>IFERROR(+VLOOKUP(M779,D.sign_Lista_Data[[RESPONSABLE]:[SOFTWARE 
VALOR HORA]],3,FALSE),"0")</f>
        <v>20263.424518743668</v>
      </c>
      <c r="P779" s="3">
        <f t="shared" si="26"/>
        <v>20263.424518743668</v>
      </c>
      <c r="Q779" s="11">
        <f>IFERROR(+VLOOKUP(M779,D.sign_Lista_Data[[RESPONSABLE]:[SOFTWARE 
VALOR HORA]],5,FALSE)*D.sign_Data[[#This Row],[TIEMPO (HORAS)]],0)</f>
        <v>4221.5467747382636</v>
      </c>
      <c r="R779" s="11">
        <f>IFERROR(+VLOOKUP(M779,D.sign_Lista_Data[[RESPONSABLE]:[SOFTWARE 
VALOR HORA]],8,FALSE)*D.sign_Data[[#This Row],[TIEMPO (HORAS)]],0)</f>
        <v>3410.8548871439834</v>
      </c>
      <c r="S779" s="99"/>
      <c r="T779" s="99"/>
      <c r="U779" s="3">
        <f t="shared" si="27"/>
        <v>27895.826180625918</v>
      </c>
      <c r="V779" s="100">
        <f>D.sign_Data[[#This Row],[TIEMPO (HORAS)]]*Gastos_Operativos[[#Totals],[GASTOS HORA]]</f>
        <v>27789.477072310401</v>
      </c>
      <c r="W779" s="3">
        <f>+D.sign_Data[[#This Row],[COSTO 
DIRECTO ($COP)]]+D.sign_Data[[#This Row],[PRORRATEO GASTOS ($COP)]]</f>
        <v>55685.303252936319</v>
      </c>
      <c r="X779" s="101">
        <v>0.1</v>
      </c>
      <c r="Y779" s="15">
        <f>+D.sign_Data[[#This Row],[COSTOS OPERACIONALES ($COP)]]*D.sign_Data[[#This Row],[DESFASE (%)]]</f>
        <v>5568.5303252936319</v>
      </c>
      <c r="Z779" s="101">
        <v>0.15</v>
      </c>
      <c r="AA779" s="15">
        <f>+((D.sign_Data[[#This Row],[COSTOS OPERACIONALES ($COP)]]/(100%-D.sign_Data[[#This Row],[UTILIDAD (%)]])))-D.sign_Data[[#This Row],[COSTOS OPERACIONALES ($COP)]]</f>
        <v>9826.8182211064122</v>
      </c>
      <c r="AB779" s="3">
        <f>+D.sign_Data[[#This Row],[COSTOS OPERACIONALES ($COP)]]+D.sign_Data[[#This Row],[DESFASE ($COP)]]+D.sign_Data[[#This Row],[UTILIDAD ($COP)]]</f>
        <v>71080.651799336367</v>
      </c>
      <c r="AC779" s="101">
        <v>0.05</v>
      </c>
      <c r="AD779" s="15">
        <f>+D.sign_Data[[#This Row],[VALOR NETO ($COP)]]/(100%-D.sign_Data[[#This Row],[MARGEN DE NEGOCIACIÓN (%)]])-D.sign_Data[[#This Row],[VALOR NETO ($COP)]]</f>
        <v>3741.0869368071872</v>
      </c>
      <c r="AE779" s="15">
        <f>+(D.sign_Data[[#This Row],[VALOR NETO ($COP)]]+D.sign_Data[[#This Row],[NEGOCIACIÓN ($COP)]])*1%</f>
        <v>748.2173873614355</v>
      </c>
      <c r="AF779" s="15">
        <f>+(D.sign_Data[[#This Row],[VALOR NETO ($COP)]]+D.sign_Data[[#This Row],[NEGOCIACIÓN ($COP)]])*1%</f>
        <v>748.2173873614355</v>
      </c>
      <c r="AG779" s="3">
        <f>+D.sign_Data[[#This Row],[VALOR NETO ($COP)]]+D.sign_Data[[#This Row],[NEGOCIACIÓN ($COP)]]+D.sign_Data[[#This Row],[ICA ($COP)]]+D.sign_Data[[#This Row],[4 * 1000 ($COP)]]</f>
        <v>76318.173510866429</v>
      </c>
    </row>
    <row r="780" spans="1:33" ht="60" hidden="1" customHeight="1" x14ac:dyDescent="0.25">
      <c r="A780" s="14"/>
      <c r="B780" s="87" t="s">
        <v>493</v>
      </c>
      <c r="C780" s="182" t="s">
        <v>917</v>
      </c>
      <c r="D780" s="189" t="str">
        <f>VLOOKUP(D.sign_Data[[#This Row],[CÓDIGO]],Descripciones[[CÓDIGO]:[NOMBRE DE SERVICIO]],3,FALSE)</f>
        <v>D2. Edificación en Altura</v>
      </c>
      <c r="E780" s="87" t="s">
        <v>497</v>
      </c>
      <c r="F780" s="88" t="s">
        <v>918</v>
      </c>
      <c r="G780" s="88" t="s">
        <v>626</v>
      </c>
      <c r="H780" s="104" t="s">
        <v>552</v>
      </c>
      <c r="I780" s="89">
        <v>1</v>
      </c>
      <c r="J780" s="88" t="s">
        <v>627</v>
      </c>
      <c r="K780" s="102"/>
      <c r="L780" s="88" t="s">
        <v>630</v>
      </c>
      <c r="M780" s="89" t="s">
        <v>381</v>
      </c>
      <c r="N780" s="90">
        <v>5</v>
      </c>
      <c r="O780" s="27">
        <f>IFERROR(+VLOOKUP(M780,D.sign_Lista_Data[[RESPONSABLE]:[SOFTWARE 
VALOR HORA]],3,FALSE),"0")</f>
        <v>20263.424518743668</v>
      </c>
      <c r="P780" s="3">
        <f t="shared" si="26"/>
        <v>101317.12259371835</v>
      </c>
      <c r="Q780" s="11">
        <f>IFERROR(+VLOOKUP(M780,D.sign_Lista_Data[[RESPONSABLE]:[SOFTWARE 
VALOR HORA]],5,FALSE)*D.sign_Data[[#This Row],[TIEMPO (HORAS)]],0)</f>
        <v>21107.733873691319</v>
      </c>
      <c r="R780" s="11">
        <f>IFERROR(+VLOOKUP(M780,D.sign_Lista_Data[[RESPONSABLE]:[SOFTWARE 
VALOR HORA]],8,FALSE)*D.sign_Data[[#This Row],[TIEMPO (HORAS)]],0)</f>
        <v>17054.274435719919</v>
      </c>
      <c r="S780" s="99"/>
      <c r="T780" s="99"/>
      <c r="U780" s="3">
        <f t="shared" si="27"/>
        <v>139479.13090312958</v>
      </c>
      <c r="V780" s="100">
        <f>D.sign_Data[[#This Row],[TIEMPO (HORAS)]]*Gastos_Operativos[[#Totals],[GASTOS HORA]]</f>
        <v>138947.38536155201</v>
      </c>
      <c r="W780" s="3">
        <f>+D.sign_Data[[#This Row],[COSTO 
DIRECTO ($COP)]]+D.sign_Data[[#This Row],[PRORRATEO GASTOS ($COP)]]</f>
        <v>278426.51626468159</v>
      </c>
      <c r="X780" s="101">
        <v>0.1</v>
      </c>
      <c r="Y780" s="15">
        <f>+D.sign_Data[[#This Row],[COSTOS OPERACIONALES ($COP)]]*D.sign_Data[[#This Row],[DESFASE (%)]]</f>
        <v>27842.65162646816</v>
      </c>
      <c r="Z780" s="101">
        <v>0.15</v>
      </c>
      <c r="AA780" s="15">
        <f>+((D.sign_Data[[#This Row],[COSTOS OPERACIONALES ($COP)]]/(100%-D.sign_Data[[#This Row],[UTILIDAD (%)]])))-D.sign_Data[[#This Row],[COSTOS OPERACIONALES ($COP)]]</f>
        <v>49134.091105532076</v>
      </c>
      <c r="AB780" s="3">
        <f>+D.sign_Data[[#This Row],[COSTOS OPERACIONALES ($COP)]]+D.sign_Data[[#This Row],[DESFASE ($COP)]]+D.sign_Data[[#This Row],[UTILIDAD ($COP)]]</f>
        <v>355403.25899668183</v>
      </c>
      <c r="AC780" s="101">
        <v>0.05</v>
      </c>
      <c r="AD780" s="15">
        <f>+D.sign_Data[[#This Row],[VALOR NETO ($COP)]]/(100%-D.sign_Data[[#This Row],[MARGEN DE NEGOCIACIÓN (%)]])-D.sign_Data[[#This Row],[VALOR NETO ($COP)]]</f>
        <v>18705.434684035892</v>
      </c>
      <c r="AE780" s="15">
        <f>+(D.sign_Data[[#This Row],[VALOR NETO ($COP)]]+D.sign_Data[[#This Row],[NEGOCIACIÓN ($COP)]])*1%</f>
        <v>3741.0869368071772</v>
      </c>
      <c r="AF780" s="15">
        <f>+(D.sign_Data[[#This Row],[VALOR NETO ($COP)]]+D.sign_Data[[#This Row],[NEGOCIACIÓN ($COP)]])*1%</f>
        <v>3741.0869368071772</v>
      </c>
      <c r="AG780" s="3">
        <f>+D.sign_Data[[#This Row],[VALOR NETO ($COP)]]+D.sign_Data[[#This Row],[NEGOCIACIÓN ($COP)]]+D.sign_Data[[#This Row],[ICA ($COP)]]+D.sign_Data[[#This Row],[4 * 1000 ($COP)]]</f>
        <v>381590.86755433213</v>
      </c>
    </row>
    <row r="781" spans="1:33" ht="60" hidden="1" customHeight="1" x14ac:dyDescent="0.25">
      <c r="A781" s="14"/>
      <c r="B781" s="87" t="s">
        <v>493</v>
      </c>
      <c r="C781" s="182" t="s">
        <v>917</v>
      </c>
      <c r="D781" s="189" t="str">
        <f>VLOOKUP(D.sign_Data[[#This Row],[CÓDIGO]],Descripciones[[CÓDIGO]:[NOMBRE DE SERVICIO]],3,FALSE)</f>
        <v>D2. Edificación en Altura</v>
      </c>
      <c r="E781" s="87" t="s">
        <v>497</v>
      </c>
      <c r="F781" s="88" t="s">
        <v>918</v>
      </c>
      <c r="G781" s="88" t="s">
        <v>626</v>
      </c>
      <c r="H781" s="104" t="s">
        <v>552</v>
      </c>
      <c r="I781" s="89">
        <v>1</v>
      </c>
      <c r="J781" s="88" t="s">
        <v>627</v>
      </c>
      <c r="K781" s="102"/>
      <c r="L781" s="88" t="s">
        <v>483</v>
      </c>
      <c r="M781" s="89" t="s">
        <v>381</v>
      </c>
      <c r="N781" s="90">
        <v>1</v>
      </c>
      <c r="O781" s="27">
        <f>IFERROR(+VLOOKUP(M781,D.sign_Lista_Data[[RESPONSABLE]:[SOFTWARE 
VALOR HORA]],3,FALSE),"0")</f>
        <v>20263.424518743668</v>
      </c>
      <c r="P781" s="3">
        <f t="shared" si="26"/>
        <v>20263.424518743668</v>
      </c>
      <c r="Q781" s="11">
        <f>IFERROR(+VLOOKUP(M781,D.sign_Lista_Data[[RESPONSABLE]:[SOFTWARE 
VALOR HORA]],5,FALSE)*D.sign_Data[[#This Row],[TIEMPO (HORAS)]],0)</f>
        <v>4221.5467747382636</v>
      </c>
      <c r="R781" s="11">
        <f>IFERROR(+VLOOKUP(M781,D.sign_Lista_Data[[RESPONSABLE]:[SOFTWARE 
VALOR HORA]],8,FALSE)*D.sign_Data[[#This Row],[TIEMPO (HORAS)]],0)</f>
        <v>3410.8548871439834</v>
      </c>
      <c r="S781" s="99"/>
      <c r="T781" s="99"/>
      <c r="U781" s="3">
        <f t="shared" si="27"/>
        <v>27895.826180625918</v>
      </c>
      <c r="V781" s="100">
        <f>D.sign_Data[[#This Row],[TIEMPO (HORAS)]]*Gastos_Operativos[[#Totals],[GASTOS HORA]]</f>
        <v>27789.477072310401</v>
      </c>
      <c r="W781" s="3">
        <f>+D.sign_Data[[#This Row],[COSTO 
DIRECTO ($COP)]]+D.sign_Data[[#This Row],[PRORRATEO GASTOS ($COP)]]</f>
        <v>55685.303252936319</v>
      </c>
      <c r="X781" s="101">
        <v>0.1</v>
      </c>
      <c r="Y781" s="15">
        <f>+D.sign_Data[[#This Row],[COSTOS OPERACIONALES ($COP)]]*D.sign_Data[[#This Row],[DESFASE (%)]]</f>
        <v>5568.5303252936319</v>
      </c>
      <c r="Z781" s="101">
        <v>0.15</v>
      </c>
      <c r="AA781" s="15">
        <f>+((D.sign_Data[[#This Row],[COSTOS OPERACIONALES ($COP)]]/(100%-D.sign_Data[[#This Row],[UTILIDAD (%)]])))-D.sign_Data[[#This Row],[COSTOS OPERACIONALES ($COP)]]</f>
        <v>9826.8182211064122</v>
      </c>
      <c r="AB781" s="3">
        <f>+D.sign_Data[[#This Row],[COSTOS OPERACIONALES ($COP)]]+D.sign_Data[[#This Row],[DESFASE ($COP)]]+D.sign_Data[[#This Row],[UTILIDAD ($COP)]]</f>
        <v>71080.651799336367</v>
      </c>
      <c r="AC781" s="101">
        <v>0.05</v>
      </c>
      <c r="AD781" s="15">
        <f>+D.sign_Data[[#This Row],[VALOR NETO ($COP)]]/(100%-D.sign_Data[[#This Row],[MARGEN DE NEGOCIACIÓN (%)]])-D.sign_Data[[#This Row],[VALOR NETO ($COP)]]</f>
        <v>3741.0869368071872</v>
      </c>
      <c r="AE781" s="15">
        <f>+(D.sign_Data[[#This Row],[VALOR NETO ($COP)]]+D.sign_Data[[#This Row],[NEGOCIACIÓN ($COP)]])*1%</f>
        <v>748.2173873614355</v>
      </c>
      <c r="AF781" s="15">
        <f>+(D.sign_Data[[#This Row],[VALOR NETO ($COP)]]+D.sign_Data[[#This Row],[NEGOCIACIÓN ($COP)]])*1%</f>
        <v>748.2173873614355</v>
      </c>
      <c r="AG781" s="3">
        <f>+D.sign_Data[[#This Row],[VALOR NETO ($COP)]]+D.sign_Data[[#This Row],[NEGOCIACIÓN ($COP)]]+D.sign_Data[[#This Row],[ICA ($COP)]]+D.sign_Data[[#This Row],[4 * 1000 ($COP)]]</f>
        <v>76318.173510866429</v>
      </c>
    </row>
    <row r="782" spans="1:33" ht="60" hidden="1" customHeight="1" x14ac:dyDescent="0.25">
      <c r="A782" s="14"/>
      <c r="B782" s="87" t="s">
        <v>493</v>
      </c>
      <c r="C782" s="182" t="s">
        <v>917</v>
      </c>
      <c r="D782" s="189" t="str">
        <f>VLOOKUP(D.sign_Data[[#This Row],[CÓDIGO]],Descripciones[[CÓDIGO]:[NOMBRE DE SERVICIO]],3,FALSE)</f>
        <v>D2. Edificación en Altura</v>
      </c>
      <c r="E782" s="87" t="s">
        <v>497</v>
      </c>
      <c r="F782" s="88" t="s">
        <v>918</v>
      </c>
      <c r="G782" s="88" t="s">
        <v>626</v>
      </c>
      <c r="H782" s="104" t="s">
        <v>552</v>
      </c>
      <c r="I782" s="89">
        <v>1</v>
      </c>
      <c r="J782" s="88" t="s">
        <v>627</v>
      </c>
      <c r="K782" s="102"/>
      <c r="L782" s="88" t="s">
        <v>624</v>
      </c>
      <c r="M782" s="89" t="s">
        <v>381</v>
      </c>
      <c r="N782" s="90">
        <v>2</v>
      </c>
      <c r="O782" s="27">
        <f>IFERROR(+VLOOKUP(M782,D.sign_Lista_Data[[RESPONSABLE]:[SOFTWARE 
VALOR HORA]],3,FALSE),"0")</f>
        <v>20263.424518743668</v>
      </c>
      <c r="P782" s="3">
        <f t="shared" si="26"/>
        <v>40526.849037487336</v>
      </c>
      <c r="Q782" s="11">
        <f>IFERROR(+VLOOKUP(M782,D.sign_Lista_Data[[RESPONSABLE]:[SOFTWARE 
VALOR HORA]],5,FALSE)*D.sign_Data[[#This Row],[TIEMPO (HORAS)]],0)</f>
        <v>8443.0935494765272</v>
      </c>
      <c r="R782" s="11">
        <f>IFERROR(+VLOOKUP(M782,D.sign_Lista_Data[[RESPONSABLE]:[SOFTWARE 
VALOR HORA]],8,FALSE)*D.sign_Data[[#This Row],[TIEMPO (HORAS)]],0)</f>
        <v>6821.7097742879669</v>
      </c>
      <c r="S782" s="99"/>
      <c r="T782" s="99"/>
      <c r="U782" s="3">
        <f t="shared" si="27"/>
        <v>55791.652361251836</v>
      </c>
      <c r="V782" s="100">
        <f>D.sign_Data[[#This Row],[TIEMPO (HORAS)]]*Gastos_Operativos[[#Totals],[GASTOS HORA]]</f>
        <v>55578.954144620802</v>
      </c>
      <c r="W782" s="3">
        <f>+D.sign_Data[[#This Row],[COSTO 
DIRECTO ($COP)]]+D.sign_Data[[#This Row],[PRORRATEO GASTOS ($COP)]]</f>
        <v>111370.60650587264</v>
      </c>
      <c r="X782" s="101">
        <v>0.1</v>
      </c>
      <c r="Y782" s="15">
        <f>+D.sign_Data[[#This Row],[COSTOS OPERACIONALES ($COP)]]*D.sign_Data[[#This Row],[DESFASE (%)]]</f>
        <v>11137.060650587264</v>
      </c>
      <c r="Z782" s="101">
        <v>0.15</v>
      </c>
      <c r="AA782" s="15">
        <f>+((D.sign_Data[[#This Row],[COSTOS OPERACIONALES ($COP)]]/(100%-D.sign_Data[[#This Row],[UTILIDAD (%)]])))-D.sign_Data[[#This Row],[COSTOS OPERACIONALES ($COP)]]</f>
        <v>19653.636442212824</v>
      </c>
      <c r="AB782" s="3">
        <f>+D.sign_Data[[#This Row],[COSTOS OPERACIONALES ($COP)]]+D.sign_Data[[#This Row],[DESFASE ($COP)]]+D.sign_Data[[#This Row],[UTILIDAD ($COP)]]</f>
        <v>142161.30359867273</v>
      </c>
      <c r="AC782" s="101">
        <v>0.05</v>
      </c>
      <c r="AD782" s="15">
        <f>+D.sign_Data[[#This Row],[VALOR NETO ($COP)]]/(100%-D.sign_Data[[#This Row],[MARGEN DE NEGOCIACIÓN (%)]])-D.sign_Data[[#This Row],[VALOR NETO ($COP)]]</f>
        <v>7482.1738736143743</v>
      </c>
      <c r="AE782" s="15">
        <f>+(D.sign_Data[[#This Row],[VALOR NETO ($COP)]]+D.sign_Data[[#This Row],[NEGOCIACIÓN ($COP)]])*1%</f>
        <v>1496.434774722871</v>
      </c>
      <c r="AF782" s="15">
        <f>+(D.sign_Data[[#This Row],[VALOR NETO ($COP)]]+D.sign_Data[[#This Row],[NEGOCIACIÓN ($COP)]])*1%</f>
        <v>1496.434774722871</v>
      </c>
      <c r="AG782" s="3">
        <f>+D.sign_Data[[#This Row],[VALOR NETO ($COP)]]+D.sign_Data[[#This Row],[NEGOCIACIÓN ($COP)]]+D.sign_Data[[#This Row],[ICA ($COP)]]+D.sign_Data[[#This Row],[4 * 1000 ($COP)]]</f>
        <v>152636.34702173286</v>
      </c>
    </row>
    <row r="783" spans="1:33" ht="60" hidden="1" customHeight="1" x14ac:dyDescent="0.25">
      <c r="A783" s="14"/>
      <c r="B783" s="87" t="s">
        <v>493</v>
      </c>
      <c r="C783" s="182" t="s">
        <v>917</v>
      </c>
      <c r="D783" s="189" t="str">
        <f>VLOOKUP(D.sign_Data[[#This Row],[CÓDIGO]],Descripciones[[CÓDIGO]:[NOMBRE DE SERVICIO]],3,FALSE)</f>
        <v>D2. Edificación en Altura</v>
      </c>
      <c r="E783" s="87" t="s">
        <v>497</v>
      </c>
      <c r="F783" s="88" t="s">
        <v>918</v>
      </c>
      <c r="G783" s="88" t="s">
        <v>626</v>
      </c>
      <c r="H783" s="104" t="s">
        <v>552</v>
      </c>
      <c r="I783" s="89">
        <v>1</v>
      </c>
      <c r="J783" s="88" t="s">
        <v>627</v>
      </c>
      <c r="K783" s="102"/>
      <c r="L783" s="88" t="s">
        <v>579</v>
      </c>
      <c r="M783" s="89" t="s">
        <v>381</v>
      </c>
      <c r="N783" s="90">
        <v>9.4</v>
      </c>
      <c r="O783" s="27">
        <f>IFERROR(+VLOOKUP(M783,D.sign_Lista_Data[[RESPONSABLE]:[SOFTWARE 
VALOR HORA]],3,FALSE),"0")</f>
        <v>20263.424518743668</v>
      </c>
      <c r="P783" s="3">
        <f t="shared" si="26"/>
        <v>190476.19047619047</v>
      </c>
      <c r="Q783" s="11">
        <f>IFERROR(+VLOOKUP(M783,D.sign_Lista_Data[[RESPONSABLE]:[SOFTWARE 
VALOR HORA]],5,FALSE)*D.sign_Data[[#This Row],[TIEMPO (HORAS)]],0)</f>
        <v>39682.539682539682</v>
      </c>
      <c r="R783" s="11">
        <f>IFERROR(+VLOOKUP(M783,D.sign_Lista_Data[[RESPONSABLE]:[SOFTWARE 
VALOR HORA]],8,FALSE)*D.sign_Data[[#This Row],[TIEMPO (HORAS)]],0)</f>
        <v>32062.035939153444</v>
      </c>
      <c r="S783" s="99"/>
      <c r="T783" s="99"/>
      <c r="U783" s="3">
        <f t="shared" si="27"/>
        <v>262220.76609788358</v>
      </c>
      <c r="V783" s="100">
        <f>D.sign_Data[[#This Row],[TIEMPO (HORAS)]]*Gastos_Operativos[[#Totals],[GASTOS HORA]]</f>
        <v>261221.08447971777</v>
      </c>
      <c r="W783" s="3">
        <f>+D.sign_Data[[#This Row],[COSTO 
DIRECTO ($COP)]]+D.sign_Data[[#This Row],[PRORRATEO GASTOS ($COP)]]</f>
        <v>523441.85057760135</v>
      </c>
      <c r="X783" s="101">
        <v>0.1</v>
      </c>
      <c r="Y783" s="15">
        <f>+D.sign_Data[[#This Row],[COSTOS OPERACIONALES ($COP)]]*D.sign_Data[[#This Row],[DESFASE (%)]]</f>
        <v>52344.185057760136</v>
      </c>
      <c r="Z783" s="101">
        <v>0.15</v>
      </c>
      <c r="AA783" s="15">
        <f>+((D.sign_Data[[#This Row],[COSTOS OPERACIONALES ($COP)]]/(100%-D.sign_Data[[#This Row],[UTILIDAD (%)]])))-D.sign_Data[[#This Row],[COSTOS OPERACIONALES ($COP)]]</f>
        <v>92372.091278400272</v>
      </c>
      <c r="AB783" s="3">
        <f>+D.sign_Data[[#This Row],[COSTOS OPERACIONALES ($COP)]]+D.sign_Data[[#This Row],[DESFASE ($COP)]]+D.sign_Data[[#This Row],[UTILIDAD ($COP)]]</f>
        <v>668158.12691376172</v>
      </c>
      <c r="AC783" s="101">
        <v>0.05</v>
      </c>
      <c r="AD783" s="15">
        <f>+D.sign_Data[[#This Row],[VALOR NETO ($COP)]]/(100%-D.sign_Data[[#This Row],[MARGEN DE NEGOCIACIÓN (%)]])-D.sign_Data[[#This Row],[VALOR NETO ($COP)]]</f>
        <v>35166.217205987545</v>
      </c>
      <c r="AE783" s="15">
        <f>+(D.sign_Data[[#This Row],[VALOR NETO ($COP)]]+D.sign_Data[[#This Row],[NEGOCIACIÓN ($COP)]])*1%</f>
        <v>7033.2434411974928</v>
      </c>
      <c r="AF783" s="15">
        <f>+(D.sign_Data[[#This Row],[VALOR NETO ($COP)]]+D.sign_Data[[#This Row],[NEGOCIACIÓN ($COP)]])*1%</f>
        <v>7033.2434411974928</v>
      </c>
      <c r="AG783" s="3">
        <f>+D.sign_Data[[#This Row],[VALOR NETO ($COP)]]+D.sign_Data[[#This Row],[NEGOCIACIÓN ($COP)]]+D.sign_Data[[#This Row],[ICA ($COP)]]+D.sign_Data[[#This Row],[4 * 1000 ($COP)]]</f>
        <v>717390.83100214414</v>
      </c>
    </row>
    <row r="784" spans="1:33" ht="60" hidden="1" customHeight="1" x14ac:dyDescent="0.25">
      <c r="A784" s="14"/>
      <c r="B784" s="87" t="s">
        <v>493</v>
      </c>
      <c r="C784" s="182" t="s">
        <v>917</v>
      </c>
      <c r="D784" s="189" t="str">
        <f>VLOOKUP(D.sign_Data[[#This Row],[CÓDIGO]],Descripciones[[CÓDIGO]:[NOMBRE DE SERVICIO]],3,FALSE)</f>
        <v>D2. Edificación en Altura</v>
      </c>
      <c r="E784" s="87" t="s">
        <v>497</v>
      </c>
      <c r="F784" s="88" t="s">
        <v>918</v>
      </c>
      <c r="G784" s="88" t="s">
        <v>626</v>
      </c>
      <c r="H784" s="104" t="s">
        <v>552</v>
      </c>
      <c r="I784" s="89">
        <v>1</v>
      </c>
      <c r="J784" s="88" t="s">
        <v>627</v>
      </c>
      <c r="K784" s="102"/>
      <c r="L784" s="88" t="s">
        <v>625</v>
      </c>
      <c r="M784" s="89" t="s">
        <v>381</v>
      </c>
      <c r="N784" s="90">
        <v>1</v>
      </c>
      <c r="O784" s="27">
        <f>IFERROR(+VLOOKUP(M784,D.sign_Lista_Data[[RESPONSABLE]:[SOFTWARE 
VALOR HORA]],3,FALSE),"0")</f>
        <v>20263.424518743668</v>
      </c>
      <c r="P784" s="3">
        <f t="shared" si="26"/>
        <v>20263.424518743668</v>
      </c>
      <c r="Q784" s="11">
        <f>IFERROR(+VLOOKUP(M784,D.sign_Lista_Data[[RESPONSABLE]:[SOFTWARE 
VALOR HORA]],5,FALSE)*D.sign_Data[[#This Row],[TIEMPO (HORAS)]],0)</f>
        <v>4221.5467747382636</v>
      </c>
      <c r="R784" s="11">
        <f>IFERROR(+VLOOKUP(M784,D.sign_Lista_Data[[RESPONSABLE]:[SOFTWARE 
VALOR HORA]],8,FALSE)*D.sign_Data[[#This Row],[TIEMPO (HORAS)]],0)</f>
        <v>3410.8548871439834</v>
      </c>
      <c r="S784" s="99"/>
      <c r="T784" s="99"/>
      <c r="U784" s="3">
        <f t="shared" si="27"/>
        <v>27895.826180625918</v>
      </c>
      <c r="V784" s="100">
        <f>D.sign_Data[[#This Row],[TIEMPO (HORAS)]]*Gastos_Operativos[[#Totals],[GASTOS HORA]]</f>
        <v>27789.477072310401</v>
      </c>
      <c r="W784" s="3">
        <f>+D.sign_Data[[#This Row],[COSTO 
DIRECTO ($COP)]]+D.sign_Data[[#This Row],[PRORRATEO GASTOS ($COP)]]</f>
        <v>55685.303252936319</v>
      </c>
      <c r="X784" s="101">
        <v>0.1</v>
      </c>
      <c r="Y784" s="15">
        <f>+D.sign_Data[[#This Row],[COSTOS OPERACIONALES ($COP)]]*D.sign_Data[[#This Row],[DESFASE (%)]]</f>
        <v>5568.5303252936319</v>
      </c>
      <c r="Z784" s="101">
        <v>0.15</v>
      </c>
      <c r="AA784" s="15">
        <f>+((D.sign_Data[[#This Row],[COSTOS OPERACIONALES ($COP)]]/(100%-D.sign_Data[[#This Row],[UTILIDAD (%)]])))-D.sign_Data[[#This Row],[COSTOS OPERACIONALES ($COP)]]</f>
        <v>9826.8182211064122</v>
      </c>
      <c r="AB784" s="3">
        <f>+D.sign_Data[[#This Row],[COSTOS OPERACIONALES ($COP)]]+D.sign_Data[[#This Row],[DESFASE ($COP)]]+D.sign_Data[[#This Row],[UTILIDAD ($COP)]]</f>
        <v>71080.651799336367</v>
      </c>
      <c r="AC784" s="101">
        <v>0.05</v>
      </c>
      <c r="AD784" s="15">
        <f>+D.sign_Data[[#This Row],[VALOR NETO ($COP)]]/(100%-D.sign_Data[[#This Row],[MARGEN DE NEGOCIACIÓN (%)]])-D.sign_Data[[#This Row],[VALOR NETO ($COP)]]</f>
        <v>3741.0869368071872</v>
      </c>
      <c r="AE784" s="15">
        <f>+(D.sign_Data[[#This Row],[VALOR NETO ($COP)]]+D.sign_Data[[#This Row],[NEGOCIACIÓN ($COP)]])*1%</f>
        <v>748.2173873614355</v>
      </c>
      <c r="AF784" s="15">
        <f>+(D.sign_Data[[#This Row],[VALOR NETO ($COP)]]+D.sign_Data[[#This Row],[NEGOCIACIÓN ($COP)]])*1%</f>
        <v>748.2173873614355</v>
      </c>
      <c r="AG784" s="3">
        <f>+D.sign_Data[[#This Row],[VALOR NETO ($COP)]]+D.sign_Data[[#This Row],[NEGOCIACIÓN ($COP)]]+D.sign_Data[[#This Row],[ICA ($COP)]]+D.sign_Data[[#This Row],[4 * 1000 ($COP)]]</f>
        <v>76318.173510866429</v>
      </c>
    </row>
    <row r="785" spans="1:33" ht="60" hidden="1" customHeight="1" x14ac:dyDescent="0.25">
      <c r="A785" s="14"/>
      <c r="B785" s="87" t="s">
        <v>493</v>
      </c>
      <c r="C785" s="182" t="s">
        <v>917</v>
      </c>
      <c r="D785" s="189" t="str">
        <f>VLOOKUP(D.sign_Data[[#This Row],[CÓDIGO]],Descripciones[[CÓDIGO]:[NOMBRE DE SERVICIO]],3,FALSE)</f>
        <v>D2. Edificación en Altura</v>
      </c>
      <c r="E785" s="87" t="s">
        <v>497</v>
      </c>
      <c r="F785" s="88" t="s">
        <v>918</v>
      </c>
      <c r="G785" s="88" t="s">
        <v>626</v>
      </c>
      <c r="H785" s="104" t="s">
        <v>552</v>
      </c>
      <c r="I785" s="89">
        <v>1</v>
      </c>
      <c r="J785" s="88" t="s">
        <v>627</v>
      </c>
      <c r="K785" s="102"/>
      <c r="L785" s="88" t="s">
        <v>572</v>
      </c>
      <c r="M785" s="89" t="s">
        <v>381</v>
      </c>
      <c r="N785" s="90">
        <v>0.1</v>
      </c>
      <c r="O785" s="27">
        <f>IFERROR(+VLOOKUP(M785,D.sign_Lista_Data[[RESPONSABLE]:[SOFTWARE 
VALOR HORA]],3,FALSE),"0")</f>
        <v>20263.424518743668</v>
      </c>
      <c r="P785" s="3">
        <f t="shared" si="26"/>
        <v>2026.3424518743668</v>
      </c>
      <c r="Q785" s="11">
        <f>IFERROR(+VLOOKUP(M785,D.sign_Lista_Data[[RESPONSABLE]:[SOFTWARE 
VALOR HORA]],5,FALSE)*D.sign_Data[[#This Row],[TIEMPO (HORAS)]],0)</f>
        <v>422.15467747382638</v>
      </c>
      <c r="R785" s="11">
        <f>IFERROR(+VLOOKUP(M785,D.sign_Lista_Data[[RESPONSABLE]:[SOFTWARE 
VALOR HORA]],8,FALSE)*D.sign_Data[[#This Row],[TIEMPO (HORAS)]],0)</f>
        <v>341.08548871439837</v>
      </c>
      <c r="S785" s="99"/>
      <c r="T785" s="99"/>
      <c r="U785" s="3">
        <f t="shared" si="27"/>
        <v>2789.5826180625913</v>
      </c>
      <c r="V785" s="100">
        <f>D.sign_Data[[#This Row],[TIEMPO (HORAS)]]*Gastos_Operativos[[#Totals],[GASTOS HORA]]</f>
        <v>2778.9477072310401</v>
      </c>
      <c r="W785" s="3">
        <f>+D.sign_Data[[#This Row],[COSTO 
DIRECTO ($COP)]]+D.sign_Data[[#This Row],[PRORRATEO GASTOS ($COP)]]</f>
        <v>5568.5303252936319</v>
      </c>
      <c r="X785" s="101">
        <v>0.1</v>
      </c>
      <c r="Y785" s="15">
        <f>+D.sign_Data[[#This Row],[COSTOS OPERACIONALES ($COP)]]*D.sign_Data[[#This Row],[DESFASE (%)]]</f>
        <v>556.85303252936319</v>
      </c>
      <c r="Z785" s="101">
        <v>0.15</v>
      </c>
      <c r="AA785" s="15">
        <f>+((D.sign_Data[[#This Row],[COSTOS OPERACIONALES ($COP)]]/(100%-D.sign_Data[[#This Row],[UTILIDAD (%)]])))-D.sign_Data[[#This Row],[COSTOS OPERACIONALES ($COP)]]</f>
        <v>982.68182211064141</v>
      </c>
      <c r="AB785" s="3">
        <f>+D.sign_Data[[#This Row],[COSTOS OPERACIONALES ($COP)]]+D.sign_Data[[#This Row],[DESFASE ($COP)]]+D.sign_Data[[#This Row],[UTILIDAD ($COP)]]</f>
        <v>7108.0651799336365</v>
      </c>
      <c r="AC785" s="101">
        <v>0.05</v>
      </c>
      <c r="AD785" s="15">
        <f>+D.sign_Data[[#This Row],[VALOR NETO ($COP)]]/(100%-D.sign_Data[[#This Row],[MARGEN DE NEGOCIACIÓN (%)]])-D.sign_Data[[#This Row],[VALOR NETO ($COP)]]</f>
        <v>374.10869368071781</v>
      </c>
      <c r="AE785" s="15">
        <f>+(D.sign_Data[[#This Row],[VALOR NETO ($COP)]]+D.sign_Data[[#This Row],[NEGOCIACIÓN ($COP)]])*1%</f>
        <v>74.821738736143544</v>
      </c>
      <c r="AF785" s="15">
        <f>+(D.sign_Data[[#This Row],[VALOR NETO ($COP)]]+D.sign_Data[[#This Row],[NEGOCIACIÓN ($COP)]])*1%</f>
        <v>74.821738736143544</v>
      </c>
      <c r="AG785" s="3">
        <f>+D.sign_Data[[#This Row],[VALOR NETO ($COP)]]+D.sign_Data[[#This Row],[NEGOCIACIÓN ($COP)]]+D.sign_Data[[#This Row],[ICA ($COP)]]+D.sign_Data[[#This Row],[4 * 1000 ($COP)]]</f>
        <v>7631.8173510866418</v>
      </c>
    </row>
    <row r="786" spans="1:33" ht="60" hidden="1" customHeight="1" x14ac:dyDescent="0.25">
      <c r="A786" s="14"/>
      <c r="B786" s="87" t="s">
        <v>493</v>
      </c>
      <c r="C786" s="182" t="s">
        <v>919</v>
      </c>
      <c r="D786" s="189" t="str">
        <f>VLOOKUP(D.sign_Data[[#This Row],[CÓDIGO]],Descripciones[[CÓDIGO]:[NOMBRE DE SERVICIO]],3,FALSE)</f>
        <v>D2. Edificación en Altura</v>
      </c>
      <c r="E786" s="87" t="s">
        <v>497</v>
      </c>
      <c r="F786" s="88" t="s">
        <v>666</v>
      </c>
      <c r="G786" s="88" t="s">
        <v>667</v>
      </c>
      <c r="H786" s="104" t="s">
        <v>552</v>
      </c>
      <c r="I786" s="89">
        <v>1</v>
      </c>
      <c r="J786" s="88" t="s">
        <v>511</v>
      </c>
      <c r="K786" s="102"/>
      <c r="L786" s="91" t="s">
        <v>512</v>
      </c>
      <c r="M786" s="89" t="s">
        <v>381</v>
      </c>
      <c r="N786" s="90">
        <v>9.6</v>
      </c>
      <c r="O786" s="27">
        <f>IFERROR(+VLOOKUP(M786,D.sign_Lista_Data[[RESPONSABLE]:[SOFTWARE 
VALOR HORA]],3,FALSE),"0")</f>
        <v>20263.424518743668</v>
      </c>
      <c r="P786" s="3">
        <f t="shared" si="26"/>
        <v>194528.87537993921</v>
      </c>
      <c r="Q786" s="11">
        <f>IFERROR(+VLOOKUP(M786,D.sign_Lista_Data[[RESPONSABLE]:[SOFTWARE 
VALOR HORA]],5,FALSE)*D.sign_Data[[#This Row],[TIEMPO (HORAS)]],0)</f>
        <v>40526.849037487329</v>
      </c>
      <c r="R786" s="11">
        <f>IFERROR(+VLOOKUP(M786,D.sign_Lista_Data[[RESPONSABLE]:[SOFTWARE 
VALOR HORA]],8,FALSE)*D.sign_Data[[#This Row],[TIEMPO (HORAS)]],0)</f>
        <v>32744.20691658224</v>
      </c>
      <c r="S786" s="99"/>
      <c r="T786" s="99"/>
      <c r="U786" s="3">
        <f t="shared" si="27"/>
        <v>267799.93133400875</v>
      </c>
      <c r="V786" s="100">
        <f>D.sign_Data[[#This Row],[TIEMPO (HORAS)]]*Gastos_Operativos[[#Totals],[GASTOS HORA]]</f>
        <v>266778.97989417985</v>
      </c>
      <c r="W786" s="3">
        <f>+D.sign_Data[[#This Row],[COSTO 
DIRECTO ($COP)]]+D.sign_Data[[#This Row],[PRORRATEO GASTOS ($COP)]]</f>
        <v>534578.91122818855</v>
      </c>
      <c r="X786" s="101">
        <v>0.1</v>
      </c>
      <c r="Y786" s="15">
        <f>+D.sign_Data[[#This Row],[COSTOS OPERACIONALES ($COP)]]*D.sign_Data[[#This Row],[DESFASE (%)]]</f>
        <v>53457.891122818859</v>
      </c>
      <c r="Z786" s="101">
        <v>0.15</v>
      </c>
      <c r="AA786" s="15">
        <f>+((D.sign_Data[[#This Row],[COSTOS OPERACIONALES ($COP)]]/(100%-D.sign_Data[[#This Row],[UTILIDAD (%)]])))-D.sign_Data[[#This Row],[COSTOS OPERACIONALES ($COP)]]</f>
        <v>94337.454922621488</v>
      </c>
      <c r="AB786" s="3">
        <f>+D.sign_Data[[#This Row],[COSTOS OPERACIONALES ($COP)]]+D.sign_Data[[#This Row],[DESFASE ($COP)]]+D.sign_Data[[#This Row],[UTILIDAD ($COP)]]</f>
        <v>682374.25727362884</v>
      </c>
      <c r="AC786" s="101">
        <v>0.05</v>
      </c>
      <c r="AD786" s="15">
        <f>+D.sign_Data[[#This Row],[VALOR NETO ($COP)]]/(100%-D.sign_Data[[#This Row],[MARGEN DE NEGOCIACIÓN (%)]])-D.sign_Data[[#This Row],[VALOR NETO ($COP)]]</f>
        <v>35914.43459334888</v>
      </c>
      <c r="AE786" s="15">
        <f>+(D.sign_Data[[#This Row],[VALOR NETO ($COP)]]+D.sign_Data[[#This Row],[NEGOCIACIÓN ($COP)]])*1%</f>
        <v>7182.8869186697775</v>
      </c>
      <c r="AF786" s="15">
        <f>+(D.sign_Data[[#This Row],[VALOR NETO ($COP)]]+D.sign_Data[[#This Row],[NEGOCIACIÓN ($COP)]])*1%</f>
        <v>7182.8869186697775</v>
      </c>
      <c r="AG786" s="3">
        <f>+D.sign_Data[[#This Row],[VALOR NETO ($COP)]]+D.sign_Data[[#This Row],[NEGOCIACIÓN ($COP)]]+D.sign_Data[[#This Row],[ICA ($COP)]]+D.sign_Data[[#This Row],[4 * 1000 ($COP)]]</f>
        <v>732654.46570431732</v>
      </c>
    </row>
    <row r="787" spans="1:33" ht="60" hidden="1" customHeight="1" x14ac:dyDescent="0.25">
      <c r="A787" s="14"/>
      <c r="B787" s="87" t="s">
        <v>493</v>
      </c>
      <c r="C787" s="182" t="s">
        <v>919</v>
      </c>
      <c r="D787" s="189" t="str">
        <f>VLOOKUP(D.sign_Data[[#This Row],[CÓDIGO]],Descripciones[[CÓDIGO]:[NOMBRE DE SERVICIO]],3,FALSE)</f>
        <v>D2. Edificación en Altura</v>
      </c>
      <c r="E787" s="87" t="s">
        <v>497</v>
      </c>
      <c r="F787" s="88" t="s">
        <v>666</v>
      </c>
      <c r="G787" s="88" t="s">
        <v>667</v>
      </c>
      <c r="H787" s="104" t="s">
        <v>552</v>
      </c>
      <c r="I787" s="89">
        <v>1</v>
      </c>
      <c r="J787" s="88" t="s">
        <v>511</v>
      </c>
      <c r="K787" s="102"/>
      <c r="L787" s="91" t="s">
        <v>661</v>
      </c>
      <c r="M787" s="89" t="s">
        <v>381</v>
      </c>
      <c r="N787" s="90">
        <v>4</v>
      </c>
      <c r="O787" s="27">
        <f>IFERROR(+VLOOKUP(M787,D.sign_Lista_Data[[RESPONSABLE]:[SOFTWARE 
VALOR HORA]],3,FALSE),"0")</f>
        <v>20263.424518743668</v>
      </c>
      <c r="P787" s="3">
        <f t="shared" si="26"/>
        <v>81053.698074974673</v>
      </c>
      <c r="Q787" s="11">
        <f>IFERROR(+VLOOKUP(M787,D.sign_Lista_Data[[RESPONSABLE]:[SOFTWARE 
VALOR HORA]],5,FALSE)*D.sign_Data[[#This Row],[TIEMPO (HORAS)]],0)</f>
        <v>16886.187098953054</v>
      </c>
      <c r="R787" s="11">
        <f>IFERROR(+VLOOKUP(M787,D.sign_Lista_Data[[RESPONSABLE]:[SOFTWARE 
VALOR HORA]],8,FALSE)*D.sign_Data[[#This Row],[TIEMPO (HORAS)]],0)</f>
        <v>13643.419548575934</v>
      </c>
      <c r="S787" s="99"/>
      <c r="T787" s="99"/>
      <c r="U787" s="3">
        <f t="shared" si="27"/>
        <v>111583.30472250367</v>
      </c>
      <c r="V787" s="100">
        <f>D.sign_Data[[#This Row],[TIEMPO (HORAS)]]*Gastos_Operativos[[#Totals],[GASTOS HORA]]</f>
        <v>111157.9082892416</v>
      </c>
      <c r="W787" s="3">
        <f>+D.sign_Data[[#This Row],[COSTO 
DIRECTO ($COP)]]+D.sign_Data[[#This Row],[PRORRATEO GASTOS ($COP)]]</f>
        <v>222741.21301174528</v>
      </c>
      <c r="X787" s="101">
        <v>0.1</v>
      </c>
      <c r="Y787" s="15">
        <f>+D.sign_Data[[#This Row],[COSTOS OPERACIONALES ($COP)]]*D.sign_Data[[#This Row],[DESFASE (%)]]</f>
        <v>22274.121301174528</v>
      </c>
      <c r="Z787" s="101">
        <v>0.15</v>
      </c>
      <c r="AA787" s="15">
        <f>+((D.sign_Data[[#This Row],[COSTOS OPERACIONALES ($COP)]]/(100%-D.sign_Data[[#This Row],[UTILIDAD (%)]])))-D.sign_Data[[#This Row],[COSTOS OPERACIONALES ($COP)]]</f>
        <v>39307.272884425649</v>
      </c>
      <c r="AB787" s="3">
        <f>+D.sign_Data[[#This Row],[COSTOS OPERACIONALES ($COP)]]+D.sign_Data[[#This Row],[DESFASE ($COP)]]+D.sign_Data[[#This Row],[UTILIDAD ($COP)]]</f>
        <v>284322.60719734547</v>
      </c>
      <c r="AC787" s="101">
        <v>0.05</v>
      </c>
      <c r="AD787" s="15">
        <f>+D.sign_Data[[#This Row],[VALOR NETO ($COP)]]/(100%-D.sign_Data[[#This Row],[MARGEN DE NEGOCIACIÓN (%)]])-D.sign_Data[[#This Row],[VALOR NETO ($COP)]]</f>
        <v>14964.347747228749</v>
      </c>
      <c r="AE787" s="15">
        <f>+(D.sign_Data[[#This Row],[VALOR NETO ($COP)]]+D.sign_Data[[#This Row],[NEGOCIACIÓN ($COP)]])*1%</f>
        <v>2992.869549445742</v>
      </c>
      <c r="AF787" s="15">
        <f>+(D.sign_Data[[#This Row],[VALOR NETO ($COP)]]+D.sign_Data[[#This Row],[NEGOCIACIÓN ($COP)]])*1%</f>
        <v>2992.869549445742</v>
      </c>
      <c r="AG787" s="3">
        <f>+D.sign_Data[[#This Row],[VALOR NETO ($COP)]]+D.sign_Data[[#This Row],[NEGOCIACIÓN ($COP)]]+D.sign_Data[[#This Row],[ICA ($COP)]]+D.sign_Data[[#This Row],[4 * 1000 ($COP)]]</f>
        <v>305272.69404346572</v>
      </c>
    </row>
    <row r="788" spans="1:33" ht="60" hidden="1" customHeight="1" x14ac:dyDescent="0.25">
      <c r="A788" s="14"/>
      <c r="B788" s="87" t="s">
        <v>493</v>
      </c>
      <c r="C788" s="182" t="s">
        <v>919</v>
      </c>
      <c r="D788" s="189" t="str">
        <f>VLOOKUP(D.sign_Data[[#This Row],[CÓDIGO]],Descripciones[[CÓDIGO]:[NOMBRE DE SERVICIO]],3,FALSE)</f>
        <v>D2. Edificación en Altura</v>
      </c>
      <c r="E788" s="87" t="s">
        <v>497</v>
      </c>
      <c r="F788" s="88" t="s">
        <v>666</v>
      </c>
      <c r="G788" s="88" t="s">
        <v>667</v>
      </c>
      <c r="H788" s="104" t="s">
        <v>552</v>
      </c>
      <c r="I788" s="89">
        <v>1</v>
      </c>
      <c r="J788" s="88" t="s">
        <v>511</v>
      </c>
      <c r="K788" s="102"/>
      <c r="L788" s="91" t="s">
        <v>662</v>
      </c>
      <c r="M788" s="89" t="s">
        <v>381</v>
      </c>
      <c r="N788" s="90">
        <v>9.6</v>
      </c>
      <c r="O788" s="27">
        <f>IFERROR(+VLOOKUP(M788,D.sign_Lista_Data[[RESPONSABLE]:[SOFTWARE 
VALOR HORA]],3,FALSE),"0")</f>
        <v>20263.424518743668</v>
      </c>
      <c r="P788" s="3">
        <f t="shared" si="26"/>
        <v>194528.87537993921</v>
      </c>
      <c r="Q788" s="11">
        <f>IFERROR(+VLOOKUP(M788,D.sign_Lista_Data[[RESPONSABLE]:[SOFTWARE 
VALOR HORA]],5,FALSE)*D.sign_Data[[#This Row],[TIEMPO (HORAS)]],0)</f>
        <v>40526.849037487329</v>
      </c>
      <c r="R788" s="11">
        <f>IFERROR(+VLOOKUP(M788,D.sign_Lista_Data[[RESPONSABLE]:[SOFTWARE 
VALOR HORA]],8,FALSE)*D.sign_Data[[#This Row],[TIEMPO (HORAS)]],0)</f>
        <v>32744.20691658224</v>
      </c>
      <c r="S788" s="99"/>
      <c r="T788" s="99"/>
      <c r="U788" s="3">
        <f t="shared" si="27"/>
        <v>267799.93133400875</v>
      </c>
      <c r="V788" s="100">
        <f>D.sign_Data[[#This Row],[TIEMPO (HORAS)]]*Gastos_Operativos[[#Totals],[GASTOS HORA]]</f>
        <v>266778.97989417985</v>
      </c>
      <c r="W788" s="3">
        <f>+D.sign_Data[[#This Row],[COSTO 
DIRECTO ($COP)]]+D.sign_Data[[#This Row],[PRORRATEO GASTOS ($COP)]]</f>
        <v>534578.91122818855</v>
      </c>
      <c r="X788" s="101">
        <v>0.1</v>
      </c>
      <c r="Y788" s="15">
        <f>+D.sign_Data[[#This Row],[COSTOS OPERACIONALES ($COP)]]*D.sign_Data[[#This Row],[DESFASE (%)]]</f>
        <v>53457.891122818859</v>
      </c>
      <c r="Z788" s="101">
        <v>0.15</v>
      </c>
      <c r="AA788" s="15">
        <f>+((D.sign_Data[[#This Row],[COSTOS OPERACIONALES ($COP)]]/(100%-D.sign_Data[[#This Row],[UTILIDAD (%)]])))-D.sign_Data[[#This Row],[COSTOS OPERACIONALES ($COP)]]</f>
        <v>94337.454922621488</v>
      </c>
      <c r="AB788" s="3">
        <f>+D.sign_Data[[#This Row],[COSTOS OPERACIONALES ($COP)]]+D.sign_Data[[#This Row],[DESFASE ($COP)]]+D.sign_Data[[#This Row],[UTILIDAD ($COP)]]</f>
        <v>682374.25727362884</v>
      </c>
      <c r="AC788" s="101">
        <v>0.05</v>
      </c>
      <c r="AD788" s="15">
        <f>+D.sign_Data[[#This Row],[VALOR NETO ($COP)]]/(100%-D.sign_Data[[#This Row],[MARGEN DE NEGOCIACIÓN (%)]])-D.sign_Data[[#This Row],[VALOR NETO ($COP)]]</f>
        <v>35914.43459334888</v>
      </c>
      <c r="AE788" s="15">
        <f>+(D.sign_Data[[#This Row],[VALOR NETO ($COP)]]+D.sign_Data[[#This Row],[NEGOCIACIÓN ($COP)]])*1%</f>
        <v>7182.8869186697775</v>
      </c>
      <c r="AF788" s="15">
        <f>+(D.sign_Data[[#This Row],[VALOR NETO ($COP)]]+D.sign_Data[[#This Row],[NEGOCIACIÓN ($COP)]])*1%</f>
        <v>7182.8869186697775</v>
      </c>
      <c r="AG788" s="3">
        <f>+D.sign_Data[[#This Row],[VALOR NETO ($COP)]]+D.sign_Data[[#This Row],[NEGOCIACIÓN ($COP)]]+D.sign_Data[[#This Row],[ICA ($COP)]]+D.sign_Data[[#This Row],[4 * 1000 ($COP)]]</f>
        <v>732654.46570431732</v>
      </c>
    </row>
    <row r="789" spans="1:33" ht="60" hidden="1" customHeight="1" x14ac:dyDescent="0.25">
      <c r="A789" s="14"/>
      <c r="B789" s="87" t="s">
        <v>493</v>
      </c>
      <c r="C789" s="182" t="s">
        <v>919</v>
      </c>
      <c r="D789" s="189" t="str">
        <f>VLOOKUP(D.sign_Data[[#This Row],[CÓDIGO]],Descripciones[[CÓDIGO]:[NOMBRE DE SERVICIO]],3,FALSE)</f>
        <v>D2. Edificación en Altura</v>
      </c>
      <c r="E789" s="87" t="s">
        <v>497</v>
      </c>
      <c r="F789" s="88" t="s">
        <v>666</v>
      </c>
      <c r="G789" s="88" t="s">
        <v>667</v>
      </c>
      <c r="H789" s="104" t="s">
        <v>552</v>
      </c>
      <c r="I789" s="89">
        <v>1</v>
      </c>
      <c r="J789" s="88" t="s">
        <v>511</v>
      </c>
      <c r="K789" s="102"/>
      <c r="L789" s="91" t="s">
        <v>920</v>
      </c>
      <c r="M789" s="89" t="s">
        <v>381</v>
      </c>
      <c r="N789" s="90">
        <v>6</v>
      </c>
      <c r="O789" s="27">
        <f>IFERROR(+VLOOKUP(M789,D.sign_Lista_Data[[RESPONSABLE]:[SOFTWARE 
VALOR HORA]],3,FALSE),"0")</f>
        <v>20263.424518743668</v>
      </c>
      <c r="P789" s="3">
        <f t="shared" si="26"/>
        <v>121580.54711246201</v>
      </c>
      <c r="Q789" s="11">
        <f>IFERROR(+VLOOKUP(M789,D.sign_Lista_Data[[RESPONSABLE]:[SOFTWARE 
VALOR HORA]],5,FALSE)*D.sign_Data[[#This Row],[TIEMPO (HORAS)]],0)</f>
        <v>25329.28064842958</v>
      </c>
      <c r="R789" s="11">
        <f>IFERROR(+VLOOKUP(M789,D.sign_Lista_Data[[RESPONSABLE]:[SOFTWARE 
VALOR HORA]],8,FALSE)*D.sign_Data[[#This Row],[TIEMPO (HORAS)]],0)</f>
        <v>20465.129322863901</v>
      </c>
      <c r="S789" s="99"/>
      <c r="T789" s="99"/>
      <c r="U789" s="3">
        <f t="shared" si="27"/>
        <v>167374.95708375549</v>
      </c>
      <c r="V789" s="100">
        <f>D.sign_Data[[#This Row],[TIEMPO (HORAS)]]*Gastos_Operativos[[#Totals],[GASTOS HORA]]</f>
        <v>166736.86243386241</v>
      </c>
      <c r="W789" s="3">
        <f>+D.sign_Data[[#This Row],[COSTO 
DIRECTO ($COP)]]+D.sign_Data[[#This Row],[PRORRATEO GASTOS ($COP)]]</f>
        <v>334111.81951761793</v>
      </c>
      <c r="X789" s="101">
        <v>0.1</v>
      </c>
      <c r="Y789" s="15">
        <f>+D.sign_Data[[#This Row],[COSTOS OPERACIONALES ($COP)]]*D.sign_Data[[#This Row],[DESFASE (%)]]</f>
        <v>33411.181951761791</v>
      </c>
      <c r="Z789" s="101">
        <v>0.15</v>
      </c>
      <c r="AA789" s="15">
        <f>+((D.sign_Data[[#This Row],[COSTOS OPERACIONALES ($COP)]]/(100%-D.sign_Data[[#This Row],[UTILIDAD (%)]])))-D.sign_Data[[#This Row],[COSTOS OPERACIONALES ($COP)]]</f>
        <v>58960.909326638444</v>
      </c>
      <c r="AB789" s="3">
        <f>+D.sign_Data[[#This Row],[COSTOS OPERACIONALES ($COP)]]+D.sign_Data[[#This Row],[DESFASE ($COP)]]+D.sign_Data[[#This Row],[UTILIDAD ($COP)]]</f>
        <v>426483.91079601814</v>
      </c>
      <c r="AC789" s="101">
        <v>0.05</v>
      </c>
      <c r="AD789" s="15">
        <f>+D.sign_Data[[#This Row],[VALOR NETO ($COP)]]/(100%-D.sign_Data[[#This Row],[MARGEN DE NEGOCIACIÓN (%)]])-D.sign_Data[[#This Row],[VALOR NETO ($COP)]]</f>
        <v>22446.521620843094</v>
      </c>
      <c r="AE789" s="15">
        <f>+(D.sign_Data[[#This Row],[VALOR NETO ($COP)]]+D.sign_Data[[#This Row],[NEGOCIACIÓN ($COP)]])*1%</f>
        <v>4489.3043241686128</v>
      </c>
      <c r="AF789" s="15">
        <f>+(D.sign_Data[[#This Row],[VALOR NETO ($COP)]]+D.sign_Data[[#This Row],[NEGOCIACIÓN ($COP)]])*1%</f>
        <v>4489.3043241686128</v>
      </c>
      <c r="AG789" s="3">
        <f>+D.sign_Data[[#This Row],[VALOR NETO ($COP)]]+D.sign_Data[[#This Row],[NEGOCIACIÓN ($COP)]]+D.sign_Data[[#This Row],[ICA ($COP)]]+D.sign_Data[[#This Row],[4 * 1000 ($COP)]]</f>
        <v>457909.04106519843</v>
      </c>
    </row>
    <row r="790" spans="1:33" ht="60" hidden="1" customHeight="1" x14ac:dyDescent="0.25">
      <c r="A790" s="14"/>
      <c r="B790" s="87" t="s">
        <v>493</v>
      </c>
      <c r="C790" s="182" t="s">
        <v>919</v>
      </c>
      <c r="D790" s="189" t="str">
        <f>VLOOKUP(D.sign_Data[[#This Row],[CÓDIGO]],Descripciones[[CÓDIGO]:[NOMBRE DE SERVICIO]],3,FALSE)</f>
        <v>D2. Edificación en Altura</v>
      </c>
      <c r="E790" s="87" t="s">
        <v>497</v>
      </c>
      <c r="F790" s="88" t="s">
        <v>666</v>
      </c>
      <c r="G790" s="88" t="s">
        <v>667</v>
      </c>
      <c r="H790" s="104" t="s">
        <v>552</v>
      </c>
      <c r="I790" s="89">
        <v>1</v>
      </c>
      <c r="J790" s="88" t="s">
        <v>511</v>
      </c>
      <c r="K790" s="102"/>
      <c r="L790" s="88" t="s">
        <v>664</v>
      </c>
      <c r="M790" s="89" t="s">
        <v>381</v>
      </c>
      <c r="N790" s="90">
        <v>1</v>
      </c>
      <c r="O790" s="27">
        <f>IFERROR(+VLOOKUP(M790,D.sign_Lista_Data[[RESPONSABLE]:[SOFTWARE 
VALOR HORA]],3,FALSE),"0")</f>
        <v>20263.424518743668</v>
      </c>
      <c r="P790" s="3">
        <f t="shared" si="26"/>
        <v>20263.424518743668</v>
      </c>
      <c r="Q790" s="11">
        <f>IFERROR(+VLOOKUP(M790,D.sign_Lista_Data[[RESPONSABLE]:[SOFTWARE 
VALOR HORA]],5,FALSE)*D.sign_Data[[#This Row],[TIEMPO (HORAS)]],0)</f>
        <v>4221.5467747382636</v>
      </c>
      <c r="R790" s="11">
        <f>IFERROR(+VLOOKUP(M790,D.sign_Lista_Data[[RESPONSABLE]:[SOFTWARE 
VALOR HORA]],8,FALSE)*D.sign_Data[[#This Row],[TIEMPO (HORAS)]],0)</f>
        <v>3410.8548871439834</v>
      </c>
      <c r="S790" s="99"/>
      <c r="T790" s="99"/>
      <c r="U790" s="3">
        <f t="shared" si="27"/>
        <v>27895.826180625918</v>
      </c>
      <c r="V790" s="100">
        <f>D.sign_Data[[#This Row],[TIEMPO (HORAS)]]*Gastos_Operativos[[#Totals],[GASTOS HORA]]</f>
        <v>27789.477072310401</v>
      </c>
      <c r="W790" s="3">
        <f>+D.sign_Data[[#This Row],[COSTO 
DIRECTO ($COP)]]+D.sign_Data[[#This Row],[PRORRATEO GASTOS ($COP)]]</f>
        <v>55685.303252936319</v>
      </c>
      <c r="X790" s="101">
        <v>0.1</v>
      </c>
      <c r="Y790" s="15">
        <f>+D.sign_Data[[#This Row],[COSTOS OPERACIONALES ($COP)]]*D.sign_Data[[#This Row],[DESFASE (%)]]</f>
        <v>5568.5303252936319</v>
      </c>
      <c r="Z790" s="101">
        <v>0.15</v>
      </c>
      <c r="AA790" s="15">
        <f>+((D.sign_Data[[#This Row],[COSTOS OPERACIONALES ($COP)]]/(100%-D.sign_Data[[#This Row],[UTILIDAD (%)]])))-D.sign_Data[[#This Row],[COSTOS OPERACIONALES ($COP)]]</f>
        <v>9826.8182211064122</v>
      </c>
      <c r="AB790" s="3">
        <f>+D.sign_Data[[#This Row],[COSTOS OPERACIONALES ($COP)]]+D.sign_Data[[#This Row],[DESFASE ($COP)]]+D.sign_Data[[#This Row],[UTILIDAD ($COP)]]</f>
        <v>71080.651799336367</v>
      </c>
      <c r="AC790" s="101">
        <v>0.05</v>
      </c>
      <c r="AD790" s="15">
        <f>+D.sign_Data[[#This Row],[VALOR NETO ($COP)]]/(100%-D.sign_Data[[#This Row],[MARGEN DE NEGOCIACIÓN (%)]])-D.sign_Data[[#This Row],[VALOR NETO ($COP)]]</f>
        <v>3741.0869368071872</v>
      </c>
      <c r="AE790" s="15">
        <f>+(D.sign_Data[[#This Row],[VALOR NETO ($COP)]]+D.sign_Data[[#This Row],[NEGOCIACIÓN ($COP)]])*1%</f>
        <v>748.2173873614355</v>
      </c>
      <c r="AF790" s="15">
        <f>+(D.sign_Data[[#This Row],[VALOR NETO ($COP)]]+D.sign_Data[[#This Row],[NEGOCIACIÓN ($COP)]])*1%</f>
        <v>748.2173873614355</v>
      </c>
      <c r="AG790" s="3">
        <f>+D.sign_Data[[#This Row],[VALOR NETO ($COP)]]+D.sign_Data[[#This Row],[NEGOCIACIÓN ($COP)]]+D.sign_Data[[#This Row],[ICA ($COP)]]+D.sign_Data[[#This Row],[4 * 1000 ($COP)]]</f>
        <v>76318.173510866429</v>
      </c>
    </row>
    <row r="791" spans="1:33" ht="60" hidden="1" customHeight="1" x14ac:dyDescent="0.25">
      <c r="A791" s="14"/>
      <c r="B791" s="87" t="s">
        <v>493</v>
      </c>
      <c r="C791" s="182" t="s">
        <v>919</v>
      </c>
      <c r="D791" s="189" t="str">
        <f>VLOOKUP(D.sign_Data[[#This Row],[CÓDIGO]],Descripciones[[CÓDIGO]:[NOMBRE DE SERVICIO]],3,FALSE)</f>
        <v>D2. Edificación en Altura</v>
      </c>
      <c r="E791" s="87" t="s">
        <v>497</v>
      </c>
      <c r="F791" s="88" t="s">
        <v>666</v>
      </c>
      <c r="G791" s="88" t="s">
        <v>667</v>
      </c>
      <c r="H791" s="104" t="s">
        <v>552</v>
      </c>
      <c r="I791" s="89">
        <v>1</v>
      </c>
      <c r="J791" s="88" t="s">
        <v>511</v>
      </c>
      <c r="K791" s="102"/>
      <c r="L791" s="88" t="s">
        <v>518</v>
      </c>
      <c r="M791" s="89" t="s">
        <v>381</v>
      </c>
      <c r="N791" s="90">
        <v>4</v>
      </c>
      <c r="O791" s="27">
        <f>IFERROR(+VLOOKUP(M791,D.sign_Lista_Data[[RESPONSABLE]:[SOFTWARE 
VALOR HORA]],3,FALSE),"0")</f>
        <v>20263.424518743668</v>
      </c>
      <c r="P791" s="3">
        <f t="shared" si="26"/>
        <v>81053.698074974673</v>
      </c>
      <c r="Q791" s="11">
        <f>IFERROR(+VLOOKUP(M791,D.sign_Lista_Data[[RESPONSABLE]:[SOFTWARE 
VALOR HORA]],5,FALSE)*D.sign_Data[[#This Row],[TIEMPO (HORAS)]],0)</f>
        <v>16886.187098953054</v>
      </c>
      <c r="R791" s="11">
        <f>IFERROR(+VLOOKUP(M791,D.sign_Lista_Data[[RESPONSABLE]:[SOFTWARE 
VALOR HORA]],8,FALSE)*D.sign_Data[[#This Row],[TIEMPO (HORAS)]],0)</f>
        <v>13643.419548575934</v>
      </c>
      <c r="S791" s="99"/>
      <c r="T791" s="99"/>
      <c r="U791" s="3">
        <f t="shared" si="27"/>
        <v>111583.30472250367</v>
      </c>
      <c r="V791" s="100">
        <f>D.sign_Data[[#This Row],[TIEMPO (HORAS)]]*Gastos_Operativos[[#Totals],[GASTOS HORA]]</f>
        <v>111157.9082892416</v>
      </c>
      <c r="W791" s="3">
        <f>+D.sign_Data[[#This Row],[COSTO 
DIRECTO ($COP)]]+D.sign_Data[[#This Row],[PRORRATEO GASTOS ($COP)]]</f>
        <v>222741.21301174528</v>
      </c>
      <c r="X791" s="101">
        <v>0.1</v>
      </c>
      <c r="Y791" s="15">
        <f>+D.sign_Data[[#This Row],[COSTOS OPERACIONALES ($COP)]]*D.sign_Data[[#This Row],[DESFASE (%)]]</f>
        <v>22274.121301174528</v>
      </c>
      <c r="Z791" s="101">
        <v>0.15</v>
      </c>
      <c r="AA791" s="15">
        <f>+((D.sign_Data[[#This Row],[COSTOS OPERACIONALES ($COP)]]/(100%-D.sign_Data[[#This Row],[UTILIDAD (%)]])))-D.sign_Data[[#This Row],[COSTOS OPERACIONALES ($COP)]]</f>
        <v>39307.272884425649</v>
      </c>
      <c r="AB791" s="3">
        <f>+D.sign_Data[[#This Row],[COSTOS OPERACIONALES ($COP)]]+D.sign_Data[[#This Row],[DESFASE ($COP)]]+D.sign_Data[[#This Row],[UTILIDAD ($COP)]]</f>
        <v>284322.60719734547</v>
      </c>
      <c r="AC791" s="101">
        <v>0.05</v>
      </c>
      <c r="AD791" s="15">
        <f>+D.sign_Data[[#This Row],[VALOR NETO ($COP)]]/(100%-D.sign_Data[[#This Row],[MARGEN DE NEGOCIACIÓN (%)]])-D.sign_Data[[#This Row],[VALOR NETO ($COP)]]</f>
        <v>14964.347747228749</v>
      </c>
      <c r="AE791" s="15">
        <f>+(D.sign_Data[[#This Row],[VALOR NETO ($COP)]]+D.sign_Data[[#This Row],[NEGOCIACIÓN ($COP)]])*1%</f>
        <v>2992.869549445742</v>
      </c>
      <c r="AF791" s="15">
        <f>+(D.sign_Data[[#This Row],[VALOR NETO ($COP)]]+D.sign_Data[[#This Row],[NEGOCIACIÓN ($COP)]])*1%</f>
        <v>2992.869549445742</v>
      </c>
      <c r="AG791" s="3">
        <f>+D.sign_Data[[#This Row],[VALOR NETO ($COP)]]+D.sign_Data[[#This Row],[NEGOCIACIÓN ($COP)]]+D.sign_Data[[#This Row],[ICA ($COP)]]+D.sign_Data[[#This Row],[4 * 1000 ($COP)]]</f>
        <v>305272.69404346572</v>
      </c>
    </row>
    <row r="792" spans="1:33" ht="60" hidden="1" customHeight="1" x14ac:dyDescent="0.25">
      <c r="A792" s="14"/>
      <c r="B792" s="87" t="s">
        <v>493</v>
      </c>
      <c r="C792" s="182" t="s">
        <v>919</v>
      </c>
      <c r="D792" s="189" t="str">
        <f>VLOOKUP(D.sign_Data[[#This Row],[CÓDIGO]],Descripciones[[CÓDIGO]:[NOMBRE DE SERVICIO]],3,FALSE)</f>
        <v>D2. Edificación en Altura</v>
      </c>
      <c r="E792" s="87" t="s">
        <v>497</v>
      </c>
      <c r="F792" s="88" t="s">
        <v>666</v>
      </c>
      <c r="G792" s="88" t="s">
        <v>667</v>
      </c>
      <c r="H792" s="104" t="s">
        <v>552</v>
      </c>
      <c r="I792" s="89">
        <v>1</v>
      </c>
      <c r="J792" s="88" t="s">
        <v>511</v>
      </c>
      <c r="K792" s="102"/>
      <c r="L792" s="88" t="s">
        <v>519</v>
      </c>
      <c r="M792" s="89" t="s">
        <v>381</v>
      </c>
      <c r="N792" s="90">
        <v>0.5</v>
      </c>
      <c r="O792" s="27">
        <f>IFERROR(+VLOOKUP(M792,D.sign_Lista_Data[[RESPONSABLE]:[SOFTWARE 
VALOR HORA]],3,FALSE),"0")</f>
        <v>20263.424518743668</v>
      </c>
      <c r="P792" s="3">
        <f t="shared" si="26"/>
        <v>10131.712259371834</v>
      </c>
      <c r="Q792" s="11">
        <f>IFERROR(+VLOOKUP(M792,D.sign_Lista_Data[[RESPONSABLE]:[SOFTWARE 
VALOR HORA]],5,FALSE)*D.sign_Data[[#This Row],[TIEMPO (HORAS)]],0)</f>
        <v>2110.7733873691318</v>
      </c>
      <c r="R792" s="11">
        <f>IFERROR(+VLOOKUP(M792,D.sign_Lista_Data[[RESPONSABLE]:[SOFTWARE 
VALOR HORA]],8,FALSE)*D.sign_Data[[#This Row],[TIEMPO (HORAS)]],0)</f>
        <v>1705.4274435719917</v>
      </c>
      <c r="S792" s="99"/>
      <c r="T792" s="99"/>
      <c r="U792" s="3">
        <f t="shared" si="27"/>
        <v>13947.913090312959</v>
      </c>
      <c r="V792" s="100">
        <f>D.sign_Data[[#This Row],[TIEMPO (HORAS)]]*Gastos_Operativos[[#Totals],[GASTOS HORA]]</f>
        <v>13894.738536155201</v>
      </c>
      <c r="W792" s="3">
        <f>+D.sign_Data[[#This Row],[COSTO 
DIRECTO ($COP)]]+D.sign_Data[[#This Row],[PRORRATEO GASTOS ($COP)]]</f>
        <v>27842.65162646816</v>
      </c>
      <c r="X792" s="101">
        <v>0.1</v>
      </c>
      <c r="Y792" s="15">
        <f>+D.sign_Data[[#This Row],[COSTOS OPERACIONALES ($COP)]]*D.sign_Data[[#This Row],[DESFASE (%)]]</f>
        <v>2784.265162646816</v>
      </c>
      <c r="Z792" s="101">
        <v>0.15</v>
      </c>
      <c r="AA792" s="15">
        <f>+((D.sign_Data[[#This Row],[COSTOS OPERACIONALES ($COP)]]/(100%-D.sign_Data[[#This Row],[UTILIDAD (%)]])))-D.sign_Data[[#This Row],[COSTOS OPERACIONALES ($COP)]]</f>
        <v>4913.4091105532061</v>
      </c>
      <c r="AB792" s="3">
        <f>+D.sign_Data[[#This Row],[COSTOS OPERACIONALES ($COP)]]+D.sign_Data[[#This Row],[DESFASE ($COP)]]+D.sign_Data[[#This Row],[UTILIDAD ($COP)]]</f>
        <v>35540.325899668183</v>
      </c>
      <c r="AC792" s="101">
        <v>0.05</v>
      </c>
      <c r="AD792" s="15">
        <f>+D.sign_Data[[#This Row],[VALOR NETO ($COP)]]/(100%-D.sign_Data[[#This Row],[MARGEN DE NEGOCIACIÓN (%)]])-D.sign_Data[[#This Row],[VALOR NETO ($COP)]]</f>
        <v>1870.5434684035936</v>
      </c>
      <c r="AE792" s="15">
        <f>+(D.sign_Data[[#This Row],[VALOR NETO ($COP)]]+D.sign_Data[[#This Row],[NEGOCIACIÓN ($COP)]])*1%</f>
        <v>374.10869368071775</v>
      </c>
      <c r="AF792" s="15">
        <f>+(D.sign_Data[[#This Row],[VALOR NETO ($COP)]]+D.sign_Data[[#This Row],[NEGOCIACIÓN ($COP)]])*1%</f>
        <v>374.10869368071775</v>
      </c>
      <c r="AG792" s="3">
        <f>+D.sign_Data[[#This Row],[VALOR NETO ($COP)]]+D.sign_Data[[#This Row],[NEGOCIACIÓN ($COP)]]+D.sign_Data[[#This Row],[ICA ($COP)]]+D.sign_Data[[#This Row],[4 * 1000 ($COP)]]</f>
        <v>38159.086755433214</v>
      </c>
    </row>
    <row r="793" spans="1:33" ht="60" hidden="1" customHeight="1" x14ac:dyDescent="0.25">
      <c r="A793" s="14"/>
      <c r="B793" s="87" t="s">
        <v>418</v>
      </c>
      <c r="C793" s="182" t="s">
        <v>921</v>
      </c>
      <c r="D793" s="189" t="str">
        <f>VLOOKUP(D.sign_Data[[#This Row],[CÓDIGO]],Descripciones[[CÓDIGO]:[NOMBRE DE SERVICIO]],3,FALSE)</f>
        <v>D3. Vivienda Campestre</v>
      </c>
      <c r="E793" s="87" t="s">
        <v>497</v>
      </c>
      <c r="F793" s="88" t="s">
        <v>922</v>
      </c>
      <c r="G793" s="88" t="s">
        <v>536</v>
      </c>
      <c r="H793" s="87" t="s">
        <v>500</v>
      </c>
      <c r="I793" s="89">
        <v>1</v>
      </c>
      <c r="J793" s="88" t="s">
        <v>728</v>
      </c>
      <c r="K793" s="102"/>
      <c r="L793" s="88" t="s">
        <v>923</v>
      </c>
      <c r="M793" s="89" t="s">
        <v>381</v>
      </c>
      <c r="N793" s="90">
        <v>0.25</v>
      </c>
      <c r="O793" s="27">
        <f>IFERROR(+VLOOKUP(M793,D.sign_Lista_Data[[RESPONSABLE]:[SOFTWARE 
VALOR HORA]],3,FALSE),"0")</f>
        <v>20263.424518743668</v>
      </c>
      <c r="P793" s="3">
        <f>+O793*N793</f>
        <v>5065.856129685917</v>
      </c>
      <c r="Q793" s="11">
        <f>IFERROR(+VLOOKUP(M793,D.sign_Lista_Data[[RESPONSABLE]:[SOFTWARE 
VALOR HORA]],5,FALSE)*D.sign_Data[[#This Row],[TIEMPO (HORAS)]],0)</f>
        <v>1055.3866936845659</v>
      </c>
      <c r="R793" s="11">
        <f>IFERROR(+VLOOKUP(M793,D.sign_Lista_Data[[RESPONSABLE]:[SOFTWARE 
VALOR HORA]],8,FALSE)*D.sign_Data[[#This Row],[TIEMPO (HORAS)]],0)</f>
        <v>852.71372178599586</v>
      </c>
      <c r="S793" s="99"/>
      <c r="T793" s="99"/>
      <c r="U793" s="3">
        <f>SUM(P793:T793)</f>
        <v>6973.9565451564795</v>
      </c>
      <c r="V793" s="100">
        <f>D.sign_Data[[#This Row],[TIEMPO (HORAS)]]*Gastos_Operativos[[#Totals],[GASTOS HORA]]</f>
        <v>6947.3692680776003</v>
      </c>
      <c r="W793" s="3">
        <f>+D.sign_Data[[#This Row],[COSTO 
DIRECTO ($COP)]]+D.sign_Data[[#This Row],[PRORRATEO GASTOS ($COP)]]</f>
        <v>13921.32581323408</v>
      </c>
      <c r="X793" s="101">
        <v>0.1</v>
      </c>
      <c r="Y793" s="15">
        <f>+D.sign_Data[[#This Row],[COSTOS OPERACIONALES ($COP)]]*D.sign_Data[[#This Row],[DESFASE (%)]]</f>
        <v>1392.132581323408</v>
      </c>
      <c r="Z793" s="101">
        <v>0.2</v>
      </c>
      <c r="AA793" s="15">
        <f>+((D.sign_Data[[#This Row],[COSTOS OPERACIONALES ($COP)]]/(100%-D.sign_Data[[#This Row],[UTILIDAD (%)]])))-D.sign_Data[[#This Row],[COSTOS OPERACIONALES ($COP)]]</f>
        <v>3480.3314533085195</v>
      </c>
      <c r="AB793" s="3">
        <f>+D.sign_Data[[#This Row],[COSTOS OPERACIONALES ($COP)]]+D.sign_Data[[#This Row],[DESFASE ($COP)]]+D.sign_Data[[#This Row],[UTILIDAD ($COP)]]</f>
        <v>18793.789847866006</v>
      </c>
      <c r="AC793" s="101">
        <v>0.05</v>
      </c>
      <c r="AD793" s="15">
        <f>+D.sign_Data[[#This Row],[VALOR NETO ($COP)]]/(100%-D.sign_Data[[#This Row],[MARGEN DE NEGOCIACIÓN (%)]])-D.sign_Data[[#This Row],[VALOR NETO ($COP)]]</f>
        <v>989.14683409821009</v>
      </c>
      <c r="AE793" s="15">
        <f>+(D.sign_Data[[#This Row],[VALOR NETO ($COP)]]+D.sign_Data[[#This Row],[NEGOCIACIÓN ($COP)]])*1%</f>
        <v>197.82936681964216</v>
      </c>
      <c r="AF793" s="15">
        <f>+(D.sign_Data[[#This Row],[VALOR NETO ($COP)]]+D.sign_Data[[#This Row],[NEGOCIACIÓN ($COP)]])*1%</f>
        <v>197.82936681964216</v>
      </c>
      <c r="AG793" s="3">
        <f>+D.sign_Data[[#This Row],[VALOR NETO ($COP)]]+D.sign_Data[[#This Row],[NEGOCIACIÓN ($COP)]]+D.sign_Data[[#This Row],[ICA ($COP)]]+D.sign_Data[[#This Row],[4 * 1000 ($COP)]]</f>
        <v>20178.5954156035</v>
      </c>
    </row>
    <row r="794" spans="1:33" ht="60" hidden="1" customHeight="1" x14ac:dyDescent="0.25">
      <c r="A794" s="14"/>
      <c r="B794" s="87" t="s">
        <v>418</v>
      </c>
      <c r="C794" s="182" t="s">
        <v>921</v>
      </c>
      <c r="D794" s="189" t="str">
        <f>VLOOKUP(D.sign_Data[[#This Row],[CÓDIGO]],Descripciones[[CÓDIGO]:[NOMBRE DE SERVICIO]],3,FALSE)</f>
        <v>D3. Vivienda Campestre</v>
      </c>
      <c r="E794" s="87" t="s">
        <v>497</v>
      </c>
      <c r="F794" s="88" t="s">
        <v>922</v>
      </c>
      <c r="G794" s="88" t="s">
        <v>536</v>
      </c>
      <c r="H794" s="87" t="s">
        <v>500</v>
      </c>
      <c r="I794" s="89">
        <v>1</v>
      </c>
      <c r="J794" s="88" t="s">
        <v>728</v>
      </c>
      <c r="K794" s="102"/>
      <c r="L794" s="88" t="s">
        <v>636</v>
      </c>
      <c r="M794" s="89" t="s">
        <v>381</v>
      </c>
      <c r="N794" s="90">
        <v>0.05</v>
      </c>
      <c r="O794" s="27">
        <f>IFERROR(+VLOOKUP(M794,D.sign_Lista_Data[[RESPONSABLE]:[SOFTWARE 
VALOR HORA]],3,FALSE),"0")</f>
        <v>20263.424518743668</v>
      </c>
      <c r="P794" s="3">
        <f>+O794*N794</f>
        <v>1013.1712259371834</v>
      </c>
      <c r="Q794" s="11">
        <f>IFERROR(+VLOOKUP(M794,D.sign_Lista_Data[[RESPONSABLE]:[SOFTWARE 
VALOR HORA]],5,FALSE)*D.sign_Data[[#This Row],[TIEMPO (HORAS)]],0)</f>
        <v>211.07733873691319</v>
      </c>
      <c r="R794" s="11">
        <f>IFERROR(+VLOOKUP(M794,D.sign_Lista_Data[[RESPONSABLE]:[SOFTWARE 
VALOR HORA]],8,FALSE)*D.sign_Data[[#This Row],[TIEMPO (HORAS)]],0)</f>
        <v>170.54274435719918</v>
      </c>
      <c r="S794" s="99"/>
      <c r="T794" s="99"/>
      <c r="U794" s="3">
        <f t="shared" si="27"/>
        <v>1394.7913090312957</v>
      </c>
      <c r="V794" s="100">
        <f>D.sign_Data[[#This Row],[TIEMPO (HORAS)]]*Gastos_Operativos[[#Totals],[GASTOS HORA]]</f>
        <v>1389.4738536155201</v>
      </c>
      <c r="W794" s="3">
        <f>+D.sign_Data[[#This Row],[COSTO 
DIRECTO ($COP)]]+D.sign_Data[[#This Row],[PRORRATEO GASTOS ($COP)]]</f>
        <v>2784.265162646816</v>
      </c>
      <c r="X794" s="101">
        <v>0.1</v>
      </c>
      <c r="Y794" s="15">
        <f>+D.sign_Data[[#This Row],[COSTOS OPERACIONALES ($COP)]]*D.sign_Data[[#This Row],[DESFASE (%)]]</f>
        <v>278.4265162646816</v>
      </c>
      <c r="Z794" s="101">
        <v>0.2</v>
      </c>
      <c r="AA794" s="15">
        <f>+((D.sign_Data[[#This Row],[COSTOS OPERACIONALES ($COP)]]/(100%-D.sign_Data[[#This Row],[UTILIDAD (%)]])))-D.sign_Data[[#This Row],[COSTOS OPERACIONALES ($COP)]]</f>
        <v>696.06629066170399</v>
      </c>
      <c r="AB794" s="3">
        <f>+D.sign_Data[[#This Row],[COSTOS OPERACIONALES ($COP)]]+D.sign_Data[[#This Row],[DESFASE ($COP)]]+D.sign_Data[[#This Row],[UTILIDAD ($COP)]]</f>
        <v>3758.7579695732015</v>
      </c>
      <c r="AC794" s="101">
        <v>0.05</v>
      </c>
      <c r="AD794" s="15">
        <f>+D.sign_Data[[#This Row],[VALOR NETO ($COP)]]/(100%-D.sign_Data[[#This Row],[MARGEN DE NEGOCIACIÓN (%)]])-D.sign_Data[[#This Row],[VALOR NETO ($COP)]]</f>
        <v>197.82936681964247</v>
      </c>
      <c r="AE794" s="15">
        <f>+(D.sign_Data[[#This Row],[VALOR NETO ($COP)]]+D.sign_Data[[#This Row],[NEGOCIACIÓN ($COP)]])*1%</f>
        <v>39.565873363928439</v>
      </c>
      <c r="AF794" s="15">
        <f>+(D.sign_Data[[#This Row],[VALOR NETO ($COP)]]+D.sign_Data[[#This Row],[NEGOCIACIÓN ($COP)]])*1%</f>
        <v>39.565873363928439</v>
      </c>
      <c r="AG794" s="3">
        <f>+D.sign_Data[[#This Row],[VALOR NETO ($COP)]]+D.sign_Data[[#This Row],[NEGOCIACIÓN ($COP)]]+D.sign_Data[[#This Row],[ICA ($COP)]]+D.sign_Data[[#This Row],[4 * 1000 ($COP)]]</f>
        <v>4035.7190831207008</v>
      </c>
    </row>
    <row r="795" spans="1:33" ht="60" hidden="1" customHeight="1" x14ac:dyDescent="0.25">
      <c r="A795" s="14"/>
      <c r="B795" s="87" t="s">
        <v>418</v>
      </c>
      <c r="C795" s="182" t="s">
        <v>921</v>
      </c>
      <c r="D795" s="189" t="str">
        <f>VLOOKUP(D.sign_Data[[#This Row],[CÓDIGO]],Descripciones[[CÓDIGO]:[NOMBRE DE SERVICIO]],3,FALSE)</f>
        <v>D3. Vivienda Campestre</v>
      </c>
      <c r="E795" s="87" t="s">
        <v>497</v>
      </c>
      <c r="F795" s="88" t="s">
        <v>922</v>
      </c>
      <c r="G795" s="88" t="s">
        <v>536</v>
      </c>
      <c r="H795" s="87" t="s">
        <v>500</v>
      </c>
      <c r="I795" s="89">
        <v>1</v>
      </c>
      <c r="J795" s="88" t="s">
        <v>728</v>
      </c>
      <c r="K795" s="102"/>
      <c r="L795" s="88" t="s">
        <v>730</v>
      </c>
      <c r="M795" s="89" t="s">
        <v>381</v>
      </c>
      <c r="N795" s="90">
        <v>5</v>
      </c>
      <c r="O795" s="27">
        <f>IFERROR(+VLOOKUP(M795,D.sign_Lista_Data[[RESPONSABLE]:[SOFTWARE 
VALOR HORA]],3,FALSE),"0")</f>
        <v>20263.424518743668</v>
      </c>
      <c r="P795" s="3">
        <f>+O795*N795</f>
        <v>101317.12259371835</v>
      </c>
      <c r="Q795" s="11">
        <f>IFERROR(+VLOOKUP(M795,D.sign_Lista_Data[[RESPONSABLE]:[SOFTWARE 
VALOR HORA]],5,FALSE)*D.sign_Data[[#This Row],[TIEMPO (HORAS)]],0)</f>
        <v>21107.733873691319</v>
      </c>
      <c r="R795" s="11">
        <f>IFERROR(+VLOOKUP(M795,D.sign_Lista_Data[[RESPONSABLE]:[SOFTWARE 
VALOR HORA]],8,FALSE)*D.sign_Data[[#This Row],[TIEMPO (HORAS)]],0)</f>
        <v>17054.274435719919</v>
      </c>
      <c r="S795" s="99"/>
      <c r="T795" s="99"/>
      <c r="U795" s="3">
        <f t="shared" si="27"/>
        <v>139479.13090312958</v>
      </c>
      <c r="V795" s="100">
        <f>D.sign_Data[[#This Row],[TIEMPO (HORAS)]]*Gastos_Operativos[[#Totals],[GASTOS HORA]]</f>
        <v>138947.38536155201</v>
      </c>
      <c r="W795" s="3">
        <f>+D.sign_Data[[#This Row],[COSTO 
DIRECTO ($COP)]]+D.sign_Data[[#This Row],[PRORRATEO GASTOS ($COP)]]</f>
        <v>278426.51626468159</v>
      </c>
      <c r="X795" s="101">
        <v>0.1</v>
      </c>
      <c r="Y795" s="15">
        <f>+D.sign_Data[[#This Row],[COSTOS OPERACIONALES ($COP)]]*D.sign_Data[[#This Row],[DESFASE (%)]]</f>
        <v>27842.65162646816</v>
      </c>
      <c r="Z795" s="101">
        <v>0.2</v>
      </c>
      <c r="AA795" s="15">
        <f>+((D.sign_Data[[#This Row],[COSTOS OPERACIONALES ($COP)]]/(100%-D.sign_Data[[#This Row],[UTILIDAD (%)]])))-D.sign_Data[[#This Row],[COSTOS OPERACIONALES ($COP)]]</f>
        <v>69606.629066170368</v>
      </c>
      <c r="AB795" s="3">
        <f>+D.sign_Data[[#This Row],[COSTOS OPERACIONALES ($COP)]]+D.sign_Data[[#This Row],[DESFASE ($COP)]]+D.sign_Data[[#This Row],[UTILIDAD ($COP)]]</f>
        <v>375875.79695732013</v>
      </c>
      <c r="AC795" s="101">
        <v>0.05</v>
      </c>
      <c r="AD795" s="15">
        <f>+D.sign_Data[[#This Row],[VALOR NETO ($COP)]]/(100%-D.sign_Data[[#This Row],[MARGEN DE NEGOCIACIÓN (%)]])-D.sign_Data[[#This Row],[VALOR NETO ($COP)]]</f>
        <v>19782.93668196426</v>
      </c>
      <c r="AE795" s="15">
        <f>+(D.sign_Data[[#This Row],[VALOR NETO ($COP)]]+D.sign_Data[[#This Row],[NEGOCIACIÓN ($COP)]])*1%</f>
        <v>3956.587336392844</v>
      </c>
      <c r="AF795" s="15">
        <f>+(D.sign_Data[[#This Row],[VALOR NETO ($COP)]]+D.sign_Data[[#This Row],[NEGOCIACIÓN ($COP)]])*1%</f>
        <v>3956.587336392844</v>
      </c>
      <c r="AG795" s="3">
        <f>+D.sign_Data[[#This Row],[VALOR NETO ($COP)]]+D.sign_Data[[#This Row],[NEGOCIACIÓN ($COP)]]+D.sign_Data[[#This Row],[ICA ($COP)]]+D.sign_Data[[#This Row],[4 * 1000 ($COP)]]</f>
        <v>403571.90831207007</v>
      </c>
    </row>
    <row r="796" spans="1:33" ht="60" hidden="1" customHeight="1" x14ac:dyDescent="0.25">
      <c r="A796" s="14"/>
      <c r="B796" s="87" t="s">
        <v>418</v>
      </c>
      <c r="C796" s="182" t="s">
        <v>921</v>
      </c>
      <c r="D796" s="189" t="str">
        <f>VLOOKUP(D.sign_Data[[#This Row],[CÓDIGO]],Descripciones[[CÓDIGO]:[NOMBRE DE SERVICIO]],3,FALSE)</f>
        <v>D3. Vivienda Campestre</v>
      </c>
      <c r="E796" s="87" t="s">
        <v>497</v>
      </c>
      <c r="F796" s="88" t="s">
        <v>922</v>
      </c>
      <c r="G796" s="88" t="s">
        <v>536</v>
      </c>
      <c r="H796" s="87" t="s">
        <v>500</v>
      </c>
      <c r="I796" s="89">
        <v>1</v>
      </c>
      <c r="J796" s="88" t="s">
        <v>728</v>
      </c>
      <c r="K796" s="102"/>
      <c r="L796" s="88" t="s">
        <v>731</v>
      </c>
      <c r="M796" s="89" t="s">
        <v>381</v>
      </c>
      <c r="N796" s="90">
        <v>4</v>
      </c>
      <c r="O796" s="27">
        <f>IFERROR(+VLOOKUP(M796,D.sign_Lista_Data[[RESPONSABLE]:[SOFTWARE 
VALOR HORA]],3,FALSE),"0")</f>
        <v>20263.424518743668</v>
      </c>
      <c r="P796" s="3">
        <f t="shared" si="26"/>
        <v>81053.698074974673</v>
      </c>
      <c r="Q796" s="11">
        <f>IFERROR(+VLOOKUP(M796,D.sign_Lista_Data[[RESPONSABLE]:[SOFTWARE 
VALOR HORA]],5,FALSE)*D.sign_Data[[#This Row],[TIEMPO (HORAS)]],0)</f>
        <v>16886.187098953054</v>
      </c>
      <c r="R796" s="11">
        <f>IFERROR(+VLOOKUP(M796,D.sign_Lista_Data[[RESPONSABLE]:[SOFTWARE 
VALOR HORA]],8,FALSE)*D.sign_Data[[#This Row],[TIEMPO (HORAS)]],0)</f>
        <v>13643.419548575934</v>
      </c>
      <c r="S796" s="99"/>
      <c r="T796" s="99"/>
      <c r="U796" s="3">
        <f t="shared" si="27"/>
        <v>111583.30472250367</v>
      </c>
      <c r="V796" s="100">
        <f>D.sign_Data[[#This Row],[TIEMPO (HORAS)]]*Gastos_Operativos[[#Totals],[GASTOS HORA]]</f>
        <v>111157.9082892416</v>
      </c>
      <c r="W796" s="3">
        <f>+D.sign_Data[[#This Row],[COSTO 
DIRECTO ($COP)]]+D.sign_Data[[#This Row],[PRORRATEO GASTOS ($COP)]]</f>
        <v>222741.21301174528</v>
      </c>
      <c r="X796" s="101">
        <v>0.1</v>
      </c>
      <c r="Y796" s="15">
        <f>+D.sign_Data[[#This Row],[COSTOS OPERACIONALES ($COP)]]*D.sign_Data[[#This Row],[DESFASE (%)]]</f>
        <v>22274.121301174528</v>
      </c>
      <c r="Z796" s="101">
        <v>0.2</v>
      </c>
      <c r="AA796" s="15">
        <f>+((D.sign_Data[[#This Row],[COSTOS OPERACIONALES ($COP)]]/(100%-D.sign_Data[[#This Row],[UTILIDAD (%)]])))-D.sign_Data[[#This Row],[COSTOS OPERACIONALES ($COP)]]</f>
        <v>55685.303252936312</v>
      </c>
      <c r="AB796" s="3">
        <f>+D.sign_Data[[#This Row],[COSTOS OPERACIONALES ($COP)]]+D.sign_Data[[#This Row],[DESFASE ($COP)]]+D.sign_Data[[#This Row],[UTILIDAD ($COP)]]</f>
        <v>300700.6375658561</v>
      </c>
      <c r="AC796" s="101">
        <v>0.05</v>
      </c>
      <c r="AD796" s="15">
        <f>+D.sign_Data[[#This Row],[VALOR NETO ($COP)]]/(100%-D.sign_Data[[#This Row],[MARGEN DE NEGOCIACIÓN (%)]])-D.sign_Data[[#This Row],[VALOR NETO ($COP)]]</f>
        <v>15826.349345571361</v>
      </c>
      <c r="AE796" s="15">
        <f>+(D.sign_Data[[#This Row],[VALOR NETO ($COP)]]+D.sign_Data[[#This Row],[NEGOCIACIÓN ($COP)]])*1%</f>
        <v>3165.2698691142746</v>
      </c>
      <c r="AF796" s="15">
        <f>+(D.sign_Data[[#This Row],[VALOR NETO ($COP)]]+D.sign_Data[[#This Row],[NEGOCIACIÓN ($COP)]])*1%</f>
        <v>3165.2698691142746</v>
      </c>
      <c r="AG796" s="3">
        <f>+D.sign_Data[[#This Row],[VALOR NETO ($COP)]]+D.sign_Data[[#This Row],[NEGOCIACIÓN ($COP)]]+D.sign_Data[[#This Row],[ICA ($COP)]]+D.sign_Data[[#This Row],[4 * 1000 ($COP)]]</f>
        <v>322857.52664965601</v>
      </c>
    </row>
    <row r="797" spans="1:33" ht="60" hidden="1" customHeight="1" x14ac:dyDescent="0.25">
      <c r="A797" s="14"/>
      <c r="B797" s="87" t="s">
        <v>418</v>
      </c>
      <c r="C797" s="182" t="s">
        <v>921</v>
      </c>
      <c r="D797" s="189" t="str">
        <f>VLOOKUP(D.sign_Data[[#This Row],[CÓDIGO]],Descripciones[[CÓDIGO]:[NOMBRE DE SERVICIO]],3,FALSE)</f>
        <v>D3. Vivienda Campestre</v>
      </c>
      <c r="E797" s="87" t="s">
        <v>497</v>
      </c>
      <c r="F797" s="88" t="s">
        <v>922</v>
      </c>
      <c r="G797" s="88" t="s">
        <v>536</v>
      </c>
      <c r="H797" s="87" t="s">
        <v>500</v>
      </c>
      <c r="I797" s="89">
        <v>1</v>
      </c>
      <c r="J797" s="88" t="s">
        <v>728</v>
      </c>
      <c r="K797" s="102"/>
      <c r="L797" s="88" t="s">
        <v>639</v>
      </c>
      <c r="M797" s="89" t="s">
        <v>381</v>
      </c>
      <c r="N797" s="90">
        <v>1.5</v>
      </c>
      <c r="O797" s="27">
        <f>IFERROR(+VLOOKUP(M797,D.sign_Lista_Data[[RESPONSABLE]:[SOFTWARE 
VALOR HORA]],3,FALSE),"0")</f>
        <v>20263.424518743668</v>
      </c>
      <c r="P797" s="3">
        <f t="shared" si="26"/>
        <v>30395.136778115502</v>
      </c>
      <c r="Q797" s="11">
        <f>IFERROR(+VLOOKUP(M797,D.sign_Lista_Data[[RESPONSABLE]:[SOFTWARE 
VALOR HORA]],5,FALSE)*D.sign_Data[[#This Row],[TIEMPO (HORAS)]],0)</f>
        <v>6332.3201621073949</v>
      </c>
      <c r="R797" s="11">
        <f>IFERROR(+VLOOKUP(M797,D.sign_Lista_Data[[RESPONSABLE]:[SOFTWARE 
VALOR HORA]],8,FALSE)*D.sign_Data[[#This Row],[TIEMPO (HORAS)]],0)</f>
        <v>5116.2823307159751</v>
      </c>
      <c r="S797" s="99"/>
      <c r="T797" s="99"/>
      <c r="U797" s="3">
        <f t="shared" si="27"/>
        <v>41843.739270938873</v>
      </c>
      <c r="V797" s="100">
        <f>D.sign_Data[[#This Row],[TIEMPO (HORAS)]]*Gastos_Operativos[[#Totals],[GASTOS HORA]]</f>
        <v>41684.215608465602</v>
      </c>
      <c r="W797" s="3">
        <f>+D.sign_Data[[#This Row],[COSTO 
DIRECTO ($COP)]]+D.sign_Data[[#This Row],[PRORRATEO GASTOS ($COP)]]</f>
        <v>83527.954879404482</v>
      </c>
      <c r="X797" s="101">
        <v>0.1</v>
      </c>
      <c r="Y797" s="15">
        <f>+D.sign_Data[[#This Row],[COSTOS OPERACIONALES ($COP)]]*D.sign_Data[[#This Row],[DESFASE (%)]]</f>
        <v>8352.7954879404479</v>
      </c>
      <c r="Z797" s="101">
        <v>0.2</v>
      </c>
      <c r="AA797" s="15">
        <f>+((D.sign_Data[[#This Row],[COSTOS OPERACIONALES ($COP)]]/(100%-D.sign_Data[[#This Row],[UTILIDAD (%)]])))-D.sign_Data[[#This Row],[COSTOS OPERACIONALES ($COP)]]</f>
        <v>20881.988719851113</v>
      </c>
      <c r="AB797" s="3">
        <f>+D.sign_Data[[#This Row],[COSTOS OPERACIONALES ($COP)]]+D.sign_Data[[#This Row],[DESFASE ($COP)]]+D.sign_Data[[#This Row],[UTILIDAD ($COP)]]</f>
        <v>112762.73908719604</v>
      </c>
      <c r="AC797" s="101">
        <v>0.05</v>
      </c>
      <c r="AD797" s="15">
        <f>+D.sign_Data[[#This Row],[VALOR NETO ($COP)]]/(100%-D.sign_Data[[#This Row],[MARGEN DE NEGOCIACIÓN (%)]])-D.sign_Data[[#This Row],[VALOR NETO ($COP)]]</f>
        <v>5934.8810045892751</v>
      </c>
      <c r="AE797" s="15">
        <f>+(D.sign_Data[[#This Row],[VALOR NETO ($COP)]]+D.sign_Data[[#This Row],[NEGOCIACIÓN ($COP)]])*1%</f>
        <v>1186.9762009178532</v>
      </c>
      <c r="AF797" s="15">
        <f>+(D.sign_Data[[#This Row],[VALOR NETO ($COP)]]+D.sign_Data[[#This Row],[NEGOCIACIÓN ($COP)]])*1%</f>
        <v>1186.9762009178532</v>
      </c>
      <c r="AG797" s="3">
        <f>+D.sign_Data[[#This Row],[VALOR NETO ($COP)]]+D.sign_Data[[#This Row],[NEGOCIACIÓN ($COP)]]+D.sign_Data[[#This Row],[ICA ($COP)]]+D.sign_Data[[#This Row],[4 * 1000 ($COP)]]</f>
        <v>121071.57249362102</v>
      </c>
    </row>
    <row r="798" spans="1:33" ht="60" hidden="1" customHeight="1" x14ac:dyDescent="0.25">
      <c r="A798" s="14"/>
      <c r="B798" s="87" t="s">
        <v>418</v>
      </c>
      <c r="C798" s="182" t="s">
        <v>921</v>
      </c>
      <c r="D798" s="189" t="str">
        <f>VLOOKUP(D.sign_Data[[#This Row],[CÓDIGO]],Descripciones[[CÓDIGO]:[NOMBRE DE SERVICIO]],3,FALSE)</f>
        <v>D3. Vivienda Campestre</v>
      </c>
      <c r="E798" s="87" t="s">
        <v>497</v>
      </c>
      <c r="F798" s="88" t="s">
        <v>922</v>
      </c>
      <c r="G798" s="88" t="s">
        <v>536</v>
      </c>
      <c r="H798" s="87" t="s">
        <v>500</v>
      </c>
      <c r="I798" s="89">
        <v>1</v>
      </c>
      <c r="J798" s="88" t="s">
        <v>728</v>
      </c>
      <c r="K798" s="102"/>
      <c r="L798" s="88" t="s">
        <v>640</v>
      </c>
      <c r="M798" s="89" t="s">
        <v>381</v>
      </c>
      <c r="N798" s="90">
        <v>1</v>
      </c>
      <c r="O798" s="27">
        <f>IFERROR(+VLOOKUP(M798,D.sign_Lista_Data[[RESPONSABLE]:[SOFTWARE 
VALOR HORA]],3,FALSE),"0")</f>
        <v>20263.424518743668</v>
      </c>
      <c r="P798" s="3">
        <f t="shared" si="26"/>
        <v>20263.424518743668</v>
      </c>
      <c r="Q798" s="11">
        <f>IFERROR(+VLOOKUP(M798,D.sign_Lista_Data[[RESPONSABLE]:[SOFTWARE 
VALOR HORA]],5,FALSE)*D.sign_Data[[#This Row],[TIEMPO (HORAS)]],0)</f>
        <v>4221.5467747382636</v>
      </c>
      <c r="R798" s="11">
        <f>IFERROR(+VLOOKUP(M798,D.sign_Lista_Data[[RESPONSABLE]:[SOFTWARE 
VALOR HORA]],8,FALSE)*D.sign_Data[[#This Row],[TIEMPO (HORAS)]],0)</f>
        <v>3410.8548871439834</v>
      </c>
      <c r="S798" s="99"/>
      <c r="T798" s="99"/>
      <c r="U798" s="3">
        <f t="shared" si="27"/>
        <v>27895.826180625918</v>
      </c>
      <c r="V798" s="100">
        <f>D.sign_Data[[#This Row],[TIEMPO (HORAS)]]*Gastos_Operativos[[#Totals],[GASTOS HORA]]</f>
        <v>27789.477072310401</v>
      </c>
      <c r="W798" s="3">
        <f>+D.sign_Data[[#This Row],[COSTO 
DIRECTO ($COP)]]+D.sign_Data[[#This Row],[PRORRATEO GASTOS ($COP)]]</f>
        <v>55685.303252936319</v>
      </c>
      <c r="X798" s="101">
        <v>0.1</v>
      </c>
      <c r="Y798" s="15">
        <f>+D.sign_Data[[#This Row],[COSTOS OPERACIONALES ($COP)]]*D.sign_Data[[#This Row],[DESFASE (%)]]</f>
        <v>5568.5303252936319</v>
      </c>
      <c r="Z798" s="101">
        <v>0.2</v>
      </c>
      <c r="AA798" s="15">
        <f>+((D.sign_Data[[#This Row],[COSTOS OPERACIONALES ($COP)]]/(100%-D.sign_Data[[#This Row],[UTILIDAD (%)]])))-D.sign_Data[[#This Row],[COSTOS OPERACIONALES ($COP)]]</f>
        <v>13921.325813234078</v>
      </c>
      <c r="AB798" s="3">
        <f>+D.sign_Data[[#This Row],[COSTOS OPERACIONALES ($COP)]]+D.sign_Data[[#This Row],[DESFASE ($COP)]]+D.sign_Data[[#This Row],[UTILIDAD ($COP)]]</f>
        <v>75175.159391464025</v>
      </c>
      <c r="AC798" s="101">
        <v>0.05</v>
      </c>
      <c r="AD798" s="15">
        <f>+D.sign_Data[[#This Row],[VALOR NETO ($COP)]]/(100%-D.sign_Data[[#This Row],[MARGEN DE NEGOCIACIÓN (%)]])-D.sign_Data[[#This Row],[VALOR NETO ($COP)]]</f>
        <v>3956.5873363928404</v>
      </c>
      <c r="AE798" s="15">
        <f>+(D.sign_Data[[#This Row],[VALOR NETO ($COP)]]+D.sign_Data[[#This Row],[NEGOCIACIÓN ($COP)]])*1%</f>
        <v>791.31746727856864</v>
      </c>
      <c r="AF798" s="15">
        <f>+(D.sign_Data[[#This Row],[VALOR NETO ($COP)]]+D.sign_Data[[#This Row],[NEGOCIACIÓN ($COP)]])*1%</f>
        <v>791.31746727856864</v>
      </c>
      <c r="AG798" s="3">
        <f>+D.sign_Data[[#This Row],[VALOR NETO ($COP)]]+D.sign_Data[[#This Row],[NEGOCIACIÓN ($COP)]]+D.sign_Data[[#This Row],[ICA ($COP)]]+D.sign_Data[[#This Row],[4 * 1000 ($COP)]]</f>
        <v>80714.381662414002</v>
      </c>
    </row>
    <row r="799" spans="1:33" ht="60" hidden="1" customHeight="1" x14ac:dyDescent="0.25">
      <c r="A799" s="14"/>
      <c r="B799" s="87" t="s">
        <v>418</v>
      </c>
      <c r="C799" s="182" t="s">
        <v>921</v>
      </c>
      <c r="D799" s="189" t="str">
        <f>VLOOKUP(D.sign_Data[[#This Row],[CÓDIGO]],Descripciones[[CÓDIGO]:[NOMBRE DE SERVICIO]],3,FALSE)</f>
        <v>D3. Vivienda Campestre</v>
      </c>
      <c r="E799" s="87" t="s">
        <v>497</v>
      </c>
      <c r="F799" s="88" t="s">
        <v>922</v>
      </c>
      <c r="G799" s="88" t="s">
        <v>536</v>
      </c>
      <c r="H799" s="87" t="s">
        <v>500</v>
      </c>
      <c r="I799" s="89">
        <v>1</v>
      </c>
      <c r="J799" s="88" t="s">
        <v>728</v>
      </c>
      <c r="K799" s="102"/>
      <c r="L799" s="88" t="s">
        <v>924</v>
      </c>
      <c r="M799" s="89" t="s">
        <v>381</v>
      </c>
      <c r="N799" s="90">
        <v>1</v>
      </c>
      <c r="O799" s="27">
        <f>IFERROR(+VLOOKUP(M799,D.sign_Lista_Data[[RESPONSABLE]:[SOFTWARE 
VALOR HORA]],3,FALSE),"0")</f>
        <v>20263.424518743668</v>
      </c>
      <c r="P799" s="3">
        <f t="shared" si="26"/>
        <v>20263.424518743668</v>
      </c>
      <c r="Q799" s="11">
        <f>IFERROR(+VLOOKUP(M799,D.sign_Lista_Data[[RESPONSABLE]:[SOFTWARE 
VALOR HORA]],5,FALSE)*D.sign_Data[[#This Row],[TIEMPO (HORAS)]],0)</f>
        <v>4221.5467747382636</v>
      </c>
      <c r="R799" s="11">
        <f>IFERROR(+VLOOKUP(M799,D.sign_Lista_Data[[RESPONSABLE]:[SOFTWARE 
VALOR HORA]],8,FALSE)*D.sign_Data[[#This Row],[TIEMPO (HORAS)]],0)</f>
        <v>3410.8548871439834</v>
      </c>
      <c r="S799" s="99"/>
      <c r="T799" s="99"/>
      <c r="U799" s="3">
        <f t="shared" si="27"/>
        <v>27895.826180625918</v>
      </c>
      <c r="V799" s="100">
        <f>D.sign_Data[[#This Row],[TIEMPO (HORAS)]]*Gastos_Operativos[[#Totals],[GASTOS HORA]]</f>
        <v>27789.477072310401</v>
      </c>
      <c r="W799" s="3">
        <f>+D.sign_Data[[#This Row],[COSTO 
DIRECTO ($COP)]]+D.sign_Data[[#This Row],[PRORRATEO GASTOS ($COP)]]</f>
        <v>55685.303252936319</v>
      </c>
      <c r="X799" s="101">
        <v>0.1</v>
      </c>
      <c r="Y799" s="15">
        <f>+D.sign_Data[[#This Row],[COSTOS OPERACIONALES ($COP)]]*D.sign_Data[[#This Row],[DESFASE (%)]]</f>
        <v>5568.5303252936319</v>
      </c>
      <c r="Z799" s="101">
        <v>0.2</v>
      </c>
      <c r="AA799" s="15">
        <f>+((D.sign_Data[[#This Row],[COSTOS OPERACIONALES ($COP)]]/(100%-D.sign_Data[[#This Row],[UTILIDAD (%)]])))-D.sign_Data[[#This Row],[COSTOS OPERACIONALES ($COP)]]</f>
        <v>13921.325813234078</v>
      </c>
      <c r="AB799" s="3">
        <f>+D.sign_Data[[#This Row],[COSTOS OPERACIONALES ($COP)]]+D.sign_Data[[#This Row],[DESFASE ($COP)]]+D.sign_Data[[#This Row],[UTILIDAD ($COP)]]</f>
        <v>75175.159391464025</v>
      </c>
      <c r="AC799" s="101">
        <v>0.05</v>
      </c>
      <c r="AD799" s="15">
        <f>+D.sign_Data[[#This Row],[VALOR NETO ($COP)]]/(100%-D.sign_Data[[#This Row],[MARGEN DE NEGOCIACIÓN (%)]])-D.sign_Data[[#This Row],[VALOR NETO ($COP)]]</f>
        <v>3956.5873363928404</v>
      </c>
      <c r="AE799" s="15">
        <f>+(D.sign_Data[[#This Row],[VALOR NETO ($COP)]]+D.sign_Data[[#This Row],[NEGOCIACIÓN ($COP)]])*1%</f>
        <v>791.31746727856864</v>
      </c>
      <c r="AF799" s="15">
        <f>+(D.sign_Data[[#This Row],[VALOR NETO ($COP)]]+D.sign_Data[[#This Row],[NEGOCIACIÓN ($COP)]])*1%</f>
        <v>791.31746727856864</v>
      </c>
      <c r="AG799" s="3">
        <f>+D.sign_Data[[#This Row],[VALOR NETO ($COP)]]+D.sign_Data[[#This Row],[NEGOCIACIÓN ($COP)]]+D.sign_Data[[#This Row],[ICA ($COP)]]+D.sign_Data[[#This Row],[4 * 1000 ($COP)]]</f>
        <v>80714.381662414002</v>
      </c>
    </row>
    <row r="800" spans="1:33" ht="60" hidden="1" customHeight="1" x14ac:dyDescent="0.25">
      <c r="A800" s="14"/>
      <c r="B800" s="87" t="s">
        <v>418</v>
      </c>
      <c r="C800" s="182" t="s">
        <v>921</v>
      </c>
      <c r="D800" s="189" t="str">
        <f>VLOOKUP(D.sign_Data[[#This Row],[CÓDIGO]],Descripciones[[CÓDIGO]:[NOMBRE DE SERVICIO]],3,FALSE)</f>
        <v>D3. Vivienda Campestre</v>
      </c>
      <c r="E800" s="87" t="s">
        <v>497</v>
      </c>
      <c r="F800" s="88" t="s">
        <v>922</v>
      </c>
      <c r="G800" s="88" t="s">
        <v>536</v>
      </c>
      <c r="H800" s="87" t="s">
        <v>500</v>
      </c>
      <c r="I800" s="89">
        <v>1</v>
      </c>
      <c r="J800" s="88" t="s">
        <v>728</v>
      </c>
      <c r="K800" s="102"/>
      <c r="L800" s="88" t="s">
        <v>925</v>
      </c>
      <c r="M800" s="89" t="s">
        <v>381</v>
      </c>
      <c r="N800" s="90">
        <v>1</v>
      </c>
      <c r="O800" s="27">
        <f>IFERROR(+VLOOKUP(M800,D.sign_Lista_Data[[RESPONSABLE]:[SOFTWARE 
VALOR HORA]],3,FALSE),"0")</f>
        <v>20263.424518743668</v>
      </c>
      <c r="P800" s="3">
        <f t="shared" si="26"/>
        <v>20263.424518743668</v>
      </c>
      <c r="Q800" s="11">
        <f>IFERROR(+VLOOKUP(M800,D.sign_Lista_Data[[RESPONSABLE]:[SOFTWARE 
VALOR HORA]],5,FALSE)*D.sign_Data[[#This Row],[TIEMPO (HORAS)]],0)</f>
        <v>4221.5467747382636</v>
      </c>
      <c r="R800" s="11">
        <f>IFERROR(+VLOOKUP(M800,D.sign_Lista_Data[[RESPONSABLE]:[SOFTWARE 
VALOR HORA]],8,FALSE)*D.sign_Data[[#This Row],[TIEMPO (HORAS)]],0)</f>
        <v>3410.8548871439834</v>
      </c>
      <c r="S800" s="99"/>
      <c r="T800" s="99"/>
      <c r="U800" s="3">
        <f t="shared" si="27"/>
        <v>27895.826180625918</v>
      </c>
      <c r="V800" s="100">
        <f>D.sign_Data[[#This Row],[TIEMPO (HORAS)]]*Gastos_Operativos[[#Totals],[GASTOS HORA]]</f>
        <v>27789.477072310401</v>
      </c>
      <c r="W800" s="3">
        <f>+D.sign_Data[[#This Row],[COSTO 
DIRECTO ($COP)]]+D.sign_Data[[#This Row],[PRORRATEO GASTOS ($COP)]]</f>
        <v>55685.303252936319</v>
      </c>
      <c r="X800" s="101">
        <v>0.1</v>
      </c>
      <c r="Y800" s="15">
        <f>+D.sign_Data[[#This Row],[COSTOS OPERACIONALES ($COP)]]*D.sign_Data[[#This Row],[DESFASE (%)]]</f>
        <v>5568.5303252936319</v>
      </c>
      <c r="Z800" s="101">
        <v>0.2</v>
      </c>
      <c r="AA800" s="15">
        <f>+((D.sign_Data[[#This Row],[COSTOS OPERACIONALES ($COP)]]/(100%-D.sign_Data[[#This Row],[UTILIDAD (%)]])))-D.sign_Data[[#This Row],[COSTOS OPERACIONALES ($COP)]]</f>
        <v>13921.325813234078</v>
      </c>
      <c r="AB800" s="3">
        <f>+D.sign_Data[[#This Row],[COSTOS OPERACIONALES ($COP)]]+D.sign_Data[[#This Row],[DESFASE ($COP)]]+D.sign_Data[[#This Row],[UTILIDAD ($COP)]]</f>
        <v>75175.159391464025</v>
      </c>
      <c r="AC800" s="101">
        <v>0.05</v>
      </c>
      <c r="AD800" s="15">
        <f>+D.sign_Data[[#This Row],[VALOR NETO ($COP)]]/(100%-D.sign_Data[[#This Row],[MARGEN DE NEGOCIACIÓN (%)]])-D.sign_Data[[#This Row],[VALOR NETO ($COP)]]</f>
        <v>3956.5873363928404</v>
      </c>
      <c r="AE800" s="15">
        <f>+(D.sign_Data[[#This Row],[VALOR NETO ($COP)]]+D.sign_Data[[#This Row],[NEGOCIACIÓN ($COP)]])*1%</f>
        <v>791.31746727856864</v>
      </c>
      <c r="AF800" s="15">
        <f>+(D.sign_Data[[#This Row],[VALOR NETO ($COP)]]+D.sign_Data[[#This Row],[NEGOCIACIÓN ($COP)]])*1%</f>
        <v>791.31746727856864</v>
      </c>
      <c r="AG800" s="3">
        <f>+D.sign_Data[[#This Row],[VALOR NETO ($COP)]]+D.sign_Data[[#This Row],[NEGOCIACIÓN ($COP)]]+D.sign_Data[[#This Row],[ICA ($COP)]]+D.sign_Data[[#This Row],[4 * 1000 ($COP)]]</f>
        <v>80714.381662414002</v>
      </c>
    </row>
    <row r="801" spans="1:33" ht="60" hidden="1" customHeight="1" x14ac:dyDescent="0.25">
      <c r="A801" s="14"/>
      <c r="B801" s="87" t="s">
        <v>418</v>
      </c>
      <c r="C801" s="182" t="s">
        <v>921</v>
      </c>
      <c r="D801" s="189" t="str">
        <f>VLOOKUP(D.sign_Data[[#This Row],[CÓDIGO]],Descripciones[[CÓDIGO]:[NOMBRE DE SERVICIO]],3,FALSE)</f>
        <v>D3. Vivienda Campestre</v>
      </c>
      <c r="E801" s="87" t="s">
        <v>497</v>
      </c>
      <c r="F801" s="88" t="s">
        <v>922</v>
      </c>
      <c r="G801" s="88" t="s">
        <v>536</v>
      </c>
      <c r="H801" s="87" t="s">
        <v>500</v>
      </c>
      <c r="I801" s="89">
        <v>1</v>
      </c>
      <c r="J801" s="88" t="s">
        <v>728</v>
      </c>
      <c r="K801" s="102"/>
      <c r="L801" s="88" t="s">
        <v>733</v>
      </c>
      <c r="M801" s="89" t="s">
        <v>381</v>
      </c>
      <c r="N801" s="90">
        <v>2</v>
      </c>
      <c r="O801" s="27">
        <f>IFERROR(+VLOOKUP(M801,D.sign_Lista_Data[[RESPONSABLE]:[SOFTWARE 
VALOR HORA]],3,FALSE),"0")</f>
        <v>20263.424518743668</v>
      </c>
      <c r="P801" s="3">
        <f t="shared" si="26"/>
        <v>40526.849037487336</v>
      </c>
      <c r="Q801" s="11">
        <f>IFERROR(+VLOOKUP(M801,D.sign_Lista_Data[[RESPONSABLE]:[SOFTWARE 
VALOR HORA]],5,FALSE)*D.sign_Data[[#This Row],[TIEMPO (HORAS)]],0)</f>
        <v>8443.0935494765272</v>
      </c>
      <c r="R801" s="11">
        <f>IFERROR(+VLOOKUP(M801,D.sign_Lista_Data[[RESPONSABLE]:[SOFTWARE 
VALOR HORA]],8,FALSE)*D.sign_Data[[#This Row],[TIEMPO (HORAS)]],0)</f>
        <v>6821.7097742879669</v>
      </c>
      <c r="S801" s="99"/>
      <c r="T801" s="99"/>
      <c r="U801" s="3">
        <f t="shared" si="27"/>
        <v>55791.652361251836</v>
      </c>
      <c r="V801" s="100">
        <f>D.sign_Data[[#This Row],[TIEMPO (HORAS)]]*Gastos_Operativos[[#Totals],[GASTOS HORA]]</f>
        <v>55578.954144620802</v>
      </c>
      <c r="W801" s="3">
        <f>+D.sign_Data[[#This Row],[COSTO 
DIRECTO ($COP)]]+D.sign_Data[[#This Row],[PRORRATEO GASTOS ($COP)]]</f>
        <v>111370.60650587264</v>
      </c>
      <c r="X801" s="101">
        <v>0.1</v>
      </c>
      <c r="Y801" s="15">
        <f>+D.sign_Data[[#This Row],[COSTOS OPERACIONALES ($COP)]]*D.sign_Data[[#This Row],[DESFASE (%)]]</f>
        <v>11137.060650587264</v>
      </c>
      <c r="Z801" s="101">
        <v>0.2</v>
      </c>
      <c r="AA801" s="15">
        <f>+((D.sign_Data[[#This Row],[COSTOS OPERACIONALES ($COP)]]/(100%-D.sign_Data[[#This Row],[UTILIDAD (%)]])))-D.sign_Data[[#This Row],[COSTOS OPERACIONALES ($COP)]]</f>
        <v>27842.651626468156</v>
      </c>
      <c r="AB801" s="3">
        <f>+D.sign_Data[[#This Row],[COSTOS OPERACIONALES ($COP)]]+D.sign_Data[[#This Row],[DESFASE ($COP)]]+D.sign_Data[[#This Row],[UTILIDAD ($COP)]]</f>
        <v>150350.31878292805</v>
      </c>
      <c r="AC801" s="101">
        <v>0.05</v>
      </c>
      <c r="AD801" s="15">
        <f>+D.sign_Data[[#This Row],[VALOR NETO ($COP)]]/(100%-D.sign_Data[[#This Row],[MARGEN DE NEGOCIACIÓN (%)]])-D.sign_Data[[#This Row],[VALOR NETO ($COP)]]</f>
        <v>7913.1746727856807</v>
      </c>
      <c r="AE801" s="15">
        <f>+(D.sign_Data[[#This Row],[VALOR NETO ($COP)]]+D.sign_Data[[#This Row],[NEGOCIACIÓN ($COP)]])*1%</f>
        <v>1582.6349345571373</v>
      </c>
      <c r="AF801" s="15">
        <f>+(D.sign_Data[[#This Row],[VALOR NETO ($COP)]]+D.sign_Data[[#This Row],[NEGOCIACIÓN ($COP)]])*1%</f>
        <v>1582.6349345571373</v>
      </c>
      <c r="AG801" s="3">
        <f>+D.sign_Data[[#This Row],[VALOR NETO ($COP)]]+D.sign_Data[[#This Row],[NEGOCIACIÓN ($COP)]]+D.sign_Data[[#This Row],[ICA ($COP)]]+D.sign_Data[[#This Row],[4 * 1000 ($COP)]]</f>
        <v>161428.763324828</v>
      </c>
    </row>
    <row r="802" spans="1:33" ht="60" hidden="1" customHeight="1" x14ac:dyDescent="0.25">
      <c r="A802" s="14"/>
      <c r="B802" s="87" t="s">
        <v>418</v>
      </c>
      <c r="C802" s="182" t="s">
        <v>921</v>
      </c>
      <c r="D802" s="189" t="str">
        <f>VLOOKUP(D.sign_Data[[#This Row],[CÓDIGO]],Descripciones[[CÓDIGO]:[NOMBRE DE SERVICIO]],3,FALSE)</f>
        <v>D3. Vivienda Campestre</v>
      </c>
      <c r="E802" s="87" t="s">
        <v>497</v>
      </c>
      <c r="F802" s="88" t="s">
        <v>922</v>
      </c>
      <c r="G802" s="88" t="s">
        <v>536</v>
      </c>
      <c r="H802" s="87" t="s">
        <v>500</v>
      </c>
      <c r="I802" s="89">
        <v>1</v>
      </c>
      <c r="J802" s="88" t="s">
        <v>734</v>
      </c>
      <c r="K802" s="102"/>
      <c r="L802" s="88" t="s">
        <v>735</v>
      </c>
      <c r="M802" s="89" t="s">
        <v>381</v>
      </c>
      <c r="N802" s="90">
        <v>2</v>
      </c>
      <c r="O802" s="27">
        <f>IFERROR(+VLOOKUP(M802,D.sign_Lista_Data[[RESPONSABLE]:[SOFTWARE 
VALOR HORA]],3,FALSE),"0")</f>
        <v>20263.424518743668</v>
      </c>
      <c r="P802" s="3">
        <f t="shared" si="26"/>
        <v>40526.849037487336</v>
      </c>
      <c r="Q802" s="11">
        <f>IFERROR(+VLOOKUP(M802,D.sign_Lista_Data[[RESPONSABLE]:[SOFTWARE 
VALOR HORA]],5,FALSE)*D.sign_Data[[#This Row],[TIEMPO (HORAS)]],0)</f>
        <v>8443.0935494765272</v>
      </c>
      <c r="R802" s="11">
        <f>IFERROR(+VLOOKUP(M802,D.sign_Lista_Data[[RESPONSABLE]:[SOFTWARE 
VALOR HORA]],8,FALSE)*D.sign_Data[[#This Row],[TIEMPO (HORAS)]],0)</f>
        <v>6821.7097742879669</v>
      </c>
      <c r="S802" s="99"/>
      <c r="T802" s="99"/>
      <c r="U802" s="3">
        <f t="shared" si="27"/>
        <v>55791.652361251836</v>
      </c>
      <c r="V802" s="100">
        <f>D.sign_Data[[#This Row],[TIEMPO (HORAS)]]*Gastos_Operativos[[#Totals],[GASTOS HORA]]</f>
        <v>55578.954144620802</v>
      </c>
      <c r="W802" s="3">
        <f>+D.sign_Data[[#This Row],[COSTO 
DIRECTO ($COP)]]+D.sign_Data[[#This Row],[PRORRATEO GASTOS ($COP)]]</f>
        <v>111370.60650587264</v>
      </c>
      <c r="X802" s="101">
        <v>0.1</v>
      </c>
      <c r="Y802" s="15">
        <f>+D.sign_Data[[#This Row],[COSTOS OPERACIONALES ($COP)]]*D.sign_Data[[#This Row],[DESFASE (%)]]</f>
        <v>11137.060650587264</v>
      </c>
      <c r="Z802" s="101">
        <v>0.2</v>
      </c>
      <c r="AA802" s="15">
        <f>+((D.sign_Data[[#This Row],[COSTOS OPERACIONALES ($COP)]]/(100%-D.sign_Data[[#This Row],[UTILIDAD (%)]])))-D.sign_Data[[#This Row],[COSTOS OPERACIONALES ($COP)]]</f>
        <v>27842.651626468156</v>
      </c>
      <c r="AB802" s="3">
        <f>+D.sign_Data[[#This Row],[COSTOS OPERACIONALES ($COP)]]+D.sign_Data[[#This Row],[DESFASE ($COP)]]+D.sign_Data[[#This Row],[UTILIDAD ($COP)]]</f>
        <v>150350.31878292805</v>
      </c>
      <c r="AC802" s="101">
        <v>0.05</v>
      </c>
      <c r="AD802" s="15">
        <f>+D.sign_Data[[#This Row],[VALOR NETO ($COP)]]/(100%-D.sign_Data[[#This Row],[MARGEN DE NEGOCIACIÓN (%)]])-D.sign_Data[[#This Row],[VALOR NETO ($COP)]]</f>
        <v>7913.1746727856807</v>
      </c>
      <c r="AE802" s="15">
        <f>+(D.sign_Data[[#This Row],[VALOR NETO ($COP)]]+D.sign_Data[[#This Row],[NEGOCIACIÓN ($COP)]])*1%</f>
        <v>1582.6349345571373</v>
      </c>
      <c r="AF802" s="15">
        <f>+(D.sign_Data[[#This Row],[VALOR NETO ($COP)]]+D.sign_Data[[#This Row],[NEGOCIACIÓN ($COP)]])*1%</f>
        <v>1582.6349345571373</v>
      </c>
      <c r="AG802" s="3">
        <f>+D.sign_Data[[#This Row],[VALOR NETO ($COP)]]+D.sign_Data[[#This Row],[NEGOCIACIÓN ($COP)]]+D.sign_Data[[#This Row],[ICA ($COP)]]+D.sign_Data[[#This Row],[4 * 1000 ($COP)]]</f>
        <v>161428.763324828</v>
      </c>
    </row>
    <row r="803" spans="1:33" ht="60" hidden="1" customHeight="1" x14ac:dyDescent="0.25">
      <c r="A803" s="14"/>
      <c r="B803" s="87" t="s">
        <v>418</v>
      </c>
      <c r="C803" s="182" t="s">
        <v>921</v>
      </c>
      <c r="D803" s="189" t="str">
        <f>VLOOKUP(D.sign_Data[[#This Row],[CÓDIGO]],Descripciones[[CÓDIGO]:[NOMBRE DE SERVICIO]],3,FALSE)</f>
        <v>D3. Vivienda Campestre</v>
      </c>
      <c r="E803" s="87" t="s">
        <v>497</v>
      </c>
      <c r="F803" s="88" t="s">
        <v>922</v>
      </c>
      <c r="G803" s="88" t="s">
        <v>536</v>
      </c>
      <c r="H803" s="87" t="s">
        <v>500</v>
      </c>
      <c r="I803" s="89">
        <v>1</v>
      </c>
      <c r="J803" s="88" t="s">
        <v>734</v>
      </c>
      <c r="K803" s="102"/>
      <c r="L803" s="88" t="s">
        <v>736</v>
      </c>
      <c r="M803" s="89" t="s">
        <v>381</v>
      </c>
      <c r="N803" s="90">
        <v>1</v>
      </c>
      <c r="O803" s="27">
        <f>IFERROR(+VLOOKUP(M803,D.sign_Lista_Data[[RESPONSABLE]:[SOFTWARE 
VALOR HORA]],3,FALSE),"0")</f>
        <v>20263.424518743668</v>
      </c>
      <c r="P803" s="3">
        <f t="shared" si="26"/>
        <v>20263.424518743668</v>
      </c>
      <c r="Q803" s="11">
        <f>IFERROR(+VLOOKUP(M803,D.sign_Lista_Data[[RESPONSABLE]:[SOFTWARE 
VALOR HORA]],5,FALSE)*D.sign_Data[[#This Row],[TIEMPO (HORAS)]],0)</f>
        <v>4221.5467747382636</v>
      </c>
      <c r="R803" s="11">
        <f>IFERROR(+VLOOKUP(M803,D.sign_Lista_Data[[RESPONSABLE]:[SOFTWARE 
VALOR HORA]],8,FALSE)*D.sign_Data[[#This Row],[TIEMPO (HORAS)]],0)</f>
        <v>3410.8548871439834</v>
      </c>
      <c r="S803" s="99"/>
      <c r="T803" s="99"/>
      <c r="U803" s="3">
        <f t="shared" si="27"/>
        <v>27895.826180625918</v>
      </c>
      <c r="V803" s="100">
        <f>D.sign_Data[[#This Row],[TIEMPO (HORAS)]]*Gastos_Operativos[[#Totals],[GASTOS HORA]]</f>
        <v>27789.477072310401</v>
      </c>
      <c r="W803" s="3">
        <f>+D.sign_Data[[#This Row],[COSTO 
DIRECTO ($COP)]]+D.sign_Data[[#This Row],[PRORRATEO GASTOS ($COP)]]</f>
        <v>55685.303252936319</v>
      </c>
      <c r="X803" s="101">
        <v>0.1</v>
      </c>
      <c r="Y803" s="15">
        <f>+D.sign_Data[[#This Row],[COSTOS OPERACIONALES ($COP)]]*D.sign_Data[[#This Row],[DESFASE (%)]]</f>
        <v>5568.5303252936319</v>
      </c>
      <c r="Z803" s="101">
        <v>0.2</v>
      </c>
      <c r="AA803" s="15">
        <f>+((D.sign_Data[[#This Row],[COSTOS OPERACIONALES ($COP)]]/(100%-D.sign_Data[[#This Row],[UTILIDAD (%)]])))-D.sign_Data[[#This Row],[COSTOS OPERACIONALES ($COP)]]</f>
        <v>13921.325813234078</v>
      </c>
      <c r="AB803" s="3">
        <f>+D.sign_Data[[#This Row],[COSTOS OPERACIONALES ($COP)]]+D.sign_Data[[#This Row],[DESFASE ($COP)]]+D.sign_Data[[#This Row],[UTILIDAD ($COP)]]</f>
        <v>75175.159391464025</v>
      </c>
      <c r="AC803" s="101">
        <v>0.05</v>
      </c>
      <c r="AD803" s="15">
        <f>+D.sign_Data[[#This Row],[VALOR NETO ($COP)]]/(100%-D.sign_Data[[#This Row],[MARGEN DE NEGOCIACIÓN (%)]])-D.sign_Data[[#This Row],[VALOR NETO ($COP)]]</f>
        <v>3956.5873363928404</v>
      </c>
      <c r="AE803" s="15">
        <f>+(D.sign_Data[[#This Row],[VALOR NETO ($COP)]]+D.sign_Data[[#This Row],[NEGOCIACIÓN ($COP)]])*1%</f>
        <v>791.31746727856864</v>
      </c>
      <c r="AF803" s="15">
        <f>+(D.sign_Data[[#This Row],[VALOR NETO ($COP)]]+D.sign_Data[[#This Row],[NEGOCIACIÓN ($COP)]])*1%</f>
        <v>791.31746727856864</v>
      </c>
      <c r="AG803" s="3">
        <f>+D.sign_Data[[#This Row],[VALOR NETO ($COP)]]+D.sign_Data[[#This Row],[NEGOCIACIÓN ($COP)]]+D.sign_Data[[#This Row],[ICA ($COP)]]+D.sign_Data[[#This Row],[4 * 1000 ($COP)]]</f>
        <v>80714.381662414002</v>
      </c>
    </row>
    <row r="804" spans="1:33" ht="60" hidden="1" customHeight="1" x14ac:dyDescent="0.25">
      <c r="A804" s="14"/>
      <c r="B804" s="87" t="s">
        <v>418</v>
      </c>
      <c r="C804" s="182" t="s">
        <v>921</v>
      </c>
      <c r="D804" s="189" t="str">
        <f>VLOOKUP(D.sign_Data[[#This Row],[CÓDIGO]],Descripciones[[CÓDIGO]:[NOMBRE DE SERVICIO]],3,FALSE)</f>
        <v>D3. Vivienda Campestre</v>
      </c>
      <c r="E804" s="87" t="s">
        <v>497</v>
      </c>
      <c r="F804" s="88" t="s">
        <v>922</v>
      </c>
      <c r="G804" s="88" t="s">
        <v>536</v>
      </c>
      <c r="H804" s="87" t="s">
        <v>500</v>
      </c>
      <c r="I804" s="89">
        <v>1</v>
      </c>
      <c r="J804" s="88" t="s">
        <v>734</v>
      </c>
      <c r="K804" s="102"/>
      <c r="L804" s="88" t="s">
        <v>737</v>
      </c>
      <c r="M804" s="89" t="s">
        <v>381</v>
      </c>
      <c r="N804" s="90">
        <v>2</v>
      </c>
      <c r="O804" s="27">
        <f>IFERROR(+VLOOKUP(M804,D.sign_Lista_Data[[RESPONSABLE]:[SOFTWARE 
VALOR HORA]],3,FALSE),"0")</f>
        <v>20263.424518743668</v>
      </c>
      <c r="P804" s="3">
        <f t="shared" si="26"/>
        <v>40526.849037487336</v>
      </c>
      <c r="Q804" s="11">
        <f>IFERROR(+VLOOKUP(M804,D.sign_Lista_Data[[RESPONSABLE]:[SOFTWARE 
VALOR HORA]],5,FALSE)*D.sign_Data[[#This Row],[TIEMPO (HORAS)]],0)</f>
        <v>8443.0935494765272</v>
      </c>
      <c r="R804" s="11">
        <f>IFERROR(+VLOOKUP(M804,D.sign_Lista_Data[[RESPONSABLE]:[SOFTWARE 
VALOR HORA]],8,FALSE)*D.sign_Data[[#This Row],[TIEMPO (HORAS)]],0)</f>
        <v>6821.7097742879669</v>
      </c>
      <c r="S804" s="99"/>
      <c r="T804" s="99"/>
      <c r="U804" s="3">
        <f t="shared" si="27"/>
        <v>55791.652361251836</v>
      </c>
      <c r="V804" s="100">
        <f>D.sign_Data[[#This Row],[TIEMPO (HORAS)]]*Gastos_Operativos[[#Totals],[GASTOS HORA]]</f>
        <v>55578.954144620802</v>
      </c>
      <c r="W804" s="3">
        <f>+D.sign_Data[[#This Row],[COSTO 
DIRECTO ($COP)]]+D.sign_Data[[#This Row],[PRORRATEO GASTOS ($COP)]]</f>
        <v>111370.60650587264</v>
      </c>
      <c r="X804" s="101">
        <v>0.1</v>
      </c>
      <c r="Y804" s="15">
        <f>+D.sign_Data[[#This Row],[COSTOS OPERACIONALES ($COP)]]*D.sign_Data[[#This Row],[DESFASE (%)]]</f>
        <v>11137.060650587264</v>
      </c>
      <c r="Z804" s="101">
        <v>0.2</v>
      </c>
      <c r="AA804" s="15">
        <f>+((D.sign_Data[[#This Row],[COSTOS OPERACIONALES ($COP)]]/(100%-D.sign_Data[[#This Row],[UTILIDAD (%)]])))-D.sign_Data[[#This Row],[COSTOS OPERACIONALES ($COP)]]</f>
        <v>27842.651626468156</v>
      </c>
      <c r="AB804" s="3">
        <f>+D.sign_Data[[#This Row],[COSTOS OPERACIONALES ($COP)]]+D.sign_Data[[#This Row],[DESFASE ($COP)]]+D.sign_Data[[#This Row],[UTILIDAD ($COP)]]</f>
        <v>150350.31878292805</v>
      </c>
      <c r="AC804" s="101">
        <v>0.05</v>
      </c>
      <c r="AD804" s="15">
        <f>+D.sign_Data[[#This Row],[VALOR NETO ($COP)]]/(100%-D.sign_Data[[#This Row],[MARGEN DE NEGOCIACIÓN (%)]])-D.sign_Data[[#This Row],[VALOR NETO ($COP)]]</f>
        <v>7913.1746727856807</v>
      </c>
      <c r="AE804" s="15">
        <f>+(D.sign_Data[[#This Row],[VALOR NETO ($COP)]]+D.sign_Data[[#This Row],[NEGOCIACIÓN ($COP)]])*1%</f>
        <v>1582.6349345571373</v>
      </c>
      <c r="AF804" s="15">
        <f>+(D.sign_Data[[#This Row],[VALOR NETO ($COP)]]+D.sign_Data[[#This Row],[NEGOCIACIÓN ($COP)]])*1%</f>
        <v>1582.6349345571373</v>
      </c>
      <c r="AG804" s="3">
        <f>+D.sign_Data[[#This Row],[VALOR NETO ($COP)]]+D.sign_Data[[#This Row],[NEGOCIACIÓN ($COP)]]+D.sign_Data[[#This Row],[ICA ($COP)]]+D.sign_Data[[#This Row],[4 * 1000 ($COP)]]</f>
        <v>161428.763324828</v>
      </c>
    </row>
    <row r="805" spans="1:33" ht="60" hidden="1" customHeight="1" x14ac:dyDescent="0.25">
      <c r="A805" s="14"/>
      <c r="B805" s="87" t="s">
        <v>418</v>
      </c>
      <c r="C805" s="182" t="s">
        <v>921</v>
      </c>
      <c r="D805" s="189" t="str">
        <f>VLOOKUP(D.sign_Data[[#This Row],[CÓDIGO]],Descripciones[[CÓDIGO]:[NOMBRE DE SERVICIO]],3,FALSE)</f>
        <v>D3. Vivienda Campestre</v>
      </c>
      <c r="E805" s="87" t="s">
        <v>497</v>
      </c>
      <c r="F805" s="88" t="s">
        <v>922</v>
      </c>
      <c r="G805" s="88" t="s">
        <v>536</v>
      </c>
      <c r="H805" s="87" t="s">
        <v>500</v>
      </c>
      <c r="I805" s="89">
        <v>1</v>
      </c>
      <c r="J805" s="88" t="s">
        <v>734</v>
      </c>
      <c r="K805" s="102"/>
      <c r="L805" s="88" t="s">
        <v>738</v>
      </c>
      <c r="M805" s="89" t="s">
        <v>381</v>
      </c>
      <c r="N805" s="90">
        <v>1</v>
      </c>
      <c r="O805" s="27">
        <f>IFERROR(+VLOOKUP(M805,D.sign_Lista_Data[[RESPONSABLE]:[SOFTWARE 
VALOR HORA]],3,FALSE),"0")</f>
        <v>20263.424518743668</v>
      </c>
      <c r="P805" s="3">
        <f t="shared" si="26"/>
        <v>20263.424518743668</v>
      </c>
      <c r="Q805" s="11">
        <f>IFERROR(+VLOOKUP(M805,D.sign_Lista_Data[[RESPONSABLE]:[SOFTWARE 
VALOR HORA]],5,FALSE)*D.sign_Data[[#This Row],[TIEMPO (HORAS)]],0)</f>
        <v>4221.5467747382636</v>
      </c>
      <c r="R805" s="11">
        <f>IFERROR(+VLOOKUP(M805,D.sign_Lista_Data[[RESPONSABLE]:[SOFTWARE 
VALOR HORA]],8,FALSE)*D.sign_Data[[#This Row],[TIEMPO (HORAS)]],0)</f>
        <v>3410.8548871439834</v>
      </c>
      <c r="S805" s="99"/>
      <c r="T805" s="99"/>
      <c r="U805" s="3">
        <f t="shared" si="27"/>
        <v>27895.826180625918</v>
      </c>
      <c r="V805" s="100">
        <f>D.sign_Data[[#This Row],[TIEMPO (HORAS)]]*Gastos_Operativos[[#Totals],[GASTOS HORA]]</f>
        <v>27789.477072310401</v>
      </c>
      <c r="W805" s="3">
        <f>+D.sign_Data[[#This Row],[COSTO 
DIRECTO ($COP)]]+D.sign_Data[[#This Row],[PRORRATEO GASTOS ($COP)]]</f>
        <v>55685.303252936319</v>
      </c>
      <c r="X805" s="101">
        <v>0.1</v>
      </c>
      <c r="Y805" s="15">
        <f>+D.sign_Data[[#This Row],[COSTOS OPERACIONALES ($COP)]]*D.sign_Data[[#This Row],[DESFASE (%)]]</f>
        <v>5568.5303252936319</v>
      </c>
      <c r="Z805" s="101">
        <v>0.2</v>
      </c>
      <c r="AA805" s="15">
        <f>+((D.sign_Data[[#This Row],[COSTOS OPERACIONALES ($COP)]]/(100%-D.sign_Data[[#This Row],[UTILIDAD (%)]])))-D.sign_Data[[#This Row],[COSTOS OPERACIONALES ($COP)]]</f>
        <v>13921.325813234078</v>
      </c>
      <c r="AB805" s="3">
        <f>+D.sign_Data[[#This Row],[COSTOS OPERACIONALES ($COP)]]+D.sign_Data[[#This Row],[DESFASE ($COP)]]+D.sign_Data[[#This Row],[UTILIDAD ($COP)]]</f>
        <v>75175.159391464025</v>
      </c>
      <c r="AC805" s="101">
        <v>0.05</v>
      </c>
      <c r="AD805" s="15">
        <f>+D.sign_Data[[#This Row],[VALOR NETO ($COP)]]/(100%-D.sign_Data[[#This Row],[MARGEN DE NEGOCIACIÓN (%)]])-D.sign_Data[[#This Row],[VALOR NETO ($COP)]]</f>
        <v>3956.5873363928404</v>
      </c>
      <c r="AE805" s="15">
        <f>+(D.sign_Data[[#This Row],[VALOR NETO ($COP)]]+D.sign_Data[[#This Row],[NEGOCIACIÓN ($COP)]])*1%</f>
        <v>791.31746727856864</v>
      </c>
      <c r="AF805" s="15">
        <f>+(D.sign_Data[[#This Row],[VALOR NETO ($COP)]]+D.sign_Data[[#This Row],[NEGOCIACIÓN ($COP)]])*1%</f>
        <v>791.31746727856864</v>
      </c>
      <c r="AG805" s="3">
        <f>+D.sign_Data[[#This Row],[VALOR NETO ($COP)]]+D.sign_Data[[#This Row],[NEGOCIACIÓN ($COP)]]+D.sign_Data[[#This Row],[ICA ($COP)]]+D.sign_Data[[#This Row],[4 * 1000 ($COP)]]</f>
        <v>80714.381662414002</v>
      </c>
    </row>
    <row r="806" spans="1:33" ht="60" hidden="1" customHeight="1" x14ac:dyDescent="0.25">
      <c r="A806" s="14"/>
      <c r="B806" s="87" t="s">
        <v>418</v>
      </c>
      <c r="C806" s="182" t="s">
        <v>921</v>
      </c>
      <c r="D806" s="189" t="str">
        <f>VLOOKUP(D.sign_Data[[#This Row],[CÓDIGO]],Descripciones[[CÓDIGO]:[NOMBRE DE SERVICIO]],3,FALSE)</f>
        <v>D3. Vivienda Campestre</v>
      </c>
      <c r="E806" s="87" t="s">
        <v>497</v>
      </c>
      <c r="F806" s="88" t="s">
        <v>922</v>
      </c>
      <c r="G806" s="88" t="s">
        <v>536</v>
      </c>
      <c r="H806" s="87" t="s">
        <v>500</v>
      </c>
      <c r="I806" s="89">
        <v>1</v>
      </c>
      <c r="J806" s="88" t="s">
        <v>734</v>
      </c>
      <c r="K806" s="102"/>
      <c r="L806" s="88" t="s">
        <v>648</v>
      </c>
      <c r="M806" s="89" t="s">
        <v>381</v>
      </c>
      <c r="N806" s="90">
        <v>2</v>
      </c>
      <c r="O806" s="27">
        <f>IFERROR(+VLOOKUP(M806,D.sign_Lista_Data[[RESPONSABLE]:[SOFTWARE 
VALOR HORA]],3,FALSE),"0")</f>
        <v>20263.424518743668</v>
      </c>
      <c r="P806" s="3">
        <f t="shared" si="26"/>
        <v>40526.849037487336</v>
      </c>
      <c r="Q806" s="11">
        <f>IFERROR(+VLOOKUP(M806,D.sign_Lista_Data[[RESPONSABLE]:[SOFTWARE 
VALOR HORA]],5,FALSE)*D.sign_Data[[#This Row],[TIEMPO (HORAS)]],0)</f>
        <v>8443.0935494765272</v>
      </c>
      <c r="R806" s="11">
        <f>IFERROR(+VLOOKUP(M806,D.sign_Lista_Data[[RESPONSABLE]:[SOFTWARE 
VALOR HORA]],8,FALSE)*D.sign_Data[[#This Row],[TIEMPO (HORAS)]],0)</f>
        <v>6821.7097742879669</v>
      </c>
      <c r="S806" s="99"/>
      <c r="T806" s="99"/>
      <c r="U806" s="3">
        <f t="shared" si="27"/>
        <v>55791.652361251836</v>
      </c>
      <c r="V806" s="100">
        <f>D.sign_Data[[#This Row],[TIEMPO (HORAS)]]*Gastos_Operativos[[#Totals],[GASTOS HORA]]</f>
        <v>55578.954144620802</v>
      </c>
      <c r="W806" s="3">
        <f>+D.sign_Data[[#This Row],[COSTO 
DIRECTO ($COP)]]+D.sign_Data[[#This Row],[PRORRATEO GASTOS ($COP)]]</f>
        <v>111370.60650587264</v>
      </c>
      <c r="X806" s="101">
        <v>0.1</v>
      </c>
      <c r="Y806" s="15">
        <f>+D.sign_Data[[#This Row],[COSTOS OPERACIONALES ($COP)]]*D.sign_Data[[#This Row],[DESFASE (%)]]</f>
        <v>11137.060650587264</v>
      </c>
      <c r="Z806" s="101">
        <v>0.2</v>
      </c>
      <c r="AA806" s="15">
        <f>+((D.sign_Data[[#This Row],[COSTOS OPERACIONALES ($COP)]]/(100%-D.sign_Data[[#This Row],[UTILIDAD (%)]])))-D.sign_Data[[#This Row],[COSTOS OPERACIONALES ($COP)]]</f>
        <v>27842.651626468156</v>
      </c>
      <c r="AB806" s="3">
        <f>+D.sign_Data[[#This Row],[COSTOS OPERACIONALES ($COP)]]+D.sign_Data[[#This Row],[DESFASE ($COP)]]+D.sign_Data[[#This Row],[UTILIDAD ($COP)]]</f>
        <v>150350.31878292805</v>
      </c>
      <c r="AC806" s="101">
        <v>0.05</v>
      </c>
      <c r="AD806" s="15">
        <f>+D.sign_Data[[#This Row],[VALOR NETO ($COP)]]/(100%-D.sign_Data[[#This Row],[MARGEN DE NEGOCIACIÓN (%)]])-D.sign_Data[[#This Row],[VALOR NETO ($COP)]]</f>
        <v>7913.1746727856807</v>
      </c>
      <c r="AE806" s="15">
        <f>+(D.sign_Data[[#This Row],[VALOR NETO ($COP)]]+D.sign_Data[[#This Row],[NEGOCIACIÓN ($COP)]])*1%</f>
        <v>1582.6349345571373</v>
      </c>
      <c r="AF806" s="15">
        <f>+(D.sign_Data[[#This Row],[VALOR NETO ($COP)]]+D.sign_Data[[#This Row],[NEGOCIACIÓN ($COP)]])*1%</f>
        <v>1582.6349345571373</v>
      </c>
      <c r="AG806" s="3">
        <f>+D.sign_Data[[#This Row],[VALOR NETO ($COP)]]+D.sign_Data[[#This Row],[NEGOCIACIÓN ($COP)]]+D.sign_Data[[#This Row],[ICA ($COP)]]+D.sign_Data[[#This Row],[4 * 1000 ($COP)]]</f>
        <v>161428.763324828</v>
      </c>
    </row>
    <row r="807" spans="1:33" ht="60" hidden="1" customHeight="1" x14ac:dyDescent="0.25">
      <c r="A807" s="14"/>
      <c r="B807" s="87" t="s">
        <v>418</v>
      </c>
      <c r="C807" s="182" t="s">
        <v>921</v>
      </c>
      <c r="D807" s="189" t="str">
        <f>VLOOKUP(D.sign_Data[[#This Row],[CÓDIGO]],Descripciones[[CÓDIGO]:[NOMBRE DE SERVICIO]],3,FALSE)</f>
        <v>D3. Vivienda Campestre</v>
      </c>
      <c r="E807" s="87" t="s">
        <v>497</v>
      </c>
      <c r="F807" s="88" t="s">
        <v>922</v>
      </c>
      <c r="G807" s="88" t="s">
        <v>536</v>
      </c>
      <c r="H807" s="87" t="s">
        <v>500</v>
      </c>
      <c r="I807" s="89">
        <v>1</v>
      </c>
      <c r="J807" s="88" t="s">
        <v>734</v>
      </c>
      <c r="K807" s="102"/>
      <c r="L807" s="88" t="s">
        <v>739</v>
      </c>
      <c r="M807" s="89" t="s">
        <v>381</v>
      </c>
      <c r="N807" s="90">
        <v>2</v>
      </c>
      <c r="O807" s="27">
        <f>IFERROR(+VLOOKUP(M807,D.sign_Lista_Data[[RESPONSABLE]:[SOFTWARE 
VALOR HORA]],3,FALSE),"0")</f>
        <v>20263.424518743668</v>
      </c>
      <c r="P807" s="3">
        <f t="shared" si="26"/>
        <v>40526.849037487336</v>
      </c>
      <c r="Q807" s="11">
        <f>IFERROR(+VLOOKUP(M807,D.sign_Lista_Data[[RESPONSABLE]:[SOFTWARE 
VALOR HORA]],5,FALSE)*D.sign_Data[[#This Row],[TIEMPO (HORAS)]],0)</f>
        <v>8443.0935494765272</v>
      </c>
      <c r="R807" s="11">
        <f>IFERROR(+VLOOKUP(M807,D.sign_Lista_Data[[RESPONSABLE]:[SOFTWARE 
VALOR HORA]],8,FALSE)*D.sign_Data[[#This Row],[TIEMPO (HORAS)]],0)</f>
        <v>6821.7097742879669</v>
      </c>
      <c r="S807" s="99"/>
      <c r="T807" s="99"/>
      <c r="U807" s="3">
        <f t="shared" si="27"/>
        <v>55791.652361251836</v>
      </c>
      <c r="V807" s="100">
        <f>D.sign_Data[[#This Row],[TIEMPO (HORAS)]]*Gastos_Operativos[[#Totals],[GASTOS HORA]]</f>
        <v>55578.954144620802</v>
      </c>
      <c r="W807" s="3">
        <f>+D.sign_Data[[#This Row],[COSTO 
DIRECTO ($COP)]]+D.sign_Data[[#This Row],[PRORRATEO GASTOS ($COP)]]</f>
        <v>111370.60650587264</v>
      </c>
      <c r="X807" s="101">
        <v>0.1</v>
      </c>
      <c r="Y807" s="15">
        <f>+D.sign_Data[[#This Row],[COSTOS OPERACIONALES ($COP)]]*D.sign_Data[[#This Row],[DESFASE (%)]]</f>
        <v>11137.060650587264</v>
      </c>
      <c r="Z807" s="101">
        <v>0.2</v>
      </c>
      <c r="AA807" s="15">
        <f>+((D.sign_Data[[#This Row],[COSTOS OPERACIONALES ($COP)]]/(100%-D.sign_Data[[#This Row],[UTILIDAD (%)]])))-D.sign_Data[[#This Row],[COSTOS OPERACIONALES ($COP)]]</f>
        <v>27842.651626468156</v>
      </c>
      <c r="AB807" s="3">
        <f>+D.sign_Data[[#This Row],[COSTOS OPERACIONALES ($COP)]]+D.sign_Data[[#This Row],[DESFASE ($COP)]]+D.sign_Data[[#This Row],[UTILIDAD ($COP)]]</f>
        <v>150350.31878292805</v>
      </c>
      <c r="AC807" s="101">
        <v>0.05</v>
      </c>
      <c r="AD807" s="15">
        <f>+D.sign_Data[[#This Row],[VALOR NETO ($COP)]]/(100%-D.sign_Data[[#This Row],[MARGEN DE NEGOCIACIÓN (%)]])-D.sign_Data[[#This Row],[VALOR NETO ($COP)]]</f>
        <v>7913.1746727856807</v>
      </c>
      <c r="AE807" s="15">
        <f>+(D.sign_Data[[#This Row],[VALOR NETO ($COP)]]+D.sign_Data[[#This Row],[NEGOCIACIÓN ($COP)]])*1%</f>
        <v>1582.6349345571373</v>
      </c>
      <c r="AF807" s="15">
        <f>+(D.sign_Data[[#This Row],[VALOR NETO ($COP)]]+D.sign_Data[[#This Row],[NEGOCIACIÓN ($COP)]])*1%</f>
        <v>1582.6349345571373</v>
      </c>
      <c r="AG807" s="3">
        <f>+D.sign_Data[[#This Row],[VALOR NETO ($COP)]]+D.sign_Data[[#This Row],[NEGOCIACIÓN ($COP)]]+D.sign_Data[[#This Row],[ICA ($COP)]]+D.sign_Data[[#This Row],[4 * 1000 ($COP)]]</f>
        <v>161428.763324828</v>
      </c>
    </row>
    <row r="808" spans="1:33" ht="60" hidden="1" customHeight="1" x14ac:dyDescent="0.25">
      <c r="A808" s="14"/>
      <c r="B808" s="87" t="s">
        <v>418</v>
      </c>
      <c r="C808" s="182" t="s">
        <v>921</v>
      </c>
      <c r="D808" s="189" t="str">
        <f>VLOOKUP(D.sign_Data[[#This Row],[CÓDIGO]],Descripciones[[CÓDIGO]:[NOMBRE DE SERVICIO]],3,FALSE)</f>
        <v>D3. Vivienda Campestre</v>
      </c>
      <c r="E808" s="87" t="s">
        <v>497</v>
      </c>
      <c r="F808" s="88" t="s">
        <v>922</v>
      </c>
      <c r="G808" s="88" t="s">
        <v>536</v>
      </c>
      <c r="H808" s="87" t="s">
        <v>500</v>
      </c>
      <c r="I808" s="89">
        <v>1</v>
      </c>
      <c r="J808" s="88" t="s">
        <v>734</v>
      </c>
      <c r="K808" s="102"/>
      <c r="L808" s="88" t="s">
        <v>740</v>
      </c>
      <c r="M808" s="89" t="s">
        <v>381</v>
      </c>
      <c r="N808" s="90">
        <v>0.5</v>
      </c>
      <c r="O808" s="27">
        <f>IFERROR(+VLOOKUP(M808,D.sign_Lista_Data[[RESPONSABLE]:[SOFTWARE 
VALOR HORA]],3,FALSE),"0")</f>
        <v>20263.424518743668</v>
      </c>
      <c r="P808" s="3">
        <f t="shared" si="26"/>
        <v>10131.712259371834</v>
      </c>
      <c r="Q808" s="11">
        <f>IFERROR(+VLOOKUP(M808,D.sign_Lista_Data[[RESPONSABLE]:[SOFTWARE 
VALOR HORA]],5,FALSE)*D.sign_Data[[#This Row],[TIEMPO (HORAS)]],0)</f>
        <v>2110.7733873691318</v>
      </c>
      <c r="R808" s="11">
        <f>IFERROR(+VLOOKUP(M808,D.sign_Lista_Data[[RESPONSABLE]:[SOFTWARE 
VALOR HORA]],8,FALSE)*D.sign_Data[[#This Row],[TIEMPO (HORAS)]],0)</f>
        <v>1705.4274435719917</v>
      </c>
      <c r="S808" s="99"/>
      <c r="T808" s="99"/>
      <c r="U808" s="3">
        <f t="shared" si="27"/>
        <v>13947.913090312959</v>
      </c>
      <c r="V808" s="100">
        <f>D.sign_Data[[#This Row],[TIEMPO (HORAS)]]*Gastos_Operativos[[#Totals],[GASTOS HORA]]</f>
        <v>13894.738536155201</v>
      </c>
      <c r="W808" s="3">
        <f>+D.sign_Data[[#This Row],[COSTO 
DIRECTO ($COP)]]+D.sign_Data[[#This Row],[PRORRATEO GASTOS ($COP)]]</f>
        <v>27842.65162646816</v>
      </c>
      <c r="X808" s="101">
        <v>0.1</v>
      </c>
      <c r="Y808" s="15">
        <f>+D.sign_Data[[#This Row],[COSTOS OPERACIONALES ($COP)]]*D.sign_Data[[#This Row],[DESFASE (%)]]</f>
        <v>2784.265162646816</v>
      </c>
      <c r="Z808" s="101">
        <v>0.2</v>
      </c>
      <c r="AA808" s="15">
        <f>+((D.sign_Data[[#This Row],[COSTOS OPERACIONALES ($COP)]]/(100%-D.sign_Data[[#This Row],[UTILIDAD (%)]])))-D.sign_Data[[#This Row],[COSTOS OPERACIONALES ($COP)]]</f>
        <v>6960.662906617039</v>
      </c>
      <c r="AB808" s="3">
        <f>+D.sign_Data[[#This Row],[COSTOS OPERACIONALES ($COP)]]+D.sign_Data[[#This Row],[DESFASE ($COP)]]+D.sign_Data[[#This Row],[UTILIDAD ($COP)]]</f>
        <v>37587.579695732013</v>
      </c>
      <c r="AC808" s="101">
        <v>0.05</v>
      </c>
      <c r="AD808" s="15">
        <f>+D.sign_Data[[#This Row],[VALOR NETO ($COP)]]/(100%-D.sign_Data[[#This Row],[MARGEN DE NEGOCIACIÓN (%)]])-D.sign_Data[[#This Row],[VALOR NETO ($COP)]]</f>
        <v>1978.2936681964202</v>
      </c>
      <c r="AE808" s="15">
        <f>+(D.sign_Data[[#This Row],[VALOR NETO ($COP)]]+D.sign_Data[[#This Row],[NEGOCIACIÓN ($COP)]])*1%</f>
        <v>395.65873363928432</v>
      </c>
      <c r="AF808" s="15">
        <f>+(D.sign_Data[[#This Row],[VALOR NETO ($COP)]]+D.sign_Data[[#This Row],[NEGOCIACIÓN ($COP)]])*1%</f>
        <v>395.65873363928432</v>
      </c>
      <c r="AG808" s="3">
        <f>+D.sign_Data[[#This Row],[VALOR NETO ($COP)]]+D.sign_Data[[#This Row],[NEGOCIACIÓN ($COP)]]+D.sign_Data[[#This Row],[ICA ($COP)]]+D.sign_Data[[#This Row],[4 * 1000 ($COP)]]</f>
        <v>40357.190831207001</v>
      </c>
    </row>
    <row r="809" spans="1:33" ht="60" hidden="1" customHeight="1" x14ac:dyDescent="0.25">
      <c r="A809" s="14"/>
      <c r="B809" s="87" t="s">
        <v>418</v>
      </c>
      <c r="C809" s="182" t="s">
        <v>921</v>
      </c>
      <c r="D809" s="189" t="str">
        <f>VLOOKUP(D.sign_Data[[#This Row],[CÓDIGO]],Descripciones[[CÓDIGO]:[NOMBRE DE SERVICIO]],3,FALSE)</f>
        <v>D3. Vivienda Campestre</v>
      </c>
      <c r="E809" s="87" t="s">
        <v>497</v>
      </c>
      <c r="F809" s="88" t="s">
        <v>922</v>
      </c>
      <c r="G809" s="88" t="s">
        <v>536</v>
      </c>
      <c r="H809" s="87" t="s">
        <v>500</v>
      </c>
      <c r="I809" s="89">
        <v>1</v>
      </c>
      <c r="J809" s="88" t="s">
        <v>734</v>
      </c>
      <c r="K809" s="102"/>
      <c r="L809" s="88" t="s">
        <v>926</v>
      </c>
      <c r="M809" s="89" t="s">
        <v>381</v>
      </c>
      <c r="N809" s="90">
        <v>1</v>
      </c>
      <c r="O809" s="27">
        <f>IFERROR(+VLOOKUP(M809,D.sign_Lista_Data[[RESPONSABLE]:[SOFTWARE 
VALOR HORA]],3,FALSE),"0")</f>
        <v>20263.424518743668</v>
      </c>
      <c r="P809" s="3">
        <f t="shared" si="26"/>
        <v>20263.424518743668</v>
      </c>
      <c r="Q809" s="11">
        <f>IFERROR(+VLOOKUP(M809,D.sign_Lista_Data[[RESPONSABLE]:[SOFTWARE 
VALOR HORA]],5,FALSE)*D.sign_Data[[#This Row],[TIEMPO (HORAS)]],0)</f>
        <v>4221.5467747382636</v>
      </c>
      <c r="R809" s="11">
        <f>IFERROR(+VLOOKUP(M809,D.sign_Lista_Data[[RESPONSABLE]:[SOFTWARE 
VALOR HORA]],8,FALSE)*D.sign_Data[[#This Row],[TIEMPO (HORAS)]],0)</f>
        <v>3410.8548871439834</v>
      </c>
      <c r="S809" s="99"/>
      <c r="T809" s="99"/>
      <c r="U809" s="3">
        <f t="shared" si="27"/>
        <v>27895.826180625918</v>
      </c>
      <c r="V809" s="100">
        <f>D.sign_Data[[#This Row],[TIEMPO (HORAS)]]*Gastos_Operativos[[#Totals],[GASTOS HORA]]</f>
        <v>27789.477072310401</v>
      </c>
      <c r="W809" s="3">
        <f>+D.sign_Data[[#This Row],[COSTO 
DIRECTO ($COP)]]+D.sign_Data[[#This Row],[PRORRATEO GASTOS ($COP)]]</f>
        <v>55685.303252936319</v>
      </c>
      <c r="X809" s="101">
        <v>0.1</v>
      </c>
      <c r="Y809" s="15">
        <f>+D.sign_Data[[#This Row],[COSTOS OPERACIONALES ($COP)]]*D.sign_Data[[#This Row],[DESFASE (%)]]</f>
        <v>5568.5303252936319</v>
      </c>
      <c r="Z809" s="101">
        <v>0.2</v>
      </c>
      <c r="AA809" s="15">
        <f>+((D.sign_Data[[#This Row],[COSTOS OPERACIONALES ($COP)]]/(100%-D.sign_Data[[#This Row],[UTILIDAD (%)]])))-D.sign_Data[[#This Row],[COSTOS OPERACIONALES ($COP)]]</f>
        <v>13921.325813234078</v>
      </c>
      <c r="AB809" s="3">
        <f>+D.sign_Data[[#This Row],[COSTOS OPERACIONALES ($COP)]]+D.sign_Data[[#This Row],[DESFASE ($COP)]]+D.sign_Data[[#This Row],[UTILIDAD ($COP)]]</f>
        <v>75175.159391464025</v>
      </c>
      <c r="AC809" s="101">
        <v>0.05</v>
      </c>
      <c r="AD809" s="15">
        <f>+D.sign_Data[[#This Row],[VALOR NETO ($COP)]]/(100%-D.sign_Data[[#This Row],[MARGEN DE NEGOCIACIÓN (%)]])-D.sign_Data[[#This Row],[VALOR NETO ($COP)]]</f>
        <v>3956.5873363928404</v>
      </c>
      <c r="AE809" s="15">
        <f>+(D.sign_Data[[#This Row],[VALOR NETO ($COP)]]+D.sign_Data[[#This Row],[NEGOCIACIÓN ($COP)]])*1%</f>
        <v>791.31746727856864</v>
      </c>
      <c r="AF809" s="15">
        <f>+(D.sign_Data[[#This Row],[VALOR NETO ($COP)]]+D.sign_Data[[#This Row],[NEGOCIACIÓN ($COP)]])*1%</f>
        <v>791.31746727856864</v>
      </c>
      <c r="AG809" s="3">
        <f>+D.sign_Data[[#This Row],[VALOR NETO ($COP)]]+D.sign_Data[[#This Row],[NEGOCIACIÓN ($COP)]]+D.sign_Data[[#This Row],[ICA ($COP)]]+D.sign_Data[[#This Row],[4 * 1000 ($COP)]]</f>
        <v>80714.381662414002</v>
      </c>
    </row>
    <row r="810" spans="1:33" ht="60" hidden="1" customHeight="1" x14ac:dyDescent="0.25">
      <c r="A810" s="14"/>
      <c r="B810" s="87" t="s">
        <v>418</v>
      </c>
      <c r="C810" s="182" t="s">
        <v>921</v>
      </c>
      <c r="D810" s="189" t="str">
        <f>VLOOKUP(D.sign_Data[[#This Row],[CÓDIGO]],Descripciones[[CÓDIGO]:[NOMBRE DE SERVICIO]],3,FALSE)</f>
        <v>D3. Vivienda Campestre</v>
      </c>
      <c r="E810" s="87" t="s">
        <v>497</v>
      </c>
      <c r="F810" s="88" t="s">
        <v>922</v>
      </c>
      <c r="G810" s="88" t="s">
        <v>536</v>
      </c>
      <c r="H810" s="87" t="s">
        <v>500</v>
      </c>
      <c r="I810" s="89">
        <v>1</v>
      </c>
      <c r="J810" s="88" t="s">
        <v>734</v>
      </c>
      <c r="K810" s="102"/>
      <c r="L810" s="88" t="s">
        <v>742</v>
      </c>
      <c r="M810" s="89" t="s">
        <v>381</v>
      </c>
      <c r="N810" s="90">
        <v>0.5</v>
      </c>
      <c r="O810" s="27">
        <f>IFERROR(+VLOOKUP(M810,D.sign_Lista_Data[[RESPONSABLE]:[SOFTWARE 
VALOR HORA]],3,FALSE),"0")</f>
        <v>20263.424518743668</v>
      </c>
      <c r="P810" s="3">
        <f t="shared" si="26"/>
        <v>10131.712259371834</v>
      </c>
      <c r="Q810" s="11">
        <f>IFERROR(+VLOOKUP(M810,D.sign_Lista_Data[[RESPONSABLE]:[SOFTWARE 
VALOR HORA]],5,FALSE)*D.sign_Data[[#This Row],[TIEMPO (HORAS)]],0)</f>
        <v>2110.7733873691318</v>
      </c>
      <c r="R810" s="11">
        <f>IFERROR(+VLOOKUP(M810,D.sign_Lista_Data[[RESPONSABLE]:[SOFTWARE 
VALOR HORA]],8,FALSE)*D.sign_Data[[#This Row],[TIEMPO (HORAS)]],0)</f>
        <v>1705.4274435719917</v>
      </c>
      <c r="S810" s="99"/>
      <c r="T810" s="99"/>
      <c r="U810" s="3">
        <f t="shared" si="27"/>
        <v>13947.913090312959</v>
      </c>
      <c r="V810" s="100">
        <f>D.sign_Data[[#This Row],[TIEMPO (HORAS)]]*Gastos_Operativos[[#Totals],[GASTOS HORA]]</f>
        <v>13894.738536155201</v>
      </c>
      <c r="W810" s="3">
        <f>+D.sign_Data[[#This Row],[COSTO 
DIRECTO ($COP)]]+D.sign_Data[[#This Row],[PRORRATEO GASTOS ($COP)]]</f>
        <v>27842.65162646816</v>
      </c>
      <c r="X810" s="101">
        <v>0.1</v>
      </c>
      <c r="Y810" s="15">
        <f>+D.sign_Data[[#This Row],[COSTOS OPERACIONALES ($COP)]]*D.sign_Data[[#This Row],[DESFASE (%)]]</f>
        <v>2784.265162646816</v>
      </c>
      <c r="Z810" s="101">
        <v>0.2</v>
      </c>
      <c r="AA810" s="15">
        <f>+((D.sign_Data[[#This Row],[COSTOS OPERACIONALES ($COP)]]/(100%-D.sign_Data[[#This Row],[UTILIDAD (%)]])))-D.sign_Data[[#This Row],[COSTOS OPERACIONALES ($COP)]]</f>
        <v>6960.662906617039</v>
      </c>
      <c r="AB810" s="3">
        <f>+D.sign_Data[[#This Row],[COSTOS OPERACIONALES ($COP)]]+D.sign_Data[[#This Row],[DESFASE ($COP)]]+D.sign_Data[[#This Row],[UTILIDAD ($COP)]]</f>
        <v>37587.579695732013</v>
      </c>
      <c r="AC810" s="101">
        <v>0.05</v>
      </c>
      <c r="AD810" s="15">
        <f>+D.sign_Data[[#This Row],[VALOR NETO ($COP)]]/(100%-D.sign_Data[[#This Row],[MARGEN DE NEGOCIACIÓN (%)]])-D.sign_Data[[#This Row],[VALOR NETO ($COP)]]</f>
        <v>1978.2936681964202</v>
      </c>
      <c r="AE810" s="15">
        <f>+(D.sign_Data[[#This Row],[VALOR NETO ($COP)]]+D.sign_Data[[#This Row],[NEGOCIACIÓN ($COP)]])*1%</f>
        <v>395.65873363928432</v>
      </c>
      <c r="AF810" s="15">
        <f>+(D.sign_Data[[#This Row],[VALOR NETO ($COP)]]+D.sign_Data[[#This Row],[NEGOCIACIÓN ($COP)]])*1%</f>
        <v>395.65873363928432</v>
      </c>
      <c r="AG810" s="3">
        <f>+D.sign_Data[[#This Row],[VALOR NETO ($COP)]]+D.sign_Data[[#This Row],[NEGOCIACIÓN ($COP)]]+D.sign_Data[[#This Row],[ICA ($COP)]]+D.sign_Data[[#This Row],[4 * 1000 ($COP)]]</f>
        <v>40357.190831207001</v>
      </c>
    </row>
    <row r="811" spans="1:33" ht="60" hidden="1" customHeight="1" x14ac:dyDescent="0.25">
      <c r="A811" s="14"/>
      <c r="B811" s="87" t="s">
        <v>418</v>
      </c>
      <c r="C811" s="182" t="s">
        <v>921</v>
      </c>
      <c r="D811" s="189" t="str">
        <f>VLOOKUP(D.sign_Data[[#This Row],[CÓDIGO]],Descripciones[[CÓDIGO]:[NOMBRE DE SERVICIO]],3,FALSE)</f>
        <v>D3. Vivienda Campestre</v>
      </c>
      <c r="E811" s="87" t="s">
        <v>497</v>
      </c>
      <c r="F811" s="88" t="s">
        <v>922</v>
      </c>
      <c r="G811" s="88" t="s">
        <v>536</v>
      </c>
      <c r="H811" s="87" t="s">
        <v>500</v>
      </c>
      <c r="I811" s="89">
        <v>1</v>
      </c>
      <c r="J811" s="88" t="s">
        <v>734</v>
      </c>
      <c r="K811" s="102"/>
      <c r="L811" s="88" t="s">
        <v>743</v>
      </c>
      <c r="M811" s="89" t="s">
        <v>381</v>
      </c>
      <c r="N811" s="90">
        <v>0.25</v>
      </c>
      <c r="O811" s="27">
        <f>IFERROR(+VLOOKUP(M811,D.sign_Lista_Data[[RESPONSABLE]:[SOFTWARE 
VALOR HORA]],3,FALSE),"0")</f>
        <v>20263.424518743668</v>
      </c>
      <c r="P811" s="3">
        <f t="shared" si="26"/>
        <v>5065.856129685917</v>
      </c>
      <c r="Q811" s="11">
        <f>IFERROR(+VLOOKUP(M811,D.sign_Lista_Data[[RESPONSABLE]:[SOFTWARE 
VALOR HORA]],5,FALSE)*D.sign_Data[[#This Row],[TIEMPO (HORAS)]],0)</f>
        <v>1055.3866936845659</v>
      </c>
      <c r="R811" s="11">
        <f>IFERROR(+VLOOKUP(M811,D.sign_Lista_Data[[RESPONSABLE]:[SOFTWARE 
VALOR HORA]],8,FALSE)*D.sign_Data[[#This Row],[TIEMPO (HORAS)]],0)</f>
        <v>852.71372178599586</v>
      </c>
      <c r="S811" s="99"/>
      <c r="T811" s="99"/>
      <c r="U811" s="3">
        <f t="shared" si="27"/>
        <v>6973.9565451564795</v>
      </c>
      <c r="V811" s="100">
        <f>D.sign_Data[[#This Row],[TIEMPO (HORAS)]]*Gastos_Operativos[[#Totals],[GASTOS HORA]]</f>
        <v>6947.3692680776003</v>
      </c>
      <c r="W811" s="3">
        <f>+D.sign_Data[[#This Row],[COSTO 
DIRECTO ($COP)]]+D.sign_Data[[#This Row],[PRORRATEO GASTOS ($COP)]]</f>
        <v>13921.32581323408</v>
      </c>
      <c r="X811" s="101">
        <v>0.1</v>
      </c>
      <c r="Y811" s="15">
        <f>+D.sign_Data[[#This Row],[COSTOS OPERACIONALES ($COP)]]*D.sign_Data[[#This Row],[DESFASE (%)]]</f>
        <v>1392.132581323408</v>
      </c>
      <c r="Z811" s="101">
        <v>0.2</v>
      </c>
      <c r="AA811" s="15">
        <f>+((D.sign_Data[[#This Row],[COSTOS OPERACIONALES ($COP)]]/(100%-D.sign_Data[[#This Row],[UTILIDAD (%)]])))-D.sign_Data[[#This Row],[COSTOS OPERACIONALES ($COP)]]</f>
        <v>3480.3314533085195</v>
      </c>
      <c r="AB811" s="3">
        <f>+D.sign_Data[[#This Row],[COSTOS OPERACIONALES ($COP)]]+D.sign_Data[[#This Row],[DESFASE ($COP)]]+D.sign_Data[[#This Row],[UTILIDAD ($COP)]]</f>
        <v>18793.789847866006</v>
      </c>
      <c r="AC811" s="101">
        <v>0.05</v>
      </c>
      <c r="AD811" s="15">
        <f>+D.sign_Data[[#This Row],[VALOR NETO ($COP)]]/(100%-D.sign_Data[[#This Row],[MARGEN DE NEGOCIACIÓN (%)]])-D.sign_Data[[#This Row],[VALOR NETO ($COP)]]</f>
        <v>989.14683409821009</v>
      </c>
      <c r="AE811" s="15">
        <f>+(D.sign_Data[[#This Row],[VALOR NETO ($COP)]]+D.sign_Data[[#This Row],[NEGOCIACIÓN ($COP)]])*1%</f>
        <v>197.82936681964216</v>
      </c>
      <c r="AF811" s="15">
        <f>+(D.sign_Data[[#This Row],[VALOR NETO ($COP)]]+D.sign_Data[[#This Row],[NEGOCIACIÓN ($COP)]])*1%</f>
        <v>197.82936681964216</v>
      </c>
      <c r="AG811" s="3">
        <f>+D.sign_Data[[#This Row],[VALOR NETO ($COP)]]+D.sign_Data[[#This Row],[NEGOCIACIÓN ($COP)]]+D.sign_Data[[#This Row],[ICA ($COP)]]+D.sign_Data[[#This Row],[4 * 1000 ($COP)]]</f>
        <v>20178.5954156035</v>
      </c>
    </row>
    <row r="812" spans="1:33" ht="60" hidden="1" customHeight="1" x14ac:dyDescent="0.25">
      <c r="A812" s="14"/>
      <c r="B812" s="87" t="s">
        <v>418</v>
      </c>
      <c r="C812" s="182" t="s">
        <v>921</v>
      </c>
      <c r="D812" s="189" t="str">
        <f>VLOOKUP(D.sign_Data[[#This Row],[CÓDIGO]],Descripciones[[CÓDIGO]:[NOMBRE DE SERVICIO]],3,FALSE)</f>
        <v>D3. Vivienda Campestre</v>
      </c>
      <c r="E812" s="87" t="s">
        <v>497</v>
      </c>
      <c r="F812" s="88" t="s">
        <v>922</v>
      </c>
      <c r="G812" s="88" t="s">
        <v>536</v>
      </c>
      <c r="H812" s="87" t="s">
        <v>500</v>
      </c>
      <c r="I812" s="89">
        <v>1</v>
      </c>
      <c r="J812" s="88" t="s">
        <v>734</v>
      </c>
      <c r="K812" s="102"/>
      <c r="L812" s="88" t="s">
        <v>744</v>
      </c>
      <c r="M812" s="89" t="s">
        <v>381</v>
      </c>
      <c r="N812" s="90">
        <v>2</v>
      </c>
      <c r="O812" s="27">
        <f>IFERROR(+VLOOKUP(M812,D.sign_Lista_Data[[RESPONSABLE]:[SOFTWARE 
VALOR HORA]],3,FALSE),"0")</f>
        <v>20263.424518743668</v>
      </c>
      <c r="P812" s="3">
        <f t="shared" si="26"/>
        <v>40526.849037487336</v>
      </c>
      <c r="Q812" s="11">
        <f>IFERROR(+VLOOKUP(M812,D.sign_Lista_Data[[RESPONSABLE]:[SOFTWARE 
VALOR HORA]],5,FALSE)*D.sign_Data[[#This Row],[TIEMPO (HORAS)]],0)</f>
        <v>8443.0935494765272</v>
      </c>
      <c r="R812" s="11">
        <f>IFERROR(+VLOOKUP(M812,D.sign_Lista_Data[[RESPONSABLE]:[SOFTWARE 
VALOR HORA]],8,FALSE)*D.sign_Data[[#This Row],[TIEMPO (HORAS)]],0)</f>
        <v>6821.7097742879669</v>
      </c>
      <c r="S812" s="99"/>
      <c r="T812" s="99"/>
      <c r="U812" s="3">
        <f t="shared" si="27"/>
        <v>55791.652361251836</v>
      </c>
      <c r="V812" s="100">
        <f>D.sign_Data[[#This Row],[TIEMPO (HORAS)]]*Gastos_Operativos[[#Totals],[GASTOS HORA]]</f>
        <v>55578.954144620802</v>
      </c>
      <c r="W812" s="3">
        <f>+D.sign_Data[[#This Row],[COSTO 
DIRECTO ($COP)]]+D.sign_Data[[#This Row],[PRORRATEO GASTOS ($COP)]]</f>
        <v>111370.60650587264</v>
      </c>
      <c r="X812" s="101">
        <v>0.1</v>
      </c>
      <c r="Y812" s="15">
        <f>+D.sign_Data[[#This Row],[COSTOS OPERACIONALES ($COP)]]*D.sign_Data[[#This Row],[DESFASE (%)]]</f>
        <v>11137.060650587264</v>
      </c>
      <c r="Z812" s="101">
        <v>0.2</v>
      </c>
      <c r="AA812" s="15">
        <f>+((D.sign_Data[[#This Row],[COSTOS OPERACIONALES ($COP)]]/(100%-D.sign_Data[[#This Row],[UTILIDAD (%)]])))-D.sign_Data[[#This Row],[COSTOS OPERACIONALES ($COP)]]</f>
        <v>27842.651626468156</v>
      </c>
      <c r="AB812" s="3">
        <f>+D.sign_Data[[#This Row],[COSTOS OPERACIONALES ($COP)]]+D.sign_Data[[#This Row],[DESFASE ($COP)]]+D.sign_Data[[#This Row],[UTILIDAD ($COP)]]</f>
        <v>150350.31878292805</v>
      </c>
      <c r="AC812" s="101">
        <v>0.05</v>
      </c>
      <c r="AD812" s="15">
        <f>+D.sign_Data[[#This Row],[VALOR NETO ($COP)]]/(100%-D.sign_Data[[#This Row],[MARGEN DE NEGOCIACIÓN (%)]])-D.sign_Data[[#This Row],[VALOR NETO ($COP)]]</f>
        <v>7913.1746727856807</v>
      </c>
      <c r="AE812" s="15">
        <f>+(D.sign_Data[[#This Row],[VALOR NETO ($COP)]]+D.sign_Data[[#This Row],[NEGOCIACIÓN ($COP)]])*1%</f>
        <v>1582.6349345571373</v>
      </c>
      <c r="AF812" s="15">
        <f>+(D.sign_Data[[#This Row],[VALOR NETO ($COP)]]+D.sign_Data[[#This Row],[NEGOCIACIÓN ($COP)]])*1%</f>
        <v>1582.6349345571373</v>
      </c>
      <c r="AG812" s="3">
        <f>+D.sign_Data[[#This Row],[VALOR NETO ($COP)]]+D.sign_Data[[#This Row],[NEGOCIACIÓN ($COP)]]+D.sign_Data[[#This Row],[ICA ($COP)]]+D.sign_Data[[#This Row],[4 * 1000 ($COP)]]</f>
        <v>161428.763324828</v>
      </c>
    </row>
    <row r="813" spans="1:33" ht="60" hidden="1" customHeight="1" x14ac:dyDescent="0.25">
      <c r="A813" s="14"/>
      <c r="B813" s="87" t="s">
        <v>418</v>
      </c>
      <c r="C813" s="182" t="s">
        <v>921</v>
      </c>
      <c r="D813" s="189" t="str">
        <f>VLOOKUP(D.sign_Data[[#This Row],[CÓDIGO]],Descripciones[[CÓDIGO]:[NOMBRE DE SERVICIO]],3,FALSE)</f>
        <v>D3. Vivienda Campestre</v>
      </c>
      <c r="E813" s="87" t="s">
        <v>497</v>
      </c>
      <c r="F813" s="88" t="s">
        <v>922</v>
      </c>
      <c r="G813" s="88" t="s">
        <v>536</v>
      </c>
      <c r="H813" s="87" t="s">
        <v>500</v>
      </c>
      <c r="I813" s="89">
        <v>1</v>
      </c>
      <c r="J813" s="88" t="s">
        <v>745</v>
      </c>
      <c r="K813" s="102"/>
      <c r="L813" s="88" t="s">
        <v>746</v>
      </c>
      <c r="M813" s="89" t="s">
        <v>381</v>
      </c>
      <c r="N813" s="90">
        <v>2</v>
      </c>
      <c r="O813" s="27">
        <f>IFERROR(+VLOOKUP(M813,D.sign_Lista_Data[[RESPONSABLE]:[SOFTWARE 
VALOR HORA]],3,FALSE),"0")</f>
        <v>20263.424518743668</v>
      </c>
      <c r="P813" s="3">
        <f t="shared" ref="P813:P944" si="28">+O813*N813</f>
        <v>40526.849037487336</v>
      </c>
      <c r="Q813" s="11">
        <f>IFERROR(+VLOOKUP(M813,D.sign_Lista_Data[[RESPONSABLE]:[SOFTWARE 
VALOR HORA]],5,FALSE)*D.sign_Data[[#This Row],[TIEMPO (HORAS)]],0)</f>
        <v>8443.0935494765272</v>
      </c>
      <c r="R813" s="11">
        <f>IFERROR(+VLOOKUP(M813,D.sign_Lista_Data[[RESPONSABLE]:[SOFTWARE 
VALOR HORA]],8,FALSE)*D.sign_Data[[#This Row],[TIEMPO (HORAS)]],0)</f>
        <v>6821.7097742879669</v>
      </c>
      <c r="S813" s="99"/>
      <c r="T813" s="99"/>
      <c r="U813" s="3">
        <f t="shared" ref="U813:U944" si="29">SUM(P813:T813)</f>
        <v>55791.652361251836</v>
      </c>
      <c r="V813" s="100">
        <f>D.sign_Data[[#This Row],[TIEMPO (HORAS)]]*Gastos_Operativos[[#Totals],[GASTOS HORA]]</f>
        <v>55578.954144620802</v>
      </c>
      <c r="W813" s="3">
        <f>+D.sign_Data[[#This Row],[COSTO 
DIRECTO ($COP)]]+D.sign_Data[[#This Row],[PRORRATEO GASTOS ($COP)]]</f>
        <v>111370.60650587264</v>
      </c>
      <c r="X813" s="101">
        <v>0.1</v>
      </c>
      <c r="Y813" s="15">
        <f>+D.sign_Data[[#This Row],[COSTOS OPERACIONALES ($COP)]]*D.sign_Data[[#This Row],[DESFASE (%)]]</f>
        <v>11137.060650587264</v>
      </c>
      <c r="Z813" s="101">
        <v>0.2</v>
      </c>
      <c r="AA813" s="15">
        <f>+((D.sign_Data[[#This Row],[COSTOS OPERACIONALES ($COP)]]/(100%-D.sign_Data[[#This Row],[UTILIDAD (%)]])))-D.sign_Data[[#This Row],[COSTOS OPERACIONALES ($COP)]]</f>
        <v>27842.651626468156</v>
      </c>
      <c r="AB813" s="3">
        <f>+D.sign_Data[[#This Row],[COSTOS OPERACIONALES ($COP)]]+D.sign_Data[[#This Row],[DESFASE ($COP)]]+D.sign_Data[[#This Row],[UTILIDAD ($COP)]]</f>
        <v>150350.31878292805</v>
      </c>
      <c r="AC813" s="101">
        <v>0.05</v>
      </c>
      <c r="AD813" s="15">
        <f>+D.sign_Data[[#This Row],[VALOR NETO ($COP)]]/(100%-D.sign_Data[[#This Row],[MARGEN DE NEGOCIACIÓN (%)]])-D.sign_Data[[#This Row],[VALOR NETO ($COP)]]</f>
        <v>7913.1746727856807</v>
      </c>
      <c r="AE813" s="15">
        <f>+(D.sign_Data[[#This Row],[VALOR NETO ($COP)]]+D.sign_Data[[#This Row],[NEGOCIACIÓN ($COP)]])*1%</f>
        <v>1582.6349345571373</v>
      </c>
      <c r="AF813" s="15">
        <f>+(D.sign_Data[[#This Row],[VALOR NETO ($COP)]]+D.sign_Data[[#This Row],[NEGOCIACIÓN ($COP)]])*1%</f>
        <v>1582.6349345571373</v>
      </c>
      <c r="AG813" s="3">
        <f>+D.sign_Data[[#This Row],[VALOR NETO ($COP)]]+D.sign_Data[[#This Row],[NEGOCIACIÓN ($COP)]]+D.sign_Data[[#This Row],[ICA ($COP)]]+D.sign_Data[[#This Row],[4 * 1000 ($COP)]]</f>
        <v>161428.763324828</v>
      </c>
    </row>
    <row r="814" spans="1:33" ht="60" hidden="1" customHeight="1" x14ac:dyDescent="0.25">
      <c r="A814" s="14"/>
      <c r="B814" s="87" t="s">
        <v>418</v>
      </c>
      <c r="C814" s="182" t="s">
        <v>921</v>
      </c>
      <c r="D814" s="189" t="str">
        <f>VLOOKUP(D.sign_Data[[#This Row],[CÓDIGO]],Descripciones[[CÓDIGO]:[NOMBRE DE SERVICIO]],3,FALSE)</f>
        <v>D3. Vivienda Campestre</v>
      </c>
      <c r="E814" s="87" t="s">
        <v>497</v>
      </c>
      <c r="F814" s="88" t="s">
        <v>922</v>
      </c>
      <c r="G814" s="88" t="s">
        <v>536</v>
      </c>
      <c r="H814" s="87" t="s">
        <v>500</v>
      </c>
      <c r="I814" s="89">
        <v>1</v>
      </c>
      <c r="J814" s="88" t="s">
        <v>747</v>
      </c>
      <c r="K814" s="102"/>
      <c r="L814" s="88" t="s">
        <v>650</v>
      </c>
      <c r="M814" s="89" t="s">
        <v>381</v>
      </c>
      <c r="N814" s="90">
        <v>0.5</v>
      </c>
      <c r="O814" s="27">
        <f>IFERROR(+VLOOKUP(M814,D.sign_Lista_Data[[RESPONSABLE]:[SOFTWARE 
VALOR HORA]],3,FALSE),"0")</f>
        <v>20263.424518743668</v>
      </c>
      <c r="P814" s="3">
        <f t="shared" si="28"/>
        <v>10131.712259371834</v>
      </c>
      <c r="Q814" s="11">
        <f>IFERROR(+VLOOKUP(M814,D.sign_Lista_Data[[RESPONSABLE]:[SOFTWARE 
VALOR HORA]],5,FALSE)*D.sign_Data[[#This Row],[TIEMPO (HORAS)]],0)</f>
        <v>2110.7733873691318</v>
      </c>
      <c r="R814" s="11">
        <f>IFERROR(+VLOOKUP(M814,D.sign_Lista_Data[[RESPONSABLE]:[SOFTWARE 
VALOR HORA]],8,FALSE)*D.sign_Data[[#This Row],[TIEMPO (HORAS)]],0)</f>
        <v>1705.4274435719917</v>
      </c>
      <c r="S814" s="99"/>
      <c r="T814" s="99"/>
      <c r="U814" s="3">
        <f t="shared" si="29"/>
        <v>13947.913090312959</v>
      </c>
      <c r="V814" s="100">
        <f>D.sign_Data[[#This Row],[TIEMPO (HORAS)]]*Gastos_Operativos[[#Totals],[GASTOS HORA]]</f>
        <v>13894.738536155201</v>
      </c>
      <c r="W814" s="3">
        <f>+D.sign_Data[[#This Row],[COSTO 
DIRECTO ($COP)]]+D.sign_Data[[#This Row],[PRORRATEO GASTOS ($COP)]]</f>
        <v>27842.65162646816</v>
      </c>
      <c r="X814" s="101">
        <v>0.1</v>
      </c>
      <c r="Y814" s="15">
        <f>+D.sign_Data[[#This Row],[COSTOS OPERACIONALES ($COP)]]*D.sign_Data[[#This Row],[DESFASE (%)]]</f>
        <v>2784.265162646816</v>
      </c>
      <c r="Z814" s="101">
        <v>0.2</v>
      </c>
      <c r="AA814" s="15">
        <f>+((D.sign_Data[[#This Row],[COSTOS OPERACIONALES ($COP)]]/(100%-D.sign_Data[[#This Row],[UTILIDAD (%)]])))-D.sign_Data[[#This Row],[COSTOS OPERACIONALES ($COP)]]</f>
        <v>6960.662906617039</v>
      </c>
      <c r="AB814" s="3">
        <f>+D.sign_Data[[#This Row],[COSTOS OPERACIONALES ($COP)]]+D.sign_Data[[#This Row],[DESFASE ($COP)]]+D.sign_Data[[#This Row],[UTILIDAD ($COP)]]</f>
        <v>37587.579695732013</v>
      </c>
      <c r="AC814" s="101">
        <v>0.05</v>
      </c>
      <c r="AD814" s="15">
        <f>+D.sign_Data[[#This Row],[VALOR NETO ($COP)]]/(100%-D.sign_Data[[#This Row],[MARGEN DE NEGOCIACIÓN (%)]])-D.sign_Data[[#This Row],[VALOR NETO ($COP)]]</f>
        <v>1978.2936681964202</v>
      </c>
      <c r="AE814" s="15">
        <f>+(D.sign_Data[[#This Row],[VALOR NETO ($COP)]]+D.sign_Data[[#This Row],[NEGOCIACIÓN ($COP)]])*1%</f>
        <v>395.65873363928432</v>
      </c>
      <c r="AF814" s="15">
        <f>+(D.sign_Data[[#This Row],[VALOR NETO ($COP)]]+D.sign_Data[[#This Row],[NEGOCIACIÓN ($COP)]])*1%</f>
        <v>395.65873363928432</v>
      </c>
      <c r="AG814" s="3">
        <f>+D.sign_Data[[#This Row],[VALOR NETO ($COP)]]+D.sign_Data[[#This Row],[NEGOCIACIÓN ($COP)]]+D.sign_Data[[#This Row],[ICA ($COP)]]+D.sign_Data[[#This Row],[4 * 1000 ($COP)]]</f>
        <v>40357.190831207001</v>
      </c>
    </row>
    <row r="815" spans="1:33" ht="60" hidden="1" customHeight="1" x14ac:dyDescent="0.25">
      <c r="A815" s="14"/>
      <c r="B815" s="87" t="s">
        <v>418</v>
      </c>
      <c r="C815" s="182" t="s">
        <v>921</v>
      </c>
      <c r="D815" s="189" t="str">
        <f>VLOOKUP(D.sign_Data[[#This Row],[CÓDIGO]],Descripciones[[CÓDIGO]:[NOMBRE DE SERVICIO]],3,FALSE)</f>
        <v>D3. Vivienda Campestre</v>
      </c>
      <c r="E815" s="87" t="s">
        <v>497</v>
      </c>
      <c r="F815" s="88" t="s">
        <v>922</v>
      </c>
      <c r="G815" s="88" t="s">
        <v>536</v>
      </c>
      <c r="H815" s="87" t="s">
        <v>500</v>
      </c>
      <c r="I815" s="89">
        <v>1</v>
      </c>
      <c r="J815" s="88" t="s">
        <v>747</v>
      </c>
      <c r="K815" s="102"/>
      <c r="L815" s="88" t="s">
        <v>748</v>
      </c>
      <c r="M815" s="89" t="s">
        <v>381</v>
      </c>
      <c r="N815" s="90">
        <v>0.25</v>
      </c>
      <c r="O815" s="27">
        <f>IFERROR(+VLOOKUP(M815,D.sign_Lista_Data[[RESPONSABLE]:[SOFTWARE 
VALOR HORA]],3,FALSE),"0")</f>
        <v>20263.424518743668</v>
      </c>
      <c r="P815" s="3">
        <f t="shared" si="28"/>
        <v>5065.856129685917</v>
      </c>
      <c r="Q815" s="11">
        <f>IFERROR(+VLOOKUP(M815,D.sign_Lista_Data[[RESPONSABLE]:[SOFTWARE 
VALOR HORA]],5,FALSE)*D.sign_Data[[#This Row],[TIEMPO (HORAS)]],0)</f>
        <v>1055.3866936845659</v>
      </c>
      <c r="R815" s="11">
        <f>IFERROR(+VLOOKUP(M815,D.sign_Lista_Data[[RESPONSABLE]:[SOFTWARE 
VALOR HORA]],8,FALSE)*D.sign_Data[[#This Row],[TIEMPO (HORAS)]],0)</f>
        <v>852.71372178599586</v>
      </c>
      <c r="S815" s="99"/>
      <c r="T815" s="99"/>
      <c r="U815" s="3">
        <f t="shared" si="29"/>
        <v>6973.9565451564795</v>
      </c>
      <c r="V815" s="100">
        <f>D.sign_Data[[#This Row],[TIEMPO (HORAS)]]*Gastos_Operativos[[#Totals],[GASTOS HORA]]</f>
        <v>6947.3692680776003</v>
      </c>
      <c r="W815" s="3">
        <f>+D.sign_Data[[#This Row],[COSTO 
DIRECTO ($COP)]]+D.sign_Data[[#This Row],[PRORRATEO GASTOS ($COP)]]</f>
        <v>13921.32581323408</v>
      </c>
      <c r="X815" s="101">
        <v>0.1</v>
      </c>
      <c r="Y815" s="15">
        <f>+D.sign_Data[[#This Row],[COSTOS OPERACIONALES ($COP)]]*D.sign_Data[[#This Row],[DESFASE (%)]]</f>
        <v>1392.132581323408</v>
      </c>
      <c r="Z815" s="101">
        <v>0.2</v>
      </c>
      <c r="AA815" s="15">
        <f>+((D.sign_Data[[#This Row],[COSTOS OPERACIONALES ($COP)]]/(100%-D.sign_Data[[#This Row],[UTILIDAD (%)]])))-D.sign_Data[[#This Row],[COSTOS OPERACIONALES ($COP)]]</f>
        <v>3480.3314533085195</v>
      </c>
      <c r="AB815" s="3">
        <f>+D.sign_Data[[#This Row],[COSTOS OPERACIONALES ($COP)]]+D.sign_Data[[#This Row],[DESFASE ($COP)]]+D.sign_Data[[#This Row],[UTILIDAD ($COP)]]</f>
        <v>18793.789847866006</v>
      </c>
      <c r="AC815" s="101">
        <v>0.05</v>
      </c>
      <c r="AD815" s="15">
        <f>+D.sign_Data[[#This Row],[VALOR NETO ($COP)]]/(100%-D.sign_Data[[#This Row],[MARGEN DE NEGOCIACIÓN (%)]])-D.sign_Data[[#This Row],[VALOR NETO ($COP)]]</f>
        <v>989.14683409821009</v>
      </c>
      <c r="AE815" s="15">
        <f>+(D.sign_Data[[#This Row],[VALOR NETO ($COP)]]+D.sign_Data[[#This Row],[NEGOCIACIÓN ($COP)]])*1%</f>
        <v>197.82936681964216</v>
      </c>
      <c r="AF815" s="15">
        <f>+(D.sign_Data[[#This Row],[VALOR NETO ($COP)]]+D.sign_Data[[#This Row],[NEGOCIACIÓN ($COP)]])*1%</f>
        <v>197.82936681964216</v>
      </c>
      <c r="AG815" s="3">
        <f>+D.sign_Data[[#This Row],[VALOR NETO ($COP)]]+D.sign_Data[[#This Row],[NEGOCIACIÓN ($COP)]]+D.sign_Data[[#This Row],[ICA ($COP)]]+D.sign_Data[[#This Row],[4 * 1000 ($COP)]]</f>
        <v>20178.5954156035</v>
      </c>
    </row>
    <row r="816" spans="1:33" ht="60" hidden="1" customHeight="1" x14ac:dyDescent="0.25">
      <c r="A816" s="14"/>
      <c r="B816" s="87" t="s">
        <v>418</v>
      </c>
      <c r="C816" s="182" t="s">
        <v>921</v>
      </c>
      <c r="D816" s="189" t="str">
        <f>VLOOKUP(D.sign_Data[[#This Row],[CÓDIGO]],Descripciones[[CÓDIGO]:[NOMBRE DE SERVICIO]],3,FALSE)</f>
        <v>D3. Vivienda Campestre</v>
      </c>
      <c r="E816" s="87" t="s">
        <v>497</v>
      </c>
      <c r="F816" s="88" t="s">
        <v>922</v>
      </c>
      <c r="G816" s="88" t="s">
        <v>536</v>
      </c>
      <c r="H816" s="87" t="s">
        <v>500</v>
      </c>
      <c r="I816" s="89">
        <v>1</v>
      </c>
      <c r="J816" s="88" t="s">
        <v>747</v>
      </c>
      <c r="K816" s="102"/>
      <c r="L816" s="88" t="s">
        <v>749</v>
      </c>
      <c r="M816" s="89" t="s">
        <v>381</v>
      </c>
      <c r="N816" s="90">
        <v>0.5</v>
      </c>
      <c r="O816" s="27">
        <f>IFERROR(+VLOOKUP(M816,D.sign_Lista_Data[[RESPONSABLE]:[SOFTWARE 
VALOR HORA]],3,FALSE),"0")</f>
        <v>20263.424518743668</v>
      </c>
      <c r="P816" s="3">
        <f t="shared" si="28"/>
        <v>10131.712259371834</v>
      </c>
      <c r="Q816" s="11">
        <f>IFERROR(+VLOOKUP(M816,D.sign_Lista_Data[[RESPONSABLE]:[SOFTWARE 
VALOR HORA]],5,FALSE)*D.sign_Data[[#This Row],[TIEMPO (HORAS)]],0)</f>
        <v>2110.7733873691318</v>
      </c>
      <c r="R816" s="11">
        <f>IFERROR(+VLOOKUP(M816,D.sign_Lista_Data[[RESPONSABLE]:[SOFTWARE 
VALOR HORA]],8,FALSE)*D.sign_Data[[#This Row],[TIEMPO (HORAS)]],0)</f>
        <v>1705.4274435719917</v>
      </c>
      <c r="S816" s="99"/>
      <c r="T816" s="99"/>
      <c r="U816" s="3">
        <f t="shared" si="29"/>
        <v>13947.913090312959</v>
      </c>
      <c r="V816" s="100">
        <f>D.sign_Data[[#This Row],[TIEMPO (HORAS)]]*Gastos_Operativos[[#Totals],[GASTOS HORA]]</f>
        <v>13894.738536155201</v>
      </c>
      <c r="W816" s="3">
        <f>+D.sign_Data[[#This Row],[COSTO 
DIRECTO ($COP)]]+D.sign_Data[[#This Row],[PRORRATEO GASTOS ($COP)]]</f>
        <v>27842.65162646816</v>
      </c>
      <c r="X816" s="101">
        <v>0.1</v>
      </c>
      <c r="Y816" s="15">
        <f>+D.sign_Data[[#This Row],[COSTOS OPERACIONALES ($COP)]]*D.sign_Data[[#This Row],[DESFASE (%)]]</f>
        <v>2784.265162646816</v>
      </c>
      <c r="Z816" s="101">
        <v>0.2</v>
      </c>
      <c r="AA816" s="15">
        <f>+((D.sign_Data[[#This Row],[COSTOS OPERACIONALES ($COP)]]/(100%-D.sign_Data[[#This Row],[UTILIDAD (%)]])))-D.sign_Data[[#This Row],[COSTOS OPERACIONALES ($COP)]]</f>
        <v>6960.662906617039</v>
      </c>
      <c r="AB816" s="3">
        <f>+D.sign_Data[[#This Row],[COSTOS OPERACIONALES ($COP)]]+D.sign_Data[[#This Row],[DESFASE ($COP)]]+D.sign_Data[[#This Row],[UTILIDAD ($COP)]]</f>
        <v>37587.579695732013</v>
      </c>
      <c r="AC816" s="101">
        <v>0.05</v>
      </c>
      <c r="AD816" s="15">
        <f>+D.sign_Data[[#This Row],[VALOR NETO ($COP)]]/(100%-D.sign_Data[[#This Row],[MARGEN DE NEGOCIACIÓN (%)]])-D.sign_Data[[#This Row],[VALOR NETO ($COP)]]</f>
        <v>1978.2936681964202</v>
      </c>
      <c r="AE816" s="15">
        <f>+(D.sign_Data[[#This Row],[VALOR NETO ($COP)]]+D.sign_Data[[#This Row],[NEGOCIACIÓN ($COP)]])*1%</f>
        <v>395.65873363928432</v>
      </c>
      <c r="AF816" s="15">
        <f>+(D.sign_Data[[#This Row],[VALOR NETO ($COP)]]+D.sign_Data[[#This Row],[NEGOCIACIÓN ($COP)]])*1%</f>
        <v>395.65873363928432</v>
      </c>
      <c r="AG816" s="3">
        <f>+D.sign_Data[[#This Row],[VALOR NETO ($COP)]]+D.sign_Data[[#This Row],[NEGOCIACIÓN ($COP)]]+D.sign_Data[[#This Row],[ICA ($COP)]]+D.sign_Data[[#This Row],[4 * 1000 ($COP)]]</f>
        <v>40357.190831207001</v>
      </c>
    </row>
    <row r="817" spans="1:33" ht="60" hidden="1" customHeight="1" x14ac:dyDescent="0.25">
      <c r="A817" s="14"/>
      <c r="B817" s="87" t="s">
        <v>418</v>
      </c>
      <c r="C817" s="182" t="s">
        <v>921</v>
      </c>
      <c r="D817" s="189" t="str">
        <f>VLOOKUP(D.sign_Data[[#This Row],[CÓDIGO]],Descripciones[[CÓDIGO]:[NOMBRE DE SERVICIO]],3,FALSE)</f>
        <v>D3. Vivienda Campestre</v>
      </c>
      <c r="E817" s="87" t="s">
        <v>497</v>
      </c>
      <c r="F817" s="88" t="s">
        <v>922</v>
      </c>
      <c r="G817" s="88" t="s">
        <v>536</v>
      </c>
      <c r="H817" s="87" t="s">
        <v>500</v>
      </c>
      <c r="I817" s="89">
        <v>1</v>
      </c>
      <c r="J817" s="88" t="s">
        <v>747</v>
      </c>
      <c r="K817" s="102"/>
      <c r="L817" s="88" t="s">
        <v>750</v>
      </c>
      <c r="M817" s="89" t="s">
        <v>381</v>
      </c>
      <c r="N817" s="90">
        <v>0.5</v>
      </c>
      <c r="O817" s="27">
        <f>IFERROR(+VLOOKUP(M817,D.sign_Lista_Data[[RESPONSABLE]:[SOFTWARE 
VALOR HORA]],3,FALSE),"0")</f>
        <v>20263.424518743668</v>
      </c>
      <c r="P817" s="3">
        <f t="shared" si="28"/>
        <v>10131.712259371834</v>
      </c>
      <c r="Q817" s="11">
        <f>IFERROR(+VLOOKUP(M817,D.sign_Lista_Data[[RESPONSABLE]:[SOFTWARE 
VALOR HORA]],5,FALSE)*D.sign_Data[[#This Row],[TIEMPO (HORAS)]],0)</f>
        <v>2110.7733873691318</v>
      </c>
      <c r="R817" s="11">
        <f>IFERROR(+VLOOKUP(M817,D.sign_Lista_Data[[RESPONSABLE]:[SOFTWARE 
VALOR HORA]],8,FALSE)*D.sign_Data[[#This Row],[TIEMPO (HORAS)]],0)</f>
        <v>1705.4274435719917</v>
      </c>
      <c r="S817" s="99"/>
      <c r="T817" s="99"/>
      <c r="U817" s="3">
        <f t="shared" si="29"/>
        <v>13947.913090312959</v>
      </c>
      <c r="V817" s="100">
        <f>D.sign_Data[[#This Row],[TIEMPO (HORAS)]]*Gastos_Operativos[[#Totals],[GASTOS HORA]]</f>
        <v>13894.738536155201</v>
      </c>
      <c r="W817" s="3">
        <f>+D.sign_Data[[#This Row],[COSTO 
DIRECTO ($COP)]]+D.sign_Data[[#This Row],[PRORRATEO GASTOS ($COP)]]</f>
        <v>27842.65162646816</v>
      </c>
      <c r="X817" s="101">
        <v>0.1</v>
      </c>
      <c r="Y817" s="15">
        <f>+D.sign_Data[[#This Row],[COSTOS OPERACIONALES ($COP)]]*D.sign_Data[[#This Row],[DESFASE (%)]]</f>
        <v>2784.265162646816</v>
      </c>
      <c r="Z817" s="101">
        <v>0.2</v>
      </c>
      <c r="AA817" s="15">
        <f>+((D.sign_Data[[#This Row],[COSTOS OPERACIONALES ($COP)]]/(100%-D.sign_Data[[#This Row],[UTILIDAD (%)]])))-D.sign_Data[[#This Row],[COSTOS OPERACIONALES ($COP)]]</f>
        <v>6960.662906617039</v>
      </c>
      <c r="AB817" s="3">
        <f>+D.sign_Data[[#This Row],[COSTOS OPERACIONALES ($COP)]]+D.sign_Data[[#This Row],[DESFASE ($COP)]]+D.sign_Data[[#This Row],[UTILIDAD ($COP)]]</f>
        <v>37587.579695732013</v>
      </c>
      <c r="AC817" s="101">
        <v>0.05</v>
      </c>
      <c r="AD817" s="15">
        <f>+D.sign_Data[[#This Row],[VALOR NETO ($COP)]]/(100%-D.sign_Data[[#This Row],[MARGEN DE NEGOCIACIÓN (%)]])-D.sign_Data[[#This Row],[VALOR NETO ($COP)]]</f>
        <v>1978.2936681964202</v>
      </c>
      <c r="AE817" s="15">
        <f>+(D.sign_Data[[#This Row],[VALOR NETO ($COP)]]+D.sign_Data[[#This Row],[NEGOCIACIÓN ($COP)]])*1%</f>
        <v>395.65873363928432</v>
      </c>
      <c r="AF817" s="15">
        <f>+(D.sign_Data[[#This Row],[VALOR NETO ($COP)]]+D.sign_Data[[#This Row],[NEGOCIACIÓN ($COP)]])*1%</f>
        <v>395.65873363928432</v>
      </c>
      <c r="AG817" s="3">
        <f>+D.sign_Data[[#This Row],[VALOR NETO ($COP)]]+D.sign_Data[[#This Row],[NEGOCIACIÓN ($COP)]]+D.sign_Data[[#This Row],[ICA ($COP)]]+D.sign_Data[[#This Row],[4 * 1000 ($COP)]]</f>
        <v>40357.190831207001</v>
      </c>
    </row>
    <row r="818" spans="1:33" ht="60" hidden="1" customHeight="1" x14ac:dyDescent="0.25">
      <c r="A818" s="14"/>
      <c r="B818" s="87" t="s">
        <v>418</v>
      </c>
      <c r="C818" s="182" t="s">
        <v>921</v>
      </c>
      <c r="D818" s="189" t="str">
        <f>VLOOKUP(D.sign_Data[[#This Row],[CÓDIGO]],Descripciones[[CÓDIGO]:[NOMBRE DE SERVICIO]],3,FALSE)</f>
        <v>D3. Vivienda Campestre</v>
      </c>
      <c r="E818" s="87" t="s">
        <v>497</v>
      </c>
      <c r="F818" s="88" t="s">
        <v>922</v>
      </c>
      <c r="G818" s="88" t="s">
        <v>536</v>
      </c>
      <c r="H818" s="87" t="s">
        <v>500</v>
      </c>
      <c r="I818" s="89">
        <v>1</v>
      </c>
      <c r="J818" s="88" t="s">
        <v>747</v>
      </c>
      <c r="K818" s="102"/>
      <c r="L818" s="88" t="s">
        <v>653</v>
      </c>
      <c r="M818" s="89" t="s">
        <v>381</v>
      </c>
      <c r="N818" s="90">
        <v>1</v>
      </c>
      <c r="O818" s="27">
        <f>IFERROR(+VLOOKUP(M818,D.sign_Lista_Data[[RESPONSABLE]:[SOFTWARE 
VALOR HORA]],3,FALSE),"0")</f>
        <v>20263.424518743668</v>
      </c>
      <c r="P818" s="3">
        <f t="shared" si="28"/>
        <v>20263.424518743668</v>
      </c>
      <c r="Q818" s="11">
        <f>IFERROR(+VLOOKUP(M818,D.sign_Lista_Data[[RESPONSABLE]:[SOFTWARE 
VALOR HORA]],5,FALSE)*D.sign_Data[[#This Row],[TIEMPO (HORAS)]],0)</f>
        <v>4221.5467747382636</v>
      </c>
      <c r="R818" s="11">
        <f>IFERROR(+VLOOKUP(M818,D.sign_Lista_Data[[RESPONSABLE]:[SOFTWARE 
VALOR HORA]],8,FALSE)*D.sign_Data[[#This Row],[TIEMPO (HORAS)]],0)</f>
        <v>3410.8548871439834</v>
      </c>
      <c r="S818" s="99"/>
      <c r="T818" s="99"/>
      <c r="U818" s="3">
        <f t="shared" si="29"/>
        <v>27895.826180625918</v>
      </c>
      <c r="V818" s="100">
        <f>D.sign_Data[[#This Row],[TIEMPO (HORAS)]]*Gastos_Operativos[[#Totals],[GASTOS HORA]]</f>
        <v>27789.477072310401</v>
      </c>
      <c r="W818" s="3">
        <f>+D.sign_Data[[#This Row],[COSTO 
DIRECTO ($COP)]]+D.sign_Data[[#This Row],[PRORRATEO GASTOS ($COP)]]</f>
        <v>55685.303252936319</v>
      </c>
      <c r="X818" s="101">
        <v>0.1</v>
      </c>
      <c r="Y818" s="15">
        <f>+D.sign_Data[[#This Row],[COSTOS OPERACIONALES ($COP)]]*D.sign_Data[[#This Row],[DESFASE (%)]]</f>
        <v>5568.5303252936319</v>
      </c>
      <c r="Z818" s="101">
        <v>0.2</v>
      </c>
      <c r="AA818" s="15">
        <f>+((D.sign_Data[[#This Row],[COSTOS OPERACIONALES ($COP)]]/(100%-D.sign_Data[[#This Row],[UTILIDAD (%)]])))-D.sign_Data[[#This Row],[COSTOS OPERACIONALES ($COP)]]</f>
        <v>13921.325813234078</v>
      </c>
      <c r="AB818" s="3">
        <f>+D.sign_Data[[#This Row],[COSTOS OPERACIONALES ($COP)]]+D.sign_Data[[#This Row],[DESFASE ($COP)]]+D.sign_Data[[#This Row],[UTILIDAD ($COP)]]</f>
        <v>75175.159391464025</v>
      </c>
      <c r="AC818" s="101">
        <v>0.05</v>
      </c>
      <c r="AD818" s="15">
        <f>+D.sign_Data[[#This Row],[VALOR NETO ($COP)]]/(100%-D.sign_Data[[#This Row],[MARGEN DE NEGOCIACIÓN (%)]])-D.sign_Data[[#This Row],[VALOR NETO ($COP)]]</f>
        <v>3956.5873363928404</v>
      </c>
      <c r="AE818" s="15">
        <f>+(D.sign_Data[[#This Row],[VALOR NETO ($COP)]]+D.sign_Data[[#This Row],[NEGOCIACIÓN ($COP)]])*1%</f>
        <v>791.31746727856864</v>
      </c>
      <c r="AF818" s="15">
        <f>+(D.sign_Data[[#This Row],[VALOR NETO ($COP)]]+D.sign_Data[[#This Row],[NEGOCIACIÓN ($COP)]])*1%</f>
        <v>791.31746727856864</v>
      </c>
      <c r="AG818" s="3">
        <f>+D.sign_Data[[#This Row],[VALOR NETO ($COP)]]+D.sign_Data[[#This Row],[NEGOCIACIÓN ($COP)]]+D.sign_Data[[#This Row],[ICA ($COP)]]+D.sign_Data[[#This Row],[4 * 1000 ($COP)]]</f>
        <v>80714.381662414002</v>
      </c>
    </row>
    <row r="819" spans="1:33" ht="60" hidden="1" customHeight="1" x14ac:dyDescent="0.25">
      <c r="A819" s="14"/>
      <c r="B819" s="87" t="s">
        <v>418</v>
      </c>
      <c r="C819" s="182" t="s">
        <v>921</v>
      </c>
      <c r="D819" s="189" t="str">
        <f>VLOOKUP(D.sign_Data[[#This Row],[CÓDIGO]],Descripciones[[CÓDIGO]:[NOMBRE DE SERVICIO]],3,FALSE)</f>
        <v>D3. Vivienda Campestre</v>
      </c>
      <c r="E819" s="87" t="s">
        <v>497</v>
      </c>
      <c r="F819" s="88" t="s">
        <v>922</v>
      </c>
      <c r="G819" s="88" t="s">
        <v>536</v>
      </c>
      <c r="H819" s="87" t="s">
        <v>500</v>
      </c>
      <c r="I819" s="89">
        <v>1</v>
      </c>
      <c r="J819" s="88" t="s">
        <v>747</v>
      </c>
      <c r="K819" s="102"/>
      <c r="L819" s="88" t="s">
        <v>654</v>
      </c>
      <c r="M819" s="89" t="s">
        <v>381</v>
      </c>
      <c r="N819" s="90">
        <v>1</v>
      </c>
      <c r="O819" s="27">
        <f>IFERROR(+VLOOKUP(M819,D.sign_Lista_Data[[RESPONSABLE]:[SOFTWARE 
VALOR HORA]],3,FALSE),"0")</f>
        <v>20263.424518743668</v>
      </c>
      <c r="P819" s="3">
        <f t="shared" si="28"/>
        <v>20263.424518743668</v>
      </c>
      <c r="Q819" s="11">
        <f>IFERROR(+VLOOKUP(M819,D.sign_Lista_Data[[RESPONSABLE]:[SOFTWARE 
VALOR HORA]],5,FALSE)*D.sign_Data[[#This Row],[TIEMPO (HORAS)]],0)</f>
        <v>4221.5467747382636</v>
      </c>
      <c r="R819" s="11">
        <f>IFERROR(+VLOOKUP(M819,D.sign_Lista_Data[[RESPONSABLE]:[SOFTWARE 
VALOR HORA]],8,FALSE)*D.sign_Data[[#This Row],[TIEMPO (HORAS)]],0)</f>
        <v>3410.8548871439834</v>
      </c>
      <c r="S819" s="99"/>
      <c r="T819" s="99"/>
      <c r="U819" s="3">
        <f t="shared" si="29"/>
        <v>27895.826180625918</v>
      </c>
      <c r="V819" s="100">
        <f>D.sign_Data[[#This Row],[TIEMPO (HORAS)]]*Gastos_Operativos[[#Totals],[GASTOS HORA]]</f>
        <v>27789.477072310401</v>
      </c>
      <c r="W819" s="3">
        <f>+D.sign_Data[[#This Row],[COSTO 
DIRECTO ($COP)]]+D.sign_Data[[#This Row],[PRORRATEO GASTOS ($COP)]]</f>
        <v>55685.303252936319</v>
      </c>
      <c r="X819" s="101">
        <v>0.1</v>
      </c>
      <c r="Y819" s="15">
        <f>+D.sign_Data[[#This Row],[COSTOS OPERACIONALES ($COP)]]*D.sign_Data[[#This Row],[DESFASE (%)]]</f>
        <v>5568.5303252936319</v>
      </c>
      <c r="Z819" s="101">
        <v>0.2</v>
      </c>
      <c r="AA819" s="15">
        <f>+((D.sign_Data[[#This Row],[COSTOS OPERACIONALES ($COP)]]/(100%-D.sign_Data[[#This Row],[UTILIDAD (%)]])))-D.sign_Data[[#This Row],[COSTOS OPERACIONALES ($COP)]]</f>
        <v>13921.325813234078</v>
      </c>
      <c r="AB819" s="3">
        <f>+D.sign_Data[[#This Row],[COSTOS OPERACIONALES ($COP)]]+D.sign_Data[[#This Row],[DESFASE ($COP)]]+D.sign_Data[[#This Row],[UTILIDAD ($COP)]]</f>
        <v>75175.159391464025</v>
      </c>
      <c r="AC819" s="101">
        <v>0.05</v>
      </c>
      <c r="AD819" s="15">
        <f>+D.sign_Data[[#This Row],[VALOR NETO ($COP)]]/(100%-D.sign_Data[[#This Row],[MARGEN DE NEGOCIACIÓN (%)]])-D.sign_Data[[#This Row],[VALOR NETO ($COP)]]</f>
        <v>3956.5873363928404</v>
      </c>
      <c r="AE819" s="15">
        <f>+(D.sign_Data[[#This Row],[VALOR NETO ($COP)]]+D.sign_Data[[#This Row],[NEGOCIACIÓN ($COP)]])*1%</f>
        <v>791.31746727856864</v>
      </c>
      <c r="AF819" s="15">
        <f>+(D.sign_Data[[#This Row],[VALOR NETO ($COP)]]+D.sign_Data[[#This Row],[NEGOCIACIÓN ($COP)]])*1%</f>
        <v>791.31746727856864</v>
      </c>
      <c r="AG819" s="3">
        <f>+D.sign_Data[[#This Row],[VALOR NETO ($COP)]]+D.sign_Data[[#This Row],[NEGOCIACIÓN ($COP)]]+D.sign_Data[[#This Row],[ICA ($COP)]]+D.sign_Data[[#This Row],[4 * 1000 ($COP)]]</f>
        <v>80714.381662414002</v>
      </c>
    </row>
    <row r="820" spans="1:33" ht="60" hidden="1" customHeight="1" x14ac:dyDescent="0.25">
      <c r="A820" s="14"/>
      <c r="B820" s="87" t="s">
        <v>418</v>
      </c>
      <c r="C820" s="182" t="s">
        <v>921</v>
      </c>
      <c r="D820" s="189" t="str">
        <f>VLOOKUP(D.sign_Data[[#This Row],[CÓDIGO]],Descripciones[[CÓDIGO]:[NOMBRE DE SERVICIO]],3,FALSE)</f>
        <v>D3. Vivienda Campestre</v>
      </c>
      <c r="E820" s="87" t="s">
        <v>497</v>
      </c>
      <c r="F820" s="88" t="s">
        <v>922</v>
      </c>
      <c r="G820" s="88" t="s">
        <v>536</v>
      </c>
      <c r="H820" s="87" t="s">
        <v>500</v>
      </c>
      <c r="I820" s="89">
        <v>1</v>
      </c>
      <c r="J820" s="88" t="s">
        <v>747</v>
      </c>
      <c r="K820" s="102"/>
      <c r="L820" s="88" t="s">
        <v>655</v>
      </c>
      <c r="M820" s="89" t="s">
        <v>381</v>
      </c>
      <c r="N820" s="90">
        <v>1</v>
      </c>
      <c r="O820" s="27">
        <f>IFERROR(+VLOOKUP(M820,D.sign_Lista_Data[[RESPONSABLE]:[SOFTWARE 
VALOR HORA]],3,FALSE),"0")</f>
        <v>20263.424518743668</v>
      </c>
      <c r="P820" s="3">
        <f t="shared" si="28"/>
        <v>20263.424518743668</v>
      </c>
      <c r="Q820" s="11">
        <f>IFERROR(+VLOOKUP(M820,D.sign_Lista_Data[[RESPONSABLE]:[SOFTWARE 
VALOR HORA]],5,FALSE)*D.sign_Data[[#This Row],[TIEMPO (HORAS)]],0)</f>
        <v>4221.5467747382636</v>
      </c>
      <c r="R820" s="11">
        <f>IFERROR(+VLOOKUP(M820,D.sign_Lista_Data[[RESPONSABLE]:[SOFTWARE 
VALOR HORA]],8,FALSE)*D.sign_Data[[#This Row],[TIEMPO (HORAS)]],0)</f>
        <v>3410.8548871439834</v>
      </c>
      <c r="S820" s="99"/>
      <c r="T820" s="99"/>
      <c r="U820" s="3">
        <f t="shared" si="29"/>
        <v>27895.826180625918</v>
      </c>
      <c r="V820" s="100">
        <f>D.sign_Data[[#This Row],[TIEMPO (HORAS)]]*Gastos_Operativos[[#Totals],[GASTOS HORA]]</f>
        <v>27789.477072310401</v>
      </c>
      <c r="W820" s="3">
        <f>+D.sign_Data[[#This Row],[COSTO 
DIRECTO ($COP)]]+D.sign_Data[[#This Row],[PRORRATEO GASTOS ($COP)]]</f>
        <v>55685.303252936319</v>
      </c>
      <c r="X820" s="101">
        <v>0.1</v>
      </c>
      <c r="Y820" s="15">
        <f>+D.sign_Data[[#This Row],[COSTOS OPERACIONALES ($COP)]]*D.sign_Data[[#This Row],[DESFASE (%)]]</f>
        <v>5568.5303252936319</v>
      </c>
      <c r="Z820" s="101">
        <v>0.2</v>
      </c>
      <c r="AA820" s="15">
        <f>+((D.sign_Data[[#This Row],[COSTOS OPERACIONALES ($COP)]]/(100%-D.sign_Data[[#This Row],[UTILIDAD (%)]])))-D.sign_Data[[#This Row],[COSTOS OPERACIONALES ($COP)]]</f>
        <v>13921.325813234078</v>
      </c>
      <c r="AB820" s="3">
        <f>+D.sign_Data[[#This Row],[COSTOS OPERACIONALES ($COP)]]+D.sign_Data[[#This Row],[DESFASE ($COP)]]+D.sign_Data[[#This Row],[UTILIDAD ($COP)]]</f>
        <v>75175.159391464025</v>
      </c>
      <c r="AC820" s="101">
        <v>0.05</v>
      </c>
      <c r="AD820" s="15">
        <f>+D.sign_Data[[#This Row],[VALOR NETO ($COP)]]/(100%-D.sign_Data[[#This Row],[MARGEN DE NEGOCIACIÓN (%)]])-D.sign_Data[[#This Row],[VALOR NETO ($COP)]]</f>
        <v>3956.5873363928404</v>
      </c>
      <c r="AE820" s="15">
        <f>+(D.sign_Data[[#This Row],[VALOR NETO ($COP)]]+D.sign_Data[[#This Row],[NEGOCIACIÓN ($COP)]])*1%</f>
        <v>791.31746727856864</v>
      </c>
      <c r="AF820" s="15">
        <f>+(D.sign_Data[[#This Row],[VALOR NETO ($COP)]]+D.sign_Data[[#This Row],[NEGOCIACIÓN ($COP)]])*1%</f>
        <v>791.31746727856864</v>
      </c>
      <c r="AG820" s="3">
        <f>+D.sign_Data[[#This Row],[VALOR NETO ($COP)]]+D.sign_Data[[#This Row],[NEGOCIACIÓN ($COP)]]+D.sign_Data[[#This Row],[ICA ($COP)]]+D.sign_Data[[#This Row],[4 * 1000 ($COP)]]</f>
        <v>80714.381662414002</v>
      </c>
    </row>
    <row r="821" spans="1:33" ht="60" hidden="1" customHeight="1" x14ac:dyDescent="0.25">
      <c r="A821" s="14"/>
      <c r="B821" s="87" t="s">
        <v>418</v>
      </c>
      <c r="C821" s="182" t="s">
        <v>921</v>
      </c>
      <c r="D821" s="189" t="str">
        <f>VLOOKUP(D.sign_Data[[#This Row],[CÓDIGO]],Descripciones[[CÓDIGO]:[NOMBRE DE SERVICIO]],3,FALSE)</f>
        <v>D3. Vivienda Campestre</v>
      </c>
      <c r="E821" s="87" t="s">
        <v>497</v>
      </c>
      <c r="F821" s="88" t="s">
        <v>922</v>
      </c>
      <c r="G821" s="88" t="s">
        <v>536</v>
      </c>
      <c r="H821" s="87" t="s">
        <v>500</v>
      </c>
      <c r="I821" s="89">
        <v>1</v>
      </c>
      <c r="J821" s="88" t="s">
        <v>751</v>
      </c>
      <c r="K821" s="102"/>
      <c r="L821" s="88" t="s">
        <v>863</v>
      </c>
      <c r="M821" s="89" t="s">
        <v>381</v>
      </c>
      <c r="N821" s="90">
        <v>0.5</v>
      </c>
      <c r="O821" s="27">
        <f>IFERROR(+VLOOKUP(M821,D.sign_Lista_Data[[RESPONSABLE]:[SOFTWARE 
VALOR HORA]],3,FALSE),"0")</f>
        <v>20263.424518743668</v>
      </c>
      <c r="P821" s="3">
        <f t="shared" si="28"/>
        <v>10131.712259371834</v>
      </c>
      <c r="Q821" s="11">
        <f>IFERROR(+VLOOKUP(M821,D.sign_Lista_Data[[RESPONSABLE]:[SOFTWARE 
VALOR HORA]],5,FALSE)*D.sign_Data[[#This Row],[TIEMPO (HORAS)]],0)</f>
        <v>2110.7733873691318</v>
      </c>
      <c r="R821" s="11">
        <f>IFERROR(+VLOOKUP(M821,D.sign_Lista_Data[[RESPONSABLE]:[SOFTWARE 
VALOR HORA]],8,FALSE)*D.sign_Data[[#This Row],[TIEMPO (HORAS)]],0)</f>
        <v>1705.4274435719917</v>
      </c>
      <c r="S821" s="99"/>
      <c r="T821" s="99"/>
      <c r="U821" s="3">
        <f t="shared" si="29"/>
        <v>13947.913090312959</v>
      </c>
      <c r="V821" s="100">
        <f>D.sign_Data[[#This Row],[TIEMPO (HORAS)]]*Gastos_Operativos[[#Totals],[GASTOS HORA]]</f>
        <v>13894.738536155201</v>
      </c>
      <c r="W821" s="3">
        <f>+D.sign_Data[[#This Row],[COSTO 
DIRECTO ($COP)]]+D.sign_Data[[#This Row],[PRORRATEO GASTOS ($COP)]]</f>
        <v>27842.65162646816</v>
      </c>
      <c r="X821" s="101">
        <v>0.1</v>
      </c>
      <c r="Y821" s="15">
        <f>+D.sign_Data[[#This Row],[COSTOS OPERACIONALES ($COP)]]*D.sign_Data[[#This Row],[DESFASE (%)]]</f>
        <v>2784.265162646816</v>
      </c>
      <c r="Z821" s="101">
        <v>0.2</v>
      </c>
      <c r="AA821" s="15">
        <f>+((D.sign_Data[[#This Row],[COSTOS OPERACIONALES ($COP)]]/(100%-D.sign_Data[[#This Row],[UTILIDAD (%)]])))-D.sign_Data[[#This Row],[COSTOS OPERACIONALES ($COP)]]</f>
        <v>6960.662906617039</v>
      </c>
      <c r="AB821" s="3">
        <f>+D.sign_Data[[#This Row],[COSTOS OPERACIONALES ($COP)]]+D.sign_Data[[#This Row],[DESFASE ($COP)]]+D.sign_Data[[#This Row],[UTILIDAD ($COP)]]</f>
        <v>37587.579695732013</v>
      </c>
      <c r="AC821" s="101">
        <v>0.05</v>
      </c>
      <c r="AD821" s="15">
        <f>+D.sign_Data[[#This Row],[VALOR NETO ($COP)]]/(100%-D.sign_Data[[#This Row],[MARGEN DE NEGOCIACIÓN (%)]])-D.sign_Data[[#This Row],[VALOR NETO ($COP)]]</f>
        <v>1978.2936681964202</v>
      </c>
      <c r="AE821" s="15">
        <f>+(D.sign_Data[[#This Row],[VALOR NETO ($COP)]]+D.sign_Data[[#This Row],[NEGOCIACIÓN ($COP)]])*1%</f>
        <v>395.65873363928432</v>
      </c>
      <c r="AF821" s="15">
        <f>+(D.sign_Data[[#This Row],[VALOR NETO ($COP)]]+D.sign_Data[[#This Row],[NEGOCIACIÓN ($COP)]])*1%</f>
        <v>395.65873363928432</v>
      </c>
      <c r="AG821" s="3">
        <f>+D.sign_Data[[#This Row],[VALOR NETO ($COP)]]+D.sign_Data[[#This Row],[NEGOCIACIÓN ($COP)]]+D.sign_Data[[#This Row],[ICA ($COP)]]+D.sign_Data[[#This Row],[4 * 1000 ($COP)]]</f>
        <v>40357.190831207001</v>
      </c>
    </row>
    <row r="822" spans="1:33" ht="60" hidden="1" customHeight="1" x14ac:dyDescent="0.25">
      <c r="A822" s="14"/>
      <c r="B822" s="87" t="s">
        <v>418</v>
      </c>
      <c r="C822" s="182" t="s">
        <v>921</v>
      </c>
      <c r="D822" s="189" t="str">
        <f>VLOOKUP(D.sign_Data[[#This Row],[CÓDIGO]],Descripciones[[CÓDIGO]:[NOMBRE DE SERVICIO]],3,FALSE)</f>
        <v>D3. Vivienda Campestre</v>
      </c>
      <c r="E822" s="87" t="s">
        <v>497</v>
      </c>
      <c r="F822" s="88" t="s">
        <v>922</v>
      </c>
      <c r="G822" s="88" t="s">
        <v>536</v>
      </c>
      <c r="H822" s="87" t="s">
        <v>500</v>
      </c>
      <c r="I822" s="92">
        <v>1</v>
      </c>
      <c r="J822" s="88" t="s">
        <v>883</v>
      </c>
      <c r="K822" s="102"/>
      <c r="L822" s="88" t="s">
        <v>884</v>
      </c>
      <c r="M822" s="89" t="s">
        <v>381</v>
      </c>
      <c r="N822" s="90">
        <v>1</v>
      </c>
      <c r="O822" s="27">
        <f>IFERROR(+VLOOKUP(M822,D.sign_Lista_Data[[RESPONSABLE]:[SOFTWARE 
VALOR HORA]],3,FALSE),"0")</f>
        <v>20263.424518743668</v>
      </c>
      <c r="P822" s="3">
        <f t="shared" si="28"/>
        <v>20263.424518743668</v>
      </c>
      <c r="Q822" s="11">
        <f>IFERROR(+VLOOKUP(M822,D.sign_Lista_Data[[RESPONSABLE]:[SOFTWARE 
VALOR HORA]],5,FALSE)*D.sign_Data[[#This Row],[TIEMPO (HORAS)]],0)</f>
        <v>4221.5467747382636</v>
      </c>
      <c r="R822" s="11">
        <f>IFERROR(+VLOOKUP(M822,D.sign_Lista_Data[[RESPONSABLE]:[SOFTWARE 
VALOR HORA]],8,FALSE)*D.sign_Data[[#This Row],[TIEMPO (HORAS)]],0)</f>
        <v>3410.8548871439834</v>
      </c>
      <c r="S822" s="99"/>
      <c r="T822" s="99"/>
      <c r="U822" s="3">
        <f t="shared" si="29"/>
        <v>27895.826180625918</v>
      </c>
      <c r="V822" s="100">
        <f>D.sign_Data[[#This Row],[TIEMPO (HORAS)]]*Gastos_Operativos[[#Totals],[GASTOS HORA]]</f>
        <v>27789.477072310401</v>
      </c>
      <c r="W822" s="3">
        <f>+D.sign_Data[[#This Row],[COSTO 
DIRECTO ($COP)]]+D.sign_Data[[#This Row],[PRORRATEO GASTOS ($COP)]]</f>
        <v>55685.303252936319</v>
      </c>
      <c r="X822" s="101">
        <v>0.1</v>
      </c>
      <c r="Y822" s="15">
        <f>+D.sign_Data[[#This Row],[COSTOS OPERACIONALES ($COP)]]*D.sign_Data[[#This Row],[DESFASE (%)]]</f>
        <v>5568.5303252936319</v>
      </c>
      <c r="Z822" s="101">
        <v>0.2</v>
      </c>
      <c r="AA822" s="15">
        <f>+((D.sign_Data[[#This Row],[COSTOS OPERACIONALES ($COP)]]/(100%-D.sign_Data[[#This Row],[UTILIDAD (%)]])))-D.sign_Data[[#This Row],[COSTOS OPERACIONALES ($COP)]]</f>
        <v>13921.325813234078</v>
      </c>
      <c r="AB822" s="3">
        <f>+D.sign_Data[[#This Row],[COSTOS OPERACIONALES ($COP)]]+D.sign_Data[[#This Row],[DESFASE ($COP)]]+D.sign_Data[[#This Row],[UTILIDAD ($COP)]]</f>
        <v>75175.159391464025</v>
      </c>
      <c r="AC822" s="101">
        <v>0.05</v>
      </c>
      <c r="AD822" s="15">
        <f>+D.sign_Data[[#This Row],[VALOR NETO ($COP)]]/(100%-D.sign_Data[[#This Row],[MARGEN DE NEGOCIACIÓN (%)]])-D.sign_Data[[#This Row],[VALOR NETO ($COP)]]</f>
        <v>3956.5873363928404</v>
      </c>
      <c r="AE822" s="15">
        <f>+(D.sign_Data[[#This Row],[VALOR NETO ($COP)]]+D.sign_Data[[#This Row],[NEGOCIACIÓN ($COP)]])*1%</f>
        <v>791.31746727856864</v>
      </c>
      <c r="AF822" s="15">
        <f>+(D.sign_Data[[#This Row],[VALOR NETO ($COP)]]+D.sign_Data[[#This Row],[NEGOCIACIÓN ($COP)]])*1%</f>
        <v>791.31746727856864</v>
      </c>
      <c r="AG822" s="3">
        <f>+D.sign_Data[[#This Row],[VALOR NETO ($COP)]]+D.sign_Data[[#This Row],[NEGOCIACIÓN ($COP)]]+D.sign_Data[[#This Row],[ICA ($COP)]]+D.sign_Data[[#This Row],[4 * 1000 ($COP)]]</f>
        <v>80714.381662414002</v>
      </c>
    </row>
    <row r="823" spans="1:33" ht="60" hidden="1" customHeight="1" x14ac:dyDescent="0.25">
      <c r="A823" s="14"/>
      <c r="B823" s="87" t="s">
        <v>418</v>
      </c>
      <c r="C823" s="182" t="s">
        <v>927</v>
      </c>
      <c r="D823" s="189" t="str">
        <f>VLOOKUP(D.sign_Data[[#This Row],[CÓDIGO]],Descripciones[[CÓDIGO]:[NOMBRE DE SERVICIO]],3,FALSE)</f>
        <v>D7. Select</v>
      </c>
      <c r="E823" s="87" t="s">
        <v>497</v>
      </c>
      <c r="F823" s="88" t="s">
        <v>922</v>
      </c>
      <c r="G823" s="88" t="s">
        <v>536</v>
      </c>
      <c r="H823" s="87" t="s">
        <v>500</v>
      </c>
      <c r="I823" s="89">
        <v>1</v>
      </c>
      <c r="J823" s="88" t="s">
        <v>728</v>
      </c>
      <c r="K823" s="102"/>
      <c r="L823" s="88" t="s">
        <v>923</v>
      </c>
      <c r="M823" s="89" t="s">
        <v>381</v>
      </c>
      <c r="N823" s="90">
        <v>0.25</v>
      </c>
      <c r="O823" s="27">
        <f>IFERROR(+VLOOKUP(M823,D.sign_Lista_Data[[RESPONSABLE]:[SOFTWARE 
VALOR HORA]],3,FALSE),"0")</f>
        <v>20263.424518743668</v>
      </c>
      <c r="P823" s="3">
        <f t="shared" ref="P823:P850" si="30">+O823*N823</f>
        <v>5065.856129685917</v>
      </c>
      <c r="Q823" s="11">
        <f>IFERROR(+VLOOKUP(M823,D.sign_Lista_Data[[RESPONSABLE]:[SOFTWARE 
VALOR HORA]],5,FALSE)*D.sign_Data[[#This Row],[TIEMPO (HORAS)]],0)</f>
        <v>1055.3866936845659</v>
      </c>
      <c r="R823" s="11">
        <f>IFERROR(+VLOOKUP(M823,D.sign_Lista_Data[[RESPONSABLE]:[SOFTWARE 
VALOR HORA]],8,FALSE)*D.sign_Data[[#This Row],[TIEMPO (HORAS)]],0)</f>
        <v>852.71372178599586</v>
      </c>
      <c r="S823" s="99"/>
      <c r="T823" s="99"/>
      <c r="U823" s="3">
        <f t="shared" ref="U823:U850" si="31">SUM(P823:T823)</f>
        <v>6973.9565451564795</v>
      </c>
      <c r="V823" s="100">
        <f>D.sign_Data[[#This Row],[TIEMPO (HORAS)]]*Gastos_Operativos[[#Totals],[GASTOS HORA]]</f>
        <v>6947.3692680776003</v>
      </c>
      <c r="W823" s="3">
        <f>+D.sign_Data[[#This Row],[COSTO 
DIRECTO ($COP)]]+D.sign_Data[[#This Row],[PRORRATEO GASTOS ($COP)]]</f>
        <v>13921.32581323408</v>
      </c>
      <c r="X823" s="101">
        <v>0.1</v>
      </c>
      <c r="Y823" s="15">
        <f>+D.sign_Data[[#This Row],[COSTOS OPERACIONALES ($COP)]]*D.sign_Data[[#This Row],[DESFASE (%)]]</f>
        <v>1392.132581323408</v>
      </c>
      <c r="Z823" s="101">
        <v>0.2</v>
      </c>
      <c r="AA823" s="15">
        <f>+((D.sign_Data[[#This Row],[COSTOS OPERACIONALES ($COP)]]/(100%-D.sign_Data[[#This Row],[UTILIDAD (%)]])))-D.sign_Data[[#This Row],[COSTOS OPERACIONALES ($COP)]]</f>
        <v>3480.3314533085195</v>
      </c>
      <c r="AB823" s="3">
        <f>+D.sign_Data[[#This Row],[COSTOS OPERACIONALES ($COP)]]+D.sign_Data[[#This Row],[DESFASE ($COP)]]+D.sign_Data[[#This Row],[UTILIDAD ($COP)]]</f>
        <v>18793.789847866006</v>
      </c>
      <c r="AC823" s="101">
        <v>0.05</v>
      </c>
      <c r="AD823" s="15">
        <f>+D.sign_Data[[#This Row],[VALOR NETO ($COP)]]/(100%-D.sign_Data[[#This Row],[MARGEN DE NEGOCIACIÓN (%)]])-D.sign_Data[[#This Row],[VALOR NETO ($COP)]]</f>
        <v>989.14683409821009</v>
      </c>
      <c r="AE823" s="15">
        <f>+(D.sign_Data[[#This Row],[VALOR NETO ($COP)]]+D.sign_Data[[#This Row],[NEGOCIACIÓN ($COP)]])*1%</f>
        <v>197.82936681964216</v>
      </c>
      <c r="AF823" s="15">
        <f>+(D.sign_Data[[#This Row],[VALOR NETO ($COP)]]+D.sign_Data[[#This Row],[NEGOCIACIÓN ($COP)]])*1%</f>
        <v>197.82936681964216</v>
      </c>
      <c r="AG823" s="3">
        <f>+D.sign_Data[[#This Row],[VALOR NETO ($COP)]]+D.sign_Data[[#This Row],[NEGOCIACIÓN ($COP)]]+D.sign_Data[[#This Row],[ICA ($COP)]]+D.sign_Data[[#This Row],[4 * 1000 ($COP)]]</f>
        <v>20178.5954156035</v>
      </c>
    </row>
    <row r="824" spans="1:33" ht="60" hidden="1" customHeight="1" x14ac:dyDescent="0.25">
      <c r="A824" s="14"/>
      <c r="B824" s="87" t="s">
        <v>418</v>
      </c>
      <c r="C824" s="182" t="s">
        <v>927</v>
      </c>
      <c r="D824" s="189" t="str">
        <f>VLOOKUP(D.sign_Data[[#This Row],[CÓDIGO]],Descripciones[[CÓDIGO]:[NOMBRE DE SERVICIO]],3,FALSE)</f>
        <v>D7. Select</v>
      </c>
      <c r="E824" s="87" t="s">
        <v>497</v>
      </c>
      <c r="F824" s="88" t="s">
        <v>922</v>
      </c>
      <c r="G824" s="88" t="s">
        <v>536</v>
      </c>
      <c r="H824" s="87" t="s">
        <v>500</v>
      </c>
      <c r="I824" s="89">
        <v>1</v>
      </c>
      <c r="J824" s="88" t="s">
        <v>728</v>
      </c>
      <c r="K824" s="102"/>
      <c r="L824" s="88" t="s">
        <v>636</v>
      </c>
      <c r="M824" s="89" t="s">
        <v>381</v>
      </c>
      <c r="N824" s="90">
        <v>0.05</v>
      </c>
      <c r="O824" s="27">
        <f>IFERROR(+VLOOKUP(M824,D.sign_Lista_Data[[RESPONSABLE]:[SOFTWARE 
VALOR HORA]],3,FALSE),"0")</f>
        <v>20263.424518743668</v>
      </c>
      <c r="P824" s="3">
        <f t="shared" si="30"/>
        <v>1013.1712259371834</v>
      </c>
      <c r="Q824" s="11">
        <f>IFERROR(+VLOOKUP(M824,D.sign_Lista_Data[[RESPONSABLE]:[SOFTWARE 
VALOR HORA]],5,FALSE)*D.sign_Data[[#This Row],[TIEMPO (HORAS)]],0)</f>
        <v>211.07733873691319</v>
      </c>
      <c r="R824" s="11">
        <f>IFERROR(+VLOOKUP(M824,D.sign_Lista_Data[[RESPONSABLE]:[SOFTWARE 
VALOR HORA]],8,FALSE)*D.sign_Data[[#This Row],[TIEMPO (HORAS)]],0)</f>
        <v>170.54274435719918</v>
      </c>
      <c r="S824" s="99"/>
      <c r="T824" s="99"/>
      <c r="U824" s="3">
        <f t="shared" si="31"/>
        <v>1394.7913090312957</v>
      </c>
      <c r="V824" s="100">
        <f>D.sign_Data[[#This Row],[TIEMPO (HORAS)]]*Gastos_Operativos[[#Totals],[GASTOS HORA]]</f>
        <v>1389.4738536155201</v>
      </c>
      <c r="W824" s="3">
        <f>+D.sign_Data[[#This Row],[COSTO 
DIRECTO ($COP)]]+D.sign_Data[[#This Row],[PRORRATEO GASTOS ($COP)]]</f>
        <v>2784.265162646816</v>
      </c>
      <c r="X824" s="101">
        <v>0.1</v>
      </c>
      <c r="Y824" s="15">
        <f>+D.sign_Data[[#This Row],[COSTOS OPERACIONALES ($COP)]]*D.sign_Data[[#This Row],[DESFASE (%)]]</f>
        <v>278.4265162646816</v>
      </c>
      <c r="Z824" s="101">
        <v>0.2</v>
      </c>
      <c r="AA824" s="15">
        <f>+((D.sign_Data[[#This Row],[COSTOS OPERACIONALES ($COP)]]/(100%-D.sign_Data[[#This Row],[UTILIDAD (%)]])))-D.sign_Data[[#This Row],[COSTOS OPERACIONALES ($COP)]]</f>
        <v>696.06629066170399</v>
      </c>
      <c r="AB824" s="3">
        <f>+D.sign_Data[[#This Row],[COSTOS OPERACIONALES ($COP)]]+D.sign_Data[[#This Row],[DESFASE ($COP)]]+D.sign_Data[[#This Row],[UTILIDAD ($COP)]]</f>
        <v>3758.7579695732015</v>
      </c>
      <c r="AC824" s="101">
        <v>0.05</v>
      </c>
      <c r="AD824" s="15">
        <f>+D.sign_Data[[#This Row],[VALOR NETO ($COP)]]/(100%-D.sign_Data[[#This Row],[MARGEN DE NEGOCIACIÓN (%)]])-D.sign_Data[[#This Row],[VALOR NETO ($COP)]]</f>
        <v>197.82936681964247</v>
      </c>
      <c r="AE824" s="15">
        <f>+(D.sign_Data[[#This Row],[VALOR NETO ($COP)]]+D.sign_Data[[#This Row],[NEGOCIACIÓN ($COP)]])*1%</f>
        <v>39.565873363928439</v>
      </c>
      <c r="AF824" s="15">
        <f>+(D.sign_Data[[#This Row],[VALOR NETO ($COP)]]+D.sign_Data[[#This Row],[NEGOCIACIÓN ($COP)]])*1%</f>
        <v>39.565873363928439</v>
      </c>
      <c r="AG824" s="3">
        <f>+D.sign_Data[[#This Row],[VALOR NETO ($COP)]]+D.sign_Data[[#This Row],[NEGOCIACIÓN ($COP)]]+D.sign_Data[[#This Row],[ICA ($COP)]]+D.sign_Data[[#This Row],[4 * 1000 ($COP)]]</f>
        <v>4035.7190831207008</v>
      </c>
    </row>
    <row r="825" spans="1:33" ht="60" hidden="1" customHeight="1" x14ac:dyDescent="0.25">
      <c r="A825" s="14"/>
      <c r="B825" s="87" t="s">
        <v>418</v>
      </c>
      <c r="C825" s="182" t="s">
        <v>927</v>
      </c>
      <c r="D825" s="189" t="str">
        <f>VLOOKUP(D.sign_Data[[#This Row],[CÓDIGO]],Descripciones[[CÓDIGO]:[NOMBRE DE SERVICIO]],3,FALSE)</f>
        <v>D7. Select</v>
      </c>
      <c r="E825" s="87" t="s">
        <v>497</v>
      </c>
      <c r="F825" s="88" t="s">
        <v>922</v>
      </c>
      <c r="G825" s="88" t="s">
        <v>536</v>
      </c>
      <c r="H825" s="87" t="s">
        <v>500</v>
      </c>
      <c r="I825" s="89">
        <v>1</v>
      </c>
      <c r="J825" s="88" t="s">
        <v>728</v>
      </c>
      <c r="K825" s="102"/>
      <c r="L825" s="88" t="s">
        <v>730</v>
      </c>
      <c r="M825" s="89" t="s">
        <v>381</v>
      </c>
      <c r="N825" s="90">
        <v>5</v>
      </c>
      <c r="O825" s="27">
        <f>IFERROR(+VLOOKUP(M825,D.sign_Lista_Data[[RESPONSABLE]:[SOFTWARE 
VALOR HORA]],3,FALSE),"0")</f>
        <v>20263.424518743668</v>
      </c>
      <c r="P825" s="3">
        <f t="shared" si="30"/>
        <v>101317.12259371835</v>
      </c>
      <c r="Q825" s="11">
        <f>IFERROR(+VLOOKUP(M825,D.sign_Lista_Data[[RESPONSABLE]:[SOFTWARE 
VALOR HORA]],5,FALSE)*D.sign_Data[[#This Row],[TIEMPO (HORAS)]],0)</f>
        <v>21107.733873691319</v>
      </c>
      <c r="R825" s="11">
        <f>IFERROR(+VLOOKUP(M825,D.sign_Lista_Data[[RESPONSABLE]:[SOFTWARE 
VALOR HORA]],8,FALSE)*D.sign_Data[[#This Row],[TIEMPO (HORAS)]],0)</f>
        <v>17054.274435719919</v>
      </c>
      <c r="S825" s="99"/>
      <c r="T825" s="99"/>
      <c r="U825" s="3">
        <f t="shared" si="31"/>
        <v>139479.13090312958</v>
      </c>
      <c r="V825" s="100">
        <f>D.sign_Data[[#This Row],[TIEMPO (HORAS)]]*Gastos_Operativos[[#Totals],[GASTOS HORA]]</f>
        <v>138947.38536155201</v>
      </c>
      <c r="W825" s="3">
        <f>+D.sign_Data[[#This Row],[COSTO 
DIRECTO ($COP)]]+D.sign_Data[[#This Row],[PRORRATEO GASTOS ($COP)]]</f>
        <v>278426.51626468159</v>
      </c>
      <c r="X825" s="101">
        <v>0.1</v>
      </c>
      <c r="Y825" s="15">
        <f>+D.sign_Data[[#This Row],[COSTOS OPERACIONALES ($COP)]]*D.sign_Data[[#This Row],[DESFASE (%)]]</f>
        <v>27842.65162646816</v>
      </c>
      <c r="Z825" s="101">
        <v>0.2</v>
      </c>
      <c r="AA825" s="15">
        <f>+((D.sign_Data[[#This Row],[COSTOS OPERACIONALES ($COP)]]/(100%-D.sign_Data[[#This Row],[UTILIDAD (%)]])))-D.sign_Data[[#This Row],[COSTOS OPERACIONALES ($COP)]]</f>
        <v>69606.629066170368</v>
      </c>
      <c r="AB825" s="3">
        <f>+D.sign_Data[[#This Row],[COSTOS OPERACIONALES ($COP)]]+D.sign_Data[[#This Row],[DESFASE ($COP)]]+D.sign_Data[[#This Row],[UTILIDAD ($COP)]]</f>
        <v>375875.79695732013</v>
      </c>
      <c r="AC825" s="101">
        <v>0.05</v>
      </c>
      <c r="AD825" s="15">
        <f>+D.sign_Data[[#This Row],[VALOR NETO ($COP)]]/(100%-D.sign_Data[[#This Row],[MARGEN DE NEGOCIACIÓN (%)]])-D.sign_Data[[#This Row],[VALOR NETO ($COP)]]</f>
        <v>19782.93668196426</v>
      </c>
      <c r="AE825" s="15">
        <f>+(D.sign_Data[[#This Row],[VALOR NETO ($COP)]]+D.sign_Data[[#This Row],[NEGOCIACIÓN ($COP)]])*1%</f>
        <v>3956.587336392844</v>
      </c>
      <c r="AF825" s="15">
        <f>+(D.sign_Data[[#This Row],[VALOR NETO ($COP)]]+D.sign_Data[[#This Row],[NEGOCIACIÓN ($COP)]])*1%</f>
        <v>3956.587336392844</v>
      </c>
      <c r="AG825" s="3">
        <f>+D.sign_Data[[#This Row],[VALOR NETO ($COP)]]+D.sign_Data[[#This Row],[NEGOCIACIÓN ($COP)]]+D.sign_Data[[#This Row],[ICA ($COP)]]+D.sign_Data[[#This Row],[4 * 1000 ($COP)]]</f>
        <v>403571.90831207007</v>
      </c>
    </row>
    <row r="826" spans="1:33" ht="60" hidden="1" customHeight="1" x14ac:dyDescent="0.25">
      <c r="A826" s="14"/>
      <c r="B826" s="87" t="s">
        <v>418</v>
      </c>
      <c r="C826" s="182" t="s">
        <v>927</v>
      </c>
      <c r="D826" s="189" t="str">
        <f>VLOOKUP(D.sign_Data[[#This Row],[CÓDIGO]],Descripciones[[CÓDIGO]:[NOMBRE DE SERVICIO]],3,FALSE)</f>
        <v>D7. Select</v>
      </c>
      <c r="E826" s="87" t="s">
        <v>497</v>
      </c>
      <c r="F826" s="88" t="s">
        <v>922</v>
      </c>
      <c r="G826" s="88" t="s">
        <v>536</v>
      </c>
      <c r="H826" s="87" t="s">
        <v>500</v>
      </c>
      <c r="I826" s="89">
        <v>1</v>
      </c>
      <c r="J826" s="88" t="s">
        <v>728</v>
      </c>
      <c r="K826" s="102"/>
      <c r="L826" s="88" t="s">
        <v>731</v>
      </c>
      <c r="M826" s="89" t="s">
        <v>381</v>
      </c>
      <c r="N826" s="90">
        <v>4</v>
      </c>
      <c r="O826" s="27">
        <f>IFERROR(+VLOOKUP(M826,D.sign_Lista_Data[[RESPONSABLE]:[SOFTWARE 
VALOR HORA]],3,FALSE),"0")</f>
        <v>20263.424518743668</v>
      </c>
      <c r="P826" s="3">
        <f t="shared" si="30"/>
        <v>81053.698074974673</v>
      </c>
      <c r="Q826" s="11">
        <f>IFERROR(+VLOOKUP(M826,D.sign_Lista_Data[[RESPONSABLE]:[SOFTWARE 
VALOR HORA]],5,FALSE)*D.sign_Data[[#This Row],[TIEMPO (HORAS)]],0)</f>
        <v>16886.187098953054</v>
      </c>
      <c r="R826" s="11">
        <f>IFERROR(+VLOOKUP(M826,D.sign_Lista_Data[[RESPONSABLE]:[SOFTWARE 
VALOR HORA]],8,FALSE)*D.sign_Data[[#This Row],[TIEMPO (HORAS)]],0)</f>
        <v>13643.419548575934</v>
      </c>
      <c r="S826" s="99"/>
      <c r="T826" s="99"/>
      <c r="U826" s="3">
        <f t="shared" si="31"/>
        <v>111583.30472250367</v>
      </c>
      <c r="V826" s="100">
        <f>D.sign_Data[[#This Row],[TIEMPO (HORAS)]]*Gastos_Operativos[[#Totals],[GASTOS HORA]]</f>
        <v>111157.9082892416</v>
      </c>
      <c r="W826" s="3">
        <f>+D.sign_Data[[#This Row],[COSTO 
DIRECTO ($COP)]]+D.sign_Data[[#This Row],[PRORRATEO GASTOS ($COP)]]</f>
        <v>222741.21301174528</v>
      </c>
      <c r="X826" s="101">
        <v>0.1</v>
      </c>
      <c r="Y826" s="15">
        <f>+D.sign_Data[[#This Row],[COSTOS OPERACIONALES ($COP)]]*D.sign_Data[[#This Row],[DESFASE (%)]]</f>
        <v>22274.121301174528</v>
      </c>
      <c r="Z826" s="101">
        <v>0.2</v>
      </c>
      <c r="AA826" s="15">
        <f>+((D.sign_Data[[#This Row],[COSTOS OPERACIONALES ($COP)]]/(100%-D.sign_Data[[#This Row],[UTILIDAD (%)]])))-D.sign_Data[[#This Row],[COSTOS OPERACIONALES ($COP)]]</f>
        <v>55685.303252936312</v>
      </c>
      <c r="AB826" s="3">
        <f>+D.sign_Data[[#This Row],[COSTOS OPERACIONALES ($COP)]]+D.sign_Data[[#This Row],[DESFASE ($COP)]]+D.sign_Data[[#This Row],[UTILIDAD ($COP)]]</f>
        <v>300700.6375658561</v>
      </c>
      <c r="AC826" s="101">
        <v>0.05</v>
      </c>
      <c r="AD826" s="15">
        <f>+D.sign_Data[[#This Row],[VALOR NETO ($COP)]]/(100%-D.sign_Data[[#This Row],[MARGEN DE NEGOCIACIÓN (%)]])-D.sign_Data[[#This Row],[VALOR NETO ($COP)]]</f>
        <v>15826.349345571361</v>
      </c>
      <c r="AE826" s="15">
        <f>+(D.sign_Data[[#This Row],[VALOR NETO ($COP)]]+D.sign_Data[[#This Row],[NEGOCIACIÓN ($COP)]])*1%</f>
        <v>3165.2698691142746</v>
      </c>
      <c r="AF826" s="15">
        <f>+(D.sign_Data[[#This Row],[VALOR NETO ($COP)]]+D.sign_Data[[#This Row],[NEGOCIACIÓN ($COP)]])*1%</f>
        <v>3165.2698691142746</v>
      </c>
      <c r="AG826" s="3">
        <f>+D.sign_Data[[#This Row],[VALOR NETO ($COP)]]+D.sign_Data[[#This Row],[NEGOCIACIÓN ($COP)]]+D.sign_Data[[#This Row],[ICA ($COP)]]+D.sign_Data[[#This Row],[4 * 1000 ($COP)]]</f>
        <v>322857.52664965601</v>
      </c>
    </row>
    <row r="827" spans="1:33" ht="60" hidden="1" customHeight="1" x14ac:dyDescent="0.25">
      <c r="A827" s="14"/>
      <c r="B827" s="87" t="s">
        <v>418</v>
      </c>
      <c r="C827" s="182" t="s">
        <v>927</v>
      </c>
      <c r="D827" s="189" t="str">
        <f>VLOOKUP(D.sign_Data[[#This Row],[CÓDIGO]],Descripciones[[CÓDIGO]:[NOMBRE DE SERVICIO]],3,FALSE)</f>
        <v>D7. Select</v>
      </c>
      <c r="E827" s="87" t="s">
        <v>497</v>
      </c>
      <c r="F827" s="88" t="s">
        <v>922</v>
      </c>
      <c r="G827" s="88" t="s">
        <v>536</v>
      </c>
      <c r="H827" s="87" t="s">
        <v>500</v>
      </c>
      <c r="I827" s="89">
        <v>1</v>
      </c>
      <c r="J827" s="88" t="s">
        <v>728</v>
      </c>
      <c r="K827" s="102"/>
      <c r="L827" s="88" t="s">
        <v>639</v>
      </c>
      <c r="M827" s="89" t="s">
        <v>381</v>
      </c>
      <c r="N827" s="90">
        <v>1.5</v>
      </c>
      <c r="O827" s="27">
        <f>IFERROR(+VLOOKUP(M827,D.sign_Lista_Data[[RESPONSABLE]:[SOFTWARE 
VALOR HORA]],3,FALSE),"0")</f>
        <v>20263.424518743668</v>
      </c>
      <c r="P827" s="3">
        <f t="shared" si="30"/>
        <v>30395.136778115502</v>
      </c>
      <c r="Q827" s="11">
        <f>IFERROR(+VLOOKUP(M827,D.sign_Lista_Data[[RESPONSABLE]:[SOFTWARE 
VALOR HORA]],5,FALSE)*D.sign_Data[[#This Row],[TIEMPO (HORAS)]],0)</f>
        <v>6332.3201621073949</v>
      </c>
      <c r="R827" s="11">
        <f>IFERROR(+VLOOKUP(M827,D.sign_Lista_Data[[RESPONSABLE]:[SOFTWARE 
VALOR HORA]],8,FALSE)*D.sign_Data[[#This Row],[TIEMPO (HORAS)]],0)</f>
        <v>5116.2823307159751</v>
      </c>
      <c r="S827" s="99"/>
      <c r="T827" s="99"/>
      <c r="U827" s="3">
        <f t="shared" si="31"/>
        <v>41843.739270938873</v>
      </c>
      <c r="V827" s="100">
        <f>D.sign_Data[[#This Row],[TIEMPO (HORAS)]]*Gastos_Operativos[[#Totals],[GASTOS HORA]]</f>
        <v>41684.215608465602</v>
      </c>
      <c r="W827" s="3">
        <f>+D.sign_Data[[#This Row],[COSTO 
DIRECTO ($COP)]]+D.sign_Data[[#This Row],[PRORRATEO GASTOS ($COP)]]</f>
        <v>83527.954879404482</v>
      </c>
      <c r="X827" s="101">
        <v>0.1</v>
      </c>
      <c r="Y827" s="15">
        <f>+D.sign_Data[[#This Row],[COSTOS OPERACIONALES ($COP)]]*D.sign_Data[[#This Row],[DESFASE (%)]]</f>
        <v>8352.7954879404479</v>
      </c>
      <c r="Z827" s="101">
        <v>0.2</v>
      </c>
      <c r="AA827" s="15">
        <f>+((D.sign_Data[[#This Row],[COSTOS OPERACIONALES ($COP)]]/(100%-D.sign_Data[[#This Row],[UTILIDAD (%)]])))-D.sign_Data[[#This Row],[COSTOS OPERACIONALES ($COP)]]</f>
        <v>20881.988719851113</v>
      </c>
      <c r="AB827" s="3">
        <f>+D.sign_Data[[#This Row],[COSTOS OPERACIONALES ($COP)]]+D.sign_Data[[#This Row],[DESFASE ($COP)]]+D.sign_Data[[#This Row],[UTILIDAD ($COP)]]</f>
        <v>112762.73908719604</v>
      </c>
      <c r="AC827" s="101">
        <v>0.05</v>
      </c>
      <c r="AD827" s="15">
        <f>+D.sign_Data[[#This Row],[VALOR NETO ($COP)]]/(100%-D.sign_Data[[#This Row],[MARGEN DE NEGOCIACIÓN (%)]])-D.sign_Data[[#This Row],[VALOR NETO ($COP)]]</f>
        <v>5934.8810045892751</v>
      </c>
      <c r="AE827" s="15">
        <f>+(D.sign_Data[[#This Row],[VALOR NETO ($COP)]]+D.sign_Data[[#This Row],[NEGOCIACIÓN ($COP)]])*1%</f>
        <v>1186.9762009178532</v>
      </c>
      <c r="AF827" s="15">
        <f>+(D.sign_Data[[#This Row],[VALOR NETO ($COP)]]+D.sign_Data[[#This Row],[NEGOCIACIÓN ($COP)]])*1%</f>
        <v>1186.9762009178532</v>
      </c>
      <c r="AG827" s="3">
        <f>+D.sign_Data[[#This Row],[VALOR NETO ($COP)]]+D.sign_Data[[#This Row],[NEGOCIACIÓN ($COP)]]+D.sign_Data[[#This Row],[ICA ($COP)]]+D.sign_Data[[#This Row],[4 * 1000 ($COP)]]</f>
        <v>121071.57249362102</v>
      </c>
    </row>
    <row r="828" spans="1:33" ht="60" hidden="1" customHeight="1" x14ac:dyDescent="0.25">
      <c r="A828" s="14"/>
      <c r="B828" s="87" t="s">
        <v>418</v>
      </c>
      <c r="C828" s="182" t="s">
        <v>927</v>
      </c>
      <c r="D828" s="189" t="str">
        <f>VLOOKUP(D.sign_Data[[#This Row],[CÓDIGO]],Descripciones[[CÓDIGO]:[NOMBRE DE SERVICIO]],3,FALSE)</f>
        <v>D7. Select</v>
      </c>
      <c r="E828" s="87" t="s">
        <v>497</v>
      </c>
      <c r="F828" s="88" t="s">
        <v>922</v>
      </c>
      <c r="G828" s="88" t="s">
        <v>536</v>
      </c>
      <c r="H828" s="87" t="s">
        <v>500</v>
      </c>
      <c r="I828" s="89">
        <v>1</v>
      </c>
      <c r="J828" s="88" t="s">
        <v>728</v>
      </c>
      <c r="K828" s="102"/>
      <c r="L828" s="88" t="s">
        <v>640</v>
      </c>
      <c r="M828" s="89" t="s">
        <v>381</v>
      </c>
      <c r="N828" s="90">
        <v>2</v>
      </c>
      <c r="O828" s="27">
        <f>IFERROR(+VLOOKUP(M828,D.sign_Lista_Data[[RESPONSABLE]:[SOFTWARE 
VALOR HORA]],3,FALSE),"0")</f>
        <v>20263.424518743668</v>
      </c>
      <c r="P828" s="3">
        <f t="shared" si="30"/>
        <v>40526.849037487336</v>
      </c>
      <c r="Q828" s="11">
        <f>IFERROR(+VLOOKUP(M828,D.sign_Lista_Data[[RESPONSABLE]:[SOFTWARE 
VALOR HORA]],5,FALSE)*D.sign_Data[[#This Row],[TIEMPO (HORAS)]],0)</f>
        <v>8443.0935494765272</v>
      </c>
      <c r="R828" s="11">
        <f>IFERROR(+VLOOKUP(M828,D.sign_Lista_Data[[RESPONSABLE]:[SOFTWARE 
VALOR HORA]],8,FALSE)*D.sign_Data[[#This Row],[TIEMPO (HORAS)]],0)</f>
        <v>6821.7097742879669</v>
      </c>
      <c r="S828" s="99"/>
      <c r="T828" s="99"/>
      <c r="U828" s="3">
        <f t="shared" si="31"/>
        <v>55791.652361251836</v>
      </c>
      <c r="V828" s="100">
        <f>D.sign_Data[[#This Row],[TIEMPO (HORAS)]]*Gastos_Operativos[[#Totals],[GASTOS HORA]]</f>
        <v>55578.954144620802</v>
      </c>
      <c r="W828" s="3">
        <f>+D.sign_Data[[#This Row],[COSTO 
DIRECTO ($COP)]]+D.sign_Data[[#This Row],[PRORRATEO GASTOS ($COP)]]</f>
        <v>111370.60650587264</v>
      </c>
      <c r="X828" s="101">
        <v>0.1</v>
      </c>
      <c r="Y828" s="15">
        <f>+D.sign_Data[[#This Row],[COSTOS OPERACIONALES ($COP)]]*D.sign_Data[[#This Row],[DESFASE (%)]]</f>
        <v>11137.060650587264</v>
      </c>
      <c r="Z828" s="101">
        <v>0.2</v>
      </c>
      <c r="AA828" s="15">
        <f>+((D.sign_Data[[#This Row],[COSTOS OPERACIONALES ($COP)]]/(100%-D.sign_Data[[#This Row],[UTILIDAD (%)]])))-D.sign_Data[[#This Row],[COSTOS OPERACIONALES ($COP)]]</f>
        <v>27842.651626468156</v>
      </c>
      <c r="AB828" s="3">
        <f>+D.sign_Data[[#This Row],[COSTOS OPERACIONALES ($COP)]]+D.sign_Data[[#This Row],[DESFASE ($COP)]]+D.sign_Data[[#This Row],[UTILIDAD ($COP)]]</f>
        <v>150350.31878292805</v>
      </c>
      <c r="AC828" s="101">
        <v>0.05</v>
      </c>
      <c r="AD828" s="15">
        <f>+D.sign_Data[[#This Row],[VALOR NETO ($COP)]]/(100%-D.sign_Data[[#This Row],[MARGEN DE NEGOCIACIÓN (%)]])-D.sign_Data[[#This Row],[VALOR NETO ($COP)]]</f>
        <v>7913.1746727856807</v>
      </c>
      <c r="AE828" s="15">
        <f>+(D.sign_Data[[#This Row],[VALOR NETO ($COP)]]+D.sign_Data[[#This Row],[NEGOCIACIÓN ($COP)]])*1%</f>
        <v>1582.6349345571373</v>
      </c>
      <c r="AF828" s="15">
        <f>+(D.sign_Data[[#This Row],[VALOR NETO ($COP)]]+D.sign_Data[[#This Row],[NEGOCIACIÓN ($COP)]])*1%</f>
        <v>1582.6349345571373</v>
      </c>
      <c r="AG828" s="3">
        <f>+D.sign_Data[[#This Row],[VALOR NETO ($COP)]]+D.sign_Data[[#This Row],[NEGOCIACIÓN ($COP)]]+D.sign_Data[[#This Row],[ICA ($COP)]]+D.sign_Data[[#This Row],[4 * 1000 ($COP)]]</f>
        <v>161428.763324828</v>
      </c>
    </row>
    <row r="829" spans="1:33" ht="60" hidden="1" customHeight="1" x14ac:dyDescent="0.25">
      <c r="A829" s="14"/>
      <c r="B829" s="87" t="s">
        <v>418</v>
      </c>
      <c r="C829" s="182" t="s">
        <v>927</v>
      </c>
      <c r="D829" s="189" t="str">
        <f>VLOOKUP(D.sign_Data[[#This Row],[CÓDIGO]],Descripciones[[CÓDIGO]:[NOMBRE DE SERVICIO]],3,FALSE)</f>
        <v>D7. Select</v>
      </c>
      <c r="E829" s="87" t="s">
        <v>497</v>
      </c>
      <c r="F829" s="88" t="s">
        <v>922</v>
      </c>
      <c r="G829" s="88" t="s">
        <v>536</v>
      </c>
      <c r="H829" s="87" t="s">
        <v>500</v>
      </c>
      <c r="I829" s="89">
        <v>1</v>
      </c>
      <c r="J829" s="88" t="s">
        <v>728</v>
      </c>
      <c r="K829" s="102"/>
      <c r="L829" s="88" t="s">
        <v>732</v>
      </c>
      <c r="M829" s="89" t="s">
        <v>381</v>
      </c>
      <c r="N829" s="90">
        <v>4</v>
      </c>
      <c r="O829" s="27">
        <f>IFERROR(+VLOOKUP(M829,D.sign_Lista_Data[[RESPONSABLE]:[SOFTWARE 
VALOR HORA]],3,FALSE),"0")</f>
        <v>20263.424518743668</v>
      </c>
      <c r="P829" s="3">
        <f t="shared" si="30"/>
        <v>81053.698074974673</v>
      </c>
      <c r="Q829" s="11">
        <f>IFERROR(+VLOOKUP(M829,D.sign_Lista_Data[[RESPONSABLE]:[SOFTWARE 
VALOR HORA]],5,FALSE)*D.sign_Data[[#This Row],[TIEMPO (HORAS)]],0)</f>
        <v>16886.187098953054</v>
      </c>
      <c r="R829" s="11">
        <f>IFERROR(+VLOOKUP(M829,D.sign_Lista_Data[[RESPONSABLE]:[SOFTWARE 
VALOR HORA]],8,FALSE)*D.sign_Data[[#This Row],[TIEMPO (HORAS)]],0)</f>
        <v>13643.419548575934</v>
      </c>
      <c r="S829" s="99"/>
      <c r="T829" s="99"/>
      <c r="U829" s="3">
        <f t="shared" si="31"/>
        <v>111583.30472250367</v>
      </c>
      <c r="V829" s="100">
        <f>D.sign_Data[[#This Row],[TIEMPO (HORAS)]]*Gastos_Operativos[[#Totals],[GASTOS HORA]]</f>
        <v>111157.9082892416</v>
      </c>
      <c r="W829" s="3">
        <f>+D.sign_Data[[#This Row],[COSTO 
DIRECTO ($COP)]]+D.sign_Data[[#This Row],[PRORRATEO GASTOS ($COP)]]</f>
        <v>222741.21301174528</v>
      </c>
      <c r="X829" s="101">
        <v>0.1</v>
      </c>
      <c r="Y829" s="15">
        <f>+D.sign_Data[[#This Row],[COSTOS OPERACIONALES ($COP)]]*D.sign_Data[[#This Row],[DESFASE (%)]]</f>
        <v>22274.121301174528</v>
      </c>
      <c r="Z829" s="101">
        <v>0.2</v>
      </c>
      <c r="AA829" s="15">
        <f>+((D.sign_Data[[#This Row],[COSTOS OPERACIONALES ($COP)]]/(100%-D.sign_Data[[#This Row],[UTILIDAD (%)]])))-D.sign_Data[[#This Row],[COSTOS OPERACIONALES ($COP)]]</f>
        <v>55685.303252936312</v>
      </c>
      <c r="AB829" s="3">
        <f>+D.sign_Data[[#This Row],[COSTOS OPERACIONALES ($COP)]]+D.sign_Data[[#This Row],[DESFASE ($COP)]]+D.sign_Data[[#This Row],[UTILIDAD ($COP)]]</f>
        <v>300700.6375658561</v>
      </c>
      <c r="AC829" s="101">
        <v>0.05</v>
      </c>
      <c r="AD829" s="15">
        <f>+D.sign_Data[[#This Row],[VALOR NETO ($COP)]]/(100%-D.sign_Data[[#This Row],[MARGEN DE NEGOCIACIÓN (%)]])-D.sign_Data[[#This Row],[VALOR NETO ($COP)]]</f>
        <v>15826.349345571361</v>
      </c>
      <c r="AE829" s="15">
        <f>+(D.sign_Data[[#This Row],[VALOR NETO ($COP)]]+D.sign_Data[[#This Row],[NEGOCIACIÓN ($COP)]])*1%</f>
        <v>3165.2698691142746</v>
      </c>
      <c r="AF829" s="15">
        <f>+(D.sign_Data[[#This Row],[VALOR NETO ($COP)]]+D.sign_Data[[#This Row],[NEGOCIACIÓN ($COP)]])*1%</f>
        <v>3165.2698691142746</v>
      </c>
      <c r="AG829" s="3">
        <f>+D.sign_Data[[#This Row],[VALOR NETO ($COP)]]+D.sign_Data[[#This Row],[NEGOCIACIÓN ($COP)]]+D.sign_Data[[#This Row],[ICA ($COP)]]+D.sign_Data[[#This Row],[4 * 1000 ($COP)]]</f>
        <v>322857.52664965601</v>
      </c>
    </row>
    <row r="830" spans="1:33" ht="60" hidden="1" customHeight="1" x14ac:dyDescent="0.25">
      <c r="A830" s="14"/>
      <c r="B830" s="87" t="s">
        <v>418</v>
      </c>
      <c r="C830" s="182" t="s">
        <v>927</v>
      </c>
      <c r="D830" s="189" t="str">
        <f>VLOOKUP(D.sign_Data[[#This Row],[CÓDIGO]],Descripciones[[CÓDIGO]:[NOMBRE DE SERVICIO]],3,FALSE)</f>
        <v>D7. Select</v>
      </c>
      <c r="E830" s="87" t="s">
        <v>497</v>
      </c>
      <c r="F830" s="88" t="s">
        <v>922</v>
      </c>
      <c r="G830" s="88" t="s">
        <v>536</v>
      </c>
      <c r="H830" s="87" t="s">
        <v>500</v>
      </c>
      <c r="I830" s="89">
        <v>1</v>
      </c>
      <c r="J830" s="88" t="s">
        <v>728</v>
      </c>
      <c r="K830" s="102"/>
      <c r="L830" s="88" t="s">
        <v>642</v>
      </c>
      <c r="M830" s="89" t="s">
        <v>381</v>
      </c>
      <c r="N830" s="90">
        <v>2</v>
      </c>
      <c r="O830" s="27">
        <f>IFERROR(+VLOOKUP(M830,D.sign_Lista_Data[[RESPONSABLE]:[SOFTWARE 
VALOR HORA]],3,FALSE),"0")</f>
        <v>20263.424518743668</v>
      </c>
      <c r="P830" s="3">
        <f t="shared" si="30"/>
        <v>40526.849037487336</v>
      </c>
      <c r="Q830" s="11">
        <f>IFERROR(+VLOOKUP(M830,D.sign_Lista_Data[[RESPONSABLE]:[SOFTWARE 
VALOR HORA]],5,FALSE)*D.sign_Data[[#This Row],[TIEMPO (HORAS)]],0)</f>
        <v>8443.0935494765272</v>
      </c>
      <c r="R830" s="11">
        <f>IFERROR(+VLOOKUP(M830,D.sign_Lista_Data[[RESPONSABLE]:[SOFTWARE 
VALOR HORA]],8,FALSE)*D.sign_Data[[#This Row],[TIEMPO (HORAS)]],0)</f>
        <v>6821.7097742879669</v>
      </c>
      <c r="S830" s="99"/>
      <c r="T830" s="99"/>
      <c r="U830" s="3">
        <f t="shared" si="31"/>
        <v>55791.652361251836</v>
      </c>
      <c r="V830" s="100">
        <f>D.sign_Data[[#This Row],[TIEMPO (HORAS)]]*Gastos_Operativos[[#Totals],[GASTOS HORA]]</f>
        <v>55578.954144620802</v>
      </c>
      <c r="W830" s="3">
        <f>+D.sign_Data[[#This Row],[COSTO 
DIRECTO ($COP)]]+D.sign_Data[[#This Row],[PRORRATEO GASTOS ($COP)]]</f>
        <v>111370.60650587264</v>
      </c>
      <c r="X830" s="101">
        <v>0.1</v>
      </c>
      <c r="Y830" s="15">
        <f>+D.sign_Data[[#This Row],[COSTOS OPERACIONALES ($COP)]]*D.sign_Data[[#This Row],[DESFASE (%)]]</f>
        <v>11137.060650587264</v>
      </c>
      <c r="Z830" s="101">
        <v>0.2</v>
      </c>
      <c r="AA830" s="15">
        <f>+((D.sign_Data[[#This Row],[COSTOS OPERACIONALES ($COP)]]/(100%-D.sign_Data[[#This Row],[UTILIDAD (%)]])))-D.sign_Data[[#This Row],[COSTOS OPERACIONALES ($COP)]]</f>
        <v>27842.651626468156</v>
      </c>
      <c r="AB830" s="3">
        <f>+D.sign_Data[[#This Row],[COSTOS OPERACIONALES ($COP)]]+D.sign_Data[[#This Row],[DESFASE ($COP)]]+D.sign_Data[[#This Row],[UTILIDAD ($COP)]]</f>
        <v>150350.31878292805</v>
      </c>
      <c r="AC830" s="101">
        <v>0.05</v>
      </c>
      <c r="AD830" s="15">
        <f>+D.sign_Data[[#This Row],[VALOR NETO ($COP)]]/(100%-D.sign_Data[[#This Row],[MARGEN DE NEGOCIACIÓN (%)]])-D.sign_Data[[#This Row],[VALOR NETO ($COP)]]</f>
        <v>7913.1746727856807</v>
      </c>
      <c r="AE830" s="15">
        <f>+(D.sign_Data[[#This Row],[VALOR NETO ($COP)]]+D.sign_Data[[#This Row],[NEGOCIACIÓN ($COP)]])*1%</f>
        <v>1582.6349345571373</v>
      </c>
      <c r="AF830" s="15">
        <f>+(D.sign_Data[[#This Row],[VALOR NETO ($COP)]]+D.sign_Data[[#This Row],[NEGOCIACIÓN ($COP)]])*1%</f>
        <v>1582.6349345571373</v>
      </c>
      <c r="AG830" s="3">
        <f>+D.sign_Data[[#This Row],[VALOR NETO ($COP)]]+D.sign_Data[[#This Row],[NEGOCIACIÓN ($COP)]]+D.sign_Data[[#This Row],[ICA ($COP)]]+D.sign_Data[[#This Row],[4 * 1000 ($COP)]]</f>
        <v>161428.763324828</v>
      </c>
    </row>
    <row r="831" spans="1:33" ht="60" hidden="1" customHeight="1" x14ac:dyDescent="0.25">
      <c r="A831" s="14"/>
      <c r="B831" s="87" t="s">
        <v>418</v>
      </c>
      <c r="C831" s="182" t="s">
        <v>927</v>
      </c>
      <c r="D831" s="189" t="str">
        <f>VLOOKUP(D.sign_Data[[#This Row],[CÓDIGO]],Descripciones[[CÓDIGO]:[NOMBRE DE SERVICIO]],3,FALSE)</f>
        <v>D7. Select</v>
      </c>
      <c r="E831" s="87" t="s">
        <v>497</v>
      </c>
      <c r="F831" s="88" t="s">
        <v>922</v>
      </c>
      <c r="G831" s="88" t="s">
        <v>536</v>
      </c>
      <c r="H831" s="87" t="s">
        <v>500</v>
      </c>
      <c r="I831" s="89">
        <v>1</v>
      </c>
      <c r="J831" s="88" t="s">
        <v>728</v>
      </c>
      <c r="K831" s="102"/>
      <c r="L831" s="88" t="s">
        <v>733</v>
      </c>
      <c r="M831" s="89" t="s">
        <v>381</v>
      </c>
      <c r="N831" s="90">
        <v>5</v>
      </c>
      <c r="O831" s="27">
        <f>IFERROR(+VLOOKUP(M831,D.sign_Lista_Data[[RESPONSABLE]:[SOFTWARE 
VALOR HORA]],3,FALSE),"0")</f>
        <v>20263.424518743668</v>
      </c>
      <c r="P831" s="3">
        <f t="shared" si="30"/>
        <v>101317.12259371835</v>
      </c>
      <c r="Q831" s="11">
        <f>IFERROR(+VLOOKUP(M831,D.sign_Lista_Data[[RESPONSABLE]:[SOFTWARE 
VALOR HORA]],5,FALSE)*D.sign_Data[[#This Row],[TIEMPO (HORAS)]],0)</f>
        <v>21107.733873691319</v>
      </c>
      <c r="R831" s="11">
        <f>IFERROR(+VLOOKUP(M831,D.sign_Lista_Data[[RESPONSABLE]:[SOFTWARE 
VALOR HORA]],8,FALSE)*D.sign_Data[[#This Row],[TIEMPO (HORAS)]],0)</f>
        <v>17054.274435719919</v>
      </c>
      <c r="S831" s="99"/>
      <c r="T831" s="99"/>
      <c r="U831" s="3">
        <f t="shared" si="31"/>
        <v>139479.13090312958</v>
      </c>
      <c r="V831" s="100">
        <f>D.sign_Data[[#This Row],[TIEMPO (HORAS)]]*Gastos_Operativos[[#Totals],[GASTOS HORA]]</f>
        <v>138947.38536155201</v>
      </c>
      <c r="W831" s="3">
        <f>+D.sign_Data[[#This Row],[COSTO 
DIRECTO ($COP)]]+D.sign_Data[[#This Row],[PRORRATEO GASTOS ($COP)]]</f>
        <v>278426.51626468159</v>
      </c>
      <c r="X831" s="101">
        <v>0.1</v>
      </c>
      <c r="Y831" s="15">
        <f>+D.sign_Data[[#This Row],[COSTOS OPERACIONALES ($COP)]]*D.sign_Data[[#This Row],[DESFASE (%)]]</f>
        <v>27842.65162646816</v>
      </c>
      <c r="Z831" s="101">
        <v>0.2</v>
      </c>
      <c r="AA831" s="15">
        <f>+((D.sign_Data[[#This Row],[COSTOS OPERACIONALES ($COP)]]/(100%-D.sign_Data[[#This Row],[UTILIDAD (%)]])))-D.sign_Data[[#This Row],[COSTOS OPERACIONALES ($COP)]]</f>
        <v>69606.629066170368</v>
      </c>
      <c r="AB831" s="3">
        <f>+D.sign_Data[[#This Row],[COSTOS OPERACIONALES ($COP)]]+D.sign_Data[[#This Row],[DESFASE ($COP)]]+D.sign_Data[[#This Row],[UTILIDAD ($COP)]]</f>
        <v>375875.79695732013</v>
      </c>
      <c r="AC831" s="101">
        <v>0.05</v>
      </c>
      <c r="AD831" s="15">
        <f>+D.sign_Data[[#This Row],[VALOR NETO ($COP)]]/(100%-D.sign_Data[[#This Row],[MARGEN DE NEGOCIACIÓN (%)]])-D.sign_Data[[#This Row],[VALOR NETO ($COP)]]</f>
        <v>19782.93668196426</v>
      </c>
      <c r="AE831" s="15">
        <f>+(D.sign_Data[[#This Row],[VALOR NETO ($COP)]]+D.sign_Data[[#This Row],[NEGOCIACIÓN ($COP)]])*1%</f>
        <v>3956.587336392844</v>
      </c>
      <c r="AF831" s="15">
        <f>+(D.sign_Data[[#This Row],[VALOR NETO ($COP)]]+D.sign_Data[[#This Row],[NEGOCIACIÓN ($COP)]])*1%</f>
        <v>3956.587336392844</v>
      </c>
      <c r="AG831" s="3">
        <f>+D.sign_Data[[#This Row],[VALOR NETO ($COP)]]+D.sign_Data[[#This Row],[NEGOCIACIÓN ($COP)]]+D.sign_Data[[#This Row],[ICA ($COP)]]+D.sign_Data[[#This Row],[4 * 1000 ($COP)]]</f>
        <v>403571.90831207007</v>
      </c>
    </row>
    <row r="832" spans="1:33" ht="60" hidden="1" customHeight="1" x14ac:dyDescent="0.25">
      <c r="A832" s="14"/>
      <c r="B832" s="87" t="s">
        <v>418</v>
      </c>
      <c r="C832" s="182" t="s">
        <v>927</v>
      </c>
      <c r="D832" s="189" t="str">
        <f>VLOOKUP(D.sign_Data[[#This Row],[CÓDIGO]],Descripciones[[CÓDIGO]:[NOMBRE DE SERVICIO]],3,FALSE)</f>
        <v>D7. Select</v>
      </c>
      <c r="E832" s="87" t="s">
        <v>497</v>
      </c>
      <c r="F832" s="88" t="s">
        <v>922</v>
      </c>
      <c r="G832" s="88" t="s">
        <v>536</v>
      </c>
      <c r="H832" s="87" t="s">
        <v>500</v>
      </c>
      <c r="I832" s="89">
        <v>1</v>
      </c>
      <c r="J832" s="88" t="s">
        <v>734</v>
      </c>
      <c r="K832" s="102"/>
      <c r="L832" s="88" t="s">
        <v>735</v>
      </c>
      <c r="M832" s="89" t="s">
        <v>381</v>
      </c>
      <c r="N832" s="90">
        <v>4</v>
      </c>
      <c r="O832" s="27">
        <f>IFERROR(+VLOOKUP(M832,D.sign_Lista_Data[[RESPONSABLE]:[SOFTWARE 
VALOR HORA]],3,FALSE),"0")</f>
        <v>20263.424518743668</v>
      </c>
      <c r="P832" s="3">
        <f t="shared" si="30"/>
        <v>81053.698074974673</v>
      </c>
      <c r="Q832" s="11">
        <f>IFERROR(+VLOOKUP(M832,D.sign_Lista_Data[[RESPONSABLE]:[SOFTWARE 
VALOR HORA]],5,FALSE)*D.sign_Data[[#This Row],[TIEMPO (HORAS)]],0)</f>
        <v>16886.187098953054</v>
      </c>
      <c r="R832" s="11">
        <f>IFERROR(+VLOOKUP(M832,D.sign_Lista_Data[[RESPONSABLE]:[SOFTWARE 
VALOR HORA]],8,FALSE)*D.sign_Data[[#This Row],[TIEMPO (HORAS)]],0)</f>
        <v>13643.419548575934</v>
      </c>
      <c r="S832" s="99"/>
      <c r="T832" s="99"/>
      <c r="U832" s="3">
        <f t="shared" si="31"/>
        <v>111583.30472250367</v>
      </c>
      <c r="V832" s="100">
        <f>D.sign_Data[[#This Row],[TIEMPO (HORAS)]]*Gastos_Operativos[[#Totals],[GASTOS HORA]]</f>
        <v>111157.9082892416</v>
      </c>
      <c r="W832" s="3">
        <f>+D.sign_Data[[#This Row],[COSTO 
DIRECTO ($COP)]]+D.sign_Data[[#This Row],[PRORRATEO GASTOS ($COP)]]</f>
        <v>222741.21301174528</v>
      </c>
      <c r="X832" s="101">
        <v>0.1</v>
      </c>
      <c r="Y832" s="15">
        <f>+D.sign_Data[[#This Row],[COSTOS OPERACIONALES ($COP)]]*D.sign_Data[[#This Row],[DESFASE (%)]]</f>
        <v>22274.121301174528</v>
      </c>
      <c r="Z832" s="101">
        <v>0.2</v>
      </c>
      <c r="AA832" s="15">
        <f>+((D.sign_Data[[#This Row],[COSTOS OPERACIONALES ($COP)]]/(100%-D.sign_Data[[#This Row],[UTILIDAD (%)]])))-D.sign_Data[[#This Row],[COSTOS OPERACIONALES ($COP)]]</f>
        <v>55685.303252936312</v>
      </c>
      <c r="AB832" s="3">
        <f>+D.sign_Data[[#This Row],[COSTOS OPERACIONALES ($COP)]]+D.sign_Data[[#This Row],[DESFASE ($COP)]]+D.sign_Data[[#This Row],[UTILIDAD ($COP)]]</f>
        <v>300700.6375658561</v>
      </c>
      <c r="AC832" s="101">
        <v>0.05</v>
      </c>
      <c r="AD832" s="15">
        <f>+D.sign_Data[[#This Row],[VALOR NETO ($COP)]]/(100%-D.sign_Data[[#This Row],[MARGEN DE NEGOCIACIÓN (%)]])-D.sign_Data[[#This Row],[VALOR NETO ($COP)]]</f>
        <v>15826.349345571361</v>
      </c>
      <c r="AE832" s="15">
        <f>+(D.sign_Data[[#This Row],[VALOR NETO ($COP)]]+D.sign_Data[[#This Row],[NEGOCIACIÓN ($COP)]])*1%</f>
        <v>3165.2698691142746</v>
      </c>
      <c r="AF832" s="15">
        <f>+(D.sign_Data[[#This Row],[VALOR NETO ($COP)]]+D.sign_Data[[#This Row],[NEGOCIACIÓN ($COP)]])*1%</f>
        <v>3165.2698691142746</v>
      </c>
      <c r="AG832" s="3">
        <f>+D.sign_Data[[#This Row],[VALOR NETO ($COP)]]+D.sign_Data[[#This Row],[NEGOCIACIÓN ($COP)]]+D.sign_Data[[#This Row],[ICA ($COP)]]+D.sign_Data[[#This Row],[4 * 1000 ($COP)]]</f>
        <v>322857.52664965601</v>
      </c>
    </row>
    <row r="833" spans="1:33" ht="60" hidden="1" customHeight="1" x14ac:dyDescent="0.25">
      <c r="A833" s="14"/>
      <c r="B833" s="87" t="s">
        <v>418</v>
      </c>
      <c r="C833" s="182" t="s">
        <v>927</v>
      </c>
      <c r="D833" s="189" t="str">
        <f>VLOOKUP(D.sign_Data[[#This Row],[CÓDIGO]],Descripciones[[CÓDIGO]:[NOMBRE DE SERVICIO]],3,FALSE)</f>
        <v>D7. Select</v>
      </c>
      <c r="E833" s="87" t="s">
        <v>497</v>
      </c>
      <c r="F833" s="88" t="s">
        <v>922</v>
      </c>
      <c r="G833" s="88" t="s">
        <v>536</v>
      </c>
      <c r="H833" s="87" t="s">
        <v>500</v>
      </c>
      <c r="I833" s="89">
        <v>1</v>
      </c>
      <c r="J833" s="88" t="s">
        <v>734</v>
      </c>
      <c r="K833" s="102"/>
      <c r="L833" s="88" t="s">
        <v>736</v>
      </c>
      <c r="M833" s="89" t="s">
        <v>381</v>
      </c>
      <c r="N833" s="90">
        <v>1</v>
      </c>
      <c r="O833" s="27">
        <f>IFERROR(+VLOOKUP(M833,D.sign_Lista_Data[[RESPONSABLE]:[SOFTWARE 
VALOR HORA]],3,FALSE),"0")</f>
        <v>20263.424518743668</v>
      </c>
      <c r="P833" s="3">
        <f t="shared" si="30"/>
        <v>20263.424518743668</v>
      </c>
      <c r="Q833" s="11">
        <f>IFERROR(+VLOOKUP(M833,D.sign_Lista_Data[[RESPONSABLE]:[SOFTWARE 
VALOR HORA]],5,FALSE)*D.sign_Data[[#This Row],[TIEMPO (HORAS)]],0)</f>
        <v>4221.5467747382636</v>
      </c>
      <c r="R833" s="11">
        <f>IFERROR(+VLOOKUP(M833,D.sign_Lista_Data[[RESPONSABLE]:[SOFTWARE 
VALOR HORA]],8,FALSE)*D.sign_Data[[#This Row],[TIEMPO (HORAS)]],0)</f>
        <v>3410.8548871439834</v>
      </c>
      <c r="S833" s="99"/>
      <c r="T833" s="99"/>
      <c r="U833" s="3">
        <f t="shared" si="31"/>
        <v>27895.826180625918</v>
      </c>
      <c r="V833" s="100">
        <f>D.sign_Data[[#This Row],[TIEMPO (HORAS)]]*Gastos_Operativos[[#Totals],[GASTOS HORA]]</f>
        <v>27789.477072310401</v>
      </c>
      <c r="W833" s="3">
        <f>+D.sign_Data[[#This Row],[COSTO 
DIRECTO ($COP)]]+D.sign_Data[[#This Row],[PRORRATEO GASTOS ($COP)]]</f>
        <v>55685.303252936319</v>
      </c>
      <c r="X833" s="101">
        <v>0.1</v>
      </c>
      <c r="Y833" s="15">
        <f>+D.sign_Data[[#This Row],[COSTOS OPERACIONALES ($COP)]]*D.sign_Data[[#This Row],[DESFASE (%)]]</f>
        <v>5568.5303252936319</v>
      </c>
      <c r="Z833" s="101">
        <v>0.2</v>
      </c>
      <c r="AA833" s="15">
        <f>+((D.sign_Data[[#This Row],[COSTOS OPERACIONALES ($COP)]]/(100%-D.sign_Data[[#This Row],[UTILIDAD (%)]])))-D.sign_Data[[#This Row],[COSTOS OPERACIONALES ($COP)]]</f>
        <v>13921.325813234078</v>
      </c>
      <c r="AB833" s="3">
        <f>+D.sign_Data[[#This Row],[COSTOS OPERACIONALES ($COP)]]+D.sign_Data[[#This Row],[DESFASE ($COP)]]+D.sign_Data[[#This Row],[UTILIDAD ($COP)]]</f>
        <v>75175.159391464025</v>
      </c>
      <c r="AC833" s="101">
        <v>0.05</v>
      </c>
      <c r="AD833" s="15">
        <f>+D.sign_Data[[#This Row],[VALOR NETO ($COP)]]/(100%-D.sign_Data[[#This Row],[MARGEN DE NEGOCIACIÓN (%)]])-D.sign_Data[[#This Row],[VALOR NETO ($COP)]]</f>
        <v>3956.5873363928404</v>
      </c>
      <c r="AE833" s="15">
        <f>+(D.sign_Data[[#This Row],[VALOR NETO ($COP)]]+D.sign_Data[[#This Row],[NEGOCIACIÓN ($COP)]])*1%</f>
        <v>791.31746727856864</v>
      </c>
      <c r="AF833" s="15">
        <f>+(D.sign_Data[[#This Row],[VALOR NETO ($COP)]]+D.sign_Data[[#This Row],[NEGOCIACIÓN ($COP)]])*1%</f>
        <v>791.31746727856864</v>
      </c>
      <c r="AG833" s="3">
        <f>+D.sign_Data[[#This Row],[VALOR NETO ($COP)]]+D.sign_Data[[#This Row],[NEGOCIACIÓN ($COP)]]+D.sign_Data[[#This Row],[ICA ($COP)]]+D.sign_Data[[#This Row],[4 * 1000 ($COP)]]</f>
        <v>80714.381662414002</v>
      </c>
    </row>
    <row r="834" spans="1:33" ht="60" hidden="1" customHeight="1" x14ac:dyDescent="0.25">
      <c r="A834" s="14"/>
      <c r="B834" s="87" t="s">
        <v>418</v>
      </c>
      <c r="C834" s="182" t="s">
        <v>927</v>
      </c>
      <c r="D834" s="189" t="str">
        <f>VLOOKUP(D.sign_Data[[#This Row],[CÓDIGO]],Descripciones[[CÓDIGO]:[NOMBRE DE SERVICIO]],3,FALSE)</f>
        <v>D7. Select</v>
      </c>
      <c r="E834" s="87" t="s">
        <v>497</v>
      </c>
      <c r="F834" s="88" t="s">
        <v>922</v>
      </c>
      <c r="G834" s="88" t="s">
        <v>536</v>
      </c>
      <c r="H834" s="87" t="s">
        <v>500</v>
      </c>
      <c r="I834" s="89">
        <v>1</v>
      </c>
      <c r="J834" s="88" t="s">
        <v>734</v>
      </c>
      <c r="K834" s="102"/>
      <c r="L834" s="88" t="s">
        <v>737</v>
      </c>
      <c r="M834" s="89" t="s">
        <v>381</v>
      </c>
      <c r="N834" s="90">
        <v>3</v>
      </c>
      <c r="O834" s="27">
        <f>IFERROR(+VLOOKUP(M834,D.sign_Lista_Data[[RESPONSABLE]:[SOFTWARE 
VALOR HORA]],3,FALSE),"0")</f>
        <v>20263.424518743668</v>
      </c>
      <c r="P834" s="3">
        <f t="shared" si="30"/>
        <v>60790.273556231004</v>
      </c>
      <c r="Q834" s="11">
        <f>IFERROR(+VLOOKUP(M834,D.sign_Lista_Data[[RESPONSABLE]:[SOFTWARE 
VALOR HORA]],5,FALSE)*D.sign_Data[[#This Row],[TIEMPO (HORAS)]],0)</f>
        <v>12664.64032421479</v>
      </c>
      <c r="R834" s="11">
        <f>IFERROR(+VLOOKUP(M834,D.sign_Lista_Data[[RESPONSABLE]:[SOFTWARE 
VALOR HORA]],8,FALSE)*D.sign_Data[[#This Row],[TIEMPO (HORAS)]],0)</f>
        <v>10232.56466143195</v>
      </c>
      <c r="S834" s="99"/>
      <c r="T834" s="99"/>
      <c r="U834" s="3">
        <f t="shared" si="31"/>
        <v>83687.478541877746</v>
      </c>
      <c r="V834" s="100">
        <f>D.sign_Data[[#This Row],[TIEMPO (HORAS)]]*Gastos_Operativos[[#Totals],[GASTOS HORA]]</f>
        <v>83368.431216931203</v>
      </c>
      <c r="W834" s="3">
        <f>+D.sign_Data[[#This Row],[COSTO 
DIRECTO ($COP)]]+D.sign_Data[[#This Row],[PRORRATEO GASTOS ($COP)]]</f>
        <v>167055.90975880896</v>
      </c>
      <c r="X834" s="101">
        <v>0.1</v>
      </c>
      <c r="Y834" s="15">
        <f>+D.sign_Data[[#This Row],[COSTOS OPERACIONALES ($COP)]]*D.sign_Data[[#This Row],[DESFASE (%)]]</f>
        <v>16705.590975880896</v>
      </c>
      <c r="Z834" s="101">
        <v>0.2</v>
      </c>
      <c r="AA834" s="15">
        <f>+((D.sign_Data[[#This Row],[COSTOS OPERACIONALES ($COP)]]/(100%-D.sign_Data[[#This Row],[UTILIDAD (%)]])))-D.sign_Data[[#This Row],[COSTOS OPERACIONALES ($COP)]]</f>
        <v>41763.977439702227</v>
      </c>
      <c r="AB834" s="3">
        <f>+D.sign_Data[[#This Row],[COSTOS OPERACIONALES ($COP)]]+D.sign_Data[[#This Row],[DESFASE ($COP)]]+D.sign_Data[[#This Row],[UTILIDAD ($COP)]]</f>
        <v>225525.47817439208</v>
      </c>
      <c r="AC834" s="101">
        <v>0.05</v>
      </c>
      <c r="AD834" s="15">
        <f>+D.sign_Data[[#This Row],[VALOR NETO ($COP)]]/(100%-D.sign_Data[[#This Row],[MARGEN DE NEGOCIACIÓN (%)]])-D.sign_Data[[#This Row],[VALOR NETO ($COP)]]</f>
        <v>11869.76200917855</v>
      </c>
      <c r="AE834" s="15">
        <f>+(D.sign_Data[[#This Row],[VALOR NETO ($COP)]]+D.sign_Data[[#This Row],[NEGOCIACIÓN ($COP)]])*1%</f>
        <v>2373.9524018357065</v>
      </c>
      <c r="AF834" s="15">
        <f>+(D.sign_Data[[#This Row],[VALOR NETO ($COP)]]+D.sign_Data[[#This Row],[NEGOCIACIÓN ($COP)]])*1%</f>
        <v>2373.9524018357065</v>
      </c>
      <c r="AG834" s="3">
        <f>+D.sign_Data[[#This Row],[VALOR NETO ($COP)]]+D.sign_Data[[#This Row],[NEGOCIACIÓN ($COP)]]+D.sign_Data[[#This Row],[ICA ($COP)]]+D.sign_Data[[#This Row],[4 * 1000 ($COP)]]</f>
        <v>242143.14498724203</v>
      </c>
    </row>
    <row r="835" spans="1:33" ht="60" hidden="1" customHeight="1" x14ac:dyDescent="0.25">
      <c r="A835" s="14"/>
      <c r="B835" s="87" t="s">
        <v>418</v>
      </c>
      <c r="C835" s="182" t="s">
        <v>927</v>
      </c>
      <c r="D835" s="189" t="str">
        <f>VLOOKUP(D.sign_Data[[#This Row],[CÓDIGO]],Descripciones[[CÓDIGO]:[NOMBRE DE SERVICIO]],3,FALSE)</f>
        <v>D7. Select</v>
      </c>
      <c r="E835" s="87" t="s">
        <v>497</v>
      </c>
      <c r="F835" s="88" t="s">
        <v>922</v>
      </c>
      <c r="G835" s="88" t="s">
        <v>536</v>
      </c>
      <c r="H835" s="87" t="s">
        <v>500</v>
      </c>
      <c r="I835" s="89">
        <v>1</v>
      </c>
      <c r="J835" s="88" t="s">
        <v>734</v>
      </c>
      <c r="K835" s="102"/>
      <c r="L835" s="88" t="s">
        <v>738</v>
      </c>
      <c r="M835" s="89" t="s">
        <v>381</v>
      </c>
      <c r="N835" s="90">
        <v>1</v>
      </c>
      <c r="O835" s="27">
        <f>IFERROR(+VLOOKUP(M835,D.sign_Lista_Data[[RESPONSABLE]:[SOFTWARE 
VALOR HORA]],3,FALSE),"0")</f>
        <v>20263.424518743668</v>
      </c>
      <c r="P835" s="3">
        <f t="shared" si="30"/>
        <v>20263.424518743668</v>
      </c>
      <c r="Q835" s="11">
        <f>IFERROR(+VLOOKUP(M835,D.sign_Lista_Data[[RESPONSABLE]:[SOFTWARE 
VALOR HORA]],5,FALSE)*D.sign_Data[[#This Row],[TIEMPO (HORAS)]],0)</f>
        <v>4221.5467747382636</v>
      </c>
      <c r="R835" s="11">
        <f>IFERROR(+VLOOKUP(M835,D.sign_Lista_Data[[RESPONSABLE]:[SOFTWARE 
VALOR HORA]],8,FALSE)*D.sign_Data[[#This Row],[TIEMPO (HORAS)]],0)</f>
        <v>3410.8548871439834</v>
      </c>
      <c r="S835" s="99"/>
      <c r="T835" s="99"/>
      <c r="U835" s="3">
        <f t="shared" si="31"/>
        <v>27895.826180625918</v>
      </c>
      <c r="V835" s="100">
        <f>D.sign_Data[[#This Row],[TIEMPO (HORAS)]]*Gastos_Operativos[[#Totals],[GASTOS HORA]]</f>
        <v>27789.477072310401</v>
      </c>
      <c r="W835" s="3">
        <f>+D.sign_Data[[#This Row],[COSTO 
DIRECTO ($COP)]]+D.sign_Data[[#This Row],[PRORRATEO GASTOS ($COP)]]</f>
        <v>55685.303252936319</v>
      </c>
      <c r="X835" s="101">
        <v>0.1</v>
      </c>
      <c r="Y835" s="15">
        <f>+D.sign_Data[[#This Row],[COSTOS OPERACIONALES ($COP)]]*D.sign_Data[[#This Row],[DESFASE (%)]]</f>
        <v>5568.5303252936319</v>
      </c>
      <c r="Z835" s="101">
        <v>0.2</v>
      </c>
      <c r="AA835" s="15">
        <f>+((D.sign_Data[[#This Row],[COSTOS OPERACIONALES ($COP)]]/(100%-D.sign_Data[[#This Row],[UTILIDAD (%)]])))-D.sign_Data[[#This Row],[COSTOS OPERACIONALES ($COP)]]</f>
        <v>13921.325813234078</v>
      </c>
      <c r="AB835" s="3">
        <f>+D.sign_Data[[#This Row],[COSTOS OPERACIONALES ($COP)]]+D.sign_Data[[#This Row],[DESFASE ($COP)]]+D.sign_Data[[#This Row],[UTILIDAD ($COP)]]</f>
        <v>75175.159391464025</v>
      </c>
      <c r="AC835" s="101">
        <v>0.05</v>
      </c>
      <c r="AD835" s="15">
        <f>+D.sign_Data[[#This Row],[VALOR NETO ($COP)]]/(100%-D.sign_Data[[#This Row],[MARGEN DE NEGOCIACIÓN (%)]])-D.sign_Data[[#This Row],[VALOR NETO ($COP)]]</f>
        <v>3956.5873363928404</v>
      </c>
      <c r="AE835" s="15">
        <f>+(D.sign_Data[[#This Row],[VALOR NETO ($COP)]]+D.sign_Data[[#This Row],[NEGOCIACIÓN ($COP)]])*1%</f>
        <v>791.31746727856864</v>
      </c>
      <c r="AF835" s="15">
        <f>+(D.sign_Data[[#This Row],[VALOR NETO ($COP)]]+D.sign_Data[[#This Row],[NEGOCIACIÓN ($COP)]])*1%</f>
        <v>791.31746727856864</v>
      </c>
      <c r="AG835" s="3">
        <f>+D.sign_Data[[#This Row],[VALOR NETO ($COP)]]+D.sign_Data[[#This Row],[NEGOCIACIÓN ($COP)]]+D.sign_Data[[#This Row],[ICA ($COP)]]+D.sign_Data[[#This Row],[4 * 1000 ($COP)]]</f>
        <v>80714.381662414002</v>
      </c>
    </row>
    <row r="836" spans="1:33" ht="60" hidden="1" customHeight="1" x14ac:dyDescent="0.25">
      <c r="A836" s="14"/>
      <c r="B836" s="87" t="s">
        <v>418</v>
      </c>
      <c r="C836" s="182" t="s">
        <v>927</v>
      </c>
      <c r="D836" s="189" t="str">
        <f>VLOOKUP(D.sign_Data[[#This Row],[CÓDIGO]],Descripciones[[CÓDIGO]:[NOMBRE DE SERVICIO]],3,FALSE)</f>
        <v>D7. Select</v>
      </c>
      <c r="E836" s="87" t="s">
        <v>497</v>
      </c>
      <c r="F836" s="88" t="s">
        <v>922</v>
      </c>
      <c r="G836" s="88" t="s">
        <v>536</v>
      </c>
      <c r="H836" s="87" t="s">
        <v>500</v>
      </c>
      <c r="I836" s="89">
        <v>1</v>
      </c>
      <c r="J836" s="88" t="s">
        <v>734</v>
      </c>
      <c r="K836" s="102"/>
      <c r="L836" s="88" t="s">
        <v>648</v>
      </c>
      <c r="M836" s="89" t="s">
        <v>381</v>
      </c>
      <c r="N836" s="90">
        <v>2</v>
      </c>
      <c r="O836" s="27">
        <f>IFERROR(+VLOOKUP(M836,D.sign_Lista_Data[[RESPONSABLE]:[SOFTWARE 
VALOR HORA]],3,FALSE),"0")</f>
        <v>20263.424518743668</v>
      </c>
      <c r="P836" s="3">
        <f t="shared" si="30"/>
        <v>40526.849037487336</v>
      </c>
      <c r="Q836" s="11">
        <f>IFERROR(+VLOOKUP(M836,D.sign_Lista_Data[[RESPONSABLE]:[SOFTWARE 
VALOR HORA]],5,FALSE)*D.sign_Data[[#This Row],[TIEMPO (HORAS)]],0)</f>
        <v>8443.0935494765272</v>
      </c>
      <c r="R836" s="11">
        <f>IFERROR(+VLOOKUP(M836,D.sign_Lista_Data[[RESPONSABLE]:[SOFTWARE 
VALOR HORA]],8,FALSE)*D.sign_Data[[#This Row],[TIEMPO (HORAS)]],0)</f>
        <v>6821.7097742879669</v>
      </c>
      <c r="S836" s="99"/>
      <c r="T836" s="99"/>
      <c r="U836" s="3">
        <f t="shared" si="31"/>
        <v>55791.652361251836</v>
      </c>
      <c r="V836" s="100">
        <f>D.sign_Data[[#This Row],[TIEMPO (HORAS)]]*Gastos_Operativos[[#Totals],[GASTOS HORA]]</f>
        <v>55578.954144620802</v>
      </c>
      <c r="W836" s="3">
        <f>+D.sign_Data[[#This Row],[COSTO 
DIRECTO ($COP)]]+D.sign_Data[[#This Row],[PRORRATEO GASTOS ($COP)]]</f>
        <v>111370.60650587264</v>
      </c>
      <c r="X836" s="101">
        <v>0.1</v>
      </c>
      <c r="Y836" s="15">
        <f>+D.sign_Data[[#This Row],[COSTOS OPERACIONALES ($COP)]]*D.sign_Data[[#This Row],[DESFASE (%)]]</f>
        <v>11137.060650587264</v>
      </c>
      <c r="Z836" s="101">
        <v>0.2</v>
      </c>
      <c r="AA836" s="15">
        <f>+((D.sign_Data[[#This Row],[COSTOS OPERACIONALES ($COP)]]/(100%-D.sign_Data[[#This Row],[UTILIDAD (%)]])))-D.sign_Data[[#This Row],[COSTOS OPERACIONALES ($COP)]]</f>
        <v>27842.651626468156</v>
      </c>
      <c r="AB836" s="3">
        <f>+D.sign_Data[[#This Row],[COSTOS OPERACIONALES ($COP)]]+D.sign_Data[[#This Row],[DESFASE ($COP)]]+D.sign_Data[[#This Row],[UTILIDAD ($COP)]]</f>
        <v>150350.31878292805</v>
      </c>
      <c r="AC836" s="101">
        <v>0.05</v>
      </c>
      <c r="AD836" s="15">
        <f>+D.sign_Data[[#This Row],[VALOR NETO ($COP)]]/(100%-D.sign_Data[[#This Row],[MARGEN DE NEGOCIACIÓN (%)]])-D.sign_Data[[#This Row],[VALOR NETO ($COP)]]</f>
        <v>7913.1746727856807</v>
      </c>
      <c r="AE836" s="15">
        <f>+(D.sign_Data[[#This Row],[VALOR NETO ($COP)]]+D.sign_Data[[#This Row],[NEGOCIACIÓN ($COP)]])*1%</f>
        <v>1582.6349345571373</v>
      </c>
      <c r="AF836" s="15">
        <f>+(D.sign_Data[[#This Row],[VALOR NETO ($COP)]]+D.sign_Data[[#This Row],[NEGOCIACIÓN ($COP)]])*1%</f>
        <v>1582.6349345571373</v>
      </c>
      <c r="AG836" s="3">
        <f>+D.sign_Data[[#This Row],[VALOR NETO ($COP)]]+D.sign_Data[[#This Row],[NEGOCIACIÓN ($COP)]]+D.sign_Data[[#This Row],[ICA ($COP)]]+D.sign_Data[[#This Row],[4 * 1000 ($COP)]]</f>
        <v>161428.763324828</v>
      </c>
    </row>
    <row r="837" spans="1:33" ht="60" hidden="1" customHeight="1" x14ac:dyDescent="0.25">
      <c r="A837" s="14"/>
      <c r="B837" s="87" t="s">
        <v>418</v>
      </c>
      <c r="C837" s="182" t="s">
        <v>927</v>
      </c>
      <c r="D837" s="189" t="str">
        <f>VLOOKUP(D.sign_Data[[#This Row],[CÓDIGO]],Descripciones[[CÓDIGO]:[NOMBRE DE SERVICIO]],3,FALSE)</f>
        <v>D7. Select</v>
      </c>
      <c r="E837" s="87" t="s">
        <v>497</v>
      </c>
      <c r="F837" s="88" t="s">
        <v>922</v>
      </c>
      <c r="G837" s="88" t="s">
        <v>536</v>
      </c>
      <c r="H837" s="87" t="s">
        <v>500</v>
      </c>
      <c r="I837" s="89">
        <v>1</v>
      </c>
      <c r="J837" s="88" t="s">
        <v>734</v>
      </c>
      <c r="K837" s="102"/>
      <c r="L837" s="88" t="s">
        <v>739</v>
      </c>
      <c r="M837" s="89" t="s">
        <v>381</v>
      </c>
      <c r="N837" s="90">
        <v>2</v>
      </c>
      <c r="O837" s="27">
        <f>IFERROR(+VLOOKUP(M837,D.sign_Lista_Data[[RESPONSABLE]:[SOFTWARE 
VALOR HORA]],3,FALSE),"0")</f>
        <v>20263.424518743668</v>
      </c>
      <c r="P837" s="3">
        <f t="shared" si="30"/>
        <v>40526.849037487336</v>
      </c>
      <c r="Q837" s="11">
        <f>IFERROR(+VLOOKUP(M837,D.sign_Lista_Data[[RESPONSABLE]:[SOFTWARE 
VALOR HORA]],5,FALSE)*D.sign_Data[[#This Row],[TIEMPO (HORAS)]],0)</f>
        <v>8443.0935494765272</v>
      </c>
      <c r="R837" s="11">
        <f>IFERROR(+VLOOKUP(M837,D.sign_Lista_Data[[RESPONSABLE]:[SOFTWARE 
VALOR HORA]],8,FALSE)*D.sign_Data[[#This Row],[TIEMPO (HORAS)]],0)</f>
        <v>6821.7097742879669</v>
      </c>
      <c r="S837" s="99"/>
      <c r="T837" s="99"/>
      <c r="U837" s="3">
        <f t="shared" si="31"/>
        <v>55791.652361251836</v>
      </c>
      <c r="V837" s="100">
        <f>D.sign_Data[[#This Row],[TIEMPO (HORAS)]]*Gastos_Operativos[[#Totals],[GASTOS HORA]]</f>
        <v>55578.954144620802</v>
      </c>
      <c r="W837" s="3">
        <f>+D.sign_Data[[#This Row],[COSTO 
DIRECTO ($COP)]]+D.sign_Data[[#This Row],[PRORRATEO GASTOS ($COP)]]</f>
        <v>111370.60650587264</v>
      </c>
      <c r="X837" s="101">
        <v>0.1</v>
      </c>
      <c r="Y837" s="15">
        <f>+D.sign_Data[[#This Row],[COSTOS OPERACIONALES ($COP)]]*D.sign_Data[[#This Row],[DESFASE (%)]]</f>
        <v>11137.060650587264</v>
      </c>
      <c r="Z837" s="101">
        <v>0.2</v>
      </c>
      <c r="AA837" s="15">
        <f>+((D.sign_Data[[#This Row],[COSTOS OPERACIONALES ($COP)]]/(100%-D.sign_Data[[#This Row],[UTILIDAD (%)]])))-D.sign_Data[[#This Row],[COSTOS OPERACIONALES ($COP)]]</f>
        <v>27842.651626468156</v>
      </c>
      <c r="AB837" s="3">
        <f>+D.sign_Data[[#This Row],[COSTOS OPERACIONALES ($COP)]]+D.sign_Data[[#This Row],[DESFASE ($COP)]]+D.sign_Data[[#This Row],[UTILIDAD ($COP)]]</f>
        <v>150350.31878292805</v>
      </c>
      <c r="AC837" s="101">
        <v>0.05</v>
      </c>
      <c r="AD837" s="15">
        <f>+D.sign_Data[[#This Row],[VALOR NETO ($COP)]]/(100%-D.sign_Data[[#This Row],[MARGEN DE NEGOCIACIÓN (%)]])-D.sign_Data[[#This Row],[VALOR NETO ($COP)]]</f>
        <v>7913.1746727856807</v>
      </c>
      <c r="AE837" s="15">
        <f>+(D.sign_Data[[#This Row],[VALOR NETO ($COP)]]+D.sign_Data[[#This Row],[NEGOCIACIÓN ($COP)]])*1%</f>
        <v>1582.6349345571373</v>
      </c>
      <c r="AF837" s="15">
        <f>+(D.sign_Data[[#This Row],[VALOR NETO ($COP)]]+D.sign_Data[[#This Row],[NEGOCIACIÓN ($COP)]])*1%</f>
        <v>1582.6349345571373</v>
      </c>
      <c r="AG837" s="3">
        <f>+D.sign_Data[[#This Row],[VALOR NETO ($COP)]]+D.sign_Data[[#This Row],[NEGOCIACIÓN ($COP)]]+D.sign_Data[[#This Row],[ICA ($COP)]]+D.sign_Data[[#This Row],[4 * 1000 ($COP)]]</f>
        <v>161428.763324828</v>
      </c>
    </row>
    <row r="838" spans="1:33" ht="60" hidden="1" customHeight="1" x14ac:dyDescent="0.25">
      <c r="A838" s="14"/>
      <c r="B838" s="87" t="s">
        <v>418</v>
      </c>
      <c r="C838" s="182" t="s">
        <v>927</v>
      </c>
      <c r="D838" s="189" t="str">
        <f>VLOOKUP(D.sign_Data[[#This Row],[CÓDIGO]],Descripciones[[CÓDIGO]:[NOMBRE DE SERVICIO]],3,FALSE)</f>
        <v>D7. Select</v>
      </c>
      <c r="E838" s="87" t="s">
        <v>497</v>
      </c>
      <c r="F838" s="88" t="s">
        <v>922</v>
      </c>
      <c r="G838" s="88" t="s">
        <v>536</v>
      </c>
      <c r="H838" s="87" t="s">
        <v>500</v>
      </c>
      <c r="I838" s="89">
        <v>1</v>
      </c>
      <c r="J838" s="88" t="s">
        <v>734</v>
      </c>
      <c r="K838" s="102"/>
      <c r="L838" s="88" t="s">
        <v>740</v>
      </c>
      <c r="M838" s="89" t="s">
        <v>381</v>
      </c>
      <c r="N838" s="90">
        <v>0.5</v>
      </c>
      <c r="O838" s="27">
        <f>IFERROR(+VLOOKUP(M838,D.sign_Lista_Data[[RESPONSABLE]:[SOFTWARE 
VALOR HORA]],3,FALSE),"0")</f>
        <v>20263.424518743668</v>
      </c>
      <c r="P838" s="3">
        <f t="shared" si="30"/>
        <v>10131.712259371834</v>
      </c>
      <c r="Q838" s="11">
        <f>IFERROR(+VLOOKUP(M838,D.sign_Lista_Data[[RESPONSABLE]:[SOFTWARE 
VALOR HORA]],5,FALSE)*D.sign_Data[[#This Row],[TIEMPO (HORAS)]],0)</f>
        <v>2110.7733873691318</v>
      </c>
      <c r="R838" s="11">
        <f>IFERROR(+VLOOKUP(M838,D.sign_Lista_Data[[RESPONSABLE]:[SOFTWARE 
VALOR HORA]],8,FALSE)*D.sign_Data[[#This Row],[TIEMPO (HORAS)]],0)</f>
        <v>1705.4274435719917</v>
      </c>
      <c r="S838" s="99"/>
      <c r="T838" s="99"/>
      <c r="U838" s="3">
        <f t="shared" si="31"/>
        <v>13947.913090312959</v>
      </c>
      <c r="V838" s="100">
        <f>D.sign_Data[[#This Row],[TIEMPO (HORAS)]]*Gastos_Operativos[[#Totals],[GASTOS HORA]]</f>
        <v>13894.738536155201</v>
      </c>
      <c r="W838" s="3">
        <f>+D.sign_Data[[#This Row],[COSTO 
DIRECTO ($COP)]]+D.sign_Data[[#This Row],[PRORRATEO GASTOS ($COP)]]</f>
        <v>27842.65162646816</v>
      </c>
      <c r="X838" s="101">
        <v>0.1</v>
      </c>
      <c r="Y838" s="15">
        <f>+D.sign_Data[[#This Row],[COSTOS OPERACIONALES ($COP)]]*D.sign_Data[[#This Row],[DESFASE (%)]]</f>
        <v>2784.265162646816</v>
      </c>
      <c r="Z838" s="101">
        <v>0.2</v>
      </c>
      <c r="AA838" s="15">
        <f>+((D.sign_Data[[#This Row],[COSTOS OPERACIONALES ($COP)]]/(100%-D.sign_Data[[#This Row],[UTILIDAD (%)]])))-D.sign_Data[[#This Row],[COSTOS OPERACIONALES ($COP)]]</f>
        <v>6960.662906617039</v>
      </c>
      <c r="AB838" s="3">
        <f>+D.sign_Data[[#This Row],[COSTOS OPERACIONALES ($COP)]]+D.sign_Data[[#This Row],[DESFASE ($COP)]]+D.sign_Data[[#This Row],[UTILIDAD ($COP)]]</f>
        <v>37587.579695732013</v>
      </c>
      <c r="AC838" s="101">
        <v>0.05</v>
      </c>
      <c r="AD838" s="15">
        <f>+D.sign_Data[[#This Row],[VALOR NETO ($COP)]]/(100%-D.sign_Data[[#This Row],[MARGEN DE NEGOCIACIÓN (%)]])-D.sign_Data[[#This Row],[VALOR NETO ($COP)]]</f>
        <v>1978.2936681964202</v>
      </c>
      <c r="AE838" s="15">
        <f>+(D.sign_Data[[#This Row],[VALOR NETO ($COP)]]+D.sign_Data[[#This Row],[NEGOCIACIÓN ($COP)]])*1%</f>
        <v>395.65873363928432</v>
      </c>
      <c r="AF838" s="15">
        <f>+(D.sign_Data[[#This Row],[VALOR NETO ($COP)]]+D.sign_Data[[#This Row],[NEGOCIACIÓN ($COP)]])*1%</f>
        <v>395.65873363928432</v>
      </c>
      <c r="AG838" s="3">
        <f>+D.sign_Data[[#This Row],[VALOR NETO ($COP)]]+D.sign_Data[[#This Row],[NEGOCIACIÓN ($COP)]]+D.sign_Data[[#This Row],[ICA ($COP)]]+D.sign_Data[[#This Row],[4 * 1000 ($COP)]]</f>
        <v>40357.190831207001</v>
      </c>
    </row>
    <row r="839" spans="1:33" ht="60" hidden="1" customHeight="1" x14ac:dyDescent="0.25">
      <c r="A839" s="14"/>
      <c r="B839" s="87" t="s">
        <v>418</v>
      </c>
      <c r="C839" s="182" t="s">
        <v>927</v>
      </c>
      <c r="D839" s="189" t="str">
        <f>VLOOKUP(D.sign_Data[[#This Row],[CÓDIGO]],Descripciones[[CÓDIGO]:[NOMBRE DE SERVICIO]],3,FALSE)</f>
        <v>D7. Select</v>
      </c>
      <c r="E839" s="87" t="s">
        <v>497</v>
      </c>
      <c r="F839" s="88" t="s">
        <v>922</v>
      </c>
      <c r="G839" s="88" t="s">
        <v>536</v>
      </c>
      <c r="H839" s="87" t="s">
        <v>500</v>
      </c>
      <c r="I839" s="89">
        <v>1</v>
      </c>
      <c r="J839" s="88" t="s">
        <v>734</v>
      </c>
      <c r="K839" s="102"/>
      <c r="L839" s="88" t="s">
        <v>741</v>
      </c>
      <c r="M839" s="89" t="s">
        <v>381</v>
      </c>
      <c r="N839" s="90">
        <v>2</v>
      </c>
      <c r="O839" s="27">
        <f>IFERROR(+VLOOKUP(M839,D.sign_Lista_Data[[RESPONSABLE]:[SOFTWARE 
VALOR HORA]],3,FALSE),"0")</f>
        <v>20263.424518743668</v>
      </c>
      <c r="P839" s="3">
        <f t="shared" si="30"/>
        <v>40526.849037487336</v>
      </c>
      <c r="Q839" s="11">
        <f>IFERROR(+VLOOKUP(M839,D.sign_Lista_Data[[RESPONSABLE]:[SOFTWARE 
VALOR HORA]],5,FALSE)*D.sign_Data[[#This Row],[TIEMPO (HORAS)]],0)</f>
        <v>8443.0935494765272</v>
      </c>
      <c r="R839" s="11">
        <f>IFERROR(+VLOOKUP(M839,D.sign_Lista_Data[[RESPONSABLE]:[SOFTWARE 
VALOR HORA]],8,FALSE)*D.sign_Data[[#This Row],[TIEMPO (HORAS)]],0)</f>
        <v>6821.7097742879669</v>
      </c>
      <c r="S839" s="99"/>
      <c r="T839" s="99"/>
      <c r="U839" s="3">
        <f t="shared" si="31"/>
        <v>55791.652361251836</v>
      </c>
      <c r="V839" s="100">
        <f>D.sign_Data[[#This Row],[TIEMPO (HORAS)]]*Gastos_Operativos[[#Totals],[GASTOS HORA]]</f>
        <v>55578.954144620802</v>
      </c>
      <c r="W839" s="3">
        <f>+D.sign_Data[[#This Row],[COSTO 
DIRECTO ($COP)]]+D.sign_Data[[#This Row],[PRORRATEO GASTOS ($COP)]]</f>
        <v>111370.60650587264</v>
      </c>
      <c r="X839" s="101">
        <v>0.1</v>
      </c>
      <c r="Y839" s="15">
        <f>+D.sign_Data[[#This Row],[COSTOS OPERACIONALES ($COP)]]*D.sign_Data[[#This Row],[DESFASE (%)]]</f>
        <v>11137.060650587264</v>
      </c>
      <c r="Z839" s="101">
        <v>0.2</v>
      </c>
      <c r="AA839" s="15">
        <f>+((D.sign_Data[[#This Row],[COSTOS OPERACIONALES ($COP)]]/(100%-D.sign_Data[[#This Row],[UTILIDAD (%)]])))-D.sign_Data[[#This Row],[COSTOS OPERACIONALES ($COP)]]</f>
        <v>27842.651626468156</v>
      </c>
      <c r="AB839" s="3">
        <f>+D.sign_Data[[#This Row],[COSTOS OPERACIONALES ($COP)]]+D.sign_Data[[#This Row],[DESFASE ($COP)]]+D.sign_Data[[#This Row],[UTILIDAD ($COP)]]</f>
        <v>150350.31878292805</v>
      </c>
      <c r="AC839" s="101">
        <v>0.05</v>
      </c>
      <c r="AD839" s="15">
        <f>+D.sign_Data[[#This Row],[VALOR NETO ($COP)]]/(100%-D.sign_Data[[#This Row],[MARGEN DE NEGOCIACIÓN (%)]])-D.sign_Data[[#This Row],[VALOR NETO ($COP)]]</f>
        <v>7913.1746727856807</v>
      </c>
      <c r="AE839" s="15">
        <f>+(D.sign_Data[[#This Row],[VALOR NETO ($COP)]]+D.sign_Data[[#This Row],[NEGOCIACIÓN ($COP)]])*1%</f>
        <v>1582.6349345571373</v>
      </c>
      <c r="AF839" s="15">
        <f>+(D.sign_Data[[#This Row],[VALOR NETO ($COP)]]+D.sign_Data[[#This Row],[NEGOCIACIÓN ($COP)]])*1%</f>
        <v>1582.6349345571373</v>
      </c>
      <c r="AG839" s="3">
        <f>+D.sign_Data[[#This Row],[VALOR NETO ($COP)]]+D.sign_Data[[#This Row],[NEGOCIACIÓN ($COP)]]+D.sign_Data[[#This Row],[ICA ($COP)]]+D.sign_Data[[#This Row],[4 * 1000 ($COP)]]</f>
        <v>161428.763324828</v>
      </c>
    </row>
    <row r="840" spans="1:33" ht="60" hidden="1" customHeight="1" x14ac:dyDescent="0.25">
      <c r="A840" s="14"/>
      <c r="B840" s="87" t="s">
        <v>418</v>
      </c>
      <c r="C840" s="182" t="s">
        <v>927</v>
      </c>
      <c r="D840" s="189" t="str">
        <f>VLOOKUP(D.sign_Data[[#This Row],[CÓDIGO]],Descripciones[[CÓDIGO]:[NOMBRE DE SERVICIO]],3,FALSE)</f>
        <v>D7. Select</v>
      </c>
      <c r="E840" s="87" t="s">
        <v>497</v>
      </c>
      <c r="F840" s="88" t="s">
        <v>922</v>
      </c>
      <c r="G840" s="88" t="s">
        <v>536</v>
      </c>
      <c r="H840" s="87" t="s">
        <v>500</v>
      </c>
      <c r="I840" s="89">
        <v>1</v>
      </c>
      <c r="J840" s="88" t="s">
        <v>734</v>
      </c>
      <c r="K840" s="102"/>
      <c r="L840" s="88" t="s">
        <v>742</v>
      </c>
      <c r="M840" s="89" t="s">
        <v>381</v>
      </c>
      <c r="N840" s="90">
        <v>1</v>
      </c>
      <c r="O840" s="27">
        <f>IFERROR(+VLOOKUP(M840,D.sign_Lista_Data[[RESPONSABLE]:[SOFTWARE 
VALOR HORA]],3,FALSE),"0")</f>
        <v>20263.424518743668</v>
      </c>
      <c r="P840" s="3">
        <f t="shared" si="30"/>
        <v>20263.424518743668</v>
      </c>
      <c r="Q840" s="11">
        <f>IFERROR(+VLOOKUP(M840,D.sign_Lista_Data[[RESPONSABLE]:[SOFTWARE 
VALOR HORA]],5,FALSE)*D.sign_Data[[#This Row],[TIEMPO (HORAS)]],0)</f>
        <v>4221.5467747382636</v>
      </c>
      <c r="R840" s="11">
        <f>IFERROR(+VLOOKUP(M840,D.sign_Lista_Data[[RESPONSABLE]:[SOFTWARE 
VALOR HORA]],8,FALSE)*D.sign_Data[[#This Row],[TIEMPO (HORAS)]],0)</f>
        <v>3410.8548871439834</v>
      </c>
      <c r="S840" s="99"/>
      <c r="T840" s="99"/>
      <c r="U840" s="3">
        <f t="shared" si="31"/>
        <v>27895.826180625918</v>
      </c>
      <c r="V840" s="100">
        <f>D.sign_Data[[#This Row],[TIEMPO (HORAS)]]*Gastos_Operativos[[#Totals],[GASTOS HORA]]</f>
        <v>27789.477072310401</v>
      </c>
      <c r="W840" s="3">
        <f>+D.sign_Data[[#This Row],[COSTO 
DIRECTO ($COP)]]+D.sign_Data[[#This Row],[PRORRATEO GASTOS ($COP)]]</f>
        <v>55685.303252936319</v>
      </c>
      <c r="X840" s="101">
        <v>0.1</v>
      </c>
      <c r="Y840" s="15">
        <f>+D.sign_Data[[#This Row],[COSTOS OPERACIONALES ($COP)]]*D.sign_Data[[#This Row],[DESFASE (%)]]</f>
        <v>5568.5303252936319</v>
      </c>
      <c r="Z840" s="101">
        <v>0.2</v>
      </c>
      <c r="AA840" s="15">
        <f>+((D.sign_Data[[#This Row],[COSTOS OPERACIONALES ($COP)]]/(100%-D.sign_Data[[#This Row],[UTILIDAD (%)]])))-D.sign_Data[[#This Row],[COSTOS OPERACIONALES ($COP)]]</f>
        <v>13921.325813234078</v>
      </c>
      <c r="AB840" s="3">
        <f>+D.sign_Data[[#This Row],[COSTOS OPERACIONALES ($COP)]]+D.sign_Data[[#This Row],[DESFASE ($COP)]]+D.sign_Data[[#This Row],[UTILIDAD ($COP)]]</f>
        <v>75175.159391464025</v>
      </c>
      <c r="AC840" s="101">
        <v>0.05</v>
      </c>
      <c r="AD840" s="15">
        <f>+D.sign_Data[[#This Row],[VALOR NETO ($COP)]]/(100%-D.sign_Data[[#This Row],[MARGEN DE NEGOCIACIÓN (%)]])-D.sign_Data[[#This Row],[VALOR NETO ($COP)]]</f>
        <v>3956.5873363928404</v>
      </c>
      <c r="AE840" s="15">
        <f>+(D.sign_Data[[#This Row],[VALOR NETO ($COP)]]+D.sign_Data[[#This Row],[NEGOCIACIÓN ($COP)]])*1%</f>
        <v>791.31746727856864</v>
      </c>
      <c r="AF840" s="15">
        <f>+(D.sign_Data[[#This Row],[VALOR NETO ($COP)]]+D.sign_Data[[#This Row],[NEGOCIACIÓN ($COP)]])*1%</f>
        <v>791.31746727856864</v>
      </c>
      <c r="AG840" s="3">
        <f>+D.sign_Data[[#This Row],[VALOR NETO ($COP)]]+D.sign_Data[[#This Row],[NEGOCIACIÓN ($COP)]]+D.sign_Data[[#This Row],[ICA ($COP)]]+D.sign_Data[[#This Row],[4 * 1000 ($COP)]]</f>
        <v>80714.381662414002</v>
      </c>
    </row>
    <row r="841" spans="1:33" ht="60" hidden="1" customHeight="1" x14ac:dyDescent="0.25">
      <c r="A841" s="14"/>
      <c r="B841" s="87" t="s">
        <v>418</v>
      </c>
      <c r="C841" s="182" t="s">
        <v>927</v>
      </c>
      <c r="D841" s="189" t="str">
        <f>VLOOKUP(D.sign_Data[[#This Row],[CÓDIGO]],Descripciones[[CÓDIGO]:[NOMBRE DE SERVICIO]],3,FALSE)</f>
        <v>D7. Select</v>
      </c>
      <c r="E841" s="87" t="s">
        <v>497</v>
      </c>
      <c r="F841" s="88" t="s">
        <v>922</v>
      </c>
      <c r="G841" s="88" t="s">
        <v>536</v>
      </c>
      <c r="H841" s="87" t="s">
        <v>500</v>
      </c>
      <c r="I841" s="89">
        <v>1</v>
      </c>
      <c r="J841" s="88" t="s">
        <v>734</v>
      </c>
      <c r="K841" s="102"/>
      <c r="L841" s="88" t="s">
        <v>743</v>
      </c>
      <c r="M841" s="89" t="s">
        <v>381</v>
      </c>
      <c r="N841" s="90">
        <v>0.25</v>
      </c>
      <c r="O841" s="27">
        <f>IFERROR(+VLOOKUP(M841,D.sign_Lista_Data[[RESPONSABLE]:[SOFTWARE 
VALOR HORA]],3,FALSE),"0")</f>
        <v>20263.424518743668</v>
      </c>
      <c r="P841" s="3">
        <f t="shared" si="30"/>
        <v>5065.856129685917</v>
      </c>
      <c r="Q841" s="11">
        <f>IFERROR(+VLOOKUP(M841,D.sign_Lista_Data[[RESPONSABLE]:[SOFTWARE 
VALOR HORA]],5,FALSE)*D.sign_Data[[#This Row],[TIEMPO (HORAS)]],0)</f>
        <v>1055.3866936845659</v>
      </c>
      <c r="R841" s="11">
        <f>IFERROR(+VLOOKUP(M841,D.sign_Lista_Data[[RESPONSABLE]:[SOFTWARE 
VALOR HORA]],8,FALSE)*D.sign_Data[[#This Row],[TIEMPO (HORAS)]],0)</f>
        <v>852.71372178599586</v>
      </c>
      <c r="S841" s="99"/>
      <c r="T841" s="99"/>
      <c r="U841" s="3">
        <f t="shared" si="31"/>
        <v>6973.9565451564795</v>
      </c>
      <c r="V841" s="100">
        <f>D.sign_Data[[#This Row],[TIEMPO (HORAS)]]*Gastos_Operativos[[#Totals],[GASTOS HORA]]</f>
        <v>6947.3692680776003</v>
      </c>
      <c r="W841" s="3">
        <f>+D.sign_Data[[#This Row],[COSTO 
DIRECTO ($COP)]]+D.sign_Data[[#This Row],[PRORRATEO GASTOS ($COP)]]</f>
        <v>13921.32581323408</v>
      </c>
      <c r="X841" s="101">
        <v>0.1</v>
      </c>
      <c r="Y841" s="15">
        <f>+D.sign_Data[[#This Row],[COSTOS OPERACIONALES ($COP)]]*D.sign_Data[[#This Row],[DESFASE (%)]]</f>
        <v>1392.132581323408</v>
      </c>
      <c r="Z841" s="101">
        <v>0.2</v>
      </c>
      <c r="AA841" s="15">
        <f>+((D.sign_Data[[#This Row],[COSTOS OPERACIONALES ($COP)]]/(100%-D.sign_Data[[#This Row],[UTILIDAD (%)]])))-D.sign_Data[[#This Row],[COSTOS OPERACIONALES ($COP)]]</f>
        <v>3480.3314533085195</v>
      </c>
      <c r="AB841" s="3">
        <f>+D.sign_Data[[#This Row],[COSTOS OPERACIONALES ($COP)]]+D.sign_Data[[#This Row],[DESFASE ($COP)]]+D.sign_Data[[#This Row],[UTILIDAD ($COP)]]</f>
        <v>18793.789847866006</v>
      </c>
      <c r="AC841" s="101">
        <v>0.05</v>
      </c>
      <c r="AD841" s="15">
        <f>+D.sign_Data[[#This Row],[VALOR NETO ($COP)]]/(100%-D.sign_Data[[#This Row],[MARGEN DE NEGOCIACIÓN (%)]])-D.sign_Data[[#This Row],[VALOR NETO ($COP)]]</f>
        <v>989.14683409821009</v>
      </c>
      <c r="AE841" s="15">
        <f>+(D.sign_Data[[#This Row],[VALOR NETO ($COP)]]+D.sign_Data[[#This Row],[NEGOCIACIÓN ($COP)]])*1%</f>
        <v>197.82936681964216</v>
      </c>
      <c r="AF841" s="15">
        <f>+(D.sign_Data[[#This Row],[VALOR NETO ($COP)]]+D.sign_Data[[#This Row],[NEGOCIACIÓN ($COP)]])*1%</f>
        <v>197.82936681964216</v>
      </c>
      <c r="AG841" s="3">
        <f>+D.sign_Data[[#This Row],[VALOR NETO ($COP)]]+D.sign_Data[[#This Row],[NEGOCIACIÓN ($COP)]]+D.sign_Data[[#This Row],[ICA ($COP)]]+D.sign_Data[[#This Row],[4 * 1000 ($COP)]]</f>
        <v>20178.5954156035</v>
      </c>
    </row>
    <row r="842" spans="1:33" ht="60" hidden="1" customHeight="1" x14ac:dyDescent="0.25">
      <c r="A842" s="14"/>
      <c r="B842" s="87" t="s">
        <v>418</v>
      </c>
      <c r="C842" s="182" t="s">
        <v>927</v>
      </c>
      <c r="D842" s="189" t="str">
        <f>VLOOKUP(D.sign_Data[[#This Row],[CÓDIGO]],Descripciones[[CÓDIGO]:[NOMBRE DE SERVICIO]],3,FALSE)</f>
        <v>D7. Select</v>
      </c>
      <c r="E842" s="87" t="s">
        <v>497</v>
      </c>
      <c r="F842" s="88" t="s">
        <v>922</v>
      </c>
      <c r="G842" s="88" t="s">
        <v>536</v>
      </c>
      <c r="H842" s="87" t="s">
        <v>500</v>
      </c>
      <c r="I842" s="89">
        <v>1</v>
      </c>
      <c r="J842" s="88" t="s">
        <v>734</v>
      </c>
      <c r="K842" s="102"/>
      <c r="L842" s="88" t="s">
        <v>744</v>
      </c>
      <c r="M842" s="89" t="s">
        <v>381</v>
      </c>
      <c r="N842" s="90">
        <v>4</v>
      </c>
      <c r="O842" s="27">
        <f>IFERROR(+VLOOKUP(M842,D.sign_Lista_Data[[RESPONSABLE]:[SOFTWARE 
VALOR HORA]],3,FALSE),"0")</f>
        <v>20263.424518743668</v>
      </c>
      <c r="P842" s="3">
        <f t="shared" si="30"/>
        <v>81053.698074974673</v>
      </c>
      <c r="Q842" s="11">
        <f>IFERROR(+VLOOKUP(M842,D.sign_Lista_Data[[RESPONSABLE]:[SOFTWARE 
VALOR HORA]],5,FALSE)*D.sign_Data[[#This Row],[TIEMPO (HORAS)]],0)</f>
        <v>16886.187098953054</v>
      </c>
      <c r="R842" s="11">
        <f>IFERROR(+VLOOKUP(M842,D.sign_Lista_Data[[RESPONSABLE]:[SOFTWARE 
VALOR HORA]],8,FALSE)*D.sign_Data[[#This Row],[TIEMPO (HORAS)]],0)</f>
        <v>13643.419548575934</v>
      </c>
      <c r="S842" s="99"/>
      <c r="T842" s="99"/>
      <c r="U842" s="3">
        <f t="shared" si="31"/>
        <v>111583.30472250367</v>
      </c>
      <c r="V842" s="100">
        <f>D.sign_Data[[#This Row],[TIEMPO (HORAS)]]*Gastos_Operativos[[#Totals],[GASTOS HORA]]</f>
        <v>111157.9082892416</v>
      </c>
      <c r="W842" s="3">
        <f>+D.sign_Data[[#This Row],[COSTO 
DIRECTO ($COP)]]+D.sign_Data[[#This Row],[PRORRATEO GASTOS ($COP)]]</f>
        <v>222741.21301174528</v>
      </c>
      <c r="X842" s="101">
        <v>0.1</v>
      </c>
      <c r="Y842" s="15">
        <f>+D.sign_Data[[#This Row],[COSTOS OPERACIONALES ($COP)]]*D.sign_Data[[#This Row],[DESFASE (%)]]</f>
        <v>22274.121301174528</v>
      </c>
      <c r="Z842" s="101">
        <v>0.2</v>
      </c>
      <c r="AA842" s="15">
        <f>+((D.sign_Data[[#This Row],[COSTOS OPERACIONALES ($COP)]]/(100%-D.sign_Data[[#This Row],[UTILIDAD (%)]])))-D.sign_Data[[#This Row],[COSTOS OPERACIONALES ($COP)]]</f>
        <v>55685.303252936312</v>
      </c>
      <c r="AB842" s="3">
        <f>+D.sign_Data[[#This Row],[COSTOS OPERACIONALES ($COP)]]+D.sign_Data[[#This Row],[DESFASE ($COP)]]+D.sign_Data[[#This Row],[UTILIDAD ($COP)]]</f>
        <v>300700.6375658561</v>
      </c>
      <c r="AC842" s="101">
        <v>0.05</v>
      </c>
      <c r="AD842" s="15">
        <f>+D.sign_Data[[#This Row],[VALOR NETO ($COP)]]/(100%-D.sign_Data[[#This Row],[MARGEN DE NEGOCIACIÓN (%)]])-D.sign_Data[[#This Row],[VALOR NETO ($COP)]]</f>
        <v>15826.349345571361</v>
      </c>
      <c r="AE842" s="15">
        <f>+(D.sign_Data[[#This Row],[VALOR NETO ($COP)]]+D.sign_Data[[#This Row],[NEGOCIACIÓN ($COP)]])*1%</f>
        <v>3165.2698691142746</v>
      </c>
      <c r="AF842" s="15">
        <f>+(D.sign_Data[[#This Row],[VALOR NETO ($COP)]]+D.sign_Data[[#This Row],[NEGOCIACIÓN ($COP)]])*1%</f>
        <v>3165.2698691142746</v>
      </c>
      <c r="AG842" s="3">
        <f>+D.sign_Data[[#This Row],[VALOR NETO ($COP)]]+D.sign_Data[[#This Row],[NEGOCIACIÓN ($COP)]]+D.sign_Data[[#This Row],[ICA ($COP)]]+D.sign_Data[[#This Row],[4 * 1000 ($COP)]]</f>
        <v>322857.52664965601</v>
      </c>
    </row>
    <row r="843" spans="1:33" ht="60" hidden="1" customHeight="1" x14ac:dyDescent="0.25">
      <c r="A843" s="14"/>
      <c r="B843" s="87" t="s">
        <v>418</v>
      </c>
      <c r="C843" s="182" t="s">
        <v>927</v>
      </c>
      <c r="D843" s="189" t="str">
        <f>VLOOKUP(D.sign_Data[[#This Row],[CÓDIGO]],Descripciones[[CÓDIGO]:[NOMBRE DE SERVICIO]],3,FALSE)</f>
        <v>D7. Select</v>
      </c>
      <c r="E843" s="87" t="s">
        <v>497</v>
      </c>
      <c r="F843" s="88" t="s">
        <v>922</v>
      </c>
      <c r="G843" s="88" t="s">
        <v>536</v>
      </c>
      <c r="H843" s="87" t="s">
        <v>500</v>
      </c>
      <c r="I843" s="89">
        <v>1</v>
      </c>
      <c r="J843" s="88" t="s">
        <v>745</v>
      </c>
      <c r="K843" s="102"/>
      <c r="L843" s="88" t="s">
        <v>746</v>
      </c>
      <c r="M843" s="89" t="s">
        <v>381</v>
      </c>
      <c r="N843" s="90">
        <v>4</v>
      </c>
      <c r="O843" s="27">
        <f>IFERROR(+VLOOKUP(M843,D.sign_Lista_Data[[RESPONSABLE]:[SOFTWARE 
VALOR HORA]],3,FALSE),"0")</f>
        <v>20263.424518743668</v>
      </c>
      <c r="P843" s="3">
        <f t="shared" si="30"/>
        <v>81053.698074974673</v>
      </c>
      <c r="Q843" s="11">
        <f>IFERROR(+VLOOKUP(M843,D.sign_Lista_Data[[RESPONSABLE]:[SOFTWARE 
VALOR HORA]],5,FALSE)*D.sign_Data[[#This Row],[TIEMPO (HORAS)]],0)</f>
        <v>16886.187098953054</v>
      </c>
      <c r="R843" s="11">
        <f>IFERROR(+VLOOKUP(M843,D.sign_Lista_Data[[RESPONSABLE]:[SOFTWARE 
VALOR HORA]],8,FALSE)*D.sign_Data[[#This Row],[TIEMPO (HORAS)]],0)</f>
        <v>13643.419548575934</v>
      </c>
      <c r="S843" s="99"/>
      <c r="T843" s="99"/>
      <c r="U843" s="3">
        <f t="shared" si="31"/>
        <v>111583.30472250367</v>
      </c>
      <c r="V843" s="100">
        <f>D.sign_Data[[#This Row],[TIEMPO (HORAS)]]*Gastos_Operativos[[#Totals],[GASTOS HORA]]</f>
        <v>111157.9082892416</v>
      </c>
      <c r="W843" s="3">
        <f>+D.sign_Data[[#This Row],[COSTO 
DIRECTO ($COP)]]+D.sign_Data[[#This Row],[PRORRATEO GASTOS ($COP)]]</f>
        <v>222741.21301174528</v>
      </c>
      <c r="X843" s="101">
        <v>0.1</v>
      </c>
      <c r="Y843" s="15">
        <f>+D.sign_Data[[#This Row],[COSTOS OPERACIONALES ($COP)]]*D.sign_Data[[#This Row],[DESFASE (%)]]</f>
        <v>22274.121301174528</v>
      </c>
      <c r="Z843" s="101">
        <v>0.2</v>
      </c>
      <c r="AA843" s="15">
        <f>+((D.sign_Data[[#This Row],[COSTOS OPERACIONALES ($COP)]]/(100%-D.sign_Data[[#This Row],[UTILIDAD (%)]])))-D.sign_Data[[#This Row],[COSTOS OPERACIONALES ($COP)]]</f>
        <v>55685.303252936312</v>
      </c>
      <c r="AB843" s="3">
        <f>+D.sign_Data[[#This Row],[COSTOS OPERACIONALES ($COP)]]+D.sign_Data[[#This Row],[DESFASE ($COP)]]+D.sign_Data[[#This Row],[UTILIDAD ($COP)]]</f>
        <v>300700.6375658561</v>
      </c>
      <c r="AC843" s="101">
        <v>0.05</v>
      </c>
      <c r="AD843" s="15">
        <f>+D.sign_Data[[#This Row],[VALOR NETO ($COP)]]/(100%-D.sign_Data[[#This Row],[MARGEN DE NEGOCIACIÓN (%)]])-D.sign_Data[[#This Row],[VALOR NETO ($COP)]]</f>
        <v>15826.349345571361</v>
      </c>
      <c r="AE843" s="15">
        <f>+(D.sign_Data[[#This Row],[VALOR NETO ($COP)]]+D.sign_Data[[#This Row],[NEGOCIACIÓN ($COP)]])*1%</f>
        <v>3165.2698691142746</v>
      </c>
      <c r="AF843" s="15">
        <f>+(D.sign_Data[[#This Row],[VALOR NETO ($COP)]]+D.sign_Data[[#This Row],[NEGOCIACIÓN ($COP)]])*1%</f>
        <v>3165.2698691142746</v>
      </c>
      <c r="AG843" s="3">
        <f>+D.sign_Data[[#This Row],[VALOR NETO ($COP)]]+D.sign_Data[[#This Row],[NEGOCIACIÓN ($COP)]]+D.sign_Data[[#This Row],[ICA ($COP)]]+D.sign_Data[[#This Row],[4 * 1000 ($COP)]]</f>
        <v>322857.52664965601</v>
      </c>
    </row>
    <row r="844" spans="1:33" ht="60" hidden="1" customHeight="1" x14ac:dyDescent="0.25">
      <c r="A844" s="14"/>
      <c r="B844" s="87" t="s">
        <v>418</v>
      </c>
      <c r="C844" s="182" t="s">
        <v>927</v>
      </c>
      <c r="D844" s="189" t="str">
        <f>VLOOKUP(D.sign_Data[[#This Row],[CÓDIGO]],Descripciones[[CÓDIGO]:[NOMBRE DE SERVICIO]],3,FALSE)</f>
        <v>D7. Select</v>
      </c>
      <c r="E844" s="87" t="s">
        <v>497</v>
      </c>
      <c r="F844" s="88" t="s">
        <v>922</v>
      </c>
      <c r="G844" s="88" t="s">
        <v>536</v>
      </c>
      <c r="H844" s="87" t="s">
        <v>500</v>
      </c>
      <c r="I844" s="89">
        <v>1</v>
      </c>
      <c r="J844" s="88" t="s">
        <v>747</v>
      </c>
      <c r="K844" s="102"/>
      <c r="L844" s="88" t="s">
        <v>928</v>
      </c>
      <c r="M844" s="89" t="s">
        <v>381</v>
      </c>
      <c r="N844" s="90">
        <v>0.5</v>
      </c>
      <c r="O844" s="27">
        <f>IFERROR(+VLOOKUP(M844,D.sign_Lista_Data[[RESPONSABLE]:[SOFTWARE 
VALOR HORA]],3,FALSE),"0")</f>
        <v>20263.424518743668</v>
      </c>
      <c r="P844" s="3">
        <f t="shared" si="30"/>
        <v>10131.712259371834</v>
      </c>
      <c r="Q844" s="11">
        <f>IFERROR(+VLOOKUP(M844,D.sign_Lista_Data[[RESPONSABLE]:[SOFTWARE 
VALOR HORA]],5,FALSE)*D.sign_Data[[#This Row],[TIEMPO (HORAS)]],0)</f>
        <v>2110.7733873691318</v>
      </c>
      <c r="R844" s="11">
        <f>IFERROR(+VLOOKUP(M844,D.sign_Lista_Data[[RESPONSABLE]:[SOFTWARE 
VALOR HORA]],8,FALSE)*D.sign_Data[[#This Row],[TIEMPO (HORAS)]],0)</f>
        <v>1705.4274435719917</v>
      </c>
      <c r="S844" s="99"/>
      <c r="T844" s="99"/>
      <c r="U844" s="3">
        <f t="shared" si="31"/>
        <v>13947.913090312959</v>
      </c>
      <c r="V844" s="100">
        <f>D.sign_Data[[#This Row],[TIEMPO (HORAS)]]*Gastos_Operativos[[#Totals],[GASTOS HORA]]</f>
        <v>13894.738536155201</v>
      </c>
      <c r="W844" s="3">
        <f>+D.sign_Data[[#This Row],[COSTO 
DIRECTO ($COP)]]+D.sign_Data[[#This Row],[PRORRATEO GASTOS ($COP)]]</f>
        <v>27842.65162646816</v>
      </c>
      <c r="X844" s="101">
        <v>0.1</v>
      </c>
      <c r="Y844" s="15">
        <f>+D.sign_Data[[#This Row],[COSTOS OPERACIONALES ($COP)]]*D.sign_Data[[#This Row],[DESFASE (%)]]</f>
        <v>2784.265162646816</v>
      </c>
      <c r="Z844" s="101">
        <v>0.2</v>
      </c>
      <c r="AA844" s="15">
        <f>+((D.sign_Data[[#This Row],[COSTOS OPERACIONALES ($COP)]]/(100%-D.sign_Data[[#This Row],[UTILIDAD (%)]])))-D.sign_Data[[#This Row],[COSTOS OPERACIONALES ($COP)]]</f>
        <v>6960.662906617039</v>
      </c>
      <c r="AB844" s="3">
        <f>+D.sign_Data[[#This Row],[COSTOS OPERACIONALES ($COP)]]+D.sign_Data[[#This Row],[DESFASE ($COP)]]+D.sign_Data[[#This Row],[UTILIDAD ($COP)]]</f>
        <v>37587.579695732013</v>
      </c>
      <c r="AC844" s="101">
        <v>0.05</v>
      </c>
      <c r="AD844" s="15">
        <f>+D.sign_Data[[#This Row],[VALOR NETO ($COP)]]/(100%-D.sign_Data[[#This Row],[MARGEN DE NEGOCIACIÓN (%)]])-D.sign_Data[[#This Row],[VALOR NETO ($COP)]]</f>
        <v>1978.2936681964202</v>
      </c>
      <c r="AE844" s="15">
        <f>+(D.sign_Data[[#This Row],[VALOR NETO ($COP)]]+D.sign_Data[[#This Row],[NEGOCIACIÓN ($COP)]])*1%</f>
        <v>395.65873363928432</v>
      </c>
      <c r="AF844" s="15">
        <f>+(D.sign_Data[[#This Row],[VALOR NETO ($COP)]]+D.sign_Data[[#This Row],[NEGOCIACIÓN ($COP)]])*1%</f>
        <v>395.65873363928432</v>
      </c>
      <c r="AG844" s="3">
        <f>+D.sign_Data[[#This Row],[VALOR NETO ($COP)]]+D.sign_Data[[#This Row],[NEGOCIACIÓN ($COP)]]+D.sign_Data[[#This Row],[ICA ($COP)]]+D.sign_Data[[#This Row],[4 * 1000 ($COP)]]</f>
        <v>40357.190831207001</v>
      </c>
    </row>
    <row r="845" spans="1:33" ht="60" hidden="1" customHeight="1" x14ac:dyDescent="0.25">
      <c r="A845" s="14"/>
      <c r="B845" s="87" t="s">
        <v>418</v>
      </c>
      <c r="C845" s="182" t="s">
        <v>927</v>
      </c>
      <c r="D845" s="189" t="str">
        <f>VLOOKUP(D.sign_Data[[#This Row],[CÓDIGO]],Descripciones[[CÓDIGO]:[NOMBRE DE SERVICIO]],3,FALSE)</f>
        <v>D7. Select</v>
      </c>
      <c r="E845" s="87" t="s">
        <v>497</v>
      </c>
      <c r="F845" s="88" t="s">
        <v>922</v>
      </c>
      <c r="G845" s="88" t="s">
        <v>536</v>
      </c>
      <c r="H845" s="87" t="s">
        <v>500</v>
      </c>
      <c r="I845" s="89">
        <v>1</v>
      </c>
      <c r="J845" s="88" t="s">
        <v>747</v>
      </c>
      <c r="K845" s="102"/>
      <c r="L845" s="88" t="s">
        <v>748</v>
      </c>
      <c r="M845" s="89" t="s">
        <v>381</v>
      </c>
      <c r="N845" s="90">
        <v>0.25</v>
      </c>
      <c r="O845" s="27">
        <f>IFERROR(+VLOOKUP(M845,D.sign_Lista_Data[[RESPONSABLE]:[SOFTWARE 
VALOR HORA]],3,FALSE),"0")</f>
        <v>20263.424518743668</v>
      </c>
      <c r="P845" s="3">
        <f t="shared" si="30"/>
        <v>5065.856129685917</v>
      </c>
      <c r="Q845" s="11">
        <f>IFERROR(+VLOOKUP(M845,D.sign_Lista_Data[[RESPONSABLE]:[SOFTWARE 
VALOR HORA]],5,FALSE)*D.sign_Data[[#This Row],[TIEMPO (HORAS)]],0)</f>
        <v>1055.3866936845659</v>
      </c>
      <c r="R845" s="11">
        <f>IFERROR(+VLOOKUP(M845,D.sign_Lista_Data[[RESPONSABLE]:[SOFTWARE 
VALOR HORA]],8,FALSE)*D.sign_Data[[#This Row],[TIEMPO (HORAS)]],0)</f>
        <v>852.71372178599586</v>
      </c>
      <c r="S845" s="99"/>
      <c r="T845" s="99"/>
      <c r="U845" s="3">
        <f t="shared" si="31"/>
        <v>6973.9565451564795</v>
      </c>
      <c r="V845" s="100">
        <f>D.sign_Data[[#This Row],[TIEMPO (HORAS)]]*Gastos_Operativos[[#Totals],[GASTOS HORA]]</f>
        <v>6947.3692680776003</v>
      </c>
      <c r="W845" s="3">
        <f>+D.sign_Data[[#This Row],[COSTO 
DIRECTO ($COP)]]+D.sign_Data[[#This Row],[PRORRATEO GASTOS ($COP)]]</f>
        <v>13921.32581323408</v>
      </c>
      <c r="X845" s="101">
        <v>0.1</v>
      </c>
      <c r="Y845" s="15">
        <f>+D.sign_Data[[#This Row],[COSTOS OPERACIONALES ($COP)]]*D.sign_Data[[#This Row],[DESFASE (%)]]</f>
        <v>1392.132581323408</v>
      </c>
      <c r="Z845" s="101">
        <v>0.2</v>
      </c>
      <c r="AA845" s="15">
        <f>+((D.sign_Data[[#This Row],[COSTOS OPERACIONALES ($COP)]]/(100%-D.sign_Data[[#This Row],[UTILIDAD (%)]])))-D.sign_Data[[#This Row],[COSTOS OPERACIONALES ($COP)]]</f>
        <v>3480.3314533085195</v>
      </c>
      <c r="AB845" s="3">
        <f>+D.sign_Data[[#This Row],[COSTOS OPERACIONALES ($COP)]]+D.sign_Data[[#This Row],[DESFASE ($COP)]]+D.sign_Data[[#This Row],[UTILIDAD ($COP)]]</f>
        <v>18793.789847866006</v>
      </c>
      <c r="AC845" s="101">
        <v>0.05</v>
      </c>
      <c r="AD845" s="15">
        <f>+D.sign_Data[[#This Row],[VALOR NETO ($COP)]]/(100%-D.sign_Data[[#This Row],[MARGEN DE NEGOCIACIÓN (%)]])-D.sign_Data[[#This Row],[VALOR NETO ($COP)]]</f>
        <v>989.14683409821009</v>
      </c>
      <c r="AE845" s="15">
        <f>+(D.sign_Data[[#This Row],[VALOR NETO ($COP)]]+D.sign_Data[[#This Row],[NEGOCIACIÓN ($COP)]])*1%</f>
        <v>197.82936681964216</v>
      </c>
      <c r="AF845" s="15">
        <f>+(D.sign_Data[[#This Row],[VALOR NETO ($COP)]]+D.sign_Data[[#This Row],[NEGOCIACIÓN ($COP)]])*1%</f>
        <v>197.82936681964216</v>
      </c>
      <c r="AG845" s="3">
        <f>+D.sign_Data[[#This Row],[VALOR NETO ($COP)]]+D.sign_Data[[#This Row],[NEGOCIACIÓN ($COP)]]+D.sign_Data[[#This Row],[ICA ($COP)]]+D.sign_Data[[#This Row],[4 * 1000 ($COP)]]</f>
        <v>20178.5954156035</v>
      </c>
    </row>
    <row r="846" spans="1:33" ht="60" hidden="1" customHeight="1" x14ac:dyDescent="0.25">
      <c r="A846" s="14"/>
      <c r="B846" s="87" t="s">
        <v>418</v>
      </c>
      <c r="C846" s="182" t="s">
        <v>927</v>
      </c>
      <c r="D846" s="189" t="str">
        <f>VLOOKUP(D.sign_Data[[#This Row],[CÓDIGO]],Descripciones[[CÓDIGO]:[NOMBRE DE SERVICIO]],3,FALSE)</f>
        <v>D7. Select</v>
      </c>
      <c r="E846" s="87" t="s">
        <v>497</v>
      </c>
      <c r="F846" s="88" t="s">
        <v>922</v>
      </c>
      <c r="G846" s="88" t="s">
        <v>536</v>
      </c>
      <c r="H846" s="87" t="s">
        <v>500</v>
      </c>
      <c r="I846" s="89">
        <v>1</v>
      </c>
      <c r="J846" s="88" t="s">
        <v>747</v>
      </c>
      <c r="K846" s="102"/>
      <c r="L846" s="88" t="s">
        <v>749</v>
      </c>
      <c r="M846" s="89" t="s">
        <v>381</v>
      </c>
      <c r="N846" s="90">
        <v>0.5</v>
      </c>
      <c r="O846" s="27">
        <f>IFERROR(+VLOOKUP(M846,D.sign_Lista_Data[[RESPONSABLE]:[SOFTWARE 
VALOR HORA]],3,FALSE),"0")</f>
        <v>20263.424518743668</v>
      </c>
      <c r="P846" s="3">
        <f t="shared" si="30"/>
        <v>10131.712259371834</v>
      </c>
      <c r="Q846" s="11">
        <f>IFERROR(+VLOOKUP(M846,D.sign_Lista_Data[[RESPONSABLE]:[SOFTWARE 
VALOR HORA]],5,FALSE)*D.sign_Data[[#This Row],[TIEMPO (HORAS)]],0)</f>
        <v>2110.7733873691318</v>
      </c>
      <c r="R846" s="11">
        <f>IFERROR(+VLOOKUP(M846,D.sign_Lista_Data[[RESPONSABLE]:[SOFTWARE 
VALOR HORA]],8,FALSE)*D.sign_Data[[#This Row],[TIEMPO (HORAS)]],0)</f>
        <v>1705.4274435719917</v>
      </c>
      <c r="S846" s="99"/>
      <c r="T846" s="99"/>
      <c r="U846" s="3">
        <f t="shared" si="31"/>
        <v>13947.913090312959</v>
      </c>
      <c r="V846" s="100">
        <f>D.sign_Data[[#This Row],[TIEMPO (HORAS)]]*Gastos_Operativos[[#Totals],[GASTOS HORA]]</f>
        <v>13894.738536155201</v>
      </c>
      <c r="W846" s="3">
        <f>+D.sign_Data[[#This Row],[COSTO 
DIRECTO ($COP)]]+D.sign_Data[[#This Row],[PRORRATEO GASTOS ($COP)]]</f>
        <v>27842.65162646816</v>
      </c>
      <c r="X846" s="101">
        <v>0.1</v>
      </c>
      <c r="Y846" s="15">
        <f>+D.sign_Data[[#This Row],[COSTOS OPERACIONALES ($COP)]]*D.sign_Data[[#This Row],[DESFASE (%)]]</f>
        <v>2784.265162646816</v>
      </c>
      <c r="Z846" s="101">
        <v>0.2</v>
      </c>
      <c r="AA846" s="15">
        <f>+((D.sign_Data[[#This Row],[COSTOS OPERACIONALES ($COP)]]/(100%-D.sign_Data[[#This Row],[UTILIDAD (%)]])))-D.sign_Data[[#This Row],[COSTOS OPERACIONALES ($COP)]]</f>
        <v>6960.662906617039</v>
      </c>
      <c r="AB846" s="3">
        <f>+D.sign_Data[[#This Row],[COSTOS OPERACIONALES ($COP)]]+D.sign_Data[[#This Row],[DESFASE ($COP)]]+D.sign_Data[[#This Row],[UTILIDAD ($COP)]]</f>
        <v>37587.579695732013</v>
      </c>
      <c r="AC846" s="101">
        <v>0.05</v>
      </c>
      <c r="AD846" s="15">
        <f>+D.sign_Data[[#This Row],[VALOR NETO ($COP)]]/(100%-D.sign_Data[[#This Row],[MARGEN DE NEGOCIACIÓN (%)]])-D.sign_Data[[#This Row],[VALOR NETO ($COP)]]</f>
        <v>1978.2936681964202</v>
      </c>
      <c r="AE846" s="15">
        <f>+(D.sign_Data[[#This Row],[VALOR NETO ($COP)]]+D.sign_Data[[#This Row],[NEGOCIACIÓN ($COP)]])*1%</f>
        <v>395.65873363928432</v>
      </c>
      <c r="AF846" s="15">
        <f>+(D.sign_Data[[#This Row],[VALOR NETO ($COP)]]+D.sign_Data[[#This Row],[NEGOCIACIÓN ($COP)]])*1%</f>
        <v>395.65873363928432</v>
      </c>
      <c r="AG846" s="3">
        <f>+D.sign_Data[[#This Row],[VALOR NETO ($COP)]]+D.sign_Data[[#This Row],[NEGOCIACIÓN ($COP)]]+D.sign_Data[[#This Row],[ICA ($COP)]]+D.sign_Data[[#This Row],[4 * 1000 ($COP)]]</f>
        <v>40357.190831207001</v>
      </c>
    </row>
    <row r="847" spans="1:33" ht="60" hidden="1" customHeight="1" x14ac:dyDescent="0.25">
      <c r="A847" s="14"/>
      <c r="B847" s="87" t="s">
        <v>418</v>
      </c>
      <c r="C847" s="182" t="s">
        <v>927</v>
      </c>
      <c r="D847" s="189" t="str">
        <f>VLOOKUP(D.sign_Data[[#This Row],[CÓDIGO]],Descripciones[[CÓDIGO]:[NOMBRE DE SERVICIO]],3,FALSE)</f>
        <v>D7. Select</v>
      </c>
      <c r="E847" s="87" t="s">
        <v>497</v>
      </c>
      <c r="F847" s="88" t="s">
        <v>922</v>
      </c>
      <c r="G847" s="88" t="s">
        <v>536</v>
      </c>
      <c r="H847" s="87" t="s">
        <v>500</v>
      </c>
      <c r="I847" s="89">
        <v>1</v>
      </c>
      <c r="J847" s="88" t="s">
        <v>747</v>
      </c>
      <c r="K847" s="102"/>
      <c r="L847" s="88" t="s">
        <v>750</v>
      </c>
      <c r="M847" s="89" t="s">
        <v>381</v>
      </c>
      <c r="N847" s="90">
        <v>0.5</v>
      </c>
      <c r="O847" s="27">
        <f>IFERROR(+VLOOKUP(M847,D.sign_Lista_Data[[RESPONSABLE]:[SOFTWARE 
VALOR HORA]],3,FALSE),"0")</f>
        <v>20263.424518743668</v>
      </c>
      <c r="P847" s="3">
        <f t="shared" si="30"/>
        <v>10131.712259371834</v>
      </c>
      <c r="Q847" s="11">
        <f>IFERROR(+VLOOKUP(M847,D.sign_Lista_Data[[RESPONSABLE]:[SOFTWARE 
VALOR HORA]],5,FALSE)*D.sign_Data[[#This Row],[TIEMPO (HORAS)]],0)</f>
        <v>2110.7733873691318</v>
      </c>
      <c r="R847" s="11">
        <f>IFERROR(+VLOOKUP(M847,D.sign_Lista_Data[[RESPONSABLE]:[SOFTWARE 
VALOR HORA]],8,FALSE)*D.sign_Data[[#This Row],[TIEMPO (HORAS)]],0)</f>
        <v>1705.4274435719917</v>
      </c>
      <c r="S847" s="99"/>
      <c r="T847" s="99"/>
      <c r="U847" s="3">
        <f t="shared" si="31"/>
        <v>13947.913090312959</v>
      </c>
      <c r="V847" s="100">
        <f>D.sign_Data[[#This Row],[TIEMPO (HORAS)]]*Gastos_Operativos[[#Totals],[GASTOS HORA]]</f>
        <v>13894.738536155201</v>
      </c>
      <c r="W847" s="3">
        <f>+D.sign_Data[[#This Row],[COSTO 
DIRECTO ($COP)]]+D.sign_Data[[#This Row],[PRORRATEO GASTOS ($COP)]]</f>
        <v>27842.65162646816</v>
      </c>
      <c r="X847" s="101">
        <v>0.1</v>
      </c>
      <c r="Y847" s="15">
        <f>+D.sign_Data[[#This Row],[COSTOS OPERACIONALES ($COP)]]*D.sign_Data[[#This Row],[DESFASE (%)]]</f>
        <v>2784.265162646816</v>
      </c>
      <c r="Z847" s="101">
        <v>0.2</v>
      </c>
      <c r="AA847" s="15">
        <f>+((D.sign_Data[[#This Row],[COSTOS OPERACIONALES ($COP)]]/(100%-D.sign_Data[[#This Row],[UTILIDAD (%)]])))-D.sign_Data[[#This Row],[COSTOS OPERACIONALES ($COP)]]</f>
        <v>6960.662906617039</v>
      </c>
      <c r="AB847" s="3">
        <f>+D.sign_Data[[#This Row],[COSTOS OPERACIONALES ($COP)]]+D.sign_Data[[#This Row],[DESFASE ($COP)]]+D.sign_Data[[#This Row],[UTILIDAD ($COP)]]</f>
        <v>37587.579695732013</v>
      </c>
      <c r="AC847" s="101">
        <v>0.05</v>
      </c>
      <c r="AD847" s="15">
        <f>+D.sign_Data[[#This Row],[VALOR NETO ($COP)]]/(100%-D.sign_Data[[#This Row],[MARGEN DE NEGOCIACIÓN (%)]])-D.sign_Data[[#This Row],[VALOR NETO ($COP)]]</f>
        <v>1978.2936681964202</v>
      </c>
      <c r="AE847" s="15">
        <f>+(D.sign_Data[[#This Row],[VALOR NETO ($COP)]]+D.sign_Data[[#This Row],[NEGOCIACIÓN ($COP)]])*1%</f>
        <v>395.65873363928432</v>
      </c>
      <c r="AF847" s="15">
        <f>+(D.sign_Data[[#This Row],[VALOR NETO ($COP)]]+D.sign_Data[[#This Row],[NEGOCIACIÓN ($COP)]])*1%</f>
        <v>395.65873363928432</v>
      </c>
      <c r="AG847" s="3">
        <f>+D.sign_Data[[#This Row],[VALOR NETO ($COP)]]+D.sign_Data[[#This Row],[NEGOCIACIÓN ($COP)]]+D.sign_Data[[#This Row],[ICA ($COP)]]+D.sign_Data[[#This Row],[4 * 1000 ($COP)]]</f>
        <v>40357.190831207001</v>
      </c>
    </row>
    <row r="848" spans="1:33" ht="60" hidden="1" customHeight="1" x14ac:dyDescent="0.25">
      <c r="A848" s="14"/>
      <c r="B848" s="87" t="s">
        <v>418</v>
      </c>
      <c r="C848" s="182" t="s">
        <v>927</v>
      </c>
      <c r="D848" s="189" t="str">
        <f>VLOOKUP(D.sign_Data[[#This Row],[CÓDIGO]],Descripciones[[CÓDIGO]:[NOMBRE DE SERVICIO]],3,FALSE)</f>
        <v>D7. Select</v>
      </c>
      <c r="E848" s="87" t="s">
        <v>497</v>
      </c>
      <c r="F848" s="88" t="s">
        <v>922</v>
      </c>
      <c r="G848" s="88" t="s">
        <v>536</v>
      </c>
      <c r="H848" s="87" t="s">
        <v>500</v>
      </c>
      <c r="I848" s="89">
        <v>1</v>
      </c>
      <c r="J848" s="88" t="s">
        <v>747</v>
      </c>
      <c r="K848" s="102"/>
      <c r="L848" s="88" t="s">
        <v>653</v>
      </c>
      <c r="M848" s="89" t="s">
        <v>381</v>
      </c>
      <c r="N848" s="90">
        <v>2</v>
      </c>
      <c r="O848" s="27">
        <f>IFERROR(+VLOOKUP(M848,D.sign_Lista_Data[[RESPONSABLE]:[SOFTWARE 
VALOR HORA]],3,FALSE),"0")</f>
        <v>20263.424518743668</v>
      </c>
      <c r="P848" s="3">
        <f t="shared" si="30"/>
        <v>40526.849037487336</v>
      </c>
      <c r="Q848" s="11">
        <f>IFERROR(+VLOOKUP(M848,D.sign_Lista_Data[[RESPONSABLE]:[SOFTWARE 
VALOR HORA]],5,FALSE)*D.sign_Data[[#This Row],[TIEMPO (HORAS)]],0)</f>
        <v>8443.0935494765272</v>
      </c>
      <c r="R848" s="11">
        <f>IFERROR(+VLOOKUP(M848,D.sign_Lista_Data[[RESPONSABLE]:[SOFTWARE 
VALOR HORA]],8,FALSE)*D.sign_Data[[#This Row],[TIEMPO (HORAS)]],0)</f>
        <v>6821.7097742879669</v>
      </c>
      <c r="S848" s="99"/>
      <c r="T848" s="99"/>
      <c r="U848" s="3">
        <f t="shared" si="31"/>
        <v>55791.652361251836</v>
      </c>
      <c r="V848" s="100">
        <f>D.sign_Data[[#This Row],[TIEMPO (HORAS)]]*Gastos_Operativos[[#Totals],[GASTOS HORA]]</f>
        <v>55578.954144620802</v>
      </c>
      <c r="W848" s="3">
        <f>+D.sign_Data[[#This Row],[COSTO 
DIRECTO ($COP)]]+D.sign_Data[[#This Row],[PRORRATEO GASTOS ($COP)]]</f>
        <v>111370.60650587264</v>
      </c>
      <c r="X848" s="101">
        <v>0.1</v>
      </c>
      <c r="Y848" s="15">
        <f>+D.sign_Data[[#This Row],[COSTOS OPERACIONALES ($COP)]]*D.sign_Data[[#This Row],[DESFASE (%)]]</f>
        <v>11137.060650587264</v>
      </c>
      <c r="Z848" s="101">
        <v>0.2</v>
      </c>
      <c r="AA848" s="15">
        <f>+((D.sign_Data[[#This Row],[COSTOS OPERACIONALES ($COP)]]/(100%-D.sign_Data[[#This Row],[UTILIDAD (%)]])))-D.sign_Data[[#This Row],[COSTOS OPERACIONALES ($COP)]]</f>
        <v>27842.651626468156</v>
      </c>
      <c r="AB848" s="3">
        <f>+D.sign_Data[[#This Row],[COSTOS OPERACIONALES ($COP)]]+D.sign_Data[[#This Row],[DESFASE ($COP)]]+D.sign_Data[[#This Row],[UTILIDAD ($COP)]]</f>
        <v>150350.31878292805</v>
      </c>
      <c r="AC848" s="101">
        <v>0.05</v>
      </c>
      <c r="AD848" s="15">
        <f>+D.sign_Data[[#This Row],[VALOR NETO ($COP)]]/(100%-D.sign_Data[[#This Row],[MARGEN DE NEGOCIACIÓN (%)]])-D.sign_Data[[#This Row],[VALOR NETO ($COP)]]</f>
        <v>7913.1746727856807</v>
      </c>
      <c r="AE848" s="15">
        <f>+(D.sign_Data[[#This Row],[VALOR NETO ($COP)]]+D.sign_Data[[#This Row],[NEGOCIACIÓN ($COP)]])*1%</f>
        <v>1582.6349345571373</v>
      </c>
      <c r="AF848" s="15">
        <f>+(D.sign_Data[[#This Row],[VALOR NETO ($COP)]]+D.sign_Data[[#This Row],[NEGOCIACIÓN ($COP)]])*1%</f>
        <v>1582.6349345571373</v>
      </c>
      <c r="AG848" s="3">
        <f>+D.sign_Data[[#This Row],[VALOR NETO ($COP)]]+D.sign_Data[[#This Row],[NEGOCIACIÓN ($COP)]]+D.sign_Data[[#This Row],[ICA ($COP)]]+D.sign_Data[[#This Row],[4 * 1000 ($COP)]]</f>
        <v>161428.763324828</v>
      </c>
    </row>
    <row r="849" spans="1:33" ht="60" hidden="1" customHeight="1" x14ac:dyDescent="0.25">
      <c r="A849" s="14"/>
      <c r="B849" s="87" t="s">
        <v>418</v>
      </c>
      <c r="C849" s="182" t="s">
        <v>927</v>
      </c>
      <c r="D849" s="189" t="str">
        <f>VLOOKUP(D.sign_Data[[#This Row],[CÓDIGO]],Descripciones[[CÓDIGO]:[NOMBRE DE SERVICIO]],3,FALSE)</f>
        <v>D7. Select</v>
      </c>
      <c r="E849" s="87" t="s">
        <v>497</v>
      </c>
      <c r="F849" s="88" t="s">
        <v>922</v>
      </c>
      <c r="G849" s="88" t="s">
        <v>536</v>
      </c>
      <c r="H849" s="87" t="s">
        <v>500</v>
      </c>
      <c r="I849" s="89">
        <v>1</v>
      </c>
      <c r="J849" s="88" t="s">
        <v>747</v>
      </c>
      <c r="K849" s="102"/>
      <c r="L849" s="88" t="s">
        <v>654</v>
      </c>
      <c r="M849" s="89" t="s">
        <v>381</v>
      </c>
      <c r="N849" s="90">
        <v>3</v>
      </c>
      <c r="O849" s="27">
        <f>IFERROR(+VLOOKUP(M849,D.sign_Lista_Data[[RESPONSABLE]:[SOFTWARE 
VALOR HORA]],3,FALSE),"0")</f>
        <v>20263.424518743668</v>
      </c>
      <c r="P849" s="3">
        <f t="shared" si="30"/>
        <v>60790.273556231004</v>
      </c>
      <c r="Q849" s="11">
        <f>IFERROR(+VLOOKUP(M849,D.sign_Lista_Data[[RESPONSABLE]:[SOFTWARE 
VALOR HORA]],5,FALSE)*D.sign_Data[[#This Row],[TIEMPO (HORAS)]],0)</f>
        <v>12664.64032421479</v>
      </c>
      <c r="R849" s="11">
        <f>IFERROR(+VLOOKUP(M849,D.sign_Lista_Data[[RESPONSABLE]:[SOFTWARE 
VALOR HORA]],8,FALSE)*D.sign_Data[[#This Row],[TIEMPO (HORAS)]],0)</f>
        <v>10232.56466143195</v>
      </c>
      <c r="S849" s="99"/>
      <c r="T849" s="99"/>
      <c r="U849" s="3">
        <f t="shared" si="31"/>
        <v>83687.478541877746</v>
      </c>
      <c r="V849" s="100">
        <f>D.sign_Data[[#This Row],[TIEMPO (HORAS)]]*Gastos_Operativos[[#Totals],[GASTOS HORA]]</f>
        <v>83368.431216931203</v>
      </c>
      <c r="W849" s="3">
        <f>+D.sign_Data[[#This Row],[COSTO 
DIRECTO ($COP)]]+D.sign_Data[[#This Row],[PRORRATEO GASTOS ($COP)]]</f>
        <v>167055.90975880896</v>
      </c>
      <c r="X849" s="101">
        <v>0.1</v>
      </c>
      <c r="Y849" s="15">
        <f>+D.sign_Data[[#This Row],[COSTOS OPERACIONALES ($COP)]]*D.sign_Data[[#This Row],[DESFASE (%)]]</f>
        <v>16705.590975880896</v>
      </c>
      <c r="Z849" s="101">
        <v>0.2</v>
      </c>
      <c r="AA849" s="15">
        <f>+((D.sign_Data[[#This Row],[COSTOS OPERACIONALES ($COP)]]/(100%-D.sign_Data[[#This Row],[UTILIDAD (%)]])))-D.sign_Data[[#This Row],[COSTOS OPERACIONALES ($COP)]]</f>
        <v>41763.977439702227</v>
      </c>
      <c r="AB849" s="3">
        <f>+D.sign_Data[[#This Row],[COSTOS OPERACIONALES ($COP)]]+D.sign_Data[[#This Row],[DESFASE ($COP)]]+D.sign_Data[[#This Row],[UTILIDAD ($COP)]]</f>
        <v>225525.47817439208</v>
      </c>
      <c r="AC849" s="101">
        <v>0.05</v>
      </c>
      <c r="AD849" s="15">
        <f>+D.sign_Data[[#This Row],[VALOR NETO ($COP)]]/(100%-D.sign_Data[[#This Row],[MARGEN DE NEGOCIACIÓN (%)]])-D.sign_Data[[#This Row],[VALOR NETO ($COP)]]</f>
        <v>11869.76200917855</v>
      </c>
      <c r="AE849" s="15">
        <f>+(D.sign_Data[[#This Row],[VALOR NETO ($COP)]]+D.sign_Data[[#This Row],[NEGOCIACIÓN ($COP)]])*1%</f>
        <v>2373.9524018357065</v>
      </c>
      <c r="AF849" s="15">
        <f>+(D.sign_Data[[#This Row],[VALOR NETO ($COP)]]+D.sign_Data[[#This Row],[NEGOCIACIÓN ($COP)]])*1%</f>
        <v>2373.9524018357065</v>
      </c>
      <c r="AG849" s="3">
        <f>+D.sign_Data[[#This Row],[VALOR NETO ($COP)]]+D.sign_Data[[#This Row],[NEGOCIACIÓN ($COP)]]+D.sign_Data[[#This Row],[ICA ($COP)]]+D.sign_Data[[#This Row],[4 * 1000 ($COP)]]</f>
        <v>242143.14498724203</v>
      </c>
    </row>
    <row r="850" spans="1:33" ht="60" hidden="1" customHeight="1" x14ac:dyDescent="0.25">
      <c r="A850" s="14"/>
      <c r="B850" s="87" t="s">
        <v>418</v>
      </c>
      <c r="C850" s="182" t="s">
        <v>927</v>
      </c>
      <c r="D850" s="189" t="str">
        <f>VLOOKUP(D.sign_Data[[#This Row],[CÓDIGO]],Descripciones[[CÓDIGO]:[NOMBRE DE SERVICIO]],3,FALSE)</f>
        <v>D7. Select</v>
      </c>
      <c r="E850" s="87" t="s">
        <v>497</v>
      </c>
      <c r="F850" s="88" t="s">
        <v>922</v>
      </c>
      <c r="G850" s="88" t="s">
        <v>536</v>
      </c>
      <c r="H850" s="87" t="s">
        <v>500</v>
      </c>
      <c r="I850" s="89">
        <v>1</v>
      </c>
      <c r="J850" s="88" t="s">
        <v>751</v>
      </c>
      <c r="K850" s="102"/>
      <c r="L850" s="88" t="s">
        <v>863</v>
      </c>
      <c r="M850" s="89" t="s">
        <v>381</v>
      </c>
      <c r="N850" s="90">
        <v>0.5</v>
      </c>
      <c r="O850" s="27">
        <f>IFERROR(+VLOOKUP(M850,D.sign_Lista_Data[[RESPONSABLE]:[SOFTWARE 
VALOR HORA]],3,FALSE),"0")</f>
        <v>20263.424518743668</v>
      </c>
      <c r="P850" s="3">
        <f t="shared" si="30"/>
        <v>10131.712259371834</v>
      </c>
      <c r="Q850" s="11">
        <f>IFERROR(+VLOOKUP(M850,D.sign_Lista_Data[[RESPONSABLE]:[SOFTWARE 
VALOR HORA]],5,FALSE)*D.sign_Data[[#This Row],[TIEMPO (HORAS)]],0)</f>
        <v>2110.7733873691318</v>
      </c>
      <c r="R850" s="11">
        <f>IFERROR(+VLOOKUP(M850,D.sign_Lista_Data[[RESPONSABLE]:[SOFTWARE 
VALOR HORA]],8,FALSE)*D.sign_Data[[#This Row],[TIEMPO (HORAS)]],0)</f>
        <v>1705.4274435719917</v>
      </c>
      <c r="S850" s="99"/>
      <c r="T850" s="99"/>
      <c r="U850" s="3">
        <f t="shared" si="31"/>
        <v>13947.913090312959</v>
      </c>
      <c r="V850" s="100">
        <f>D.sign_Data[[#This Row],[TIEMPO (HORAS)]]*Gastos_Operativos[[#Totals],[GASTOS HORA]]</f>
        <v>13894.738536155201</v>
      </c>
      <c r="W850" s="3">
        <f>+D.sign_Data[[#This Row],[COSTO 
DIRECTO ($COP)]]+D.sign_Data[[#This Row],[PRORRATEO GASTOS ($COP)]]</f>
        <v>27842.65162646816</v>
      </c>
      <c r="X850" s="101">
        <v>0.1</v>
      </c>
      <c r="Y850" s="15">
        <f>+D.sign_Data[[#This Row],[COSTOS OPERACIONALES ($COP)]]*D.sign_Data[[#This Row],[DESFASE (%)]]</f>
        <v>2784.265162646816</v>
      </c>
      <c r="Z850" s="101">
        <v>0.2</v>
      </c>
      <c r="AA850" s="15">
        <f>+((D.sign_Data[[#This Row],[COSTOS OPERACIONALES ($COP)]]/(100%-D.sign_Data[[#This Row],[UTILIDAD (%)]])))-D.sign_Data[[#This Row],[COSTOS OPERACIONALES ($COP)]]</f>
        <v>6960.662906617039</v>
      </c>
      <c r="AB850" s="3">
        <f>+D.sign_Data[[#This Row],[COSTOS OPERACIONALES ($COP)]]+D.sign_Data[[#This Row],[DESFASE ($COP)]]+D.sign_Data[[#This Row],[UTILIDAD ($COP)]]</f>
        <v>37587.579695732013</v>
      </c>
      <c r="AC850" s="101">
        <v>0.05</v>
      </c>
      <c r="AD850" s="15">
        <f>+D.sign_Data[[#This Row],[VALOR NETO ($COP)]]/(100%-D.sign_Data[[#This Row],[MARGEN DE NEGOCIACIÓN (%)]])-D.sign_Data[[#This Row],[VALOR NETO ($COP)]]</f>
        <v>1978.2936681964202</v>
      </c>
      <c r="AE850" s="15">
        <f>+(D.sign_Data[[#This Row],[VALOR NETO ($COP)]]+D.sign_Data[[#This Row],[NEGOCIACIÓN ($COP)]])*1%</f>
        <v>395.65873363928432</v>
      </c>
      <c r="AF850" s="15">
        <f>+(D.sign_Data[[#This Row],[VALOR NETO ($COP)]]+D.sign_Data[[#This Row],[NEGOCIACIÓN ($COP)]])*1%</f>
        <v>395.65873363928432</v>
      </c>
      <c r="AG850" s="3">
        <f>+D.sign_Data[[#This Row],[VALOR NETO ($COP)]]+D.sign_Data[[#This Row],[NEGOCIACIÓN ($COP)]]+D.sign_Data[[#This Row],[ICA ($COP)]]+D.sign_Data[[#This Row],[4 * 1000 ($COP)]]</f>
        <v>40357.190831207001</v>
      </c>
    </row>
    <row r="851" spans="1:33" ht="60" hidden="1" customHeight="1" x14ac:dyDescent="0.25">
      <c r="A851" s="14"/>
      <c r="B851" s="87" t="s">
        <v>418</v>
      </c>
      <c r="C851" s="182" t="s">
        <v>929</v>
      </c>
      <c r="D851" s="189" t="str">
        <f>VLOOKUP(D.sign_Data[[#This Row],[CÓDIGO]],Descripciones[[CÓDIGO]:[NOMBRE DE SERVICIO]],3,FALSE)</f>
        <v>D3. Vivienda Campestre</v>
      </c>
      <c r="E851" s="87" t="s">
        <v>497</v>
      </c>
      <c r="F851" s="88" t="s">
        <v>930</v>
      </c>
      <c r="G851" s="88" t="s">
        <v>792</v>
      </c>
      <c r="H851" s="87" t="s">
        <v>500</v>
      </c>
      <c r="I851" s="89">
        <v>1</v>
      </c>
      <c r="J851" s="88" t="s">
        <v>931</v>
      </c>
      <c r="K851" s="102"/>
      <c r="L851" s="88" t="s">
        <v>476</v>
      </c>
      <c r="M851" s="89" t="s">
        <v>381</v>
      </c>
      <c r="N851" s="90">
        <v>0.5</v>
      </c>
      <c r="O851" s="27">
        <f>IFERROR(+VLOOKUP(M851,D.sign_Lista_Data[[RESPONSABLE]:[SOFTWARE 
VALOR HORA]],3,FALSE),"0")</f>
        <v>20263.424518743668</v>
      </c>
      <c r="P851" s="3">
        <f t="shared" si="28"/>
        <v>10131.712259371834</v>
      </c>
      <c r="Q851" s="11">
        <f>IFERROR(+VLOOKUP(M851,D.sign_Lista_Data[[RESPONSABLE]:[SOFTWARE 
VALOR HORA]],5,FALSE)*D.sign_Data[[#This Row],[TIEMPO (HORAS)]],0)</f>
        <v>2110.7733873691318</v>
      </c>
      <c r="R851" s="11">
        <f>IFERROR(+VLOOKUP(M851,D.sign_Lista_Data[[RESPONSABLE]:[SOFTWARE 
VALOR HORA]],8,FALSE)*D.sign_Data[[#This Row],[TIEMPO (HORAS)]],0)</f>
        <v>1705.4274435719917</v>
      </c>
      <c r="S851" s="99"/>
      <c r="T851" s="99"/>
      <c r="U851" s="3">
        <f t="shared" si="29"/>
        <v>13947.913090312959</v>
      </c>
      <c r="V851" s="100">
        <f>D.sign_Data[[#This Row],[TIEMPO (HORAS)]]*Gastos_Operativos[[#Totals],[GASTOS HORA]]</f>
        <v>13894.738536155201</v>
      </c>
      <c r="W851" s="3">
        <f>+D.sign_Data[[#This Row],[COSTO 
DIRECTO ($COP)]]+D.sign_Data[[#This Row],[PRORRATEO GASTOS ($COP)]]</f>
        <v>27842.65162646816</v>
      </c>
      <c r="X851" s="101">
        <v>0.05</v>
      </c>
      <c r="Y851" s="15">
        <f>+D.sign_Data[[#This Row],[COSTOS OPERACIONALES ($COP)]]*D.sign_Data[[#This Row],[DESFASE (%)]]</f>
        <v>1392.132581323408</v>
      </c>
      <c r="Z851" s="101">
        <v>0.2</v>
      </c>
      <c r="AA851" s="15">
        <f>+((D.sign_Data[[#This Row],[COSTOS OPERACIONALES ($COP)]]/(100%-D.sign_Data[[#This Row],[UTILIDAD (%)]])))-D.sign_Data[[#This Row],[COSTOS OPERACIONALES ($COP)]]</f>
        <v>6960.662906617039</v>
      </c>
      <c r="AB851" s="3">
        <f>+D.sign_Data[[#This Row],[COSTOS OPERACIONALES ($COP)]]+D.sign_Data[[#This Row],[DESFASE ($COP)]]+D.sign_Data[[#This Row],[UTILIDAD ($COP)]]</f>
        <v>36195.447114408606</v>
      </c>
      <c r="AC851" s="101">
        <v>0.05</v>
      </c>
      <c r="AD851" s="15">
        <f>+D.sign_Data[[#This Row],[VALOR NETO ($COP)]]/(100%-D.sign_Data[[#This Row],[MARGEN DE NEGOCIACIÓN (%)]])-D.sign_Data[[#This Row],[VALOR NETO ($COP)]]</f>
        <v>1905.0235323372981</v>
      </c>
      <c r="AE851" s="15">
        <f>+(D.sign_Data[[#This Row],[VALOR NETO ($COP)]]+D.sign_Data[[#This Row],[NEGOCIACIÓN ($COP)]])*1%</f>
        <v>381.00470646745902</v>
      </c>
      <c r="AF851" s="15">
        <f>+(D.sign_Data[[#This Row],[VALOR NETO ($COP)]]+D.sign_Data[[#This Row],[NEGOCIACIÓN ($COP)]])*1%</f>
        <v>381.00470646745902</v>
      </c>
      <c r="AG851" s="3">
        <f>+D.sign_Data[[#This Row],[VALOR NETO ($COP)]]+D.sign_Data[[#This Row],[NEGOCIACIÓN ($COP)]]+D.sign_Data[[#This Row],[ICA ($COP)]]+D.sign_Data[[#This Row],[4 * 1000 ($COP)]]</f>
        <v>38862.48005968082</v>
      </c>
    </row>
    <row r="852" spans="1:33" ht="60" hidden="1" customHeight="1" x14ac:dyDescent="0.25">
      <c r="A852" s="14"/>
      <c r="B852" s="87" t="s">
        <v>418</v>
      </c>
      <c r="C852" s="182" t="s">
        <v>929</v>
      </c>
      <c r="D852" s="189" t="str">
        <f>VLOOKUP(D.sign_Data[[#This Row],[CÓDIGO]],Descripciones[[CÓDIGO]:[NOMBRE DE SERVICIO]],3,FALSE)</f>
        <v>D3. Vivienda Campestre</v>
      </c>
      <c r="E852" s="87" t="s">
        <v>497</v>
      </c>
      <c r="F852" s="88" t="s">
        <v>930</v>
      </c>
      <c r="G852" s="88" t="s">
        <v>792</v>
      </c>
      <c r="H852" s="87" t="s">
        <v>500</v>
      </c>
      <c r="I852" s="89">
        <v>1</v>
      </c>
      <c r="J852" s="88" t="s">
        <v>931</v>
      </c>
      <c r="K852" s="102"/>
      <c r="L852" s="88" t="s">
        <v>767</v>
      </c>
      <c r="M852" s="89" t="s">
        <v>381</v>
      </c>
      <c r="N852" s="90">
        <v>0.5</v>
      </c>
      <c r="O852" s="27">
        <f>IFERROR(+VLOOKUP(M852,D.sign_Lista_Data[[RESPONSABLE]:[SOFTWARE 
VALOR HORA]],3,FALSE),"0")</f>
        <v>20263.424518743668</v>
      </c>
      <c r="P852" s="3">
        <f t="shared" si="28"/>
        <v>10131.712259371834</v>
      </c>
      <c r="Q852" s="11">
        <f>IFERROR(+VLOOKUP(M852,D.sign_Lista_Data[[RESPONSABLE]:[SOFTWARE 
VALOR HORA]],5,FALSE)*D.sign_Data[[#This Row],[TIEMPO (HORAS)]],0)</f>
        <v>2110.7733873691318</v>
      </c>
      <c r="R852" s="11">
        <f>IFERROR(+VLOOKUP(M852,D.sign_Lista_Data[[RESPONSABLE]:[SOFTWARE 
VALOR HORA]],8,FALSE)*D.sign_Data[[#This Row],[TIEMPO (HORAS)]],0)</f>
        <v>1705.4274435719917</v>
      </c>
      <c r="S852" s="99"/>
      <c r="T852" s="99"/>
      <c r="U852" s="3">
        <f t="shared" si="29"/>
        <v>13947.913090312959</v>
      </c>
      <c r="V852" s="100">
        <f>D.sign_Data[[#This Row],[TIEMPO (HORAS)]]*Gastos_Operativos[[#Totals],[GASTOS HORA]]</f>
        <v>13894.738536155201</v>
      </c>
      <c r="W852" s="3">
        <f>+D.sign_Data[[#This Row],[COSTO 
DIRECTO ($COP)]]+D.sign_Data[[#This Row],[PRORRATEO GASTOS ($COP)]]</f>
        <v>27842.65162646816</v>
      </c>
      <c r="X852" s="101">
        <v>0.05</v>
      </c>
      <c r="Y852" s="15">
        <f>+D.sign_Data[[#This Row],[COSTOS OPERACIONALES ($COP)]]*D.sign_Data[[#This Row],[DESFASE (%)]]</f>
        <v>1392.132581323408</v>
      </c>
      <c r="Z852" s="101">
        <v>0.2</v>
      </c>
      <c r="AA852" s="15">
        <f>+((D.sign_Data[[#This Row],[COSTOS OPERACIONALES ($COP)]]/(100%-D.sign_Data[[#This Row],[UTILIDAD (%)]])))-D.sign_Data[[#This Row],[COSTOS OPERACIONALES ($COP)]]</f>
        <v>6960.662906617039</v>
      </c>
      <c r="AB852" s="3">
        <f>+D.sign_Data[[#This Row],[COSTOS OPERACIONALES ($COP)]]+D.sign_Data[[#This Row],[DESFASE ($COP)]]+D.sign_Data[[#This Row],[UTILIDAD ($COP)]]</f>
        <v>36195.447114408606</v>
      </c>
      <c r="AC852" s="101">
        <v>0.05</v>
      </c>
      <c r="AD852" s="15">
        <f>+D.sign_Data[[#This Row],[VALOR NETO ($COP)]]/(100%-D.sign_Data[[#This Row],[MARGEN DE NEGOCIACIÓN (%)]])-D.sign_Data[[#This Row],[VALOR NETO ($COP)]]</f>
        <v>1905.0235323372981</v>
      </c>
      <c r="AE852" s="15">
        <f>+(D.sign_Data[[#This Row],[VALOR NETO ($COP)]]+D.sign_Data[[#This Row],[NEGOCIACIÓN ($COP)]])*1%</f>
        <v>381.00470646745902</v>
      </c>
      <c r="AF852" s="15">
        <f>+(D.sign_Data[[#This Row],[VALOR NETO ($COP)]]+D.sign_Data[[#This Row],[NEGOCIACIÓN ($COP)]])*1%</f>
        <v>381.00470646745902</v>
      </c>
      <c r="AG852" s="3">
        <f>+D.sign_Data[[#This Row],[VALOR NETO ($COP)]]+D.sign_Data[[#This Row],[NEGOCIACIÓN ($COP)]]+D.sign_Data[[#This Row],[ICA ($COP)]]+D.sign_Data[[#This Row],[4 * 1000 ($COP)]]</f>
        <v>38862.48005968082</v>
      </c>
    </row>
    <row r="853" spans="1:33" ht="60" hidden="1" customHeight="1" x14ac:dyDescent="0.25">
      <c r="A853" s="14"/>
      <c r="B853" s="87" t="s">
        <v>418</v>
      </c>
      <c r="C853" s="182" t="s">
        <v>929</v>
      </c>
      <c r="D853" s="189" t="str">
        <f>VLOOKUP(D.sign_Data[[#This Row],[CÓDIGO]],Descripciones[[CÓDIGO]:[NOMBRE DE SERVICIO]],3,FALSE)</f>
        <v>D3. Vivienda Campestre</v>
      </c>
      <c r="E853" s="87" t="s">
        <v>497</v>
      </c>
      <c r="F853" s="88" t="s">
        <v>930</v>
      </c>
      <c r="G853" s="88" t="s">
        <v>792</v>
      </c>
      <c r="H853" s="87" t="s">
        <v>500</v>
      </c>
      <c r="I853" s="89">
        <v>1</v>
      </c>
      <c r="J853" s="88" t="s">
        <v>931</v>
      </c>
      <c r="K853" s="102"/>
      <c r="L853" s="88" t="s">
        <v>794</v>
      </c>
      <c r="M853" s="89" t="s">
        <v>381</v>
      </c>
      <c r="N853" s="90">
        <v>0.5</v>
      </c>
      <c r="O853" s="27">
        <f>IFERROR(+VLOOKUP(M853,D.sign_Lista_Data[[RESPONSABLE]:[SOFTWARE 
VALOR HORA]],3,FALSE),"0")</f>
        <v>20263.424518743668</v>
      </c>
      <c r="P853" s="3">
        <f t="shared" si="28"/>
        <v>10131.712259371834</v>
      </c>
      <c r="Q853" s="11">
        <f>IFERROR(+VLOOKUP(M853,D.sign_Lista_Data[[RESPONSABLE]:[SOFTWARE 
VALOR HORA]],5,FALSE)*D.sign_Data[[#This Row],[TIEMPO (HORAS)]],0)</f>
        <v>2110.7733873691318</v>
      </c>
      <c r="R853" s="11">
        <f>IFERROR(+VLOOKUP(M853,D.sign_Lista_Data[[RESPONSABLE]:[SOFTWARE 
VALOR HORA]],8,FALSE)*D.sign_Data[[#This Row],[TIEMPO (HORAS)]],0)</f>
        <v>1705.4274435719917</v>
      </c>
      <c r="S853" s="99"/>
      <c r="T853" s="99"/>
      <c r="U853" s="3">
        <f t="shared" si="29"/>
        <v>13947.913090312959</v>
      </c>
      <c r="V853" s="100">
        <f>D.sign_Data[[#This Row],[TIEMPO (HORAS)]]*Gastos_Operativos[[#Totals],[GASTOS HORA]]</f>
        <v>13894.738536155201</v>
      </c>
      <c r="W853" s="3">
        <f>+D.sign_Data[[#This Row],[COSTO 
DIRECTO ($COP)]]+D.sign_Data[[#This Row],[PRORRATEO GASTOS ($COP)]]</f>
        <v>27842.65162646816</v>
      </c>
      <c r="X853" s="101">
        <v>0.05</v>
      </c>
      <c r="Y853" s="15">
        <f>+D.sign_Data[[#This Row],[COSTOS OPERACIONALES ($COP)]]*D.sign_Data[[#This Row],[DESFASE (%)]]</f>
        <v>1392.132581323408</v>
      </c>
      <c r="Z853" s="101">
        <v>0.2</v>
      </c>
      <c r="AA853" s="15">
        <f>+((D.sign_Data[[#This Row],[COSTOS OPERACIONALES ($COP)]]/(100%-D.sign_Data[[#This Row],[UTILIDAD (%)]])))-D.sign_Data[[#This Row],[COSTOS OPERACIONALES ($COP)]]</f>
        <v>6960.662906617039</v>
      </c>
      <c r="AB853" s="3">
        <f>+D.sign_Data[[#This Row],[COSTOS OPERACIONALES ($COP)]]+D.sign_Data[[#This Row],[DESFASE ($COP)]]+D.sign_Data[[#This Row],[UTILIDAD ($COP)]]</f>
        <v>36195.447114408606</v>
      </c>
      <c r="AC853" s="101">
        <v>0.05</v>
      </c>
      <c r="AD853" s="15">
        <f>+D.sign_Data[[#This Row],[VALOR NETO ($COP)]]/(100%-D.sign_Data[[#This Row],[MARGEN DE NEGOCIACIÓN (%)]])-D.sign_Data[[#This Row],[VALOR NETO ($COP)]]</f>
        <v>1905.0235323372981</v>
      </c>
      <c r="AE853" s="15">
        <f>+(D.sign_Data[[#This Row],[VALOR NETO ($COP)]]+D.sign_Data[[#This Row],[NEGOCIACIÓN ($COP)]])*1%</f>
        <v>381.00470646745902</v>
      </c>
      <c r="AF853" s="15">
        <f>+(D.sign_Data[[#This Row],[VALOR NETO ($COP)]]+D.sign_Data[[#This Row],[NEGOCIACIÓN ($COP)]])*1%</f>
        <v>381.00470646745902</v>
      </c>
      <c r="AG853" s="3">
        <f>+D.sign_Data[[#This Row],[VALOR NETO ($COP)]]+D.sign_Data[[#This Row],[NEGOCIACIÓN ($COP)]]+D.sign_Data[[#This Row],[ICA ($COP)]]+D.sign_Data[[#This Row],[4 * 1000 ($COP)]]</f>
        <v>38862.48005968082</v>
      </c>
    </row>
    <row r="854" spans="1:33" ht="60" hidden="1" customHeight="1" x14ac:dyDescent="0.25">
      <c r="A854" s="14"/>
      <c r="B854" s="87" t="s">
        <v>418</v>
      </c>
      <c r="C854" s="182" t="s">
        <v>929</v>
      </c>
      <c r="D854" s="189" t="str">
        <f>VLOOKUP(D.sign_Data[[#This Row],[CÓDIGO]],Descripciones[[CÓDIGO]:[NOMBRE DE SERVICIO]],3,FALSE)</f>
        <v>D3. Vivienda Campestre</v>
      </c>
      <c r="E854" s="87" t="s">
        <v>497</v>
      </c>
      <c r="F854" s="88" t="s">
        <v>930</v>
      </c>
      <c r="G854" s="88" t="s">
        <v>792</v>
      </c>
      <c r="H854" s="87" t="s">
        <v>500</v>
      </c>
      <c r="I854" s="89">
        <v>1</v>
      </c>
      <c r="J854" s="88" t="s">
        <v>931</v>
      </c>
      <c r="K854" s="102"/>
      <c r="L854" s="88" t="s">
        <v>768</v>
      </c>
      <c r="M854" s="89" t="s">
        <v>381</v>
      </c>
      <c r="N854" s="90">
        <v>0.8</v>
      </c>
      <c r="O854" s="27">
        <f>IFERROR(+VLOOKUP(M854,D.sign_Lista_Data[[RESPONSABLE]:[SOFTWARE 
VALOR HORA]],3,FALSE),"0")</f>
        <v>20263.424518743668</v>
      </c>
      <c r="P854" s="3">
        <f t="shared" si="28"/>
        <v>16210.739614994935</v>
      </c>
      <c r="Q854" s="11">
        <f>IFERROR(+VLOOKUP(M854,D.sign_Lista_Data[[RESPONSABLE]:[SOFTWARE 
VALOR HORA]],5,FALSE)*D.sign_Data[[#This Row],[TIEMPO (HORAS)]],0)</f>
        <v>3377.2374197906111</v>
      </c>
      <c r="R854" s="11">
        <f>IFERROR(+VLOOKUP(M854,D.sign_Lista_Data[[RESPONSABLE]:[SOFTWARE 
VALOR HORA]],8,FALSE)*D.sign_Data[[#This Row],[TIEMPO (HORAS)]],0)</f>
        <v>2728.6839097151869</v>
      </c>
      <c r="S854" s="99"/>
      <c r="T854" s="99"/>
      <c r="U854" s="3">
        <f t="shared" si="29"/>
        <v>22316.660944500731</v>
      </c>
      <c r="V854" s="100">
        <f>D.sign_Data[[#This Row],[TIEMPO (HORAS)]]*Gastos_Operativos[[#Totals],[GASTOS HORA]]</f>
        <v>22231.581657848321</v>
      </c>
      <c r="W854" s="3">
        <f>+D.sign_Data[[#This Row],[COSTO 
DIRECTO ($COP)]]+D.sign_Data[[#This Row],[PRORRATEO GASTOS ($COP)]]</f>
        <v>44548.242602349055</v>
      </c>
      <c r="X854" s="101">
        <v>0.05</v>
      </c>
      <c r="Y854" s="15">
        <f>+D.sign_Data[[#This Row],[COSTOS OPERACIONALES ($COP)]]*D.sign_Data[[#This Row],[DESFASE (%)]]</f>
        <v>2227.4121301174528</v>
      </c>
      <c r="Z854" s="101">
        <v>0.2</v>
      </c>
      <c r="AA854" s="15">
        <f>+((D.sign_Data[[#This Row],[COSTOS OPERACIONALES ($COP)]]/(100%-D.sign_Data[[#This Row],[UTILIDAD (%)]])))-D.sign_Data[[#This Row],[COSTOS OPERACIONALES ($COP)]]</f>
        <v>11137.060650587264</v>
      </c>
      <c r="AB854" s="3">
        <f>+D.sign_Data[[#This Row],[COSTOS OPERACIONALES ($COP)]]+D.sign_Data[[#This Row],[DESFASE ($COP)]]+D.sign_Data[[#This Row],[UTILIDAD ($COP)]]</f>
        <v>57912.715383053772</v>
      </c>
      <c r="AC854" s="101">
        <v>0.05</v>
      </c>
      <c r="AD854" s="15">
        <f>+D.sign_Data[[#This Row],[VALOR NETO ($COP)]]/(100%-D.sign_Data[[#This Row],[MARGEN DE NEGOCIACIÓN (%)]])-D.sign_Data[[#This Row],[VALOR NETO ($COP)]]</f>
        <v>3048.0376517396726</v>
      </c>
      <c r="AE854" s="15">
        <f>+(D.sign_Data[[#This Row],[VALOR NETO ($COP)]]+D.sign_Data[[#This Row],[NEGOCIACIÓN ($COP)]])*1%</f>
        <v>609.60753034793447</v>
      </c>
      <c r="AF854" s="15">
        <f>+(D.sign_Data[[#This Row],[VALOR NETO ($COP)]]+D.sign_Data[[#This Row],[NEGOCIACIÓN ($COP)]])*1%</f>
        <v>609.60753034793447</v>
      </c>
      <c r="AG854" s="3">
        <f>+D.sign_Data[[#This Row],[VALOR NETO ($COP)]]+D.sign_Data[[#This Row],[NEGOCIACIÓN ($COP)]]+D.sign_Data[[#This Row],[ICA ($COP)]]+D.sign_Data[[#This Row],[4 * 1000 ($COP)]]</f>
        <v>62179.968095489319</v>
      </c>
    </row>
    <row r="855" spans="1:33" ht="60" hidden="1" customHeight="1" x14ac:dyDescent="0.25">
      <c r="A855" s="14"/>
      <c r="B855" s="87" t="s">
        <v>418</v>
      </c>
      <c r="C855" s="182" t="s">
        <v>929</v>
      </c>
      <c r="D855" s="189" t="str">
        <f>VLOOKUP(D.sign_Data[[#This Row],[CÓDIGO]],Descripciones[[CÓDIGO]:[NOMBRE DE SERVICIO]],3,FALSE)</f>
        <v>D3. Vivienda Campestre</v>
      </c>
      <c r="E855" s="87" t="s">
        <v>497</v>
      </c>
      <c r="F855" s="88" t="s">
        <v>930</v>
      </c>
      <c r="G855" s="88" t="s">
        <v>792</v>
      </c>
      <c r="H855" s="87" t="s">
        <v>500</v>
      </c>
      <c r="I855" s="89">
        <v>1</v>
      </c>
      <c r="J855" s="88" t="s">
        <v>931</v>
      </c>
      <c r="K855" s="102"/>
      <c r="L855" s="88" t="s">
        <v>624</v>
      </c>
      <c r="M855" s="89" t="s">
        <v>381</v>
      </c>
      <c r="N855" s="90">
        <v>1</v>
      </c>
      <c r="O855" s="27">
        <f>IFERROR(+VLOOKUP(M855,D.sign_Lista_Data[[RESPONSABLE]:[SOFTWARE 
VALOR HORA]],3,FALSE),"0")</f>
        <v>20263.424518743668</v>
      </c>
      <c r="P855" s="3">
        <f t="shared" si="28"/>
        <v>20263.424518743668</v>
      </c>
      <c r="Q855" s="11">
        <f>IFERROR(+VLOOKUP(M855,D.sign_Lista_Data[[RESPONSABLE]:[SOFTWARE 
VALOR HORA]],5,FALSE)*D.sign_Data[[#This Row],[TIEMPO (HORAS)]],0)</f>
        <v>4221.5467747382636</v>
      </c>
      <c r="R855" s="11">
        <f>IFERROR(+VLOOKUP(M855,D.sign_Lista_Data[[RESPONSABLE]:[SOFTWARE 
VALOR HORA]],8,FALSE)*D.sign_Data[[#This Row],[TIEMPO (HORAS)]],0)</f>
        <v>3410.8548871439834</v>
      </c>
      <c r="S855" s="99"/>
      <c r="T855" s="99"/>
      <c r="U855" s="3">
        <f t="shared" si="29"/>
        <v>27895.826180625918</v>
      </c>
      <c r="V855" s="100">
        <f>D.sign_Data[[#This Row],[TIEMPO (HORAS)]]*Gastos_Operativos[[#Totals],[GASTOS HORA]]</f>
        <v>27789.477072310401</v>
      </c>
      <c r="W855" s="3">
        <f>+D.sign_Data[[#This Row],[COSTO 
DIRECTO ($COP)]]+D.sign_Data[[#This Row],[PRORRATEO GASTOS ($COP)]]</f>
        <v>55685.303252936319</v>
      </c>
      <c r="X855" s="101">
        <v>0.05</v>
      </c>
      <c r="Y855" s="15">
        <f>+D.sign_Data[[#This Row],[COSTOS OPERACIONALES ($COP)]]*D.sign_Data[[#This Row],[DESFASE (%)]]</f>
        <v>2784.265162646816</v>
      </c>
      <c r="Z855" s="101">
        <v>0.2</v>
      </c>
      <c r="AA855" s="15">
        <f>+((D.sign_Data[[#This Row],[COSTOS OPERACIONALES ($COP)]]/(100%-D.sign_Data[[#This Row],[UTILIDAD (%)]])))-D.sign_Data[[#This Row],[COSTOS OPERACIONALES ($COP)]]</f>
        <v>13921.325813234078</v>
      </c>
      <c r="AB855" s="3">
        <f>+D.sign_Data[[#This Row],[COSTOS OPERACIONALES ($COP)]]+D.sign_Data[[#This Row],[DESFASE ($COP)]]+D.sign_Data[[#This Row],[UTILIDAD ($COP)]]</f>
        <v>72390.894228817211</v>
      </c>
      <c r="AC855" s="101">
        <v>0.05</v>
      </c>
      <c r="AD855" s="15">
        <f>+D.sign_Data[[#This Row],[VALOR NETO ($COP)]]/(100%-D.sign_Data[[#This Row],[MARGEN DE NEGOCIACIÓN (%)]])-D.sign_Data[[#This Row],[VALOR NETO ($COP)]]</f>
        <v>3810.0470646745962</v>
      </c>
      <c r="AE855" s="15">
        <f>+(D.sign_Data[[#This Row],[VALOR NETO ($COP)]]+D.sign_Data[[#This Row],[NEGOCIACIÓN ($COP)]])*1%</f>
        <v>762.00941293491803</v>
      </c>
      <c r="AF855" s="15">
        <f>+(D.sign_Data[[#This Row],[VALOR NETO ($COP)]]+D.sign_Data[[#This Row],[NEGOCIACIÓN ($COP)]])*1%</f>
        <v>762.00941293491803</v>
      </c>
      <c r="AG855" s="3">
        <f>+D.sign_Data[[#This Row],[VALOR NETO ($COP)]]+D.sign_Data[[#This Row],[NEGOCIACIÓN ($COP)]]+D.sign_Data[[#This Row],[ICA ($COP)]]+D.sign_Data[[#This Row],[4 * 1000 ($COP)]]</f>
        <v>77724.96011936164</v>
      </c>
    </row>
    <row r="856" spans="1:33" ht="60" hidden="1" customHeight="1" x14ac:dyDescent="0.25">
      <c r="A856" s="14"/>
      <c r="B856" s="87" t="s">
        <v>418</v>
      </c>
      <c r="C856" s="182" t="s">
        <v>929</v>
      </c>
      <c r="D856" s="189" t="str">
        <f>VLOOKUP(D.sign_Data[[#This Row],[CÓDIGO]],Descripciones[[CÓDIGO]:[NOMBRE DE SERVICIO]],3,FALSE)</f>
        <v>D3. Vivienda Campestre</v>
      </c>
      <c r="E856" s="87" t="s">
        <v>497</v>
      </c>
      <c r="F856" s="88" t="s">
        <v>930</v>
      </c>
      <c r="G856" s="88" t="s">
        <v>792</v>
      </c>
      <c r="H856" s="87" t="s">
        <v>500</v>
      </c>
      <c r="I856" s="89">
        <v>1</v>
      </c>
      <c r="J856" s="88" t="s">
        <v>931</v>
      </c>
      <c r="K856" s="102"/>
      <c r="L856" s="88" t="s">
        <v>483</v>
      </c>
      <c r="M856" s="89" t="s">
        <v>381</v>
      </c>
      <c r="N856" s="90">
        <v>0.5</v>
      </c>
      <c r="O856" s="27">
        <f>IFERROR(+VLOOKUP(M856,D.sign_Lista_Data[[RESPONSABLE]:[SOFTWARE 
VALOR HORA]],3,FALSE),"0")</f>
        <v>20263.424518743668</v>
      </c>
      <c r="P856" s="3">
        <f t="shared" si="28"/>
        <v>10131.712259371834</v>
      </c>
      <c r="Q856" s="11">
        <f>IFERROR(+VLOOKUP(M856,D.sign_Lista_Data[[RESPONSABLE]:[SOFTWARE 
VALOR HORA]],5,FALSE)*D.sign_Data[[#This Row],[TIEMPO (HORAS)]],0)</f>
        <v>2110.7733873691318</v>
      </c>
      <c r="R856" s="11">
        <f>IFERROR(+VLOOKUP(M856,D.sign_Lista_Data[[RESPONSABLE]:[SOFTWARE 
VALOR HORA]],8,FALSE)*D.sign_Data[[#This Row],[TIEMPO (HORAS)]],0)</f>
        <v>1705.4274435719917</v>
      </c>
      <c r="S856" s="99"/>
      <c r="T856" s="99"/>
      <c r="U856" s="3">
        <f t="shared" si="29"/>
        <v>13947.913090312959</v>
      </c>
      <c r="V856" s="100">
        <f>D.sign_Data[[#This Row],[TIEMPO (HORAS)]]*Gastos_Operativos[[#Totals],[GASTOS HORA]]</f>
        <v>13894.738536155201</v>
      </c>
      <c r="W856" s="3">
        <f>+D.sign_Data[[#This Row],[COSTO 
DIRECTO ($COP)]]+D.sign_Data[[#This Row],[PRORRATEO GASTOS ($COP)]]</f>
        <v>27842.65162646816</v>
      </c>
      <c r="X856" s="101">
        <v>0.05</v>
      </c>
      <c r="Y856" s="15">
        <f>+D.sign_Data[[#This Row],[COSTOS OPERACIONALES ($COP)]]*D.sign_Data[[#This Row],[DESFASE (%)]]</f>
        <v>1392.132581323408</v>
      </c>
      <c r="Z856" s="101">
        <v>0.2</v>
      </c>
      <c r="AA856" s="15">
        <f>+((D.sign_Data[[#This Row],[COSTOS OPERACIONALES ($COP)]]/(100%-D.sign_Data[[#This Row],[UTILIDAD (%)]])))-D.sign_Data[[#This Row],[COSTOS OPERACIONALES ($COP)]]</f>
        <v>6960.662906617039</v>
      </c>
      <c r="AB856" s="3">
        <f>+D.sign_Data[[#This Row],[COSTOS OPERACIONALES ($COP)]]+D.sign_Data[[#This Row],[DESFASE ($COP)]]+D.sign_Data[[#This Row],[UTILIDAD ($COP)]]</f>
        <v>36195.447114408606</v>
      </c>
      <c r="AC856" s="101">
        <v>0.05</v>
      </c>
      <c r="AD856" s="15">
        <f>+D.sign_Data[[#This Row],[VALOR NETO ($COP)]]/(100%-D.sign_Data[[#This Row],[MARGEN DE NEGOCIACIÓN (%)]])-D.sign_Data[[#This Row],[VALOR NETO ($COP)]]</f>
        <v>1905.0235323372981</v>
      </c>
      <c r="AE856" s="15">
        <f>+(D.sign_Data[[#This Row],[VALOR NETO ($COP)]]+D.sign_Data[[#This Row],[NEGOCIACIÓN ($COP)]])*1%</f>
        <v>381.00470646745902</v>
      </c>
      <c r="AF856" s="15">
        <f>+(D.sign_Data[[#This Row],[VALOR NETO ($COP)]]+D.sign_Data[[#This Row],[NEGOCIACIÓN ($COP)]])*1%</f>
        <v>381.00470646745902</v>
      </c>
      <c r="AG856" s="3">
        <f>+D.sign_Data[[#This Row],[VALOR NETO ($COP)]]+D.sign_Data[[#This Row],[NEGOCIACIÓN ($COP)]]+D.sign_Data[[#This Row],[ICA ($COP)]]+D.sign_Data[[#This Row],[4 * 1000 ($COP)]]</f>
        <v>38862.48005968082</v>
      </c>
    </row>
    <row r="857" spans="1:33" ht="60" hidden="1" customHeight="1" x14ac:dyDescent="0.25">
      <c r="A857" s="14"/>
      <c r="B857" s="87" t="s">
        <v>418</v>
      </c>
      <c r="C857" s="182" t="s">
        <v>929</v>
      </c>
      <c r="D857" s="189" t="str">
        <f>VLOOKUP(D.sign_Data[[#This Row],[CÓDIGO]],Descripciones[[CÓDIGO]:[NOMBRE DE SERVICIO]],3,FALSE)</f>
        <v>D3. Vivienda Campestre</v>
      </c>
      <c r="E857" s="87" t="s">
        <v>497</v>
      </c>
      <c r="F857" s="88" t="s">
        <v>930</v>
      </c>
      <c r="G857" s="88" t="s">
        <v>792</v>
      </c>
      <c r="H857" s="87" t="s">
        <v>500</v>
      </c>
      <c r="I857" s="89">
        <v>1</v>
      </c>
      <c r="J857" s="88" t="s">
        <v>931</v>
      </c>
      <c r="K857" s="102"/>
      <c r="L857" s="88" t="s">
        <v>474</v>
      </c>
      <c r="M857" s="89" t="s">
        <v>381</v>
      </c>
      <c r="N857" s="90">
        <v>0.1</v>
      </c>
      <c r="O857" s="27">
        <f>IFERROR(+VLOOKUP(M857,D.sign_Lista_Data[[RESPONSABLE]:[SOFTWARE 
VALOR HORA]],3,FALSE),"0")</f>
        <v>20263.424518743668</v>
      </c>
      <c r="P857" s="3">
        <f t="shared" si="28"/>
        <v>2026.3424518743668</v>
      </c>
      <c r="Q857" s="11">
        <f>IFERROR(+VLOOKUP(M857,D.sign_Lista_Data[[RESPONSABLE]:[SOFTWARE 
VALOR HORA]],5,FALSE)*D.sign_Data[[#This Row],[TIEMPO (HORAS)]],0)</f>
        <v>422.15467747382638</v>
      </c>
      <c r="R857" s="11">
        <f>IFERROR(+VLOOKUP(M857,D.sign_Lista_Data[[RESPONSABLE]:[SOFTWARE 
VALOR HORA]],8,FALSE)*D.sign_Data[[#This Row],[TIEMPO (HORAS)]],0)</f>
        <v>341.08548871439837</v>
      </c>
      <c r="S857" s="99"/>
      <c r="T857" s="99"/>
      <c r="U857" s="3">
        <f t="shared" si="29"/>
        <v>2789.5826180625913</v>
      </c>
      <c r="V857" s="100">
        <f>D.sign_Data[[#This Row],[TIEMPO (HORAS)]]*Gastos_Operativos[[#Totals],[GASTOS HORA]]</f>
        <v>2778.9477072310401</v>
      </c>
      <c r="W857" s="3">
        <f>+D.sign_Data[[#This Row],[COSTO 
DIRECTO ($COP)]]+D.sign_Data[[#This Row],[PRORRATEO GASTOS ($COP)]]</f>
        <v>5568.5303252936319</v>
      </c>
      <c r="X857" s="101">
        <v>0.05</v>
      </c>
      <c r="Y857" s="15">
        <f>+D.sign_Data[[#This Row],[COSTOS OPERACIONALES ($COP)]]*D.sign_Data[[#This Row],[DESFASE (%)]]</f>
        <v>278.4265162646816</v>
      </c>
      <c r="Z857" s="101">
        <v>0.2</v>
      </c>
      <c r="AA857" s="15">
        <f>+((D.sign_Data[[#This Row],[COSTOS OPERACIONALES ($COP)]]/(100%-D.sign_Data[[#This Row],[UTILIDAD (%)]])))-D.sign_Data[[#This Row],[COSTOS OPERACIONALES ($COP)]]</f>
        <v>1392.132581323408</v>
      </c>
      <c r="AB857" s="3">
        <f>+D.sign_Data[[#This Row],[COSTOS OPERACIONALES ($COP)]]+D.sign_Data[[#This Row],[DESFASE ($COP)]]+D.sign_Data[[#This Row],[UTILIDAD ($COP)]]</f>
        <v>7239.0894228817215</v>
      </c>
      <c r="AC857" s="101">
        <v>0.05</v>
      </c>
      <c r="AD857" s="15">
        <f>+D.sign_Data[[#This Row],[VALOR NETO ($COP)]]/(100%-D.sign_Data[[#This Row],[MARGEN DE NEGOCIACIÓN (%)]])-D.sign_Data[[#This Row],[VALOR NETO ($COP)]]</f>
        <v>381.00470646745907</v>
      </c>
      <c r="AE857" s="15">
        <f>+(D.sign_Data[[#This Row],[VALOR NETO ($COP)]]+D.sign_Data[[#This Row],[NEGOCIACIÓN ($COP)]])*1%</f>
        <v>76.200941293491809</v>
      </c>
      <c r="AF857" s="15">
        <f>+(D.sign_Data[[#This Row],[VALOR NETO ($COP)]]+D.sign_Data[[#This Row],[NEGOCIACIÓN ($COP)]])*1%</f>
        <v>76.200941293491809</v>
      </c>
      <c r="AG857" s="3">
        <f>+D.sign_Data[[#This Row],[VALOR NETO ($COP)]]+D.sign_Data[[#This Row],[NEGOCIACIÓN ($COP)]]+D.sign_Data[[#This Row],[ICA ($COP)]]+D.sign_Data[[#This Row],[4 * 1000 ($COP)]]</f>
        <v>7772.4960119361649</v>
      </c>
    </row>
    <row r="858" spans="1:33" ht="60" hidden="1" customHeight="1" x14ac:dyDescent="0.25">
      <c r="A858" s="14"/>
      <c r="B858" s="87" t="s">
        <v>418</v>
      </c>
      <c r="C858" s="182" t="s">
        <v>929</v>
      </c>
      <c r="D858" s="189" t="str">
        <f>VLOOKUP(D.sign_Data[[#This Row],[CÓDIGO]],Descripciones[[CÓDIGO]:[NOMBRE DE SERVICIO]],3,FALSE)</f>
        <v>D3. Vivienda Campestre</v>
      </c>
      <c r="E858" s="87" t="s">
        <v>497</v>
      </c>
      <c r="F858" s="88" t="s">
        <v>930</v>
      </c>
      <c r="G858" s="88" t="s">
        <v>792</v>
      </c>
      <c r="H858" s="87" t="s">
        <v>500</v>
      </c>
      <c r="I858" s="89">
        <v>1</v>
      </c>
      <c r="J858" s="88" t="s">
        <v>932</v>
      </c>
      <c r="K858" s="102"/>
      <c r="L858" s="88" t="s">
        <v>476</v>
      </c>
      <c r="M858" s="89" t="s">
        <v>381</v>
      </c>
      <c r="N858" s="90">
        <v>0.5</v>
      </c>
      <c r="O858" s="27">
        <f>IFERROR(+VLOOKUP(M858,D.sign_Lista_Data[[RESPONSABLE]:[SOFTWARE 
VALOR HORA]],3,FALSE),"0")</f>
        <v>20263.424518743668</v>
      </c>
      <c r="P858" s="3">
        <f t="shared" si="28"/>
        <v>10131.712259371834</v>
      </c>
      <c r="Q858" s="11">
        <f>IFERROR(+VLOOKUP(M858,D.sign_Lista_Data[[RESPONSABLE]:[SOFTWARE 
VALOR HORA]],5,FALSE)*D.sign_Data[[#This Row],[TIEMPO (HORAS)]],0)</f>
        <v>2110.7733873691318</v>
      </c>
      <c r="R858" s="11">
        <f>IFERROR(+VLOOKUP(M858,D.sign_Lista_Data[[RESPONSABLE]:[SOFTWARE 
VALOR HORA]],8,FALSE)*D.sign_Data[[#This Row],[TIEMPO (HORAS)]],0)</f>
        <v>1705.4274435719917</v>
      </c>
      <c r="S858" s="99"/>
      <c r="T858" s="99"/>
      <c r="U858" s="3">
        <f t="shared" si="29"/>
        <v>13947.913090312959</v>
      </c>
      <c r="V858" s="100">
        <f>D.sign_Data[[#This Row],[TIEMPO (HORAS)]]*Gastos_Operativos[[#Totals],[GASTOS HORA]]</f>
        <v>13894.738536155201</v>
      </c>
      <c r="W858" s="3">
        <f>+D.sign_Data[[#This Row],[COSTO 
DIRECTO ($COP)]]+D.sign_Data[[#This Row],[PRORRATEO GASTOS ($COP)]]</f>
        <v>27842.65162646816</v>
      </c>
      <c r="X858" s="101">
        <v>0.05</v>
      </c>
      <c r="Y858" s="15">
        <f>+D.sign_Data[[#This Row],[COSTOS OPERACIONALES ($COP)]]*D.sign_Data[[#This Row],[DESFASE (%)]]</f>
        <v>1392.132581323408</v>
      </c>
      <c r="Z858" s="101">
        <v>0.2</v>
      </c>
      <c r="AA858" s="15">
        <f>+((D.sign_Data[[#This Row],[COSTOS OPERACIONALES ($COP)]]/(100%-D.sign_Data[[#This Row],[UTILIDAD (%)]])))-D.sign_Data[[#This Row],[COSTOS OPERACIONALES ($COP)]]</f>
        <v>6960.662906617039</v>
      </c>
      <c r="AB858" s="3">
        <f>+D.sign_Data[[#This Row],[COSTOS OPERACIONALES ($COP)]]+D.sign_Data[[#This Row],[DESFASE ($COP)]]+D.sign_Data[[#This Row],[UTILIDAD ($COP)]]</f>
        <v>36195.447114408606</v>
      </c>
      <c r="AC858" s="101">
        <v>0.05</v>
      </c>
      <c r="AD858" s="15">
        <f>+D.sign_Data[[#This Row],[VALOR NETO ($COP)]]/(100%-D.sign_Data[[#This Row],[MARGEN DE NEGOCIACIÓN (%)]])-D.sign_Data[[#This Row],[VALOR NETO ($COP)]]</f>
        <v>1905.0235323372981</v>
      </c>
      <c r="AE858" s="15">
        <f>+(D.sign_Data[[#This Row],[VALOR NETO ($COP)]]+D.sign_Data[[#This Row],[NEGOCIACIÓN ($COP)]])*1%</f>
        <v>381.00470646745902</v>
      </c>
      <c r="AF858" s="15">
        <f>+(D.sign_Data[[#This Row],[VALOR NETO ($COP)]]+D.sign_Data[[#This Row],[NEGOCIACIÓN ($COP)]])*1%</f>
        <v>381.00470646745902</v>
      </c>
      <c r="AG858" s="3">
        <f>+D.sign_Data[[#This Row],[VALOR NETO ($COP)]]+D.sign_Data[[#This Row],[NEGOCIACIÓN ($COP)]]+D.sign_Data[[#This Row],[ICA ($COP)]]+D.sign_Data[[#This Row],[4 * 1000 ($COP)]]</f>
        <v>38862.48005968082</v>
      </c>
    </row>
    <row r="859" spans="1:33" ht="60" hidden="1" customHeight="1" x14ac:dyDescent="0.25">
      <c r="A859" s="14"/>
      <c r="B859" s="87" t="s">
        <v>418</v>
      </c>
      <c r="C859" s="182" t="s">
        <v>929</v>
      </c>
      <c r="D859" s="189" t="str">
        <f>VLOOKUP(D.sign_Data[[#This Row],[CÓDIGO]],Descripciones[[CÓDIGO]:[NOMBRE DE SERVICIO]],3,FALSE)</f>
        <v>D3. Vivienda Campestre</v>
      </c>
      <c r="E859" s="87" t="s">
        <v>497</v>
      </c>
      <c r="F859" s="88" t="s">
        <v>930</v>
      </c>
      <c r="G859" s="88" t="s">
        <v>792</v>
      </c>
      <c r="H859" s="87" t="s">
        <v>500</v>
      </c>
      <c r="I859" s="89">
        <v>1</v>
      </c>
      <c r="J859" s="88" t="s">
        <v>932</v>
      </c>
      <c r="K859" s="102"/>
      <c r="L859" s="88" t="s">
        <v>770</v>
      </c>
      <c r="M859" s="89" t="s">
        <v>381</v>
      </c>
      <c r="N859" s="90">
        <v>1</v>
      </c>
      <c r="O859" s="27">
        <f>IFERROR(+VLOOKUP(M859,D.sign_Lista_Data[[RESPONSABLE]:[SOFTWARE 
VALOR HORA]],3,FALSE),"0")</f>
        <v>20263.424518743668</v>
      </c>
      <c r="P859" s="3">
        <f t="shared" si="28"/>
        <v>20263.424518743668</v>
      </c>
      <c r="Q859" s="11">
        <f>IFERROR(+VLOOKUP(M859,D.sign_Lista_Data[[RESPONSABLE]:[SOFTWARE 
VALOR HORA]],5,FALSE)*D.sign_Data[[#This Row],[TIEMPO (HORAS)]],0)</f>
        <v>4221.5467747382636</v>
      </c>
      <c r="R859" s="11">
        <f>IFERROR(+VLOOKUP(M859,D.sign_Lista_Data[[RESPONSABLE]:[SOFTWARE 
VALOR HORA]],8,FALSE)*D.sign_Data[[#This Row],[TIEMPO (HORAS)]],0)</f>
        <v>3410.8548871439834</v>
      </c>
      <c r="S859" s="99"/>
      <c r="T859" s="99"/>
      <c r="U859" s="3">
        <f t="shared" si="29"/>
        <v>27895.826180625918</v>
      </c>
      <c r="V859" s="100">
        <f>D.sign_Data[[#This Row],[TIEMPO (HORAS)]]*Gastos_Operativos[[#Totals],[GASTOS HORA]]</f>
        <v>27789.477072310401</v>
      </c>
      <c r="W859" s="3">
        <f>+D.sign_Data[[#This Row],[COSTO 
DIRECTO ($COP)]]+D.sign_Data[[#This Row],[PRORRATEO GASTOS ($COP)]]</f>
        <v>55685.303252936319</v>
      </c>
      <c r="X859" s="101">
        <v>0.05</v>
      </c>
      <c r="Y859" s="15">
        <f>+D.sign_Data[[#This Row],[COSTOS OPERACIONALES ($COP)]]*D.sign_Data[[#This Row],[DESFASE (%)]]</f>
        <v>2784.265162646816</v>
      </c>
      <c r="Z859" s="101">
        <v>0.2</v>
      </c>
      <c r="AA859" s="15">
        <f>+((D.sign_Data[[#This Row],[COSTOS OPERACIONALES ($COP)]]/(100%-D.sign_Data[[#This Row],[UTILIDAD (%)]])))-D.sign_Data[[#This Row],[COSTOS OPERACIONALES ($COP)]]</f>
        <v>13921.325813234078</v>
      </c>
      <c r="AB859" s="3">
        <f>+D.sign_Data[[#This Row],[COSTOS OPERACIONALES ($COP)]]+D.sign_Data[[#This Row],[DESFASE ($COP)]]+D.sign_Data[[#This Row],[UTILIDAD ($COP)]]</f>
        <v>72390.894228817211</v>
      </c>
      <c r="AC859" s="101">
        <v>0.05</v>
      </c>
      <c r="AD859" s="15">
        <f>+D.sign_Data[[#This Row],[VALOR NETO ($COP)]]/(100%-D.sign_Data[[#This Row],[MARGEN DE NEGOCIACIÓN (%)]])-D.sign_Data[[#This Row],[VALOR NETO ($COP)]]</f>
        <v>3810.0470646745962</v>
      </c>
      <c r="AE859" s="15">
        <f>+(D.sign_Data[[#This Row],[VALOR NETO ($COP)]]+D.sign_Data[[#This Row],[NEGOCIACIÓN ($COP)]])*1%</f>
        <v>762.00941293491803</v>
      </c>
      <c r="AF859" s="15">
        <f>+(D.sign_Data[[#This Row],[VALOR NETO ($COP)]]+D.sign_Data[[#This Row],[NEGOCIACIÓN ($COP)]])*1%</f>
        <v>762.00941293491803</v>
      </c>
      <c r="AG859" s="3">
        <f>+D.sign_Data[[#This Row],[VALOR NETO ($COP)]]+D.sign_Data[[#This Row],[NEGOCIACIÓN ($COP)]]+D.sign_Data[[#This Row],[ICA ($COP)]]+D.sign_Data[[#This Row],[4 * 1000 ($COP)]]</f>
        <v>77724.96011936164</v>
      </c>
    </row>
    <row r="860" spans="1:33" ht="60" hidden="1" customHeight="1" x14ac:dyDescent="0.25">
      <c r="A860" s="14"/>
      <c r="B860" s="87" t="s">
        <v>418</v>
      </c>
      <c r="C860" s="182" t="s">
        <v>929</v>
      </c>
      <c r="D860" s="189" t="str">
        <f>VLOOKUP(D.sign_Data[[#This Row],[CÓDIGO]],Descripciones[[CÓDIGO]:[NOMBRE DE SERVICIO]],3,FALSE)</f>
        <v>D3. Vivienda Campestre</v>
      </c>
      <c r="E860" s="87" t="s">
        <v>497</v>
      </c>
      <c r="F860" s="88" t="s">
        <v>930</v>
      </c>
      <c r="G860" s="88" t="s">
        <v>792</v>
      </c>
      <c r="H860" s="87" t="s">
        <v>500</v>
      </c>
      <c r="I860" s="89">
        <v>1</v>
      </c>
      <c r="J860" s="88" t="s">
        <v>932</v>
      </c>
      <c r="K860" s="102"/>
      <c r="L860" s="88" t="s">
        <v>624</v>
      </c>
      <c r="M860" s="89" t="s">
        <v>381</v>
      </c>
      <c r="N860" s="90">
        <v>2.5</v>
      </c>
      <c r="O860" s="27">
        <f>IFERROR(+VLOOKUP(M860,D.sign_Lista_Data[[RESPONSABLE]:[SOFTWARE 
VALOR HORA]],3,FALSE),"0")</f>
        <v>20263.424518743668</v>
      </c>
      <c r="P860" s="3">
        <f t="shared" si="28"/>
        <v>50658.561296859174</v>
      </c>
      <c r="Q860" s="11">
        <f>IFERROR(+VLOOKUP(M860,D.sign_Lista_Data[[RESPONSABLE]:[SOFTWARE 
VALOR HORA]],5,FALSE)*D.sign_Data[[#This Row],[TIEMPO (HORAS)]],0)</f>
        <v>10553.866936845659</v>
      </c>
      <c r="R860" s="11">
        <f>IFERROR(+VLOOKUP(M860,D.sign_Lista_Data[[RESPONSABLE]:[SOFTWARE 
VALOR HORA]],8,FALSE)*D.sign_Data[[#This Row],[TIEMPO (HORAS)]],0)</f>
        <v>8527.1372178599595</v>
      </c>
      <c r="S860" s="99"/>
      <c r="T860" s="99"/>
      <c r="U860" s="3">
        <f t="shared" si="29"/>
        <v>69739.565451564791</v>
      </c>
      <c r="V860" s="100">
        <f>D.sign_Data[[#This Row],[TIEMPO (HORAS)]]*Gastos_Operativos[[#Totals],[GASTOS HORA]]</f>
        <v>69473.692680776003</v>
      </c>
      <c r="W860" s="3">
        <f>+D.sign_Data[[#This Row],[COSTO 
DIRECTO ($COP)]]+D.sign_Data[[#This Row],[PRORRATEO GASTOS ($COP)]]</f>
        <v>139213.25813234079</v>
      </c>
      <c r="X860" s="101">
        <v>0.05</v>
      </c>
      <c r="Y860" s="15">
        <f>+D.sign_Data[[#This Row],[COSTOS OPERACIONALES ($COP)]]*D.sign_Data[[#This Row],[DESFASE (%)]]</f>
        <v>6960.6629066170399</v>
      </c>
      <c r="Z860" s="101">
        <v>0.2</v>
      </c>
      <c r="AA860" s="15">
        <f>+((D.sign_Data[[#This Row],[COSTOS OPERACIONALES ($COP)]]/(100%-D.sign_Data[[#This Row],[UTILIDAD (%)]])))-D.sign_Data[[#This Row],[COSTOS OPERACIONALES ($COP)]]</f>
        <v>34803.314533085184</v>
      </c>
      <c r="AB860" s="3">
        <f>+D.sign_Data[[#This Row],[COSTOS OPERACIONALES ($COP)]]+D.sign_Data[[#This Row],[DESFASE ($COP)]]+D.sign_Data[[#This Row],[UTILIDAD ($COP)]]</f>
        <v>180977.23557204302</v>
      </c>
      <c r="AC860" s="101">
        <v>0.05</v>
      </c>
      <c r="AD860" s="15">
        <f>+D.sign_Data[[#This Row],[VALOR NETO ($COP)]]/(100%-D.sign_Data[[#This Row],[MARGEN DE NEGOCIACIÓN (%)]])-D.sign_Data[[#This Row],[VALOR NETO ($COP)]]</f>
        <v>9525.1176616864977</v>
      </c>
      <c r="AE860" s="15">
        <f>+(D.sign_Data[[#This Row],[VALOR NETO ($COP)]]+D.sign_Data[[#This Row],[NEGOCIACIÓN ($COP)]])*1%</f>
        <v>1905.0235323372951</v>
      </c>
      <c r="AF860" s="15">
        <f>+(D.sign_Data[[#This Row],[VALOR NETO ($COP)]]+D.sign_Data[[#This Row],[NEGOCIACIÓN ($COP)]])*1%</f>
        <v>1905.0235323372951</v>
      </c>
      <c r="AG860" s="3">
        <f>+D.sign_Data[[#This Row],[VALOR NETO ($COP)]]+D.sign_Data[[#This Row],[NEGOCIACIÓN ($COP)]]+D.sign_Data[[#This Row],[ICA ($COP)]]+D.sign_Data[[#This Row],[4 * 1000 ($COP)]]</f>
        <v>194312.40029840413</v>
      </c>
    </row>
    <row r="861" spans="1:33" ht="60" hidden="1" customHeight="1" x14ac:dyDescent="0.25">
      <c r="A861" s="14"/>
      <c r="B861" s="87" t="s">
        <v>418</v>
      </c>
      <c r="C861" s="182" t="s">
        <v>929</v>
      </c>
      <c r="D861" s="189" t="str">
        <f>VLOOKUP(D.sign_Data[[#This Row],[CÓDIGO]],Descripciones[[CÓDIGO]:[NOMBRE DE SERVICIO]],3,FALSE)</f>
        <v>D3. Vivienda Campestre</v>
      </c>
      <c r="E861" s="87" t="s">
        <v>497</v>
      </c>
      <c r="F861" s="88" t="s">
        <v>930</v>
      </c>
      <c r="G861" s="88" t="s">
        <v>792</v>
      </c>
      <c r="H861" s="87" t="s">
        <v>500</v>
      </c>
      <c r="I861" s="89">
        <v>1</v>
      </c>
      <c r="J861" s="88" t="s">
        <v>932</v>
      </c>
      <c r="K861" s="102"/>
      <c r="L861" s="88" t="s">
        <v>733</v>
      </c>
      <c r="M861" s="89" t="s">
        <v>381</v>
      </c>
      <c r="N861" s="90">
        <v>4</v>
      </c>
      <c r="O861" s="27">
        <f>IFERROR(+VLOOKUP(M861,D.sign_Lista_Data[[RESPONSABLE]:[SOFTWARE 
VALOR HORA]],3,FALSE),"0")</f>
        <v>20263.424518743668</v>
      </c>
      <c r="P861" s="3">
        <f t="shared" si="28"/>
        <v>81053.698074974673</v>
      </c>
      <c r="Q861" s="11">
        <f>IFERROR(+VLOOKUP(M861,D.sign_Lista_Data[[RESPONSABLE]:[SOFTWARE 
VALOR HORA]],5,FALSE)*D.sign_Data[[#This Row],[TIEMPO (HORAS)]],0)</f>
        <v>16886.187098953054</v>
      </c>
      <c r="R861" s="11">
        <f>IFERROR(+VLOOKUP(M861,D.sign_Lista_Data[[RESPONSABLE]:[SOFTWARE 
VALOR HORA]],8,FALSE)*D.sign_Data[[#This Row],[TIEMPO (HORAS)]],0)</f>
        <v>13643.419548575934</v>
      </c>
      <c r="S861" s="99"/>
      <c r="T861" s="99"/>
      <c r="U861" s="3">
        <f t="shared" si="29"/>
        <v>111583.30472250367</v>
      </c>
      <c r="V861" s="100">
        <f>D.sign_Data[[#This Row],[TIEMPO (HORAS)]]*Gastos_Operativos[[#Totals],[GASTOS HORA]]</f>
        <v>111157.9082892416</v>
      </c>
      <c r="W861" s="3">
        <f>+D.sign_Data[[#This Row],[COSTO 
DIRECTO ($COP)]]+D.sign_Data[[#This Row],[PRORRATEO GASTOS ($COP)]]</f>
        <v>222741.21301174528</v>
      </c>
      <c r="X861" s="101">
        <v>0.05</v>
      </c>
      <c r="Y861" s="15">
        <f>+D.sign_Data[[#This Row],[COSTOS OPERACIONALES ($COP)]]*D.sign_Data[[#This Row],[DESFASE (%)]]</f>
        <v>11137.060650587264</v>
      </c>
      <c r="Z861" s="101">
        <v>0.2</v>
      </c>
      <c r="AA861" s="15">
        <f>+((D.sign_Data[[#This Row],[COSTOS OPERACIONALES ($COP)]]/(100%-D.sign_Data[[#This Row],[UTILIDAD (%)]])))-D.sign_Data[[#This Row],[COSTOS OPERACIONALES ($COP)]]</f>
        <v>55685.303252936312</v>
      </c>
      <c r="AB861" s="3">
        <f>+D.sign_Data[[#This Row],[COSTOS OPERACIONALES ($COP)]]+D.sign_Data[[#This Row],[DESFASE ($COP)]]+D.sign_Data[[#This Row],[UTILIDAD ($COP)]]</f>
        <v>289563.57691526884</v>
      </c>
      <c r="AC861" s="101">
        <v>0.05</v>
      </c>
      <c r="AD861" s="15">
        <f>+D.sign_Data[[#This Row],[VALOR NETO ($COP)]]/(100%-D.sign_Data[[#This Row],[MARGEN DE NEGOCIACIÓN (%)]])-D.sign_Data[[#This Row],[VALOR NETO ($COP)]]</f>
        <v>15240.188258698385</v>
      </c>
      <c r="AE861" s="15">
        <f>+(D.sign_Data[[#This Row],[VALOR NETO ($COP)]]+D.sign_Data[[#This Row],[NEGOCIACIÓN ($COP)]])*1%</f>
        <v>3048.0376517396721</v>
      </c>
      <c r="AF861" s="15">
        <f>+(D.sign_Data[[#This Row],[VALOR NETO ($COP)]]+D.sign_Data[[#This Row],[NEGOCIACIÓN ($COP)]])*1%</f>
        <v>3048.0376517396721</v>
      </c>
      <c r="AG861" s="3">
        <f>+D.sign_Data[[#This Row],[VALOR NETO ($COP)]]+D.sign_Data[[#This Row],[NEGOCIACIÓN ($COP)]]+D.sign_Data[[#This Row],[ICA ($COP)]]+D.sign_Data[[#This Row],[4 * 1000 ($COP)]]</f>
        <v>310899.84047744656</v>
      </c>
    </row>
    <row r="862" spans="1:33" ht="60" hidden="1" customHeight="1" x14ac:dyDescent="0.25">
      <c r="A862" s="14"/>
      <c r="B862" s="87" t="s">
        <v>418</v>
      </c>
      <c r="C862" s="182" t="s">
        <v>929</v>
      </c>
      <c r="D862" s="189" t="str">
        <f>VLOOKUP(D.sign_Data[[#This Row],[CÓDIGO]],Descripciones[[CÓDIGO]:[NOMBRE DE SERVICIO]],3,FALSE)</f>
        <v>D3. Vivienda Campestre</v>
      </c>
      <c r="E862" s="87" t="s">
        <v>497</v>
      </c>
      <c r="F862" s="88" t="s">
        <v>930</v>
      </c>
      <c r="G862" s="88" t="s">
        <v>792</v>
      </c>
      <c r="H862" s="87" t="s">
        <v>500</v>
      </c>
      <c r="I862" s="89">
        <v>1</v>
      </c>
      <c r="J862" s="88" t="s">
        <v>932</v>
      </c>
      <c r="K862" s="102"/>
      <c r="L862" s="88" t="s">
        <v>771</v>
      </c>
      <c r="M862" s="89" t="s">
        <v>381</v>
      </c>
      <c r="N862" s="90">
        <v>1</v>
      </c>
      <c r="O862" s="27">
        <f>IFERROR(+VLOOKUP(M862,D.sign_Lista_Data[[RESPONSABLE]:[SOFTWARE 
VALOR HORA]],3,FALSE),"0")</f>
        <v>20263.424518743668</v>
      </c>
      <c r="P862" s="3">
        <f t="shared" si="28"/>
        <v>20263.424518743668</v>
      </c>
      <c r="Q862" s="11">
        <f>IFERROR(+VLOOKUP(M862,D.sign_Lista_Data[[RESPONSABLE]:[SOFTWARE 
VALOR HORA]],5,FALSE)*D.sign_Data[[#This Row],[TIEMPO (HORAS)]],0)</f>
        <v>4221.5467747382636</v>
      </c>
      <c r="R862" s="11">
        <f>IFERROR(+VLOOKUP(M862,D.sign_Lista_Data[[RESPONSABLE]:[SOFTWARE 
VALOR HORA]],8,FALSE)*D.sign_Data[[#This Row],[TIEMPO (HORAS)]],0)</f>
        <v>3410.8548871439834</v>
      </c>
      <c r="S862" s="99"/>
      <c r="T862" s="99"/>
      <c r="U862" s="3">
        <f t="shared" si="29"/>
        <v>27895.826180625918</v>
      </c>
      <c r="V862" s="100">
        <f>D.sign_Data[[#This Row],[TIEMPO (HORAS)]]*Gastos_Operativos[[#Totals],[GASTOS HORA]]</f>
        <v>27789.477072310401</v>
      </c>
      <c r="W862" s="3">
        <f>+D.sign_Data[[#This Row],[COSTO 
DIRECTO ($COP)]]+D.sign_Data[[#This Row],[PRORRATEO GASTOS ($COP)]]</f>
        <v>55685.303252936319</v>
      </c>
      <c r="X862" s="101">
        <v>0.05</v>
      </c>
      <c r="Y862" s="15">
        <f>+D.sign_Data[[#This Row],[COSTOS OPERACIONALES ($COP)]]*D.sign_Data[[#This Row],[DESFASE (%)]]</f>
        <v>2784.265162646816</v>
      </c>
      <c r="Z862" s="101">
        <v>0.2</v>
      </c>
      <c r="AA862" s="15">
        <f>+((D.sign_Data[[#This Row],[COSTOS OPERACIONALES ($COP)]]/(100%-D.sign_Data[[#This Row],[UTILIDAD (%)]])))-D.sign_Data[[#This Row],[COSTOS OPERACIONALES ($COP)]]</f>
        <v>13921.325813234078</v>
      </c>
      <c r="AB862" s="3">
        <f>+D.sign_Data[[#This Row],[COSTOS OPERACIONALES ($COP)]]+D.sign_Data[[#This Row],[DESFASE ($COP)]]+D.sign_Data[[#This Row],[UTILIDAD ($COP)]]</f>
        <v>72390.894228817211</v>
      </c>
      <c r="AC862" s="101">
        <v>0.05</v>
      </c>
      <c r="AD862" s="15">
        <f>+D.sign_Data[[#This Row],[VALOR NETO ($COP)]]/(100%-D.sign_Data[[#This Row],[MARGEN DE NEGOCIACIÓN (%)]])-D.sign_Data[[#This Row],[VALOR NETO ($COP)]]</f>
        <v>3810.0470646745962</v>
      </c>
      <c r="AE862" s="15">
        <f>+(D.sign_Data[[#This Row],[VALOR NETO ($COP)]]+D.sign_Data[[#This Row],[NEGOCIACIÓN ($COP)]])*1%</f>
        <v>762.00941293491803</v>
      </c>
      <c r="AF862" s="15">
        <f>+(D.sign_Data[[#This Row],[VALOR NETO ($COP)]]+D.sign_Data[[#This Row],[NEGOCIACIÓN ($COP)]])*1%</f>
        <v>762.00941293491803</v>
      </c>
      <c r="AG862" s="3">
        <f>+D.sign_Data[[#This Row],[VALOR NETO ($COP)]]+D.sign_Data[[#This Row],[NEGOCIACIÓN ($COP)]]+D.sign_Data[[#This Row],[ICA ($COP)]]+D.sign_Data[[#This Row],[4 * 1000 ($COP)]]</f>
        <v>77724.96011936164</v>
      </c>
    </row>
    <row r="863" spans="1:33" ht="60" hidden="1" customHeight="1" x14ac:dyDescent="0.25">
      <c r="A863" s="14"/>
      <c r="B863" s="87" t="s">
        <v>418</v>
      </c>
      <c r="C863" s="182" t="s">
        <v>929</v>
      </c>
      <c r="D863" s="189" t="str">
        <f>VLOOKUP(D.sign_Data[[#This Row],[CÓDIGO]],Descripciones[[CÓDIGO]:[NOMBRE DE SERVICIO]],3,FALSE)</f>
        <v>D3. Vivienda Campestre</v>
      </c>
      <c r="E863" s="87" t="s">
        <v>497</v>
      </c>
      <c r="F863" s="88" t="s">
        <v>930</v>
      </c>
      <c r="G863" s="88" t="s">
        <v>792</v>
      </c>
      <c r="H863" s="87" t="s">
        <v>500</v>
      </c>
      <c r="I863" s="89">
        <v>1</v>
      </c>
      <c r="J863" s="88" t="s">
        <v>932</v>
      </c>
      <c r="K863" s="102"/>
      <c r="L863" s="88" t="s">
        <v>483</v>
      </c>
      <c r="M863" s="89" t="s">
        <v>381</v>
      </c>
      <c r="N863" s="90">
        <v>0.5</v>
      </c>
      <c r="O863" s="27">
        <f>IFERROR(+VLOOKUP(M863,D.sign_Lista_Data[[RESPONSABLE]:[SOFTWARE 
VALOR HORA]],3,FALSE),"0")</f>
        <v>20263.424518743668</v>
      </c>
      <c r="P863" s="3">
        <f t="shared" si="28"/>
        <v>10131.712259371834</v>
      </c>
      <c r="Q863" s="11">
        <f>IFERROR(+VLOOKUP(M863,D.sign_Lista_Data[[RESPONSABLE]:[SOFTWARE 
VALOR HORA]],5,FALSE)*D.sign_Data[[#This Row],[TIEMPO (HORAS)]],0)</f>
        <v>2110.7733873691318</v>
      </c>
      <c r="R863" s="11">
        <f>IFERROR(+VLOOKUP(M863,D.sign_Lista_Data[[RESPONSABLE]:[SOFTWARE 
VALOR HORA]],8,FALSE)*D.sign_Data[[#This Row],[TIEMPO (HORAS)]],0)</f>
        <v>1705.4274435719917</v>
      </c>
      <c r="S863" s="99"/>
      <c r="T863" s="99"/>
      <c r="U863" s="3">
        <f t="shared" si="29"/>
        <v>13947.913090312959</v>
      </c>
      <c r="V863" s="100">
        <f>D.sign_Data[[#This Row],[TIEMPO (HORAS)]]*Gastos_Operativos[[#Totals],[GASTOS HORA]]</f>
        <v>13894.738536155201</v>
      </c>
      <c r="W863" s="3">
        <f>+D.sign_Data[[#This Row],[COSTO 
DIRECTO ($COP)]]+D.sign_Data[[#This Row],[PRORRATEO GASTOS ($COP)]]</f>
        <v>27842.65162646816</v>
      </c>
      <c r="X863" s="101">
        <v>0.05</v>
      </c>
      <c r="Y863" s="15">
        <f>+D.sign_Data[[#This Row],[COSTOS OPERACIONALES ($COP)]]*D.sign_Data[[#This Row],[DESFASE (%)]]</f>
        <v>1392.132581323408</v>
      </c>
      <c r="Z863" s="101">
        <v>0.2</v>
      </c>
      <c r="AA863" s="15">
        <f>+((D.sign_Data[[#This Row],[COSTOS OPERACIONALES ($COP)]]/(100%-D.sign_Data[[#This Row],[UTILIDAD (%)]])))-D.sign_Data[[#This Row],[COSTOS OPERACIONALES ($COP)]]</f>
        <v>6960.662906617039</v>
      </c>
      <c r="AB863" s="3">
        <f>+D.sign_Data[[#This Row],[COSTOS OPERACIONALES ($COP)]]+D.sign_Data[[#This Row],[DESFASE ($COP)]]+D.sign_Data[[#This Row],[UTILIDAD ($COP)]]</f>
        <v>36195.447114408606</v>
      </c>
      <c r="AC863" s="101">
        <v>0.05</v>
      </c>
      <c r="AD863" s="15">
        <f>+D.sign_Data[[#This Row],[VALOR NETO ($COP)]]/(100%-D.sign_Data[[#This Row],[MARGEN DE NEGOCIACIÓN (%)]])-D.sign_Data[[#This Row],[VALOR NETO ($COP)]]</f>
        <v>1905.0235323372981</v>
      </c>
      <c r="AE863" s="15">
        <f>+(D.sign_Data[[#This Row],[VALOR NETO ($COP)]]+D.sign_Data[[#This Row],[NEGOCIACIÓN ($COP)]])*1%</f>
        <v>381.00470646745902</v>
      </c>
      <c r="AF863" s="15">
        <f>+(D.sign_Data[[#This Row],[VALOR NETO ($COP)]]+D.sign_Data[[#This Row],[NEGOCIACIÓN ($COP)]])*1%</f>
        <v>381.00470646745902</v>
      </c>
      <c r="AG863" s="3">
        <f>+D.sign_Data[[#This Row],[VALOR NETO ($COP)]]+D.sign_Data[[#This Row],[NEGOCIACIÓN ($COP)]]+D.sign_Data[[#This Row],[ICA ($COP)]]+D.sign_Data[[#This Row],[4 * 1000 ($COP)]]</f>
        <v>38862.48005968082</v>
      </c>
    </row>
    <row r="864" spans="1:33" ht="60" hidden="1" customHeight="1" x14ac:dyDescent="0.25">
      <c r="A864" s="14"/>
      <c r="B864" s="87" t="s">
        <v>418</v>
      </c>
      <c r="C864" s="182" t="s">
        <v>929</v>
      </c>
      <c r="D864" s="189" t="str">
        <f>VLOOKUP(D.sign_Data[[#This Row],[CÓDIGO]],Descripciones[[CÓDIGO]:[NOMBRE DE SERVICIO]],3,FALSE)</f>
        <v>D3. Vivienda Campestre</v>
      </c>
      <c r="E864" s="87" t="s">
        <v>497</v>
      </c>
      <c r="F864" s="88" t="s">
        <v>930</v>
      </c>
      <c r="G864" s="88" t="s">
        <v>792</v>
      </c>
      <c r="H864" s="87" t="s">
        <v>500</v>
      </c>
      <c r="I864" s="89">
        <v>1</v>
      </c>
      <c r="J864" s="88" t="s">
        <v>932</v>
      </c>
      <c r="K864" s="102"/>
      <c r="L864" s="88" t="s">
        <v>474</v>
      </c>
      <c r="M864" s="89" t="s">
        <v>381</v>
      </c>
      <c r="N864" s="90">
        <v>0.1</v>
      </c>
      <c r="O864" s="27">
        <f>IFERROR(+VLOOKUP(M864,D.sign_Lista_Data[[RESPONSABLE]:[SOFTWARE 
VALOR HORA]],3,FALSE),"0")</f>
        <v>20263.424518743668</v>
      </c>
      <c r="P864" s="3">
        <f t="shared" si="28"/>
        <v>2026.3424518743668</v>
      </c>
      <c r="Q864" s="11">
        <f>IFERROR(+VLOOKUP(M864,D.sign_Lista_Data[[RESPONSABLE]:[SOFTWARE 
VALOR HORA]],5,FALSE)*D.sign_Data[[#This Row],[TIEMPO (HORAS)]],0)</f>
        <v>422.15467747382638</v>
      </c>
      <c r="R864" s="11">
        <f>IFERROR(+VLOOKUP(M864,D.sign_Lista_Data[[RESPONSABLE]:[SOFTWARE 
VALOR HORA]],8,FALSE)*D.sign_Data[[#This Row],[TIEMPO (HORAS)]],0)</f>
        <v>341.08548871439837</v>
      </c>
      <c r="S864" s="99"/>
      <c r="T864" s="99"/>
      <c r="U864" s="3">
        <f t="shared" si="29"/>
        <v>2789.5826180625913</v>
      </c>
      <c r="V864" s="100">
        <f>D.sign_Data[[#This Row],[TIEMPO (HORAS)]]*Gastos_Operativos[[#Totals],[GASTOS HORA]]</f>
        <v>2778.9477072310401</v>
      </c>
      <c r="W864" s="3">
        <f>+D.sign_Data[[#This Row],[COSTO 
DIRECTO ($COP)]]+D.sign_Data[[#This Row],[PRORRATEO GASTOS ($COP)]]</f>
        <v>5568.5303252936319</v>
      </c>
      <c r="X864" s="101">
        <v>0.05</v>
      </c>
      <c r="Y864" s="15">
        <f>+D.sign_Data[[#This Row],[COSTOS OPERACIONALES ($COP)]]*D.sign_Data[[#This Row],[DESFASE (%)]]</f>
        <v>278.4265162646816</v>
      </c>
      <c r="Z864" s="101">
        <v>0.2</v>
      </c>
      <c r="AA864" s="15">
        <f>+((D.sign_Data[[#This Row],[COSTOS OPERACIONALES ($COP)]]/(100%-D.sign_Data[[#This Row],[UTILIDAD (%)]])))-D.sign_Data[[#This Row],[COSTOS OPERACIONALES ($COP)]]</f>
        <v>1392.132581323408</v>
      </c>
      <c r="AB864" s="3">
        <f>+D.sign_Data[[#This Row],[COSTOS OPERACIONALES ($COP)]]+D.sign_Data[[#This Row],[DESFASE ($COP)]]+D.sign_Data[[#This Row],[UTILIDAD ($COP)]]</f>
        <v>7239.0894228817215</v>
      </c>
      <c r="AC864" s="101">
        <v>0.05</v>
      </c>
      <c r="AD864" s="15">
        <f>+D.sign_Data[[#This Row],[VALOR NETO ($COP)]]/(100%-D.sign_Data[[#This Row],[MARGEN DE NEGOCIACIÓN (%)]])-D.sign_Data[[#This Row],[VALOR NETO ($COP)]]</f>
        <v>381.00470646745907</v>
      </c>
      <c r="AE864" s="15">
        <f>+(D.sign_Data[[#This Row],[VALOR NETO ($COP)]]+D.sign_Data[[#This Row],[NEGOCIACIÓN ($COP)]])*1%</f>
        <v>76.200941293491809</v>
      </c>
      <c r="AF864" s="15">
        <f>+(D.sign_Data[[#This Row],[VALOR NETO ($COP)]]+D.sign_Data[[#This Row],[NEGOCIACIÓN ($COP)]])*1%</f>
        <v>76.200941293491809</v>
      </c>
      <c r="AG864" s="3">
        <f>+D.sign_Data[[#This Row],[VALOR NETO ($COP)]]+D.sign_Data[[#This Row],[NEGOCIACIÓN ($COP)]]+D.sign_Data[[#This Row],[ICA ($COP)]]+D.sign_Data[[#This Row],[4 * 1000 ($COP)]]</f>
        <v>7772.4960119361649</v>
      </c>
    </row>
    <row r="865" spans="1:33" ht="60" hidden="1" customHeight="1" x14ac:dyDescent="0.25">
      <c r="A865" s="14"/>
      <c r="B865" s="87" t="s">
        <v>418</v>
      </c>
      <c r="C865" s="182" t="s">
        <v>929</v>
      </c>
      <c r="D865" s="189" t="str">
        <f>VLOOKUP(D.sign_Data[[#This Row],[CÓDIGO]],Descripciones[[CÓDIGO]:[NOMBRE DE SERVICIO]],3,FALSE)</f>
        <v>D3. Vivienda Campestre</v>
      </c>
      <c r="E865" s="87" t="s">
        <v>497</v>
      </c>
      <c r="F865" s="88" t="s">
        <v>930</v>
      </c>
      <c r="G865" s="88" t="s">
        <v>792</v>
      </c>
      <c r="H865" s="87" t="s">
        <v>500</v>
      </c>
      <c r="I865" s="89">
        <v>1</v>
      </c>
      <c r="J865" s="88" t="s">
        <v>933</v>
      </c>
      <c r="K865" s="102"/>
      <c r="L865" s="88" t="s">
        <v>476</v>
      </c>
      <c r="M865" s="89" t="s">
        <v>381</v>
      </c>
      <c r="N865" s="90">
        <v>0.5</v>
      </c>
      <c r="O865" s="27">
        <f>IFERROR(+VLOOKUP(M865,D.sign_Lista_Data[[RESPONSABLE]:[SOFTWARE 
VALOR HORA]],3,FALSE),"0")</f>
        <v>20263.424518743668</v>
      </c>
      <c r="P865" s="3">
        <f t="shared" si="28"/>
        <v>10131.712259371834</v>
      </c>
      <c r="Q865" s="11">
        <f>IFERROR(+VLOOKUP(M865,D.sign_Lista_Data[[RESPONSABLE]:[SOFTWARE 
VALOR HORA]],5,FALSE)*D.sign_Data[[#This Row],[TIEMPO (HORAS)]],0)</f>
        <v>2110.7733873691318</v>
      </c>
      <c r="R865" s="11">
        <f>IFERROR(+VLOOKUP(M865,D.sign_Lista_Data[[RESPONSABLE]:[SOFTWARE 
VALOR HORA]],8,FALSE)*D.sign_Data[[#This Row],[TIEMPO (HORAS)]],0)</f>
        <v>1705.4274435719917</v>
      </c>
      <c r="S865" s="99"/>
      <c r="T865" s="99"/>
      <c r="U865" s="3">
        <f t="shared" si="29"/>
        <v>13947.913090312959</v>
      </c>
      <c r="V865" s="100">
        <f>D.sign_Data[[#This Row],[TIEMPO (HORAS)]]*Gastos_Operativos[[#Totals],[GASTOS HORA]]</f>
        <v>13894.738536155201</v>
      </c>
      <c r="W865" s="3">
        <f>+D.sign_Data[[#This Row],[COSTO 
DIRECTO ($COP)]]+D.sign_Data[[#This Row],[PRORRATEO GASTOS ($COP)]]</f>
        <v>27842.65162646816</v>
      </c>
      <c r="X865" s="101">
        <v>0.05</v>
      </c>
      <c r="Y865" s="15">
        <f>+D.sign_Data[[#This Row],[COSTOS OPERACIONALES ($COP)]]*D.sign_Data[[#This Row],[DESFASE (%)]]</f>
        <v>1392.132581323408</v>
      </c>
      <c r="Z865" s="101">
        <v>0.2</v>
      </c>
      <c r="AA865" s="15">
        <f>+((D.sign_Data[[#This Row],[COSTOS OPERACIONALES ($COP)]]/(100%-D.sign_Data[[#This Row],[UTILIDAD (%)]])))-D.sign_Data[[#This Row],[COSTOS OPERACIONALES ($COP)]]</f>
        <v>6960.662906617039</v>
      </c>
      <c r="AB865" s="3">
        <f>+D.sign_Data[[#This Row],[COSTOS OPERACIONALES ($COP)]]+D.sign_Data[[#This Row],[DESFASE ($COP)]]+D.sign_Data[[#This Row],[UTILIDAD ($COP)]]</f>
        <v>36195.447114408606</v>
      </c>
      <c r="AC865" s="101">
        <v>0.05</v>
      </c>
      <c r="AD865" s="15">
        <f>+D.sign_Data[[#This Row],[VALOR NETO ($COP)]]/(100%-D.sign_Data[[#This Row],[MARGEN DE NEGOCIACIÓN (%)]])-D.sign_Data[[#This Row],[VALOR NETO ($COP)]]</f>
        <v>1905.0235323372981</v>
      </c>
      <c r="AE865" s="15">
        <f>+(D.sign_Data[[#This Row],[VALOR NETO ($COP)]]+D.sign_Data[[#This Row],[NEGOCIACIÓN ($COP)]])*1%</f>
        <v>381.00470646745902</v>
      </c>
      <c r="AF865" s="15">
        <f>+(D.sign_Data[[#This Row],[VALOR NETO ($COP)]]+D.sign_Data[[#This Row],[NEGOCIACIÓN ($COP)]])*1%</f>
        <v>381.00470646745902</v>
      </c>
      <c r="AG865" s="3">
        <f>+D.sign_Data[[#This Row],[VALOR NETO ($COP)]]+D.sign_Data[[#This Row],[NEGOCIACIÓN ($COP)]]+D.sign_Data[[#This Row],[ICA ($COP)]]+D.sign_Data[[#This Row],[4 * 1000 ($COP)]]</f>
        <v>38862.48005968082</v>
      </c>
    </row>
    <row r="866" spans="1:33" ht="60" hidden="1" customHeight="1" x14ac:dyDescent="0.25">
      <c r="A866" s="14"/>
      <c r="B866" s="87" t="s">
        <v>418</v>
      </c>
      <c r="C866" s="182" t="s">
        <v>929</v>
      </c>
      <c r="D866" s="189" t="str">
        <f>VLOOKUP(D.sign_Data[[#This Row],[CÓDIGO]],Descripciones[[CÓDIGO]:[NOMBRE DE SERVICIO]],3,FALSE)</f>
        <v>D3. Vivienda Campestre</v>
      </c>
      <c r="E866" s="87" t="s">
        <v>497</v>
      </c>
      <c r="F866" s="88" t="s">
        <v>930</v>
      </c>
      <c r="G866" s="88" t="s">
        <v>792</v>
      </c>
      <c r="H866" s="87" t="s">
        <v>500</v>
      </c>
      <c r="I866" s="89">
        <v>1</v>
      </c>
      <c r="J866" s="88" t="s">
        <v>933</v>
      </c>
      <c r="K866" s="102"/>
      <c r="L866" s="88" t="s">
        <v>624</v>
      </c>
      <c r="M866" s="89" t="s">
        <v>381</v>
      </c>
      <c r="N866" s="90">
        <v>2.5</v>
      </c>
      <c r="O866" s="27">
        <f>IFERROR(+VLOOKUP(M866,D.sign_Lista_Data[[RESPONSABLE]:[SOFTWARE 
VALOR HORA]],3,FALSE),"0")</f>
        <v>20263.424518743668</v>
      </c>
      <c r="P866" s="3">
        <f t="shared" si="28"/>
        <v>50658.561296859174</v>
      </c>
      <c r="Q866" s="11">
        <f>IFERROR(+VLOOKUP(M866,D.sign_Lista_Data[[RESPONSABLE]:[SOFTWARE 
VALOR HORA]],5,FALSE)*D.sign_Data[[#This Row],[TIEMPO (HORAS)]],0)</f>
        <v>10553.866936845659</v>
      </c>
      <c r="R866" s="11">
        <f>IFERROR(+VLOOKUP(M866,D.sign_Lista_Data[[RESPONSABLE]:[SOFTWARE 
VALOR HORA]],8,FALSE)*D.sign_Data[[#This Row],[TIEMPO (HORAS)]],0)</f>
        <v>8527.1372178599595</v>
      </c>
      <c r="S866" s="99"/>
      <c r="T866" s="99"/>
      <c r="U866" s="3">
        <f t="shared" si="29"/>
        <v>69739.565451564791</v>
      </c>
      <c r="V866" s="100">
        <f>D.sign_Data[[#This Row],[TIEMPO (HORAS)]]*Gastos_Operativos[[#Totals],[GASTOS HORA]]</f>
        <v>69473.692680776003</v>
      </c>
      <c r="W866" s="3">
        <f>+D.sign_Data[[#This Row],[COSTO 
DIRECTO ($COP)]]+D.sign_Data[[#This Row],[PRORRATEO GASTOS ($COP)]]</f>
        <v>139213.25813234079</v>
      </c>
      <c r="X866" s="101">
        <v>0.05</v>
      </c>
      <c r="Y866" s="15">
        <f>+D.sign_Data[[#This Row],[COSTOS OPERACIONALES ($COP)]]*D.sign_Data[[#This Row],[DESFASE (%)]]</f>
        <v>6960.6629066170399</v>
      </c>
      <c r="Z866" s="101">
        <v>0.2</v>
      </c>
      <c r="AA866" s="15">
        <f>+((D.sign_Data[[#This Row],[COSTOS OPERACIONALES ($COP)]]/(100%-D.sign_Data[[#This Row],[UTILIDAD (%)]])))-D.sign_Data[[#This Row],[COSTOS OPERACIONALES ($COP)]]</f>
        <v>34803.314533085184</v>
      </c>
      <c r="AB866" s="3">
        <f>+D.sign_Data[[#This Row],[COSTOS OPERACIONALES ($COP)]]+D.sign_Data[[#This Row],[DESFASE ($COP)]]+D.sign_Data[[#This Row],[UTILIDAD ($COP)]]</f>
        <v>180977.23557204302</v>
      </c>
      <c r="AC866" s="101">
        <v>0.05</v>
      </c>
      <c r="AD866" s="15">
        <f>+D.sign_Data[[#This Row],[VALOR NETO ($COP)]]/(100%-D.sign_Data[[#This Row],[MARGEN DE NEGOCIACIÓN (%)]])-D.sign_Data[[#This Row],[VALOR NETO ($COP)]]</f>
        <v>9525.1176616864977</v>
      </c>
      <c r="AE866" s="15">
        <f>+(D.sign_Data[[#This Row],[VALOR NETO ($COP)]]+D.sign_Data[[#This Row],[NEGOCIACIÓN ($COP)]])*1%</f>
        <v>1905.0235323372951</v>
      </c>
      <c r="AF866" s="15">
        <f>+(D.sign_Data[[#This Row],[VALOR NETO ($COP)]]+D.sign_Data[[#This Row],[NEGOCIACIÓN ($COP)]])*1%</f>
        <v>1905.0235323372951</v>
      </c>
      <c r="AG866" s="3">
        <f>+D.sign_Data[[#This Row],[VALOR NETO ($COP)]]+D.sign_Data[[#This Row],[NEGOCIACIÓN ($COP)]]+D.sign_Data[[#This Row],[ICA ($COP)]]+D.sign_Data[[#This Row],[4 * 1000 ($COP)]]</f>
        <v>194312.40029840413</v>
      </c>
    </row>
    <row r="867" spans="1:33" ht="60" hidden="1" customHeight="1" x14ac:dyDescent="0.25">
      <c r="A867" s="14"/>
      <c r="B867" s="87" t="s">
        <v>418</v>
      </c>
      <c r="C867" s="182" t="s">
        <v>929</v>
      </c>
      <c r="D867" s="189" t="str">
        <f>VLOOKUP(D.sign_Data[[#This Row],[CÓDIGO]],Descripciones[[CÓDIGO]:[NOMBRE DE SERVICIO]],3,FALSE)</f>
        <v>D3. Vivienda Campestre</v>
      </c>
      <c r="E867" s="87" t="s">
        <v>497</v>
      </c>
      <c r="F867" s="88" t="s">
        <v>930</v>
      </c>
      <c r="G867" s="88" t="s">
        <v>792</v>
      </c>
      <c r="H867" s="87" t="s">
        <v>500</v>
      </c>
      <c r="I867" s="89">
        <v>1</v>
      </c>
      <c r="J867" s="88" t="s">
        <v>933</v>
      </c>
      <c r="K867" s="102"/>
      <c r="L867" s="88" t="s">
        <v>797</v>
      </c>
      <c r="M867" s="89" t="s">
        <v>381</v>
      </c>
      <c r="N867" s="90">
        <v>0.5</v>
      </c>
      <c r="O867" s="27">
        <f>IFERROR(+VLOOKUP(M867,D.sign_Lista_Data[[RESPONSABLE]:[SOFTWARE 
VALOR HORA]],3,FALSE),"0")</f>
        <v>20263.424518743668</v>
      </c>
      <c r="P867" s="3">
        <f t="shared" si="28"/>
        <v>10131.712259371834</v>
      </c>
      <c r="Q867" s="11">
        <f>IFERROR(+VLOOKUP(M867,D.sign_Lista_Data[[RESPONSABLE]:[SOFTWARE 
VALOR HORA]],5,FALSE)*D.sign_Data[[#This Row],[TIEMPO (HORAS)]],0)</f>
        <v>2110.7733873691318</v>
      </c>
      <c r="R867" s="11">
        <f>IFERROR(+VLOOKUP(M867,D.sign_Lista_Data[[RESPONSABLE]:[SOFTWARE 
VALOR HORA]],8,FALSE)*D.sign_Data[[#This Row],[TIEMPO (HORAS)]],0)</f>
        <v>1705.4274435719917</v>
      </c>
      <c r="S867" s="99"/>
      <c r="T867" s="99"/>
      <c r="U867" s="3">
        <f t="shared" si="29"/>
        <v>13947.913090312959</v>
      </c>
      <c r="V867" s="100">
        <f>D.sign_Data[[#This Row],[TIEMPO (HORAS)]]*Gastos_Operativos[[#Totals],[GASTOS HORA]]</f>
        <v>13894.738536155201</v>
      </c>
      <c r="W867" s="3">
        <f>+D.sign_Data[[#This Row],[COSTO 
DIRECTO ($COP)]]+D.sign_Data[[#This Row],[PRORRATEO GASTOS ($COP)]]</f>
        <v>27842.65162646816</v>
      </c>
      <c r="X867" s="101">
        <v>0.05</v>
      </c>
      <c r="Y867" s="15">
        <f>+D.sign_Data[[#This Row],[COSTOS OPERACIONALES ($COP)]]*D.sign_Data[[#This Row],[DESFASE (%)]]</f>
        <v>1392.132581323408</v>
      </c>
      <c r="Z867" s="101">
        <v>0.2</v>
      </c>
      <c r="AA867" s="15">
        <f>+((D.sign_Data[[#This Row],[COSTOS OPERACIONALES ($COP)]]/(100%-D.sign_Data[[#This Row],[UTILIDAD (%)]])))-D.sign_Data[[#This Row],[COSTOS OPERACIONALES ($COP)]]</f>
        <v>6960.662906617039</v>
      </c>
      <c r="AB867" s="3">
        <f>+D.sign_Data[[#This Row],[COSTOS OPERACIONALES ($COP)]]+D.sign_Data[[#This Row],[DESFASE ($COP)]]+D.sign_Data[[#This Row],[UTILIDAD ($COP)]]</f>
        <v>36195.447114408606</v>
      </c>
      <c r="AC867" s="101">
        <v>0.05</v>
      </c>
      <c r="AD867" s="15">
        <f>+D.sign_Data[[#This Row],[VALOR NETO ($COP)]]/(100%-D.sign_Data[[#This Row],[MARGEN DE NEGOCIACIÓN (%)]])-D.sign_Data[[#This Row],[VALOR NETO ($COP)]]</f>
        <v>1905.0235323372981</v>
      </c>
      <c r="AE867" s="15">
        <f>+(D.sign_Data[[#This Row],[VALOR NETO ($COP)]]+D.sign_Data[[#This Row],[NEGOCIACIÓN ($COP)]])*1%</f>
        <v>381.00470646745902</v>
      </c>
      <c r="AF867" s="15">
        <f>+(D.sign_Data[[#This Row],[VALOR NETO ($COP)]]+D.sign_Data[[#This Row],[NEGOCIACIÓN ($COP)]])*1%</f>
        <v>381.00470646745902</v>
      </c>
      <c r="AG867" s="3">
        <f>+D.sign_Data[[#This Row],[VALOR NETO ($COP)]]+D.sign_Data[[#This Row],[NEGOCIACIÓN ($COP)]]+D.sign_Data[[#This Row],[ICA ($COP)]]+D.sign_Data[[#This Row],[4 * 1000 ($COP)]]</f>
        <v>38862.48005968082</v>
      </c>
    </row>
    <row r="868" spans="1:33" ht="60" hidden="1" customHeight="1" x14ac:dyDescent="0.25">
      <c r="A868" s="14"/>
      <c r="B868" s="87" t="s">
        <v>418</v>
      </c>
      <c r="C868" s="182" t="s">
        <v>929</v>
      </c>
      <c r="D868" s="189" t="str">
        <f>VLOOKUP(D.sign_Data[[#This Row],[CÓDIGO]],Descripciones[[CÓDIGO]:[NOMBRE DE SERVICIO]],3,FALSE)</f>
        <v>D3. Vivienda Campestre</v>
      </c>
      <c r="E868" s="87" t="s">
        <v>497</v>
      </c>
      <c r="F868" s="88" t="s">
        <v>930</v>
      </c>
      <c r="G868" s="88" t="s">
        <v>792</v>
      </c>
      <c r="H868" s="87" t="s">
        <v>500</v>
      </c>
      <c r="I868" s="89">
        <v>1</v>
      </c>
      <c r="J868" s="88" t="s">
        <v>933</v>
      </c>
      <c r="K868" s="102"/>
      <c r="L868" s="88" t="s">
        <v>779</v>
      </c>
      <c r="M868" s="89" t="s">
        <v>381</v>
      </c>
      <c r="N868" s="90">
        <v>0.5</v>
      </c>
      <c r="O868" s="27">
        <f>IFERROR(+VLOOKUP(M868,D.sign_Lista_Data[[RESPONSABLE]:[SOFTWARE 
VALOR HORA]],3,FALSE),"0")</f>
        <v>20263.424518743668</v>
      </c>
      <c r="P868" s="3">
        <f t="shared" si="28"/>
        <v>10131.712259371834</v>
      </c>
      <c r="Q868" s="11">
        <f>IFERROR(+VLOOKUP(M868,D.sign_Lista_Data[[RESPONSABLE]:[SOFTWARE 
VALOR HORA]],5,FALSE)*D.sign_Data[[#This Row],[TIEMPO (HORAS)]],0)</f>
        <v>2110.7733873691318</v>
      </c>
      <c r="R868" s="11">
        <f>IFERROR(+VLOOKUP(M868,D.sign_Lista_Data[[RESPONSABLE]:[SOFTWARE 
VALOR HORA]],8,FALSE)*D.sign_Data[[#This Row],[TIEMPO (HORAS)]],0)</f>
        <v>1705.4274435719917</v>
      </c>
      <c r="S868" s="99"/>
      <c r="T868" s="99"/>
      <c r="U868" s="3">
        <f t="shared" si="29"/>
        <v>13947.913090312959</v>
      </c>
      <c r="V868" s="100">
        <f>D.sign_Data[[#This Row],[TIEMPO (HORAS)]]*Gastos_Operativos[[#Totals],[GASTOS HORA]]</f>
        <v>13894.738536155201</v>
      </c>
      <c r="W868" s="3">
        <f>+D.sign_Data[[#This Row],[COSTO 
DIRECTO ($COP)]]+D.sign_Data[[#This Row],[PRORRATEO GASTOS ($COP)]]</f>
        <v>27842.65162646816</v>
      </c>
      <c r="X868" s="101">
        <v>0.05</v>
      </c>
      <c r="Y868" s="15">
        <f>+D.sign_Data[[#This Row],[COSTOS OPERACIONALES ($COP)]]*D.sign_Data[[#This Row],[DESFASE (%)]]</f>
        <v>1392.132581323408</v>
      </c>
      <c r="Z868" s="101">
        <v>0.2</v>
      </c>
      <c r="AA868" s="15">
        <f>+((D.sign_Data[[#This Row],[COSTOS OPERACIONALES ($COP)]]/(100%-D.sign_Data[[#This Row],[UTILIDAD (%)]])))-D.sign_Data[[#This Row],[COSTOS OPERACIONALES ($COP)]]</f>
        <v>6960.662906617039</v>
      </c>
      <c r="AB868" s="3">
        <f>+D.sign_Data[[#This Row],[COSTOS OPERACIONALES ($COP)]]+D.sign_Data[[#This Row],[DESFASE ($COP)]]+D.sign_Data[[#This Row],[UTILIDAD ($COP)]]</f>
        <v>36195.447114408606</v>
      </c>
      <c r="AC868" s="101">
        <v>0.05</v>
      </c>
      <c r="AD868" s="15">
        <f>+D.sign_Data[[#This Row],[VALOR NETO ($COP)]]/(100%-D.sign_Data[[#This Row],[MARGEN DE NEGOCIACIÓN (%)]])-D.sign_Data[[#This Row],[VALOR NETO ($COP)]]</f>
        <v>1905.0235323372981</v>
      </c>
      <c r="AE868" s="15">
        <f>+(D.sign_Data[[#This Row],[VALOR NETO ($COP)]]+D.sign_Data[[#This Row],[NEGOCIACIÓN ($COP)]])*1%</f>
        <v>381.00470646745902</v>
      </c>
      <c r="AF868" s="15">
        <f>+(D.sign_Data[[#This Row],[VALOR NETO ($COP)]]+D.sign_Data[[#This Row],[NEGOCIACIÓN ($COP)]])*1%</f>
        <v>381.00470646745902</v>
      </c>
      <c r="AG868" s="3">
        <f>+D.sign_Data[[#This Row],[VALOR NETO ($COP)]]+D.sign_Data[[#This Row],[NEGOCIACIÓN ($COP)]]+D.sign_Data[[#This Row],[ICA ($COP)]]+D.sign_Data[[#This Row],[4 * 1000 ($COP)]]</f>
        <v>38862.48005968082</v>
      </c>
    </row>
    <row r="869" spans="1:33" ht="60" hidden="1" customHeight="1" x14ac:dyDescent="0.25">
      <c r="A869" s="14"/>
      <c r="B869" s="87" t="s">
        <v>418</v>
      </c>
      <c r="C869" s="182" t="s">
        <v>929</v>
      </c>
      <c r="D869" s="189" t="str">
        <f>VLOOKUP(D.sign_Data[[#This Row],[CÓDIGO]],Descripciones[[CÓDIGO]:[NOMBRE DE SERVICIO]],3,FALSE)</f>
        <v>D3. Vivienda Campestre</v>
      </c>
      <c r="E869" s="87" t="s">
        <v>497</v>
      </c>
      <c r="F869" s="88" t="s">
        <v>930</v>
      </c>
      <c r="G869" s="88" t="s">
        <v>792</v>
      </c>
      <c r="H869" s="87" t="s">
        <v>500</v>
      </c>
      <c r="I869" s="89">
        <v>1</v>
      </c>
      <c r="J869" s="88" t="s">
        <v>933</v>
      </c>
      <c r="K869" s="102"/>
      <c r="L869" s="88" t="s">
        <v>798</v>
      </c>
      <c r="M869" s="89" t="s">
        <v>381</v>
      </c>
      <c r="N869" s="90">
        <v>0.5</v>
      </c>
      <c r="O869" s="27">
        <f>IFERROR(+VLOOKUP(M869,D.sign_Lista_Data[[RESPONSABLE]:[SOFTWARE 
VALOR HORA]],3,FALSE),"0")</f>
        <v>20263.424518743668</v>
      </c>
      <c r="P869" s="3">
        <f t="shared" si="28"/>
        <v>10131.712259371834</v>
      </c>
      <c r="Q869" s="11">
        <f>IFERROR(+VLOOKUP(M869,D.sign_Lista_Data[[RESPONSABLE]:[SOFTWARE 
VALOR HORA]],5,FALSE)*D.sign_Data[[#This Row],[TIEMPO (HORAS)]],0)</f>
        <v>2110.7733873691318</v>
      </c>
      <c r="R869" s="11">
        <f>IFERROR(+VLOOKUP(M869,D.sign_Lista_Data[[RESPONSABLE]:[SOFTWARE 
VALOR HORA]],8,FALSE)*D.sign_Data[[#This Row],[TIEMPO (HORAS)]],0)</f>
        <v>1705.4274435719917</v>
      </c>
      <c r="S869" s="99"/>
      <c r="T869" s="99"/>
      <c r="U869" s="3">
        <f t="shared" si="29"/>
        <v>13947.913090312959</v>
      </c>
      <c r="V869" s="100">
        <f>D.sign_Data[[#This Row],[TIEMPO (HORAS)]]*Gastos_Operativos[[#Totals],[GASTOS HORA]]</f>
        <v>13894.738536155201</v>
      </c>
      <c r="W869" s="3">
        <f>+D.sign_Data[[#This Row],[COSTO 
DIRECTO ($COP)]]+D.sign_Data[[#This Row],[PRORRATEO GASTOS ($COP)]]</f>
        <v>27842.65162646816</v>
      </c>
      <c r="X869" s="101">
        <v>0.05</v>
      </c>
      <c r="Y869" s="15">
        <f>+D.sign_Data[[#This Row],[COSTOS OPERACIONALES ($COP)]]*D.sign_Data[[#This Row],[DESFASE (%)]]</f>
        <v>1392.132581323408</v>
      </c>
      <c r="Z869" s="101">
        <v>0.2</v>
      </c>
      <c r="AA869" s="15">
        <f>+((D.sign_Data[[#This Row],[COSTOS OPERACIONALES ($COP)]]/(100%-D.sign_Data[[#This Row],[UTILIDAD (%)]])))-D.sign_Data[[#This Row],[COSTOS OPERACIONALES ($COP)]]</f>
        <v>6960.662906617039</v>
      </c>
      <c r="AB869" s="3">
        <f>+D.sign_Data[[#This Row],[COSTOS OPERACIONALES ($COP)]]+D.sign_Data[[#This Row],[DESFASE ($COP)]]+D.sign_Data[[#This Row],[UTILIDAD ($COP)]]</f>
        <v>36195.447114408606</v>
      </c>
      <c r="AC869" s="101">
        <v>0.05</v>
      </c>
      <c r="AD869" s="15">
        <f>+D.sign_Data[[#This Row],[VALOR NETO ($COP)]]/(100%-D.sign_Data[[#This Row],[MARGEN DE NEGOCIACIÓN (%)]])-D.sign_Data[[#This Row],[VALOR NETO ($COP)]]</f>
        <v>1905.0235323372981</v>
      </c>
      <c r="AE869" s="15">
        <f>+(D.sign_Data[[#This Row],[VALOR NETO ($COP)]]+D.sign_Data[[#This Row],[NEGOCIACIÓN ($COP)]])*1%</f>
        <v>381.00470646745902</v>
      </c>
      <c r="AF869" s="15">
        <f>+(D.sign_Data[[#This Row],[VALOR NETO ($COP)]]+D.sign_Data[[#This Row],[NEGOCIACIÓN ($COP)]])*1%</f>
        <v>381.00470646745902</v>
      </c>
      <c r="AG869" s="3">
        <f>+D.sign_Data[[#This Row],[VALOR NETO ($COP)]]+D.sign_Data[[#This Row],[NEGOCIACIÓN ($COP)]]+D.sign_Data[[#This Row],[ICA ($COP)]]+D.sign_Data[[#This Row],[4 * 1000 ($COP)]]</f>
        <v>38862.48005968082</v>
      </c>
    </row>
    <row r="870" spans="1:33" ht="60" hidden="1" customHeight="1" x14ac:dyDescent="0.25">
      <c r="A870" s="14"/>
      <c r="B870" s="87" t="s">
        <v>418</v>
      </c>
      <c r="C870" s="182" t="s">
        <v>929</v>
      </c>
      <c r="D870" s="189" t="str">
        <f>VLOOKUP(D.sign_Data[[#This Row],[CÓDIGO]],Descripciones[[CÓDIGO]:[NOMBRE DE SERVICIO]],3,FALSE)</f>
        <v>D3. Vivienda Campestre</v>
      </c>
      <c r="E870" s="87" t="s">
        <v>497</v>
      </c>
      <c r="F870" s="88" t="s">
        <v>930</v>
      </c>
      <c r="G870" s="88" t="s">
        <v>792</v>
      </c>
      <c r="H870" s="87" t="s">
        <v>500</v>
      </c>
      <c r="I870" s="89">
        <v>1</v>
      </c>
      <c r="J870" s="88" t="s">
        <v>933</v>
      </c>
      <c r="K870" s="102"/>
      <c r="L870" s="88" t="s">
        <v>483</v>
      </c>
      <c r="M870" s="89" t="s">
        <v>381</v>
      </c>
      <c r="N870" s="90">
        <v>0.5</v>
      </c>
      <c r="O870" s="27">
        <f>IFERROR(+VLOOKUP(M870,D.sign_Lista_Data[[RESPONSABLE]:[SOFTWARE 
VALOR HORA]],3,FALSE),"0")</f>
        <v>20263.424518743668</v>
      </c>
      <c r="P870" s="3">
        <f t="shared" si="28"/>
        <v>10131.712259371834</v>
      </c>
      <c r="Q870" s="11">
        <f>IFERROR(+VLOOKUP(M870,D.sign_Lista_Data[[RESPONSABLE]:[SOFTWARE 
VALOR HORA]],5,FALSE)*D.sign_Data[[#This Row],[TIEMPO (HORAS)]],0)</f>
        <v>2110.7733873691318</v>
      </c>
      <c r="R870" s="11">
        <f>IFERROR(+VLOOKUP(M870,D.sign_Lista_Data[[RESPONSABLE]:[SOFTWARE 
VALOR HORA]],8,FALSE)*D.sign_Data[[#This Row],[TIEMPO (HORAS)]],0)</f>
        <v>1705.4274435719917</v>
      </c>
      <c r="S870" s="99"/>
      <c r="T870" s="99"/>
      <c r="U870" s="3">
        <f t="shared" si="29"/>
        <v>13947.913090312959</v>
      </c>
      <c r="V870" s="100">
        <f>D.sign_Data[[#This Row],[TIEMPO (HORAS)]]*Gastos_Operativos[[#Totals],[GASTOS HORA]]</f>
        <v>13894.738536155201</v>
      </c>
      <c r="W870" s="3">
        <f>+D.sign_Data[[#This Row],[COSTO 
DIRECTO ($COP)]]+D.sign_Data[[#This Row],[PRORRATEO GASTOS ($COP)]]</f>
        <v>27842.65162646816</v>
      </c>
      <c r="X870" s="101">
        <v>0.05</v>
      </c>
      <c r="Y870" s="15">
        <f>+D.sign_Data[[#This Row],[COSTOS OPERACIONALES ($COP)]]*D.sign_Data[[#This Row],[DESFASE (%)]]</f>
        <v>1392.132581323408</v>
      </c>
      <c r="Z870" s="101">
        <v>0.2</v>
      </c>
      <c r="AA870" s="15">
        <f>+((D.sign_Data[[#This Row],[COSTOS OPERACIONALES ($COP)]]/(100%-D.sign_Data[[#This Row],[UTILIDAD (%)]])))-D.sign_Data[[#This Row],[COSTOS OPERACIONALES ($COP)]]</f>
        <v>6960.662906617039</v>
      </c>
      <c r="AB870" s="3">
        <f>+D.sign_Data[[#This Row],[COSTOS OPERACIONALES ($COP)]]+D.sign_Data[[#This Row],[DESFASE ($COP)]]+D.sign_Data[[#This Row],[UTILIDAD ($COP)]]</f>
        <v>36195.447114408606</v>
      </c>
      <c r="AC870" s="101">
        <v>0.05</v>
      </c>
      <c r="AD870" s="15">
        <f>+D.sign_Data[[#This Row],[VALOR NETO ($COP)]]/(100%-D.sign_Data[[#This Row],[MARGEN DE NEGOCIACIÓN (%)]])-D.sign_Data[[#This Row],[VALOR NETO ($COP)]]</f>
        <v>1905.0235323372981</v>
      </c>
      <c r="AE870" s="15">
        <f>+(D.sign_Data[[#This Row],[VALOR NETO ($COP)]]+D.sign_Data[[#This Row],[NEGOCIACIÓN ($COP)]])*1%</f>
        <v>381.00470646745902</v>
      </c>
      <c r="AF870" s="15">
        <f>+(D.sign_Data[[#This Row],[VALOR NETO ($COP)]]+D.sign_Data[[#This Row],[NEGOCIACIÓN ($COP)]])*1%</f>
        <v>381.00470646745902</v>
      </c>
      <c r="AG870" s="3">
        <f>+D.sign_Data[[#This Row],[VALOR NETO ($COP)]]+D.sign_Data[[#This Row],[NEGOCIACIÓN ($COP)]]+D.sign_Data[[#This Row],[ICA ($COP)]]+D.sign_Data[[#This Row],[4 * 1000 ($COP)]]</f>
        <v>38862.48005968082</v>
      </c>
    </row>
    <row r="871" spans="1:33" ht="60" hidden="1" customHeight="1" x14ac:dyDescent="0.25">
      <c r="A871" s="14"/>
      <c r="B871" s="87" t="s">
        <v>418</v>
      </c>
      <c r="C871" s="182" t="s">
        <v>929</v>
      </c>
      <c r="D871" s="189" t="str">
        <f>VLOOKUP(D.sign_Data[[#This Row],[CÓDIGO]],Descripciones[[CÓDIGO]:[NOMBRE DE SERVICIO]],3,FALSE)</f>
        <v>D3. Vivienda Campestre</v>
      </c>
      <c r="E871" s="87" t="s">
        <v>497</v>
      </c>
      <c r="F871" s="88" t="s">
        <v>930</v>
      </c>
      <c r="G871" s="88" t="s">
        <v>792</v>
      </c>
      <c r="H871" s="87" t="s">
        <v>500</v>
      </c>
      <c r="I871" s="89">
        <v>1</v>
      </c>
      <c r="J871" s="88" t="s">
        <v>933</v>
      </c>
      <c r="K871" s="102"/>
      <c r="L871" s="88" t="s">
        <v>474</v>
      </c>
      <c r="M871" s="89" t="s">
        <v>381</v>
      </c>
      <c r="N871" s="90">
        <v>0.1</v>
      </c>
      <c r="O871" s="27">
        <f>IFERROR(+VLOOKUP(M871,D.sign_Lista_Data[[RESPONSABLE]:[SOFTWARE 
VALOR HORA]],3,FALSE),"0")</f>
        <v>20263.424518743668</v>
      </c>
      <c r="P871" s="3">
        <f t="shared" si="28"/>
        <v>2026.3424518743668</v>
      </c>
      <c r="Q871" s="11">
        <f>IFERROR(+VLOOKUP(M871,D.sign_Lista_Data[[RESPONSABLE]:[SOFTWARE 
VALOR HORA]],5,FALSE)*D.sign_Data[[#This Row],[TIEMPO (HORAS)]],0)</f>
        <v>422.15467747382638</v>
      </c>
      <c r="R871" s="11">
        <f>IFERROR(+VLOOKUP(M871,D.sign_Lista_Data[[RESPONSABLE]:[SOFTWARE 
VALOR HORA]],8,FALSE)*D.sign_Data[[#This Row],[TIEMPO (HORAS)]],0)</f>
        <v>341.08548871439837</v>
      </c>
      <c r="S871" s="99"/>
      <c r="T871" s="99"/>
      <c r="U871" s="3">
        <f t="shared" si="29"/>
        <v>2789.5826180625913</v>
      </c>
      <c r="V871" s="100">
        <f>D.sign_Data[[#This Row],[TIEMPO (HORAS)]]*Gastos_Operativos[[#Totals],[GASTOS HORA]]</f>
        <v>2778.9477072310401</v>
      </c>
      <c r="W871" s="3">
        <f>+D.sign_Data[[#This Row],[COSTO 
DIRECTO ($COP)]]+D.sign_Data[[#This Row],[PRORRATEO GASTOS ($COP)]]</f>
        <v>5568.5303252936319</v>
      </c>
      <c r="X871" s="101">
        <v>0.05</v>
      </c>
      <c r="Y871" s="15">
        <f>+D.sign_Data[[#This Row],[COSTOS OPERACIONALES ($COP)]]*D.sign_Data[[#This Row],[DESFASE (%)]]</f>
        <v>278.4265162646816</v>
      </c>
      <c r="Z871" s="101">
        <v>0.2</v>
      </c>
      <c r="AA871" s="15">
        <f>+((D.sign_Data[[#This Row],[COSTOS OPERACIONALES ($COP)]]/(100%-D.sign_Data[[#This Row],[UTILIDAD (%)]])))-D.sign_Data[[#This Row],[COSTOS OPERACIONALES ($COP)]]</f>
        <v>1392.132581323408</v>
      </c>
      <c r="AB871" s="3">
        <f>+D.sign_Data[[#This Row],[COSTOS OPERACIONALES ($COP)]]+D.sign_Data[[#This Row],[DESFASE ($COP)]]+D.sign_Data[[#This Row],[UTILIDAD ($COP)]]</f>
        <v>7239.0894228817215</v>
      </c>
      <c r="AC871" s="101">
        <v>0.05</v>
      </c>
      <c r="AD871" s="15">
        <f>+D.sign_Data[[#This Row],[VALOR NETO ($COP)]]/(100%-D.sign_Data[[#This Row],[MARGEN DE NEGOCIACIÓN (%)]])-D.sign_Data[[#This Row],[VALOR NETO ($COP)]]</f>
        <v>381.00470646745907</v>
      </c>
      <c r="AE871" s="15">
        <f>+(D.sign_Data[[#This Row],[VALOR NETO ($COP)]]+D.sign_Data[[#This Row],[NEGOCIACIÓN ($COP)]])*1%</f>
        <v>76.200941293491809</v>
      </c>
      <c r="AF871" s="15">
        <f>+(D.sign_Data[[#This Row],[VALOR NETO ($COP)]]+D.sign_Data[[#This Row],[NEGOCIACIÓN ($COP)]])*1%</f>
        <v>76.200941293491809</v>
      </c>
      <c r="AG871" s="3">
        <f>+D.sign_Data[[#This Row],[VALOR NETO ($COP)]]+D.sign_Data[[#This Row],[NEGOCIACIÓN ($COP)]]+D.sign_Data[[#This Row],[ICA ($COP)]]+D.sign_Data[[#This Row],[4 * 1000 ($COP)]]</f>
        <v>7772.4960119361649</v>
      </c>
    </row>
    <row r="872" spans="1:33" ht="60" hidden="1" customHeight="1" x14ac:dyDescent="0.25">
      <c r="A872" s="14"/>
      <c r="B872" s="87" t="s">
        <v>418</v>
      </c>
      <c r="C872" s="182" t="s">
        <v>929</v>
      </c>
      <c r="D872" s="189" t="str">
        <f>VLOOKUP(D.sign_Data[[#This Row],[CÓDIGO]],Descripciones[[CÓDIGO]:[NOMBRE DE SERVICIO]],3,FALSE)</f>
        <v>D3. Vivienda Campestre</v>
      </c>
      <c r="E872" s="87" t="s">
        <v>497</v>
      </c>
      <c r="F872" s="88" t="s">
        <v>930</v>
      </c>
      <c r="G872" s="88" t="s">
        <v>792</v>
      </c>
      <c r="H872" s="87" t="s">
        <v>500</v>
      </c>
      <c r="I872" s="89">
        <v>1</v>
      </c>
      <c r="J872" s="88" t="s">
        <v>934</v>
      </c>
      <c r="K872" s="102"/>
      <c r="L872" s="88" t="s">
        <v>773</v>
      </c>
      <c r="M872" s="89" t="s">
        <v>381</v>
      </c>
      <c r="N872" s="90">
        <v>0.5</v>
      </c>
      <c r="O872" s="27">
        <f>IFERROR(+VLOOKUP(M872,D.sign_Lista_Data[[RESPONSABLE]:[SOFTWARE 
VALOR HORA]],3,FALSE),"0")</f>
        <v>20263.424518743668</v>
      </c>
      <c r="P872" s="3">
        <f t="shared" si="28"/>
        <v>10131.712259371834</v>
      </c>
      <c r="Q872" s="11">
        <f>IFERROR(+VLOOKUP(M872,D.sign_Lista_Data[[RESPONSABLE]:[SOFTWARE 
VALOR HORA]],5,FALSE)*D.sign_Data[[#This Row],[TIEMPO (HORAS)]],0)</f>
        <v>2110.7733873691318</v>
      </c>
      <c r="R872" s="11">
        <f>IFERROR(+VLOOKUP(M872,D.sign_Lista_Data[[RESPONSABLE]:[SOFTWARE 
VALOR HORA]],8,FALSE)*D.sign_Data[[#This Row],[TIEMPO (HORAS)]],0)</f>
        <v>1705.4274435719917</v>
      </c>
      <c r="S872" s="99"/>
      <c r="T872" s="99"/>
      <c r="U872" s="3">
        <f t="shared" si="29"/>
        <v>13947.913090312959</v>
      </c>
      <c r="V872" s="100">
        <f>D.sign_Data[[#This Row],[TIEMPO (HORAS)]]*Gastos_Operativos[[#Totals],[GASTOS HORA]]</f>
        <v>13894.738536155201</v>
      </c>
      <c r="W872" s="3">
        <f>+D.sign_Data[[#This Row],[COSTO 
DIRECTO ($COP)]]+D.sign_Data[[#This Row],[PRORRATEO GASTOS ($COP)]]</f>
        <v>27842.65162646816</v>
      </c>
      <c r="X872" s="101">
        <v>0.05</v>
      </c>
      <c r="Y872" s="15">
        <f>+D.sign_Data[[#This Row],[COSTOS OPERACIONALES ($COP)]]*D.sign_Data[[#This Row],[DESFASE (%)]]</f>
        <v>1392.132581323408</v>
      </c>
      <c r="Z872" s="101">
        <v>0.2</v>
      </c>
      <c r="AA872" s="15">
        <f>+((D.sign_Data[[#This Row],[COSTOS OPERACIONALES ($COP)]]/(100%-D.sign_Data[[#This Row],[UTILIDAD (%)]])))-D.sign_Data[[#This Row],[COSTOS OPERACIONALES ($COP)]]</f>
        <v>6960.662906617039</v>
      </c>
      <c r="AB872" s="3">
        <f>+D.sign_Data[[#This Row],[COSTOS OPERACIONALES ($COP)]]+D.sign_Data[[#This Row],[DESFASE ($COP)]]+D.sign_Data[[#This Row],[UTILIDAD ($COP)]]</f>
        <v>36195.447114408606</v>
      </c>
      <c r="AC872" s="101">
        <v>0.05</v>
      </c>
      <c r="AD872" s="15">
        <f>+D.sign_Data[[#This Row],[VALOR NETO ($COP)]]/(100%-D.sign_Data[[#This Row],[MARGEN DE NEGOCIACIÓN (%)]])-D.sign_Data[[#This Row],[VALOR NETO ($COP)]]</f>
        <v>1905.0235323372981</v>
      </c>
      <c r="AE872" s="15">
        <f>+(D.sign_Data[[#This Row],[VALOR NETO ($COP)]]+D.sign_Data[[#This Row],[NEGOCIACIÓN ($COP)]])*1%</f>
        <v>381.00470646745902</v>
      </c>
      <c r="AF872" s="15">
        <f>+(D.sign_Data[[#This Row],[VALOR NETO ($COP)]]+D.sign_Data[[#This Row],[NEGOCIACIÓN ($COP)]])*1%</f>
        <v>381.00470646745902</v>
      </c>
      <c r="AG872" s="3">
        <f>+D.sign_Data[[#This Row],[VALOR NETO ($COP)]]+D.sign_Data[[#This Row],[NEGOCIACIÓN ($COP)]]+D.sign_Data[[#This Row],[ICA ($COP)]]+D.sign_Data[[#This Row],[4 * 1000 ($COP)]]</f>
        <v>38862.48005968082</v>
      </c>
    </row>
    <row r="873" spans="1:33" ht="60" hidden="1" customHeight="1" x14ac:dyDescent="0.25">
      <c r="A873" s="14"/>
      <c r="B873" s="87" t="s">
        <v>418</v>
      </c>
      <c r="C873" s="182" t="s">
        <v>929</v>
      </c>
      <c r="D873" s="189" t="str">
        <f>VLOOKUP(D.sign_Data[[#This Row],[CÓDIGO]],Descripciones[[CÓDIGO]:[NOMBRE DE SERVICIO]],3,FALSE)</f>
        <v>D3. Vivienda Campestre</v>
      </c>
      <c r="E873" s="87" t="s">
        <v>497</v>
      </c>
      <c r="F873" s="88" t="s">
        <v>930</v>
      </c>
      <c r="G873" s="88" t="s">
        <v>792</v>
      </c>
      <c r="H873" s="87" t="s">
        <v>500</v>
      </c>
      <c r="I873" s="89">
        <v>1</v>
      </c>
      <c r="J873" s="88" t="s">
        <v>934</v>
      </c>
      <c r="K873" s="102"/>
      <c r="L873" s="88" t="s">
        <v>774</v>
      </c>
      <c r="M873" s="89" t="s">
        <v>381</v>
      </c>
      <c r="N873" s="90">
        <v>0.5</v>
      </c>
      <c r="O873" s="27">
        <f>IFERROR(+VLOOKUP(M873,D.sign_Lista_Data[[RESPONSABLE]:[SOFTWARE 
VALOR HORA]],3,FALSE),"0")</f>
        <v>20263.424518743668</v>
      </c>
      <c r="P873" s="3">
        <f t="shared" si="28"/>
        <v>10131.712259371834</v>
      </c>
      <c r="Q873" s="11">
        <f>IFERROR(+VLOOKUP(M873,D.sign_Lista_Data[[RESPONSABLE]:[SOFTWARE 
VALOR HORA]],5,FALSE)*D.sign_Data[[#This Row],[TIEMPO (HORAS)]],0)</f>
        <v>2110.7733873691318</v>
      </c>
      <c r="R873" s="11">
        <f>IFERROR(+VLOOKUP(M873,D.sign_Lista_Data[[RESPONSABLE]:[SOFTWARE 
VALOR HORA]],8,FALSE)*D.sign_Data[[#This Row],[TIEMPO (HORAS)]],0)</f>
        <v>1705.4274435719917</v>
      </c>
      <c r="S873" s="99"/>
      <c r="T873" s="99"/>
      <c r="U873" s="3">
        <f t="shared" si="29"/>
        <v>13947.913090312959</v>
      </c>
      <c r="V873" s="100">
        <f>D.sign_Data[[#This Row],[TIEMPO (HORAS)]]*Gastos_Operativos[[#Totals],[GASTOS HORA]]</f>
        <v>13894.738536155201</v>
      </c>
      <c r="W873" s="3">
        <f>+D.sign_Data[[#This Row],[COSTO 
DIRECTO ($COP)]]+D.sign_Data[[#This Row],[PRORRATEO GASTOS ($COP)]]</f>
        <v>27842.65162646816</v>
      </c>
      <c r="X873" s="101">
        <v>0.05</v>
      </c>
      <c r="Y873" s="15">
        <f>+D.sign_Data[[#This Row],[COSTOS OPERACIONALES ($COP)]]*D.sign_Data[[#This Row],[DESFASE (%)]]</f>
        <v>1392.132581323408</v>
      </c>
      <c r="Z873" s="101">
        <v>0.2</v>
      </c>
      <c r="AA873" s="15">
        <f>+((D.sign_Data[[#This Row],[COSTOS OPERACIONALES ($COP)]]/(100%-D.sign_Data[[#This Row],[UTILIDAD (%)]])))-D.sign_Data[[#This Row],[COSTOS OPERACIONALES ($COP)]]</f>
        <v>6960.662906617039</v>
      </c>
      <c r="AB873" s="3">
        <f>+D.sign_Data[[#This Row],[COSTOS OPERACIONALES ($COP)]]+D.sign_Data[[#This Row],[DESFASE ($COP)]]+D.sign_Data[[#This Row],[UTILIDAD ($COP)]]</f>
        <v>36195.447114408606</v>
      </c>
      <c r="AC873" s="101">
        <v>0.05</v>
      </c>
      <c r="AD873" s="15">
        <f>+D.sign_Data[[#This Row],[VALOR NETO ($COP)]]/(100%-D.sign_Data[[#This Row],[MARGEN DE NEGOCIACIÓN (%)]])-D.sign_Data[[#This Row],[VALOR NETO ($COP)]]</f>
        <v>1905.0235323372981</v>
      </c>
      <c r="AE873" s="15">
        <f>+(D.sign_Data[[#This Row],[VALOR NETO ($COP)]]+D.sign_Data[[#This Row],[NEGOCIACIÓN ($COP)]])*1%</f>
        <v>381.00470646745902</v>
      </c>
      <c r="AF873" s="15">
        <f>+(D.sign_Data[[#This Row],[VALOR NETO ($COP)]]+D.sign_Data[[#This Row],[NEGOCIACIÓN ($COP)]])*1%</f>
        <v>381.00470646745902</v>
      </c>
      <c r="AG873" s="3">
        <f>+D.sign_Data[[#This Row],[VALOR NETO ($COP)]]+D.sign_Data[[#This Row],[NEGOCIACIÓN ($COP)]]+D.sign_Data[[#This Row],[ICA ($COP)]]+D.sign_Data[[#This Row],[4 * 1000 ($COP)]]</f>
        <v>38862.48005968082</v>
      </c>
    </row>
    <row r="874" spans="1:33" ht="60" hidden="1" customHeight="1" x14ac:dyDescent="0.25">
      <c r="A874" s="14"/>
      <c r="B874" s="87" t="s">
        <v>418</v>
      </c>
      <c r="C874" s="182" t="s">
        <v>929</v>
      </c>
      <c r="D874" s="189" t="str">
        <f>VLOOKUP(D.sign_Data[[#This Row],[CÓDIGO]],Descripciones[[CÓDIGO]:[NOMBRE DE SERVICIO]],3,FALSE)</f>
        <v>D3. Vivienda Campestre</v>
      </c>
      <c r="E874" s="87" t="s">
        <v>497</v>
      </c>
      <c r="F874" s="88" t="s">
        <v>930</v>
      </c>
      <c r="G874" s="88" t="s">
        <v>792</v>
      </c>
      <c r="H874" s="87" t="s">
        <v>500</v>
      </c>
      <c r="I874" s="89">
        <v>1</v>
      </c>
      <c r="J874" s="88" t="s">
        <v>934</v>
      </c>
      <c r="K874" s="102"/>
      <c r="L874" s="88" t="s">
        <v>476</v>
      </c>
      <c r="M874" s="89" t="s">
        <v>381</v>
      </c>
      <c r="N874" s="90">
        <v>0.5</v>
      </c>
      <c r="O874" s="27">
        <f>IFERROR(+VLOOKUP(M874,D.sign_Lista_Data[[RESPONSABLE]:[SOFTWARE 
VALOR HORA]],3,FALSE),"0")</f>
        <v>20263.424518743668</v>
      </c>
      <c r="P874" s="3">
        <f t="shared" si="28"/>
        <v>10131.712259371834</v>
      </c>
      <c r="Q874" s="11">
        <f>IFERROR(+VLOOKUP(M874,D.sign_Lista_Data[[RESPONSABLE]:[SOFTWARE 
VALOR HORA]],5,FALSE)*D.sign_Data[[#This Row],[TIEMPO (HORAS)]],0)</f>
        <v>2110.7733873691318</v>
      </c>
      <c r="R874" s="11">
        <f>IFERROR(+VLOOKUP(M874,D.sign_Lista_Data[[RESPONSABLE]:[SOFTWARE 
VALOR HORA]],8,FALSE)*D.sign_Data[[#This Row],[TIEMPO (HORAS)]],0)</f>
        <v>1705.4274435719917</v>
      </c>
      <c r="S874" s="99"/>
      <c r="T874" s="99"/>
      <c r="U874" s="3">
        <f t="shared" si="29"/>
        <v>13947.913090312959</v>
      </c>
      <c r="V874" s="100">
        <f>D.sign_Data[[#This Row],[TIEMPO (HORAS)]]*Gastos_Operativos[[#Totals],[GASTOS HORA]]</f>
        <v>13894.738536155201</v>
      </c>
      <c r="W874" s="3">
        <f>+D.sign_Data[[#This Row],[COSTO 
DIRECTO ($COP)]]+D.sign_Data[[#This Row],[PRORRATEO GASTOS ($COP)]]</f>
        <v>27842.65162646816</v>
      </c>
      <c r="X874" s="101">
        <v>0.05</v>
      </c>
      <c r="Y874" s="15">
        <f>+D.sign_Data[[#This Row],[COSTOS OPERACIONALES ($COP)]]*D.sign_Data[[#This Row],[DESFASE (%)]]</f>
        <v>1392.132581323408</v>
      </c>
      <c r="Z874" s="101">
        <v>0.2</v>
      </c>
      <c r="AA874" s="15">
        <f>+((D.sign_Data[[#This Row],[COSTOS OPERACIONALES ($COP)]]/(100%-D.sign_Data[[#This Row],[UTILIDAD (%)]])))-D.sign_Data[[#This Row],[COSTOS OPERACIONALES ($COP)]]</f>
        <v>6960.662906617039</v>
      </c>
      <c r="AB874" s="3">
        <f>+D.sign_Data[[#This Row],[COSTOS OPERACIONALES ($COP)]]+D.sign_Data[[#This Row],[DESFASE ($COP)]]+D.sign_Data[[#This Row],[UTILIDAD ($COP)]]</f>
        <v>36195.447114408606</v>
      </c>
      <c r="AC874" s="101">
        <v>0.05</v>
      </c>
      <c r="AD874" s="15">
        <f>+D.sign_Data[[#This Row],[VALOR NETO ($COP)]]/(100%-D.sign_Data[[#This Row],[MARGEN DE NEGOCIACIÓN (%)]])-D.sign_Data[[#This Row],[VALOR NETO ($COP)]]</f>
        <v>1905.0235323372981</v>
      </c>
      <c r="AE874" s="15">
        <f>+(D.sign_Data[[#This Row],[VALOR NETO ($COP)]]+D.sign_Data[[#This Row],[NEGOCIACIÓN ($COP)]])*1%</f>
        <v>381.00470646745902</v>
      </c>
      <c r="AF874" s="15">
        <f>+(D.sign_Data[[#This Row],[VALOR NETO ($COP)]]+D.sign_Data[[#This Row],[NEGOCIACIÓN ($COP)]])*1%</f>
        <v>381.00470646745902</v>
      </c>
      <c r="AG874" s="3">
        <f>+D.sign_Data[[#This Row],[VALOR NETO ($COP)]]+D.sign_Data[[#This Row],[NEGOCIACIÓN ($COP)]]+D.sign_Data[[#This Row],[ICA ($COP)]]+D.sign_Data[[#This Row],[4 * 1000 ($COP)]]</f>
        <v>38862.48005968082</v>
      </c>
    </row>
    <row r="875" spans="1:33" ht="60" hidden="1" customHeight="1" x14ac:dyDescent="0.25">
      <c r="A875" s="14"/>
      <c r="B875" s="87" t="s">
        <v>418</v>
      </c>
      <c r="C875" s="182" t="s">
        <v>929</v>
      </c>
      <c r="D875" s="189" t="str">
        <f>VLOOKUP(D.sign_Data[[#This Row],[CÓDIGO]],Descripciones[[CÓDIGO]:[NOMBRE DE SERVICIO]],3,FALSE)</f>
        <v>D3. Vivienda Campestre</v>
      </c>
      <c r="E875" s="87" t="s">
        <v>497</v>
      </c>
      <c r="F875" s="88" t="s">
        <v>930</v>
      </c>
      <c r="G875" s="88" t="s">
        <v>792</v>
      </c>
      <c r="H875" s="87" t="s">
        <v>500</v>
      </c>
      <c r="I875" s="89">
        <v>1</v>
      </c>
      <c r="J875" s="88" t="s">
        <v>934</v>
      </c>
      <c r="K875" s="102"/>
      <c r="L875" s="88" t="s">
        <v>775</v>
      </c>
      <c r="M875" s="89" t="s">
        <v>381</v>
      </c>
      <c r="N875" s="90">
        <v>1</v>
      </c>
      <c r="O875" s="27">
        <f>IFERROR(+VLOOKUP(M875,D.sign_Lista_Data[[RESPONSABLE]:[SOFTWARE 
VALOR HORA]],3,FALSE),"0")</f>
        <v>20263.424518743668</v>
      </c>
      <c r="P875" s="3">
        <f t="shared" si="28"/>
        <v>20263.424518743668</v>
      </c>
      <c r="Q875" s="11">
        <f>IFERROR(+VLOOKUP(M875,D.sign_Lista_Data[[RESPONSABLE]:[SOFTWARE 
VALOR HORA]],5,FALSE)*D.sign_Data[[#This Row],[TIEMPO (HORAS)]],0)</f>
        <v>4221.5467747382636</v>
      </c>
      <c r="R875" s="11">
        <f>IFERROR(+VLOOKUP(M875,D.sign_Lista_Data[[RESPONSABLE]:[SOFTWARE 
VALOR HORA]],8,FALSE)*D.sign_Data[[#This Row],[TIEMPO (HORAS)]],0)</f>
        <v>3410.8548871439834</v>
      </c>
      <c r="S875" s="99"/>
      <c r="T875" s="99"/>
      <c r="U875" s="3">
        <f t="shared" si="29"/>
        <v>27895.826180625918</v>
      </c>
      <c r="V875" s="100">
        <f>D.sign_Data[[#This Row],[TIEMPO (HORAS)]]*Gastos_Operativos[[#Totals],[GASTOS HORA]]</f>
        <v>27789.477072310401</v>
      </c>
      <c r="W875" s="3">
        <f>+D.sign_Data[[#This Row],[COSTO 
DIRECTO ($COP)]]+D.sign_Data[[#This Row],[PRORRATEO GASTOS ($COP)]]</f>
        <v>55685.303252936319</v>
      </c>
      <c r="X875" s="101">
        <v>0.05</v>
      </c>
      <c r="Y875" s="15">
        <f>+D.sign_Data[[#This Row],[COSTOS OPERACIONALES ($COP)]]*D.sign_Data[[#This Row],[DESFASE (%)]]</f>
        <v>2784.265162646816</v>
      </c>
      <c r="Z875" s="101">
        <v>0.2</v>
      </c>
      <c r="AA875" s="15">
        <f>+((D.sign_Data[[#This Row],[COSTOS OPERACIONALES ($COP)]]/(100%-D.sign_Data[[#This Row],[UTILIDAD (%)]])))-D.sign_Data[[#This Row],[COSTOS OPERACIONALES ($COP)]]</f>
        <v>13921.325813234078</v>
      </c>
      <c r="AB875" s="3">
        <f>+D.sign_Data[[#This Row],[COSTOS OPERACIONALES ($COP)]]+D.sign_Data[[#This Row],[DESFASE ($COP)]]+D.sign_Data[[#This Row],[UTILIDAD ($COP)]]</f>
        <v>72390.894228817211</v>
      </c>
      <c r="AC875" s="101">
        <v>0.05</v>
      </c>
      <c r="AD875" s="15">
        <f>+D.sign_Data[[#This Row],[VALOR NETO ($COP)]]/(100%-D.sign_Data[[#This Row],[MARGEN DE NEGOCIACIÓN (%)]])-D.sign_Data[[#This Row],[VALOR NETO ($COP)]]</f>
        <v>3810.0470646745962</v>
      </c>
      <c r="AE875" s="15">
        <f>+(D.sign_Data[[#This Row],[VALOR NETO ($COP)]]+D.sign_Data[[#This Row],[NEGOCIACIÓN ($COP)]])*1%</f>
        <v>762.00941293491803</v>
      </c>
      <c r="AF875" s="15">
        <f>+(D.sign_Data[[#This Row],[VALOR NETO ($COP)]]+D.sign_Data[[#This Row],[NEGOCIACIÓN ($COP)]])*1%</f>
        <v>762.00941293491803</v>
      </c>
      <c r="AG875" s="3">
        <f>+D.sign_Data[[#This Row],[VALOR NETO ($COP)]]+D.sign_Data[[#This Row],[NEGOCIACIÓN ($COP)]]+D.sign_Data[[#This Row],[ICA ($COP)]]+D.sign_Data[[#This Row],[4 * 1000 ($COP)]]</f>
        <v>77724.96011936164</v>
      </c>
    </row>
    <row r="876" spans="1:33" ht="60" hidden="1" customHeight="1" x14ac:dyDescent="0.25">
      <c r="A876" s="14"/>
      <c r="B876" s="87" t="s">
        <v>418</v>
      </c>
      <c r="C876" s="182" t="s">
        <v>929</v>
      </c>
      <c r="D876" s="189" t="str">
        <f>VLOOKUP(D.sign_Data[[#This Row],[CÓDIGO]],Descripciones[[CÓDIGO]:[NOMBRE DE SERVICIO]],3,FALSE)</f>
        <v>D3. Vivienda Campestre</v>
      </c>
      <c r="E876" s="87" t="s">
        <v>497</v>
      </c>
      <c r="F876" s="88" t="s">
        <v>930</v>
      </c>
      <c r="G876" s="88" t="s">
        <v>792</v>
      </c>
      <c r="H876" s="87" t="s">
        <v>500</v>
      </c>
      <c r="I876" s="89">
        <v>1</v>
      </c>
      <c r="J876" s="88" t="s">
        <v>934</v>
      </c>
      <c r="K876" s="102"/>
      <c r="L876" s="88" t="s">
        <v>624</v>
      </c>
      <c r="M876" s="89" t="s">
        <v>381</v>
      </c>
      <c r="N876" s="90">
        <v>2.5</v>
      </c>
      <c r="O876" s="27">
        <f>IFERROR(+VLOOKUP(M876,D.sign_Lista_Data[[RESPONSABLE]:[SOFTWARE 
VALOR HORA]],3,FALSE),"0")</f>
        <v>20263.424518743668</v>
      </c>
      <c r="P876" s="3">
        <f t="shared" si="28"/>
        <v>50658.561296859174</v>
      </c>
      <c r="Q876" s="11">
        <f>IFERROR(+VLOOKUP(M876,D.sign_Lista_Data[[RESPONSABLE]:[SOFTWARE 
VALOR HORA]],5,FALSE)*D.sign_Data[[#This Row],[TIEMPO (HORAS)]],0)</f>
        <v>10553.866936845659</v>
      </c>
      <c r="R876" s="11">
        <f>IFERROR(+VLOOKUP(M876,D.sign_Lista_Data[[RESPONSABLE]:[SOFTWARE 
VALOR HORA]],8,FALSE)*D.sign_Data[[#This Row],[TIEMPO (HORAS)]],0)</f>
        <v>8527.1372178599595</v>
      </c>
      <c r="S876" s="99"/>
      <c r="T876" s="99"/>
      <c r="U876" s="3">
        <f t="shared" si="29"/>
        <v>69739.565451564791</v>
      </c>
      <c r="V876" s="100">
        <f>D.sign_Data[[#This Row],[TIEMPO (HORAS)]]*Gastos_Operativos[[#Totals],[GASTOS HORA]]</f>
        <v>69473.692680776003</v>
      </c>
      <c r="W876" s="3">
        <f>+D.sign_Data[[#This Row],[COSTO 
DIRECTO ($COP)]]+D.sign_Data[[#This Row],[PRORRATEO GASTOS ($COP)]]</f>
        <v>139213.25813234079</v>
      </c>
      <c r="X876" s="101">
        <v>0.05</v>
      </c>
      <c r="Y876" s="15">
        <f>+D.sign_Data[[#This Row],[COSTOS OPERACIONALES ($COP)]]*D.sign_Data[[#This Row],[DESFASE (%)]]</f>
        <v>6960.6629066170399</v>
      </c>
      <c r="Z876" s="101">
        <v>0.2</v>
      </c>
      <c r="AA876" s="15">
        <f>+((D.sign_Data[[#This Row],[COSTOS OPERACIONALES ($COP)]]/(100%-D.sign_Data[[#This Row],[UTILIDAD (%)]])))-D.sign_Data[[#This Row],[COSTOS OPERACIONALES ($COP)]]</f>
        <v>34803.314533085184</v>
      </c>
      <c r="AB876" s="3">
        <f>+D.sign_Data[[#This Row],[COSTOS OPERACIONALES ($COP)]]+D.sign_Data[[#This Row],[DESFASE ($COP)]]+D.sign_Data[[#This Row],[UTILIDAD ($COP)]]</f>
        <v>180977.23557204302</v>
      </c>
      <c r="AC876" s="101">
        <v>0.05</v>
      </c>
      <c r="AD876" s="15">
        <f>+D.sign_Data[[#This Row],[VALOR NETO ($COP)]]/(100%-D.sign_Data[[#This Row],[MARGEN DE NEGOCIACIÓN (%)]])-D.sign_Data[[#This Row],[VALOR NETO ($COP)]]</f>
        <v>9525.1176616864977</v>
      </c>
      <c r="AE876" s="15">
        <f>+(D.sign_Data[[#This Row],[VALOR NETO ($COP)]]+D.sign_Data[[#This Row],[NEGOCIACIÓN ($COP)]])*1%</f>
        <v>1905.0235323372951</v>
      </c>
      <c r="AF876" s="15">
        <f>+(D.sign_Data[[#This Row],[VALOR NETO ($COP)]]+D.sign_Data[[#This Row],[NEGOCIACIÓN ($COP)]])*1%</f>
        <v>1905.0235323372951</v>
      </c>
      <c r="AG876" s="3">
        <f>+D.sign_Data[[#This Row],[VALOR NETO ($COP)]]+D.sign_Data[[#This Row],[NEGOCIACIÓN ($COP)]]+D.sign_Data[[#This Row],[ICA ($COP)]]+D.sign_Data[[#This Row],[4 * 1000 ($COP)]]</f>
        <v>194312.40029840413</v>
      </c>
    </row>
    <row r="877" spans="1:33" ht="60" hidden="1" customHeight="1" x14ac:dyDescent="0.25">
      <c r="A877" s="14"/>
      <c r="B877" s="87" t="s">
        <v>418</v>
      </c>
      <c r="C877" s="182" t="s">
        <v>929</v>
      </c>
      <c r="D877" s="189" t="str">
        <f>VLOOKUP(D.sign_Data[[#This Row],[CÓDIGO]],Descripciones[[CÓDIGO]:[NOMBRE DE SERVICIO]],3,FALSE)</f>
        <v>D3. Vivienda Campestre</v>
      </c>
      <c r="E877" s="87" t="s">
        <v>497</v>
      </c>
      <c r="F877" s="88" t="s">
        <v>930</v>
      </c>
      <c r="G877" s="88" t="s">
        <v>792</v>
      </c>
      <c r="H877" s="87" t="s">
        <v>500</v>
      </c>
      <c r="I877" s="89">
        <v>1</v>
      </c>
      <c r="J877" s="88" t="s">
        <v>934</v>
      </c>
      <c r="K877" s="102"/>
      <c r="L877" s="88" t="s">
        <v>771</v>
      </c>
      <c r="M877" s="89" t="s">
        <v>381</v>
      </c>
      <c r="N877" s="90">
        <v>1</v>
      </c>
      <c r="O877" s="27">
        <f>IFERROR(+VLOOKUP(M877,D.sign_Lista_Data[[RESPONSABLE]:[SOFTWARE 
VALOR HORA]],3,FALSE),"0")</f>
        <v>20263.424518743668</v>
      </c>
      <c r="P877" s="3">
        <f t="shared" si="28"/>
        <v>20263.424518743668</v>
      </c>
      <c r="Q877" s="11">
        <f>IFERROR(+VLOOKUP(M877,D.sign_Lista_Data[[RESPONSABLE]:[SOFTWARE 
VALOR HORA]],5,FALSE)*D.sign_Data[[#This Row],[TIEMPO (HORAS)]],0)</f>
        <v>4221.5467747382636</v>
      </c>
      <c r="R877" s="11">
        <f>IFERROR(+VLOOKUP(M877,D.sign_Lista_Data[[RESPONSABLE]:[SOFTWARE 
VALOR HORA]],8,FALSE)*D.sign_Data[[#This Row],[TIEMPO (HORAS)]],0)</f>
        <v>3410.8548871439834</v>
      </c>
      <c r="S877" s="99"/>
      <c r="T877" s="99"/>
      <c r="U877" s="3">
        <f t="shared" si="29"/>
        <v>27895.826180625918</v>
      </c>
      <c r="V877" s="100">
        <f>D.sign_Data[[#This Row],[TIEMPO (HORAS)]]*Gastos_Operativos[[#Totals],[GASTOS HORA]]</f>
        <v>27789.477072310401</v>
      </c>
      <c r="W877" s="3">
        <f>+D.sign_Data[[#This Row],[COSTO 
DIRECTO ($COP)]]+D.sign_Data[[#This Row],[PRORRATEO GASTOS ($COP)]]</f>
        <v>55685.303252936319</v>
      </c>
      <c r="X877" s="101">
        <v>0.05</v>
      </c>
      <c r="Y877" s="15">
        <f>+D.sign_Data[[#This Row],[COSTOS OPERACIONALES ($COP)]]*D.sign_Data[[#This Row],[DESFASE (%)]]</f>
        <v>2784.265162646816</v>
      </c>
      <c r="Z877" s="101">
        <v>0.2</v>
      </c>
      <c r="AA877" s="15">
        <f>+((D.sign_Data[[#This Row],[COSTOS OPERACIONALES ($COP)]]/(100%-D.sign_Data[[#This Row],[UTILIDAD (%)]])))-D.sign_Data[[#This Row],[COSTOS OPERACIONALES ($COP)]]</f>
        <v>13921.325813234078</v>
      </c>
      <c r="AB877" s="3">
        <f>+D.sign_Data[[#This Row],[COSTOS OPERACIONALES ($COP)]]+D.sign_Data[[#This Row],[DESFASE ($COP)]]+D.sign_Data[[#This Row],[UTILIDAD ($COP)]]</f>
        <v>72390.894228817211</v>
      </c>
      <c r="AC877" s="101">
        <v>0.05</v>
      </c>
      <c r="AD877" s="15">
        <f>+D.sign_Data[[#This Row],[VALOR NETO ($COP)]]/(100%-D.sign_Data[[#This Row],[MARGEN DE NEGOCIACIÓN (%)]])-D.sign_Data[[#This Row],[VALOR NETO ($COP)]]</f>
        <v>3810.0470646745962</v>
      </c>
      <c r="AE877" s="15">
        <f>+(D.sign_Data[[#This Row],[VALOR NETO ($COP)]]+D.sign_Data[[#This Row],[NEGOCIACIÓN ($COP)]])*1%</f>
        <v>762.00941293491803</v>
      </c>
      <c r="AF877" s="15">
        <f>+(D.sign_Data[[#This Row],[VALOR NETO ($COP)]]+D.sign_Data[[#This Row],[NEGOCIACIÓN ($COP)]])*1%</f>
        <v>762.00941293491803</v>
      </c>
      <c r="AG877" s="3">
        <f>+D.sign_Data[[#This Row],[VALOR NETO ($COP)]]+D.sign_Data[[#This Row],[NEGOCIACIÓN ($COP)]]+D.sign_Data[[#This Row],[ICA ($COP)]]+D.sign_Data[[#This Row],[4 * 1000 ($COP)]]</f>
        <v>77724.96011936164</v>
      </c>
    </row>
    <row r="878" spans="1:33" ht="60" hidden="1" customHeight="1" x14ac:dyDescent="0.25">
      <c r="A878" s="14"/>
      <c r="B878" s="87" t="s">
        <v>418</v>
      </c>
      <c r="C878" s="182" t="s">
        <v>929</v>
      </c>
      <c r="D878" s="189" t="str">
        <f>VLOOKUP(D.sign_Data[[#This Row],[CÓDIGO]],Descripciones[[CÓDIGO]:[NOMBRE DE SERVICIO]],3,FALSE)</f>
        <v>D3. Vivienda Campestre</v>
      </c>
      <c r="E878" s="87" t="s">
        <v>497</v>
      </c>
      <c r="F878" s="88" t="s">
        <v>930</v>
      </c>
      <c r="G878" s="88" t="s">
        <v>792</v>
      </c>
      <c r="H878" s="87" t="s">
        <v>500</v>
      </c>
      <c r="I878" s="89">
        <v>1</v>
      </c>
      <c r="J878" s="88" t="s">
        <v>934</v>
      </c>
      <c r="K878" s="102"/>
      <c r="L878" s="88" t="s">
        <v>483</v>
      </c>
      <c r="M878" s="89" t="s">
        <v>381</v>
      </c>
      <c r="N878" s="90">
        <v>0.5</v>
      </c>
      <c r="O878" s="27">
        <f>IFERROR(+VLOOKUP(M878,D.sign_Lista_Data[[RESPONSABLE]:[SOFTWARE 
VALOR HORA]],3,FALSE),"0")</f>
        <v>20263.424518743668</v>
      </c>
      <c r="P878" s="3">
        <f t="shared" si="28"/>
        <v>10131.712259371834</v>
      </c>
      <c r="Q878" s="11">
        <f>IFERROR(+VLOOKUP(M878,D.sign_Lista_Data[[RESPONSABLE]:[SOFTWARE 
VALOR HORA]],5,FALSE)*D.sign_Data[[#This Row],[TIEMPO (HORAS)]],0)</f>
        <v>2110.7733873691318</v>
      </c>
      <c r="R878" s="11">
        <f>IFERROR(+VLOOKUP(M878,D.sign_Lista_Data[[RESPONSABLE]:[SOFTWARE 
VALOR HORA]],8,FALSE)*D.sign_Data[[#This Row],[TIEMPO (HORAS)]],0)</f>
        <v>1705.4274435719917</v>
      </c>
      <c r="S878" s="99"/>
      <c r="T878" s="99"/>
      <c r="U878" s="3">
        <f t="shared" si="29"/>
        <v>13947.913090312959</v>
      </c>
      <c r="V878" s="100">
        <f>D.sign_Data[[#This Row],[TIEMPO (HORAS)]]*Gastos_Operativos[[#Totals],[GASTOS HORA]]</f>
        <v>13894.738536155201</v>
      </c>
      <c r="W878" s="3">
        <f>+D.sign_Data[[#This Row],[COSTO 
DIRECTO ($COP)]]+D.sign_Data[[#This Row],[PRORRATEO GASTOS ($COP)]]</f>
        <v>27842.65162646816</v>
      </c>
      <c r="X878" s="101">
        <v>0.05</v>
      </c>
      <c r="Y878" s="15">
        <f>+D.sign_Data[[#This Row],[COSTOS OPERACIONALES ($COP)]]*D.sign_Data[[#This Row],[DESFASE (%)]]</f>
        <v>1392.132581323408</v>
      </c>
      <c r="Z878" s="101">
        <v>0.2</v>
      </c>
      <c r="AA878" s="15">
        <f>+((D.sign_Data[[#This Row],[COSTOS OPERACIONALES ($COP)]]/(100%-D.sign_Data[[#This Row],[UTILIDAD (%)]])))-D.sign_Data[[#This Row],[COSTOS OPERACIONALES ($COP)]]</f>
        <v>6960.662906617039</v>
      </c>
      <c r="AB878" s="3">
        <f>+D.sign_Data[[#This Row],[COSTOS OPERACIONALES ($COP)]]+D.sign_Data[[#This Row],[DESFASE ($COP)]]+D.sign_Data[[#This Row],[UTILIDAD ($COP)]]</f>
        <v>36195.447114408606</v>
      </c>
      <c r="AC878" s="101">
        <v>0.05</v>
      </c>
      <c r="AD878" s="15">
        <f>+D.sign_Data[[#This Row],[VALOR NETO ($COP)]]/(100%-D.sign_Data[[#This Row],[MARGEN DE NEGOCIACIÓN (%)]])-D.sign_Data[[#This Row],[VALOR NETO ($COP)]]</f>
        <v>1905.0235323372981</v>
      </c>
      <c r="AE878" s="15">
        <f>+(D.sign_Data[[#This Row],[VALOR NETO ($COP)]]+D.sign_Data[[#This Row],[NEGOCIACIÓN ($COP)]])*1%</f>
        <v>381.00470646745902</v>
      </c>
      <c r="AF878" s="15">
        <f>+(D.sign_Data[[#This Row],[VALOR NETO ($COP)]]+D.sign_Data[[#This Row],[NEGOCIACIÓN ($COP)]])*1%</f>
        <v>381.00470646745902</v>
      </c>
      <c r="AG878" s="3">
        <f>+D.sign_Data[[#This Row],[VALOR NETO ($COP)]]+D.sign_Data[[#This Row],[NEGOCIACIÓN ($COP)]]+D.sign_Data[[#This Row],[ICA ($COP)]]+D.sign_Data[[#This Row],[4 * 1000 ($COP)]]</f>
        <v>38862.48005968082</v>
      </c>
    </row>
    <row r="879" spans="1:33" ht="60" hidden="1" customHeight="1" x14ac:dyDescent="0.25">
      <c r="A879" s="14"/>
      <c r="B879" s="87" t="s">
        <v>418</v>
      </c>
      <c r="C879" s="182" t="s">
        <v>929</v>
      </c>
      <c r="D879" s="189" t="str">
        <f>VLOOKUP(D.sign_Data[[#This Row],[CÓDIGO]],Descripciones[[CÓDIGO]:[NOMBRE DE SERVICIO]],3,FALSE)</f>
        <v>D3. Vivienda Campestre</v>
      </c>
      <c r="E879" s="87" t="s">
        <v>497</v>
      </c>
      <c r="F879" s="88" t="s">
        <v>930</v>
      </c>
      <c r="G879" s="88" t="s">
        <v>792</v>
      </c>
      <c r="H879" s="87" t="s">
        <v>500</v>
      </c>
      <c r="I879" s="89">
        <v>1</v>
      </c>
      <c r="J879" s="88" t="s">
        <v>934</v>
      </c>
      <c r="K879" s="102"/>
      <c r="L879" s="88" t="s">
        <v>474</v>
      </c>
      <c r="M879" s="89" t="s">
        <v>381</v>
      </c>
      <c r="N879" s="90">
        <v>0.1</v>
      </c>
      <c r="O879" s="27">
        <f>IFERROR(+VLOOKUP(M879,D.sign_Lista_Data[[RESPONSABLE]:[SOFTWARE 
VALOR HORA]],3,FALSE),"0")</f>
        <v>20263.424518743668</v>
      </c>
      <c r="P879" s="3">
        <f t="shared" si="28"/>
        <v>2026.3424518743668</v>
      </c>
      <c r="Q879" s="11">
        <f>IFERROR(+VLOOKUP(M879,D.sign_Lista_Data[[RESPONSABLE]:[SOFTWARE 
VALOR HORA]],5,FALSE)*D.sign_Data[[#This Row],[TIEMPO (HORAS)]],0)</f>
        <v>422.15467747382638</v>
      </c>
      <c r="R879" s="11">
        <f>IFERROR(+VLOOKUP(M879,D.sign_Lista_Data[[RESPONSABLE]:[SOFTWARE 
VALOR HORA]],8,FALSE)*D.sign_Data[[#This Row],[TIEMPO (HORAS)]],0)</f>
        <v>341.08548871439837</v>
      </c>
      <c r="S879" s="99"/>
      <c r="T879" s="99"/>
      <c r="U879" s="3">
        <f t="shared" si="29"/>
        <v>2789.5826180625913</v>
      </c>
      <c r="V879" s="100">
        <f>D.sign_Data[[#This Row],[TIEMPO (HORAS)]]*Gastos_Operativos[[#Totals],[GASTOS HORA]]</f>
        <v>2778.9477072310401</v>
      </c>
      <c r="W879" s="3">
        <f>+D.sign_Data[[#This Row],[COSTO 
DIRECTO ($COP)]]+D.sign_Data[[#This Row],[PRORRATEO GASTOS ($COP)]]</f>
        <v>5568.5303252936319</v>
      </c>
      <c r="X879" s="101">
        <v>0.05</v>
      </c>
      <c r="Y879" s="15">
        <f>+D.sign_Data[[#This Row],[COSTOS OPERACIONALES ($COP)]]*D.sign_Data[[#This Row],[DESFASE (%)]]</f>
        <v>278.4265162646816</v>
      </c>
      <c r="Z879" s="101">
        <v>0.2</v>
      </c>
      <c r="AA879" s="15">
        <f>+((D.sign_Data[[#This Row],[COSTOS OPERACIONALES ($COP)]]/(100%-D.sign_Data[[#This Row],[UTILIDAD (%)]])))-D.sign_Data[[#This Row],[COSTOS OPERACIONALES ($COP)]]</f>
        <v>1392.132581323408</v>
      </c>
      <c r="AB879" s="3">
        <f>+D.sign_Data[[#This Row],[COSTOS OPERACIONALES ($COP)]]+D.sign_Data[[#This Row],[DESFASE ($COP)]]+D.sign_Data[[#This Row],[UTILIDAD ($COP)]]</f>
        <v>7239.0894228817215</v>
      </c>
      <c r="AC879" s="101">
        <v>0.05</v>
      </c>
      <c r="AD879" s="15">
        <f>+D.sign_Data[[#This Row],[VALOR NETO ($COP)]]/(100%-D.sign_Data[[#This Row],[MARGEN DE NEGOCIACIÓN (%)]])-D.sign_Data[[#This Row],[VALOR NETO ($COP)]]</f>
        <v>381.00470646745907</v>
      </c>
      <c r="AE879" s="15">
        <f>+(D.sign_Data[[#This Row],[VALOR NETO ($COP)]]+D.sign_Data[[#This Row],[NEGOCIACIÓN ($COP)]])*1%</f>
        <v>76.200941293491809</v>
      </c>
      <c r="AF879" s="15">
        <f>+(D.sign_Data[[#This Row],[VALOR NETO ($COP)]]+D.sign_Data[[#This Row],[NEGOCIACIÓN ($COP)]])*1%</f>
        <v>76.200941293491809</v>
      </c>
      <c r="AG879" s="3">
        <f>+D.sign_Data[[#This Row],[VALOR NETO ($COP)]]+D.sign_Data[[#This Row],[NEGOCIACIÓN ($COP)]]+D.sign_Data[[#This Row],[ICA ($COP)]]+D.sign_Data[[#This Row],[4 * 1000 ($COP)]]</f>
        <v>7772.4960119361649</v>
      </c>
    </row>
    <row r="880" spans="1:33" ht="60" hidden="1" customHeight="1" x14ac:dyDescent="0.25">
      <c r="A880" s="14"/>
      <c r="B880" s="87" t="s">
        <v>418</v>
      </c>
      <c r="C880" s="182" t="s">
        <v>929</v>
      </c>
      <c r="D880" s="189" t="str">
        <f>VLOOKUP(D.sign_Data[[#This Row],[CÓDIGO]],Descripciones[[CÓDIGO]:[NOMBRE DE SERVICIO]],3,FALSE)</f>
        <v>D3. Vivienda Campestre</v>
      </c>
      <c r="E880" s="87" t="s">
        <v>497</v>
      </c>
      <c r="F880" s="88" t="s">
        <v>930</v>
      </c>
      <c r="G880" s="88" t="s">
        <v>792</v>
      </c>
      <c r="H880" s="87" t="s">
        <v>500</v>
      </c>
      <c r="I880" s="89">
        <v>1</v>
      </c>
      <c r="J880" s="88" t="s">
        <v>935</v>
      </c>
      <c r="K880" s="102"/>
      <c r="L880" s="88" t="s">
        <v>777</v>
      </c>
      <c r="M880" s="89" t="s">
        <v>381</v>
      </c>
      <c r="N880" s="90">
        <v>0.5</v>
      </c>
      <c r="O880" s="27">
        <f>IFERROR(+VLOOKUP(M880,D.sign_Lista_Data[[RESPONSABLE]:[SOFTWARE 
VALOR HORA]],3,FALSE),"0")</f>
        <v>20263.424518743668</v>
      </c>
      <c r="P880" s="3">
        <f t="shared" si="28"/>
        <v>10131.712259371834</v>
      </c>
      <c r="Q880" s="11">
        <f>IFERROR(+VLOOKUP(M880,D.sign_Lista_Data[[RESPONSABLE]:[SOFTWARE 
VALOR HORA]],5,FALSE)*D.sign_Data[[#This Row],[TIEMPO (HORAS)]],0)</f>
        <v>2110.7733873691318</v>
      </c>
      <c r="R880" s="11">
        <f>IFERROR(+VLOOKUP(M880,D.sign_Lista_Data[[RESPONSABLE]:[SOFTWARE 
VALOR HORA]],8,FALSE)*D.sign_Data[[#This Row],[TIEMPO (HORAS)]],0)</f>
        <v>1705.4274435719917</v>
      </c>
      <c r="S880" s="99"/>
      <c r="T880" s="99"/>
      <c r="U880" s="3">
        <f t="shared" si="29"/>
        <v>13947.913090312959</v>
      </c>
      <c r="V880" s="100">
        <f>D.sign_Data[[#This Row],[TIEMPO (HORAS)]]*Gastos_Operativos[[#Totals],[GASTOS HORA]]</f>
        <v>13894.738536155201</v>
      </c>
      <c r="W880" s="3">
        <f>+D.sign_Data[[#This Row],[COSTO 
DIRECTO ($COP)]]+D.sign_Data[[#This Row],[PRORRATEO GASTOS ($COP)]]</f>
        <v>27842.65162646816</v>
      </c>
      <c r="X880" s="101">
        <v>0.05</v>
      </c>
      <c r="Y880" s="15">
        <f>+D.sign_Data[[#This Row],[COSTOS OPERACIONALES ($COP)]]*D.sign_Data[[#This Row],[DESFASE (%)]]</f>
        <v>1392.132581323408</v>
      </c>
      <c r="Z880" s="101">
        <v>0.2</v>
      </c>
      <c r="AA880" s="15">
        <f>+((D.sign_Data[[#This Row],[COSTOS OPERACIONALES ($COP)]]/(100%-D.sign_Data[[#This Row],[UTILIDAD (%)]])))-D.sign_Data[[#This Row],[COSTOS OPERACIONALES ($COP)]]</f>
        <v>6960.662906617039</v>
      </c>
      <c r="AB880" s="3">
        <f>+D.sign_Data[[#This Row],[COSTOS OPERACIONALES ($COP)]]+D.sign_Data[[#This Row],[DESFASE ($COP)]]+D.sign_Data[[#This Row],[UTILIDAD ($COP)]]</f>
        <v>36195.447114408606</v>
      </c>
      <c r="AC880" s="101">
        <v>0.05</v>
      </c>
      <c r="AD880" s="15">
        <f>+D.sign_Data[[#This Row],[VALOR NETO ($COP)]]/(100%-D.sign_Data[[#This Row],[MARGEN DE NEGOCIACIÓN (%)]])-D.sign_Data[[#This Row],[VALOR NETO ($COP)]]</f>
        <v>1905.0235323372981</v>
      </c>
      <c r="AE880" s="15">
        <f>+(D.sign_Data[[#This Row],[VALOR NETO ($COP)]]+D.sign_Data[[#This Row],[NEGOCIACIÓN ($COP)]])*1%</f>
        <v>381.00470646745902</v>
      </c>
      <c r="AF880" s="15">
        <f>+(D.sign_Data[[#This Row],[VALOR NETO ($COP)]]+D.sign_Data[[#This Row],[NEGOCIACIÓN ($COP)]])*1%</f>
        <v>381.00470646745902</v>
      </c>
      <c r="AG880" s="3">
        <f>+D.sign_Data[[#This Row],[VALOR NETO ($COP)]]+D.sign_Data[[#This Row],[NEGOCIACIÓN ($COP)]]+D.sign_Data[[#This Row],[ICA ($COP)]]+D.sign_Data[[#This Row],[4 * 1000 ($COP)]]</f>
        <v>38862.48005968082</v>
      </c>
    </row>
    <row r="881" spans="1:33" ht="60" hidden="1" customHeight="1" x14ac:dyDescent="0.25">
      <c r="A881" s="14"/>
      <c r="B881" s="87" t="s">
        <v>418</v>
      </c>
      <c r="C881" s="182" t="s">
        <v>929</v>
      </c>
      <c r="D881" s="189" t="str">
        <f>VLOOKUP(D.sign_Data[[#This Row],[CÓDIGO]],Descripciones[[CÓDIGO]:[NOMBRE DE SERVICIO]],3,FALSE)</f>
        <v>D3. Vivienda Campestre</v>
      </c>
      <c r="E881" s="87" t="s">
        <v>497</v>
      </c>
      <c r="F881" s="88" t="s">
        <v>930</v>
      </c>
      <c r="G881" s="88" t="s">
        <v>792</v>
      </c>
      <c r="H881" s="87" t="s">
        <v>500</v>
      </c>
      <c r="I881" s="89">
        <v>1</v>
      </c>
      <c r="J881" s="88" t="s">
        <v>935</v>
      </c>
      <c r="K881" s="102"/>
      <c r="L881" s="88" t="s">
        <v>778</v>
      </c>
      <c r="M881" s="89" t="s">
        <v>381</v>
      </c>
      <c r="N881" s="90">
        <v>0.5</v>
      </c>
      <c r="O881" s="27">
        <f>IFERROR(+VLOOKUP(M881,D.sign_Lista_Data[[RESPONSABLE]:[SOFTWARE 
VALOR HORA]],3,FALSE),"0")</f>
        <v>20263.424518743668</v>
      </c>
      <c r="P881" s="3">
        <f t="shared" si="28"/>
        <v>10131.712259371834</v>
      </c>
      <c r="Q881" s="11">
        <f>IFERROR(+VLOOKUP(M881,D.sign_Lista_Data[[RESPONSABLE]:[SOFTWARE 
VALOR HORA]],5,FALSE)*D.sign_Data[[#This Row],[TIEMPO (HORAS)]],0)</f>
        <v>2110.7733873691318</v>
      </c>
      <c r="R881" s="11">
        <f>IFERROR(+VLOOKUP(M881,D.sign_Lista_Data[[RESPONSABLE]:[SOFTWARE 
VALOR HORA]],8,FALSE)*D.sign_Data[[#This Row],[TIEMPO (HORAS)]],0)</f>
        <v>1705.4274435719917</v>
      </c>
      <c r="S881" s="99"/>
      <c r="T881" s="99"/>
      <c r="U881" s="3">
        <f t="shared" si="29"/>
        <v>13947.913090312959</v>
      </c>
      <c r="V881" s="100">
        <f>D.sign_Data[[#This Row],[TIEMPO (HORAS)]]*Gastos_Operativos[[#Totals],[GASTOS HORA]]</f>
        <v>13894.738536155201</v>
      </c>
      <c r="W881" s="3">
        <f>+D.sign_Data[[#This Row],[COSTO 
DIRECTO ($COP)]]+D.sign_Data[[#This Row],[PRORRATEO GASTOS ($COP)]]</f>
        <v>27842.65162646816</v>
      </c>
      <c r="X881" s="101">
        <v>0.05</v>
      </c>
      <c r="Y881" s="15">
        <f>+D.sign_Data[[#This Row],[COSTOS OPERACIONALES ($COP)]]*D.sign_Data[[#This Row],[DESFASE (%)]]</f>
        <v>1392.132581323408</v>
      </c>
      <c r="Z881" s="101">
        <v>0.2</v>
      </c>
      <c r="AA881" s="15">
        <f>+((D.sign_Data[[#This Row],[COSTOS OPERACIONALES ($COP)]]/(100%-D.sign_Data[[#This Row],[UTILIDAD (%)]])))-D.sign_Data[[#This Row],[COSTOS OPERACIONALES ($COP)]]</f>
        <v>6960.662906617039</v>
      </c>
      <c r="AB881" s="3">
        <f>+D.sign_Data[[#This Row],[COSTOS OPERACIONALES ($COP)]]+D.sign_Data[[#This Row],[DESFASE ($COP)]]+D.sign_Data[[#This Row],[UTILIDAD ($COP)]]</f>
        <v>36195.447114408606</v>
      </c>
      <c r="AC881" s="101">
        <v>0.05</v>
      </c>
      <c r="AD881" s="15">
        <f>+D.sign_Data[[#This Row],[VALOR NETO ($COP)]]/(100%-D.sign_Data[[#This Row],[MARGEN DE NEGOCIACIÓN (%)]])-D.sign_Data[[#This Row],[VALOR NETO ($COP)]]</f>
        <v>1905.0235323372981</v>
      </c>
      <c r="AE881" s="15">
        <f>+(D.sign_Data[[#This Row],[VALOR NETO ($COP)]]+D.sign_Data[[#This Row],[NEGOCIACIÓN ($COP)]])*1%</f>
        <v>381.00470646745902</v>
      </c>
      <c r="AF881" s="15">
        <f>+(D.sign_Data[[#This Row],[VALOR NETO ($COP)]]+D.sign_Data[[#This Row],[NEGOCIACIÓN ($COP)]])*1%</f>
        <v>381.00470646745902</v>
      </c>
      <c r="AG881" s="3">
        <f>+D.sign_Data[[#This Row],[VALOR NETO ($COP)]]+D.sign_Data[[#This Row],[NEGOCIACIÓN ($COP)]]+D.sign_Data[[#This Row],[ICA ($COP)]]+D.sign_Data[[#This Row],[4 * 1000 ($COP)]]</f>
        <v>38862.48005968082</v>
      </c>
    </row>
    <row r="882" spans="1:33" ht="60" hidden="1" customHeight="1" x14ac:dyDescent="0.25">
      <c r="A882" s="14"/>
      <c r="B882" s="87" t="s">
        <v>418</v>
      </c>
      <c r="C882" s="182" t="s">
        <v>929</v>
      </c>
      <c r="D882" s="189" t="str">
        <f>VLOOKUP(D.sign_Data[[#This Row],[CÓDIGO]],Descripciones[[CÓDIGO]:[NOMBRE DE SERVICIO]],3,FALSE)</f>
        <v>D3. Vivienda Campestre</v>
      </c>
      <c r="E882" s="87" t="s">
        <v>497</v>
      </c>
      <c r="F882" s="88" t="s">
        <v>930</v>
      </c>
      <c r="G882" s="88" t="s">
        <v>792</v>
      </c>
      <c r="H882" s="87" t="s">
        <v>500</v>
      </c>
      <c r="I882" s="89">
        <v>1</v>
      </c>
      <c r="J882" s="88" t="s">
        <v>935</v>
      </c>
      <c r="K882" s="102"/>
      <c r="L882" s="88" t="s">
        <v>779</v>
      </c>
      <c r="M882" s="89" t="s">
        <v>381</v>
      </c>
      <c r="N882" s="90">
        <v>1</v>
      </c>
      <c r="O882" s="27">
        <f>IFERROR(+VLOOKUP(M882,D.sign_Lista_Data[[RESPONSABLE]:[SOFTWARE 
VALOR HORA]],3,FALSE),"0")</f>
        <v>20263.424518743668</v>
      </c>
      <c r="P882" s="3">
        <f t="shared" si="28"/>
        <v>20263.424518743668</v>
      </c>
      <c r="Q882" s="11">
        <f>IFERROR(+VLOOKUP(M882,D.sign_Lista_Data[[RESPONSABLE]:[SOFTWARE 
VALOR HORA]],5,FALSE)*D.sign_Data[[#This Row],[TIEMPO (HORAS)]],0)</f>
        <v>4221.5467747382636</v>
      </c>
      <c r="R882" s="11">
        <f>IFERROR(+VLOOKUP(M882,D.sign_Lista_Data[[RESPONSABLE]:[SOFTWARE 
VALOR HORA]],8,FALSE)*D.sign_Data[[#This Row],[TIEMPO (HORAS)]],0)</f>
        <v>3410.8548871439834</v>
      </c>
      <c r="S882" s="99"/>
      <c r="T882" s="99"/>
      <c r="U882" s="3">
        <f t="shared" si="29"/>
        <v>27895.826180625918</v>
      </c>
      <c r="V882" s="100">
        <f>D.sign_Data[[#This Row],[TIEMPO (HORAS)]]*Gastos_Operativos[[#Totals],[GASTOS HORA]]</f>
        <v>27789.477072310401</v>
      </c>
      <c r="W882" s="3">
        <f>+D.sign_Data[[#This Row],[COSTO 
DIRECTO ($COP)]]+D.sign_Data[[#This Row],[PRORRATEO GASTOS ($COP)]]</f>
        <v>55685.303252936319</v>
      </c>
      <c r="X882" s="101">
        <v>0.05</v>
      </c>
      <c r="Y882" s="15">
        <f>+D.sign_Data[[#This Row],[COSTOS OPERACIONALES ($COP)]]*D.sign_Data[[#This Row],[DESFASE (%)]]</f>
        <v>2784.265162646816</v>
      </c>
      <c r="Z882" s="101">
        <v>0.2</v>
      </c>
      <c r="AA882" s="15">
        <f>+((D.sign_Data[[#This Row],[COSTOS OPERACIONALES ($COP)]]/(100%-D.sign_Data[[#This Row],[UTILIDAD (%)]])))-D.sign_Data[[#This Row],[COSTOS OPERACIONALES ($COP)]]</f>
        <v>13921.325813234078</v>
      </c>
      <c r="AB882" s="3">
        <f>+D.sign_Data[[#This Row],[COSTOS OPERACIONALES ($COP)]]+D.sign_Data[[#This Row],[DESFASE ($COP)]]+D.sign_Data[[#This Row],[UTILIDAD ($COP)]]</f>
        <v>72390.894228817211</v>
      </c>
      <c r="AC882" s="101">
        <v>0.05</v>
      </c>
      <c r="AD882" s="15">
        <f>+D.sign_Data[[#This Row],[VALOR NETO ($COP)]]/(100%-D.sign_Data[[#This Row],[MARGEN DE NEGOCIACIÓN (%)]])-D.sign_Data[[#This Row],[VALOR NETO ($COP)]]</f>
        <v>3810.0470646745962</v>
      </c>
      <c r="AE882" s="15">
        <f>+(D.sign_Data[[#This Row],[VALOR NETO ($COP)]]+D.sign_Data[[#This Row],[NEGOCIACIÓN ($COP)]])*1%</f>
        <v>762.00941293491803</v>
      </c>
      <c r="AF882" s="15">
        <f>+(D.sign_Data[[#This Row],[VALOR NETO ($COP)]]+D.sign_Data[[#This Row],[NEGOCIACIÓN ($COP)]])*1%</f>
        <v>762.00941293491803</v>
      </c>
      <c r="AG882" s="3">
        <f>+D.sign_Data[[#This Row],[VALOR NETO ($COP)]]+D.sign_Data[[#This Row],[NEGOCIACIÓN ($COP)]]+D.sign_Data[[#This Row],[ICA ($COP)]]+D.sign_Data[[#This Row],[4 * 1000 ($COP)]]</f>
        <v>77724.96011936164</v>
      </c>
    </row>
    <row r="883" spans="1:33" ht="60" hidden="1" customHeight="1" x14ac:dyDescent="0.25">
      <c r="A883" s="14"/>
      <c r="B883" s="87" t="s">
        <v>418</v>
      </c>
      <c r="C883" s="182" t="s">
        <v>929</v>
      </c>
      <c r="D883" s="189" t="str">
        <f>VLOOKUP(D.sign_Data[[#This Row],[CÓDIGO]],Descripciones[[CÓDIGO]:[NOMBRE DE SERVICIO]],3,FALSE)</f>
        <v>D3. Vivienda Campestre</v>
      </c>
      <c r="E883" s="87" t="s">
        <v>497</v>
      </c>
      <c r="F883" s="88" t="s">
        <v>930</v>
      </c>
      <c r="G883" s="88" t="s">
        <v>792</v>
      </c>
      <c r="H883" s="87" t="s">
        <v>500</v>
      </c>
      <c r="I883" s="89">
        <v>1</v>
      </c>
      <c r="J883" s="88" t="s">
        <v>935</v>
      </c>
      <c r="K883" s="102"/>
      <c r="L883" s="88" t="s">
        <v>624</v>
      </c>
      <c r="M883" s="89" t="s">
        <v>381</v>
      </c>
      <c r="N883" s="90">
        <v>1</v>
      </c>
      <c r="O883" s="27">
        <f>IFERROR(+VLOOKUP(M883,D.sign_Lista_Data[[RESPONSABLE]:[SOFTWARE 
VALOR HORA]],3,FALSE),"0")</f>
        <v>20263.424518743668</v>
      </c>
      <c r="P883" s="3">
        <f t="shared" si="28"/>
        <v>20263.424518743668</v>
      </c>
      <c r="Q883" s="11">
        <f>IFERROR(+VLOOKUP(M883,D.sign_Lista_Data[[RESPONSABLE]:[SOFTWARE 
VALOR HORA]],5,FALSE)*D.sign_Data[[#This Row],[TIEMPO (HORAS)]],0)</f>
        <v>4221.5467747382636</v>
      </c>
      <c r="R883" s="11">
        <f>IFERROR(+VLOOKUP(M883,D.sign_Lista_Data[[RESPONSABLE]:[SOFTWARE 
VALOR HORA]],8,FALSE)*D.sign_Data[[#This Row],[TIEMPO (HORAS)]],0)</f>
        <v>3410.8548871439834</v>
      </c>
      <c r="S883" s="99"/>
      <c r="T883" s="99"/>
      <c r="U883" s="3">
        <f t="shared" si="29"/>
        <v>27895.826180625918</v>
      </c>
      <c r="V883" s="100">
        <f>D.sign_Data[[#This Row],[TIEMPO (HORAS)]]*Gastos_Operativos[[#Totals],[GASTOS HORA]]</f>
        <v>27789.477072310401</v>
      </c>
      <c r="W883" s="3">
        <f>+D.sign_Data[[#This Row],[COSTO 
DIRECTO ($COP)]]+D.sign_Data[[#This Row],[PRORRATEO GASTOS ($COP)]]</f>
        <v>55685.303252936319</v>
      </c>
      <c r="X883" s="101">
        <v>0.05</v>
      </c>
      <c r="Y883" s="15">
        <f>+D.sign_Data[[#This Row],[COSTOS OPERACIONALES ($COP)]]*D.sign_Data[[#This Row],[DESFASE (%)]]</f>
        <v>2784.265162646816</v>
      </c>
      <c r="Z883" s="101">
        <v>0.2</v>
      </c>
      <c r="AA883" s="15">
        <f>+((D.sign_Data[[#This Row],[COSTOS OPERACIONALES ($COP)]]/(100%-D.sign_Data[[#This Row],[UTILIDAD (%)]])))-D.sign_Data[[#This Row],[COSTOS OPERACIONALES ($COP)]]</f>
        <v>13921.325813234078</v>
      </c>
      <c r="AB883" s="3">
        <f>+D.sign_Data[[#This Row],[COSTOS OPERACIONALES ($COP)]]+D.sign_Data[[#This Row],[DESFASE ($COP)]]+D.sign_Data[[#This Row],[UTILIDAD ($COP)]]</f>
        <v>72390.894228817211</v>
      </c>
      <c r="AC883" s="101">
        <v>0.05</v>
      </c>
      <c r="AD883" s="15">
        <f>+D.sign_Data[[#This Row],[VALOR NETO ($COP)]]/(100%-D.sign_Data[[#This Row],[MARGEN DE NEGOCIACIÓN (%)]])-D.sign_Data[[#This Row],[VALOR NETO ($COP)]]</f>
        <v>3810.0470646745962</v>
      </c>
      <c r="AE883" s="15">
        <f>+(D.sign_Data[[#This Row],[VALOR NETO ($COP)]]+D.sign_Data[[#This Row],[NEGOCIACIÓN ($COP)]])*1%</f>
        <v>762.00941293491803</v>
      </c>
      <c r="AF883" s="15">
        <f>+(D.sign_Data[[#This Row],[VALOR NETO ($COP)]]+D.sign_Data[[#This Row],[NEGOCIACIÓN ($COP)]])*1%</f>
        <v>762.00941293491803</v>
      </c>
      <c r="AG883" s="3">
        <f>+D.sign_Data[[#This Row],[VALOR NETO ($COP)]]+D.sign_Data[[#This Row],[NEGOCIACIÓN ($COP)]]+D.sign_Data[[#This Row],[ICA ($COP)]]+D.sign_Data[[#This Row],[4 * 1000 ($COP)]]</f>
        <v>77724.96011936164</v>
      </c>
    </row>
    <row r="884" spans="1:33" ht="60" hidden="1" customHeight="1" x14ac:dyDescent="0.25">
      <c r="A884" s="14"/>
      <c r="B884" s="87" t="s">
        <v>418</v>
      </c>
      <c r="C884" s="182" t="s">
        <v>929</v>
      </c>
      <c r="D884" s="189" t="str">
        <f>VLOOKUP(D.sign_Data[[#This Row],[CÓDIGO]],Descripciones[[CÓDIGO]:[NOMBRE DE SERVICIO]],3,FALSE)</f>
        <v>D3. Vivienda Campestre</v>
      </c>
      <c r="E884" s="87" t="s">
        <v>497</v>
      </c>
      <c r="F884" s="88" t="s">
        <v>930</v>
      </c>
      <c r="G884" s="88" t="s">
        <v>792</v>
      </c>
      <c r="H884" s="87" t="s">
        <v>500</v>
      </c>
      <c r="I884" s="89">
        <v>1</v>
      </c>
      <c r="J884" s="88" t="s">
        <v>935</v>
      </c>
      <c r="K884" s="102"/>
      <c r="L884" s="88" t="s">
        <v>771</v>
      </c>
      <c r="M884" s="89" t="s">
        <v>381</v>
      </c>
      <c r="N884" s="90">
        <v>1</v>
      </c>
      <c r="O884" s="27">
        <f>IFERROR(+VLOOKUP(M884,D.sign_Lista_Data[[RESPONSABLE]:[SOFTWARE 
VALOR HORA]],3,FALSE),"0")</f>
        <v>20263.424518743668</v>
      </c>
      <c r="P884" s="3">
        <f t="shared" si="28"/>
        <v>20263.424518743668</v>
      </c>
      <c r="Q884" s="11">
        <f>IFERROR(+VLOOKUP(M884,D.sign_Lista_Data[[RESPONSABLE]:[SOFTWARE 
VALOR HORA]],5,FALSE)*D.sign_Data[[#This Row],[TIEMPO (HORAS)]],0)</f>
        <v>4221.5467747382636</v>
      </c>
      <c r="R884" s="11">
        <f>IFERROR(+VLOOKUP(M884,D.sign_Lista_Data[[RESPONSABLE]:[SOFTWARE 
VALOR HORA]],8,FALSE)*D.sign_Data[[#This Row],[TIEMPO (HORAS)]],0)</f>
        <v>3410.8548871439834</v>
      </c>
      <c r="S884" s="99"/>
      <c r="T884" s="99"/>
      <c r="U884" s="3">
        <f t="shared" si="29"/>
        <v>27895.826180625918</v>
      </c>
      <c r="V884" s="100">
        <f>D.sign_Data[[#This Row],[TIEMPO (HORAS)]]*Gastos_Operativos[[#Totals],[GASTOS HORA]]</f>
        <v>27789.477072310401</v>
      </c>
      <c r="W884" s="3">
        <f>+D.sign_Data[[#This Row],[COSTO 
DIRECTO ($COP)]]+D.sign_Data[[#This Row],[PRORRATEO GASTOS ($COP)]]</f>
        <v>55685.303252936319</v>
      </c>
      <c r="X884" s="101">
        <v>0.05</v>
      </c>
      <c r="Y884" s="15">
        <f>+D.sign_Data[[#This Row],[COSTOS OPERACIONALES ($COP)]]*D.sign_Data[[#This Row],[DESFASE (%)]]</f>
        <v>2784.265162646816</v>
      </c>
      <c r="Z884" s="101">
        <v>0.2</v>
      </c>
      <c r="AA884" s="15">
        <f>+((D.sign_Data[[#This Row],[COSTOS OPERACIONALES ($COP)]]/(100%-D.sign_Data[[#This Row],[UTILIDAD (%)]])))-D.sign_Data[[#This Row],[COSTOS OPERACIONALES ($COP)]]</f>
        <v>13921.325813234078</v>
      </c>
      <c r="AB884" s="3">
        <f>+D.sign_Data[[#This Row],[COSTOS OPERACIONALES ($COP)]]+D.sign_Data[[#This Row],[DESFASE ($COP)]]+D.sign_Data[[#This Row],[UTILIDAD ($COP)]]</f>
        <v>72390.894228817211</v>
      </c>
      <c r="AC884" s="101">
        <v>0.05</v>
      </c>
      <c r="AD884" s="15">
        <f>+D.sign_Data[[#This Row],[VALOR NETO ($COP)]]/(100%-D.sign_Data[[#This Row],[MARGEN DE NEGOCIACIÓN (%)]])-D.sign_Data[[#This Row],[VALOR NETO ($COP)]]</f>
        <v>3810.0470646745962</v>
      </c>
      <c r="AE884" s="15">
        <f>+(D.sign_Data[[#This Row],[VALOR NETO ($COP)]]+D.sign_Data[[#This Row],[NEGOCIACIÓN ($COP)]])*1%</f>
        <v>762.00941293491803</v>
      </c>
      <c r="AF884" s="15">
        <f>+(D.sign_Data[[#This Row],[VALOR NETO ($COP)]]+D.sign_Data[[#This Row],[NEGOCIACIÓN ($COP)]])*1%</f>
        <v>762.00941293491803</v>
      </c>
      <c r="AG884" s="3">
        <f>+D.sign_Data[[#This Row],[VALOR NETO ($COP)]]+D.sign_Data[[#This Row],[NEGOCIACIÓN ($COP)]]+D.sign_Data[[#This Row],[ICA ($COP)]]+D.sign_Data[[#This Row],[4 * 1000 ($COP)]]</f>
        <v>77724.96011936164</v>
      </c>
    </row>
    <row r="885" spans="1:33" ht="60" hidden="1" customHeight="1" x14ac:dyDescent="0.25">
      <c r="A885" s="14"/>
      <c r="B885" s="87" t="s">
        <v>418</v>
      </c>
      <c r="C885" s="182" t="s">
        <v>929</v>
      </c>
      <c r="D885" s="189" t="str">
        <f>VLOOKUP(D.sign_Data[[#This Row],[CÓDIGO]],Descripciones[[CÓDIGO]:[NOMBRE DE SERVICIO]],3,FALSE)</f>
        <v>D3. Vivienda Campestre</v>
      </c>
      <c r="E885" s="87" t="s">
        <v>497</v>
      </c>
      <c r="F885" s="88" t="s">
        <v>930</v>
      </c>
      <c r="G885" s="88" t="s">
        <v>792</v>
      </c>
      <c r="H885" s="87" t="s">
        <v>500</v>
      </c>
      <c r="I885" s="89">
        <v>1</v>
      </c>
      <c r="J885" s="88" t="s">
        <v>935</v>
      </c>
      <c r="K885" s="102"/>
      <c r="L885" s="88" t="s">
        <v>483</v>
      </c>
      <c r="M885" s="89" t="s">
        <v>381</v>
      </c>
      <c r="N885" s="90">
        <v>0.5</v>
      </c>
      <c r="O885" s="27">
        <f>IFERROR(+VLOOKUP(M885,D.sign_Lista_Data[[RESPONSABLE]:[SOFTWARE 
VALOR HORA]],3,FALSE),"0")</f>
        <v>20263.424518743668</v>
      </c>
      <c r="P885" s="3">
        <f t="shared" si="28"/>
        <v>10131.712259371834</v>
      </c>
      <c r="Q885" s="11">
        <f>IFERROR(+VLOOKUP(M885,D.sign_Lista_Data[[RESPONSABLE]:[SOFTWARE 
VALOR HORA]],5,FALSE)*D.sign_Data[[#This Row],[TIEMPO (HORAS)]],0)</f>
        <v>2110.7733873691318</v>
      </c>
      <c r="R885" s="11">
        <f>IFERROR(+VLOOKUP(M885,D.sign_Lista_Data[[RESPONSABLE]:[SOFTWARE 
VALOR HORA]],8,FALSE)*D.sign_Data[[#This Row],[TIEMPO (HORAS)]],0)</f>
        <v>1705.4274435719917</v>
      </c>
      <c r="S885" s="99"/>
      <c r="T885" s="99"/>
      <c r="U885" s="3">
        <f t="shared" si="29"/>
        <v>13947.913090312959</v>
      </c>
      <c r="V885" s="100">
        <f>D.sign_Data[[#This Row],[TIEMPO (HORAS)]]*Gastos_Operativos[[#Totals],[GASTOS HORA]]</f>
        <v>13894.738536155201</v>
      </c>
      <c r="W885" s="3">
        <f>+D.sign_Data[[#This Row],[COSTO 
DIRECTO ($COP)]]+D.sign_Data[[#This Row],[PRORRATEO GASTOS ($COP)]]</f>
        <v>27842.65162646816</v>
      </c>
      <c r="X885" s="101">
        <v>0.05</v>
      </c>
      <c r="Y885" s="15">
        <f>+D.sign_Data[[#This Row],[COSTOS OPERACIONALES ($COP)]]*D.sign_Data[[#This Row],[DESFASE (%)]]</f>
        <v>1392.132581323408</v>
      </c>
      <c r="Z885" s="101">
        <v>0.2</v>
      </c>
      <c r="AA885" s="15">
        <f>+((D.sign_Data[[#This Row],[COSTOS OPERACIONALES ($COP)]]/(100%-D.sign_Data[[#This Row],[UTILIDAD (%)]])))-D.sign_Data[[#This Row],[COSTOS OPERACIONALES ($COP)]]</f>
        <v>6960.662906617039</v>
      </c>
      <c r="AB885" s="3">
        <f>+D.sign_Data[[#This Row],[COSTOS OPERACIONALES ($COP)]]+D.sign_Data[[#This Row],[DESFASE ($COP)]]+D.sign_Data[[#This Row],[UTILIDAD ($COP)]]</f>
        <v>36195.447114408606</v>
      </c>
      <c r="AC885" s="101">
        <v>0.05</v>
      </c>
      <c r="AD885" s="15">
        <f>+D.sign_Data[[#This Row],[VALOR NETO ($COP)]]/(100%-D.sign_Data[[#This Row],[MARGEN DE NEGOCIACIÓN (%)]])-D.sign_Data[[#This Row],[VALOR NETO ($COP)]]</f>
        <v>1905.0235323372981</v>
      </c>
      <c r="AE885" s="15">
        <f>+(D.sign_Data[[#This Row],[VALOR NETO ($COP)]]+D.sign_Data[[#This Row],[NEGOCIACIÓN ($COP)]])*1%</f>
        <v>381.00470646745902</v>
      </c>
      <c r="AF885" s="15">
        <f>+(D.sign_Data[[#This Row],[VALOR NETO ($COP)]]+D.sign_Data[[#This Row],[NEGOCIACIÓN ($COP)]])*1%</f>
        <v>381.00470646745902</v>
      </c>
      <c r="AG885" s="3">
        <f>+D.sign_Data[[#This Row],[VALOR NETO ($COP)]]+D.sign_Data[[#This Row],[NEGOCIACIÓN ($COP)]]+D.sign_Data[[#This Row],[ICA ($COP)]]+D.sign_Data[[#This Row],[4 * 1000 ($COP)]]</f>
        <v>38862.48005968082</v>
      </c>
    </row>
    <row r="886" spans="1:33" ht="60" hidden="1" customHeight="1" x14ac:dyDescent="0.25">
      <c r="A886" s="14"/>
      <c r="B886" s="87" t="s">
        <v>418</v>
      </c>
      <c r="C886" s="182" t="s">
        <v>929</v>
      </c>
      <c r="D886" s="189" t="str">
        <f>VLOOKUP(D.sign_Data[[#This Row],[CÓDIGO]],Descripciones[[CÓDIGO]:[NOMBRE DE SERVICIO]],3,FALSE)</f>
        <v>D3. Vivienda Campestre</v>
      </c>
      <c r="E886" s="87" t="s">
        <v>497</v>
      </c>
      <c r="F886" s="88" t="s">
        <v>930</v>
      </c>
      <c r="G886" s="88" t="s">
        <v>792</v>
      </c>
      <c r="H886" s="87" t="s">
        <v>500</v>
      </c>
      <c r="I886" s="89">
        <v>1</v>
      </c>
      <c r="J886" s="88" t="s">
        <v>935</v>
      </c>
      <c r="K886" s="102"/>
      <c r="L886" s="88" t="s">
        <v>474</v>
      </c>
      <c r="M886" s="89" t="s">
        <v>381</v>
      </c>
      <c r="N886" s="90">
        <v>0.1</v>
      </c>
      <c r="O886" s="27">
        <f>IFERROR(+VLOOKUP(M886,D.sign_Lista_Data[[RESPONSABLE]:[SOFTWARE 
VALOR HORA]],3,FALSE),"0")</f>
        <v>20263.424518743668</v>
      </c>
      <c r="P886" s="3">
        <f t="shared" si="28"/>
        <v>2026.3424518743668</v>
      </c>
      <c r="Q886" s="11">
        <f>IFERROR(+VLOOKUP(M886,D.sign_Lista_Data[[RESPONSABLE]:[SOFTWARE 
VALOR HORA]],5,FALSE)*D.sign_Data[[#This Row],[TIEMPO (HORAS)]],0)</f>
        <v>422.15467747382638</v>
      </c>
      <c r="R886" s="11">
        <f>IFERROR(+VLOOKUP(M886,D.sign_Lista_Data[[RESPONSABLE]:[SOFTWARE 
VALOR HORA]],8,FALSE)*D.sign_Data[[#This Row],[TIEMPO (HORAS)]],0)</f>
        <v>341.08548871439837</v>
      </c>
      <c r="S886" s="99"/>
      <c r="T886" s="99"/>
      <c r="U886" s="3">
        <f t="shared" si="29"/>
        <v>2789.5826180625913</v>
      </c>
      <c r="V886" s="100">
        <f>D.sign_Data[[#This Row],[TIEMPO (HORAS)]]*Gastos_Operativos[[#Totals],[GASTOS HORA]]</f>
        <v>2778.9477072310401</v>
      </c>
      <c r="W886" s="3">
        <f>+D.sign_Data[[#This Row],[COSTO 
DIRECTO ($COP)]]+D.sign_Data[[#This Row],[PRORRATEO GASTOS ($COP)]]</f>
        <v>5568.5303252936319</v>
      </c>
      <c r="X886" s="101">
        <v>0.05</v>
      </c>
      <c r="Y886" s="15">
        <f>+D.sign_Data[[#This Row],[COSTOS OPERACIONALES ($COP)]]*D.sign_Data[[#This Row],[DESFASE (%)]]</f>
        <v>278.4265162646816</v>
      </c>
      <c r="Z886" s="101">
        <v>0.2</v>
      </c>
      <c r="AA886" s="15">
        <f>+((D.sign_Data[[#This Row],[COSTOS OPERACIONALES ($COP)]]/(100%-D.sign_Data[[#This Row],[UTILIDAD (%)]])))-D.sign_Data[[#This Row],[COSTOS OPERACIONALES ($COP)]]</f>
        <v>1392.132581323408</v>
      </c>
      <c r="AB886" s="3">
        <f>+D.sign_Data[[#This Row],[COSTOS OPERACIONALES ($COP)]]+D.sign_Data[[#This Row],[DESFASE ($COP)]]+D.sign_Data[[#This Row],[UTILIDAD ($COP)]]</f>
        <v>7239.0894228817215</v>
      </c>
      <c r="AC886" s="101">
        <v>0.05</v>
      </c>
      <c r="AD886" s="15">
        <f>+D.sign_Data[[#This Row],[VALOR NETO ($COP)]]/(100%-D.sign_Data[[#This Row],[MARGEN DE NEGOCIACIÓN (%)]])-D.sign_Data[[#This Row],[VALOR NETO ($COP)]]</f>
        <v>381.00470646745907</v>
      </c>
      <c r="AE886" s="15">
        <f>+(D.sign_Data[[#This Row],[VALOR NETO ($COP)]]+D.sign_Data[[#This Row],[NEGOCIACIÓN ($COP)]])*1%</f>
        <v>76.200941293491809</v>
      </c>
      <c r="AF886" s="15">
        <f>+(D.sign_Data[[#This Row],[VALOR NETO ($COP)]]+D.sign_Data[[#This Row],[NEGOCIACIÓN ($COP)]])*1%</f>
        <v>76.200941293491809</v>
      </c>
      <c r="AG886" s="3">
        <f>+D.sign_Data[[#This Row],[VALOR NETO ($COP)]]+D.sign_Data[[#This Row],[NEGOCIACIÓN ($COP)]]+D.sign_Data[[#This Row],[ICA ($COP)]]+D.sign_Data[[#This Row],[4 * 1000 ($COP)]]</f>
        <v>7772.4960119361649</v>
      </c>
    </row>
    <row r="887" spans="1:33" ht="60" hidden="1" customHeight="1" x14ac:dyDescent="0.25">
      <c r="A887" s="14"/>
      <c r="B887" s="87" t="s">
        <v>418</v>
      </c>
      <c r="C887" s="182" t="s">
        <v>929</v>
      </c>
      <c r="D887" s="189" t="str">
        <f>VLOOKUP(D.sign_Data[[#This Row],[CÓDIGO]],Descripciones[[CÓDIGO]:[NOMBRE DE SERVICIO]],3,FALSE)</f>
        <v>D3. Vivienda Campestre</v>
      </c>
      <c r="E887" s="87" t="s">
        <v>497</v>
      </c>
      <c r="F887" s="88" t="s">
        <v>930</v>
      </c>
      <c r="G887" s="88" t="s">
        <v>792</v>
      </c>
      <c r="H887" s="87" t="s">
        <v>500</v>
      </c>
      <c r="I887" s="89">
        <v>1</v>
      </c>
      <c r="J887" s="88" t="s">
        <v>936</v>
      </c>
      <c r="K887" s="102"/>
      <c r="L887" s="88" t="s">
        <v>781</v>
      </c>
      <c r="M887" s="89" t="s">
        <v>381</v>
      </c>
      <c r="N887" s="90">
        <v>0.1</v>
      </c>
      <c r="O887" s="27">
        <f>IFERROR(+VLOOKUP(M887,D.sign_Lista_Data[[RESPONSABLE]:[SOFTWARE 
VALOR HORA]],3,FALSE),"0")</f>
        <v>20263.424518743668</v>
      </c>
      <c r="P887" s="3">
        <f t="shared" si="28"/>
        <v>2026.3424518743668</v>
      </c>
      <c r="Q887" s="11">
        <f>IFERROR(+VLOOKUP(M887,D.sign_Lista_Data[[RESPONSABLE]:[SOFTWARE 
VALOR HORA]],5,FALSE)*D.sign_Data[[#This Row],[TIEMPO (HORAS)]],0)</f>
        <v>422.15467747382638</v>
      </c>
      <c r="R887" s="11">
        <f>IFERROR(+VLOOKUP(M887,D.sign_Lista_Data[[RESPONSABLE]:[SOFTWARE 
VALOR HORA]],8,FALSE)*D.sign_Data[[#This Row],[TIEMPO (HORAS)]],0)</f>
        <v>341.08548871439837</v>
      </c>
      <c r="S887" s="99"/>
      <c r="T887" s="99"/>
      <c r="U887" s="3">
        <f t="shared" si="29"/>
        <v>2789.5826180625913</v>
      </c>
      <c r="V887" s="100">
        <f>D.sign_Data[[#This Row],[TIEMPO (HORAS)]]*Gastos_Operativos[[#Totals],[GASTOS HORA]]</f>
        <v>2778.9477072310401</v>
      </c>
      <c r="W887" s="3">
        <f>+D.sign_Data[[#This Row],[COSTO 
DIRECTO ($COP)]]+D.sign_Data[[#This Row],[PRORRATEO GASTOS ($COP)]]</f>
        <v>5568.5303252936319</v>
      </c>
      <c r="X887" s="101">
        <v>0.05</v>
      </c>
      <c r="Y887" s="15">
        <f>+D.sign_Data[[#This Row],[COSTOS OPERACIONALES ($COP)]]*D.sign_Data[[#This Row],[DESFASE (%)]]</f>
        <v>278.4265162646816</v>
      </c>
      <c r="Z887" s="101">
        <v>0.2</v>
      </c>
      <c r="AA887" s="15">
        <f>+((D.sign_Data[[#This Row],[COSTOS OPERACIONALES ($COP)]]/(100%-D.sign_Data[[#This Row],[UTILIDAD (%)]])))-D.sign_Data[[#This Row],[COSTOS OPERACIONALES ($COP)]]</f>
        <v>1392.132581323408</v>
      </c>
      <c r="AB887" s="3">
        <f>+D.sign_Data[[#This Row],[COSTOS OPERACIONALES ($COP)]]+D.sign_Data[[#This Row],[DESFASE ($COP)]]+D.sign_Data[[#This Row],[UTILIDAD ($COP)]]</f>
        <v>7239.0894228817215</v>
      </c>
      <c r="AC887" s="101">
        <v>0.05</v>
      </c>
      <c r="AD887" s="15">
        <f>+D.sign_Data[[#This Row],[VALOR NETO ($COP)]]/(100%-D.sign_Data[[#This Row],[MARGEN DE NEGOCIACIÓN (%)]])-D.sign_Data[[#This Row],[VALOR NETO ($COP)]]</f>
        <v>381.00470646745907</v>
      </c>
      <c r="AE887" s="15">
        <f>+(D.sign_Data[[#This Row],[VALOR NETO ($COP)]]+D.sign_Data[[#This Row],[NEGOCIACIÓN ($COP)]])*1%</f>
        <v>76.200941293491809</v>
      </c>
      <c r="AF887" s="15">
        <f>+(D.sign_Data[[#This Row],[VALOR NETO ($COP)]]+D.sign_Data[[#This Row],[NEGOCIACIÓN ($COP)]])*1%</f>
        <v>76.200941293491809</v>
      </c>
      <c r="AG887" s="3">
        <f>+D.sign_Data[[#This Row],[VALOR NETO ($COP)]]+D.sign_Data[[#This Row],[NEGOCIACIÓN ($COP)]]+D.sign_Data[[#This Row],[ICA ($COP)]]+D.sign_Data[[#This Row],[4 * 1000 ($COP)]]</f>
        <v>7772.4960119361649</v>
      </c>
    </row>
    <row r="888" spans="1:33" ht="60" hidden="1" customHeight="1" x14ac:dyDescent="0.25">
      <c r="A888" s="14"/>
      <c r="B888" s="87" t="s">
        <v>418</v>
      </c>
      <c r="C888" s="182" t="s">
        <v>929</v>
      </c>
      <c r="D888" s="189" t="str">
        <f>VLOOKUP(D.sign_Data[[#This Row],[CÓDIGO]],Descripciones[[CÓDIGO]:[NOMBRE DE SERVICIO]],3,FALSE)</f>
        <v>D3. Vivienda Campestre</v>
      </c>
      <c r="E888" s="87" t="s">
        <v>497</v>
      </c>
      <c r="F888" s="88" t="s">
        <v>930</v>
      </c>
      <c r="G888" s="88" t="s">
        <v>792</v>
      </c>
      <c r="H888" s="87" t="s">
        <v>500</v>
      </c>
      <c r="I888" s="89">
        <v>1</v>
      </c>
      <c r="J888" s="88" t="s">
        <v>936</v>
      </c>
      <c r="K888" s="102"/>
      <c r="L888" s="88" t="s">
        <v>782</v>
      </c>
      <c r="M888" s="89" t="s">
        <v>381</v>
      </c>
      <c r="N888" s="90">
        <v>0.1</v>
      </c>
      <c r="O888" s="27">
        <f>IFERROR(+VLOOKUP(M888,D.sign_Lista_Data[[RESPONSABLE]:[SOFTWARE 
VALOR HORA]],3,FALSE),"0")</f>
        <v>20263.424518743668</v>
      </c>
      <c r="P888" s="3">
        <f t="shared" si="28"/>
        <v>2026.3424518743668</v>
      </c>
      <c r="Q888" s="11">
        <f>IFERROR(+VLOOKUP(M888,D.sign_Lista_Data[[RESPONSABLE]:[SOFTWARE 
VALOR HORA]],5,FALSE)*D.sign_Data[[#This Row],[TIEMPO (HORAS)]],0)</f>
        <v>422.15467747382638</v>
      </c>
      <c r="R888" s="11">
        <f>IFERROR(+VLOOKUP(M888,D.sign_Lista_Data[[RESPONSABLE]:[SOFTWARE 
VALOR HORA]],8,FALSE)*D.sign_Data[[#This Row],[TIEMPO (HORAS)]],0)</f>
        <v>341.08548871439837</v>
      </c>
      <c r="S888" s="99"/>
      <c r="T888" s="99"/>
      <c r="U888" s="3">
        <f t="shared" si="29"/>
        <v>2789.5826180625913</v>
      </c>
      <c r="V888" s="100">
        <f>D.sign_Data[[#This Row],[TIEMPO (HORAS)]]*Gastos_Operativos[[#Totals],[GASTOS HORA]]</f>
        <v>2778.9477072310401</v>
      </c>
      <c r="W888" s="3">
        <f>+D.sign_Data[[#This Row],[COSTO 
DIRECTO ($COP)]]+D.sign_Data[[#This Row],[PRORRATEO GASTOS ($COP)]]</f>
        <v>5568.5303252936319</v>
      </c>
      <c r="X888" s="101">
        <v>0.05</v>
      </c>
      <c r="Y888" s="15">
        <f>+D.sign_Data[[#This Row],[COSTOS OPERACIONALES ($COP)]]*D.sign_Data[[#This Row],[DESFASE (%)]]</f>
        <v>278.4265162646816</v>
      </c>
      <c r="Z888" s="101">
        <v>0.2</v>
      </c>
      <c r="AA888" s="15">
        <f>+((D.sign_Data[[#This Row],[COSTOS OPERACIONALES ($COP)]]/(100%-D.sign_Data[[#This Row],[UTILIDAD (%)]])))-D.sign_Data[[#This Row],[COSTOS OPERACIONALES ($COP)]]</f>
        <v>1392.132581323408</v>
      </c>
      <c r="AB888" s="3">
        <f>+D.sign_Data[[#This Row],[COSTOS OPERACIONALES ($COP)]]+D.sign_Data[[#This Row],[DESFASE ($COP)]]+D.sign_Data[[#This Row],[UTILIDAD ($COP)]]</f>
        <v>7239.0894228817215</v>
      </c>
      <c r="AC888" s="101">
        <v>0.05</v>
      </c>
      <c r="AD888" s="15">
        <f>+D.sign_Data[[#This Row],[VALOR NETO ($COP)]]/(100%-D.sign_Data[[#This Row],[MARGEN DE NEGOCIACIÓN (%)]])-D.sign_Data[[#This Row],[VALOR NETO ($COP)]]</f>
        <v>381.00470646745907</v>
      </c>
      <c r="AE888" s="15">
        <f>+(D.sign_Data[[#This Row],[VALOR NETO ($COP)]]+D.sign_Data[[#This Row],[NEGOCIACIÓN ($COP)]])*1%</f>
        <v>76.200941293491809</v>
      </c>
      <c r="AF888" s="15">
        <f>+(D.sign_Data[[#This Row],[VALOR NETO ($COP)]]+D.sign_Data[[#This Row],[NEGOCIACIÓN ($COP)]])*1%</f>
        <v>76.200941293491809</v>
      </c>
      <c r="AG888" s="3">
        <f>+D.sign_Data[[#This Row],[VALOR NETO ($COP)]]+D.sign_Data[[#This Row],[NEGOCIACIÓN ($COP)]]+D.sign_Data[[#This Row],[ICA ($COP)]]+D.sign_Data[[#This Row],[4 * 1000 ($COP)]]</f>
        <v>7772.4960119361649</v>
      </c>
    </row>
    <row r="889" spans="1:33" ht="60" hidden="1" customHeight="1" x14ac:dyDescent="0.25">
      <c r="A889" s="14"/>
      <c r="B889" s="87" t="s">
        <v>418</v>
      </c>
      <c r="C889" s="182" t="s">
        <v>929</v>
      </c>
      <c r="D889" s="189" t="str">
        <f>VLOOKUP(D.sign_Data[[#This Row],[CÓDIGO]],Descripciones[[CÓDIGO]:[NOMBRE DE SERVICIO]],3,FALSE)</f>
        <v>D3. Vivienda Campestre</v>
      </c>
      <c r="E889" s="87" t="s">
        <v>497</v>
      </c>
      <c r="F889" s="88" t="s">
        <v>930</v>
      </c>
      <c r="G889" s="88" t="s">
        <v>792</v>
      </c>
      <c r="H889" s="87" t="s">
        <v>500</v>
      </c>
      <c r="I889" s="89">
        <v>1</v>
      </c>
      <c r="J889" s="88" t="s">
        <v>936</v>
      </c>
      <c r="K889" s="102"/>
      <c r="L889" s="88" t="s">
        <v>777</v>
      </c>
      <c r="M889" s="89" t="s">
        <v>381</v>
      </c>
      <c r="N889" s="90">
        <v>0.1</v>
      </c>
      <c r="O889" s="27">
        <f>IFERROR(+VLOOKUP(M889,D.sign_Lista_Data[[RESPONSABLE]:[SOFTWARE 
VALOR HORA]],3,FALSE),"0")</f>
        <v>20263.424518743668</v>
      </c>
      <c r="P889" s="3">
        <f t="shared" si="28"/>
        <v>2026.3424518743668</v>
      </c>
      <c r="Q889" s="11">
        <f>IFERROR(+VLOOKUP(M889,D.sign_Lista_Data[[RESPONSABLE]:[SOFTWARE 
VALOR HORA]],5,FALSE)*D.sign_Data[[#This Row],[TIEMPO (HORAS)]],0)</f>
        <v>422.15467747382638</v>
      </c>
      <c r="R889" s="11">
        <f>IFERROR(+VLOOKUP(M889,D.sign_Lista_Data[[RESPONSABLE]:[SOFTWARE 
VALOR HORA]],8,FALSE)*D.sign_Data[[#This Row],[TIEMPO (HORAS)]],0)</f>
        <v>341.08548871439837</v>
      </c>
      <c r="S889" s="99"/>
      <c r="T889" s="99"/>
      <c r="U889" s="3">
        <f t="shared" si="29"/>
        <v>2789.5826180625913</v>
      </c>
      <c r="V889" s="100">
        <f>D.sign_Data[[#This Row],[TIEMPO (HORAS)]]*Gastos_Operativos[[#Totals],[GASTOS HORA]]</f>
        <v>2778.9477072310401</v>
      </c>
      <c r="W889" s="3">
        <f>+D.sign_Data[[#This Row],[COSTO 
DIRECTO ($COP)]]+D.sign_Data[[#This Row],[PRORRATEO GASTOS ($COP)]]</f>
        <v>5568.5303252936319</v>
      </c>
      <c r="X889" s="101">
        <v>0.05</v>
      </c>
      <c r="Y889" s="15">
        <f>+D.sign_Data[[#This Row],[COSTOS OPERACIONALES ($COP)]]*D.sign_Data[[#This Row],[DESFASE (%)]]</f>
        <v>278.4265162646816</v>
      </c>
      <c r="Z889" s="101">
        <v>0.2</v>
      </c>
      <c r="AA889" s="15">
        <f>+((D.sign_Data[[#This Row],[COSTOS OPERACIONALES ($COP)]]/(100%-D.sign_Data[[#This Row],[UTILIDAD (%)]])))-D.sign_Data[[#This Row],[COSTOS OPERACIONALES ($COP)]]</f>
        <v>1392.132581323408</v>
      </c>
      <c r="AB889" s="3">
        <f>+D.sign_Data[[#This Row],[COSTOS OPERACIONALES ($COP)]]+D.sign_Data[[#This Row],[DESFASE ($COP)]]+D.sign_Data[[#This Row],[UTILIDAD ($COP)]]</f>
        <v>7239.0894228817215</v>
      </c>
      <c r="AC889" s="101">
        <v>0.05</v>
      </c>
      <c r="AD889" s="15">
        <f>+D.sign_Data[[#This Row],[VALOR NETO ($COP)]]/(100%-D.sign_Data[[#This Row],[MARGEN DE NEGOCIACIÓN (%)]])-D.sign_Data[[#This Row],[VALOR NETO ($COP)]]</f>
        <v>381.00470646745907</v>
      </c>
      <c r="AE889" s="15">
        <f>+(D.sign_Data[[#This Row],[VALOR NETO ($COP)]]+D.sign_Data[[#This Row],[NEGOCIACIÓN ($COP)]])*1%</f>
        <v>76.200941293491809</v>
      </c>
      <c r="AF889" s="15">
        <f>+(D.sign_Data[[#This Row],[VALOR NETO ($COP)]]+D.sign_Data[[#This Row],[NEGOCIACIÓN ($COP)]])*1%</f>
        <v>76.200941293491809</v>
      </c>
      <c r="AG889" s="3">
        <f>+D.sign_Data[[#This Row],[VALOR NETO ($COP)]]+D.sign_Data[[#This Row],[NEGOCIACIÓN ($COP)]]+D.sign_Data[[#This Row],[ICA ($COP)]]+D.sign_Data[[#This Row],[4 * 1000 ($COP)]]</f>
        <v>7772.4960119361649</v>
      </c>
    </row>
    <row r="890" spans="1:33" ht="60" hidden="1" customHeight="1" x14ac:dyDescent="0.25">
      <c r="A890" s="14"/>
      <c r="B890" s="87" t="s">
        <v>418</v>
      </c>
      <c r="C890" s="182" t="s">
        <v>929</v>
      </c>
      <c r="D890" s="189" t="str">
        <f>VLOOKUP(D.sign_Data[[#This Row],[CÓDIGO]],Descripciones[[CÓDIGO]:[NOMBRE DE SERVICIO]],3,FALSE)</f>
        <v>D3. Vivienda Campestre</v>
      </c>
      <c r="E890" s="87" t="s">
        <v>497</v>
      </c>
      <c r="F890" s="88" t="s">
        <v>930</v>
      </c>
      <c r="G890" s="88" t="s">
        <v>792</v>
      </c>
      <c r="H890" s="87" t="s">
        <v>500</v>
      </c>
      <c r="I890" s="89">
        <v>1</v>
      </c>
      <c r="J890" s="88" t="s">
        <v>936</v>
      </c>
      <c r="K890" s="102"/>
      <c r="L890" s="88" t="s">
        <v>483</v>
      </c>
      <c r="M890" s="89" t="s">
        <v>381</v>
      </c>
      <c r="N890" s="90">
        <v>0.1</v>
      </c>
      <c r="O890" s="27">
        <f>IFERROR(+VLOOKUP(M890,D.sign_Lista_Data[[RESPONSABLE]:[SOFTWARE 
VALOR HORA]],3,FALSE),"0")</f>
        <v>20263.424518743668</v>
      </c>
      <c r="P890" s="3">
        <f t="shared" si="28"/>
        <v>2026.3424518743668</v>
      </c>
      <c r="Q890" s="11">
        <f>IFERROR(+VLOOKUP(M890,D.sign_Lista_Data[[RESPONSABLE]:[SOFTWARE 
VALOR HORA]],5,FALSE)*D.sign_Data[[#This Row],[TIEMPO (HORAS)]],0)</f>
        <v>422.15467747382638</v>
      </c>
      <c r="R890" s="11">
        <f>IFERROR(+VLOOKUP(M890,D.sign_Lista_Data[[RESPONSABLE]:[SOFTWARE 
VALOR HORA]],8,FALSE)*D.sign_Data[[#This Row],[TIEMPO (HORAS)]],0)</f>
        <v>341.08548871439837</v>
      </c>
      <c r="S890" s="99"/>
      <c r="T890" s="99"/>
      <c r="U890" s="3">
        <f t="shared" si="29"/>
        <v>2789.5826180625913</v>
      </c>
      <c r="V890" s="100">
        <f>D.sign_Data[[#This Row],[TIEMPO (HORAS)]]*Gastos_Operativos[[#Totals],[GASTOS HORA]]</f>
        <v>2778.9477072310401</v>
      </c>
      <c r="W890" s="3">
        <f>+D.sign_Data[[#This Row],[COSTO 
DIRECTO ($COP)]]+D.sign_Data[[#This Row],[PRORRATEO GASTOS ($COP)]]</f>
        <v>5568.5303252936319</v>
      </c>
      <c r="X890" s="101">
        <v>0.05</v>
      </c>
      <c r="Y890" s="15">
        <f>+D.sign_Data[[#This Row],[COSTOS OPERACIONALES ($COP)]]*D.sign_Data[[#This Row],[DESFASE (%)]]</f>
        <v>278.4265162646816</v>
      </c>
      <c r="Z890" s="101">
        <v>0.2</v>
      </c>
      <c r="AA890" s="15">
        <f>+((D.sign_Data[[#This Row],[COSTOS OPERACIONALES ($COP)]]/(100%-D.sign_Data[[#This Row],[UTILIDAD (%)]])))-D.sign_Data[[#This Row],[COSTOS OPERACIONALES ($COP)]]</f>
        <v>1392.132581323408</v>
      </c>
      <c r="AB890" s="3">
        <f>+D.sign_Data[[#This Row],[COSTOS OPERACIONALES ($COP)]]+D.sign_Data[[#This Row],[DESFASE ($COP)]]+D.sign_Data[[#This Row],[UTILIDAD ($COP)]]</f>
        <v>7239.0894228817215</v>
      </c>
      <c r="AC890" s="101">
        <v>0.05</v>
      </c>
      <c r="AD890" s="15">
        <f>+D.sign_Data[[#This Row],[VALOR NETO ($COP)]]/(100%-D.sign_Data[[#This Row],[MARGEN DE NEGOCIACIÓN (%)]])-D.sign_Data[[#This Row],[VALOR NETO ($COP)]]</f>
        <v>381.00470646745907</v>
      </c>
      <c r="AE890" s="15">
        <f>+(D.sign_Data[[#This Row],[VALOR NETO ($COP)]]+D.sign_Data[[#This Row],[NEGOCIACIÓN ($COP)]])*1%</f>
        <v>76.200941293491809</v>
      </c>
      <c r="AF890" s="15">
        <f>+(D.sign_Data[[#This Row],[VALOR NETO ($COP)]]+D.sign_Data[[#This Row],[NEGOCIACIÓN ($COP)]])*1%</f>
        <v>76.200941293491809</v>
      </c>
      <c r="AG890" s="3">
        <f>+D.sign_Data[[#This Row],[VALOR NETO ($COP)]]+D.sign_Data[[#This Row],[NEGOCIACIÓN ($COP)]]+D.sign_Data[[#This Row],[ICA ($COP)]]+D.sign_Data[[#This Row],[4 * 1000 ($COP)]]</f>
        <v>7772.4960119361649</v>
      </c>
    </row>
    <row r="891" spans="1:33" ht="60" hidden="1" customHeight="1" x14ac:dyDescent="0.25">
      <c r="A891" s="14"/>
      <c r="B891" s="87" t="s">
        <v>418</v>
      </c>
      <c r="C891" s="182" t="s">
        <v>929</v>
      </c>
      <c r="D891" s="189" t="str">
        <f>VLOOKUP(D.sign_Data[[#This Row],[CÓDIGO]],Descripciones[[CÓDIGO]:[NOMBRE DE SERVICIO]],3,FALSE)</f>
        <v>D3. Vivienda Campestre</v>
      </c>
      <c r="E891" s="87" t="s">
        <v>497</v>
      </c>
      <c r="F891" s="88" t="s">
        <v>930</v>
      </c>
      <c r="G891" s="88" t="s">
        <v>792</v>
      </c>
      <c r="H891" s="87" t="s">
        <v>500</v>
      </c>
      <c r="I891" s="89">
        <v>1</v>
      </c>
      <c r="J891" s="88" t="s">
        <v>937</v>
      </c>
      <c r="K891" s="102"/>
      <c r="L891" s="88" t="s">
        <v>784</v>
      </c>
      <c r="M891" s="89" t="s">
        <v>381</v>
      </c>
      <c r="N891" s="90">
        <v>0.5</v>
      </c>
      <c r="O891" s="27">
        <f>IFERROR(+VLOOKUP(M891,D.sign_Lista_Data[[RESPONSABLE]:[SOFTWARE 
VALOR HORA]],3,FALSE),"0")</f>
        <v>20263.424518743668</v>
      </c>
      <c r="P891" s="3">
        <f t="shared" si="28"/>
        <v>10131.712259371834</v>
      </c>
      <c r="Q891" s="11">
        <f>IFERROR(+VLOOKUP(M891,D.sign_Lista_Data[[RESPONSABLE]:[SOFTWARE 
VALOR HORA]],5,FALSE)*D.sign_Data[[#This Row],[TIEMPO (HORAS)]],0)</f>
        <v>2110.7733873691318</v>
      </c>
      <c r="R891" s="11">
        <f>IFERROR(+VLOOKUP(M891,D.sign_Lista_Data[[RESPONSABLE]:[SOFTWARE 
VALOR HORA]],8,FALSE)*D.sign_Data[[#This Row],[TIEMPO (HORAS)]],0)</f>
        <v>1705.4274435719917</v>
      </c>
      <c r="S891" s="99"/>
      <c r="T891" s="99"/>
      <c r="U891" s="3">
        <f t="shared" si="29"/>
        <v>13947.913090312959</v>
      </c>
      <c r="V891" s="100">
        <f>D.sign_Data[[#This Row],[TIEMPO (HORAS)]]*Gastos_Operativos[[#Totals],[GASTOS HORA]]</f>
        <v>13894.738536155201</v>
      </c>
      <c r="W891" s="3">
        <f>+D.sign_Data[[#This Row],[COSTO 
DIRECTO ($COP)]]+D.sign_Data[[#This Row],[PRORRATEO GASTOS ($COP)]]</f>
        <v>27842.65162646816</v>
      </c>
      <c r="X891" s="101">
        <v>0.05</v>
      </c>
      <c r="Y891" s="15">
        <f>+D.sign_Data[[#This Row],[COSTOS OPERACIONALES ($COP)]]*D.sign_Data[[#This Row],[DESFASE (%)]]</f>
        <v>1392.132581323408</v>
      </c>
      <c r="Z891" s="101">
        <v>0.2</v>
      </c>
      <c r="AA891" s="15">
        <f>+((D.sign_Data[[#This Row],[COSTOS OPERACIONALES ($COP)]]/(100%-D.sign_Data[[#This Row],[UTILIDAD (%)]])))-D.sign_Data[[#This Row],[COSTOS OPERACIONALES ($COP)]]</f>
        <v>6960.662906617039</v>
      </c>
      <c r="AB891" s="3">
        <f>+D.sign_Data[[#This Row],[COSTOS OPERACIONALES ($COP)]]+D.sign_Data[[#This Row],[DESFASE ($COP)]]+D.sign_Data[[#This Row],[UTILIDAD ($COP)]]</f>
        <v>36195.447114408606</v>
      </c>
      <c r="AC891" s="101">
        <v>0.05</v>
      </c>
      <c r="AD891" s="15">
        <f>+D.sign_Data[[#This Row],[VALOR NETO ($COP)]]/(100%-D.sign_Data[[#This Row],[MARGEN DE NEGOCIACIÓN (%)]])-D.sign_Data[[#This Row],[VALOR NETO ($COP)]]</f>
        <v>1905.0235323372981</v>
      </c>
      <c r="AE891" s="15">
        <f>+(D.sign_Data[[#This Row],[VALOR NETO ($COP)]]+D.sign_Data[[#This Row],[NEGOCIACIÓN ($COP)]])*1%</f>
        <v>381.00470646745902</v>
      </c>
      <c r="AF891" s="15">
        <f>+(D.sign_Data[[#This Row],[VALOR NETO ($COP)]]+D.sign_Data[[#This Row],[NEGOCIACIÓN ($COP)]])*1%</f>
        <v>381.00470646745902</v>
      </c>
      <c r="AG891" s="3">
        <f>+D.sign_Data[[#This Row],[VALOR NETO ($COP)]]+D.sign_Data[[#This Row],[NEGOCIACIÓN ($COP)]]+D.sign_Data[[#This Row],[ICA ($COP)]]+D.sign_Data[[#This Row],[4 * 1000 ($COP)]]</f>
        <v>38862.48005968082</v>
      </c>
    </row>
    <row r="892" spans="1:33" ht="60" hidden="1" customHeight="1" x14ac:dyDescent="0.25">
      <c r="A892" s="14"/>
      <c r="B892" s="87" t="s">
        <v>418</v>
      </c>
      <c r="C892" s="182" t="s">
        <v>929</v>
      </c>
      <c r="D892" s="189" t="str">
        <f>VLOOKUP(D.sign_Data[[#This Row],[CÓDIGO]],Descripciones[[CÓDIGO]:[NOMBRE DE SERVICIO]],3,FALSE)</f>
        <v>D3. Vivienda Campestre</v>
      </c>
      <c r="E892" s="87" t="s">
        <v>497</v>
      </c>
      <c r="F892" s="88" t="s">
        <v>930</v>
      </c>
      <c r="G892" s="88" t="s">
        <v>792</v>
      </c>
      <c r="H892" s="87" t="s">
        <v>500</v>
      </c>
      <c r="I892" s="89">
        <v>1</v>
      </c>
      <c r="J892" s="88" t="s">
        <v>937</v>
      </c>
      <c r="K892" s="102"/>
      <c r="L892" s="88" t="s">
        <v>785</v>
      </c>
      <c r="M892" s="89" t="s">
        <v>381</v>
      </c>
      <c r="N892" s="90">
        <v>0.2</v>
      </c>
      <c r="O892" s="27">
        <f>IFERROR(+VLOOKUP(M892,D.sign_Lista_Data[[RESPONSABLE]:[SOFTWARE 
VALOR HORA]],3,FALSE),"0")</f>
        <v>20263.424518743668</v>
      </c>
      <c r="P892" s="3">
        <f t="shared" si="28"/>
        <v>4052.6849037487336</v>
      </c>
      <c r="Q892" s="11">
        <f>IFERROR(+VLOOKUP(M892,D.sign_Lista_Data[[RESPONSABLE]:[SOFTWARE 
VALOR HORA]],5,FALSE)*D.sign_Data[[#This Row],[TIEMPO (HORAS)]],0)</f>
        <v>844.30935494765276</v>
      </c>
      <c r="R892" s="11">
        <f>IFERROR(+VLOOKUP(M892,D.sign_Lista_Data[[RESPONSABLE]:[SOFTWARE 
VALOR HORA]],8,FALSE)*D.sign_Data[[#This Row],[TIEMPO (HORAS)]],0)</f>
        <v>682.17097742879673</v>
      </c>
      <c r="S892" s="99"/>
      <c r="T892" s="99"/>
      <c r="U892" s="3">
        <f t="shared" si="29"/>
        <v>5579.1652361251827</v>
      </c>
      <c r="V892" s="100">
        <f>D.sign_Data[[#This Row],[TIEMPO (HORAS)]]*Gastos_Operativos[[#Totals],[GASTOS HORA]]</f>
        <v>5557.8954144620802</v>
      </c>
      <c r="W892" s="3">
        <f>+D.sign_Data[[#This Row],[COSTO 
DIRECTO ($COP)]]+D.sign_Data[[#This Row],[PRORRATEO GASTOS ($COP)]]</f>
        <v>11137.060650587264</v>
      </c>
      <c r="X892" s="101">
        <v>0.05</v>
      </c>
      <c r="Y892" s="15">
        <f>+D.sign_Data[[#This Row],[COSTOS OPERACIONALES ($COP)]]*D.sign_Data[[#This Row],[DESFASE (%)]]</f>
        <v>556.85303252936319</v>
      </c>
      <c r="Z892" s="101">
        <v>0.2</v>
      </c>
      <c r="AA892" s="15">
        <f>+((D.sign_Data[[#This Row],[COSTOS OPERACIONALES ($COP)]]/(100%-D.sign_Data[[#This Row],[UTILIDAD (%)]])))-D.sign_Data[[#This Row],[COSTOS OPERACIONALES ($COP)]]</f>
        <v>2784.265162646816</v>
      </c>
      <c r="AB892" s="3">
        <f>+D.sign_Data[[#This Row],[COSTOS OPERACIONALES ($COP)]]+D.sign_Data[[#This Row],[DESFASE ($COP)]]+D.sign_Data[[#This Row],[UTILIDAD ($COP)]]</f>
        <v>14478.178845763443</v>
      </c>
      <c r="AC892" s="101">
        <v>0.05</v>
      </c>
      <c r="AD892" s="15">
        <f>+D.sign_Data[[#This Row],[VALOR NETO ($COP)]]/(100%-D.sign_Data[[#This Row],[MARGEN DE NEGOCIACIÓN (%)]])-D.sign_Data[[#This Row],[VALOR NETO ($COP)]]</f>
        <v>762.00941293491815</v>
      </c>
      <c r="AE892" s="15">
        <f>+(D.sign_Data[[#This Row],[VALOR NETO ($COP)]]+D.sign_Data[[#This Row],[NEGOCIACIÓN ($COP)]])*1%</f>
        <v>152.40188258698362</v>
      </c>
      <c r="AF892" s="15">
        <f>+(D.sign_Data[[#This Row],[VALOR NETO ($COP)]]+D.sign_Data[[#This Row],[NEGOCIACIÓN ($COP)]])*1%</f>
        <v>152.40188258698362</v>
      </c>
      <c r="AG892" s="3">
        <f>+D.sign_Data[[#This Row],[VALOR NETO ($COP)]]+D.sign_Data[[#This Row],[NEGOCIACIÓN ($COP)]]+D.sign_Data[[#This Row],[ICA ($COP)]]+D.sign_Data[[#This Row],[4 * 1000 ($COP)]]</f>
        <v>15544.99202387233</v>
      </c>
    </row>
    <row r="893" spans="1:33" ht="60" hidden="1" customHeight="1" x14ac:dyDescent="0.25">
      <c r="A893" s="14"/>
      <c r="B893" s="87" t="s">
        <v>418</v>
      </c>
      <c r="C893" s="182" t="s">
        <v>929</v>
      </c>
      <c r="D893" s="189" t="str">
        <f>VLOOKUP(D.sign_Data[[#This Row],[CÓDIGO]],Descripciones[[CÓDIGO]:[NOMBRE DE SERVICIO]],3,FALSE)</f>
        <v>D3. Vivienda Campestre</v>
      </c>
      <c r="E893" s="87" t="s">
        <v>497</v>
      </c>
      <c r="F893" s="88" t="s">
        <v>930</v>
      </c>
      <c r="G893" s="88" t="s">
        <v>792</v>
      </c>
      <c r="H893" s="87" t="s">
        <v>500</v>
      </c>
      <c r="I893" s="89">
        <v>1</v>
      </c>
      <c r="J893" s="88" t="s">
        <v>937</v>
      </c>
      <c r="K893" s="102"/>
      <c r="L893" s="88" t="s">
        <v>786</v>
      </c>
      <c r="M893" s="89" t="s">
        <v>381</v>
      </c>
      <c r="N893" s="90">
        <v>0.5</v>
      </c>
      <c r="O893" s="27">
        <f>IFERROR(+VLOOKUP(M893,D.sign_Lista_Data[[RESPONSABLE]:[SOFTWARE 
VALOR HORA]],3,FALSE),"0")</f>
        <v>20263.424518743668</v>
      </c>
      <c r="P893" s="3">
        <f t="shared" si="28"/>
        <v>10131.712259371834</v>
      </c>
      <c r="Q893" s="11">
        <f>IFERROR(+VLOOKUP(M893,D.sign_Lista_Data[[RESPONSABLE]:[SOFTWARE 
VALOR HORA]],5,FALSE)*D.sign_Data[[#This Row],[TIEMPO (HORAS)]],0)</f>
        <v>2110.7733873691318</v>
      </c>
      <c r="R893" s="11">
        <f>IFERROR(+VLOOKUP(M893,D.sign_Lista_Data[[RESPONSABLE]:[SOFTWARE 
VALOR HORA]],8,FALSE)*D.sign_Data[[#This Row],[TIEMPO (HORAS)]],0)</f>
        <v>1705.4274435719917</v>
      </c>
      <c r="S893" s="99"/>
      <c r="T893" s="99"/>
      <c r="U893" s="3">
        <f t="shared" si="29"/>
        <v>13947.913090312959</v>
      </c>
      <c r="V893" s="100">
        <f>D.sign_Data[[#This Row],[TIEMPO (HORAS)]]*Gastos_Operativos[[#Totals],[GASTOS HORA]]</f>
        <v>13894.738536155201</v>
      </c>
      <c r="W893" s="3">
        <f>+D.sign_Data[[#This Row],[COSTO 
DIRECTO ($COP)]]+D.sign_Data[[#This Row],[PRORRATEO GASTOS ($COP)]]</f>
        <v>27842.65162646816</v>
      </c>
      <c r="X893" s="101">
        <v>0.05</v>
      </c>
      <c r="Y893" s="15">
        <f>+D.sign_Data[[#This Row],[COSTOS OPERACIONALES ($COP)]]*D.sign_Data[[#This Row],[DESFASE (%)]]</f>
        <v>1392.132581323408</v>
      </c>
      <c r="Z893" s="101">
        <v>0.2</v>
      </c>
      <c r="AA893" s="15">
        <f>+((D.sign_Data[[#This Row],[COSTOS OPERACIONALES ($COP)]]/(100%-D.sign_Data[[#This Row],[UTILIDAD (%)]])))-D.sign_Data[[#This Row],[COSTOS OPERACIONALES ($COP)]]</f>
        <v>6960.662906617039</v>
      </c>
      <c r="AB893" s="3">
        <f>+D.sign_Data[[#This Row],[COSTOS OPERACIONALES ($COP)]]+D.sign_Data[[#This Row],[DESFASE ($COP)]]+D.sign_Data[[#This Row],[UTILIDAD ($COP)]]</f>
        <v>36195.447114408606</v>
      </c>
      <c r="AC893" s="101">
        <v>0.05</v>
      </c>
      <c r="AD893" s="15">
        <f>+D.sign_Data[[#This Row],[VALOR NETO ($COP)]]/(100%-D.sign_Data[[#This Row],[MARGEN DE NEGOCIACIÓN (%)]])-D.sign_Data[[#This Row],[VALOR NETO ($COP)]]</f>
        <v>1905.0235323372981</v>
      </c>
      <c r="AE893" s="15">
        <f>+(D.sign_Data[[#This Row],[VALOR NETO ($COP)]]+D.sign_Data[[#This Row],[NEGOCIACIÓN ($COP)]])*1%</f>
        <v>381.00470646745902</v>
      </c>
      <c r="AF893" s="15">
        <f>+(D.sign_Data[[#This Row],[VALOR NETO ($COP)]]+D.sign_Data[[#This Row],[NEGOCIACIÓN ($COP)]])*1%</f>
        <v>381.00470646745902</v>
      </c>
      <c r="AG893" s="3">
        <f>+D.sign_Data[[#This Row],[VALOR NETO ($COP)]]+D.sign_Data[[#This Row],[NEGOCIACIÓN ($COP)]]+D.sign_Data[[#This Row],[ICA ($COP)]]+D.sign_Data[[#This Row],[4 * 1000 ($COP)]]</f>
        <v>38862.48005968082</v>
      </c>
    </row>
    <row r="894" spans="1:33" ht="60" hidden="1" customHeight="1" x14ac:dyDescent="0.25">
      <c r="A894" s="14"/>
      <c r="B894" s="87" t="s">
        <v>418</v>
      </c>
      <c r="C894" s="182" t="s">
        <v>929</v>
      </c>
      <c r="D894" s="189" t="str">
        <f>VLOOKUP(D.sign_Data[[#This Row],[CÓDIGO]],Descripciones[[CÓDIGO]:[NOMBRE DE SERVICIO]],3,FALSE)</f>
        <v>D3. Vivienda Campestre</v>
      </c>
      <c r="E894" s="87" t="s">
        <v>497</v>
      </c>
      <c r="F894" s="88" t="s">
        <v>930</v>
      </c>
      <c r="G894" s="88" t="s">
        <v>792</v>
      </c>
      <c r="H894" s="87" t="s">
        <v>500</v>
      </c>
      <c r="I894" s="89">
        <v>1</v>
      </c>
      <c r="J894" s="88" t="s">
        <v>937</v>
      </c>
      <c r="K894" s="102"/>
      <c r="L894" s="88" t="s">
        <v>787</v>
      </c>
      <c r="M894" s="89" t="s">
        <v>381</v>
      </c>
      <c r="N894" s="90">
        <v>0.5</v>
      </c>
      <c r="O894" s="27">
        <f>IFERROR(+VLOOKUP(M894,D.sign_Lista_Data[[RESPONSABLE]:[SOFTWARE 
VALOR HORA]],3,FALSE),"0")</f>
        <v>20263.424518743668</v>
      </c>
      <c r="P894" s="3">
        <f t="shared" si="28"/>
        <v>10131.712259371834</v>
      </c>
      <c r="Q894" s="11">
        <f>IFERROR(+VLOOKUP(M894,D.sign_Lista_Data[[RESPONSABLE]:[SOFTWARE 
VALOR HORA]],5,FALSE)*D.sign_Data[[#This Row],[TIEMPO (HORAS)]],0)</f>
        <v>2110.7733873691318</v>
      </c>
      <c r="R894" s="11">
        <f>IFERROR(+VLOOKUP(M894,D.sign_Lista_Data[[RESPONSABLE]:[SOFTWARE 
VALOR HORA]],8,FALSE)*D.sign_Data[[#This Row],[TIEMPO (HORAS)]],0)</f>
        <v>1705.4274435719917</v>
      </c>
      <c r="S894" s="99"/>
      <c r="T894" s="99"/>
      <c r="U894" s="3">
        <f t="shared" si="29"/>
        <v>13947.913090312959</v>
      </c>
      <c r="V894" s="100">
        <f>D.sign_Data[[#This Row],[TIEMPO (HORAS)]]*Gastos_Operativos[[#Totals],[GASTOS HORA]]</f>
        <v>13894.738536155201</v>
      </c>
      <c r="W894" s="3">
        <f>+D.sign_Data[[#This Row],[COSTO 
DIRECTO ($COP)]]+D.sign_Data[[#This Row],[PRORRATEO GASTOS ($COP)]]</f>
        <v>27842.65162646816</v>
      </c>
      <c r="X894" s="101">
        <v>0.05</v>
      </c>
      <c r="Y894" s="15">
        <f>+D.sign_Data[[#This Row],[COSTOS OPERACIONALES ($COP)]]*D.sign_Data[[#This Row],[DESFASE (%)]]</f>
        <v>1392.132581323408</v>
      </c>
      <c r="Z894" s="101">
        <v>0.2</v>
      </c>
      <c r="AA894" s="15">
        <f>+((D.sign_Data[[#This Row],[COSTOS OPERACIONALES ($COP)]]/(100%-D.sign_Data[[#This Row],[UTILIDAD (%)]])))-D.sign_Data[[#This Row],[COSTOS OPERACIONALES ($COP)]]</f>
        <v>6960.662906617039</v>
      </c>
      <c r="AB894" s="3">
        <f>+D.sign_Data[[#This Row],[COSTOS OPERACIONALES ($COP)]]+D.sign_Data[[#This Row],[DESFASE ($COP)]]+D.sign_Data[[#This Row],[UTILIDAD ($COP)]]</f>
        <v>36195.447114408606</v>
      </c>
      <c r="AC894" s="101">
        <v>0.05</v>
      </c>
      <c r="AD894" s="15">
        <f>+D.sign_Data[[#This Row],[VALOR NETO ($COP)]]/(100%-D.sign_Data[[#This Row],[MARGEN DE NEGOCIACIÓN (%)]])-D.sign_Data[[#This Row],[VALOR NETO ($COP)]]</f>
        <v>1905.0235323372981</v>
      </c>
      <c r="AE894" s="15">
        <f>+(D.sign_Data[[#This Row],[VALOR NETO ($COP)]]+D.sign_Data[[#This Row],[NEGOCIACIÓN ($COP)]])*1%</f>
        <v>381.00470646745902</v>
      </c>
      <c r="AF894" s="15">
        <f>+(D.sign_Data[[#This Row],[VALOR NETO ($COP)]]+D.sign_Data[[#This Row],[NEGOCIACIÓN ($COP)]])*1%</f>
        <v>381.00470646745902</v>
      </c>
      <c r="AG894" s="3">
        <f>+D.sign_Data[[#This Row],[VALOR NETO ($COP)]]+D.sign_Data[[#This Row],[NEGOCIACIÓN ($COP)]]+D.sign_Data[[#This Row],[ICA ($COP)]]+D.sign_Data[[#This Row],[4 * 1000 ($COP)]]</f>
        <v>38862.48005968082</v>
      </c>
    </row>
    <row r="895" spans="1:33" ht="60" hidden="1" customHeight="1" x14ac:dyDescent="0.25">
      <c r="A895" s="14"/>
      <c r="B895" s="87" t="s">
        <v>418</v>
      </c>
      <c r="C895" s="182" t="s">
        <v>929</v>
      </c>
      <c r="D895" s="189" t="str">
        <f>VLOOKUP(D.sign_Data[[#This Row],[CÓDIGO]],Descripciones[[CÓDIGO]:[NOMBRE DE SERVICIO]],3,FALSE)</f>
        <v>D3. Vivienda Campestre</v>
      </c>
      <c r="E895" s="87" t="s">
        <v>497</v>
      </c>
      <c r="F895" s="88" t="s">
        <v>930</v>
      </c>
      <c r="G895" s="88" t="s">
        <v>792</v>
      </c>
      <c r="H895" s="87" t="s">
        <v>500</v>
      </c>
      <c r="I895" s="89">
        <v>1</v>
      </c>
      <c r="J895" s="88" t="s">
        <v>937</v>
      </c>
      <c r="K895" s="102"/>
      <c r="L895" s="88" t="s">
        <v>788</v>
      </c>
      <c r="M895" s="89" t="s">
        <v>381</v>
      </c>
      <c r="N895" s="90">
        <v>0.1</v>
      </c>
      <c r="O895" s="27">
        <f>IFERROR(+VLOOKUP(M895,D.sign_Lista_Data[[RESPONSABLE]:[SOFTWARE 
VALOR HORA]],3,FALSE),"0")</f>
        <v>20263.424518743668</v>
      </c>
      <c r="P895" s="3">
        <f t="shared" si="28"/>
        <v>2026.3424518743668</v>
      </c>
      <c r="Q895" s="11">
        <f>IFERROR(+VLOOKUP(M895,D.sign_Lista_Data[[RESPONSABLE]:[SOFTWARE 
VALOR HORA]],5,FALSE)*D.sign_Data[[#This Row],[TIEMPO (HORAS)]],0)</f>
        <v>422.15467747382638</v>
      </c>
      <c r="R895" s="11">
        <f>IFERROR(+VLOOKUP(M895,D.sign_Lista_Data[[RESPONSABLE]:[SOFTWARE 
VALOR HORA]],8,FALSE)*D.sign_Data[[#This Row],[TIEMPO (HORAS)]],0)</f>
        <v>341.08548871439837</v>
      </c>
      <c r="S895" s="99"/>
      <c r="T895" s="99"/>
      <c r="U895" s="3">
        <f t="shared" si="29"/>
        <v>2789.5826180625913</v>
      </c>
      <c r="V895" s="100">
        <f>D.sign_Data[[#This Row],[TIEMPO (HORAS)]]*Gastos_Operativos[[#Totals],[GASTOS HORA]]</f>
        <v>2778.9477072310401</v>
      </c>
      <c r="W895" s="3">
        <f>+D.sign_Data[[#This Row],[COSTO 
DIRECTO ($COP)]]+D.sign_Data[[#This Row],[PRORRATEO GASTOS ($COP)]]</f>
        <v>5568.5303252936319</v>
      </c>
      <c r="X895" s="101">
        <v>0.05</v>
      </c>
      <c r="Y895" s="15">
        <f>+D.sign_Data[[#This Row],[COSTOS OPERACIONALES ($COP)]]*D.sign_Data[[#This Row],[DESFASE (%)]]</f>
        <v>278.4265162646816</v>
      </c>
      <c r="Z895" s="101">
        <v>0.2</v>
      </c>
      <c r="AA895" s="15">
        <f>+((D.sign_Data[[#This Row],[COSTOS OPERACIONALES ($COP)]]/(100%-D.sign_Data[[#This Row],[UTILIDAD (%)]])))-D.sign_Data[[#This Row],[COSTOS OPERACIONALES ($COP)]]</f>
        <v>1392.132581323408</v>
      </c>
      <c r="AB895" s="3">
        <f>+D.sign_Data[[#This Row],[COSTOS OPERACIONALES ($COP)]]+D.sign_Data[[#This Row],[DESFASE ($COP)]]+D.sign_Data[[#This Row],[UTILIDAD ($COP)]]</f>
        <v>7239.0894228817215</v>
      </c>
      <c r="AC895" s="101">
        <v>0.05</v>
      </c>
      <c r="AD895" s="15">
        <f>+D.sign_Data[[#This Row],[VALOR NETO ($COP)]]/(100%-D.sign_Data[[#This Row],[MARGEN DE NEGOCIACIÓN (%)]])-D.sign_Data[[#This Row],[VALOR NETO ($COP)]]</f>
        <v>381.00470646745907</v>
      </c>
      <c r="AE895" s="15">
        <f>+(D.sign_Data[[#This Row],[VALOR NETO ($COP)]]+D.sign_Data[[#This Row],[NEGOCIACIÓN ($COP)]])*1%</f>
        <v>76.200941293491809</v>
      </c>
      <c r="AF895" s="15">
        <f>+(D.sign_Data[[#This Row],[VALOR NETO ($COP)]]+D.sign_Data[[#This Row],[NEGOCIACIÓN ($COP)]])*1%</f>
        <v>76.200941293491809</v>
      </c>
      <c r="AG895" s="3">
        <f>+D.sign_Data[[#This Row],[VALOR NETO ($COP)]]+D.sign_Data[[#This Row],[NEGOCIACIÓN ($COP)]]+D.sign_Data[[#This Row],[ICA ($COP)]]+D.sign_Data[[#This Row],[4 * 1000 ($COP)]]</f>
        <v>7772.4960119361649</v>
      </c>
    </row>
    <row r="896" spans="1:33" ht="60" hidden="1" customHeight="1" x14ac:dyDescent="0.25">
      <c r="A896" s="14"/>
      <c r="B896" s="87" t="s">
        <v>418</v>
      </c>
      <c r="C896" s="182" t="s">
        <v>929</v>
      </c>
      <c r="D896" s="189" t="str">
        <f>VLOOKUP(D.sign_Data[[#This Row],[CÓDIGO]],Descripciones[[CÓDIGO]:[NOMBRE DE SERVICIO]],3,FALSE)</f>
        <v>D3. Vivienda Campestre</v>
      </c>
      <c r="E896" s="87" t="s">
        <v>497</v>
      </c>
      <c r="F896" s="88" t="s">
        <v>930</v>
      </c>
      <c r="G896" s="88" t="s">
        <v>792</v>
      </c>
      <c r="H896" s="87" t="s">
        <v>500</v>
      </c>
      <c r="I896" s="89">
        <v>1</v>
      </c>
      <c r="J896" s="88" t="s">
        <v>937</v>
      </c>
      <c r="K896" s="102"/>
      <c r="L896" s="88" t="s">
        <v>483</v>
      </c>
      <c r="M896" s="89" t="s">
        <v>381</v>
      </c>
      <c r="N896" s="90">
        <v>0.1</v>
      </c>
      <c r="O896" s="27">
        <f>IFERROR(+VLOOKUP(M896,D.sign_Lista_Data[[RESPONSABLE]:[SOFTWARE 
VALOR HORA]],3,FALSE),"0")</f>
        <v>20263.424518743668</v>
      </c>
      <c r="P896" s="3">
        <f t="shared" si="28"/>
        <v>2026.3424518743668</v>
      </c>
      <c r="Q896" s="11">
        <f>IFERROR(+VLOOKUP(M896,D.sign_Lista_Data[[RESPONSABLE]:[SOFTWARE 
VALOR HORA]],5,FALSE)*D.sign_Data[[#This Row],[TIEMPO (HORAS)]],0)</f>
        <v>422.15467747382638</v>
      </c>
      <c r="R896" s="11">
        <f>IFERROR(+VLOOKUP(M896,D.sign_Lista_Data[[RESPONSABLE]:[SOFTWARE 
VALOR HORA]],8,FALSE)*D.sign_Data[[#This Row],[TIEMPO (HORAS)]],0)</f>
        <v>341.08548871439837</v>
      </c>
      <c r="S896" s="99"/>
      <c r="T896" s="99"/>
      <c r="U896" s="3">
        <f t="shared" si="29"/>
        <v>2789.5826180625913</v>
      </c>
      <c r="V896" s="100">
        <f>D.sign_Data[[#This Row],[TIEMPO (HORAS)]]*Gastos_Operativos[[#Totals],[GASTOS HORA]]</f>
        <v>2778.9477072310401</v>
      </c>
      <c r="W896" s="3">
        <f>+D.sign_Data[[#This Row],[COSTO 
DIRECTO ($COP)]]+D.sign_Data[[#This Row],[PRORRATEO GASTOS ($COP)]]</f>
        <v>5568.5303252936319</v>
      </c>
      <c r="X896" s="101">
        <v>0.05</v>
      </c>
      <c r="Y896" s="15">
        <f>+D.sign_Data[[#This Row],[COSTOS OPERACIONALES ($COP)]]*D.sign_Data[[#This Row],[DESFASE (%)]]</f>
        <v>278.4265162646816</v>
      </c>
      <c r="Z896" s="101">
        <v>0.2</v>
      </c>
      <c r="AA896" s="15">
        <f>+((D.sign_Data[[#This Row],[COSTOS OPERACIONALES ($COP)]]/(100%-D.sign_Data[[#This Row],[UTILIDAD (%)]])))-D.sign_Data[[#This Row],[COSTOS OPERACIONALES ($COP)]]</f>
        <v>1392.132581323408</v>
      </c>
      <c r="AB896" s="3">
        <f>+D.sign_Data[[#This Row],[COSTOS OPERACIONALES ($COP)]]+D.sign_Data[[#This Row],[DESFASE ($COP)]]+D.sign_Data[[#This Row],[UTILIDAD ($COP)]]</f>
        <v>7239.0894228817215</v>
      </c>
      <c r="AC896" s="101">
        <v>0.05</v>
      </c>
      <c r="AD896" s="15">
        <f>+D.sign_Data[[#This Row],[VALOR NETO ($COP)]]/(100%-D.sign_Data[[#This Row],[MARGEN DE NEGOCIACIÓN (%)]])-D.sign_Data[[#This Row],[VALOR NETO ($COP)]]</f>
        <v>381.00470646745907</v>
      </c>
      <c r="AE896" s="15">
        <f>+(D.sign_Data[[#This Row],[VALOR NETO ($COP)]]+D.sign_Data[[#This Row],[NEGOCIACIÓN ($COP)]])*1%</f>
        <v>76.200941293491809</v>
      </c>
      <c r="AF896" s="15">
        <f>+(D.sign_Data[[#This Row],[VALOR NETO ($COP)]]+D.sign_Data[[#This Row],[NEGOCIACIÓN ($COP)]])*1%</f>
        <v>76.200941293491809</v>
      </c>
      <c r="AG896" s="3">
        <f>+D.sign_Data[[#This Row],[VALOR NETO ($COP)]]+D.sign_Data[[#This Row],[NEGOCIACIÓN ($COP)]]+D.sign_Data[[#This Row],[ICA ($COP)]]+D.sign_Data[[#This Row],[4 * 1000 ($COP)]]</f>
        <v>7772.4960119361649</v>
      </c>
    </row>
    <row r="897" spans="1:33" ht="60" hidden="1" customHeight="1" x14ac:dyDescent="0.25">
      <c r="A897" s="14"/>
      <c r="B897" s="87" t="s">
        <v>418</v>
      </c>
      <c r="C897" s="182" t="s">
        <v>929</v>
      </c>
      <c r="D897" s="189" t="str">
        <f>VLOOKUP(D.sign_Data[[#This Row],[CÓDIGO]],Descripciones[[CÓDIGO]:[NOMBRE DE SERVICIO]],3,FALSE)</f>
        <v>D3. Vivienda Campestre</v>
      </c>
      <c r="E897" s="87" t="s">
        <v>497</v>
      </c>
      <c r="F897" s="88" t="s">
        <v>930</v>
      </c>
      <c r="G897" s="88" t="s">
        <v>792</v>
      </c>
      <c r="H897" s="87" t="s">
        <v>448</v>
      </c>
      <c r="I897" s="89">
        <v>1</v>
      </c>
      <c r="J897" s="88" t="s">
        <v>803</v>
      </c>
      <c r="K897" s="102"/>
      <c r="L897" s="88" t="s">
        <v>464</v>
      </c>
      <c r="M897" s="89" t="s">
        <v>381</v>
      </c>
      <c r="N897" s="90">
        <v>0.25</v>
      </c>
      <c r="O897" s="27">
        <f>IFERROR(+VLOOKUP(M897,D.sign_Lista_Data[[RESPONSABLE]:[SOFTWARE 
VALOR HORA]],3,FALSE),"0")</f>
        <v>20263.424518743668</v>
      </c>
      <c r="P897" s="3">
        <f t="shared" si="28"/>
        <v>5065.856129685917</v>
      </c>
      <c r="Q897" s="11">
        <f>IFERROR(+VLOOKUP(M897,D.sign_Lista_Data[[RESPONSABLE]:[SOFTWARE 
VALOR HORA]],5,FALSE)*D.sign_Data[[#This Row],[TIEMPO (HORAS)]],0)</f>
        <v>1055.3866936845659</v>
      </c>
      <c r="R897" s="11">
        <f>IFERROR(+VLOOKUP(M897,D.sign_Lista_Data[[RESPONSABLE]:[SOFTWARE 
VALOR HORA]],8,FALSE)*D.sign_Data[[#This Row],[TIEMPO (HORAS)]],0)</f>
        <v>852.71372178599586</v>
      </c>
      <c r="S897" s="99"/>
      <c r="T897" s="99"/>
      <c r="U897" s="3">
        <f t="shared" si="29"/>
        <v>6973.9565451564795</v>
      </c>
      <c r="V897" s="100">
        <f>D.sign_Data[[#This Row],[TIEMPO (HORAS)]]*Gastos_Operativos[[#Totals],[GASTOS HORA]]</f>
        <v>6947.3692680776003</v>
      </c>
      <c r="W897" s="3">
        <f>+D.sign_Data[[#This Row],[COSTO 
DIRECTO ($COP)]]+D.sign_Data[[#This Row],[PRORRATEO GASTOS ($COP)]]</f>
        <v>13921.32581323408</v>
      </c>
      <c r="X897" s="101">
        <v>0.05</v>
      </c>
      <c r="Y897" s="15">
        <f>+D.sign_Data[[#This Row],[COSTOS OPERACIONALES ($COP)]]*D.sign_Data[[#This Row],[DESFASE (%)]]</f>
        <v>696.06629066170399</v>
      </c>
      <c r="Z897" s="101">
        <v>0.2</v>
      </c>
      <c r="AA897" s="15">
        <f>+((D.sign_Data[[#This Row],[COSTOS OPERACIONALES ($COP)]]/(100%-D.sign_Data[[#This Row],[UTILIDAD (%)]])))-D.sign_Data[[#This Row],[COSTOS OPERACIONALES ($COP)]]</f>
        <v>3480.3314533085195</v>
      </c>
      <c r="AB897" s="3">
        <f>+D.sign_Data[[#This Row],[COSTOS OPERACIONALES ($COP)]]+D.sign_Data[[#This Row],[DESFASE ($COP)]]+D.sign_Data[[#This Row],[UTILIDAD ($COP)]]</f>
        <v>18097.723557204303</v>
      </c>
      <c r="AC897" s="101">
        <v>0.05</v>
      </c>
      <c r="AD897" s="15">
        <f>+D.sign_Data[[#This Row],[VALOR NETO ($COP)]]/(100%-D.sign_Data[[#This Row],[MARGEN DE NEGOCIACIÓN (%)]])-D.sign_Data[[#This Row],[VALOR NETO ($COP)]]</f>
        <v>952.51176616864905</v>
      </c>
      <c r="AE897" s="15">
        <f>+(D.sign_Data[[#This Row],[VALOR NETO ($COP)]]+D.sign_Data[[#This Row],[NEGOCIACIÓN ($COP)]])*1%</f>
        <v>190.50235323372951</v>
      </c>
      <c r="AF897" s="15">
        <f>+(D.sign_Data[[#This Row],[VALOR NETO ($COP)]]+D.sign_Data[[#This Row],[NEGOCIACIÓN ($COP)]])*1%</f>
        <v>190.50235323372951</v>
      </c>
      <c r="AG897" s="3">
        <f>+D.sign_Data[[#This Row],[VALOR NETO ($COP)]]+D.sign_Data[[#This Row],[NEGOCIACIÓN ($COP)]]+D.sign_Data[[#This Row],[ICA ($COP)]]+D.sign_Data[[#This Row],[4 * 1000 ($COP)]]</f>
        <v>19431.24002984041</v>
      </c>
    </row>
    <row r="898" spans="1:33" ht="60" hidden="1" customHeight="1" x14ac:dyDescent="0.25">
      <c r="A898" s="14"/>
      <c r="B898" s="87" t="s">
        <v>418</v>
      </c>
      <c r="C898" s="182" t="s">
        <v>938</v>
      </c>
      <c r="D898" s="189" t="str">
        <f>VLOOKUP(D.sign_Data[[#This Row],[CÓDIGO]],Descripciones[[CÓDIGO]:[NOMBRE DE SERVICIO]],3,FALSE)</f>
        <v>D7. Select</v>
      </c>
      <c r="E898" s="87" t="s">
        <v>497</v>
      </c>
      <c r="F898" s="88" t="s">
        <v>930</v>
      </c>
      <c r="G898" s="88" t="s">
        <v>792</v>
      </c>
      <c r="H898" s="87" t="s">
        <v>500</v>
      </c>
      <c r="I898" s="89">
        <v>1</v>
      </c>
      <c r="J898" s="88" t="s">
        <v>931</v>
      </c>
      <c r="K898" s="102"/>
      <c r="L898" s="88" t="s">
        <v>476</v>
      </c>
      <c r="M898" s="89" t="s">
        <v>381</v>
      </c>
      <c r="N898" s="90">
        <v>0.5</v>
      </c>
      <c r="O898" s="27">
        <f>IFERROR(+VLOOKUP(M898,D.sign_Lista_Data[[RESPONSABLE]:[SOFTWARE 
VALOR HORA]],3,FALSE),"0")</f>
        <v>20263.424518743668</v>
      </c>
      <c r="P898" s="3">
        <f t="shared" ref="P898:P937" si="32">+O898*N898</f>
        <v>10131.712259371834</v>
      </c>
      <c r="Q898" s="11">
        <f>IFERROR(+VLOOKUP(M898,D.sign_Lista_Data[[RESPONSABLE]:[SOFTWARE 
VALOR HORA]],5,FALSE)*D.sign_Data[[#This Row],[TIEMPO (HORAS)]],0)</f>
        <v>2110.7733873691318</v>
      </c>
      <c r="R898" s="11">
        <f>IFERROR(+VLOOKUP(M898,D.sign_Lista_Data[[RESPONSABLE]:[SOFTWARE 
VALOR HORA]],8,FALSE)*D.sign_Data[[#This Row],[TIEMPO (HORAS)]],0)</f>
        <v>1705.4274435719917</v>
      </c>
      <c r="S898" s="99"/>
      <c r="T898" s="99"/>
      <c r="U898" s="3">
        <f t="shared" ref="U898:U937" si="33">SUM(P898:T898)</f>
        <v>13947.913090312959</v>
      </c>
      <c r="V898" s="100">
        <f>D.sign_Data[[#This Row],[TIEMPO (HORAS)]]*Gastos_Operativos[[#Totals],[GASTOS HORA]]</f>
        <v>13894.738536155201</v>
      </c>
      <c r="W898" s="3">
        <f>+D.sign_Data[[#This Row],[COSTO 
DIRECTO ($COP)]]+D.sign_Data[[#This Row],[PRORRATEO GASTOS ($COP)]]</f>
        <v>27842.65162646816</v>
      </c>
      <c r="X898" s="101">
        <v>0.1</v>
      </c>
      <c r="Y898" s="15">
        <f>+D.sign_Data[[#This Row],[COSTOS OPERACIONALES ($COP)]]*D.sign_Data[[#This Row],[DESFASE (%)]]</f>
        <v>2784.265162646816</v>
      </c>
      <c r="Z898" s="101">
        <v>0.2</v>
      </c>
      <c r="AA898" s="15">
        <f>+((D.sign_Data[[#This Row],[COSTOS OPERACIONALES ($COP)]]/(100%-D.sign_Data[[#This Row],[UTILIDAD (%)]])))-D.sign_Data[[#This Row],[COSTOS OPERACIONALES ($COP)]]</f>
        <v>6960.662906617039</v>
      </c>
      <c r="AB898" s="3">
        <f>+D.sign_Data[[#This Row],[COSTOS OPERACIONALES ($COP)]]+D.sign_Data[[#This Row],[DESFASE ($COP)]]+D.sign_Data[[#This Row],[UTILIDAD ($COP)]]</f>
        <v>37587.579695732013</v>
      </c>
      <c r="AC898" s="101">
        <v>0.05</v>
      </c>
      <c r="AD898" s="15">
        <f>+D.sign_Data[[#This Row],[VALOR NETO ($COP)]]/(100%-D.sign_Data[[#This Row],[MARGEN DE NEGOCIACIÓN (%)]])-D.sign_Data[[#This Row],[VALOR NETO ($COP)]]</f>
        <v>1978.2936681964202</v>
      </c>
      <c r="AE898" s="15">
        <f>+(D.sign_Data[[#This Row],[VALOR NETO ($COP)]]+D.sign_Data[[#This Row],[NEGOCIACIÓN ($COP)]])*1%</f>
        <v>395.65873363928432</v>
      </c>
      <c r="AF898" s="15">
        <f>+(D.sign_Data[[#This Row],[VALOR NETO ($COP)]]+D.sign_Data[[#This Row],[NEGOCIACIÓN ($COP)]])*1%</f>
        <v>395.65873363928432</v>
      </c>
      <c r="AG898" s="3">
        <f>+D.sign_Data[[#This Row],[VALOR NETO ($COP)]]+D.sign_Data[[#This Row],[NEGOCIACIÓN ($COP)]]+D.sign_Data[[#This Row],[ICA ($COP)]]+D.sign_Data[[#This Row],[4 * 1000 ($COP)]]</f>
        <v>40357.190831207001</v>
      </c>
    </row>
    <row r="899" spans="1:33" ht="60" hidden="1" customHeight="1" x14ac:dyDescent="0.25">
      <c r="A899" s="14"/>
      <c r="B899" s="87" t="s">
        <v>418</v>
      </c>
      <c r="C899" s="182" t="s">
        <v>938</v>
      </c>
      <c r="D899" s="189" t="str">
        <f>VLOOKUP(D.sign_Data[[#This Row],[CÓDIGO]],Descripciones[[CÓDIGO]:[NOMBRE DE SERVICIO]],3,FALSE)</f>
        <v>D7. Select</v>
      </c>
      <c r="E899" s="87" t="s">
        <v>497</v>
      </c>
      <c r="F899" s="88" t="s">
        <v>930</v>
      </c>
      <c r="G899" s="88" t="s">
        <v>792</v>
      </c>
      <c r="H899" s="87" t="s">
        <v>500</v>
      </c>
      <c r="I899" s="89">
        <v>1</v>
      </c>
      <c r="J899" s="88" t="s">
        <v>931</v>
      </c>
      <c r="K899" s="102"/>
      <c r="L899" s="88" t="s">
        <v>767</v>
      </c>
      <c r="M899" s="89" t="s">
        <v>381</v>
      </c>
      <c r="N899" s="90">
        <v>0.5</v>
      </c>
      <c r="O899" s="27">
        <f>IFERROR(+VLOOKUP(M899,D.sign_Lista_Data[[RESPONSABLE]:[SOFTWARE 
VALOR HORA]],3,FALSE),"0")</f>
        <v>20263.424518743668</v>
      </c>
      <c r="P899" s="3">
        <f t="shared" si="32"/>
        <v>10131.712259371834</v>
      </c>
      <c r="Q899" s="11">
        <f>IFERROR(+VLOOKUP(M899,D.sign_Lista_Data[[RESPONSABLE]:[SOFTWARE 
VALOR HORA]],5,FALSE)*D.sign_Data[[#This Row],[TIEMPO (HORAS)]],0)</f>
        <v>2110.7733873691318</v>
      </c>
      <c r="R899" s="11">
        <f>IFERROR(+VLOOKUP(M899,D.sign_Lista_Data[[RESPONSABLE]:[SOFTWARE 
VALOR HORA]],8,FALSE)*D.sign_Data[[#This Row],[TIEMPO (HORAS)]],0)</f>
        <v>1705.4274435719917</v>
      </c>
      <c r="S899" s="99"/>
      <c r="T899" s="99"/>
      <c r="U899" s="3">
        <f t="shared" si="33"/>
        <v>13947.913090312959</v>
      </c>
      <c r="V899" s="100">
        <f>D.sign_Data[[#This Row],[TIEMPO (HORAS)]]*Gastos_Operativos[[#Totals],[GASTOS HORA]]</f>
        <v>13894.738536155201</v>
      </c>
      <c r="W899" s="3">
        <f>+D.sign_Data[[#This Row],[COSTO 
DIRECTO ($COP)]]+D.sign_Data[[#This Row],[PRORRATEO GASTOS ($COP)]]</f>
        <v>27842.65162646816</v>
      </c>
      <c r="X899" s="101">
        <v>0.1</v>
      </c>
      <c r="Y899" s="15">
        <f>+D.sign_Data[[#This Row],[COSTOS OPERACIONALES ($COP)]]*D.sign_Data[[#This Row],[DESFASE (%)]]</f>
        <v>2784.265162646816</v>
      </c>
      <c r="Z899" s="101">
        <v>0.2</v>
      </c>
      <c r="AA899" s="15">
        <f>+((D.sign_Data[[#This Row],[COSTOS OPERACIONALES ($COP)]]/(100%-D.sign_Data[[#This Row],[UTILIDAD (%)]])))-D.sign_Data[[#This Row],[COSTOS OPERACIONALES ($COP)]]</f>
        <v>6960.662906617039</v>
      </c>
      <c r="AB899" s="3">
        <f>+D.sign_Data[[#This Row],[COSTOS OPERACIONALES ($COP)]]+D.sign_Data[[#This Row],[DESFASE ($COP)]]+D.sign_Data[[#This Row],[UTILIDAD ($COP)]]</f>
        <v>37587.579695732013</v>
      </c>
      <c r="AC899" s="101">
        <v>0.05</v>
      </c>
      <c r="AD899" s="15">
        <f>+D.sign_Data[[#This Row],[VALOR NETO ($COP)]]/(100%-D.sign_Data[[#This Row],[MARGEN DE NEGOCIACIÓN (%)]])-D.sign_Data[[#This Row],[VALOR NETO ($COP)]]</f>
        <v>1978.2936681964202</v>
      </c>
      <c r="AE899" s="15">
        <f>+(D.sign_Data[[#This Row],[VALOR NETO ($COP)]]+D.sign_Data[[#This Row],[NEGOCIACIÓN ($COP)]])*1%</f>
        <v>395.65873363928432</v>
      </c>
      <c r="AF899" s="15">
        <f>+(D.sign_Data[[#This Row],[VALOR NETO ($COP)]]+D.sign_Data[[#This Row],[NEGOCIACIÓN ($COP)]])*1%</f>
        <v>395.65873363928432</v>
      </c>
      <c r="AG899" s="3">
        <f>+D.sign_Data[[#This Row],[VALOR NETO ($COP)]]+D.sign_Data[[#This Row],[NEGOCIACIÓN ($COP)]]+D.sign_Data[[#This Row],[ICA ($COP)]]+D.sign_Data[[#This Row],[4 * 1000 ($COP)]]</f>
        <v>40357.190831207001</v>
      </c>
    </row>
    <row r="900" spans="1:33" ht="60" hidden="1" customHeight="1" x14ac:dyDescent="0.25">
      <c r="A900" s="14"/>
      <c r="B900" s="87" t="s">
        <v>418</v>
      </c>
      <c r="C900" s="182" t="s">
        <v>938</v>
      </c>
      <c r="D900" s="189" t="str">
        <f>VLOOKUP(D.sign_Data[[#This Row],[CÓDIGO]],Descripciones[[CÓDIGO]:[NOMBRE DE SERVICIO]],3,FALSE)</f>
        <v>D7. Select</v>
      </c>
      <c r="E900" s="87" t="s">
        <v>497</v>
      </c>
      <c r="F900" s="88" t="s">
        <v>930</v>
      </c>
      <c r="G900" s="88" t="s">
        <v>792</v>
      </c>
      <c r="H900" s="87" t="s">
        <v>500</v>
      </c>
      <c r="I900" s="89">
        <v>1</v>
      </c>
      <c r="J900" s="88" t="s">
        <v>931</v>
      </c>
      <c r="K900" s="102"/>
      <c r="L900" s="88" t="s">
        <v>939</v>
      </c>
      <c r="M900" s="89" t="s">
        <v>381</v>
      </c>
      <c r="N900" s="90">
        <v>0.5</v>
      </c>
      <c r="O900" s="27">
        <f>IFERROR(+VLOOKUP(M900,D.sign_Lista_Data[[RESPONSABLE]:[SOFTWARE 
VALOR HORA]],3,FALSE),"0")</f>
        <v>20263.424518743668</v>
      </c>
      <c r="P900" s="3">
        <f t="shared" si="32"/>
        <v>10131.712259371834</v>
      </c>
      <c r="Q900" s="11">
        <f>IFERROR(+VLOOKUP(M900,D.sign_Lista_Data[[RESPONSABLE]:[SOFTWARE 
VALOR HORA]],5,FALSE)*D.sign_Data[[#This Row],[TIEMPO (HORAS)]],0)</f>
        <v>2110.7733873691318</v>
      </c>
      <c r="R900" s="11">
        <f>IFERROR(+VLOOKUP(M900,D.sign_Lista_Data[[RESPONSABLE]:[SOFTWARE 
VALOR HORA]],8,FALSE)*D.sign_Data[[#This Row],[TIEMPO (HORAS)]],0)</f>
        <v>1705.4274435719917</v>
      </c>
      <c r="S900" s="99"/>
      <c r="T900" s="99"/>
      <c r="U900" s="3">
        <f t="shared" si="33"/>
        <v>13947.913090312959</v>
      </c>
      <c r="V900" s="100">
        <f>D.sign_Data[[#This Row],[TIEMPO (HORAS)]]*Gastos_Operativos[[#Totals],[GASTOS HORA]]</f>
        <v>13894.738536155201</v>
      </c>
      <c r="W900" s="3">
        <f>+D.sign_Data[[#This Row],[COSTO 
DIRECTO ($COP)]]+D.sign_Data[[#This Row],[PRORRATEO GASTOS ($COP)]]</f>
        <v>27842.65162646816</v>
      </c>
      <c r="X900" s="101">
        <v>0.1</v>
      </c>
      <c r="Y900" s="15">
        <f>+D.sign_Data[[#This Row],[COSTOS OPERACIONALES ($COP)]]*D.sign_Data[[#This Row],[DESFASE (%)]]</f>
        <v>2784.265162646816</v>
      </c>
      <c r="Z900" s="101">
        <v>0.2</v>
      </c>
      <c r="AA900" s="15">
        <f>+((D.sign_Data[[#This Row],[COSTOS OPERACIONALES ($COP)]]/(100%-D.sign_Data[[#This Row],[UTILIDAD (%)]])))-D.sign_Data[[#This Row],[COSTOS OPERACIONALES ($COP)]]</f>
        <v>6960.662906617039</v>
      </c>
      <c r="AB900" s="3">
        <f>+D.sign_Data[[#This Row],[COSTOS OPERACIONALES ($COP)]]+D.sign_Data[[#This Row],[DESFASE ($COP)]]+D.sign_Data[[#This Row],[UTILIDAD ($COP)]]</f>
        <v>37587.579695732013</v>
      </c>
      <c r="AC900" s="101">
        <v>0.05</v>
      </c>
      <c r="AD900" s="15">
        <f>+D.sign_Data[[#This Row],[VALOR NETO ($COP)]]/(100%-D.sign_Data[[#This Row],[MARGEN DE NEGOCIACIÓN (%)]])-D.sign_Data[[#This Row],[VALOR NETO ($COP)]]</f>
        <v>1978.2936681964202</v>
      </c>
      <c r="AE900" s="15">
        <f>+(D.sign_Data[[#This Row],[VALOR NETO ($COP)]]+D.sign_Data[[#This Row],[NEGOCIACIÓN ($COP)]])*1%</f>
        <v>395.65873363928432</v>
      </c>
      <c r="AF900" s="15">
        <f>+(D.sign_Data[[#This Row],[VALOR NETO ($COP)]]+D.sign_Data[[#This Row],[NEGOCIACIÓN ($COP)]])*1%</f>
        <v>395.65873363928432</v>
      </c>
      <c r="AG900" s="3">
        <f>+D.sign_Data[[#This Row],[VALOR NETO ($COP)]]+D.sign_Data[[#This Row],[NEGOCIACIÓN ($COP)]]+D.sign_Data[[#This Row],[ICA ($COP)]]+D.sign_Data[[#This Row],[4 * 1000 ($COP)]]</f>
        <v>40357.190831207001</v>
      </c>
    </row>
    <row r="901" spans="1:33" ht="60" hidden="1" customHeight="1" x14ac:dyDescent="0.25">
      <c r="A901" s="14"/>
      <c r="B901" s="87" t="s">
        <v>418</v>
      </c>
      <c r="C901" s="182" t="s">
        <v>938</v>
      </c>
      <c r="D901" s="189" t="str">
        <f>VLOOKUP(D.sign_Data[[#This Row],[CÓDIGO]],Descripciones[[CÓDIGO]:[NOMBRE DE SERVICIO]],3,FALSE)</f>
        <v>D7. Select</v>
      </c>
      <c r="E901" s="87" t="s">
        <v>497</v>
      </c>
      <c r="F901" s="88" t="s">
        <v>930</v>
      </c>
      <c r="G901" s="88" t="s">
        <v>792</v>
      </c>
      <c r="H901" s="87" t="s">
        <v>500</v>
      </c>
      <c r="I901" s="89">
        <v>1</v>
      </c>
      <c r="J901" s="88" t="s">
        <v>931</v>
      </c>
      <c r="K901" s="102"/>
      <c r="L901" s="88" t="s">
        <v>624</v>
      </c>
      <c r="M901" s="89" t="s">
        <v>381</v>
      </c>
      <c r="N901" s="90">
        <v>1</v>
      </c>
      <c r="O901" s="27">
        <f>IFERROR(+VLOOKUP(M901,D.sign_Lista_Data[[RESPONSABLE]:[SOFTWARE 
VALOR HORA]],3,FALSE),"0")</f>
        <v>20263.424518743668</v>
      </c>
      <c r="P901" s="3">
        <f t="shared" si="32"/>
        <v>20263.424518743668</v>
      </c>
      <c r="Q901" s="11">
        <f>IFERROR(+VLOOKUP(M901,D.sign_Lista_Data[[RESPONSABLE]:[SOFTWARE 
VALOR HORA]],5,FALSE)*D.sign_Data[[#This Row],[TIEMPO (HORAS)]],0)</f>
        <v>4221.5467747382636</v>
      </c>
      <c r="R901" s="11">
        <f>IFERROR(+VLOOKUP(M901,D.sign_Lista_Data[[RESPONSABLE]:[SOFTWARE 
VALOR HORA]],8,FALSE)*D.sign_Data[[#This Row],[TIEMPO (HORAS)]],0)</f>
        <v>3410.8548871439834</v>
      </c>
      <c r="S901" s="99"/>
      <c r="T901" s="99"/>
      <c r="U901" s="3">
        <f t="shared" si="33"/>
        <v>27895.826180625918</v>
      </c>
      <c r="V901" s="100">
        <f>D.sign_Data[[#This Row],[TIEMPO (HORAS)]]*Gastos_Operativos[[#Totals],[GASTOS HORA]]</f>
        <v>27789.477072310401</v>
      </c>
      <c r="W901" s="3">
        <f>+D.sign_Data[[#This Row],[COSTO 
DIRECTO ($COP)]]+D.sign_Data[[#This Row],[PRORRATEO GASTOS ($COP)]]</f>
        <v>55685.303252936319</v>
      </c>
      <c r="X901" s="101">
        <v>0.1</v>
      </c>
      <c r="Y901" s="15">
        <f>+D.sign_Data[[#This Row],[COSTOS OPERACIONALES ($COP)]]*D.sign_Data[[#This Row],[DESFASE (%)]]</f>
        <v>5568.5303252936319</v>
      </c>
      <c r="Z901" s="101">
        <v>0.2</v>
      </c>
      <c r="AA901" s="15">
        <f>+((D.sign_Data[[#This Row],[COSTOS OPERACIONALES ($COP)]]/(100%-D.sign_Data[[#This Row],[UTILIDAD (%)]])))-D.sign_Data[[#This Row],[COSTOS OPERACIONALES ($COP)]]</f>
        <v>13921.325813234078</v>
      </c>
      <c r="AB901" s="3">
        <f>+D.sign_Data[[#This Row],[COSTOS OPERACIONALES ($COP)]]+D.sign_Data[[#This Row],[DESFASE ($COP)]]+D.sign_Data[[#This Row],[UTILIDAD ($COP)]]</f>
        <v>75175.159391464025</v>
      </c>
      <c r="AC901" s="101">
        <v>0.05</v>
      </c>
      <c r="AD901" s="15">
        <f>+D.sign_Data[[#This Row],[VALOR NETO ($COP)]]/(100%-D.sign_Data[[#This Row],[MARGEN DE NEGOCIACIÓN (%)]])-D.sign_Data[[#This Row],[VALOR NETO ($COP)]]</f>
        <v>3956.5873363928404</v>
      </c>
      <c r="AE901" s="15">
        <f>+(D.sign_Data[[#This Row],[VALOR NETO ($COP)]]+D.sign_Data[[#This Row],[NEGOCIACIÓN ($COP)]])*1%</f>
        <v>791.31746727856864</v>
      </c>
      <c r="AF901" s="15">
        <f>+(D.sign_Data[[#This Row],[VALOR NETO ($COP)]]+D.sign_Data[[#This Row],[NEGOCIACIÓN ($COP)]])*1%</f>
        <v>791.31746727856864</v>
      </c>
      <c r="AG901" s="3">
        <f>+D.sign_Data[[#This Row],[VALOR NETO ($COP)]]+D.sign_Data[[#This Row],[NEGOCIACIÓN ($COP)]]+D.sign_Data[[#This Row],[ICA ($COP)]]+D.sign_Data[[#This Row],[4 * 1000 ($COP)]]</f>
        <v>80714.381662414002</v>
      </c>
    </row>
    <row r="902" spans="1:33" ht="60" hidden="1" customHeight="1" x14ac:dyDescent="0.25">
      <c r="A902" s="14"/>
      <c r="B902" s="87" t="s">
        <v>418</v>
      </c>
      <c r="C902" s="182" t="s">
        <v>938</v>
      </c>
      <c r="D902" s="189" t="str">
        <f>VLOOKUP(D.sign_Data[[#This Row],[CÓDIGO]],Descripciones[[CÓDIGO]:[NOMBRE DE SERVICIO]],3,FALSE)</f>
        <v>D7. Select</v>
      </c>
      <c r="E902" s="87" t="s">
        <v>497</v>
      </c>
      <c r="F902" s="88" t="s">
        <v>930</v>
      </c>
      <c r="G902" s="88" t="s">
        <v>792</v>
      </c>
      <c r="H902" s="87" t="s">
        <v>500</v>
      </c>
      <c r="I902" s="89">
        <v>1</v>
      </c>
      <c r="J902" s="88" t="s">
        <v>931</v>
      </c>
      <c r="K902" s="102"/>
      <c r="L902" s="88" t="s">
        <v>483</v>
      </c>
      <c r="M902" s="89" t="s">
        <v>381</v>
      </c>
      <c r="N902" s="90">
        <v>0.5</v>
      </c>
      <c r="O902" s="27">
        <f>IFERROR(+VLOOKUP(M902,D.sign_Lista_Data[[RESPONSABLE]:[SOFTWARE 
VALOR HORA]],3,FALSE),"0")</f>
        <v>20263.424518743668</v>
      </c>
      <c r="P902" s="3">
        <f t="shared" si="32"/>
        <v>10131.712259371834</v>
      </c>
      <c r="Q902" s="11">
        <f>IFERROR(+VLOOKUP(M902,D.sign_Lista_Data[[RESPONSABLE]:[SOFTWARE 
VALOR HORA]],5,FALSE)*D.sign_Data[[#This Row],[TIEMPO (HORAS)]],0)</f>
        <v>2110.7733873691318</v>
      </c>
      <c r="R902" s="11">
        <f>IFERROR(+VLOOKUP(M902,D.sign_Lista_Data[[RESPONSABLE]:[SOFTWARE 
VALOR HORA]],8,FALSE)*D.sign_Data[[#This Row],[TIEMPO (HORAS)]],0)</f>
        <v>1705.4274435719917</v>
      </c>
      <c r="S902" s="99"/>
      <c r="T902" s="99"/>
      <c r="U902" s="3">
        <f t="shared" si="33"/>
        <v>13947.913090312959</v>
      </c>
      <c r="V902" s="100">
        <f>D.sign_Data[[#This Row],[TIEMPO (HORAS)]]*Gastos_Operativos[[#Totals],[GASTOS HORA]]</f>
        <v>13894.738536155201</v>
      </c>
      <c r="W902" s="3">
        <f>+D.sign_Data[[#This Row],[COSTO 
DIRECTO ($COP)]]+D.sign_Data[[#This Row],[PRORRATEO GASTOS ($COP)]]</f>
        <v>27842.65162646816</v>
      </c>
      <c r="X902" s="101">
        <v>0.1</v>
      </c>
      <c r="Y902" s="15">
        <f>+D.sign_Data[[#This Row],[COSTOS OPERACIONALES ($COP)]]*D.sign_Data[[#This Row],[DESFASE (%)]]</f>
        <v>2784.265162646816</v>
      </c>
      <c r="Z902" s="101">
        <v>0.2</v>
      </c>
      <c r="AA902" s="15">
        <f>+((D.sign_Data[[#This Row],[COSTOS OPERACIONALES ($COP)]]/(100%-D.sign_Data[[#This Row],[UTILIDAD (%)]])))-D.sign_Data[[#This Row],[COSTOS OPERACIONALES ($COP)]]</f>
        <v>6960.662906617039</v>
      </c>
      <c r="AB902" s="3">
        <f>+D.sign_Data[[#This Row],[COSTOS OPERACIONALES ($COP)]]+D.sign_Data[[#This Row],[DESFASE ($COP)]]+D.sign_Data[[#This Row],[UTILIDAD ($COP)]]</f>
        <v>37587.579695732013</v>
      </c>
      <c r="AC902" s="101">
        <v>0.05</v>
      </c>
      <c r="AD902" s="15">
        <f>+D.sign_Data[[#This Row],[VALOR NETO ($COP)]]/(100%-D.sign_Data[[#This Row],[MARGEN DE NEGOCIACIÓN (%)]])-D.sign_Data[[#This Row],[VALOR NETO ($COP)]]</f>
        <v>1978.2936681964202</v>
      </c>
      <c r="AE902" s="15">
        <f>+(D.sign_Data[[#This Row],[VALOR NETO ($COP)]]+D.sign_Data[[#This Row],[NEGOCIACIÓN ($COP)]])*1%</f>
        <v>395.65873363928432</v>
      </c>
      <c r="AF902" s="15">
        <f>+(D.sign_Data[[#This Row],[VALOR NETO ($COP)]]+D.sign_Data[[#This Row],[NEGOCIACIÓN ($COP)]])*1%</f>
        <v>395.65873363928432</v>
      </c>
      <c r="AG902" s="3">
        <f>+D.sign_Data[[#This Row],[VALOR NETO ($COP)]]+D.sign_Data[[#This Row],[NEGOCIACIÓN ($COP)]]+D.sign_Data[[#This Row],[ICA ($COP)]]+D.sign_Data[[#This Row],[4 * 1000 ($COP)]]</f>
        <v>40357.190831207001</v>
      </c>
    </row>
    <row r="903" spans="1:33" ht="60" hidden="1" customHeight="1" x14ac:dyDescent="0.25">
      <c r="A903" s="14"/>
      <c r="B903" s="87" t="s">
        <v>418</v>
      </c>
      <c r="C903" s="182" t="s">
        <v>938</v>
      </c>
      <c r="D903" s="189" t="str">
        <f>VLOOKUP(D.sign_Data[[#This Row],[CÓDIGO]],Descripciones[[CÓDIGO]:[NOMBRE DE SERVICIO]],3,FALSE)</f>
        <v>D7. Select</v>
      </c>
      <c r="E903" s="87" t="s">
        <v>497</v>
      </c>
      <c r="F903" s="88" t="s">
        <v>930</v>
      </c>
      <c r="G903" s="88" t="s">
        <v>792</v>
      </c>
      <c r="H903" s="87" t="s">
        <v>500</v>
      </c>
      <c r="I903" s="89">
        <v>1</v>
      </c>
      <c r="J903" s="88" t="s">
        <v>931</v>
      </c>
      <c r="K903" s="102"/>
      <c r="L903" s="88" t="s">
        <v>474</v>
      </c>
      <c r="M903" s="89" t="s">
        <v>381</v>
      </c>
      <c r="N903" s="90">
        <v>0.1</v>
      </c>
      <c r="O903" s="27">
        <f>IFERROR(+VLOOKUP(M903,D.sign_Lista_Data[[RESPONSABLE]:[SOFTWARE 
VALOR HORA]],3,FALSE),"0")</f>
        <v>20263.424518743668</v>
      </c>
      <c r="P903" s="3">
        <f t="shared" si="32"/>
        <v>2026.3424518743668</v>
      </c>
      <c r="Q903" s="11">
        <f>IFERROR(+VLOOKUP(M903,D.sign_Lista_Data[[RESPONSABLE]:[SOFTWARE 
VALOR HORA]],5,FALSE)*D.sign_Data[[#This Row],[TIEMPO (HORAS)]],0)</f>
        <v>422.15467747382638</v>
      </c>
      <c r="R903" s="11">
        <f>IFERROR(+VLOOKUP(M903,D.sign_Lista_Data[[RESPONSABLE]:[SOFTWARE 
VALOR HORA]],8,FALSE)*D.sign_Data[[#This Row],[TIEMPO (HORAS)]],0)</f>
        <v>341.08548871439837</v>
      </c>
      <c r="S903" s="99"/>
      <c r="T903" s="99"/>
      <c r="U903" s="3">
        <f t="shared" si="33"/>
        <v>2789.5826180625913</v>
      </c>
      <c r="V903" s="100">
        <f>D.sign_Data[[#This Row],[TIEMPO (HORAS)]]*Gastos_Operativos[[#Totals],[GASTOS HORA]]</f>
        <v>2778.9477072310401</v>
      </c>
      <c r="W903" s="3">
        <f>+D.sign_Data[[#This Row],[COSTO 
DIRECTO ($COP)]]+D.sign_Data[[#This Row],[PRORRATEO GASTOS ($COP)]]</f>
        <v>5568.5303252936319</v>
      </c>
      <c r="X903" s="101">
        <v>0.1</v>
      </c>
      <c r="Y903" s="15">
        <f>+D.sign_Data[[#This Row],[COSTOS OPERACIONALES ($COP)]]*D.sign_Data[[#This Row],[DESFASE (%)]]</f>
        <v>556.85303252936319</v>
      </c>
      <c r="Z903" s="101">
        <v>0.2</v>
      </c>
      <c r="AA903" s="15">
        <f>+((D.sign_Data[[#This Row],[COSTOS OPERACIONALES ($COP)]]/(100%-D.sign_Data[[#This Row],[UTILIDAD (%)]])))-D.sign_Data[[#This Row],[COSTOS OPERACIONALES ($COP)]]</f>
        <v>1392.132581323408</v>
      </c>
      <c r="AB903" s="3">
        <f>+D.sign_Data[[#This Row],[COSTOS OPERACIONALES ($COP)]]+D.sign_Data[[#This Row],[DESFASE ($COP)]]+D.sign_Data[[#This Row],[UTILIDAD ($COP)]]</f>
        <v>7517.5159391464031</v>
      </c>
      <c r="AC903" s="101">
        <v>0.05</v>
      </c>
      <c r="AD903" s="15">
        <f>+D.sign_Data[[#This Row],[VALOR NETO ($COP)]]/(100%-D.sign_Data[[#This Row],[MARGEN DE NEGOCIACIÓN (%)]])-D.sign_Data[[#This Row],[VALOR NETO ($COP)]]</f>
        <v>395.65873363928495</v>
      </c>
      <c r="AE903" s="15">
        <f>+(D.sign_Data[[#This Row],[VALOR NETO ($COP)]]+D.sign_Data[[#This Row],[NEGOCIACIÓN ($COP)]])*1%</f>
        <v>79.131746727856878</v>
      </c>
      <c r="AF903" s="15">
        <f>+(D.sign_Data[[#This Row],[VALOR NETO ($COP)]]+D.sign_Data[[#This Row],[NEGOCIACIÓN ($COP)]])*1%</f>
        <v>79.131746727856878</v>
      </c>
      <c r="AG903" s="3">
        <f>+D.sign_Data[[#This Row],[VALOR NETO ($COP)]]+D.sign_Data[[#This Row],[NEGOCIACIÓN ($COP)]]+D.sign_Data[[#This Row],[ICA ($COP)]]+D.sign_Data[[#This Row],[4 * 1000 ($COP)]]</f>
        <v>8071.4381662414016</v>
      </c>
    </row>
    <row r="904" spans="1:33" ht="60" hidden="1" customHeight="1" x14ac:dyDescent="0.25">
      <c r="A904" s="14"/>
      <c r="B904" s="87" t="s">
        <v>418</v>
      </c>
      <c r="C904" s="182" t="s">
        <v>938</v>
      </c>
      <c r="D904" s="189" t="str">
        <f>VLOOKUP(D.sign_Data[[#This Row],[CÓDIGO]],Descripciones[[CÓDIGO]:[NOMBRE DE SERVICIO]],3,FALSE)</f>
        <v>D7. Select</v>
      </c>
      <c r="E904" s="87" t="s">
        <v>497</v>
      </c>
      <c r="F904" s="88" t="s">
        <v>930</v>
      </c>
      <c r="G904" s="88" t="s">
        <v>792</v>
      </c>
      <c r="H904" s="87" t="s">
        <v>500</v>
      </c>
      <c r="I904" s="89">
        <v>1</v>
      </c>
      <c r="J904" s="88" t="s">
        <v>932</v>
      </c>
      <c r="K904" s="102"/>
      <c r="L904" s="88" t="s">
        <v>476</v>
      </c>
      <c r="M904" s="89" t="s">
        <v>381</v>
      </c>
      <c r="N904" s="90">
        <v>0.2</v>
      </c>
      <c r="O904" s="27">
        <f>IFERROR(+VLOOKUP(M904,D.sign_Lista_Data[[RESPONSABLE]:[SOFTWARE 
VALOR HORA]],3,FALSE),"0")</f>
        <v>20263.424518743668</v>
      </c>
      <c r="P904" s="3">
        <f t="shared" si="32"/>
        <v>4052.6849037487336</v>
      </c>
      <c r="Q904" s="11">
        <f>IFERROR(+VLOOKUP(M904,D.sign_Lista_Data[[RESPONSABLE]:[SOFTWARE 
VALOR HORA]],5,FALSE)*D.sign_Data[[#This Row],[TIEMPO (HORAS)]],0)</f>
        <v>844.30935494765276</v>
      </c>
      <c r="R904" s="11">
        <f>IFERROR(+VLOOKUP(M904,D.sign_Lista_Data[[RESPONSABLE]:[SOFTWARE 
VALOR HORA]],8,FALSE)*D.sign_Data[[#This Row],[TIEMPO (HORAS)]],0)</f>
        <v>682.17097742879673</v>
      </c>
      <c r="S904" s="99"/>
      <c r="T904" s="99"/>
      <c r="U904" s="3">
        <f t="shared" si="33"/>
        <v>5579.1652361251827</v>
      </c>
      <c r="V904" s="100">
        <f>D.sign_Data[[#This Row],[TIEMPO (HORAS)]]*Gastos_Operativos[[#Totals],[GASTOS HORA]]</f>
        <v>5557.8954144620802</v>
      </c>
      <c r="W904" s="3">
        <f>+D.sign_Data[[#This Row],[COSTO 
DIRECTO ($COP)]]+D.sign_Data[[#This Row],[PRORRATEO GASTOS ($COP)]]</f>
        <v>11137.060650587264</v>
      </c>
      <c r="X904" s="101">
        <v>0.1</v>
      </c>
      <c r="Y904" s="15">
        <f>+D.sign_Data[[#This Row],[COSTOS OPERACIONALES ($COP)]]*D.sign_Data[[#This Row],[DESFASE (%)]]</f>
        <v>1113.7060650587264</v>
      </c>
      <c r="Z904" s="101">
        <v>0.2</v>
      </c>
      <c r="AA904" s="15">
        <f>+((D.sign_Data[[#This Row],[COSTOS OPERACIONALES ($COP)]]/(100%-D.sign_Data[[#This Row],[UTILIDAD (%)]])))-D.sign_Data[[#This Row],[COSTOS OPERACIONALES ($COP)]]</f>
        <v>2784.265162646816</v>
      </c>
      <c r="AB904" s="3">
        <f>+D.sign_Data[[#This Row],[COSTOS OPERACIONALES ($COP)]]+D.sign_Data[[#This Row],[DESFASE ($COP)]]+D.sign_Data[[#This Row],[UTILIDAD ($COP)]]</f>
        <v>15035.031878292806</v>
      </c>
      <c r="AC904" s="101">
        <v>0.05</v>
      </c>
      <c r="AD904" s="15">
        <f>+D.sign_Data[[#This Row],[VALOR NETO ($COP)]]/(100%-D.sign_Data[[#This Row],[MARGEN DE NEGOCIACIÓN (%)]])-D.sign_Data[[#This Row],[VALOR NETO ($COP)]]</f>
        <v>791.31746727856989</v>
      </c>
      <c r="AE904" s="15">
        <f>+(D.sign_Data[[#This Row],[VALOR NETO ($COP)]]+D.sign_Data[[#This Row],[NEGOCIACIÓN ($COP)]])*1%</f>
        <v>158.26349345571376</v>
      </c>
      <c r="AF904" s="15">
        <f>+(D.sign_Data[[#This Row],[VALOR NETO ($COP)]]+D.sign_Data[[#This Row],[NEGOCIACIÓN ($COP)]])*1%</f>
        <v>158.26349345571376</v>
      </c>
      <c r="AG904" s="3">
        <f>+D.sign_Data[[#This Row],[VALOR NETO ($COP)]]+D.sign_Data[[#This Row],[NEGOCIACIÓN ($COP)]]+D.sign_Data[[#This Row],[ICA ($COP)]]+D.sign_Data[[#This Row],[4 * 1000 ($COP)]]</f>
        <v>16142.876332482803</v>
      </c>
    </row>
    <row r="905" spans="1:33" ht="60" hidden="1" customHeight="1" x14ac:dyDescent="0.25">
      <c r="A905" s="14"/>
      <c r="B905" s="87" t="s">
        <v>418</v>
      </c>
      <c r="C905" s="182" t="s">
        <v>938</v>
      </c>
      <c r="D905" s="189" t="str">
        <f>VLOOKUP(D.sign_Data[[#This Row],[CÓDIGO]],Descripciones[[CÓDIGO]:[NOMBRE DE SERVICIO]],3,FALSE)</f>
        <v>D7. Select</v>
      </c>
      <c r="E905" s="87" t="s">
        <v>497</v>
      </c>
      <c r="F905" s="88" t="s">
        <v>930</v>
      </c>
      <c r="G905" s="88" t="s">
        <v>792</v>
      </c>
      <c r="H905" s="87" t="s">
        <v>500</v>
      </c>
      <c r="I905" s="89">
        <v>1</v>
      </c>
      <c r="J905" s="88" t="s">
        <v>932</v>
      </c>
      <c r="K905" s="102"/>
      <c r="L905" s="88" t="s">
        <v>770</v>
      </c>
      <c r="M905" s="89" t="s">
        <v>381</v>
      </c>
      <c r="N905" s="90">
        <v>0.5</v>
      </c>
      <c r="O905" s="27">
        <f>IFERROR(+VLOOKUP(M905,D.sign_Lista_Data[[RESPONSABLE]:[SOFTWARE 
VALOR HORA]],3,FALSE),"0")</f>
        <v>20263.424518743668</v>
      </c>
      <c r="P905" s="3">
        <f t="shared" si="32"/>
        <v>10131.712259371834</v>
      </c>
      <c r="Q905" s="11">
        <f>IFERROR(+VLOOKUP(M905,D.sign_Lista_Data[[RESPONSABLE]:[SOFTWARE 
VALOR HORA]],5,FALSE)*D.sign_Data[[#This Row],[TIEMPO (HORAS)]],0)</f>
        <v>2110.7733873691318</v>
      </c>
      <c r="R905" s="11">
        <f>IFERROR(+VLOOKUP(M905,D.sign_Lista_Data[[RESPONSABLE]:[SOFTWARE 
VALOR HORA]],8,FALSE)*D.sign_Data[[#This Row],[TIEMPO (HORAS)]],0)</f>
        <v>1705.4274435719917</v>
      </c>
      <c r="S905" s="99"/>
      <c r="T905" s="99"/>
      <c r="U905" s="3">
        <f t="shared" si="33"/>
        <v>13947.913090312959</v>
      </c>
      <c r="V905" s="100">
        <f>D.sign_Data[[#This Row],[TIEMPO (HORAS)]]*Gastos_Operativos[[#Totals],[GASTOS HORA]]</f>
        <v>13894.738536155201</v>
      </c>
      <c r="W905" s="3">
        <f>+D.sign_Data[[#This Row],[COSTO 
DIRECTO ($COP)]]+D.sign_Data[[#This Row],[PRORRATEO GASTOS ($COP)]]</f>
        <v>27842.65162646816</v>
      </c>
      <c r="X905" s="101">
        <v>0.1</v>
      </c>
      <c r="Y905" s="15">
        <f>+D.sign_Data[[#This Row],[COSTOS OPERACIONALES ($COP)]]*D.sign_Data[[#This Row],[DESFASE (%)]]</f>
        <v>2784.265162646816</v>
      </c>
      <c r="Z905" s="101">
        <v>0.2</v>
      </c>
      <c r="AA905" s="15">
        <f>+((D.sign_Data[[#This Row],[COSTOS OPERACIONALES ($COP)]]/(100%-D.sign_Data[[#This Row],[UTILIDAD (%)]])))-D.sign_Data[[#This Row],[COSTOS OPERACIONALES ($COP)]]</f>
        <v>6960.662906617039</v>
      </c>
      <c r="AB905" s="3">
        <f>+D.sign_Data[[#This Row],[COSTOS OPERACIONALES ($COP)]]+D.sign_Data[[#This Row],[DESFASE ($COP)]]+D.sign_Data[[#This Row],[UTILIDAD ($COP)]]</f>
        <v>37587.579695732013</v>
      </c>
      <c r="AC905" s="101">
        <v>0.05</v>
      </c>
      <c r="AD905" s="15">
        <f>+D.sign_Data[[#This Row],[VALOR NETO ($COP)]]/(100%-D.sign_Data[[#This Row],[MARGEN DE NEGOCIACIÓN (%)]])-D.sign_Data[[#This Row],[VALOR NETO ($COP)]]</f>
        <v>1978.2936681964202</v>
      </c>
      <c r="AE905" s="15">
        <f>+(D.sign_Data[[#This Row],[VALOR NETO ($COP)]]+D.sign_Data[[#This Row],[NEGOCIACIÓN ($COP)]])*1%</f>
        <v>395.65873363928432</v>
      </c>
      <c r="AF905" s="15">
        <f>+(D.sign_Data[[#This Row],[VALOR NETO ($COP)]]+D.sign_Data[[#This Row],[NEGOCIACIÓN ($COP)]])*1%</f>
        <v>395.65873363928432</v>
      </c>
      <c r="AG905" s="3">
        <f>+D.sign_Data[[#This Row],[VALOR NETO ($COP)]]+D.sign_Data[[#This Row],[NEGOCIACIÓN ($COP)]]+D.sign_Data[[#This Row],[ICA ($COP)]]+D.sign_Data[[#This Row],[4 * 1000 ($COP)]]</f>
        <v>40357.190831207001</v>
      </c>
    </row>
    <row r="906" spans="1:33" ht="60" hidden="1" customHeight="1" x14ac:dyDescent="0.25">
      <c r="A906" s="14"/>
      <c r="B906" s="87" t="s">
        <v>418</v>
      </c>
      <c r="C906" s="182" t="s">
        <v>938</v>
      </c>
      <c r="D906" s="189" t="str">
        <f>VLOOKUP(D.sign_Data[[#This Row],[CÓDIGO]],Descripciones[[CÓDIGO]:[NOMBRE DE SERVICIO]],3,FALSE)</f>
        <v>D7. Select</v>
      </c>
      <c r="E906" s="87" t="s">
        <v>497</v>
      </c>
      <c r="F906" s="88" t="s">
        <v>930</v>
      </c>
      <c r="G906" s="88" t="s">
        <v>792</v>
      </c>
      <c r="H906" s="87" t="s">
        <v>500</v>
      </c>
      <c r="I906" s="89">
        <v>1</v>
      </c>
      <c r="J906" s="88" t="s">
        <v>932</v>
      </c>
      <c r="K906" s="102"/>
      <c r="L906" s="88" t="s">
        <v>624</v>
      </c>
      <c r="M906" s="89" t="s">
        <v>381</v>
      </c>
      <c r="N906" s="90">
        <v>1.5</v>
      </c>
      <c r="O906" s="27">
        <f>IFERROR(+VLOOKUP(M906,D.sign_Lista_Data[[RESPONSABLE]:[SOFTWARE 
VALOR HORA]],3,FALSE),"0")</f>
        <v>20263.424518743668</v>
      </c>
      <c r="P906" s="3">
        <f t="shared" si="32"/>
        <v>30395.136778115502</v>
      </c>
      <c r="Q906" s="11">
        <f>IFERROR(+VLOOKUP(M906,D.sign_Lista_Data[[RESPONSABLE]:[SOFTWARE 
VALOR HORA]],5,FALSE)*D.sign_Data[[#This Row],[TIEMPO (HORAS)]],0)</f>
        <v>6332.3201621073949</v>
      </c>
      <c r="R906" s="11">
        <f>IFERROR(+VLOOKUP(M906,D.sign_Lista_Data[[RESPONSABLE]:[SOFTWARE 
VALOR HORA]],8,FALSE)*D.sign_Data[[#This Row],[TIEMPO (HORAS)]],0)</f>
        <v>5116.2823307159751</v>
      </c>
      <c r="S906" s="99"/>
      <c r="T906" s="99"/>
      <c r="U906" s="3">
        <f t="shared" si="33"/>
        <v>41843.739270938873</v>
      </c>
      <c r="V906" s="100">
        <f>D.sign_Data[[#This Row],[TIEMPO (HORAS)]]*Gastos_Operativos[[#Totals],[GASTOS HORA]]</f>
        <v>41684.215608465602</v>
      </c>
      <c r="W906" s="3">
        <f>+D.sign_Data[[#This Row],[COSTO 
DIRECTO ($COP)]]+D.sign_Data[[#This Row],[PRORRATEO GASTOS ($COP)]]</f>
        <v>83527.954879404482</v>
      </c>
      <c r="X906" s="101">
        <v>0.1</v>
      </c>
      <c r="Y906" s="15">
        <f>+D.sign_Data[[#This Row],[COSTOS OPERACIONALES ($COP)]]*D.sign_Data[[#This Row],[DESFASE (%)]]</f>
        <v>8352.7954879404479</v>
      </c>
      <c r="Z906" s="101">
        <v>0.2</v>
      </c>
      <c r="AA906" s="15">
        <f>+((D.sign_Data[[#This Row],[COSTOS OPERACIONALES ($COP)]]/(100%-D.sign_Data[[#This Row],[UTILIDAD (%)]])))-D.sign_Data[[#This Row],[COSTOS OPERACIONALES ($COP)]]</f>
        <v>20881.988719851113</v>
      </c>
      <c r="AB906" s="3">
        <f>+D.sign_Data[[#This Row],[COSTOS OPERACIONALES ($COP)]]+D.sign_Data[[#This Row],[DESFASE ($COP)]]+D.sign_Data[[#This Row],[UTILIDAD ($COP)]]</f>
        <v>112762.73908719604</v>
      </c>
      <c r="AC906" s="101">
        <v>0.05</v>
      </c>
      <c r="AD906" s="15">
        <f>+D.sign_Data[[#This Row],[VALOR NETO ($COP)]]/(100%-D.sign_Data[[#This Row],[MARGEN DE NEGOCIACIÓN (%)]])-D.sign_Data[[#This Row],[VALOR NETO ($COP)]]</f>
        <v>5934.8810045892751</v>
      </c>
      <c r="AE906" s="15">
        <f>+(D.sign_Data[[#This Row],[VALOR NETO ($COP)]]+D.sign_Data[[#This Row],[NEGOCIACIÓN ($COP)]])*1%</f>
        <v>1186.9762009178532</v>
      </c>
      <c r="AF906" s="15">
        <f>+(D.sign_Data[[#This Row],[VALOR NETO ($COP)]]+D.sign_Data[[#This Row],[NEGOCIACIÓN ($COP)]])*1%</f>
        <v>1186.9762009178532</v>
      </c>
      <c r="AG906" s="3">
        <f>+D.sign_Data[[#This Row],[VALOR NETO ($COP)]]+D.sign_Data[[#This Row],[NEGOCIACIÓN ($COP)]]+D.sign_Data[[#This Row],[ICA ($COP)]]+D.sign_Data[[#This Row],[4 * 1000 ($COP)]]</f>
        <v>121071.57249362102</v>
      </c>
    </row>
    <row r="907" spans="1:33" ht="60" hidden="1" customHeight="1" x14ac:dyDescent="0.25">
      <c r="A907" s="14"/>
      <c r="B907" s="87" t="s">
        <v>418</v>
      </c>
      <c r="C907" s="182" t="s">
        <v>938</v>
      </c>
      <c r="D907" s="189" t="str">
        <f>VLOOKUP(D.sign_Data[[#This Row],[CÓDIGO]],Descripciones[[CÓDIGO]:[NOMBRE DE SERVICIO]],3,FALSE)</f>
        <v>D7. Select</v>
      </c>
      <c r="E907" s="87" t="s">
        <v>497</v>
      </c>
      <c r="F907" s="88" t="s">
        <v>930</v>
      </c>
      <c r="G907" s="88" t="s">
        <v>792</v>
      </c>
      <c r="H907" s="87" t="s">
        <v>500</v>
      </c>
      <c r="I907" s="89">
        <v>1</v>
      </c>
      <c r="J907" s="88" t="s">
        <v>932</v>
      </c>
      <c r="K907" s="102"/>
      <c r="L907" s="88" t="s">
        <v>733</v>
      </c>
      <c r="M907" s="89" t="s">
        <v>381</v>
      </c>
      <c r="N907" s="90">
        <v>2</v>
      </c>
      <c r="O907" s="27">
        <f>IFERROR(+VLOOKUP(M907,D.sign_Lista_Data[[RESPONSABLE]:[SOFTWARE 
VALOR HORA]],3,FALSE),"0")</f>
        <v>20263.424518743668</v>
      </c>
      <c r="P907" s="3">
        <f t="shared" si="32"/>
        <v>40526.849037487336</v>
      </c>
      <c r="Q907" s="11">
        <f>IFERROR(+VLOOKUP(M907,D.sign_Lista_Data[[RESPONSABLE]:[SOFTWARE 
VALOR HORA]],5,FALSE)*D.sign_Data[[#This Row],[TIEMPO (HORAS)]],0)</f>
        <v>8443.0935494765272</v>
      </c>
      <c r="R907" s="11">
        <f>IFERROR(+VLOOKUP(M907,D.sign_Lista_Data[[RESPONSABLE]:[SOFTWARE 
VALOR HORA]],8,FALSE)*D.sign_Data[[#This Row],[TIEMPO (HORAS)]],0)</f>
        <v>6821.7097742879669</v>
      </c>
      <c r="S907" s="99"/>
      <c r="T907" s="99"/>
      <c r="U907" s="3">
        <f t="shared" si="33"/>
        <v>55791.652361251836</v>
      </c>
      <c r="V907" s="100">
        <f>D.sign_Data[[#This Row],[TIEMPO (HORAS)]]*Gastos_Operativos[[#Totals],[GASTOS HORA]]</f>
        <v>55578.954144620802</v>
      </c>
      <c r="W907" s="3">
        <f>+D.sign_Data[[#This Row],[COSTO 
DIRECTO ($COP)]]+D.sign_Data[[#This Row],[PRORRATEO GASTOS ($COP)]]</f>
        <v>111370.60650587264</v>
      </c>
      <c r="X907" s="101">
        <v>0.1</v>
      </c>
      <c r="Y907" s="15">
        <f>+D.sign_Data[[#This Row],[COSTOS OPERACIONALES ($COP)]]*D.sign_Data[[#This Row],[DESFASE (%)]]</f>
        <v>11137.060650587264</v>
      </c>
      <c r="Z907" s="101">
        <v>0.2</v>
      </c>
      <c r="AA907" s="15">
        <f>+((D.sign_Data[[#This Row],[COSTOS OPERACIONALES ($COP)]]/(100%-D.sign_Data[[#This Row],[UTILIDAD (%)]])))-D.sign_Data[[#This Row],[COSTOS OPERACIONALES ($COP)]]</f>
        <v>27842.651626468156</v>
      </c>
      <c r="AB907" s="3">
        <f>+D.sign_Data[[#This Row],[COSTOS OPERACIONALES ($COP)]]+D.sign_Data[[#This Row],[DESFASE ($COP)]]+D.sign_Data[[#This Row],[UTILIDAD ($COP)]]</f>
        <v>150350.31878292805</v>
      </c>
      <c r="AC907" s="101">
        <v>0.05</v>
      </c>
      <c r="AD907" s="15">
        <f>+D.sign_Data[[#This Row],[VALOR NETO ($COP)]]/(100%-D.sign_Data[[#This Row],[MARGEN DE NEGOCIACIÓN (%)]])-D.sign_Data[[#This Row],[VALOR NETO ($COP)]]</f>
        <v>7913.1746727856807</v>
      </c>
      <c r="AE907" s="15">
        <f>+(D.sign_Data[[#This Row],[VALOR NETO ($COP)]]+D.sign_Data[[#This Row],[NEGOCIACIÓN ($COP)]])*1%</f>
        <v>1582.6349345571373</v>
      </c>
      <c r="AF907" s="15">
        <f>+(D.sign_Data[[#This Row],[VALOR NETO ($COP)]]+D.sign_Data[[#This Row],[NEGOCIACIÓN ($COP)]])*1%</f>
        <v>1582.6349345571373</v>
      </c>
      <c r="AG907" s="3">
        <f>+D.sign_Data[[#This Row],[VALOR NETO ($COP)]]+D.sign_Data[[#This Row],[NEGOCIACIÓN ($COP)]]+D.sign_Data[[#This Row],[ICA ($COP)]]+D.sign_Data[[#This Row],[4 * 1000 ($COP)]]</f>
        <v>161428.763324828</v>
      </c>
    </row>
    <row r="908" spans="1:33" ht="60" hidden="1" customHeight="1" x14ac:dyDescent="0.25">
      <c r="A908" s="14"/>
      <c r="B908" s="87" t="s">
        <v>418</v>
      </c>
      <c r="C908" s="182" t="s">
        <v>938</v>
      </c>
      <c r="D908" s="189" t="str">
        <f>VLOOKUP(D.sign_Data[[#This Row],[CÓDIGO]],Descripciones[[CÓDIGO]:[NOMBRE DE SERVICIO]],3,FALSE)</f>
        <v>D7. Select</v>
      </c>
      <c r="E908" s="87" t="s">
        <v>497</v>
      </c>
      <c r="F908" s="88" t="s">
        <v>930</v>
      </c>
      <c r="G908" s="88" t="s">
        <v>792</v>
      </c>
      <c r="H908" s="87" t="s">
        <v>500</v>
      </c>
      <c r="I908" s="89">
        <v>1</v>
      </c>
      <c r="J908" s="88" t="s">
        <v>932</v>
      </c>
      <c r="K908" s="102"/>
      <c r="L908" s="88" t="s">
        <v>771</v>
      </c>
      <c r="M908" s="89" t="s">
        <v>381</v>
      </c>
      <c r="N908" s="90">
        <v>1</v>
      </c>
      <c r="O908" s="27">
        <f>IFERROR(+VLOOKUP(M908,D.sign_Lista_Data[[RESPONSABLE]:[SOFTWARE 
VALOR HORA]],3,FALSE),"0")</f>
        <v>20263.424518743668</v>
      </c>
      <c r="P908" s="3">
        <f t="shared" si="32"/>
        <v>20263.424518743668</v>
      </c>
      <c r="Q908" s="11">
        <f>IFERROR(+VLOOKUP(M908,D.sign_Lista_Data[[RESPONSABLE]:[SOFTWARE 
VALOR HORA]],5,FALSE)*D.sign_Data[[#This Row],[TIEMPO (HORAS)]],0)</f>
        <v>4221.5467747382636</v>
      </c>
      <c r="R908" s="11">
        <f>IFERROR(+VLOOKUP(M908,D.sign_Lista_Data[[RESPONSABLE]:[SOFTWARE 
VALOR HORA]],8,FALSE)*D.sign_Data[[#This Row],[TIEMPO (HORAS)]],0)</f>
        <v>3410.8548871439834</v>
      </c>
      <c r="S908" s="99"/>
      <c r="T908" s="99"/>
      <c r="U908" s="3">
        <f t="shared" si="33"/>
        <v>27895.826180625918</v>
      </c>
      <c r="V908" s="100">
        <f>D.sign_Data[[#This Row],[TIEMPO (HORAS)]]*Gastos_Operativos[[#Totals],[GASTOS HORA]]</f>
        <v>27789.477072310401</v>
      </c>
      <c r="W908" s="3">
        <f>+D.sign_Data[[#This Row],[COSTO 
DIRECTO ($COP)]]+D.sign_Data[[#This Row],[PRORRATEO GASTOS ($COP)]]</f>
        <v>55685.303252936319</v>
      </c>
      <c r="X908" s="101">
        <v>0.1</v>
      </c>
      <c r="Y908" s="15">
        <f>+D.sign_Data[[#This Row],[COSTOS OPERACIONALES ($COP)]]*D.sign_Data[[#This Row],[DESFASE (%)]]</f>
        <v>5568.5303252936319</v>
      </c>
      <c r="Z908" s="101">
        <v>0.2</v>
      </c>
      <c r="AA908" s="15">
        <f>+((D.sign_Data[[#This Row],[COSTOS OPERACIONALES ($COP)]]/(100%-D.sign_Data[[#This Row],[UTILIDAD (%)]])))-D.sign_Data[[#This Row],[COSTOS OPERACIONALES ($COP)]]</f>
        <v>13921.325813234078</v>
      </c>
      <c r="AB908" s="3">
        <f>+D.sign_Data[[#This Row],[COSTOS OPERACIONALES ($COP)]]+D.sign_Data[[#This Row],[DESFASE ($COP)]]+D.sign_Data[[#This Row],[UTILIDAD ($COP)]]</f>
        <v>75175.159391464025</v>
      </c>
      <c r="AC908" s="101">
        <v>0.05</v>
      </c>
      <c r="AD908" s="15">
        <f>+D.sign_Data[[#This Row],[VALOR NETO ($COP)]]/(100%-D.sign_Data[[#This Row],[MARGEN DE NEGOCIACIÓN (%)]])-D.sign_Data[[#This Row],[VALOR NETO ($COP)]]</f>
        <v>3956.5873363928404</v>
      </c>
      <c r="AE908" s="15">
        <f>+(D.sign_Data[[#This Row],[VALOR NETO ($COP)]]+D.sign_Data[[#This Row],[NEGOCIACIÓN ($COP)]])*1%</f>
        <v>791.31746727856864</v>
      </c>
      <c r="AF908" s="15">
        <f>+(D.sign_Data[[#This Row],[VALOR NETO ($COP)]]+D.sign_Data[[#This Row],[NEGOCIACIÓN ($COP)]])*1%</f>
        <v>791.31746727856864</v>
      </c>
      <c r="AG908" s="3">
        <f>+D.sign_Data[[#This Row],[VALOR NETO ($COP)]]+D.sign_Data[[#This Row],[NEGOCIACIÓN ($COP)]]+D.sign_Data[[#This Row],[ICA ($COP)]]+D.sign_Data[[#This Row],[4 * 1000 ($COP)]]</f>
        <v>80714.381662414002</v>
      </c>
    </row>
    <row r="909" spans="1:33" ht="60" hidden="1" customHeight="1" x14ac:dyDescent="0.25">
      <c r="A909" s="14"/>
      <c r="B909" s="87" t="s">
        <v>418</v>
      </c>
      <c r="C909" s="182" t="s">
        <v>938</v>
      </c>
      <c r="D909" s="189" t="str">
        <f>VLOOKUP(D.sign_Data[[#This Row],[CÓDIGO]],Descripciones[[CÓDIGO]:[NOMBRE DE SERVICIO]],3,FALSE)</f>
        <v>D7. Select</v>
      </c>
      <c r="E909" s="87" t="s">
        <v>497</v>
      </c>
      <c r="F909" s="88" t="s">
        <v>930</v>
      </c>
      <c r="G909" s="88" t="s">
        <v>792</v>
      </c>
      <c r="H909" s="87" t="s">
        <v>500</v>
      </c>
      <c r="I909" s="89">
        <v>1</v>
      </c>
      <c r="J909" s="88" t="s">
        <v>932</v>
      </c>
      <c r="K909" s="102"/>
      <c r="L909" s="88" t="s">
        <v>483</v>
      </c>
      <c r="M909" s="89" t="s">
        <v>381</v>
      </c>
      <c r="N909" s="90">
        <v>0.5</v>
      </c>
      <c r="O909" s="27">
        <f>IFERROR(+VLOOKUP(M909,D.sign_Lista_Data[[RESPONSABLE]:[SOFTWARE 
VALOR HORA]],3,FALSE),"0")</f>
        <v>20263.424518743668</v>
      </c>
      <c r="P909" s="3">
        <f t="shared" si="32"/>
        <v>10131.712259371834</v>
      </c>
      <c r="Q909" s="11">
        <f>IFERROR(+VLOOKUP(M909,D.sign_Lista_Data[[RESPONSABLE]:[SOFTWARE 
VALOR HORA]],5,FALSE)*D.sign_Data[[#This Row],[TIEMPO (HORAS)]],0)</f>
        <v>2110.7733873691318</v>
      </c>
      <c r="R909" s="11">
        <f>IFERROR(+VLOOKUP(M909,D.sign_Lista_Data[[RESPONSABLE]:[SOFTWARE 
VALOR HORA]],8,FALSE)*D.sign_Data[[#This Row],[TIEMPO (HORAS)]],0)</f>
        <v>1705.4274435719917</v>
      </c>
      <c r="S909" s="99"/>
      <c r="T909" s="99"/>
      <c r="U909" s="3">
        <f t="shared" si="33"/>
        <v>13947.913090312959</v>
      </c>
      <c r="V909" s="100">
        <f>D.sign_Data[[#This Row],[TIEMPO (HORAS)]]*Gastos_Operativos[[#Totals],[GASTOS HORA]]</f>
        <v>13894.738536155201</v>
      </c>
      <c r="W909" s="3">
        <f>+D.sign_Data[[#This Row],[COSTO 
DIRECTO ($COP)]]+D.sign_Data[[#This Row],[PRORRATEO GASTOS ($COP)]]</f>
        <v>27842.65162646816</v>
      </c>
      <c r="X909" s="101">
        <v>0.1</v>
      </c>
      <c r="Y909" s="15">
        <f>+D.sign_Data[[#This Row],[COSTOS OPERACIONALES ($COP)]]*D.sign_Data[[#This Row],[DESFASE (%)]]</f>
        <v>2784.265162646816</v>
      </c>
      <c r="Z909" s="101">
        <v>0.2</v>
      </c>
      <c r="AA909" s="15">
        <f>+((D.sign_Data[[#This Row],[COSTOS OPERACIONALES ($COP)]]/(100%-D.sign_Data[[#This Row],[UTILIDAD (%)]])))-D.sign_Data[[#This Row],[COSTOS OPERACIONALES ($COP)]]</f>
        <v>6960.662906617039</v>
      </c>
      <c r="AB909" s="3">
        <f>+D.sign_Data[[#This Row],[COSTOS OPERACIONALES ($COP)]]+D.sign_Data[[#This Row],[DESFASE ($COP)]]+D.sign_Data[[#This Row],[UTILIDAD ($COP)]]</f>
        <v>37587.579695732013</v>
      </c>
      <c r="AC909" s="101">
        <v>0.05</v>
      </c>
      <c r="AD909" s="15">
        <f>+D.sign_Data[[#This Row],[VALOR NETO ($COP)]]/(100%-D.sign_Data[[#This Row],[MARGEN DE NEGOCIACIÓN (%)]])-D.sign_Data[[#This Row],[VALOR NETO ($COP)]]</f>
        <v>1978.2936681964202</v>
      </c>
      <c r="AE909" s="15">
        <f>+(D.sign_Data[[#This Row],[VALOR NETO ($COP)]]+D.sign_Data[[#This Row],[NEGOCIACIÓN ($COP)]])*1%</f>
        <v>395.65873363928432</v>
      </c>
      <c r="AF909" s="15">
        <f>+(D.sign_Data[[#This Row],[VALOR NETO ($COP)]]+D.sign_Data[[#This Row],[NEGOCIACIÓN ($COP)]])*1%</f>
        <v>395.65873363928432</v>
      </c>
      <c r="AG909" s="3">
        <f>+D.sign_Data[[#This Row],[VALOR NETO ($COP)]]+D.sign_Data[[#This Row],[NEGOCIACIÓN ($COP)]]+D.sign_Data[[#This Row],[ICA ($COP)]]+D.sign_Data[[#This Row],[4 * 1000 ($COP)]]</f>
        <v>40357.190831207001</v>
      </c>
    </row>
    <row r="910" spans="1:33" ht="60" hidden="1" customHeight="1" x14ac:dyDescent="0.25">
      <c r="A910" s="14"/>
      <c r="B910" s="87" t="s">
        <v>418</v>
      </c>
      <c r="C910" s="182" t="s">
        <v>938</v>
      </c>
      <c r="D910" s="189" t="str">
        <f>VLOOKUP(D.sign_Data[[#This Row],[CÓDIGO]],Descripciones[[CÓDIGO]:[NOMBRE DE SERVICIO]],3,FALSE)</f>
        <v>D7. Select</v>
      </c>
      <c r="E910" s="87" t="s">
        <v>497</v>
      </c>
      <c r="F910" s="88" t="s">
        <v>930</v>
      </c>
      <c r="G910" s="88" t="s">
        <v>792</v>
      </c>
      <c r="H910" s="87" t="s">
        <v>500</v>
      </c>
      <c r="I910" s="89">
        <v>1</v>
      </c>
      <c r="J910" s="88" t="s">
        <v>932</v>
      </c>
      <c r="K910" s="102"/>
      <c r="L910" s="88" t="s">
        <v>474</v>
      </c>
      <c r="M910" s="89" t="s">
        <v>381</v>
      </c>
      <c r="N910" s="90">
        <v>0.1</v>
      </c>
      <c r="O910" s="27">
        <f>IFERROR(+VLOOKUP(M910,D.sign_Lista_Data[[RESPONSABLE]:[SOFTWARE 
VALOR HORA]],3,FALSE),"0")</f>
        <v>20263.424518743668</v>
      </c>
      <c r="P910" s="3">
        <f t="shared" si="32"/>
        <v>2026.3424518743668</v>
      </c>
      <c r="Q910" s="11">
        <f>IFERROR(+VLOOKUP(M910,D.sign_Lista_Data[[RESPONSABLE]:[SOFTWARE 
VALOR HORA]],5,FALSE)*D.sign_Data[[#This Row],[TIEMPO (HORAS)]],0)</f>
        <v>422.15467747382638</v>
      </c>
      <c r="R910" s="11">
        <f>IFERROR(+VLOOKUP(M910,D.sign_Lista_Data[[RESPONSABLE]:[SOFTWARE 
VALOR HORA]],8,FALSE)*D.sign_Data[[#This Row],[TIEMPO (HORAS)]],0)</f>
        <v>341.08548871439837</v>
      </c>
      <c r="S910" s="99"/>
      <c r="T910" s="99"/>
      <c r="U910" s="3">
        <f t="shared" si="33"/>
        <v>2789.5826180625913</v>
      </c>
      <c r="V910" s="100">
        <f>D.sign_Data[[#This Row],[TIEMPO (HORAS)]]*Gastos_Operativos[[#Totals],[GASTOS HORA]]</f>
        <v>2778.9477072310401</v>
      </c>
      <c r="W910" s="3">
        <f>+D.sign_Data[[#This Row],[COSTO 
DIRECTO ($COP)]]+D.sign_Data[[#This Row],[PRORRATEO GASTOS ($COP)]]</f>
        <v>5568.5303252936319</v>
      </c>
      <c r="X910" s="101">
        <v>0.1</v>
      </c>
      <c r="Y910" s="15">
        <f>+D.sign_Data[[#This Row],[COSTOS OPERACIONALES ($COP)]]*D.sign_Data[[#This Row],[DESFASE (%)]]</f>
        <v>556.85303252936319</v>
      </c>
      <c r="Z910" s="101">
        <v>0.2</v>
      </c>
      <c r="AA910" s="15">
        <f>+((D.sign_Data[[#This Row],[COSTOS OPERACIONALES ($COP)]]/(100%-D.sign_Data[[#This Row],[UTILIDAD (%)]])))-D.sign_Data[[#This Row],[COSTOS OPERACIONALES ($COP)]]</f>
        <v>1392.132581323408</v>
      </c>
      <c r="AB910" s="3">
        <f>+D.sign_Data[[#This Row],[COSTOS OPERACIONALES ($COP)]]+D.sign_Data[[#This Row],[DESFASE ($COP)]]+D.sign_Data[[#This Row],[UTILIDAD ($COP)]]</f>
        <v>7517.5159391464031</v>
      </c>
      <c r="AC910" s="101">
        <v>0.05</v>
      </c>
      <c r="AD910" s="15">
        <f>+D.sign_Data[[#This Row],[VALOR NETO ($COP)]]/(100%-D.sign_Data[[#This Row],[MARGEN DE NEGOCIACIÓN (%)]])-D.sign_Data[[#This Row],[VALOR NETO ($COP)]]</f>
        <v>395.65873363928495</v>
      </c>
      <c r="AE910" s="15">
        <f>+(D.sign_Data[[#This Row],[VALOR NETO ($COP)]]+D.sign_Data[[#This Row],[NEGOCIACIÓN ($COP)]])*1%</f>
        <v>79.131746727856878</v>
      </c>
      <c r="AF910" s="15">
        <f>+(D.sign_Data[[#This Row],[VALOR NETO ($COP)]]+D.sign_Data[[#This Row],[NEGOCIACIÓN ($COP)]])*1%</f>
        <v>79.131746727856878</v>
      </c>
      <c r="AG910" s="3">
        <f>+D.sign_Data[[#This Row],[VALOR NETO ($COP)]]+D.sign_Data[[#This Row],[NEGOCIACIÓN ($COP)]]+D.sign_Data[[#This Row],[ICA ($COP)]]+D.sign_Data[[#This Row],[4 * 1000 ($COP)]]</f>
        <v>8071.4381662414016</v>
      </c>
    </row>
    <row r="911" spans="1:33" ht="60" hidden="1" customHeight="1" x14ac:dyDescent="0.25">
      <c r="A911" s="14"/>
      <c r="B911" s="87" t="s">
        <v>418</v>
      </c>
      <c r="C911" s="182" t="s">
        <v>938</v>
      </c>
      <c r="D911" s="189" t="str">
        <f>VLOOKUP(D.sign_Data[[#This Row],[CÓDIGO]],Descripciones[[CÓDIGO]:[NOMBRE DE SERVICIO]],3,FALSE)</f>
        <v>D7. Select</v>
      </c>
      <c r="E911" s="87" t="s">
        <v>497</v>
      </c>
      <c r="F911" s="88" t="s">
        <v>930</v>
      </c>
      <c r="G911" s="88" t="s">
        <v>792</v>
      </c>
      <c r="H911" s="87" t="s">
        <v>500</v>
      </c>
      <c r="I911" s="89">
        <v>1</v>
      </c>
      <c r="J911" s="88" t="s">
        <v>933</v>
      </c>
      <c r="K911" s="102"/>
      <c r="L911" s="88" t="s">
        <v>476</v>
      </c>
      <c r="M911" s="89" t="s">
        <v>381</v>
      </c>
      <c r="N911" s="90">
        <v>0.5</v>
      </c>
      <c r="O911" s="27">
        <f>IFERROR(+VLOOKUP(M911,D.sign_Lista_Data[[RESPONSABLE]:[SOFTWARE 
VALOR HORA]],3,FALSE),"0")</f>
        <v>20263.424518743668</v>
      </c>
      <c r="P911" s="3">
        <f t="shared" si="32"/>
        <v>10131.712259371834</v>
      </c>
      <c r="Q911" s="11">
        <f>IFERROR(+VLOOKUP(M911,D.sign_Lista_Data[[RESPONSABLE]:[SOFTWARE 
VALOR HORA]],5,FALSE)*D.sign_Data[[#This Row],[TIEMPO (HORAS)]],0)</f>
        <v>2110.7733873691318</v>
      </c>
      <c r="R911" s="11">
        <f>IFERROR(+VLOOKUP(M911,D.sign_Lista_Data[[RESPONSABLE]:[SOFTWARE 
VALOR HORA]],8,FALSE)*D.sign_Data[[#This Row],[TIEMPO (HORAS)]],0)</f>
        <v>1705.4274435719917</v>
      </c>
      <c r="S911" s="99"/>
      <c r="T911" s="99"/>
      <c r="U911" s="3">
        <f t="shared" si="33"/>
        <v>13947.913090312959</v>
      </c>
      <c r="V911" s="100">
        <f>D.sign_Data[[#This Row],[TIEMPO (HORAS)]]*Gastos_Operativos[[#Totals],[GASTOS HORA]]</f>
        <v>13894.738536155201</v>
      </c>
      <c r="W911" s="3">
        <f>+D.sign_Data[[#This Row],[COSTO 
DIRECTO ($COP)]]+D.sign_Data[[#This Row],[PRORRATEO GASTOS ($COP)]]</f>
        <v>27842.65162646816</v>
      </c>
      <c r="X911" s="101">
        <v>0.1</v>
      </c>
      <c r="Y911" s="15">
        <f>+D.sign_Data[[#This Row],[COSTOS OPERACIONALES ($COP)]]*D.sign_Data[[#This Row],[DESFASE (%)]]</f>
        <v>2784.265162646816</v>
      </c>
      <c r="Z911" s="101">
        <v>0.2</v>
      </c>
      <c r="AA911" s="15">
        <f>+((D.sign_Data[[#This Row],[COSTOS OPERACIONALES ($COP)]]/(100%-D.sign_Data[[#This Row],[UTILIDAD (%)]])))-D.sign_Data[[#This Row],[COSTOS OPERACIONALES ($COP)]]</f>
        <v>6960.662906617039</v>
      </c>
      <c r="AB911" s="3">
        <f>+D.sign_Data[[#This Row],[COSTOS OPERACIONALES ($COP)]]+D.sign_Data[[#This Row],[DESFASE ($COP)]]+D.sign_Data[[#This Row],[UTILIDAD ($COP)]]</f>
        <v>37587.579695732013</v>
      </c>
      <c r="AC911" s="101">
        <v>0.05</v>
      </c>
      <c r="AD911" s="15">
        <f>+D.sign_Data[[#This Row],[VALOR NETO ($COP)]]/(100%-D.sign_Data[[#This Row],[MARGEN DE NEGOCIACIÓN (%)]])-D.sign_Data[[#This Row],[VALOR NETO ($COP)]]</f>
        <v>1978.2936681964202</v>
      </c>
      <c r="AE911" s="15">
        <f>+(D.sign_Data[[#This Row],[VALOR NETO ($COP)]]+D.sign_Data[[#This Row],[NEGOCIACIÓN ($COP)]])*1%</f>
        <v>395.65873363928432</v>
      </c>
      <c r="AF911" s="15">
        <f>+(D.sign_Data[[#This Row],[VALOR NETO ($COP)]]+D.sign_Data[[#This Row],[NEGOCIACIÓN ($COP)]])*1%</f>
        <v>395.65873363928432</v>
      </c>
      <c r="AG911" s="3">
        <f>+D.sign_Data[[#This Row],[VALOR NETO ($COP)]]+D.sign_Data[[#This Row],[NEGOCIACIÓN ($COP)]]+D.sign_Data[[#This Row],[ICA ($COP)]]+D.sign_Data[[#This Row],[4 * 1000 ($COP)]]</f>
        <v>40357.190831207001</v>
      </c>
    </row>
    <row r="912" spans="1:33" ht="60" hidden="1" customHeight="1" x14ac:dyDescent="0.25">
      <c r="A912" s="14"/>
      <c r="B912" s="87" t="s">
        <v>418</v>
      </c>
      <c r="C912" s="182" t="s">
        <v>938</v>
      </c>
      <c r="D912" s="189" t="str">
        <f>VLOOKUP(D.sign_Data[[#This Row],[CÓDIGO]],Descripciones[[CÓDIGO]:[NOMBRE DE SERVICIO]],3,FALSE)</f>
        <v>D7. Select</v>
      </c>
      <c r="E912" s="87" t="s">
        <v>497</v>
      </c>
      <c r="F912" s="88" t="s">
        <v>930</v>
      </c>
      <c r="G912" s="88" t="s">
        <v>792</v>
      </c>
      <c r="H912" s="87" t="s">
        <v>500</v>
      </c>
      <c r="I912" s="89">
        <v>1</v>
      </c>
      <c r="J912" s="88" t="s">
        <v>933</v>
      </c>
      <c r="K912" s="102"/>
      <c r="L912" s="88" t="s">
        <v>624</v>
      </c>
      <c r="M912" s="89" t="s">
        <v>381</v>
      </c>
      <c r="N912" s="90">
        <v>1.5</v>
      </c>
      <c r="O912" s="27">
        <f>IFERROR(+VLOOKUP(M912,D.sign_Lista_Data[[RESPONSABLE]:[SOFTWARE 
VALOR HORA]],3,FALSE),"0")</f>
        <v>20263.424518743668</v>
      </c>
      <c r="P912" s="3">
        <f t="shared" si="32"/>
        <v>30395.136778115502</v>
      </c>
      <c r="Q912" s="11">
        <f>IFERROR(+VLOOKUP(M912,D.sign_Lista_Data[[RESPONSABLE]:[SOFTWARE 
VALOR HORA]],5,FALSE)*D.sign_Data[[#This Row],[TIEMPO (HORAS)]],0)</f>
        <v>6332.3201621073949</v>
      </c>
      <c r="R912" s="11">
        <f>IFERROR(+VLOOKUP(M912,D.sign_Lista_Data[[RESPONSABLE]:[SOFTWARE 
VALOR HORA]],8,FALSE)*D.sign_Data[[#This Row],[TIEMPO (HORAS)]],0)</f>
        <v>5116.2823307159751</v>
      </c>
      <c r="S912" s="99"/>
      <c r="T912" s="99"/>
      <c r="U912" s="3">
        <f t="shared" si="33"/>
        <v>41843.739270938873</v>
      </c>
      <c r="V912" s="100">
        <f>D.sign_Data[[#This Row],[TIEMPO (HORAS)]]*Gastos_Operativos[[#Totals],[GASTOS HORA]]</f>
        <v>41684.215608465602</v>
      </c>
      <c r="W912" s="3">
        <f>+D.sign_Data[[#This Row],[COSTO 
DIRECTO ($COP)]]+D.sign_Data[[#This Row],[PRORRATEO GASTOS ($COP)]]</f>
        <v>83527.954879404482</v>
      </c>
      <c r="X912" s="101">
        <v>0.1</v>
      </c>
      <c r="Y912" s="15">
        <f>+D.sign_Data[[#This Row],[COSTOS OPERACIONALES ($COP)]]*D.sign_Data[[#This Row],[DESFASE (%)]]</f>
        <v>8352.7954879404479</v>
      </c>
      <c r="Z912" s="101">
        <v>0.2</v>
      </c>
      <c r="AA912" s="15">
        <f>+((D.sign_Data[[#This Row],[COSTOS OPERACIONALES ($COP)]]/(100%-D.sign_Data[[#This Row],[UTILIDAD (%)]])))-D.sign_Data[[#This Row],[COSTOS OPERACIONALES ($COP)]]</f>
        <v>20881.988719851113</v>
      </c>
      <c r="AB912" s="3">
        <f>+D.sign_Data[[#This Row],[COSTOS OPERACIONALES ($COP)]]+D.sign_Data[[#This Row],[DESFASE ($COP)]]+D.sign_Data[[#This Row],[UTILIDAD ($COP)]]</f>
        <v>112762.73908719604</v>
      </c>
      <c r="AC912" s="101">
        <v>0.05</v>
      </c>
      <c r="AD912" s="15">
        <f>+D.sign_Data[[#This Row],[VALOR NETO ($COP)]]/(100%-D.sign_Data[[#This Row],[MARGEN DE NEGOCIACIÓN (%)]])-D.sign_Data[[#This Row],[VALOR NETO ($COP)]]</f>
        <v>5934.8810045892751</v>
      </c>
      <c r="AE912" s="15">
        <f>+(D.sign_Data[[#This Row],[VALOR NETO ($COP)]]+D.sign_Data[[#This Row],[NEGOCIACIÓN ($COP)]])*1%</f>
        <v>1186.9762009178532</v>
      </c>
      <c r="AF912" s="15">
        <f>+(D.sign_Data[[#This Row],[VALOR NETO ($COP)]]+D.sign_Data[[#This Row],[NEGOCIACIÓN ($COP)]])*1%</f>
        <v>1186.9762009178532</v>
      </c>
      <c r="AG912" s="3">
        <f>+D.sign_Data[[#This Row],[VALOR NETO ($COP)]]+D.sign_Data[[#This Row],[NEGOCIACIÓN ($COP)]]+D.sign_Data[[#This Row],[ICA ($COP)]]+D.sign_Data[[#This Row],[4 * 1000 ($COP)]]</f>
        <v>121071.57249362102</v>
      </c>
    </row>
    <row r="913" spans="1:33" ht="60" hidden="1" customHeight="1" x14ac:dyDescent="0.25">
      <c r="A913" s="14"/>
      <c r="B913" s="87" t="s">
        <v>418</v>
      </c>
      <c r="C913" s="182" t="s">
        <v>938</v>
      </c>
      <c r="D913" s="189" t="str">
        <f>VLOOKUP(D.sign_Data[[#This Row],[CÓDIGO]],Descripciones[[CÓDIGO]:[NOMBRE DE SERVICIO]],3,FALSE)</f>
        <v>D7. Select</v>
      </c>
      <c r="E913" s="87" t="s">
        <v>497</v>
      </c>
      <c r="F913" s="88" t="s">
        <v>930</v>
      </c>
      <c r="G913" s="88" t="s">
        <v>792</v>
      </c>
      <c r="H913" s="87" t="s">
        <v>500</v>
      </c>
      <c r="I913" s="89">
        <v>1</v>
      </c>
      <c r="J913" s="88" t="s">
        <v>933</v>
      </c>
      <c r="K913" s="102"/>
      <c r="L913" s="88" t="s">
        <v>797</v>
      </c>
      <c r="M913" s="89" t="s">
        <v>381</v>
      </c>
      <c r="N913" s="90">
        <v>0.5</v>
      </c>
      <c r="O913" s="27">
        <f>IFERROR(+VLOOKUP(M913,D.sign_Lista_Data[[RESPONSABLE]:[SOFTWARE 
VALOR HORA]],3,FALSE),"0")</f>
        <v>20263.424518743668</v>
      </c>
      <c r="P913" s="3">
        <f t="shared" si="32"/>
        <v>10131.712259371834</v>
      </c>
      <c r="Q913" s="11">
        <f>IFERROR(+VLOOKUP(M913,D.sign_Lista_Data[[RESPONSABLE]:[SOFTWARE 
VALOR HORA]],5,FALSE)*D.sign_Data[[#This Row],[TIEMPO (HORAS)]],0)</f>
        <v>2110.7733873691318</v>
      </c>
      <c r="R913" s="11">
        <f>IFERROR(+VLOOKUP(M913,D.sign_Lista_Data[[RESPONSABLE]:[SOFTWARE 
VALOR HORA]],8,FALSE)*D.sign_Data[[#This Row],[TIEMPO (HORAS)]],0)</f>
        <v>1705.4274435719917</v>
      </c>
      <c r="S913" s="99"/>
      <c r="T913" s="99"/>
      <c r="U913" s="3">
        <f t="shared" si="33"/>
        <v>13947.913090312959</v>
      </c>
      <c r="V913" s="100">
        <f>D.sign_Data[[#This Row],[TIEMPO (HORAS)]]*Gastos_Operativos[[#Totals],[GASTOS HORA]]</f>
        <v>13894.738536155201</v>
      </c>
      <c r="W913" s="3">
        <f>+D.sign_Data[[#This Row],[COSTO 
DIRECTO ($COP)]]+D.sign_Data[[#This Row],[PRORRATEO GASTOS ($COP)]]</f>
        <v>27842.65162646816</v>
      </c>
      <c r="X913" s="101">
        <v>0.1</v>
      </c>
      <c r="Y913" s="15">
        <f>+D.sign_Data[[#This Row],[COSTOS OPERACIONALES ($COP)]]*D.sign_Data[[#This Row],[DESFASE (%)]]</f>
        <v>2784.265162646816</v>
      </c>
      <c r="Z913" s="101">
        <v>0.2</v>
      </c>
      <c r="AA913" s="15">
        <f>+((D.sign_Data[[#This Row],[COSTOS OPERACIONALES ($COP)]]/(100%-D.sign_Data[[#This Row],[UTILIDAD (%)]])))-D.sign_Data[[#This Row],[COSTOS OPERACIONALES ($COP)]]</f>
        <v>6960.662906617039</v>
      </c>
      <c r="AB913" s="3">
        <f>+D.sign_Data[[#This Row],[COSTOS OPERACIONALES ($COP)]]+D.sign_Data[[#This Row],[DESFASE ($COP)]]+D.sign_Data[[#This Row],[UTILIDAD ($COP)]]</f>
        <v>37587.579695732013</v>
      </c>
      <c r="AC913" s="101">
        <v>0.05</v>
      </c>
      <c r="AD913" s="15">
        <f>+D.sign_Data[[#This Row],[VALOR NETO ($COP)]]/(100%-D.sign_Data[[#This Row],[MARGEN DE NEGOCIACIÓN (%)]])-D.sign_Data[[#This Row],[VALOR NETO ($COP)]]</f>
        <v>1978.2936681964202</v>
      </c>
      <c r="AE913" s="15">
        <f>+(D.sign_Data[[#This Row],[VALOR NETO ($COP)]]+D.sign_Data[[#This Row],[NEGOCIACIÓN ($COP)]])*1%</f>
        <v>395.65873363928432</v>
      </c>
      <c r="AF913" s="15">
        <f>+(D.sign_Data[[#This Row],[VALOR NETO ($COP)]]+D.sign_Data[[#This Row],[NEGOCIACIÓN ($COP)]])*1%</f>
        <v>395.65873363928432</v>
      </c>
      <c r="AG913" s="3">
        <f>+D.sign_Data[[#This Row],[VALOR NETO ($COP)]]+D.sign_Data[[#This Row],[NEGOCIACIÓN ($COP)]]+D.sign_Data[[#This Row],[ICA ($COP)]]+D.sign_Data[[#This Row],[4 * 1000 ($COP)]]</f>
        <v>40357.190831207001</v>
      </c>
    </row>
    <row r="914" spans="1:33" ht="60" hidden="1" customHeight="1" x14ac:dyDescent="0.25">
      <c r="A914" s="14"/>
      <c r="B914" s="87" t="s">
        <v>418</v>
      </c>
      <c r="C914" s="182" t="s">
        <v>938</v>
      </c>
      <c r="D914" s="189" t="str">
        <f>VLOOKUP(D.sign_Data[[#This Row],[CÓDIGO]],Descripciones[[CÓDIGO]:[NOMBRE DE SERVICIO]],3,FALSE)</f>
        <v>D7. Select</v>
      </c>
      <c r="E914" s="87" t="s">
        <v>497</v>
      </c>
      <c r="F914" s="88" t="s">
        <v>930</v>
      </c>
      <c r="G914" s="88" t="s">
        <v>792</v>
      </c>
      <c r="H914" s="87" t="s">
        <v>500</v>
      </c>
      <c r="I914" s="89">
        <v>1</v>
      </c>
      <c r="J914" s="88" t="s">
        <v>933</v>
      </c>
      <c r="K914" s="102"/>
      <c r="L914" s="88" t="s">
        <v>779</v>
      </c>
      <c r="M914" s="89" t="s">
        <v>381</v>
      </c>
      <c r="N914" s="90">
        <v>0.5</v>
      </c>
      <c r="O914" s="27">
        <f>IFERROR(+VLOOKUP(M914,D.sign_Lista_Data[[RESPONSABLE]:[SOFTWARE 
VALOR HORA]],3,FALSE),"0")</f>
        <v>20263.424518743668</v>
      </c>
      <c r="P914" s="3">
        <f t="shared" si="32"/>
        <v>10131.712259371834</v>
      </c>
      <c r="Q914" s="11">
        <f>IFERROR(+VLOOKUP(M914,D.sign_Lista_Data[[RESPONSABLE]:[SOFTWARE 
VALOR HORA]],5,FALSE)*D.sign_Data[[#This Row],[TIEMPO (HORAS)]],0)</f>
        <v>2110.7733873691318</v>
      </c>
      <c r="R914" s="11">
        <f>IFERROR(+VLOOKUP(M914,D.sign_Lista_Data[[RESPONSABLE]:[SOFTWARE 
VALOR HORA]],8,FALSE)*D.sign_Data[[#This Row],[TIEMPO (HORAS)]],0)</f>
        <v>1705.4274435719917</v>
      </c>
      <c r="S914" s="99"/>
      <c r="T914" s="99"/>
      <c r="U914" s="3">
        <f t="shared" si="33"/>
        <v>13947.913090312959</v>
      </c>
      <c r="V914" s="100">
        <f>D.sign_Data[[#This Row],[TIEMPO (HORAS)]]*Gastos_Operativos[[#Totals],[GASTOS HORA]]</f>
        <v>13894.738536155201</v>
      </c>
      <c r="W914" s="3">
        <f>+D.sign_Data[[#This Row],[COSTO 
DIRECTO ($COP)]]+D.sign_Data[[#This Row],[PRORRATEO GASTOS ($COP)]]</f>
        <v>27842.65162646816</v>
      </c>
      <c r="X914" s="101">
        <v>0.1</v>
      </c>
      <c r="Y914" s="15">
        <f>+D.sign_Data[[#This Row],[COSTOS OPERACIONALES ($COP)]]*D.sign_Data[[#This Row],[DESFASE (%)]]</f>
        <v>2784.265162646816</v>
      </c>
      <c r="Z914" s="101">
        <v>0.2</v>
      </c>
      <c r="AA914" s="15">
        <f>+((D.sign_Data[[#This Row],[COSTOS OPERACIONALES ($COP)]]/(100%-D.sign_Data[[#This Row],[UTILIDAD (%)]])))-D.sign_Data[[#This Row],[COSTOS OPERACIONALES ($COP)]]</f>
        <v>6960.662906617039</v>
      </c>
      <c r="AB914" s="3">
        <f>+D.sign_Data[[#This Row],[COSTOS OPERACIONALES ($COP)]]+D.sign_Data[[#This Row],[DESFASE ($COP)]]+D.sign_Data[[#This Row],[UTILIDAD ($COP)]]</f>
        <v>37587.579695732013</v>
      </c>
      <c r="AC914" s="101">
        <v>0.05</v>
      </c>
      <c r="AD914" s="15">
        <f>+D.sign_Data[[#This Row],[VALOR NETO ($COP)]]/(100%-D.sign_Data[[#This Row],[MARGEN DE NEGOCIACIÓN (%)]])-D.sign_Data[[#This Row],[VALOR NETO ($COP)]]</f>
        <v>1978.2936681964202</v>
      </c>
      <c r="AE914" s="15">
        <f>+(D.sign_Data[[#This Row],[VALOR NETO ($COP)]]+D.sign_Data[[#This Row],[NEGOCIACIÓN ($COP)]])*1%</f>
        <v>395.65873363928432</v>
      </c>
      <c r="AF914" s="15">
        <f>+(D.sign_Data[[#This Row],[VALOR NETO ($COP)]]+D.sign_Data[[#This Row],[NEGOCIACIÓN ($COP)]])*1%</f>
        <v>395.65873363928432</v>
      </c>
      <c r="AG914" s="3">
        <f>+D.sign_Data[[#This Row],[VALOR NETO ($COP)]]+D.sign_Data[[#This Row],[NEGOCIACIÓN ($COP)]]+D.sign_Data[[#This Row],[ICA ($COP)]]+D.sign_Data[[#This Row],[4 * 1000 ($COP)]]</f>
        <v>40357.190831207001</v>
      </c>
    </row>
    <row r="915" spans="1:33" ht="60" hidden="1" customHeight="1" x14ac:dyDescent="0.25">
      <c r="A915" s="14"/>
      <c r="B915" s="87" t="s">
        <v>418</v>
      </c>
      <c r="C915" s="182" t="s">
        <v>938</v>
      </c>
      <c r="D915" s="189" t="str">
        <f>VLOOKUP(D.sign_Data[[#This Row],[CÓDIGO]],Descripciones[[CÓDIGO]:[NOMBRE DE SERVICIO]],3,FALSE)</f>
        <v>D7. Select</v>
      </c>
      <c r="E915" s="87" t="s">
        <v>497</v>
      </c>
      <c r="F915" s="88" t="s">
        <v>930</v>
      </c>
      <c r="G915" s="88" t="s">
        <v>792</v>
      </c>
      <c r="H915" s="87" t="s">
        <v>500</v>
      </c>
      <c r="I915" s="89">
        <v>1</v>
      </c>
      <c r="J915" s="88" t="s">
        <v>933</v>
      </c>
      <c r="K915" s="102"/>
      <c r="L915" s="88" t="s">
        <v>798</v>
      </c>
      <c r="M915" s="89" t="s">
        <v>381</v>
      </c>
      <c r="N915" s="90">
        <v>0.5</v>
      </c>
      <c r="O915" s="27">
        <f>IFERROR(+VLOOKUP(M915,D.sign_Lista_Data[[RESPONSABLE]:[SOFTWARE 
VALOR HORA]],3,FALSE),"0")</f>
        <v>20263.424518743668</v>
      </c>
      <c r="P915" s="3">
        <f t="shared" si="32"/>
        <v>10131.712259371834</v>
      </c>
      <c r="Q915" s="11">
        <f>IFERROR(+VLOOKUP(M915,D.sign_Lista_Data[[RESPONSABLE]:[SOFTWARE 
VALOR HORA]],5,FALSE)*D.sign_Data[[#This Row],[TIEMPO (HORAS)]],0)</f>
        <v>2110.7733873691318</v>
      </c>
      <c r="R915" s="11">
        <f>IFERROR(+VLOOKUP(M915,D.sign_Lista_Data[[RESPONSABLE]:[SOFTWARE 
VALOR HORA]],8,FALSE)*D.sign_Data[[#This Row],[TIEMPO (HORAS)]],0)</f>
        <v>1705.4274435719917</v>
      </c>
      <c r="S915" s="99"/>
      <c r="T915" s="99"/>
      <c r="U915" s="3">
        <f t="shared" si="33"/>
        <v>13947.913090312959</v>
      </c>
      <c r="V915" s="100">
        <f>D.sign_Data[[#This Row],[TIEMPO (HORAS)]]*Gastos_Operativos[[#Totals],[GASTOS HORA]]</f>
        <v>13894.738536155201</v>
      </c>
      <c r="W915" s="3">
        <f>+D.sign_Data[[#This Row],[COSTO 
DIRECTO ($COP)]]+D.sign_Data[[#This Row],[PRORRATEO GASTOS ($COP)]]</f>
        <v>27842.65162646816</v>
      </c>
      <c r="X915" s="101">
        <v>0.1</v>
      </c>
      <c r="Y915" s="15">
        <f>+D.sign_Data[[#This Row],[COSTOS OPERACIONALES ($COP)]]*D.sign_Data[[#This Row],[DESFASE (%)]]</f>
        <v>2784.265162646816</v>
      </c>
      <c r="Z915" s="101">
        <v>0.2</v>
      </c>
      <c r="AA915" s="15">
        <f>+((D.sign_Data[[#This Row],[COSTOS OPERACIONALES ($COP)]]/(100%-D.sign_Data[[#This Row],[UTILIDAD (%)]])))-D.sign_Data[[#This Row],[COSTOS OPERACIONALES ($COP)]]</f>
        <v>6960.662906617039</v>
      </c>
      <c r="AB915" s="3">
        <f>+D.sign_Data[[#This Row],[COSTOS OPERACIONALES ($COP)]]+D.sign_Data[[#This Row],[DESFASE ($COP)]]+D.sign_Data[[#This Row],[UTILIDAD ($COP)]]</f>
        <v>37587.579695732013</v>
      </c>
      <c r="AC915" s="101">
        <v>0.05</v>
      </c>
      <c r="AD915" s="15">
        <f>+D.sign_Data[[#This Row],[VALOR NETO ($COP)]]/(100%-D.sign_Data[[#This Row],[MARGEN DE NEGOCIACIÓN (%)]])-D.sign_Data[[#This Row],[VALOR NETO ($COP)]]</f>
        <v>1978.2936681964202</v>
      </c>
      <c r="AE915" s="15">
        <f>+(D.sign_Data[[#This Row],[VALOR NETO ($COP)]]+D.sign_Data[[#This Row],[NEGOCIACIÓN ($COP)]])*1%</f>
        <v>395.65873363928432</v>
      </c>
      <c r="AF915" s="15">
        <f>+(D.sign_Data[[#This Row],[VALOR NETO ($COP)]]+D.sign_Data[[#This Row],[NEGOCIACIÓN ($COP)]])*1%</f>
        <v>395.65873363928432</v>
      </c>
      <c r="AG915" s="3">
        <f>+D.sign_Data[[#This Row],[VALOR NETO ($COP)]]+D.sign_Data[[#This Row],[NEGOCIACIÓN ($COP)]]+D.sign_Data[[#This Row],[ICA ($COP)]]+D.sign_Data[[#This Row],[4 * 1000 ($COP)]]</f>
        <v>40357.190831207001</v>
      </c>
    </row>
    <row r="916" spans="1:33" ht="60" hidden="1" customHeight="1" x14ac:dyDescent="0.25">
      <c r="A916" s="14"/>
      <c r="B916" s="87" t="s">
        <v>418</v>
      </c>
      <c r="C916" s="182" t="s">
        <v>938</v>
      </c>
      <c r="D916" s="189" t="str">
        <f>VLOOKUP(D.sign_Data[[#This Row],[CÓDIGO]],Descripciones[[CÓDIGO]:[NOMBRE DE SERVICIO]],3,FALSE)</f>
        <v>D7. Select</v>
      </c>
      <c r="E916" s="87" t="s">
        <v>497</v>
      </c>
      <c r="F916" s="88" t="s">
        <v>930</v>
      </c>
      <c r="G916" s="88" t="s">
        <v>792</v>
      </c>
      <c r="H916" s="87" t="s">
        <v>500</v>
      </c>
      <c r="I916" s="89">
        <v>1</v>
      </c>
      <c r="J916" s="88" t="s">
        <v>933</v>
      </c>
      <c r="K916" s="102"/>
      <c r="L916" s="88" t="s">
        <v>483</v>
      </c>
      <c r="M916" s="89" t="s">
        <v>381</v>
      </c>
      <c r="N916" s="90">
        <v>0.5</v>
      </c>
      <c r="O916" s="27">
        <f>IFERROR(+VLOOKUP(M916,D.sign_Lista_Data[[RESPONSABLE]:[SOFTWARE 
VALOR HORA]],3,FALSE),"0")</f>
        <v>20263.424518743668</v>
      </c>
      <c r="P916" s="3">
        <f t="shared" si="32"/>
        <v>10131.712259371834</v>
      </c>
      <c r="Q916" s="11">
        <f>IFERROR(+VLOOKUP(M916,D.sign_Lista_Data[[RESPONSABLE]:[SOFTWARE 
VALOR HORA]],5,FALSE)*D.sign_Data[[#This Row],[TIEMPO (HORAS)]],0)</f>
        <v>2110.7733873691318</v>
      </c>
      <c r="R916" s="11">
        <f>IFERROR(+VLOOKUP(M916,D.sign_Lista_Data[[RESPONSABLE]:[SOFTWARE 
VALOR HORA]],8,FALSE)*D.sign_Data[[#This Row],[TIEMPO (HORAS)]],0)</f>
        <v>1705.4274435719917</v>
      </c>
      <c r="S916" s="99"/>
      <c r="T916" s="99"/>
      <c r="U916" s="3">
        <f t="shared" si="33"/>
        <v>13947.913090312959</v>
      </c>
      <c r="V916" s="100">
        <f>D.sign_Data[[#This Row],[TIEMPO (HORAS)]]*Gastos_Operativos[[#Totals],[GASTOS HORA]]</f>
        <v>13894.738536155201</v>
      </c>
      <c r="W916" s="3">
        <f>+D.sign_Data[[#This Row],[COSTO 
DIRECTO ($COP)]]+D.sign_Data[[#This Row],[PRORRATEO GASTOS ($COP)]]</f>
        <v>27842.65162646816</v>
      </c>
      <c r="X916" s="101">
        <v>0.1</v>
      </c>
      <c r="Y916" s="15">
        <f>+D.sign_Data[[#This Row],[COSTOS OPERACIONALES ($COP)]]*D.sign_Data[[#This Row],[DESFASE (%)]]</f>
        <v>2784.265162646816</v>
      </c>
      <c r="Z916" s="101">
        <v>0.2</v>
      </c>
      <c r="AA916" s="15">
        <f>+((D.sign_Data[[#This Row],[COSTOS OPERACIONALES ($COP)]]/(100%-D.sign_Data[[#This Row],[UTILIDAD (%)]])))-D.sign_Data[[#This Row],[COSTOS OPERACIONALES ($COP)]]</f>
        <v>6960.662906617039</v>
      </c>
      <c r="AB916" s="3">
        <f>+D.sign_Data[[#This Row],[COSTOS OPERACIONALES ($COP)]]+D.sign_Data[[#This Row],[DESFASE ($COP)]]+D.sign_Data[[#This Row],[UTILIDAD ($COP)]]</f>
        <v>37587.579695732013</v>
      </c>
      <c r="AC916" s="101">
        <v>0.05</v>
      </c>
      <c r="AD916" s="15">
        <f>+D.sign_Data[[#This Row],[VALOR NETO ($COP)]]/(100%-D.sign_Data[[#This Row],[MARGEN DE NEGOCIACIÓN (%)]])-D.sign_Data[[#This Row],[VALOR NETO ($COP)]]</f>
        <v>1978.2936681964202</v>
      </c>
      <c r="AE916" s="15">
        <f>+(D.sign_Data[[#This Row],[VALOR NETO ($COP)]]+D.sign_Data[[#This Row],[NEGOCIACIÓN ($COP)]])*1%</f>
        <v>395.65873363928432</v>
      </c>
      <c r="AF916" s="15">
        <f>+(D.sign_Data[[#This Row],[VALOR NETO ($COP)]]+D.sign_Data[[#This Row],[NEGOCIACIÓN ($COP)]])*1%</f>
        <v>395.65873363928432</v>
      </c>
      <c r="AG916" s="3">
        <f>+D.sign_Data[[#This Row],[VALOR NETO ($COP)]]+D.sign_Data[[#This Row],[NEGOCIACIÓN ($COP)]]+D.sign_Data[[#This Row],[ICA ($COP)]]+D.sign_Data[[#This Row],[4 * 1000 ($COP)]]</f>
        <v>40357.190831207001</v>
      </c>
    </row>
    <row r="917" spans="1:33" ht="60" hidden="1" customHeight="1" x14ac:dyDescent="0.25">
      <c r="A917" s="14"/>
      <c r="B917" s="87" t="s">
        <v>418</v>
      </c>
      <c r="C917" s="182" t="s">
        <v>938</v>
      </c>
      <c r="D917" s="189" t="str">
        <f>VLOOKUP(D.sign_Data[[#This Row],[CÓDIGO]],Descripciones[[CÓDIGO]:[NOMBRE DE SERVICIO]],3,FALSE)</f>
        <v>D7. Select</v>
      </c>
      <c r="E917" s="87" t="s">
        <v>497</v>
      </c>
      <c r="F917" s="88" t="s">
        <v>930</v>
      </c>
      <c r="G917" s="88" t="s">
        <v>792</v>
      </c>
      <c r="H917" s="87" t="s">
        <v>500</v>
      </c>
      <c r="I917" s="89">
        <v>1</v>
      </c>
      <c r="J917" s="88" t="s">
        <v>933</v>
      </c>
      <c r="K917" s="102"/>
      <c r="L917" s="88" t="s">
        <v>474</v>
      </c>
      <c r="M917" s="89" t="s">
        <v>381</v>
      </c>
      <c r="N917" s="90">
        <v>0.1</v>
      </c>
      <c r="O917" s="27">
        <f>IFERROR(+VLOOKUP(M917,D.sign_Lista_Data[[RESPONSABLE]:[SOFTWARE 
VALOR HORA]],3,FALSE),"0")</f>
        <v>20263.424518743668</v>
      </c>
      <c r="P917" s="3">
        <f t="shared" si="32"/>
        <v>2026.3424518743668</v>
      </c>
      <c r="Q917" s="11">
        <f>IFERROR(+VLOOKUP(M917,D.sign_Lista_Data[[RESPONSABLE]:[SOFTWARE 
VALOR HORA]],5,FALSE)*D.sign_Data[[#This Row],[TIEMPO (HORAS)]],0)</f>
        <v>422.15467747382638</v>
      </c>
      <c r="R917" s="11">
        <f>IFERROR(+VLOOKUP(M917,D.sign_Lista_Data[[RESPONSABLE]:[SOFTWARE 
VALOR HORA]],8,FALSE)*D.sign_Data[[#This Row],[TIEMPO (HORAS)]],0)</f>
        <v>341.08548871439837</v>
      </c>
      <c r="S917" s="99"/>
      <c r="T917" s="99"/>
      <c r="U917" s="3">
        <f t="shared" si="33"/>
        <v>2789.5826180625913</v>
      </c>
      <c r="V917" s="100">
        <f>D.sign_Data[[#This Row],[TIEMPO (HORAS)]]*Gastos_Operativos[[#Totals],[GASTOS HORA]]</f>
        <v>2778.9477072310401</v>
      </c>
      <c r="W917" s="3">
        <f>+D.sign_Data[[#This Row],[COSTO 
DIRECTO ($COP)]]+D.sign_Data[[#This Row],[PRORRATEO GASTOS ($COP)]]</f>
        <v>5568.5303252936319</v>
      </c>
      <c r="X917" s="101">
        <v>0.1</v>
      </c>
      <c r="Y917" s="15">
        <f>+D.sign_Data[[#This Row],[COSTOS OPERACIONALES ($COP)]]*D.sign_Data[[#This Row],[DESFASE (%)]]</f>
        <v>556.85303252936319</v>
      </c>
      <c r="Z917" s="101">
        <v>0.2</v>
      </c>
      <c r="AA917" s="15">
        <f>+((D.sign_Data[[#This Row],[COSTOS OPERACIONALES ($COP)]]/(100%-D.sign_Data[[#This Row],[UTILIDAD (%)]])))-D.sign_Data[[#This Row],[COSTOS OPERACIONALES ($COP)]]</f>
        <v>1392.132581323408</v>
      </c>
      <c r="AB917" s="3">
        <f>+D.sign_Data[[#This Row],[COSTOS OPERACIONALES ($COP)]]+D.sign_Data[[#This Row],[DESFASE ($COP)]]+D.sign_Data[[#This Row],[UTILIDAD ($COP)]]</f>
        <v>7517.5159391464031</v>
      </c>
      <c r="AC917" s="101">
        <v>0.05</v>
      </c>
      <c r="AD917" s="15">
        <f>+D.sign_Data[[#This Row],[VALOR NETO ($COP)]]/(100%-D.sign_Data[[#This Row],[MARGEN DE NEGOCIACIÓN (%)]])-D.sign_Data[[#This Row],[VALOR NETO ($COP)]]</f>
        <v>395.65873363928495</v>
      </c>
      <c r="AE917" s="15">
        <f>+(D.sign_Data[[#This Row],[VALOR NETO ($COP)]]+D.sign_Data[[#This Row],[NEGOCIACIÓN ($COP)]])*1%</f>
        <v>79.131746727856878</v>
      </c>
      <c r="AF917" s="15">
        <f>+(D.sign_Data[[#This Row],[VALOR NETO ($COP)]]+D.sign_Data[[#This Row],[NEGOCIACIÓN ($COP)]])*1%</f>
        <v>79.131746727856878</v>
      </c>
      <c r="AG917" s="3">
        <f>+D.sign_Data[[#This Row],[VALOR NETO ($COP)]]+D.sign_Data[[#This Row],[NEGOCIACIÓN ($COP)]]+D.sign_Data[[#This Row],[ICA ($COP)]]+D.sign_Data[[#This Row],[4 * 1000 ($COP)]]</f>
        <v>8071.4381662414016</v>
      </c>
    </row>
    <row r="918" spans="1:33" ht="60" hidden="1" customHeight="1" x14ac:dyDescent="0.25">
      <c r="A918" s="14"/>
      <c r="B918" s="87" t="s">
        <v>418</v>
      </c>
      <c r="C918" s="182" t="s">
        <v>938</v>
      </c>
      <c r="D918" s="189" t="str">
        <f>VLOOKUP(D.sign_Data[[#This Row],[CÓDIGO]],Descripciones[[CÓDIGO]:[NOMBRE DE SERVICIO]],3,FALSE)</f>
        <v>D7. Select</v>
      </c>
      <c r="E918" s="87" t="s">
        <v>497</v>
      </c>
      <c r="F918" s="88" t="s">
        <v>930</v>
      </c>
      <c r="G918" s="88" t="s">
        <v>792</v>
      </c>
      <c r="H918" s="87" t="s">
        <v>500</v>
      </c>
      <c r="I918" s="89">
        <v>1</v>
      </c>
      <c r="J918" s="88" t="s">
        <v>934</v>
      </c>
      <c r="K918" s="102"/>
      <c r="L918" s="88" t="s">
        <v>773</v>
      </c>
      <c r="M918" s="89" t="s">
        <v>381</v>
      </c>
      <c r="N918" s="90">
        <v>0.5</v>
      </c>
      <c r="O918" s="27">
        <f>IFERROR(+VLOOKUP(M918,D.sign_Lista_Data[[RESPONSABLE]:[SOFTWARE 
VALOR HORA]],3,FALSE),"0")</f>
        <v>20263.424518743668</v>
      </c>
      <c r="P918" s="3">
        <f t="shared" si="32"/>
        <v>10131.712259371834</v>
      </c>
      <c r="Q918" s="11">
        <f>IFERROR(+VLOOKUP(M918,D.sign_Lista_Data[[RESPONSABLE]:[SOFTWARE 
VALOR HORA]],5,FALSE)*D.sign_Data[[#This Row],[TIEMPO (HORAS)]],0)</f>
        <v>2110.7733873691318</v>
      </c>
      <c r="R918" s="11">
        <f>IFERROR(+VLOOKUP(M918,D.sign_Lista_Data[[RESPONSABLE]:[SOFTWARE 
VALOR HORA]],8,FALSE)*D.sign_Data[[#This Row],[TIEMPO (HORAS)]],0)</f>
        <v>1705.4274435719917</v>
      </c>
      <c r="S918" s="99"/>
      <c r="T918" s="99"/>
      <c r="U918" s="3">
        <f t="shared" si="33"/>
        <v>13947.913090312959</v>
      </c>
      <c r="V918" s="100">
        <f>D.sign_Data[[#This Row],[TIEMPO (HORAS)]]*Gastos_Operativos[[#Totals],[GASTOS HORA]]</f>
        <v>13894.738536155201</v>
      </c>
      <c r="W918" s="3">
        <f>+D.sign_Data[[#This Row],[COSTO 
DIRECTO ($COP)]]+D.sign_Data[[#This Row],[PRORRATEO GASTOS ($COP)]]</f>
        <v>27842.65162646816</v>
      </c>
      <c r="X918" s="101">
        <v>0.1</v>
      </c>
      <c r="Y918" s="15">
        <f>+D.sign_Data[[#This Row],[COSTOS OPERACIONALES ($COP)]]*D.sign_Data[[#This Row],[DESFASE (%)]]</f>
        <v>2784.265162646816</v>
      </c>
      <c r="Z918" s="101">
        <v>0.2</v>
      </c>
      <c r="AA918" s="15">
        <f>+((D.sign_Data[[#This Row],[COSTOS OPERACIONALES ($COP)]]/(100%-D.sign_Data[[#This Row],[UTILIDAD (%)]])))-D.sign_Data[[#This Row],[COSTOS OPERACIONALES ($COP)]]</f>
        <v>6960.662906617039</v>
      </c>
      <c r="AB918" s="3">
        <f>+D.sign_Data[[#This Row],[COSTOS OPERACIONALES ($COP)]]+D.sign_Data[[#This Row],[DESFASE ($COP)]]+D.sign_Data[[#This Row],[UTILIDAD ($COP)]]</f>
        <v>37587.579695732013</v>
      </c>
      <c r="AC918" s="101">
        <v>0.05</v>
      </c>
      <c r="AD918" s="15">
        <f>+D.sign_Data[[#This Row],[VALOR NETO ($COP)]]/(100%-D.sign_Data[[#This Row],[MARGEN DE NEGOCIACIÓN (%)]])-D.sign_Data[[#This Row],[VALOR NETO ($COP)]]</f>
        <v>1978.2936681964202</v>
      </c>
      <c r="AE918" s="15">
        <f>+(D.sign_Data[[#This Row],[VALOR NETO ($COP)]]+D.sign_Data[[#This Row],[NEGOCIACIÓN ($COP)]])*1%</f>
        <v>395.65873363928432</v>
      </c>
      <c r="AF918" s="15">
        <f>+(D.sign_Data[[#This Row],[VALOR NETO ($COP)]]+D.sign_Data[[#This Row],[NEGOCIACIÓN ($COP)]])*1%</f>
        <v>395.65873363928432</v>
      </c>
      <c r="AG918" s="3">
        <f>+D.sign_Data[[#This Row],[VALOR NETO ($COP)]]+D.sign_Data[[#This Row],[NEGOCIACIÓN ($COP)]]+D.sign_Data[[#This Row],[ICA ($COP)]]+D.sign_Data[[#This Row],[4 * 1000 ($COP)]]</f>
        <v>40357.190831207001</v>
      </c>
    </row>
    <row r="919" spans="1:33" ht="60" hidden="1" customHeight="1" x14ac:dyDescent="0.25">
      <c r="A919" s="14"/>
      <c r="B919" s="87" t="s">
        <v>418</v>
      </c>
      <c r="C919" s="182" t="s">
        <v>938</v>
      </c>
      <c r="D919" s="189" t="str">
        <f>VLOOKUP(D.sign_Data[[#This Row],[CÓDIGO]],Descripciones[[CÓDIGO]:[NOMBRE DE SERVICIO]],3,FALSE)</f>
        <v>D7. Select</v>
      </c>
      <c r="E919" s="87" t="s">
        <v>497</v>
      </c>
      <c r="F919" s="88" t="s">
        <v>930</v>
      </c>
      <c r="G919" s="88" t="s">
        <v>792</v>
      </c>
      <c r="H919" s="87" t="s">
        <v>500</v>
      </c>
      <c r="I919" s="89">
        <v>1</v>
      </c>
      <c r="J919" s="88" t="s">
        <v>934</v>
      </c>
      <c r="K919" s="102"/>
      <c r="L919" s="88" t="s">
        <v>774</v>
      </c>
      <c r="M919" s="89" t="s">
        <v>381</v>
      </c>
      <c r="N919" s="90">
        <v>0.5</v>
      </c>
      <c r="O919" s="27">
        <f>IFERROR(+VLOOKUP(M919,D.sign_Lista_Data[[RESPONSABLE]:[SOFTWARE 
VALOR HORA]],3,FALSE),"0")</f>
        <v>20263.424518743668</v>
      </c>
      <c r="P919" s="3">
        <f t="shared" si="32"/>
        <v>10131.712259371834</v>
      </c>
      <c r="Q919" s="11">
        <f>IFERROR(+VLOOKUP(M919,D.sign_Lista_Data[[RESPONSABLE]:[SOFTWARE 
VALOR HORA]],5,FALSE)*D.sign_Data[[#This Row],[TIEMPO (HORAS)]],0)</f>
        <v>2110.7733873691318</v>
      </c>
      <c r="R919" s="11">
        <f>IFERROR(+VLOOKUP(M919,D.sign_Lista_Data[[RESPONSABLE]:[SOFTWARE 
VALOR HORA]],8,FALSE)*D.sign_Data[[#This Row],[TIEMPO (HORAS)]],0)</f>
        <v>1705.4274435719917</v>
      </c>
      <c r="S919" s="99"/>
      <c r="T919" s="99"/>
      <c r="U919" s="3">
        <f t="shared" si="33"/>
        <v>13947.913090312959</v>
      </c>
      <c r="V919" s="100">
        <f>D.sign_Data[[#This Row],[TIEMPO (HORAS)]]*Gastos_Operativos[[#Totals],[GASTOS HORA]]</f>
        <v>13894.738536155201</v>
      </c>
      <c r="W919" s="3">
        <f>+D.sign_Data[[#This Row],[COSTO 
DIRECTO ($COP)]]+D.sign_Data[[#This Row],[PRORRATEO GASTOS ($COP)]]</f>
        <v>27842.65162646816</v>
      </c>
      <c r="X919" s="101">
        <v>0.1</v>
      </c>
      <c r="Y919" s="15">
        <f>+D.sign_Data[[#This Row],[COSTOS OPERACIONALES ($COP)]]*D.sign_Data[[#This Row],[DESFASE (%)]]</f>
        <v>2784.265162646816</v>
      </c>
      <c r="Z919" s="101">
        <v>0.2</v>
      </c>
      <c r="AA919" s="15">
        <f>+((D.sign_Data[[#This Row],[COSTOS OPERACIONALES ($COP)]]/(100%-D.sign_Data[[#This Row],[UTILIDAD (%)]])))-D.sign_Data[[#This Row],[COSTOS OPERACIONALES ($COP)]]</f>
        <v>6960.662906617039</v>
      </c>
      <c r="AB919" s="3">
        <f>+D.sign_Data[[#This Row],[COSTOS OPERACIONALES ($COP)]]+D.sign_Data[[#This Row],[DESFASE ($COP)]]+D.sign_Data[[#This Row],[UTILIDAD ($COP)]]</f>
        <v>37587.579695732013</v>
      </c>
      <c r="AC919" s="101">
        <v>0.05</v>
      </c>
      <c r="AD919" s="15">
        <f>+D.sign_Data[[#This Row],[VALOR NETO ($COP)]]/(100%-D.sign_Data[[#This Row],[MARGEN DE NEGOCIACIÓN (%)]])-D.sign_Data[[#This Row],[VALOR NETO ($COP)]]</f>
        <v>1978.2936681964202</v>
      </c>
      <c r="AE919" s="15">
        <f>+(D.sign_Data[[#This Row],[VALOR NETO ($COP)]]+D.sign_Data[[#This Row],[NEGOCIACIÓN ($COP)]])*1%</f>
        <v>395.65873363928432</v>
      </c>
      <c r="AF919" s="15">
        <f>+(D.sign_Data[[#This Row],[VALOR NETO ($COP)]]+D.sign_Data[[#This Row],[NEGOCIACIÓN ($COP)]])*1%</f>
        <v>395.65873363928432</v>
      </c>
      <c r="AG919" s="3">
        <f>+D.sign_Data[[#This Row],[VALOR NETO ($COP)]]+D.sign_Data[[#This Row],[NEGOCIACIÓN ($COP)]]+D.sign_Data[[#This Row],[ICA ($COP)]]+D.sign_Data[[#This Row],[4 * 1000 ($COP)]]</f>
        <v>40357.190831207001</v>
      </c>
    </row>
    <row r="920" spans="1:33" ht="60" hidden="1" customHeight="1" x14ac:dyDescent="0.25">
      <c r="A920" s="14"/>
      <c r="B920" s="87" t="s">
        <v>418</v>
      </c>
      <c r="C920" s="182" t="s">
        <v>938</v>
      </c>
      <c r="D920" s="189" t="str">
        <f>VLOOKUP(D.sign_Data[[#This Row],[CÓDIGO]],Descripciones[[CÓDIGO]:[NOMBRE DE SERVICIO]],3,FALSE)</f>
        <v>D7. Select</v>
      </c>
      <c r="E920" s="87" t="s">
        <v>497</v>
      </c>
      <c r="F920" s="88" t="s">
        <v>930</v>
      </c>
      <c r="G920" s="88" t="s">
        <v>792</v>
      </c>
      <c r="H920" s="87" t="s">
        <v>500</v>
      </c>
      <c r="I920" s="89">
        <v>1</v>
      </c>
      <c r="J920" s="88" t="s">
        <v>934</v>
      </c>
      <c r="K920" s="102"/>
      <c r="L920" s="88" t="s">
        <v>476</v>
      </c>
      <c r="M920" s="89" t="s">
        <v>381</v>
      </c>
      <c r="N920" s="90">
        <v>0.5</v>
      </c>
      <c r="O920" s="27">
        <f>IFERROR(+VLOOKUP(M920,D.sign_Lista_Data[[RESPONSABLE]:[SOFTWARE 
VALOR HORA]],3,FALSE),"0")</f>
        <v>20263.424518743668</v>
      </c>
      <c r="P920" s="3">
        <f t="shared" si="32"/>
        <v>10131.712259371834</v>
      </c>
      <c r="Q920" s="11">
        <f>IFERROR(+VLOOKUP(M920,D.sign_Lista_Data[[RESPONSABLE]:[SOFTWARE 
VALOR HORA]],5,FALSE)*D.sign_Data[[#This Row],[TIEMPO (HORAS)]],0)</f>
        <v>2110.7733873691318</v>
      </c>
      <c r="R920" s="11">
        <f>IFERROR(+VLOOKUP(M920,D.sign_Lista_Data[[RESPONSABLE]:[SOFTWARE 
VALOR HORA]],8,FALSE)*D.sign_Data[[#This Row],[TIEMPO (HORAS)]],0)</f>
        <v>1705.4274435719917</v>
      </c>
      <c r="S920" s="99"/>
      <c r="T920" s="99"/>
      <c r="U920" s="3">
        <f t="shared" si="33"/>
        <v>13947.913090312959</v>
      </c>
      <c r="V920" s="100">
        <f>D.sign_Data[[#This Row],[TIEMPO (HORAS)]]*Gastos_Operativos[[#Totals],[GASTOS HORA]]</f>
        <v>13894.738536155201</v>
      </c>
      <c r="W920" s="3">
        <f>+D.sign_Data[[#This Row],[COSTO 
DIRECTO ($COP)]]+D.sign_Data[[#This Row],[PRORRATEO GASTOS ($COP)]]</f>
        <v>27842.65162646816</v>
      </c>
      <c r="X920" s="101">
        <v>0.1</v>
      </c>
      <c r="Y920" s="15">
        <f>+D.sign_Data[[#This Row],[COSTOS OPERACIONALES ($COP)]]*D.sign_Data[[#This Row],[DESFASE (%)]]</f>
        <v>2784.265162646816</v>
      </c>
      <c r="Z920" s="101">
        <v>0.2</v>
      </c>
      <c r="AA920" s="15">
        <f>+((D.sign_Data[[#This Row],[COSTOS OPERACIONALES ($COP)]]/(100%-D.sign_Data[[#This Row],[UTILIDAD (%)]])))-D.sign_Data[[#This Row],[COSTOS OPERACIONALES ($COP)]]</f>
        <v>6960.662906617039</v>
      </c>
      <c r="AB920" s="3">
        <f>+D.sign_Data[[#This Row],[COSTOS OPERACIONALES ($COP)]]+D.sign_Data[[#This Row],[DESFASE ($COP)]]+D.sign_Data[[#This Row],[UTILIDAD ($COP)]]</f>
        <v>37587.579695732013</v>
      </c>
      <c r="AC920" s="101">
        <v>0.05</v>
      </c>
      <c r="AD920" s="15">
        <f>+D.sign_Data[[#This Row],[VALOR NETO ($COP)]]/(100%-D.sign_Data[[#This Row],[MARGEN DE NEGOCIACIÓN (%)]])-D.sign_Data[[#This Row],[VALOR NETO ($COP)]]</f>
        <v>1978.2936681964202</v>
      </c>
      <c r="AE920" s="15">
        <f>+(D.sign_Data[[#This Row],[VALOR NETO ($COP)]]+D.sign_Data[[#This Row],[NEGOCIACIÓN ($COP)]])*1%</f>
        <v>395.65873363928432</v>
      </c>
      <c r="AF920" s="15">
        <f>+(D.sign_Data[[#This Row],[VALOR NETO ($COP)]]+D.sign_Data[[#This Row],[NEGOCIACIÓN ($COP)]])*1%</f>
        <v>395.65873363928432</v>
      </c>
      <c r="AG920" s="3">
        <f>+D.sign_Data[[#This Row],[VALOR NETO ($COP)]]+D.sign_Data[[#This Row],[NEGOCIACIÓN ($COP)]]+D.sign_Data[[#This Row],[ICA ($COP)]]+D.sign_Data[[#This Row],[4 * 1000 ($COP)]]</f>
        <v>40357.190831207001</v>
      </c>
    </row>
    <row r="921" spans="1:33" ht="60" hidden="1" customHeight="1" x14ac:dyDescent="0.25">
      <c r="A921" s="14"/>
      <c r="B921" s="87" t="s">
        <v>418</v>
      </c>
      <c r="C921" s="182" t="s">
        <v>938</v>
      </c>
      <c r="D921" s="189" t="str">
        <f>VLOOKUP(D.sign_Data[[#This Row],[CÓDIGO]],Descripciones[[CÓDIGO]:[NOMBRE DE SERVICIO]],3,FALSE)</f>
        <v>D7. Select</v>
      </c>
      <c r="E921" s="87" t="s">
        <v>497</v>
      </c>
      <c r="F921" s="88" t="s">
        <v>930</v>
      </c>
      <c r="G921" s="88" t="s">
        <v>792</v>
      </c>
      <c r="H921" s="87" t="s">
        <v>500</v>
      </c>
      <c r="I921" s="89">
        <v>1</v>
      </c>
      <c r="J921" s="88" t="s">
        <v>934</v>
      </c>
      <c r="K921" s="102"/>
      <c r="L921" s="88" t="s">
        <v>775</v>
      </c>
      <c r="M921" s="89" t="s">
        <v>381</v>
      </c>
      <c r="N921" s="90">
        <v>1</v>
      </c>
      <c r="O921" s="27">
        <f>IFERROR(+VLOOKUP(M921,D.sign_Lista_Data[[RESPONSABLE]:[SOFTWARE 
VALOR HORA]],3,FALSE),"0")</f>
        <v>20263.424518743668</v>
      </c>
      <c r="P921" s="3">
        <f t="shared" si="32"/>
        <v>20263.424518743668</v>
      </c>
      <c r="Q921" s="11">
        <f>IFERROR(+VLOOKUP(M921,D.sign_Lista_Data[[RESPONSABLE]:[SOFTWARE 
VALOR HORA]],5,FALSE)*D.sign_Data[[#This Row],[TIEMPO (HORAS)]],0)</f>
        <v>4221.5467747382636</v>
      </c>
      <c r="R921" s="11">
        <f>IFERROR(+VLOOKUP(M921,D.sign_Lista_Data[[RESPONSABLE]:[SOFTWARE 
VALOR HORA]],8,FALSE)*D.sign_Data[[#This Row],[TIEMPO (HORAS)]],0)</f>
        <v>3410.8548871439834</v>
      </c>
      <c r="S921" s="99"/>
      <c r="T921" s="99"/>
      <c r="U921" s="3">
        <f t="shared" si="33"/>
        <v>27895.826180625918</v>
      </c>
      <c r="V921" s="100">
        <f>D.sign_Data[[#This Row],[TIEMPO (HORAS)]]*Gastos_Operativos[[#Totals],[GASTOS HORA]]</f>
        <v>27789.477072310401</v>
      </c>
      <c r="W921" s="3">
        <f>+D.sign_Data[[#This Row],[COSTO 
DIRECTO ($COP)]]+D.sign_Data[[#This Row],[PRORRATEO GASTOS ($COP)]]</f>
        <v>55685.303252936319</v>
      </c>
      <c r="X921" s="101">
        <v>0.1</v>
      </c>
      <c r="Y921" s="15">
        <f>+D.sign_Data[[#This Row],[COSTOS OPERACIONALES ($COP)]]*D.sign_Data[[#This Row],[DESFASE (%)]]</f>
        <v>5568.5303252936319</v>
      </c>
      <c r="Z921" s="101">
        <v>0.2</v>
      </c>
      <c r="AA921" s="15">
        <f>+((D.sign_Data[[#This Row],[COSTOS OPERACIONALES ($COP)]]/(100%-D.sign_Data[[#This Row],[UTILIDAD (%)]])))-D.sign_Data[[#This Row],[COSTOS OPERACIONALES ($COP)]]</f>
        <v>13921.325813234078</v>
      </c>
      <c r="AB921" s="3">
        <f>+D.sign_Data[[#This Row],[COSTOS OPERACIONALES ($COP)]]+D.sign_Data[[#This Row],[DESFASE ($COP)]]+D.sign_Data[[#This Row],[UTILIDAD ($COP)]]</f>
        <v>75175.159391464025</v>
      </c>
      <c r="AC921" s="101">
        <v>0.05</v>
      </c>
      <c r="AD921" s="15">
        <f>+D.sign_Data[[#This Row],[VALOR NETO ($COP)]]/(100%-D.sign_Data[[#This Row],[MARGEN DE NEGOCIACIÓN (%)]])-D.sign_Data[[#This Row],[VALOR NETO ($COP)]]</f>
        <v>3956.5873363928404</v>
      </c>
      <c r="AE921" s="15">
        <f>+(D.sign_Data[[#This Row],[VALOR NETO ($COP)]]+D.sign_Data[[#This Row],[NEGOCIACIÓN ($COP)]])*1%</f>
        <v>791.31746727856864</v>
      </c>
      <c r="AF921" s="15">
        <f>+(D.sign_Data[[#This Row],[VALOR NETO ($COP)]]+D.sign_Data[[#This Row],[NEGOCIACIÓN ($COP)]])*1%</f>
        <v>791.31746727856864</v>
      </c>
      <c r="AG921" s="3">
        <f>+D.sign_Data[[#This Row],[VALOR NETO ($COP)]]+D.sign_Data[[#This Row],[NEGOCIACIÓN ($COP)]]+D.sign_Data[[#This Row],[ICA ($COP)]]+D.sign_Data[[#This Row],[4 * 1000 ($COP)]]</f>
        <v>80714.381662414002</v>
      </c>
    </row>
    <row r="922" spans="1:33" ht="60" hidden="1" customHeight="1" x14ac:dyDescent="0.25">
      <c r="A922" s="14"/>
      <c r="B922" s="87" t="s">
        <v>418</v>
      </c>
      <c r="C922" s="182" t="s">
        <v>938</v>
      </c>
      <c r="D922" s="189" t="str">
        <f>VLOOKUP(D.sign_Data[[#This Row],[CÓDIGO]],Descripciones[[CÓDIGO]:[NOMBRE DE SERVICIO]],3,FALSE)</f>
        <v>D7. Select</v>
      </c>
      <c r="E922" s="87" t="s">
        <v>497</v>
      </c>
      <c r="F922" s="88" t="s">
        <v>930</v>
      </c>
      <c r="G922" s="88" t="s">
        <v>792</v>
      </c>
      <c r="H922" s="87" t="s">
        <v>500</v>
      </c>
      <c r="I922" s="89">
        <v>1</v>
      </c>
      <c r="J922" s="88" t="s">
        <v>934</v>
      </c>
      <c r="K922" s="102"/>
      <c r="L922" s="88" t="s">
        <v>624</v>
      </c>
      <c r="M922" s="89" t="s">
        <v>381</v>
      </c>
      <c r="N922" s="90">
        <v>1.5</v>
      </c>
      <c r="O922" s="27">
        <f>IFERROR(+VLOOKUP(M922,D.sign_Lista_Data[[RESPONSABLE]:[SOFTWARE 
VALOR HORA]],3,FALSE),"0")</f>
        <v>20263.424518743668</v>
      </c>
      <c r="P922" s="3">
        <f t="shared" si="32"/>
        <v>30395.136778115502</v>
      </c>
      <c r="Q922" s="11">
        <f>IFERROR(+VLOOKUP(M922,D.sign_Lista_Data[[RESPONSABLE]:[SOFTWARE 
VALOR HORA]],5,FALSE)*D.sign_Data[[#This Row],[TIEMPO (HORAS)]],0)</f>
        <v>6332.3201621073949</v>
      </c>
      <c r="R922" s="11">
        <f>IFERROR(+VLOOKUP(M922,D.sign_Lista_Data[[RESPONSABLE]:[SOFTWARE 
VALOR HORA]],8,FALSE)*D.sign_Data[[#This Row],[TIEMPO (HORAS)]],0)</f>
        <v>5116.2823307159751</v>
      </c>
      <c r="S922" s="99"/>
      <c r="T922" s="99"/>
      <c r="U922" s="3">
        <f t="shared" si="33"/>
        <v>41843.739270938873</v>
      </c>
      <c r="V922" s="100">
        <f>D.sign_Data[[#This Row],[TIEMPO (HORAS)]]*Gastos_Operativos[[#Totals],[GASTOS HORA]]</f>
        <v>41684.215608465602</v>
      </c>
      <c r="W922" s="3">
        <f>+D.sign_Data[[#This Row],[COSTO 
DIRECTO ($COP)]]+D.sign_Data[[#This Row],[PRORRATEO GASTOS ($COP)]]</f>
        <v>83527.954879404482</v>
      </c>
      <c r="X922" s="101">
        <v>0.1</v>
      </c>
      <c r="Y922" s="15">
        <f>+D.sign_Data[[#This Row],[COSTOS OPERACIONALES ($COP)]]*D.sign_Data[[#This Row],[DESFASE (%)]]</f>
        <v>8352.7954879404479</v>
      </c>
      <c r="Z922" s="101">
        <v>0.2</v>
      </c>
      <c r="AA922" s="15">
        <f>+((D.sign_Data[[#This Row],[COSTOS OPERACIONALES ($COP)]]/(100%-D.sign_Data[[#This Row],[UTILIDAD (%)]])))-D.sign_Data[[#This Row],[COSTOS OPERACIONALES ($COP)]]</f>
        <v>20881.988719851113</v>
      </c>
      <c r="AB922" s="3">
        <f>+D.sign_Data[[#This Row],[COSTOS OPERACIONALES ($COP)]]+D.sign_Data[[#This Row],[DESFASE ($COP)]]+D.sign_Data[[#This Row],[UTILIDAD ($COP)]]</f>
        <v>112762.73908719604</v>
      </c>
      <c r="AC922" s="101">
        <v>0.05</v>
      </c>
      <c r="AD922" s="15">
        <f>+D.sign_Data[[#This Row],[VALOR NETO ($COP)]]/(100%-D.sign_Data[[#This Row],[MARGEN DE NEGOCIACIÓN (%)]])-D.sign_Data[[#This Row],[VALOR NETO ($COP)]]</f>
        <v>5934.8810045892751</v>
      </c>
      <c r="AE922" s="15">
        <f>+(D.sign_Data[[#This Row],[VALOR NETO ($COP)]]+D.sign_Data[[#This Row],[NEGOCIACIÓN ($COP)]])*1%</f>
        <v>1186.9762009178532</v>
      </c>
      <c r="AF922" s="15">
        <f>+(D.sign_Data[[#This Row],[VALOR NETO ($COP)]]+D.sign_Data[[#This Row],[NEGOCIACIÓN ($COP)]])*1%</f>
        <v>1186.9762009178532</v>
      </c>
      <c r="AG922" s="3">
        <f>+D.sign_Data[[#This Row],[VALOR NETO ($COP)]]+D.sign_Data[[#This Row],[NEGOCIACIÓN ($COP)]]+D.sign_Data[[#This Row],[ICA ($COP)]]+D.sign_Data[[#This Row],[4 * 1000 ($COP)]]</f>
        <v>121071.57249362102</v>
      </c>
    </row>
    <row r="923" spans="1:33" ht="60" hidden="1" customHeight="1" x14ac:dyDescent="0.25">
      <c r="A923" s="14"/>
      <c r="B923" s="87" t="s">
        <v>418</v>
      </c>
      <c r="C923" s="182" t="s">
        <v>938</v>
      </c>
      <c r="D923" s="189" t="str">
        <f>VLOOKUP(D.sign_Data[[#This Row],[CÓDIGO]],Descripciones[[CÓDIGO]:[NOMBRE DE SERVICIO]],3,FALSE)</f>
        <v>D7. Select</v>
      </c>
      <c r="E923" s="87" t="s">
        <v>497</v>
      </c>
      <c r="F923" s="88" t="s">
        <v>930</v>
      </c>
      <c r="G923" s="88" t="s">
        <v>792</v>
      </c>
      <c r="H923" s="87" t="s">
        <v>500</v>
      </c>
      <c r="I923" s="89">
        <v>1</v>
      </c>
      <c r="J923" s="88" t="s">
        <v>934</v>
      </c>
      <c r="K923" s="102"/>
      <c r="L923" s="88" t="s">
        <v>771</v>
      </c>
      <c r="M923" s="89" t="s">
        <v>381</v>
      </c>
      <c r="N923" s="90">
        <v>1</v>
      </c>
      <c r="O923" s="27">
        <f>IFERROR(+VLOOKUP(M923,D.sign_Lista_Data[[RESPONSABLE]:[SOFTWARE 
VALOR HORA]],3,FALSE),"0")</f>
        <v>20263.424518743668</v>
      </c>
      <c r="P923" s="3">
        <f t="shared" si="32"/>
        <v>20263.424518743668</v>
      </c>
      <c r="Q923" s="11">
        <f>IFERROR(+VLOOKUP(M923,D.sign_Lista_Data[[RESPONSABLE]:[SOFTWARE 
VALOR HORA]],5,FALSE)*D.sign_Data[[#This Row],[TIEMPO (HORAS)]],0)</f>
        <v>4221.5467747382636</v>
      </c>
      <c r="R923" s="11">
        <f>IFERROR(+VLOOKUP(M923,D.sign_Lista_Data[[RESPONSABLE]:[SOFTWARE 
VALOR HORA]],8,FALSE)*D.sign_Data[[#This Row],[TIEMPO (HORAS)]],0)</f>
        <v>3410.8548871439834</v>
      </c>
      <c r="S923" s="99"/>
      <c r="T923" s="99"/>
      <c r="U923" s="3">
        <f t="shared" si="33"/>
        <v>27895.826180625918</v>
      </c>
      <c r="V923" s="100">
        <f>D.sign_Data[[#This Row],[TIEMPO (HORAS)]]*Gastos_Operativos[[#Totals],[GASTOS HORA]]</f>
        <v>27789.477072310401</v>
      </c>
      <c r="W923" s="3">
        <f>+D.sign_Data[[#This Row],[COSTO 
DIRECTO ($COP)]]+D.sign_Data[[#This Row],[PRORRATEO GASTOS ($COP)]]</f>
        <v>55685.303252936319</v>
      </c>
      <c r="X923" s="101">
        <v>0.1</v>
      </c>
      <c r="Y923" s="15">
        <f>+D.sign_Data[[#This Row],[COSTOS OPERACIONALES ($COP)]]*D.sign_Data[[#This Row],[DESFASE (%)]]</f>
        <v>5568.5303252936319</v>
      </c>
      <c r="Z923" s="101">
        <v>0.2</v>
      </c>
      <c r="AA923" s="15">
        <f>+((D.sign_Data[[#This Row],[COSTOS OPERACIONALES ($COP)]]/(100%-D.sign_Data[[#This Row],[UTILIDAD (%)]])))-D.sign_Data[[#This Row],[COSTOS OPERACIONALES ($COP)]]</f>
        <v>13921.325813234078</v>
      </c>
      <c r="AB923" s="3">
        <f>+D.sign_Data[[#This Row],[COSTOS OPERACIONALES ($COP)]]+D.sign_Data[[#This Row],[DESFASE ($COP)]]+D.sign_Data[[#This Row],[UTILIDAD ($COP)]]</f>
        <v>75175.159391464025</v>
      </c>
      <c r="AC923" s="101">
        <v>0.05</v>
      </c>
      <c r="AD923" s="15">
        <f>+D.sign_Data[[#This Row],[VALOR NETO ($COP)]]/(100%-D.sign_Data[[#This Row],[MARGEN DE NEGOCIACIÓN (%)]])-D.sign_Data[[#This Row],[VALOR NETO ($COP)]]</f>
        <v>3956.5873363928404</v>
      </c>
      <c r="AE923" s="15">
        <f>+(D.sign_Data[[#This Row],[VALOR NETO ($COP)]]+D.sign_Data[[#This Row],[NEGOCIACIÓN ($COP)]])*1%</f>
        <v>791.31746727856864</v>
      </c>
      <c r="AF923" s="15">
        <f>+(D.sign_Data[[#This Row],[VALOR NETO ($COP)]]+D.sign_Data[[#This Row],[NEGOCIACIÓN ($COP)]])*1%</f>
        <v>791.31746727856864</v>
      </c>
      <c r="AG923" s="3">
        <f>+D.sign_Data[[#This Row],[VALOR NETO ($COP)]]+D.sign_Data[[#This Row],[NEGOCIACIÓN ($COP)]]+D.sign_Data[[#This Row],[ICA ($COP)]]+D.sign_Data[[#This Row],[4 * 1000 ($COP)]]</f>
        <v>80714.381662414002</v>
      </c>
    </row>
    <row r="924" spans="1:33" ht="60" hidden="1" customHeight="1" x14ac:dyDescent="0.25">
      <c r="A924" s="14"/>
      <c r="B924" s="87" t="s">
        <v>418</v>
      </c>
      <c r="C924" s="182" t="s">
        <v>938</v>
      </c>
      <c r="D924" s="189" t="str">
        <f>VLOOKUP(D.sign_Data[[#This Row],[CÓDIGO]],Descripciones[[CÓDIGO]:[NOMBRE DE SERVICIO]],3,FALSE)</f>
        <v>D7. Select</v>
      </c>
      <c r="E924" s="87" t="s">
        <v>497</v>
      </c>
      <c r="F924" s="88" t="s">
        <v>930</v>
      </c>
      <c r="G924" s="88" t="s">
        <v>792</v>
      </c>
      <c r="H924" s="87" t="s">
        <v>500</v>
      </c>
      <c r="I924" s="89">
        <v>1</v>
      </c>
      <c r="J924" s="88" t="s">
        <v>934</v>
      </c>
      <c r="K924" s="102"/>
      <c r="L924" s="88" t="s">
        <v>483</v>
      </c>
      <c r="M924" s="89" t="s">
        <v>381</v>
      </c>
      <c r="N924" s="90">
        <v>0.5</v>
      </c>
      <c r="O924" s="27">
        <f>IFERROR(+VLOOKUP(M924,D.sign_Lista_Data[[RESPONSABLE]:[SOFTWARE 
VALOR HORA]],3,FALSE),"0")</f>
        <v>20263.424518743668</v>
      </c>
      <c r="P924" s="3">
        <f t="shared" si="32"/>
        <v>10131.712259371834</v>
      </c>
      <c r="Q924" s="11">
        <f>IFERROR(+VLOOKUP(M924,D.sign_Lista_Data[[RESPONSABLE]:[SOFTWARE 
VALOR HORA]],5,FALSE)*D.sign_Data[[#This Row],[TIEMPO (HORAS)]],0)</f>
        <v>2110.7733873691318</v>
      </c>
      <c r="R924" s="11">
        <f>IFERROR(+VLOOKUP(M924,D.sign_Lista_Data[[RESPONSABLE]:[SOFTWARE 
VALOR HORA]],8,FALSE)*D.sign_Data[[#This Row],[TIEMPO (HORAS)]],0)</f>
        <v>1705.4274435719917</v>
      </c>
      <c r="S924" s="99"/>
      <c r="T924" s="99"/>
      <c r="U924" s="3">
        <f t="shared" si="33"/>
        <v>13947.913090312959</v>
      </c>
      <c r="V924" s="100">
        <f>D.sign_Data[[#This Row],[TIEMPO (HORAS)]]*Gastos_Operativos[[#Totals],[GASTOS HORA]]</f>
        <v>13894.738536155201</v>
      </c>
      <c r="W924" s="3">
        <f>+D.sign_Data[[#This Row],[COSTO 
DIRECTO ($COP)]]+D.sign_Data[[#This Row],[PRORRATEO GASTOS ($COP)]]</f>
        <v>27842.65162646816</v>
      </c>
      <c r="X924" s="101">
        <v>0.1</v>
      </c>
      <c r="Y924" s="15">
        <f>+D.sign_Data[[#This Row],[COSTOS OPERACIONALES ($COP)]]*D.sign_Data[[#This Row],[DESFASE (%)]]</f>
        <v>2784.265162646816</v>
      </c>
      <c r="Z924" s="101">
        <v>0.2</v>
      </c>
      <c r="AA924" s="15">
        <f>+((D.sign_Data[[#This Row],[COSTOS OPERACIONALES ($COP)]]/(100%-D.sign_Data[[#This Row],[UTILIDAD (%)]])))-D.sign_Data[[#This Row],[COSTOS OPERACIONALES ($COP)]]</f>
        <v>6960.662906617039</v>
      </c>
      <c r="AB924" s="3">
        <f>+D.sign_Data[[#This Row],[COSTOS OPERACIONALES ($COP)]]+D.sign_Data[[#This Row],[DESFASE ($COP)]]+D.sign_Data[[#This Row],[UTILIDAD ($COP)]]</f>
        <v>37587.579695732013</v>
      </c>
      <c r="AC924" s="101">
        <v>0.05</v>
      </c>
      <c r="AD924" s="15">
        <f>+D.sign_Data[[#This Row],[VALOR NETO ($COP)]]/(100%-D.sign_Data[[#This Row],[MARGEN DE NEGOCIACIÓN (%)]])-D.sign_Data[[#This Row],[VALOR NETO ($COP)]]</f>
        <v>1978.2936681964202</v>
      </c>
      <c r="AE924" s="15">
        <f>+(D.sign_Data[[#This Row],[VALOR NETO ($COP)]]+D.sign_Data[[#This Row],[NEGOCIACIÓN ($COP)]])*1%</f>
        <v>395.65873363928432</v>
      </c>
      <c r="AF924" s="15">
        <f>+(D.sign_Data[[#This Row],[VALOR NETO ($COP)]]+D.sign_Data[[#This Row],[NEGOCIACIÓN ($COP)]])*1%</f>
        <v>395.65873363928432</v>
      </c>
      <c r="AG924" s="3">
        <f>+D.sign_Data[[#This Row],[VALOR NETO ($COP)]]+D.sign_Data[[#This Row],[NEGOCIACIÓN ($COP)]]+D.sign_Data[[#This Row],[ICA ($COP)]]+D.sign_Data[[#This Row],[4 * 1000 ($COP)]]</f>
        <v>40357.190831207001</v>
      </c>
    </row>
    <row r="925" spans="1:33" ht="60" hidden="1" customHeight="1" x14ac:dyDescent="0.25">
      <c r="A925" s="14"/>
      <c r="B925" s="87" t="s">
        <v>418</v>
      </c>
      <c r="C925" s="182" t="s">
        <v>938</v>
      </c>
      <c r="D925" s="189" t="str">
        <f>VLOOKUP(D.sign_Data[[#This Row],[CÓDIGO]],Descripciones[[CÓDIGO]:[NOMBRE DE SERVICIO]],3,FALSE)</f>
        <v>D7. Select</v>
      </c>
      <c r="E925" s="87" t="s">
        <v>497</v>
      </c>
      <c r="F925" s="88" t="s">
        <v>930</v>
      </c>
      <c r="G925" s="88" t="s">
        <v>792</v>
      </c>
      <c r="H925" s="87" t="s">
        <v>500</v>
      </c>
      <c r="I925" s="89">
        <v>1</v>
      </c>
      <c r="J925" s="88" t="s">
        <v>934</v>
      </c>
      <c r="K925" s="102"/>
      <c r="L925" s="88" t="s">
        <v>474</v>
      </c>
      <c r="M925" s="89" t="s">
        <v>381</v>
      </c>
      <c r="N925" s="90">
        <v>0.1</v>
      </c>
      <c r="O925" s="27">
        <f>IFERROR(+VLOOKUP(M925,D.sign_Lista_Data[[RESPONSABLE]:[SOFTWARE 
VALOR HORA]],3,FALSE),"0")</f>
        <v>20263.424518743668</v>
      </c>
      <c r="P925" s="3">
        <f t="shared" si="32"/>
        <v>2026.3424518743668</v>
      </c>
      <c r="Q925" s="11">
        <f>IFERROR(+VLOOKUP(M925,D.sign_Lista_Data[[RESPONSABLE]:[SOFTWARE 
VALOR HORA]],5,FALSE)*D.sign_Data[[#This Row],[TIEMPO (HORAS)]],0)</f>
        <v>422.15467747382638</v>
      </c>
      <c r="R925" s="11">
        <f>IFERROR(+VLOOKUP(M925,D.sign_Lista_Data[[RESPONSABLE]:[SOFTWARE 
VALOR HORA]],8,FALSE)*D.sign_Data[[#This Row],[TIEMPO (HORAS)]],0)</f>
        <v>341.08548871439837</v>
      </c>
      <c r="S925" s="99"/>
      <c r="T925" s="99"/>
      <c r="U925" s="3">
        <f t="shared" si="33"/>
        <v>2789.5826180625913</v>
      </c>
      <c r="V925" s="100">
        <f>D.sign_Data[[#This Row],[TIEMPO (HORAS)]]*Gastos_Operativos[[#Totals],[GASTOS HORA]]</f>
        <v>2778.9477072310401</v>
      </c>
      <c r="W925" s="3">
        <f>+D.sign_Data[[#This Row],[COSTO 
DIRECTO ($COP)]]+D.sign_Data[[#This Row],[PRORRATEO GASTOS ($COP)]]</f>
        <v>5568.5303252936319</v>
      </c>
      <c r="X925" s="101">
        <v>0.1</v>
      </c>
      <c r="Y925" s="15">
        <f>+D.sign_Data[[#This Row],[COSTOS OPERACIONALES ($COP)]]*D.sign_Data[[#This Row],[DESFASE (%)]]</f>
        <v>556.85303252936319</v>
      </c>
      <c r="Z925" s="101">
        <v>0.2</v>
      </c>
      <c r="AA925" s="15">
        <f>+((D.sign_Data[[#This Row],[COSTOS OPERACIONALES ($COP)]]/(100%-D.sign_Data[[#This Row],[UTILIDAD (%)]])))-D.sign_Data[[#This Row],[COSTOS OPERACIONALES ($COP)]]</f>
        <v>1392.132581323408</v>
      </c>
      <c r="AB925" s="3">
        <f>+D.sign_Data[[#This Row],[COSTOS OPERACIONALES ($COP)]]+D.sign_Data[[#This Row],[DESFASE ($COP)]]+D.sign_Data[[#This Row],[UTILIDAD ($COP)]]</f>
        <v>7517.5159391464031</v>
      </c>
      <c r="AC925" s="101">
        <v>0.05</v>
      </c>
      <c r="AD925" s="15">
        <f>+D.sign_Data[[#This Row],[VALOR NETO ($COP)]]/(100%-D.sign_Data[[#This Row],[MARGEN DE NEGOCIACIÓN (%)]])-D.sign_Data[[#This Row],[VALOR NETO ($COP)]]</f>
        <v>395.65873363928495</v>
      </c>
      <c r="AE925" s="15">
        <f>+(D.sign_Data[[#This Row],[VALOR NETO ($COP)]]+D.sign_Data[[#This Row],[NEGOCIACIÓN ($COP)]])*1%</f>
        <v>79.131746727856878</v>
      </c>
      <c r="AF925" s="15">
        <f>+(D.sign_Data[[#This Row],[VALOR NETO ($COP)]]+D.sign_Data[[#This Row],[NEGOCIACIÓN ($COP)]])*1%</f>
        <v>79.131746727856878</v>
      </c>
      <c r="AG925" s="3">
        <f>+D.sign_Data[[#This Row],[VALOR NETO ($COP)]]+D.sign_Data[[#This Row],[NEGOCIACIÓN ($COP)]]+D.sign_Data[[#This Row],[ICA ($COP)]]+D.sign_Data[[#This Row],[4 * 1000 ($COP)]]</f>
        <v>8071.4381662414016</v>
      </c>
    </row>
    <row r="926" spans="1:33" ht="60" hidden="1" customHeight="1" x14ac:dyDescent="0.25">
      <c r="A926" s="14"/>
      <c r="B926" s="87" t="s">
        <v>418</v>
      </c>
      <c r="C926" s="182" t="s">
        <v>938</v>
      </c>
      <c r="D926" s="189" t="str">
        <f>VLOOKUP(D.sign_Data[[#This Row],[CÓDIGO]],Descripciones[[CÓDIGO]:[NOMBRE DE SERVICIO]],3,FALSE)</f>
        <v>D7. Select</v>
      </c>
      <c r="E926" s="87" t="s">
        <v>497</v>
      </c>
      <c r="F926" s="88" t="s">
        <v>930</v>
      </c>
      <c r="G926" s="88" t="s">
        <v>792</v>
      </c>
      <c r="H926" s="87" t="s">
        <v>500</v>
      </c>
      <c r="I926" s="89">
        <v>1</v>
      </c>
      <c r="J926" s="88" t="s">
        <v>935</v>
      </c>
      <c r="K926" s="102"/>
      <c r="L926" s="88" t="s">
        <v>777</v>
      </c>
      <c r="M926" s="89" t="s">
        <v>381</v>
      </c>
      <c r="N926" s="90">
        <v>0.5</v>
      </c>
      <c r="O926" s="27">
        <f>IFERROR(+VLOOKUP(M926,D.sign_Lista_Data[[RESPONSABLE]:[SOFTWARE 
VALOR HORA]],3,FALSE),"0")</f>
        <v>20263.424518743668</v>
      </c>
      <c r="P926" s="3">
        <f t="shared" si="32"/>
        <v>10131.712259371834</v>
      </c>
      <c r="Q926" s="11">
        <f>IFERROR(+VLOOKUP(M926,D.sign_Lista_Data[[RESPONSABLE]:[SOFTWARE 
VALOR HORA]],5,FALSE)*D.sign_Data[[#This Row],[TIEMPO (HORAS)]],0)</f>
        <v>2110.7733873691318</v>
      </c>
      <c r="R926" s="11">
        <f>IFERROR(+VLOOKUP(M926,D.sign_Lista_Data[[RESPONSABLE]:[SOFTWARE 
VALOR HORA]],8,FALSE)*D.sign_Data[[#This Row],[TIEMPO (HORAS)]],0)</f>
        <v>1705.4274435719917</v>
      </c>
      <c r="S926" s="99"/>
      <c r="T926" s="99"/>
      <c r="U926" s="3">
        <f t="shared" si="33"/>
        <v>13947.913090312959</v>
      </c>
      <c r="V926" s="100">
        <f>D.sign_Data[[#This Row],[TIEMPO (HORAS)]]*Gastos_Operativos[[#Totals],[GASTOS HORA]]</f>
        <v>13894.738536155201</v>
      </c>
      <c r="W926" s="3">
        <f>+D.sign_Data[[#This Row],[COSTO 
DIRECTO ($COP)]]+D.sign_Data[[#This Row],[PRORRATEO GASTOS ($COP)]]</f>
        <v>27842.65162646816</v>
      </c>
      <c r="X926" s="101">
        <v>0.1</v>
      </c>
      <c r="Y926" s="15">
        <f>+D.sign_Data[[#This Row],[COSTOS OPERACIONALES ($COP)]]*D.sign_Data[[#This Row],[DESFASE (%)]]</f>
        <v>2784.265162646816</v>
      </c>
      <c r="Z926" s="101">
        <v>0.2</v>
      </c>
      <c r="AA926" s="15">
        <f>+((D.sign_Data[[#This Row],[COSTOS OPERACIONALES ($COP)]]/(100%-D.sign_Data[[#This Row],[UTILIDAD (%)]])))-D.sign_Data[[#This Row],[COSTOS OPERACIONALES ($COP)]]</f>
        <v>6960.662906617039</v>
      </c>
      <c r="AB926" s="3">
        <f>+D.sign_Data[[#This Row],[COSTOS OPERACIONALES ($COP)]]+D.sign_Data[[#This Row],[DESFASE ($COP)]]+D.sign_Data[[#This Row],[UTILIDAD ($COP)]]</f>
        <v>37587.579695732013</v>
      </c>
      <c r="AC926" s="101">
        <v>0.05</v>
      </c>
      <c r="AD926" s="15">
        <f>+D.sign_Data[[#This Row],[VALOR NETO ($COP)]]/(100%-D.sign_Data[[#This Row],[MARGEN DE NEGOCIACIÓN (%)]])-D.sign_Data[[#This Row],[VALOR NETO ($COP)]]</f>
        <v>1978.2936681964202</v>
      </c>
      <c r="AE926" s="15">
        <f>+(D.sign_Data[[#This Row],[VALOR NETO ($COP)]]+D.sign_Data[[#This Row],[NEGOCIACIÓN ($COP)]])*1%</f>
        <v>395.65873363928432</v>
      </c>
      <c r="AF926" s="15">
        <f>+(D.sign_Data[[#This Row],[VALOR NETO ($COP)]]+D.sign_Data[[#This Row],[NEGOCIACIÓN ($COP)]])*1%</f>
        <v>395.65873363928432</v>
      </c>
      <c r="AG926" s="3">
        <f>+D.sign_Data[[#This Row],[VALOR NETO ($COP)]]+D.sign_Data[[#This Row],[NEGOCIACIÓN ($COP)]]+D.sign_Data[[#This Row],[ICA ($COP)]]+D.sign_Data[[#This Row],[4 * 1000 ($COP)]]</f>
        <v>40357.190831207001</v>
      </c>
    </row>
    <row r="927" spans="1:33" ht="60" hidden="1" customHeight="1" x14ac:dyDescent="0.25">
      <c r="A927" s="14"/>
      <c r="B927" s="87" t="s">
        <v>418</v>
      </c>
      <c r="C927" s="182" t="s">
        <v>938</v>
      </c>
      <c r="D927" s="189" t="str">
        <f>VLOOKUP(D.sign_Data[[#This Row],[CÓDIGO]],Descripciones[[CÓDIGO]:[NOMBRE DE SERVICIO]],3,FALSE)</f>
        <v>D7. Select</v>
      </c>
      <c r="E927" s="87" t="s">
        <v>497</v>
      </c>
      <c r="F927" s="88" t="s">
        <v>930</v>
      </c>
      <c r="G927" s="88" t="s">
        <v>792</v>
      </c>
      <c r="H927" s="87" t="s">
        <v>500</v>
      </c>
      <c r="I927" s="89">
        <v>1</v>
      </c>
      <c r="J927" s="88" t="s">
        <v>935</v>
      </c>
      <c r="K927" s="102"/>
      <c r="L927" s="88" t="s">
        <v>778</v>
      </c>
      <c r="M927" s="89" t="s">
        <v>381</v>
      </c>
      <c r="N927" s="90">
        <v>0.5</v>
      </c>
      <c r="O927" s="27">
        <f>IFERROR(+VLOOKUP(M927,D.sign_Lista_Data[[RESPONSABLE]:[SOFTWARE 
VALOR HORA]],3,FALSE),"0")</f>
        <v>20263.424518743668</v>
      </c>
      <c r="P927" s="3">
        <f t="shared" si="32"/>
        <v>10131.712259371834</v>
      </c>
      <c r="Q927" s="11">
        <f>IFERROR(+VLOOKUP(M927,D.sign_Lista_Data[[RESPONSABLE]:[SOFTWARE 
VALOR HORA]],5,FALSE)*D.sign_Data[[#This Row],[TIEMPO (HORAS)]],0)</f>
        <v>2110.7733873691318</v>
      </c>
      <c r="R927" s="11">
        <f>IFERROR(+VLOOKUP(M927,D.sign_Lista_Data[[RESPONSABLE]:[SOFTWARE 
VALOR HORA]],8,FALSE)*D.sign_Data[[#This Row],[TIEMPO (HORAS)]],0)</f>
        <v>1705.4274435719917</v>
      </c>
      <c r="S927" s="99"/>
      <c r="T927" s="99"/>
      <c r="U927" s="3">
        <f t="shared" si="33"/>
        <v>13947.913090312959</v>
      </c>
      <c r="V927" s="100">
        <f>D.sign_Data[[#This Row],[TIEMPO (HORAS)]]*Gastos_Operativos[[#Totals],[GASTOS HORA]]</f>
        <v>13894.738536155201</v>
      </c>
      <c r="W927" s="3">
        <f>+D.sign_Data[[#This Row],[COSTO 
DIRECTO ($COP)]]+D.sign_Data[[#This Row],[PRORRATEO GASTOS ($COP)]]</f>
        <v>27842.65162646816</v>
      </c>
      <c r="X927" s="101">
        <v>0.1</v>
      </c>
      <c r="Y927" s="15">
        <f>+D.sign_Data[[#This Row],[COSTOS OPERACIONALES ($COP)]]*D.sign_Data[[#This Row],[DESFASE (%)]]</f>
        <v>2784.265162646816</v>
      </c>
      <c r="Z927" s="101">
        <v>0.2</v>
      </c>
      <c r="AA927" s="15">
        <f>+((D.sign_Data[[#This Row],[COSTOS OPERACIONALES ($COP)]]/(100%-D.sign_Data[[#This Row],[UTILIDAD (%)]])))-D.sign_Data[[#This Row],[COSTOS OPERACIONALES ($COP)]]</f>
        <v>6960.662906617039</v>
      </c>
      <c r="AB927" s="3">
        <f>+D.sign_Data[[#This Row],[COSTOS OPERACIONALES ($COP)]]+D.sign_Data[[#This Row],[DESFASE ($COP)]]+D.sign_Data[[#This Row],[UTILIDAD ($COP)]]</f>
        <v>37587.579695732013</v>
      </c>
      <c r="AC927" s="101">
        <v>0.05</v>
      </c>
      <c r="AD927" s="15">
        <f>+D.sign_Data[[#This Row],[VALOR NETO ($COP)]]/(100%-D.sign_Data[[#This Row],[MARGEN DE NEGOCIACIÓN (%)]])-D.sign_Data[[#This Row],[VALOR NETO ($COP)]]</f>
        <v>1978.2936681964202</v>
      </c>
      <c r="AE927" s="15">
        <f>+(D.sign_Data[[#This Row],[VALOR NETO ($COP)]]+D.sign_Data[[#This Row],[NEGOCIACIÓN ($COP)]])*1%</f>
        <v>395.65873363928432</v>
      </c>
      <c r="AF927" s="15">
        <f>+(D.sign_Data[[#This Row],[VALOR NETO ($COP)]]+D.sign_Data[[#This Row],[NEGOCIACIÓN ($COP)]])*1%</f>
        <v>395.65873363928432</v>
      </c>
      <c r="AG927" s="3">
        <f>+D.sign_Data[[#This Row],[VALOR NETO ($COP)]]+D.sign_Data[[#This Row],[NEGOCIACIÓN ($COP)]]+D.sign_Data[[#This Row],[ICA ($COP)]]+D.sign_Data[[#This Row],[4 * 1000 ($COP)]]</f>
        <v>40357.190831207001</v>
      </c>
    </row>
    <row r="928" spans="1:33" ht="60" hidden="1" customHeight="1" x14ac:dyDescent="0.25">
      <c r="A928" s="14"/>
      <c r="B928" s="87" t="s">
        <v>418</v>
      </c>
      <c r="C928" s="182" t="s">
        <v>938</v>
      </c>
      <c r="D928" s="189" t="str">
        <f>VLOOKUP(D.sign_Data[[#This Row],[CÓDIGO]],Descripciones[[CÓDIGO]:[NOMBRE DE SERVICIO]],3,FALSE)</f>
        <v>D7. Select</v>
      </c>
      <c r="E928" s="87" t="s">
        <v>497</v>
      </c>
      <c r="F928" s="88" t="s">
        <v>930</v>
      </c>
      <c r="G928" s="88" t="s">
        <v>792</v>
      </c>
      <c r="H928" s="87" t="s">
        <v>500</v>
      </c>
      <c r="I928" s="89">
        <v>1</v>
      </c>
      <c r="J928" s="88" t="s">
        <v>935</v>
      </c>
      <c r="K928" s="102"/>
      <c r="L928" s="88" t="s">
        <v>779</v>
      </c>
      <c r="M928" s="89" t="s">
        <v>381</v>
      </c>
      <c r="N928" s="90">
        <v>1</v>
      </c>
      <c r="O928" s="27">
        <f>IFERROR(+VLOOKUP(M928,D.sign_Lista_Data[[RESPONSABLE]:[SOFTWARE 
VALOR HORA]],3,FALSE),"0")</f>
        <v>20263.424518743668</v>
      </c>
      <c r="P928" s="3">
        <f t="shared" si="32"/>
        <v>20263.424518743668</v>
      </c>
      <c r="Q928" s="11">
        <f>IFERROR(+VLOOKUP(M928,D.sign_Lista_Data[[RESPONSABLE]:[SOFTWARE 
VALOR HORA]],5,FALSE)*D.sign_Data[[#This Row],[TIEMPO (HORAS)]],0)</f>
        <v>4221.5467747382636</v>
      </c>
      <c r="R928" s="11">
        <f>IFERROR(+VLOOKUP(M928,D.sign_Lista_Data[[RESPONSABLE]:[SOFTWARE 
VALOR HORA]],8,FALSE)*D.sign_Data[[#This Row],[TIEMPO (HORAS)]],0)</f>
        <v>3410.8548871439834</v>
      </c>
      <c r="S928" s="99"/>
      <c r="T928" s="99"/>
      <c r="U928" s="3">
        <f t="shared" si="33"/>
        <v>27895.826180625918</v>
      </c>
      <c r="V928" s="100">
        <f>D.sign_Data[[#This Row],[TIEMPO (HORAS)]]*Gastos_Operativos[[#Totals],[GASTOS HORA]]</f>
        <v>27789.477072310401</v>
      </c>
      <c r="W928" s="3">
        <f>+D.sign_Data[[#This Row],[COSTO 
DIRECTO ($COP)]]+D.sign_Data[[#This Row],[PRORRATEO GASTOS ($COP)]]</f>
        <v>55685.303252936319</v>
      </c>
      <c r="X928" s="101">
        <v>0.1</v>
      </c>
      <c r="Y928" s="15">
        <f>+D.sign_Data[[#This Row],[COSTOS OPERACIONALES ($COP)]]*D.sign_Data[[#This Row],[DESFASE (%)]]</f>
        <v>5568.5303252936319</v>
      </c>
      <c r="Z928" s="101">
        <v>0.2</v>
      </c>
      <c r="AA928" s="15">
        <f>+((D.sign_Data[[#This Row],[COSTOS OPERACIONALES ($COP)]]/(100%-D.sign_Data[[#This Row],[UTILIDAD (%)]])))-D.sign_Data[[#This Row],[COSTOS OPERACIONALES ($COP)]]</f>
        <v>13921.325813234078</v>
      </c>
      <c r="AB928" s="3">
        <f>+D.sign_Data[[#This Row],[COSTOS OPERACIONALES ($COP)]]+D.sign_Data[[#This Row],[DESFASE ($COP)]]+D.sign_Data[[#This Row],[UTILIDAD ($COP)]]</f>
        <v>75175.159391464025</v>
      </c>
      <c r="AC928" s="101">
        <v>0.05</v>
      </c>
      <c r="AD928" s="15">
        <f>+D.sign_Data[[#This Row],[VALOR NETO ($COP)]]/(100%-D.sign_Data[[#This Row],[MARGEN DE NEGOCIACIÓN (%)]])-D.sign_Data[[#This Row],[VALOR NETO ($COP)]]</f>
        <v>3956.5873363928404</v>
      </c>
      <c r="AE928" s="15">
        <f>+(D.sign_Data[[#This Row],[VALOR NETO ($COP)]]+D.sign_Data[[#This Row],[NEGOCIACIÓN ($COP)]])*1%</f>
        <v>791.31746727856864</v>
      </c>
      <c r="AF928" s="15">
        <f>+(D.sign_Data[[#This Row],[VALOR NETO ($COP)]]+D.sign_Data[[#This Row],[NEGOCIACIÓN ($COP)]])*1%</f>
        <v>791.31746727856864</v>
      </c>
      <c r="AG928" s="3">
        <f>+D.sign_Data[[#This Row],[VALOR NETO ($COP)]]+D.sign_Data[[#This Row],[NEGOCIACIÓN ($COP)]]+D.sign_Data[[#This Row],[ICA ($COP)]]+D.sign_Data[[#This Row],[4 * 1000 ($COP)]]</f>
        <v>80714.381662414002</v>
      </c>
    </row>
    <row r="929" spans="1:33" ht="60" hidden="1" customHeight="1" x14ac:dyDescent="0.25">
      <c r="A929" s="14"/>
      <c r="B929" s="87" t="s">
        <v>418</v>
      </c>
      <c r="C929" s="182" t="s">
        <v>938</v>
      </c>
      <c r="D929" s="189" t="str">
        <f>VLOOKUP(D.sign_Data[[#This Row],[CÓDIGO]],Descripciones[[CÓDIGO]:[NOMBRE DE SERVICIO]],3,FALSE)</f>
        <v>D7. Select</v>
      </c>
      <c r="E929" s="87" t="s">
        <v>497</v>
      </c>
      <c r="F929" s="88" t="s">
        <v>930</v>
      </c>
      <c r="G929" s="88" t="s">
        <v>792</v>
      </c>
      <c r="H929" s="87" t="s">
        <v>500</v>
      </c>
      <c r="I929" s="89">
        <v>1</v>
      </c>
      <c r="J929" s="88" t="s">
        <v>935</v>
      </c>
      <c r="K929" s="102"/>
      <c r="L929" s="88" t="s">
        <v>624</v>
      </c>
      <c r="M929" s="89" t="s">
        <v>381</v>
      </c>
      <c r="N929" s="90">
        <v>1</v>
      </c>
      <c r="O929" s="27">
        <f>IFERROR(+VLOOKUP(M929,D.sign_Lista_Data[[RESPONSABLE]:[SOFTWARE 
VALOR HORA]],3,FALSE),"0")</f>
        <v>20263.424518743668</v>
      </c>
      <c r="P929" s="3">
        <f t="shared" si="32"/>
        <v>20263.424518743668</v>
      </c>
      <c r="Q929" s="11">
        <f>IFERROR(+VLOOKUP(M929,D.sign_Lista_Data[[RESPONSABLE]:[SOFTWARE 
VALOR HORA]],5,FALSE)*D.sign_Data[[#This Row],[TIEMPO (HORAS)]],0)</f>
        <v>4221.5467747382636</v>
      </c>
      <c r="R929" s="11">
        <f>IFERROR(+VLOOKUP(M929,D.sign_Lista_Data[[RESPONSABLE]:[SOFTWARE 
VALOR HORA]],8,FALSE)*D.sign_Data[[#This Row],[TIEMPO (HORAS)]],0)</f>
        <v>3410.8548871439834</v>
      </c>
      <c r="S929" s="99"/>
      <c r="T929" s="99"/>
      <c r="U929" s="3">
        <f t="shared" si="33"/>
        <v>27895.826180625918</v>
      </c>
      <c r="V929" s="100">
        <f>D.sign_Data[[#This Row],[TIEMPO (HORAS)]]*Gastos_Operativos[[#Totals],[GASTOS HORA]]</f>
        <v>27789.477072310401</v>
      </c>
      <c r="W929" s="3">
        <f>+D.sign_Data[[#This Row],[COSTO 
DIRECTO ($COP)]]+D.sign_Data[[#This Row],[PRORRATEO GASTOS ($COP)]]</f>
        <v>55685.303252936319</v>
      </c>
      <c r="X929" s="101">
        <v>0.1</v>
      </c>
      <c r="Y929" s="15">
        <f>+D.sign_Data[[#This Row],[COSTOS OPERACIONALES ($COP)]]*D.sign_Data[[#This Row],[DESFASE (%)]]</f>
        <v>5568.5303252936319</v>
      </c>
      <c r="Z929" s="101">
        <v>0.2</v>
      </c>
      <c r="AA929" s="15">
        <f>+((D.sign_Data[[#This Row],[COSTOS OPERACIONALES ($COP)]]/(100%-D.sign_Data[[#This Row],[UTILIDAD (%)]])))-D.sign_Data[[#This Row],[COSTOS OPERACIONALES ($COP)]]</f>
        <v>13921.325813234078</v>
      </c>
      <c r="AB929" s="3">
        <f>+D.sign_Data[[#This Row],[COSTOS OPERACIONALES ($COP)]]+D.sign_Data[[#This Row],[DESFASE ($COP)]]+D.sign_Data[[#This Row],[UTILIDAD ($COP)]]</f>
        <v>75175.159391464025</v>
      </c>
      <c r="AC929" s="101">
        <v>0.05</v>
      </c>
      <c r="AD929" s="15">
        <f>+D.sign_Data[[#This Row],[VALOR NETO ($COP)]]/(100%-D.sign_Data[[#This Row],[MARGEN DE NEGOCIACIÓN (%)]])-D.sign_Data[[#This Row],[VALOR NETO ($COP)]]</f>
        <v>3956.5873363928404</v>
      </c>
      <c r="AE929" s="15">
        <f>+(D.sign_Data[[#This Row],[VALOR NETO ($COP)]]+D.sign_Data[[#This Row],[NEGOCIACIÓN ($COP)]])*1%</f>
        <v>791.31746727856864</v>
      </c>
      <c r="AF929" s="15">
        <f>+(D.sign_Data[[#This Row],[VALOR NETO ($COP)]]+D.sign_Data[[#This Row],[NEGOCIACIÓN ($COP)]])*1%</f>
        <v>791.31746727856864</v>
      </c>
      <c r="AG929" s="3">
        <f>+D.sign_Data[[#This Row],[VALOR NETO ($COP)]]+D.sign_Data[[#This Row],[NEGOCIACIÓN ($COP)]]+D.sign_Data[[#This Row],[ICA ($COP)]]+D.sign_Data[[#This Row],[4 * 1000 ($COP)]]</f>
        <v>80714.381662414002</v>
      </c>
    </row>
    <row r="930" spans="1:33" ht="60" hidden="1" customHeight="1" x14ac:dyDescent="0.25">
      <c r="A930" s="14"/>
      <c r="B930" s="87" t="s">
        <v>418</v>
      </c>
      <c r="C930" s="182" t="s">
        <v>938</v>
      </c>
      <c r="D930" s="189" t="str">
        <f>VLOOKUP(D.sign_Data[[#This Row],[CÓDIGO]],Descripciones[[CÓDIGO]:[NOMBRE DE SERVICIO]],3,FALSE)</f>
        <v>D7. Select</v>
      </c>
      <c r="E930" s="87" t="s">
        <v>497</v>
      </c>
      <c r="F930" s="88" t="s">
        <v>930</v>
      </c>
      <c r="G930" s="88" t="s">
        <v>792</v>
      </c>
      <c r="H930" s="87" t="s">
        <v>500</v>
      </c>
      <c r="I930" s="89">
        <v>1</v>
      </c>
      <c r="J930" s="88" t="s">
        <v>935</v>
      </c>
      <c r="K930" s="102"/>
      <c r="L930" s="88" t="s">
        <v>771</v>
      </c>
      <c r="M930" s="89" t="s">
        <v>381</v>
      </c>
      <c r="N930" s="90">
        <v>1</v>
      </c>
      <c r="O930" s="27">
        <f>IFERROR(+VLOOKUP(M930,D.sign_Lista_Data[[RESPONSABLE]:[SOFTWARE 
VALOR HORA]],3,FALSE),"0")</f>
        <v>20263.424518743668</v>
      </c>
      <c r="P930" s="3">
        <f t="shared" si="32"/>
        <v>20263.424518743668</v>
      </c>
      <c r="Q930" s="11">
        <f>IFERROR(+VLOOKUP(M930,D.sign_Lista_Data[[RESPONSABLE]:[SOFTWARE 
VALOR HORA]],5,FALSE)*D.sign_Data[[#This Row],[TIEMPO (HORAS)]],0)</f>
        <v>4221.5467747382636</v>
      </c>
      <c r="R930" s="11">
        <f>IFERROR(+VLOOKUP(M930,D.sign_Lista_Data[[RESPONSABLE]:[SOFTWARE 
VALOR HORA]],8,FALSE)*D.sign_Data[[#This Row],[TIEMPO (HORAS)]],0)</f>
        <v>3410.8548871439834</v>
      </c>
      <c r="S930" s="99"/>
      <c r="T930" s="99"/>
      <c r="U930" s="3">
        <f t="shared" si="33"/>
        <v>27895.826180625918</v>
      </c>
      <c r="V930" s="100">
        <f>D.sign_Data[[#This Row],[TIEMPO (HORAS)]]*Gastos_Operativos[[#Totals],[GASTOS HORA]]</f>
        <v>27789.477072310401</v>
      </c>
      <c r="W930" s="3">
        <f>+D.sign_Data[[#This Row],[COSTO 
DIRECTO ($COP)]]+D.sign_Data[[#This Row],[PRORRATEO GASTOS ($COP)]]</f>
        <v>55685.303252936319</v>
      </c>
      <c r="X930" s="101">
        <v>0.1</v>
      </c>
      <c r="Y930" s="15">
        <f>+D.sign_Data[[#This Row],[COSTOS OPERACIONALES ($COP)]]*D.sign_Data[[#This Row],[DESFASE (%)]]</f>
        <v>5568.5303252936319</v>
      </c>
      <c r="Z930" s="101">
        <v>0.2</v>
      </c>
      <c r="AA930" s="15">
        <f>+((D.sign_Data[[#This Row],[COSTOS OPERACIONALES ($COP)]]/(100%-D.sign_Data[[#This Row],[UTILIDAD (%)]])))-D.sign_Data[[#This Row],[COSTOS OPERACIONALES ($COP)]]</f>
        <v>13921.325813234078</v>
      </c>
      <c r="AB930" s="3">
        <f>+D.sign_Data[[#This Row],[COSTOS OPERACIONALES ($COP)]]+D.sign_Data[[#This Row],[DESFASE ($COP)]]+D.sign_Data[[#This Row],[UTILIDAD ($COP)]]</f>
        <v>75175.159391464025</v>
      </c>
      <c r="AC930" s="101">
        <v>0.05</v>
      </c>
      <c r="AD930" s="15">
        <f>+D.sign_Data[[#This Row],[VALOR NETO ($COP)]]/(100%-D.sign_Data[[#This Row],[MARGEN DE NEGOCIACIÓN (%)]])-D.sign_Data[[#This Row],[VALOR NETO ($COP)]]</f>
        <v>3956.5873363928404</v>
      </c>
      <c r="AE930" s="15">
        <f>+(D.sign_Data[[#This Row],[VALOR NETO ($COP)]]+D.sign_Data[[#This Row],[NEGOCIACIÓN ($COP)]])*1%</f>
        <v>791.31746727856864</v>
      </c>
      <c r="AF930" s="15">
        <f>+(D.sign_Data[[#This Row],[VALOR NETO ($COP)]]+D.sign_Data[[#This Row],[NEGOCIACIÓN ($COP)]])*1%</f>
        <v>791.31746727856864</v>
      </c>
      <c r="AG930" s="3">
        <f>+D.sign_Data[[#This Row],[VALOR NETO ($COP)]]+D.sign_Data[[#This Row],[NEGOCIACIÓN ($COP)]]+D.sign_Data[[#This Row],[ICA ($COP)]]+D.sign_Data[[#This Row],[4 * 1000 ($COP)]]</f>
        <v>80714.381662414002</v>
      </c>
    </row>
    <row r="931" spans="1:33" ht="60" hidden="1" customHeight="1" x14ac:dyDescent="0.25">
      <c r="A931" s="14"/>
      <c r="B931" s="87" t="s">
        <v>418</v>
      </c>
      <c r="C931" s="182" t="s">
        <v>938</v>
      </c>
      <c r="D931" s="189" t="str">
        <f>VLOOKUP(D.sign_Data[[#This Row],[CÓDIGO]],Descripciones[[CÓDIGO]:[NOMBRE DE SERVICIO]],3,FALSE)</f>
        <v>D7. Select</v>
      </c>
      <c r="E931" s="87" t="s">
        <v>497</v>
      </c>
      <c r="F931" s="88" t="s">
        <v>930</v>
      </c>
      <c r="G931" s="88" t="s">
        <v>792</v>
      </c>
      <c r="H931" s="87" t="s">
        <v>500</v>
      </c>
      <c r="I931" s="89">
        <v>1</v>
      </c>
      <c r="J931" s="88" t="s">
        <v>935</v>
      </c>
      <c r="K931" s="102"/>
      <c r="L931" s="88" t="s">
        <v>483</v>
      </c>
      <c r="M931" s="89" t="s">
        <v>381</v>
      </c>
      <c r="N931" s="90">
        <v>0.5</v>
      </c>
      <c r="O931" s="27">
        <f>IFERROR(+VLOOKUP(M931,D.sign_Lista_Data[[RESPONSABLE]:[SOFTWARE 
VALOR HORA]],3,FALSE),"0")</f>
        <v>20263.424518743668</v>
      </c>
      <c r="P931" s="3">
        <f t="shared" si="32"/>
        <v>10131.712259371834</v>
      </c>
      <c r="Q931" s="11">
        <f>IFERROR(+VLOOKUP(M931,D.sign_Lista_Data[[RESPONSABLE]:[SOFTWARE 
VALOR HORA]],5,FALSE)*D.sign_Data[[#This Row],[TIEMPO (HORAS)]],0)</f>
        <v>2110.7733873691318</v>
      </c>
      <c r="R931" s="11">
        <f>IFERROR(+VLOOKUP(M931,D.sign_Lista_Data[[RESPONSABLE]:[SOFTWARE 
VALOR HORA]],8,FALSE)*D.sign_Data[[#This Row],[TIEMPO (HORAS)]],0)</f>
        <v>1705.4274435719917</v>
      </c>
      <c r="S931" s="99"/>
      <c r="T931" s="99"/>
      <c r="U931" s="3">
        <f t="shared" si="33"/>
        <v>13947.913090312959</v>
      </c>
      <c r="V931" s="100">
        <f>D.sign_Data[[#This Row],[TIEMPO (HORAS)]]*Gastos_Operativos[[#Totals],[GASTOS HORA]]</f>
        <v>13894.738536155201</v>
      </c>
      <c r="W931" s="3">
        <f>+D.sign_Data[[#This Row],[COSTO 
DIRECTO ($COP)]]+D.sign_Data[[#This Row],[PRORRATEO GASTOS ($COP)]]</f>
        <v>27842.65162646816</v>
      </c>
      <c r="X931" s="101">
        <v>0.1</v>
      </c>
      <c r="Y931" s="15">
        <f>+D.sign_Data[[#This Row],[COSTOS OPERACIONALES ($COP)]]*D.sign_Data[[#This Row],[DESFASE (%)]]</f>
        <v>2784.265162646816</v>
      </c>
      <c r="Z931" s="101">
        <v>0.2</v>
      </c>
      <c r="AA931" s="15">
        <f>+((D.sign_Data[[#This Row],[COSTOS OPERACIONALES ($COP)]]/(100%-D.sign_Data[[#This Row],[UTILIDAD (%)]])))-D.sign_Data[[#This Row],[COSTOS OPERACIONALES ($COP)]]</f>
        <v>6960.662906617039</v>
      </c>
      <c r="AB931" s="3">
        <f>+D.sign_Data[[#This Row],[COSTOS OPERACIONALES ($COP)]]+D.sign_Data[[#This Row],[DESFASE ($COP)]]+D.sign_Data[[#This Row],[UTILIDAD ($COP)]]</f>
        <v>37587.579695732013</v>
      </c>
      <c r="AC931" s="101">
        <v>0.05</v>
      </c>
      <c r="AD931" s="15">
        <f>+D.sign_Data[[#This Row],[VALOR NETO ($COP)]]/(100%-D.sign_Data[[#This Row],[MARGEN DE NEGOCIACIÓN (%)]])-D.sign_Data[[#This Row],[VALOR NETO ($COP)]]</f>
        <v>1978.2936681964202</v>
      </c>
      <c r="AE931" s="15">
        <f>+(D.sign_Data[[#This Row],[VALOR NETO ($COP)]]+D.sign_Data[[#This Row],[NEGOCIACIÓN ($COP)]])*1%</f>
        <v>395.65873363928432</v>
      </c>
      <c r="AF931" s="15">
        <f>+(D.sign_Data[[#This Row],[VALOR NETO ($COP)]]+D.sign_Data[[#This Row],[NEGOCIACIÓN ($COP)]])*1%</f>
        <v>395.65873363928432</v>
      </c>
      <c r="AG931" s="3">
        <f>+D.sign_Data[[#This Row],[VALOR NETO ($COP)]]+D.sign_Data[[#This Row],[NEGOCIACIÓN ($COP)]]+D.sign_Data[[#This Row],[ICA ($COP)]]+D.sign_Data[[#This Row],[4 * 1000 ($COP)]]</f>
        <v>40357.190831207001</v>
      </c>
    </row>
    <row r="932" spans="1:33" ht="60" hidden="1" customHeight="1" x14ac:dyDescent="0.25">
      <c r="A932" s="14"/>
      <c r="B932" s="87" t="s">
        <v>418</v>
      </c>
      <c r="C932" s="182" t="s">
        <v>938</v>
      </c>
      <c r="D932" s="189" t="str">
        <f>VLOOKUP(D.sign_Data[[#This Row],[CÓDIGO]],Descripciones[[CÓDIGO]:[NOMBRE DE SERVICIO]],3,FALSE)</f>
        <v>D7. Select</v>
      </c>
      <c r="E932" s="87" t="s">
        <v>497</v>
      </c>
      <c r="F932" s="88" t="s">
        <v>930</v>
      </c>
      <c r="G932" s="88" t="s">
        <v>792</v>
      </c>
      <c r="H932" s="87" t="s">
        <v>500</v>
      </c>
      <c r="I932" s="89">
        <v>1</v>
      </c>
      <c r="J932" s="88" t="s">
        <v>935</v>
      </c>
      <c r="K932" s="102"/>
      <c r="L932" s="88" t="s">
        <v>474</v>
      </c>
      <c r="M932" s="89" t="s">
        <v>381</v>
      </c>
      <c r="N932" s="90">
        <v>0.1</v>
      </c>
      <c r="O932" s="27">
        <f>IFERROR(+VLOOKUP(M932,D.sign_Lista_Data[[RESPONSABLE]:[SOFTWARE 
VALOR HORA]],3,FALSE),"0")</f>
        <v>20263.424518743668</v>
      </c>
      <c r="P932" s="3">
        <f t="shared" si="32"/>
        <v>2026.3424518743668</v>
      </c>
      <c r="Q932" s="11">
        <f>IFERROR(+VLOOKUP(M932,D.sign_Lista_Data[[RESPONSABLE]:[SOFTWARE 
VALOR HORA]],5,FALSE)*D.sign_Data[[#This Row],[TIEMPO (HORAS)]],0)</f>
        <v>422.15467747382638</v>
      </c>
      <c r="R932" s="11">
        <f>IFERROR(+VLOOKUP(M932,D.sign_Lista_Data[[RESPONSABLE]:[SOFTWARE 
VALOR HORA]],8,FALSE)*D.sign_Data[[#This Row],[TIEMPO (HORAS)]],0)</f>
        <v>341.08548871439837</v>
      </c>
      <c r="S932" s="99"/>
      <c r="T932" s="99"/>
      <c r="U932" s="3">
        <f t="shared" si="33"/>
        <v>2789.5826180625913</v>
      </c>
      <c r="V932" s="100">
        <f>D.sign_Data[[#This Row],[TIEMPO (HORAS)]]*Gastos_Operativos[[#Totals],[GASTOS HORA]]</f>
        <v>2778.9477072310401</v>
      </c>
      <c r="W932" s="3">
        <f>+D.sign_Data[[#This Row],[COSTO 
DIRECTO ($COP)]]+D.sign_Data[[#This Row],[PRORRATEO GASTOS ($COP)]]</f>
        <v>5568.5303252936319</v>
      </c>
      <c r="X932" s="101">
        <v>0.1</v>
      </c>
      <c r="Y932" s="15">
        <f>+D.sign_Data[[#This Row],[COSTOS OPERACIONALES ($COP)]]*D.sign_Data[[#This Row],[DESFASE (%)]]</f>
        <v>556.85303252936319</v>
      </c>
      <c r="Z932" s="101">
        <v>0.2</v>
      </c>
      <c r="AA932" s="15">
        <f>+((D.sign_Data[[#This Row],[COSTOS OPERACIONALES ($COP)]]/(100%-D.sign_Data[[#This Row],[UTILIDAD (%)]])))-D.sign_Data[[#This Row],[COSTOS OPERACIONALES ($COP)]]</f>
        <v>1392.132581323408</v>
      </c>
      <c r="AB932" s="3">
        <f>+D.sign_Data[[#This Row],[COSTOS OPERACIONALES ($COP)]]+D.sign_Data[[#This Row],[DESFASE ($COP)]]+D.sign_Data[[#This Row],[UTILIDAD ($COP)]]</f>
        <v>7517.5159391464031</v>
      </c>
      <c r="AC932" s="101">
        <v>0.05</v>
      </c>
      <c r="AD932" s="15">
        <f>+D.sign_Data[[#This Row],[VALOR NETO ($COP)]]/(100%-D.sign_Data[[#This Row],[MARGEN DE NEGOCIACIÓN (%)]])-D.sign_Data[[#This Row],[VALOR NETO ($COP)]]</f>
        <v>395.65873363928495</v>
      </c>
      <c r="AE932" s="15">
        <f>+(D.sign_Data[[#This Row],[VALOR NETO ($COP)]]+D.sign_Data[[#This Row],[NEGOCIACIÓN ($COP)]])*1%</f>
        <v>79.131746727856878</v>
      </c>
      <c r="AF932" s="15">
        <f>+(D.sign_Data[[#This Row],[VALOR NETO ($COP)]]+D.sign_Data[[#This Row],[NEGOCIACIÓN ($COP)]])*1%</f>
        <v>79.131746727856878</v>
      </c>
      <c r="AG932" s="3">
        <f>+D.sign_Data[[#This Row],[VALOR NETO ($COP)]]+D.sign_Data[[#This Row],[NEGOCIACIÓN ($COP)]]+D.sign_Data[[#This Row],[ICA ($COP)]]+D.sign_Data[[#This Row],[4 * 1000 ($COP)]]</f>
        <v>8071.4381662414016</v>
      </c>
    </row>
    <row r="933" spans="1:33" ht="60" hidden="1" customHeight="1" x14ac:dyDescent="0.25">
      <c r="A933" s="14"/>
      <c r="B933" s="87" t="s">
        <v>418</v>
      </c>
      <c r="C933" s="182" t="s">
        <v>938</v>
      </c>
      <c r="D933" s="189" t="str">
        <f>VLOOKUP(D.sign_Data[[#This Row],[CÓDIGO]],Descripciones[[CÓDIGO]:[NOMBRE DE SERVICIO]],3,FALSE)</f>
        <v>D7. Select</v>
      </c>
      <c r="E933" s="87" t="s">
        <v>497</v>
      </c>
      <c r="F933" s="88" t="s">
        <v>930</v>
      </c>
      <c r="G933" s="88" t="s">
        <v>792</v>
      </c>
      <c r="H933" s="87" t="s">
        <v>500</v>
      </c>
      <c r="I933" s="89">
        <v>1</v>
      </c>
      <c r="J933" s="88" t="s">
        <v>936</v>
      </c>
      <c r="K933" s="102"/>
      <c r="L933" s="88" t="s">
        <v>781</v>
      </c>
      <c r="M933" s="89" t="s">
        <v>381</v>
      </c>
      <c r="N933" s="90">
        <v>0.1</v>
      </c>
      <c r="O933" s="27">
        <f>IFERROR(+VLOOKUP(M933,D.sign_Lista_Data[[RESPONSABLE]:[SOFTWARE 
VALOR HORA]],3,FALSE),"0")</f>
        <v>20263.424518743668</v>
      </c>
      <c r="P933" s="3">
        <f t="shared" si="32"/>
        <v>2026.3424518743668</v>
      </c>
      <c r="Q933" s="11">
        <f>IFERROR(+VLOOKUP(M933,D.sign_Lista_Data[[RESPONSABLE]:[SOFTWARE 
VALOR HORA]],5,FALSE)*D.sign_Data[[#This Row],[TIEMPO (HORAS)]],0)</f>
        <v>422.15467747382638</v>
      </c>
      <c r="R933" s="11">
        <f>IFERROR(+VLOOKUP(M933,D.sign_Lista_Data[[RESPONSABLE]:[SOFTWARE 
VALOR HORA]],8,FALSE)*D.sign_Data[[#This Row],[TIEMPO (HORAS)]],0)</f>
        <v>341.08548871439837</v>
      </c>
      <c r="S933" s="99"/>
      <c r="T933" s="99"/>
      <c r="U933" s="3">
        <f t="shared" si="33"/>
        <v>2789.5826180625913</v>
      </c>
      <c r="V933" s="100">
        <f>D.sign_Data[[#This Row],[TIEMPO (HORAS)]]*Gastos_Operativos[[#Totals],[GASTOS HORA]]</f>
        <v>2778.9477072310401</v>
      </c>
      <c r="W933" s="3">
        <f>+D.sign_Data[[#This Row],[COSTO 
DIRECTO ($COP)]]+D.sign_Data[[#This Row],[PRORRATEO GASTOS ($COP)]]</f>
        <v>5568.5303252936319</v>
      </c>
      <c r="X933" s="101">
        <v>0.1</v>
      </c>
      <c r="Y933" s="15">
        <f>+D.sign_Data[[#This Row],[COSTOS OPERACIONALES ($COP)]]*D.sign_Data[[#This Row],[DESFASE (%)]]</f>
        <v>556.85303252936319</v>
      </c>
      <c r="Z933" s="101">
        <v>0.2</v>
      </c>
      <c r="AA933" s="15">
        <f>+((D.sign_Data[[#This Row],[COSTOS OPERACIONALES ($COP)]]/(100%-D.sign_Data[[#This Row],[UTILIDAD (%)]])))-D.sign_Data[[#This Row],[COSTOS OPERACIONALES ($COP)]]</f>
        <v>1392.132581323408</v>
      </c>
      <c r="AB933" s="3">
        <f>+D.sign_Data[[#This Row],[COSTOS OPERACIONALES ($COP)]]+D.sign_Data[[#This Row],[DESFASE ($COP)]]+D.sign_Data[[#This Row],[UTILIDAD ($COP)]]</f>
        <v>7517.5159391464031</v>
      </c>
      <c r="AC933" s="101">
        <v>0.05</v>
      </c>
      <c r="AD933" s="15">
        <f>+D.sign_Data[[#This Row],[VALOR NETO ($COP)]]/(100%-D.sign_Data[[#This Row],[MARGEN DE NEGOCIACIÓN (%)]])-D.sign_Data[[#This Row],[VALOR NETO ($COP)]]</f>
        <v>395.65873363928495</v>
      </c>
      <c r="AE933" s="15">
        <f>+(D.sign_Data[[#This Row],[VALOR NETO ($COP)]]+D.sign_Data[[#This Row],[NEGOCIACIÓN ($COP)]])*1%</f>
        <v>79.131746727856878</v>
      </c>
      <c r="AF933" s="15">
        <f>+(D.sign_Data[[#This Row],[VALOR NETO ($COP)]]+D.sign_Data[[#This Row],[NEGOCIACIÓN ($COP)]])*1%</f>
        <v>79.131746727856878</v>
      </c>
      <c r="AG933" s="3">
        <f>+D.sign_Data[[#This Row],[VALOR NETO ($COP)]]+D.sign_Data[[#This Row],[NEGOCIACIÓN ($COP)]]+D.sign_Data[[#This Row],[ICA ($COP)]]+D.sign_Data[[#This Row],[4 * 1000 ($COP)]]</f>
        <v>8071.4381662414016</v>
      </c>
    </row>
    <row r="934" spans="1:33" ht="60" hidden="1" customHeight="1" x14ac:dyDescent="0.25">
      <c r="A934" s="14"/>
      <c r="B934" s="87" t="s">
        <v>418</v>
      </c>
      <c r="C934" s="182" t="s">
        <v>938</v>
      </c>
      <c r="D934" s="189" t="str">
        <f>VLOOKUP(D.sign_Data[[#This Row],[CÓDIGO]],Descripciones[[CÓDIGO]:[NOMBRE DE SERVICIO]],3,FALSE)</f>
        <v>D7. Select</v>
      </c>
      <c r="E934" s="87" t="s">
        <v>497</v>
      </c>
      <c r="F934" s="88" t="s">
        <v>930</v>
      </c>
      <c r="G934" s="88" t="s">
        <v>792</v>
      </c>
      <c r="H934" s="87" t="s">
        <v>500</v>
      </c>
      <c r="I934" s="89">
        <v>1</v>
      </c>
      <c r="J934" s="88" t="s">
        <v>936</v>
      </c>
      <c r="K934" s="102"/>
      <c r="L934" s="88" t="s">
        <v>782</v>
      </c>
      <c r="M934" s="89" t="s">
        <v>381</v>
      </c>
      <c r="N934" s="90">
        <v>0.1</v>
      </c>
      <c r="O934" s="27">
        <f>IFERROR(+VLOOKUP(M934,D.sign_Lista_Data[[RESPONSABLE]:[SOFTWARE 
VALOR HORA]],3,FALSE),"0")</f>
        <v>20263.424518743668</v>
      </c>
      <c r="P934" s="3">
        <f t="shared" si="32"/>
        <v>2026.3424518743668</v>
      </c>
      <c r="Q934" s="11">
        <f>IFERROR(+VLOOKUP(M934,D.sign_Lista_Data[[RESPONSABLE]:[SOFTWARE 
VALOR HORA]],5,FALSE)*D.sign_Data[[#This Row],[TIEMPO (HORAS)]],0)</f>
        <v>422.15467747382638</v>
      </c>
      <c r="R934" s="11">
        <f>IFERROR(+VLOOKUP(M934,D.sign_Lista_Data[[RESPONSABLE]:[SOFTWARE 
VALOR HORA]],8,FALSE)*D.sign_Data[[#This Row],[TIEMPO (HORAS)]],0)</f>
        <v>341.08548871439837</v>
      </c>
      <c r="S934" s="99"/>
      <c r="T934" s="99"/>
      <c r="U934" s="3">
        <f t="shared" si="33"/>
        <v>2789.5826180625913</v>
      </c>
      <c r="V934" s="100">
        <f>D.sign_Data[[#This Row],[TIEMPO (HORAS)]]*Gastos_Operativos[[#Totals],[GASTOS HORA]]</f>
        <v>2778.9477072310401</v>
      </c>
      <c r="W934" s="3">
        <f>+D.sign_Data[[#This Row],[COSTO 
DIRECTO ($COP)]]+D.sign_Data[[#This Row],[PRORRATEO GASTOS ($COP)]]</f>
        <v>5568.5303252936319</v>
      </c>
      <c r="X934" s="101">
        <v>0.1</v>
      </c>
      <c r="Y934" s="15">
        <f>+D.sign_Data[[#This Row],[COSTOS OPERACIONALES ($COP)]]*D.sign_Data[[#This Row],[DESFASE (%)]]</f>
        <v>556.85303252936319</v>
      </c>
      <c r="Z934" s="101">
        <v>0.2</v>
      </c>
      <c r="AA934" s="15">
        <f>+((D.sign_Data[[#This Row],[COSTOS OPERACIONALES ($COP)]]/(100%-D.sign_Data[[#This Row],[UTILIDAD (%)]])))-D.sign_Data[[#This Row],[COSTOS OPERACIONALES ($COP)]]</f>
        <v>1392.132581323408</v>
      </c>
      <c r="AB934" s="3">
        <f>+D.sign_Data[[#This Row],[COSTOS OPERACIONALES ($COP)]]+D.sign_Data[[#This Row],[DESFASE ($COP)]]+D.sign_Data[[#This Row],[UTILIDAD ($COP)]]</f>
        <v>7517.5159391464031</v>
      </c>
      <c r="AC934" s="101">
        <v>0.05</v>
      </c>
      <c r="AD934" s="15">
        <f>+D.sign_Data[[#This Row],[VALOR NETO ($COP)]]/(100%-D.sign_Data[[#This Row],[MARGEN DE NEGOCIACIÓN (%)]])-D.sign_Data[[#This Row],[VALOR NETO ($COP)]]</f>
        <v>395.65873363928495</v>
      </c>
      <c r="AE934" s="15">
        <f>+(D.sign_Data[[#This Row],[VALOR NETO ($COP)]]+D.sign_Data[[#This Row],[NEGOCIACIÓN ($COP)]])*1%</f>
        <v>79.131746727856878</v>
      </c>
      <c r="AF934" s="15">
        <f>+(D.sign_Data[[#This Row],[VALOR NETO ($COP)]]+D.sign_Data[[#This Row],[NEGOCIACIÓN ($COP)]])*1%</f>
        <v>79.131746727856878</v>
      </c>
      <c r="AG934" s="3">
        <f>+D.sign_Data[[#This Row],[VALOR NETO ($COP)]]+D.sign_Data[[#This Row],[NEGOCIACIÓN ($COP)]]+D.sign_Data[[#This Row],[ICA ($COP)]]+D.sign_Data[[#This Row],[4 * 1000 ($COP)]]</f>
        <v>8071.4381662414016</v>
      </c>
    </row>
    <row r="935" spans="1:33" ht="60" hidden="1" customHeight="1" x14ac:dyDescent="0.25">
      <c r="A935" s="14"/>
      <c r="B935" s="87" t="s">
        <v>418</v>
      </c>
      <c r="C935" s="182" t="s">
        <v>938</v>
      </c>
      <c r="D935" s="189" t="str">
        <f>VLOOKUP(D.sign_Data[[#This Row],[CÓDIGO]],Descripciones[[CÓDIGO]:[NOMBRE DE SERVICIO]],3,FALSE)</f>
        <v>D7. Select</v>
      </c>
      <c r="E935" s="87" t="s">
        <v>497</v>
      </c>
      <c r="F935" s="88" t="s">
        <v>930</v>
      </c>
      <c r="G935" s="88" t="s">
        <v>792</v>
      </c>
      <c r="H935" s="87" t="s">
        <v>500</v>
      </c>
      <c r="I935" s="89">
        <v>1</v>
      </c>
      <c r="J935" s="88" t="s">
        <v>936</v>
      </c>
      <c r="K935" s="102"/>
      <c r="L935" s="88" t="s">
        <v>777</v>
      </c>
      <c r="M935" s="89" t="s">
        <v>381</v>
      </c>
      <c r="N935" s="90">
        <v>0.1</v>
      </c>
      <c r="O935" s="27">
        <f>IFERROR(+VLOOKUP(M935,D.sign_Lista_Data[[RESPONSABLE]:[SOFTWARE 
VALOR HORA]],3,FALSE),"0")</f>
        <v>20263.424518743668</v>
      </c>
      <c r="P935" s="3">
        <f t="shared" si="32"/>
        <v>2026.3424518743668</v>
      </c>
      <c r="Q935" s="11">
        <f>IFERROR(+VLOOKUP(M935,D.sign_Lista_Data[[RESPONSABLE]:[SOFTWARE 
VALOR HORA]],5,FALSE)*D.sign_Data[[#This Row],[TIEMPO (HORAS)]],0)</f>
        <v>422.15467747382638</v>
      </c>
      <c r="R935" s="11">
        <f>IFERROR(+VLOOKUP(M935,D.sign_Lista_Data[[RESPONSABLE]:[SOFTWARE 
VALOR HORA]],8,FALSE)*D.sign_Data[[#This Row],[TIEMPO (HORAS)]],0)</f>
        <v>341.08548871439837</v>
      </c>
      <c r="S935" s="99"/>
      <c r="T935" s="99"/>
      <c r="U935" s="3">
        <f t="shared" si="33"/>
        <v>2789.5826180625913</v>
      </c>
      <c r="V935" s="100">
        <f>D.sign_Data[[#This Row],[TIEMPO (HORAS)]]*Gastos_Operativos[[#Totals],[GASTOS HORA]]</f>
        <v>2778.9477072310401</v>
      </c>
      <c r="W935" s="3">
        <f>+D.sign_Data[[#This Row],[COSTO 
DIRECTO ($COP)]]+D.sign_Data[[#This Row],[PRORRATEO GASTOS ($COP)]]</f>
        <v>5568.5303252936319</v>
      </c>
      <c r="X935" s="101">
        <v>0.1</v>
      </c>
      <c r="Y935" s="15">
        <f>+D.sign_Data[[#This Row],[COSTOS OPERACIONALES ($COP)]]*D.sign_Data[[#This Row],[DESFASE (%)]]</f>
        <v>556.85303252936319</v>
      </c>
      <c r="Z935" s="101">
        <v>0.2</v>
      </c>
      <c r="AA935" s="15">
        <f>+((D.sign_Data[[#This Row],[COSTOS OPERACIONALES ($COP)]]/(100%-D.sign_Data[[#This Row],[UTILIDAD (%)]])))-D.sign_Data[[#This Row],[COSTOS OPERACIONALES ($COP)]]</f>
        <v>1392.132581323408</v>
      </c>
      <c r="AB935" s="3">
        <f>+D.sign_Data[[#This Row],[COSTOS OPERACIONALES ($COP)]]+D.sign_Data[[#This Row],[DESFASE ($COP)]]+D.sign_Data[[#This Row],[UTILIDAD ($COP)]]</f>
        <v>7517.5159391464031</v>
      </c>
      <c r="AC935" s="101">
        <v>0.05</v>
      </c>
      <c r="AD935" s="15">
        <f>+D.sign_Data[[#This Row],[VALOR NETO ($COP)]]/(100%-D.sign_Data[[#This Row],[MARGEN DE NEGOCIACIÓN (%)]])-D.sign_Data[[#This Row],[VALOR NETO ($COP)]]</f>
        <v>395.65873363928495</v>
      </c>
      <c r="AE935" s="15">
        <f>+(D.sign_Data[[#This Row],[VALOR NETO ($COP)]]+D.sign_Data[[#This Row],[NEGOCIACIÓN ($COP)]])*1%</f>
        <v>79.131746727856878</v>
      </c>
      <c r="AF935" s="15">
        <f>+(D.sign_Data[[#This Row],[VALOR NETO ($COP)]]+D.sign_Data[[#This Row],[NEGOCIACIÓN ($COP)]])*1%</f>
        <v>79.131746727856878</v>
      </c>
      <c r="AG935" s="3">
        <f>+D.sign_Data[[#This Row],[VALOR NETO ($COP)]]+D.sign_Data[[#This Row],[NEGOCIACIÓN ($COP)]]+D.sign_Data[[#This Row],[ICA ($COP)]]+D.sign_Data[[#This Row],[4 * 1000 ($COP)]]</f>
        <v>8071.4381662414016</v>
      </c>
    </row>
    <row r="936" spans="1:33" ht="60" hidden="1" customHeight="1" x14ac:dyDescent="0.25">
      <c r="A936" s="14"/>
      <c r="B936" s="87" t="s">
        <v>418</v>
      </c>
      <c r="C936" s="182" t="s">
        <v>938</v>
      </c>
      <c r="D936" s="189" t="str">
        <f>VLOOKUP(D.sign_Data[[#This Row],[CÓDIGO]],Descripciones[[CÓDIGO]:[NOMBRE DE SERVICIO]],3,FALSE)</f>
        <v>D7. Select</v>
      </c>
      <c r="E936" s="87" t="s">
        <v>497</v>
      </c>
      <c r="F936" s="88" t="s">
        <v>930</v>
      </c>
      <c r="G936" s="88" t="s">
        <v>792</v>
      </c>
      <c r="H936" s="87" t="s">
        <v>500</v>
      </c>
      <c r="I936" s="89">
        <v>1</v>
      </c>
      <c r="J936" s="88" t="s">
        <v>936</v>
      </c>
      <c r="K936" s="102"/>
      <c r="L936" s="88" t="s">
        <v>483</v>
      </c>
      <c r="M936" s="89" t="s">
        <v>381</v>
      </c>
      <c r="N936" s="90">
        <v>0.1</v>
      </c>
      <c r="O936" s="27">
        <f>IFERROR(+VLOOKUP(M936,D.sign_Lista_Data[[RESPONSABLE]:[SOFTWARE 
VALOR HORA]],3,FALSE),"0")</f>
        <v>20263.424518743668</v>
      </c>
      <c r="P936" s="3">
        <f t="shared" si="32"/>
        <v>2026.3424518743668</v>
      </c>
      <c r="Q936" s="11">
        <f>IFERROR(+VLOOKUP(M936,D.sign_Lista_Data[[RESPONSABLE]:[SOFTWARE 
VALOR HORA]],5,FALSE)*D.sign_Data[[#This Row],[TIEMPO (HORAS)]],0)</f>
        <v>422.15467747382638</v>
      </c>
      <c r="R936" s="11">
        <f>IFERROR(+VLOOKUP(M936,D.sign_Lista_Data[[RESPONSABLE]:[SOFTWARE 
VALOR HORA]],8,FALSE)*D.sign_Data[[#This Row],[TIEMPO (HORAS)]],0)</f>
        <v>341.08548871439837</v>
      </c>
      <c r="S936" s="99"/>
      <c r="T936" s="99"/>
      <c r="U936" s="3">
        <f t="shared" si="33"/>
        <v>2789.5826180625913</v>
      </c>
      <c r="V936" s="100">
        <f>D.sign_Data[[#This Row],[TIEMPO (HORAS)]]*Gastos_Operativos[[#Totals],[GASTOS HORA]]</f>
        <v>2778.9477072310401</v>
      </c>
      <c r="W936" s="3">
        <f>+D.sign_Data[[#This Row],[COSTO 
DIRECTO ($COP)]]+D.sign_Data[[#This Row],[PRORRATEO GASTOS ($COP)]]</f>
        <v>5568.5303252936319</v>
      </c>
      <c r="X936" s="101">
        <v>0.1</v>
      </c>
      <c r="Y936" s="15">
        <f>+D.sign_Data[[#This Row],[COSTOS OPERACIONALES ($COP)]]*D.sign_Data[[#This Row],[DESFASE (%)]]</f>
        <v>556.85303252936319</v>
      </c>
      <c r="Z936" s="101">
        <v>0.2</v>
      </c>
      <c r="AA936" s="15">
        <f>+((D.sign_Data[[#This Row],[COSTOS OPERACIONALES ($COP)]]/(100%-D.sign_Data[[#This Row],[UTILIDAD (%)]])))-D.sign_Data[[#This Row],[COSTOS OPERACIONALES ($COP)]]</f>
        <v>1392.132581323408</v>
      </c>
      <c r="AB936" s="3">
        <f>+D.sign_Data[[#This Row],[COSTOS OPERACIONALES ($COP)]]+D.sign_Data[[#This Row],[DESFASE ($COP)]]+D.sign_Data[[#This Row],[UTILIDAD ($COP)]]</f>
        <v>7517.5159391464031</v>
      </c>
      <c r="AC936" s="101">
        <v>0.05</v>
      </c>
      <c r="AD936" s="15">
        <f>+D.sign_Data[[#This Row],[VALOR NETO ($COP)]]/(100%-D.sign_Data[[#This Row],[MARGEN DE NEGOCIACIÓN (%)]])-D.sign_Data[[#This Row],[VALOR NETO ($COP)]]</f>
        <v>395.65873363928495</v>
      </c>
      <c r="AE936" s="15">
        <f>+(D.sign_Data[[#This Row],[VALOR NETO ($COP)]]+D.sign_Data[[#This Row],[NEGOCIACIÓN ($COP)]])*1%</f>
        <v>79.131746727856878</v>
      </c>
      <c r="AF936" s="15">
        <f>+(D.sign_Data[[#This Row],[VALOR NETO ($COP)]]+D.sign_Data[[#This Row],[NEGOCIACIÓN ($COP)]])*1%</f>
        <v>79.131746727856878</v>
      </c>
      <c r="AG936" s="3">
        <f>+D.sign_Data[[#This Row],[VALOR NETO ($COP)]]+D.sign_Data[[#This Row],[NEGOCIACIÓN ($COP)]]+D.sign_Data[[#This Row],[ICA ($COP)]]+D.sign_Data[[#This Row],[4 * 1000 ($COP)]]</f>
        <v>8071.4381662414016</v>
      </c>
    </row>
    <row r="937" spans="1:33" ht="60" hidden="1" customHeight="1" x14ac:dyDescent="0.25">
      <c r="A937" s="14"/>
      <c r="B937" s="87" t="s">
        <v>418</v>
      </c>
      <c r="C937" s="182" t="s">
        <v>938</v>
      </c>
      <c r="D937" s="189" t="str">
        <f>VLOOKUP(D.sign_Data[[#This Row],[CÓDIGO]],Descripciones[[CÓDIGO]:[NOMBRE DE SERVICIO]],3,FALSE)</f>
        <v>D7. Select</v>
      </c>
      <c r="E937" s="87" t="s">
        <v>497</v>
      </c>
      <c r="F937" s="88" t="s">
        <v>930</v>
      </c>
      <c r="G937" s="88" t="s">
        <v>792</v>
      </c>
      <c r="H937" s="87" t="s">
        <v>500</v>
      </c>
      <c r="I937" s="89">
        <v>1</v>
      </c>
      <c r="J937" s="88" t="s">
        <v>937</v>
      </c>
      <c r="K937" s="102"/>
      <c r="L937" s="88" t="s">
        <v>784</v>
      </c>
      <c r="M937" s="89" t="s">
        <v>381</v>
      </c>
      <c r="N937" s="90">
        <v>0.5</v>
      </c>
      <c r="O937" s="27">
        <f>IFERROR(+VLOOKUP(M937,D.sign_Lista_Data[[RESPONSABLE]:[SOFTWARE 
VALOR HORA]],3,FALSE),"0")</f>
        <v>20263.424518743668</v>
      </c>
      <c r="P937" s="3">
        <f t="shared" si="32"/>
        <v>10131.712259371834</v>
      </c>
      <c r="Q937" s="11">
        <f>IFERROR(+VLOOKUP(M937,D.sign_Lista_Data[[RESPONSABLE]:[SOFTWARE 
VALOR HORA]],5,FALSE)*D.sign_Data[[#This Row],[TIEMPO (HORAS)]],0)</f>
        <v>2110.7733873691318</v>
      </c>
      <c r="R937" s="11">
        <f>IFERROR(+VLOOKUP(M937,D.sign_Lista_Data[[RESPONSABLE]:[SOFTWARE 
VALOR HORA]],8,FALSE)*D.sign_Data[[#This Row],[TIEMPO (HORAS)]],0)</f>
        <v>1705.4274435719917</v>
      </c>
      <c r="S937" s="99"/>
      <c r="T937" s="99"/>
      <c r="U937" s="3">
        <f t="shared" si="33"/>
        <v>13947.913090312959</v>
      </c>
      <c r="V937" s="100">
        <f>D.sign_Data[[#This Row],[TIEMPO (HORAS)]]*Gastos_Operativos[[#Totals],[GASTOS HORA]]</f>
        <v>13894.738536155201</v>
      </c>
      <c r="W937" s="3">
        <f>+D.sign_Data[[#This Row],[COSTO 
DIRECTO ($COP)]]+D.sign_Data[[#This Row],[PRORRATEO GASTOS ($COP)]]</f>
        <v>27842.65162646816</v>
      </c>
      <c r="X937" s="101">
        <v>0.1</v>
      </c>
      <c r="Y937" s="15">
        <f>+D.sign_Data[[#This Row],[COSTOS OPERACIONALES ($COP)]]*D.sign_Data[[#This Row],[DESFASE (%)]]</f>
        <v>2784.265162646816</v>
      </c>
      <c r="Z937" s="101">
        <v>0.2</v>
      </c>
      <c r="AA937" s="15">
        <f>+((D.sign_Data[[#This Row],[COSTOS OPERACIONALES ($COP)]]/(100%-D.sign_Data[[#This Row],[UTILIDAD (%)]])))-D.sign_Data[[#This Row],[COSTOS OPERACIONALES ($COP)]]</f>
        <v>6960.662906617039</v>
      </c>
      <c r="AB937" s="3">
        <f>+D.sign_Data[[#This Row],[COSTOS OPERACIONALES ($COP)]]+D.sign_Data[[#This Row],[DESFASE ($COP)]]+D.sign_Data[[#This Row],[UTILIDAD ($COP)]]</f>
        <v>37587.579695732013</v>
      </c>
      <c r="AC937" s="101">
        <v>0.05</v>
      </c>
      <c r="AD937" s="15">
        <f>+D.sign_Data[[#This Row],[VALOR NETO ($COP)]]/(100%-D.sign_Data[[#This Row],[MARGEN DE NEGOCIACIÓN (%)]])-D.sign_Data[[#This Row],[VALOR NETO ($COP)]]</f>
        <v>1978.2936681964202</v>
      </c>
      <c r="AE937" s="15">
        <f>+(D.sign_Data[[#This Row],[VALOR NETO ($COP)]]+D.sign_Data[[#This Row],[NEGOCIACIÓN ($COP)]])*1%</f>
        <v>395.65873363928432</v>
      </c>
      <c r="AF937" s="15">
        <f>+(D.sign_Data[[#This Row],[VALOR NETO ($COP)]]+D.sign_Data[[#This Row],[NEGOCIACIÓN ($COP)]])*1%</f>
        <v>395.65873363928432</v>
      </c>
      <c r="AG937" s="3">
        <f>+D.sign_Data[[#This Row],[VALOR NETO ($COP)]]+D.sign_Data[[#This Row],[NEGOCIACIÓN ($COP)]]+D.sign_Data[[#This Row],[ICA ($COP)]]+D.sign_Data[[#This Row],[4 * 1000 ($COP)]]</f>
        <v>40357.190831207001</v>
      </c>
    </row>
    <row r="938" spans="1:33" ht="60" hidden="1" customHeight="1" x14ac:dyDescent="0.25">
      <c r="A938" s="14"/>
      <c r="B938" s="87" t="s">
        <v>418</v>
      </c>
      <c r="C938" s="182" t="s">
        <v>929</v>
      </c>
      <c r="D938" s="189" t="str">
        <f>VLOOKUP(D.sign_Data[[#This Row],[CÓDIGO]],Descripciones[[CÓDIGO]:[NOMBRE DE SERVICIO]],3,FALSE)</f>
        <v>D3. Vivienda Campestre</v>
      </c>
      <c r="E938" s="87" t="s">
        <v>497</v>
      </c>
      <c r="F938" s="88" t="s">
        <v>930</v>
      </c>
      <c r="G938" s="88" t="s">
        <v>792</v>
      </c>
      <c r="H938" s="87" t="s">
        <v>500</v>
      </c>
      <c r="I938" s="89">
        <v>1</v>
      </c>
      <c r="J938" s="88" t="s">
        <v>937</v>
      </c>
      <c r="K938" s="102"/>
      <c r="L938" s="88" t="s">
        <v>785</v>
      </c>
      <c r="M938" s="89" t="s">
        <v>381</v>
      </c>
      <c r="N938" s="90">
        <v>0.2</v>
      </c>
      <c r="O938" s="27">
        <f>IFERROR(+VLOOKUP(M938,D.sign_Lista_Data[[RESPONSABLE]:[SOFTWARE 
VALOR HORA]],3,FALSE),"0")</f>
        <v>20263.424518743668</v>
      </c>
      <c r="P938" s="3">
        <f t="shared" si="28"/>
        <v>4052.6849037487336</v>
      </c>
      <c r="Q938" s="11">
        <f>IFERROR(+VLOOKUP(M938,D.sign_Lista_Data[[RESPONSABLE]:[SOFTWARE 
VALOR HORA]],5,FALSE)*D.sign_Data[[#This Row],[TIEMPO (HORAS)]],0)</f>
        <v>844.30935494765276</v>
      </c>
      <c r="R938" s="11">
        <f>IFERROR(+VLOOKUP(M938,D.sign_Lista_Data[[RESPONSABLE]:[SOFTWARE 
VALOR HORA]],8,FALSE)*D.sign_Data[[#This Row],[TIEMPO (HORAS)]],0)</f>
        <v>682.17097742879673</v>
      </c>
      <c r="S938" s="99"/>
      <c r="T938" s="99"/>
      <c r="U938" s="3">
        <f t="shared" si="29"/>
        <v>5579.1652361251827</v>
      </c>
      <c r="V938" s="100">
        <f>D.sign_Data[[#This Row],[TIEMPO (HORAS)]]*Gastos_Operativos[[#Totals],[GASTOS HORA]]</f>
        <v>5557.8954144620802</v>
      </c>
      <c r="W938" s="3">
        <f>+D.sign_Data[[#This Row],[COSTO 
DIRECTO ($COP)]]+D.sign_Data[[#This Row],[PRORRATEO GASTOS ($COP)]]</f>
        <v>11137.060650587264</v>
      </c>
      <c r="X938" s="101">
        <v>0.1</v>
      </c>
      <c r="Y938" s="15">
        <f>+D.sign_Data[[#This Row],[COSTOS OPERACIONALES ($COP)]]*D.sign_Data[[#This Row],[DESFASE (%)]]</f>
        <v>1113.7060650587264</v>
      </c>
      <c r="Z938" s="101">
        <v>0.2</v>
      </c>
      <c r="AA938" s="15">
        <f>+((D.sign_Data[[#This Row],[COSTOS OPERACIONALES ($COP)]]/(100%-D.sign_Data[[#This Row],[UTILIDAD (%)]])))-D.sign_Data[[#This Row],[COSTOS OPERACIONALES ($COP)]]</f>
        <v>2784.265162646816</v>
      </c>
      <c r="AB938" s="3">
        <f>+D.sign_Data[[#This Row],[COSTOS OPERACIONALES ($COP)]]+D.sign_Data[[#This Row],[DESFASE ($COP)]]+D.sign_Data[[#This Row],[UTILIDAD ($COP)]]</f>
        <v>15035.031878292806</v>
      </c>
      <c r="AC938" s="101">
        <v>0.05</v>
      </c>
      <c r="AD938" s="15">
        <f>+D.sign_Data[[#This Row],[VALOR NETO ($COP)]]/(100%-D.sign_Data[[#This Row],[MARGEN DE NEGOCIACIÓN (%)]])-D.sign_Data[[#This Row],[VALOR NETO ($COP)]]</f>
        <v>791.31746727856989</v>
      </c>
      <c r="AE938" s="15">
        <f>+(D.sign_Data[[#This Row],[VALOR NETO ($COP)]]+D.sign_Data[[#This Row],[NEGOCIACIÓN ($COP)]])*1%</f>
        <v>158.26349345571376</v>
      </c>
      <c r="AF938" s="15">
        <f>+(D.sign_Data[[#This Row],[VALOR NETO ($COP)]]+D.sign_Data[[#This Row],[NEGOCIACIÓN ($COP)]])*1%</f>
        <v>158.26349345571376</v>
      </c>
      <c r="AG938" s="3">
        <f>+D.sign_Data[[#This Row],[VALOR NETO ($COP)]]+D.sign_Data[[#This Row],[NEGOCIACIÓN ($COP)]]+D.sign_Data[[#This Row],[ICA ($COP)]]+D.sign_Data[[#This Row],[4 * 1000 ($COP)]]</f>
        <v>16142.876332482803</v>
      </c>
    </row>
    <row r="939" spans="1:33" ht="60" hidden="1" customHeight="1" x14ac:dyDescent="0.25">
      <c r="A939" s="14"/>
      <c r="B939" s="87" t="s">
        <v>418</v>
      </c>
      <c r="C939" s="182" t="s">
        <v>929</v>
      </c>
      <c r="D939" s="189" t="str">
        <f>VLOOKUP(D.sign_Data[[#This Row],[CÓDIGO]],Descripciones[[CÓDIGO]:[NOMBRE DE SERVICIO]],3,FALSE)</f>
        <v>D3. Vivienda Campestre</v>
      </c>
      <c r="E939" s="87" t="s">
        <v>497</v>
      </c>
      <c r="F939" s="88" t="s">
        <v>930</v>
      </c>
      <c r="G939" s="88" t="s">
        <v>792</v>
      </c>
      <c r="H939" s="87" t="s">
        <v>500</v>
      </c>
      <c r="I939" s="89">
        <v>1</v>
      </c>
      <c r="J939" s="88" t="s">
        <v>937</v>
      </c>
      <c r="K939" s="102"/>
      <c r="L939" s="88" t="s">
        <v>786</v>
      </c>
      <c r="M939" s="89" t="s">
        <v>381</v>
      </c>
      <c r="N939" s="90">
        <v>0.5</v>
      </c>
      <c r="O939" s="27">
        <f>IFERROR(+VLOOKUP(M939,D.sign_Lista_Data[[RESPONSABLE]:[SOFTWARE 
VALOR HORA]],3,FALSE),"0")</f>
        <v>20263.424518743668</v>
      </c>
      <c r="P939" s="3">
        <f t="shared" si="28"/>
        <v>10131.712259371834</v>
      </c>
      <c r="Q939" s="11">
        <f>IFERROR(+VLOOKUP(M939,D.sign_Lista_Data[[RESPONSABLE]:[SOFTWARE 
VALOR HORA]],5,FALSE)*D.sign_Data[[#This Row],[TIEMPO (HORAS)]],0)</f>
        <v>2110.7733873691318</v>
      </c>
      <c r="R939" s="11">
        <f>IFERROR(+VLOOKUP(M939,D.sign_Lista_Data[[RESPONSABLE]:[SOFTWARE 
VALOR HORA]],8,FALSE)*D.sign_Data[[#This Row],[TIEMPO (HORAS)]],0)</f>
        <v>1705.4274435719917</v>
      </c>
      <c r="S939" s="99"/>
      <c r="T939" s="99"/>
      <c r="U939" s="3">
        <f t="shared" si="29"/>
        <v>13947.913090312959</v>
      </c>
      <c r="V939" s="100">
        <f>D.sign_Data[[#This Row],[TIEMPO (HORAS)]]*Gastos_Operativos[[#Totals],[GASTOS HORA]]</f>
        <v>13894.738536155201</v>
      </c>
      <c r="W939" s="3">
        <f>+D.sign_Data[[#This Row],[COSTO 
DIRECTO ($COP)]]+D.sign_Data[[#This Row],[PRORRATEO GASTOS ($COP)]]</f>
        <v>27842.65162646816</v>
      </c>
      <c r="X939" s="101">
        <v>0.1</v>
      </c>
      <c r="Y939" s="15">
        <f>+D.sign_Data[[#This Row],[COSTOS OPERACIONALES ($COP)]]*D.sign_Data[[#This Row],[DESFASE (%)]]</f>
        <v>2784.265162646816</v>
      </c>
      <c r="Z939" s="101">
        <v>0.2</v>
      </c>
      <c r="AA939" s="15">
        <f>+((D.sign_Data[[#This Row],[COSTOS OPERACIONALES ($COP)]]/(100%-D.sign_Data[[#This Row],[UTILIDAD (%)]])))-D.sign_Data[[#This Row],[COSTOS OPERACIONALES ($COP)]]</f>
        <v>6960.662906617039</v>
      </c>
      <c r="AB939" s="3">
        <f>+D.sign_Data[[#This Row],[COSTOS OPERACIONALES ($COP)]]+D.sign_Data[[#This Row],[DESFASE ($COP)]]+D.sign_Data[[#This Row],[UTILIDAD ($COP)]]</f>
        <v>37587.579695732013</v>
      </c>
      <c r="AC939" s="101">
        <v>0.05</v>
      </c>
      <c r="AD939" s="15">
        <f>+D.sign_Data[[#This Row],[VALOR NETO ($COP)]]/(100%-D.sign_Data[[#This Row],[MARGEN DE NEGOCIACIÓN (%)]])-D.sign_Data[[#This Row],[VALOR NETO ($COP)]]</f>
        <v>1978.2936681964202</v>
      </c>
      <c r="AE939" s="15">
        <f>+(D.sign_Data[[#This Row],[VALOR NETO ($COP)]]+D.sign_Data[[#This Row],[NEGOCIACIÓN ($COP)]])*1%</f>
        <v>395.65873363928432</v>
      </c>
      <c r="AF939" s="15">
        <f>+(D.sign_Data[[#This Row],[VALOR NETO ($COP)]]+D.sign_Data[[#This Row],[NEGOCIACIÓN ($COP)]])*1%</f>
        <v>395.65873363928432</v>
      </c>
      <c r="AG939" s="3">
        <f>+D.sign_Data[[#This Row],[VALOR NETO ($COP)]]+D.sign_Data[[#This Row],[NEGOCIACIÓN ($COP)]]+D.sign_Data[[#This Row],[ICA ($COP)]]+D.sign_Data[[#This Row],[4 * 1000 ($COP)]]</f>
        <v>40357.190831207001</v>
      </c>
    </row>
    <row r="940" spans="1:33" ht="60" hidden="1" customHeight="1" x14ac:dyDescent="0.25">
      <c r="A940" s="14"/>
      <c r="B940" s="87" t="s">
        <v>418</v>
      </c>
      <c r="C940" s="182" t="s">
        <v>929</v>
      </c>
      <c r="D940" s="189" t="str">
        <f>VLOOKUP(D.sign_Data[[#This Row],[CÓDIGO]],Descripciones[[CÓDIGO]:[NOMBRE DE SERVICIO]],3,FALSE)</f>
        <v>D3. Vivienda Campestre</v>
      </c>
      <c r="E940" s="87" t="s">
        <v>497</v>
      </c>
      <c r="F940" s="88" t="s">
        <v>930</v>
      </c>
      <c r="G940" s="88" t="s">
        <v>792</v>
      </c>
      <c r="H940" s="87" t="s">
        <v>500</v>
      </c>
      <c r="I940" s="89">
        <v>1</v>
      </c>
      <c r="J940" s="88" t="s">
        <v>937</v>
      </c>
      <c r="K940" s="102"/>
      <c r="L940" s="88" t="s">
        <v>787</v>
      </c>
      <c r="M940" s="89" t="s">
        <v>381</v>
      </c>
      <c r="N940" s="90">
        <v>0.5</v>
      </c>
      <c r="O940" s="27">
        <f>IFERROR(+VLOOKUP(M940,D.sign_Lista_Data[[RESPONSABLE]:[SOFTWARE 
VALOR HORA]],3,FALSE),"0")</f>
        <v>20263.424518743668</v>
      </c>
      <c r="P940" s="3">
        <f t="shared" si="28"/>
        <v>10131.712259371834</v>
      </c>
      <c r="Q940" s="11">
        <f>IFERROR(+VLOOKUP(M940,D.sign_Lista_Data[[RESPONSABLE]:[SOFTWARE 
VALOR HORA]],5,FALSE)*D.sign_Data[[#This Row],[TIEMPO (HORAS)]],0)</f>
        <v>2110.7733873691318</v>
      </c>
      <c r="R940" s="11">
        <f>IFERROR(+VLOOKUP(M940,D.sign_Lista_Data[[RESPONSABLE]:[SOFTWARE 
VALOR HORA]],8,FALSE)*D.sign_Data[[#This Row],[TIEMPO (HORAS)]],0)</f>
        <v>1705.4274435719917</v>
      </c>
      <c r="S940" s="99"/>
      <c r="T940" s="99"/>
      <c r="U940" s="3">
        <f t="shared" si="29"/>
        <v>13947.913090312959</v>
      </c>
      <c r="V940" s="100">
        <f>D.sign_Data[[#This Row],[TIEMPO (HORAS)]]*Gastos_Operativos[[#Totals],[GASTOS HORA]]</f>
        <v>13894.738536155201</v>
      </c>
      <c r="W940" s="3">
        <f>+D.sign_Data[[#This Row],[COSTO 
DIRECTO ($COP)]]+D.sign_Data[[#This Row],[PRORRATEO GASTOS ($COP)]]</f>
        <v>27842.65162646816</v>
      </c>
      <c r="X940" s="101">
        <v>0.1</v>
      </c>
      <c r="Y940" s="15">
        <f>+D.sign_Data[[#This Row],[COSTOS OPERACIONALES ($COP)]]*D.sign_Data[[#This Row],[DESFASE (%)]]</f>
        <v>2784.265162646816</v>
      </c>
      <c r="Z940" s="101">
        <v>0.2</v>
      </c>
      <c r="AA940" s="15">
        <f>+((D.sign_Data[[#This Row],[COSTOS OPERACIONALES ($COP)]]/(100%-D.sign_Data[[#This Row],[UTILIDAD (%)]])))-D.sign_Data[[#This Row],[COSTOS OPERACIONALES ($COP)]]</f>
        <v>6960.662906617039</v>
      </c>
      <c r="AB940" s="3">
        <f>+D.sign_Data[[#This Row],[COSTOS OPERACIONALES ($COP)]]+D.sign_Data[[#This Row],[DESFASE ($COP)]]+D.sign_Data[[#This Row],[UTILIDAD ($COP)]]</f>
        <v>37587.579695732013</v>
      </c>
      <c r="AC940" s="101">
        <v>0.05</v>
      </c>
      <c r="AD940" s="15">
        <f>+D.sign_Data[[#This Row],[VALOR NETO ($COP)]]/(100%-D.sign_Data[[#This Row],[MARGEN DE NEGOCIACIÓN (%)]])-D.sign_Data[[#This Row],[VALOR NETO ($COP)]]</f>
        <v>1978.2936681964202</v>
      </c>
      <c r="AE940" s="15">
        <f>+(D.sign_Data[[#This Row],[VALOR NETO ($COP)]]+D.sign_Data[[#This Row],[NEGOCIACIÓN ($COP)]])*1%</f>
        <v>395.65873363928432</v>
      </c>
      <c r="AF940" s="15">
        <f>+(D.sign_Data[[#This Row],[VALOR NETO ($COP)]]+D.sign_Data[[#This Row],[NEGOCIACIÓN ($COP)]])*1%</f>
        <v>395.65873363928432</v>
      </c>
      <c r="AG940" s="3">
        <f>+D.sign_Data[[#This Row],[VALOR NETO ($COP)]]+D.sign_Data[[#This Row],[NEGOCIACIÓN ($COP)]]+D.sign_Data[[#This Row],[ICA ($COP)]]+D.sign_Data[[#This Row],[4 * 1000 ($COP)]]</f>
        <v>40357.190831207001</v>
      </c>
    </row>
    <row r="941" spans="1:33" ht="60" hidden="1" customHeight="1" x14ac:dyDescent="0.25">
      <c r="A941" s="14"/>
      <c r="B941" s="87" t="s">
        <v>418</v>
      </c>
      <c r="C941" s="182" t="s">
        <v>929</v>
      </c>
      <c r="D941" s="189" t="str">
        <f>VLOOKUP(D.sign_Data[[#This Row],[CÓDIGO]],Descripciones[[CÓDIGO]:[NOMBRE DE SERVICIO]],3,FALSE)</f>
        <v>D3. Vivienda Campestre</v>
      </c>
      <c r="E941" s="87" t="s">
        <v>497</v>
      </c>
      <c r="F941" s="88" t="s">
        <v>930</v>
      </c>
      <c r="G941" s="88" t="s">
        <v>792</v>
      </c>
      <c r="H941" s="87" t="s">
        <v>500</v>
      </c>
      <c r="I941" s="89">
        <v>1</v>
      </c>
      <c r="J941" s="88" t="s">
        <v>937</v>
      </c>
      <c r="K941" s="102"/>
      <c r="L941" s="88" t="s">
        <v>788</v>
      </c>
      <c r="M941" s="89" t="s">
        <v>381</v>
      </c>
      <c r="N941" s="90">
        <v>0.1</v>
      </c>
      <c r="O941" s="27">
        <f>IFERROR(+VLOOKUP(M941,D.sign_Lista_Data[[RESPONSABLE]:[SOFTWARE 
VALOR HORA]],3,FALSE),"0")</f>
        <v>20263.424518743668</v>
      </c>
      <c r="P941" s="3">
        <f t="shared" si="28"/>
        <v>2026.3424518743668</v>
      </c>
      <c r="Q941" s="11">
        <f>IFERROR(+VLOOKUP(M941,D.sign_Lista_Data[[RESPONSABLE]:[SOFTWARE 
VALOR HORA]],5,FALSE)*D.sign_Data[[#This Row],[TIEMPO (HORAS)]],0)</f>
        <v>422.15467747382638</v>
      </c>
      <c r="R941" s="11">
        <f>IFERROR(+VLOOKUP(M941,D.sign_Lista_Data[[RESPONSABLE]:[SOFTWARE 
VALOR HORA]],8,FALSE)*D.sign_Data[[#This Row],[TIEMPO (HORAS)]],0)</f>
        <v>341.08548871439837</v>
      </c>
      <c r="S941" s="99"/>
      <c r="T941" s="99"/>
      <c r="U941" s="3">
        <f t="shared" si="29"/>
        <v>2789.5826180625913</v>
      </c>
      <c r="V941" s="100">
        <f>D.sign_Data[[#This Row],[TIEMPO (HORAS)]]*Gastos_Operativos[[#Totals],[GASTOS HORA]]</f>
        <v>2778.9477072310401</v>
      </c>
      <c r="W941" s="3">
        <f>+D.sign_Data[[#This Row],[COSTO 
DIRECTO ($COP)]]+D.sign_Data[[#This Row],[PRORRATEO GASTOS ($COP)]]</f>
        <v>5568.5303252936319</v>
      </c>
      <c r="X941" s="101">
        <v>0.1</v>
      </c>
      <c r="Y941" s="15">
        <f>+D.sign_Data[[#This Row],[COSTOS OPERACIONALES ($COP)]]*D.sign_Data[[#This Row],[DESFASE (%)]]</f>
        <v>556.85303252936319</v>
      </c>
      <c r="Z941" s="101">
        <v>0.2</v>
      </c>
      <c r="AA941" s="15">
        <f>+((D.sign_Data[[#This Row],[COSTOS OPERACIONALES ($COP)]]/(100%-D.sign_Data[[#This Row],[UTILIDAD (%)]])))-D.sign_Data[[#This Row],[COSTOS OPERACIONALES ($COP)]]</f>
        <v>1392.132581323408</v>
      </c>
      <c r="AB941" s="3">
        <f>+D.sign_Data[[#This Row],[COSTOS OPERACIONALES ($COP)]]+D.sign_Data[[#This Row],[DESFASE ($COP)]]+D.sign_Data[[#This Row],[UTILIDAD ($COP)]]</f>
        <v>7517.5159391464031</v>
      </c>
      <c r="AC941" s="101">
        <v>0.05</v>
      </c>
      <c r="AD941" s="15">
        <f>+D.sign_Data[[#This Row],[VALOR NETO ($COP)]]/(100%-D.sign_Data[[#This Row],[MARGEN DE NEGOCIACIÓN (%)]])-D.sign_Data[[#This Row],[VALOR NETO ($COP)]]</f>
        <v>395.65873363928495</v>
      </c>
      <c r="AE941" s="15">
        <f>+(D.sign_Data[[#This Row],[VALOR NETO ($COP)]]+D.sign_Data[[#This Row],[NEGOCIACIÓN ($COP)]])*1%</f>
        <v>79.131746727856878</v>
      </c>
      <c r="AF941" s="15">
        <f>+(D.sign_Data[[#This Row],[VALOR NETO ($COP)]]+D.sign_Data[[#This Row],[NEGOCIACIÓN ($COP)]])*1%</f>
        <v>79.131746727856878</v>
      </c>
      <c r="AG941" s="3">
        <f>+D.sign_Data[[#This Row],[VALOR NETO ($COP)]]+D.sign_Data[[#This Row],[NEGOCIACIÓN ($COP)]]+D.sign_Data[[#This Row],[ICA ($COP)]]+D.sign_Data[[#This Row],[4 * 1000 ($COP)]]</f>
        <v>8071.4381662414016</v>
      </c>
    </row>
    <row r="942" spans="1:33" ht="60" hidden="1" customHeight="1" x14ac:dyDescent="0.25">
      <c r="A942" s="14"/>
      <c r="B942" s="87" t="s">
        <v>418</v>
      </c>
      <c r="C942" s="182" t="s">
        <v>929</v>
      </c>
      <c r="D942" s="189" t="str">
        <f>VLOOKUP(D.sign_Data[[#This Row],[CÓDIGO]],Descripciones[[CÓDIGO]:[NOMBRE DE SERVICIO]],3,FALSE)</f>
        <v>D3. Vivienda Campestre</v>
      </c>
      <c r="E942" s="87" t="s">
        <v>497</v>
      </c>
      <c r="F942" s="88" t="s">
        <v>930</v>
      </c>
      <c r="G942" s="88" t="s">
        <v>792</v>
      </c>
      <c r="H942" s="87" t="s">
        <v>500</v>
      </c>
      <c r="I942" s="89">
        <v>1</v>
      </c>
      <c r="J942" s="88" t="s">
        <v>937</v>
      </c>
      <c r="K942" s="102"/>
      <c r="L942" s="88" t="s">
        <v>483</v>
      </c>
      <c r="M942" s="89" t="s">
        <v>381</v>
      </c>
      <c r="N942" s="90">
        <v>0.1</v>
      </c>
      <c r="O942" s="27">
        <f>IFERROR(+VLOOKUP(M942,D.sign_Lista_Data[[RESPONSABLE]:[SOFTWARE 
VALOR HORA]],3,FALSE),"0")</f>
        <v>20263.424518743668</v>
      </c>
      <c r="P942" s="3">
        <f t="shared" si="28"/>
        <v>2026.3424518743668</v>
      </c>
      <c r="Q942" s="11">
        <f>IFERROR(+VLOOKUP(M942,D.sign_Lista_Data[[RESPONSABLE]:[SOFTWARE 
VALOR HORA]],5,FALSE)*D.sign_Data[[#This Row],[TIEMPO (HORAS)]],0)</f>
        <v>422.15467747382638</v>
      </c>
      <c r="R942" s="11">
        <f>IFERROR(+VLOOKUP(M942,D.sign_Lista_Data[[RESPONSABLE]:[SOFTWARE 
VALOR HORA]],8,FALSE)*D.sign_Data[[#This Row],[TIEMPO (HORAS)]],0)</f>
        <v>341.08548871439837</v>
      </c>
      <c r="S942" s="99"/>
      <c r="T942" s="99"/>
      <c r="U942" s="3">
        <f t="shared" si="29"/>
        <v>2789.5826180625913</v>
      </c>
      <c r="V942" s="100">
        <f>D.sign_Data[[#This Row],[TIEMPO (HORAS)]]*Gastos_Operativos[[#Totals],[GASTOS HORA]]</f>
        <v>2778.9477072310401</v>
      </c>
      <c r="W942" s="3">
        <f>+D.sign_Data[[#This Row],[COSTO 
DIRECTO ($COP)]]+D.sign_Data[[#This Row],[PRORRATEO GASTOS ($COP)]]</f>
        <v>5568.5303252936319</v>
      </c>
      <c r="X942" s="101">
        <v>0.1</v>
      </c>
      <c r="Y942" s="15">
        <f>+D.sign_Data[[#This Row],[COSTOS OPERACIONALES ($COP)]]*D.sign_Data[[#This Row],[DESFASE (%)]]</f>
        <v>556.85303252936319</v>
      </c>
      <c r="Z942" s="101">
        <v>0.2</v>
      </c>
      <c r="AA942" s="15">
        <f>+((D.sign_Data[[#This Row],[COSTOS OPERACIONALES ($COP)]]/(100%-D.sign_Data[[#This Row],[UTILIDAD (%)]])))-D.sign_Data[[#This Row],[COSTOS OPERACIONALES ($COP)]]</f>
        <v>1392.132581323408</v>
      </c>
      <c r="AB942" s="3">
        <f>+D.sign_Data[[#This Row],[COSTOS OPERACIONALES ($COP)]]+D.sign_Data[[#This Row],[DESFASE ($COP)]]+D.sign_Data[[#This Row],[UTILIDAD ($COP)]]</f>
        <v>7517.5159391464031</v>
      </c>
      <c r="AC942" s="101">
        <v>0.05</v>
      </c>
      <c r="AD942" s="15">
        <f>+D.sign_Data[[#This Row],[VALOR NETO ($COP)]]/(100%-D.sign_Data[[#This Row],[MARGEN DE NEGOCIACIÓN (%)]])-D.sign_Data[[#This Row],[VALOR NETO ($COP)]]</f>
        <v>395.65873363928495</v>
      </c>
      <c r="AE942" s="15">
        <f>+(D.sign_Data[[#This Row],[VALOR NETO ($COP)]]+D.sign_Data[[#This Row],[NEGOCIACIÓN ($COP)]])*1%</f>
        <v>79.131746727856878</v>
      </c>
      <c r="AF942" s="15">
        <f>+(D.sign_Data[[#This Row],[VALOR NETO ($COP)]]+D.sign_Data[[#This Row],[NEGOCIACIÓN ($COP)]])*1%</f>
        <v>79.131746727856878</v>
      </c>
      <c r="AG942" s="3">
        <f>+D.sign_Data[[#This Row],[VALOR NETO ($COP)]]+D.sign_Data[[#This Row],[NEGOCIACIÓN ($COP)]]+D.sign_Data[[#This Row],[ICA ($COP)]]+D.sign_Data[[#This Row],[4 * 1000 ($COP)]]</f>
        <v>8071.4381662414016</v>
      </c>
    </row>
    <row r="943" spans="1:33" ht="60" hidden="1" customHeight="1" x14ac:dyDescent="0.25">
      <c r="A943" s="14"/>
      <c r="B943" s="87" t="s">
        <v>418</v>
      </c>
      <c r="C943" s="182" t="s">
        <v>929</v>
      </c>
      <c r="D943" s="189" t="str">
        <f>VLOOKUP(D.sign_Data[[#This Row],[CÓDIGO]],Descripciones[[CÓDIGO]:[NOMBRE DE SERVICIO]],3,FALSE)</f>
        <v>D3. Vivienda Campestre</v>
      </c>
      <c r="E943" s="87" t="s">
        <v>497</v>
      </c>
      <c r="F943" s="88" t="s">
        <v>930</v>
      </c>
      <c r="G943" s="88" t="s">
        <v>792</v>
      </c>
      <c r="H943" s="87" t="s">
        <v>448</v>
      </c>
      <c r="I943" s="89">
        <v>1</v>
      </c>
      <c r="J943" s="88" t="s">
        <v>803</v>
      </c>
      <c r="K943" s="102"/>
      <c r="L943" s="88" t="s">
        <v>464</v>
      </c>
      <c r="M943" s="89" t="s">
        <v>381</v>
      </c>
      <c r="N943" s="90">
        <v>0.25</v>
      </c>
      <c r="O943" s="27">
        <f>IFERROR(+VLOOKUP(M943,D.sign_Lista_Data[[RESPONSABLE]:[SOFTWARE 
VALOR HORA]],3,FALSE),"0")</f>
        <v>20263.424518743668</v>
      </c>
      <c r="P943" s="3">
        <f t="shared" si="28"/>
        <v>5065.856129685917</v>
      </c>
      <c r="Q943" s="11">
        <f>IFERROR(+VLOOKUP(M943,D.sign_Lista_Data[[RESPONSABLE]:[SOFTWARE 
VALOR HORA]],5,FALSE)*D.sign_Data[[#This Row],[TIEMPO (HORAS)]],0)</f>
        <v>1055.3866936845659</v>
      </c>
      <c r="R943" s="11">
        <f>IFERROR(+VLOOKUP(M943,D.sign_Lista_Data[[RESPONSABLE]:[SOFTWARE 
VALOR HORA]],8,FALSE)*D.sign_Data[[#This Row],[TIEMPO (HORAS)]],0)</f>
        <v>852.71372178599586</v>
      </c>
      <c r="S943" s="99"/>
      <c r="T943" s="99"/>
      <c r="U943" s="3">
        <f t="shared" si="29"/>
        <v>6973.9565451564795</v>
      </c>
      <c r="V943" s="100">
        <f>D.sign_Data[[#This Row],[TIEMPO (HORAS)]]*Gastos_Operativos[[#Totals],[GASTOS HORA]]</f>
        <v>6947.3692680776003</v>
      </c>
      <c r="W943" s="3">
        <f>+D.sign_Data[[#This Row],[COSTO 
DIRECTO ($COP)]]+D.sign_Data[[#This Row],[PRORRATEO GASTOS ($COP)]]</f>
        <v>13921.32581323408</v>
      </c>
      <c r="X943" s="101">
        <v>0.1</v>
      </c>
      <c r="Y943" s="15">
        <f>+D.sign_Data[[#This Row],[COSTOS OPERACIONALES ($COP)]]*D.sign_Data[[#This Row],[DESFASE (%)]]</f>
        <v>1392.132581323408</v>
      </c>
      <c r="Z943" s="101">
        <v>0.2</v>
      </c>
      <c r="AA943" s="15">
        <f>+((D.sign_Data[[#This Row],[COSTOS OPERACIONALES ($COP)]]/(100%-D.sign_Data[[#This Row],[UTILIDAD (%)]])))-D.sign_Data[[#This Row],[COSTOS OPERACIONALES ($COP)]]</f>
        <v>3480.3314533085195</v>
      </c>
      <c r="AB943" s="3">
        <f>+D.sign_Data[[#This Row],[COSTOS OPERACIONALES ($COP)]]+D.sign_Data[[#This Row],[DESFASE ($COP)]]+D.sign_Data[[#This Row],[UTILIDAD ($COP)]]</f>
        <v>18793.789847866006</v>
      </c>
      <c r="AC943" s="101">
        <v>0.05</v>
      </c>
      <c r="AD943" s="15">
        <f>+D.sign_Data[[#This Row],[VALOR NETO ($COP)]]/(100%-D.sign_Data[[#This Row],[MARGEN DE NEGOCIACIÓN (%)]])-D.sign_Data[[#This Row],[VALOR NETO ($COP)]]</f>
        <v>989.14683409821009</v>
      </c>
      <c r="AE943" s="15">
        <f>+(D.sign_Data[[#This Row],[VALOR NETO ($COP)]]+D.sign_Data[[#This Row],[NEGOCIACIÓN ($COP)]])*1%</f>
        <v>197.82936681964216</v>
      </c>
      <c r="AF943" s="15">
        <f>+(D.sign_Data[[#This Row],[VALOR NETO ($COP)]]+D.sign_Data[[#This Row],[NEGOCIACIÓN ($COP)]])*1%</f>
        <v>197.82936681964216</v>
      </c>
      <c r="AG943" s="3">
        <f>+D.sign_Data[[#This Row],[VALOR NETO ($COP)]]+D.sign_Data[[#This Row],[NEGOCIACIÓN ($COP)]]+D.sign_Data[[#This Row],[ICA ($COP)]]+D.sign_Data[[#This Row],[4 * 1000 ($COP)]]</f>
        <v>20178.5954156035</v>
      </c>
    </row>
    <row r="944" spans="1:33" ht="60" hidden="1" customHeight="1" x14ac:dyDescent="0.25">
      <c r="A944" s="14"/>
      <c r="B944" s="87" t="s">
        <v>442</v>
      </c>
      <c r="C944" s="182" t="s">
        <v>940</v>
      </c>
      <c r="D944" s="189" t="str">
        <f>VLOOKUP(D.sign_Data[[#This Row],[CÓDIGO]],Descripciones[[CÓDIGO]:[NOMBRE DE SERVICIO]],3,FALSE)</f>
        <v>D3. Vivienda Campestre</v>
      </c>
      <c r="E944" s="87" t="s">
        <v>497</v>
      </c>
      <c r="F944" s="88" t="s">
        <v>941</v>
      </c>
      <c r="G944" s="88" t="s">
        <v>941</v>
      </c>
      <c r="H944" s="87" t="s">
        <v>500</v>
      </c>
      <c r="I944" s="89">
        <v>1</v>
      </c>
      <c r="J944" s="88" t="s">
        <v>511</v>
      </c>
      <c r="K944" s="102"/>
      <c r="L944" s="88" t="s">
        <v>516</v>
      </c>
      <c r="M944" s="89" t="s">
        <v>381</v>
      </c>
      <c r="N944" s="90">
        <v>9.4</v>
      </c>
      <c r="O944" s="27">
        <f>IFERROR(+VLOOKUP(M944,D.sign_Lista_Data[[RESPONSABLE]:[SOFTWARE 
VALOR HORA]],3,FALSE),"0")</f>
        <v>20263.424518743668</v>
      </c>
      <c r="P944" s="3">
        <f t="shared" si="28"/>
        <v>190476.19047619047</v>
      </c>
      <c r="Q944" s="11">
        <f>IFERROR(+VLOOKUP(M944,D.sign_Lista_Data[[RESPONSABLE]:[SOFTWARE 
VALOR HORA]],5,FALSE)*D.sign_Data[[#This Row],[TIEMPO (HORAS)]],0)</f>
        <v>39682.539682539682</v>
      </c>
      <c r="R944" s="11">
        <f>IFERROR(+VLOOKUP(M944,D.sign_Lista_Data[[RESPONSABLE]:[SOFTWARE 
VALOR HORA]],8,FALSE)*D.sign_Data[[#This Row],[TIEMPO (HORAS)]],0)</f>
        <v>32062.035939153444</v>
      </c>
      <c r="S944" s="99"/>
      <c r="T944" s="99"/>
      <c r="U944" s="3">
        <f t="shared" si="29"/>
        <v>262220.76609788358</v>
      </c>
      <c r="V944" s="100">
        <f>D.sign_Data[[#This Row],[TIEMPO (HORAS)]]*Gastos_Operativos[[#Totals],[GASTOS HORA]]</f>
        <v>261221.08447971777</v>
      </c>
      <c r="W944" s="3">
        <f>+D.sign_Data[[#This Row],[COSTO 
DIRECTO ($COP)]]+D.sign_Data[[#This Row],[PRORRATEO GASTOS ($COP)]]</f>
        <v>523441.85057760135</v>
      </c>
      <c r="X944" s="101">
        <v>0.1</v>
      </c>
      <c r="Y944" s="15">
        <f>+D.sign_Data[[#This Row],[COSTOS OPERACIONALES ($COP)]]*D.sign_Data[[#This Row],[DESFASE (%)]]</f>
        <v>52344.185057760136</v>
      </c>
      <c r="Z944" s="101">
        <v>0.3</v>
      </c>
      <c r="AA944" s="15">
        <f>+((D.sign_Data[[#This Row],[COSTOS OPERACIONALES ($COP)]]/(100%-D.sign_Data[[#This Row],[UTILIDAD (%)]])))-D.sign_Data[[#This Row],[COSTOS OPERACIONALES ($COP)]]</f>
        <v>224332.22167611495</v>
      </c>
      <c r="AB944" s="3">
        <f>+D.sign_Data[[#This Row],[COSTOS OPERACIONALES ($COP)]]+D.sign_Data[[#This Row],[DESFASE ($COP)]]+D.sign_Data[[#This Row],[UTILIDAD ($COP)]]</f>
        <v>800118.25731147639</v>
      </c>
      <c r="AC944" s="101">
        <v>0.05</v>
      </c>
      <c r="AD944" s="15">
        <f>+D.sign_Data[[#This Row],[VALOR NETO ($COP)]]/(100%-D.sign_Data[[#This Row],[MARGEN DE NEGOCIACIÓN (%)]])-D.sign_Data[[#This Row],[VALOR NETO ($COP)]]</f>
        <v>42111.487226919853</v>
      </c>
      <c r="AE944" s="15">
        <f>+(D.sign_Data[[#This Row],[VALOR NETO ($COP)]]+D.sign_Data[[#This Row],[NEGOCIACIÓN ($COP)]])*1%</f>
        <v>8422.2974453839633</v>
      </c>
      <c r="AF944" s="15">
        <f>+(D.sign_Data[[#This Row],[VALOR NETO ($COP)]]+D.sign_Data[[#This Row],[NEGOCIACIÓN ($COP)]])*1%</f>
        <v>8422.2974453839633</v>
      </c>
      <c r="AG944" s="3">
        <f>+D.sign_Data[[#This Row],[VALOR NETO ($COP)]]+D.sign_Data[[#This Row],[NEGOCIACIÓN ($COP)]]+D.sign_Data[[#This Row],[ICA ($COP)]]+D.sign_Data[[#This Row],[4 * 1000 ($COP)]]</f>
        <v>859074.33942916419</v>
      </c>
    </row>
    <row r="945" spans="1:33" ht="60" hidden="1" customHeight="1" x14ac:dyDescent="0.25">
      <c r="A945" s="14"/>
      <c r="B945" s="87" t="s">
        <v>442</v>
      </c>
      <c r="C945" s="182" t="s">
        <v>940</v>
      </c>
      <c r="D945" s="189" t="str">
        <f>VLOOKUP(D.sign_Data[[#This Row],[CÓDIGO]],Descripciones[[CÓDIGO]:[NOMBRE DE SERVICIO]],3,FALSE)</f>
        <v>D3. Vivienda Campestre</v>
      </c>
      <c r="E945" s="87" t="s">
        <v>497</v>
      </c>
      <c r="F945" s="88" t="s">
        <v>941</v>
      </c>
      <c r="G945" s="88" t="s">
        <v>941</v>
      </c>
      <c r="H945" s="87" t="s">
        <v>500</v>
      </c>
      <c r="I945" s="89">
        <v>1</v>
      </c>
      <c r="J945" s="88" t="s">
        <v>511</v>
      </c>
      <c r="K945" s="102"/>
      <c r="L945" s="88" t="s">
        <v>518</v>
      </c>
      <c r="M945" s="89" t="s">
        <v>381</v>
      </c>
      <c r="N945" s="90">
        <v>5</v>
      </c>
      <c r="O945" s="27">
        <f>IFERROR(+VLOOKUP(M945,D.sign_Lista_Data[[RESPONSABLE]:[SOFTWARE 
VALOR HORA]],3,FALSE),"0")</f>
        <v>20263.424518743668</v>
      </c>
      <c r="P945" s="3">
        <f t="shared" ref="P945:P1008" si="34">+O945*N945</f>
        <v>101317.12259371835</v>
      </c>
      <c r="Q945" s="11">
        <f>IFERROR(+VLOOKUP(M945,D.sign_Lista_Data[[RESPONSABLE]:[SOFTWARE 
VALOR HORA]],5,FALSE)*D.sign_Data[[#This Row],[TIEMPO (HORAS)]],0)</f>
        <v>21107.733873691319</v>
      </c>
      <c r="R945" s="11">
        <f>IFERROR(+VLOOKUP(M945,D.sign_Lista_Data[[RESPONSABLE]:[SOFTWARE 
VALOR HORA]],8,FALSE)*D.sign_Data[[#This Row],[TIEMPO (HORAS)]],0)</f>
        <v>17054.274435719919</v>
      </c>
      <c r="S945" s="99"/>
      <c r="T945" s="99"/>
      <c r="U945" s="3">
        <f t="shared" ref="U945:U1008" si="35">SUM(P945:T945)</f>
        <v>139479.13090312958</v>
      </c>
      <c r="V945" s="100">
        <f>D.sign_Data[[#This Row],[TIEMPO (HORAS)]]*Gastos_Operativos[[#Totals],[GASTOS HORA]]</f>
        <v>138947.38536155201</v>
      </c>
      <c r="W945" s="3">
        <f>+D.sign_Data[[#This Row],[COSTO 
DIRECTO ($COP)]]+D.sign_Data[[#This Row],[PRORRATEO GASTOS ($COP)]]</f>
        <v>278426.51626468159</v>
      </c>
      <c r="X945" s="101">
        <v>0.1</v>
      </c>
      <c r="Y945" s="15">
        <f>+D.sign_Data[[#This Row],[COSTOS OPERACIONALES ($COP)]]*D.sign_Data[[#This Row],[DESFASE (%)]]</f>
        <v>27842.65162646816</v>
      </c>
      <c r="Z945" s="101">
        <v>0.3</v>
      </c>
      <c r="AA945" s="15">
        <f>+((D.sign_Data[[#This Row],[COSTOS OPERACIONALES ($COP)]]/(100%-D.sign_Data[[#This Row],[UTILIDAD (%)]])))-D.sign_Data[[#This Row],[COSTOS OPERACIONALES ($COP)]]</f>
        <v>119325.64982772071</v>
      </c>
      <c r="AB945" s="3">
        <f>+D.sign_Data[[#This Row],[COSTOS OPERACIONALES ($COP)]]+D.sign_Data[[#This Row],[DESFASE ($COP)]]+D.sign_Data[[#This Row],[UTILIDAD ($COP)]]</f>
        <v>425594.81771887047</v>
      </c>
      <c r="AC945" s="101">
        <v>0.05</v>
      </c>
      <c r="AD945" s="15">
        <f>+D.sign_Data[[#This Row],[VALOR NETO ($COP)]]/(100%-D.sign_Data[[#This Row],[MARGEN DE NEGOCIACIÓN (%)]])-D.sign_Data[[#This Row],[VALOR NETO ($COP)]]</f>
        <v>22399.727248361625</v>
      </c>
      <c r="AE945" s="15">
        <f>+(D.sign_Data[[#This Row],[VALOR NETO ($COP)]]+D.sign_Data[[#This Row],[NEGOCIACIÓN ($COP)]])*1%</f>
        <v>4479.945449672321</v>
      </c>
      <c r="AF945" s="15">
        <f>+(D.sign_Data[[#This Row],[VALOR NETO ($COP)]]+D.sign_Data[[#This Row],[NEGOCIACIÓN ($COP)]])*1%</f>
        <v>4479.945449672321</v>
      </c>
      <c r="AG945" s="3">
        <f>+D.sign_Data[[#This Row],[VALOR NETO ($COP)]]+D.sign_Data[[#This Row],[NEGOCIACIÓN ($COP)]]+D.sign_Data[[#This Row],[ICA ($COP)]]+D.sign_Data[[#This Row],[4 * 1000 ($COP)]]</f>
        <v>456954.43586657679</v>
      </c>
    </row>
    <row r="946" spans="1:33" ht="60" hidden="1" customHeight="1" x14ac:dyDescent="0.25">
      <c r="A946" s="14"/>
      <c r="B946" s="87" t="s">
        <v>442</v>
      </c>
      <c r="C946" s="182" t="s">
        <v>940</v>
      </c>
      <c r="D946" s="189" t="str">
        <f>VLOOKUP(D.sign_Data[[#This Row],[CÓDIGO]],Descripciones[[CÓDIGO]:[NOMBRE DE SERVICIO]],3,FALSE)</f>
        <v>D3. Vivienda Campestre</v>
      </c>
      <c r="E946" s="87" t="s">
        <v>497</v>
      </c>
      <c r="F946" s="88" t="s">
        <v>941</v>
      </c>
      <c r="G946" s="88" t="s">
        <v>941</v>
      </c>
      <c r="H946" s="87" t="s">
        <v>500</v>
      </c>
      <c r="I946" s="89">
        <v>1</v>
      </c>
      <c r="J946" s="88" t="s">
        <v>511</v>
      </c>
      <c r="K946" s="102"/>
      <c r="L946" s="88" t="s">
        <v>519</v>
      </c>
      <c r="M946" s="89" t="s">
        <v>381</v>
      </c>
      <c r="N946" s="90">
        <v>0.3</v>
      </c>
      <c r="O946" s="27">
        <f>IFERROR(+VLOOKUP(M946,D.sign_Lista_Data[[RESPONSABLE]:[SOFTWARE 
VALOR HORA]],3,FALSE),"0")</f>
        <v>20263.424518743668</v>
      </c>
      <c r="P946" s="3">
        <f t="shared" si="34"/>
        <v>6079.0273556231004</v>
      </c>
      <c r="Q946" s="11">
        <f>IFERROR(+VLOOKUP(M946,D.sign_Lista_Data[[RESPONSABLE]:[SOFTWARE 
VALOR HORA]],5,FALSE)*D.sign_Data[[#This Row],[TIEMPO (HORAS)]],0)</f>
        <v>1266.464032421479</v>
      </c>
      <c r="R946" s="11">
        <f>IFERROR(+VLOOKUP(M946,D.sign_Lista_Data[[RESPONSABLE]:[SOFTWARE 
VALOR HORA]],8,FALSE)*D.sign_Data[[#This Row],[TIEMPO (HORAS)]],0)</f>
        <v>1023.256466143195</v>
      </c>
      <c r="S946" s="99"/>
      <c r="T946" s="99"/>
      <c r="U946" s="3">
        <f t="shared" si="35"/>
        <v>8368.7478541877736</v>
      </c>
      <c r="V946" s="100">
        <f>D.sign_Data[[#This Row],[TIEMPO (HORAS)]]*Gastos_Operativos[[#Totals],[GASTOS HORA]]</f>
        <v>8336.8431216931203</v>
      </c>
      <c r="W946" s="3">
        <f>+D.sign_Data[[#This Row],[COSTO 
DIRECTO ($COP)]]+D.sign_Data[[#This Row],[PRORRATEO GASTOS ($COP)]]</f>
        <v>16705.590975880892</v>
      </c>
      <c r="X946" s="101">
        <v>0.1</v>
      </c>
      <c r="Y946" s="15">
        <f>+D.sign_Data[[#This Row],[COSTOS OPERACIONALES ($COP)]]*D.sign_Data[[#This Row],[DESFASE (%)]]</f>
        <v>1670.5590975880893</v>
      </c>
      <c r="Z946" s="101">
        <v>0.3</v>
      </c>
      <c r="AA946" s="15">
        <f>+((D.sign_Data[[#This Row],[COSTOS OPERACIONALES ($COP)]]/(100%-D.sign_Data[[#This Row],[UTILIDAD (%)]])))-D.sign_Data[[#This Row],[COSTOS OPERACIONALES ($COP)]]</f>
        <v>7159.5389896632405</v>
      </c>
      <c r="AB946" s="3">
        <f>+D.sign_Data[[#This Row],[COSTOS OPERACIONALES ($COP)]]+D.sign_Data[[#This Row],[DESFASE ($COP)]]+D.sign_Data[[#This Row],[UTILIDAD ($COP)]]</f>
        <v>25535.68906313222</v>
      </c>
      <c r="AC946" s="101">
        <v>0.05</v>
      </c>
      <c r="AD946" s="15">
        <f>+D.sign_Data[[#This Row],[VALOR NETO ($COP)]]/(100%-D.sign_Data[[#This Row],[MARGEN DE NEGOCIACIÓN (%)]])-D.sign_Data[[#This Row],[VALOR NETO ($COP)]]</f>
        <v>1343.9836349016987</v>
      </c>
      <c r="AE946" s="15">
        <f>+(D.sign_Data[[#This Row],[VALOR NETO ($COP)]]+D.sign_Data[[#This Row],[NEGOCIACIÓN ($COP)]])*1%</f>
        <v>268.7967269803392</v>
      </c>
      <c r="AF946" s="15">
        <f>+(D.sign_Data[[#This Row],[VALOR NETO ($COP)]]+D.sign_Data[[#This Row],[NEGOCIACIÓN ($COP)]])*1%</f>
        <v>268.7967269803392</v>
      </c>
      <c r="AG946" s="3">
        <f>+D.sign_Data[[#This Row],[VALOR NETO ($COP)]]+D.sign_Data[[#This Row],[NEGOCIACIÓN ($COP)]]+D.sign_Data[[#This Row],[ICA ($COP)]]+D.sign_Data[[#This Row],[4 * 1000 ($COP)]]</f>
        <v>27417.266151994594</v>
      </c>
    </row>
    <row r="947" spans="1:33" ht="60" hidden="1" customHeight="1" x14ac:dyDescent="0.25">
      <c r="A947" s="14"/>
      <c r="B947" s="87" t="s">
        <v>442</v>
      </c>
      <c r="C947" s="182" t="s">
        <v>940</v>
      </c>
      <c r="D947" s="189" t="str">
        <f>VLOOKUP(D.sign_Data[[#This Row],[CÓDIGO]],Descripciones[[CÓDIGO]:[NOMBRE DE SERVICIO]],3,FALSE)</f>
        <v>D3. Vivienda Campestre</v>
      </c>
      <c r="E947" s="87" t="s">
        <v>497</v>
      </c>
      <c r="F947" s="88" t="s">
        <v>941</v>
      </c>
      <c r="G947" s="88" t="s">
        <v>941</v>
      </c>
      <c r="H947" s="87" t="s">
        <v>500</v>
      </c>
      <c r="I947" s="89">
        <v>1</v>
      </c>
      <c r="J947" s="88" t="s">
        <v>522</v>
      </c>
      <c r="K947" s="102"/>
      <c r="L947" s="91" t="s">
        <v>942</v>
      </c>
      <c r="M947" s="89" t="s">
        <v>381</v>
      </c>
      <c r="N947" s="90">
        <v>9</v>
      </c>
      <c r="O947" s="27">
        <f>IFERROR(+VLOOKUP(M947,D.sign_Lista_Data[[RESPONSABLE]:[SOFTWARE 
VALOR HORA]],3,FALSE),"0")</f>
        <v>20263.424518743668</v>
      </c>
      <c r="P947" s="3">
        <f t="shared" si="34"/>
        <v>182370.82066869302</v>
      </c>
      <c r="Q947" s="11">
        <f>IFERROR(+VLOOKUP(M947,D.sign_Lista_Data[[RESPONSABLE]:[SOFTWARE 
VALOR HORA]],5,FALSE)*D.sign_Data[[#This Row],[TIEMPO (HORAS)]],0)</f>
        <v>37993.920972644373</v>
      </c>
      <c r="R947" s="11">
        <f>IFERROR(+VLOOKUP(M947,D.sign_Lista_Data[[RESPONSABLE]:[SOFTWARE 
VALOR HORA]],8,FALSE)*D.sign_Data[[#This Row],[TIEMPO (HORAS)]],0)</f>
        <v>30697.693984295853</v>
      </c>
      <c r="S947" s="99"/>
      <c r="T947" s="99"/>
      <c r="U947" s="3">
        <f t="shared" si="35"/>
        <v>251062.43562563325</v>
      </c>
      <c r="V947" s="100">
        <f>D.sign_Data[[#This Row],[TIEMPO (HORAS)]]*Gastos_Operativos[[#Totals],[GASTOS HORA]]</f>
        <v>250105.29365079361</v>
      </c>
      <c r="W947" s="3">
        <f>+D.sign_Data[[#This Row],[COSTO 
DIRECTO ($COP)]]+D.sign_Data[[#This Row],[PRORRATEO GASTOS ($COP)]]</f>
        <v>501167.72927642683</v>
      </c>
      <c r="X947" s="101"/>
      <c r="Y947" s="15">
        <f>+D.sign_Data[[#This Row],[COSTOS OPERACIONALES ($COP)]]*D.sign_Data[[#This Row],[DESFASE (%)]]</f>
        <v>0</v>
      </c>
      <c r="Z947" s="101">
        <v>0.3</v>
      </c>
      <c r="AA947" s="15">
        <f>+((D.sign_Data[[#This Row],[COSTOS OPERACIONALES ($COP)]]/(100%-D.sign_Data[[#This Row],[UTILIDAD (%)]])))-D.sign_Data[[#This Row],[COSTOS OPERACIONALES ($COP)]]</f>
        <v>214786.16968989721</v>
      </c>
      <c r="AB947" s="3">
        <f>+D.sign_Data[[#This Row],[COSTOS OPERACIONALES ($COP)]]+D.sign_Data[[#This Row],[DESFASE ($COP)]]+D.sign_Data[[#This Row],[UTILIDAD ($COP)]]</f>
        <v>715953.89896632405</v>
      </c>
      <c r="AC947" s="101"/>
      <c r="AD947" s="15">
        <f>+D.sign_Data[[#This Row],[VALOR NETO ($COP)]]/(100%-D.sign_Data[[#This Row],[MARGEN DE NEGOCIACIÓN (%)]])-D.sign_Data[[#This Row],[VALOR NETO ($COP)]]</f>
        <v>0</v>
      </c>
      <c r="AE947" s="15">
        <f>+(D.sign_Data[[#This Row],[VALOR NETO ($COP)]]+D.sign_Data[[#This Row],[NEGOCIACIÓN ($COP)]])*1%</f>
        <v>7159.5389896632405</v>
      </c>
      <c r="AF947" s="15">
        <f>+(D.sign_Data[[#This Row],[VALOR NETO ($COP)]]+D.sign_Data[[#This Row],[NEGOCIACIÓN ($COP)]])*1%</f>
        <v>7159.5389896632405</v>
      </c>
      <c r="AG947" s="3">
        <f>+D.sign_Data[[#This Row],[VALOR NETO ($COP)]]+D.sign_Data[[#This Row],[NEGOCIACIÓN ($COP)]]+D.sign_Data[[#This Row],[ICA ($COP)]]+D.sign_Data[[#This Row],[4 * 1000 ($COP)]]</f>
        <v>730272.97694565053</v>
      </c>
    </row>
    <row r="948" spans="1:33" ht="60" hidden="1" customHeight="1" x14ac:dyDescent="0.25">
      <c r="A948" s="14"/>
      <c r="B948" s="87" t="s">
        <v>442</v>
      </c>
      <c r="C948" s="182" t="s">
        <v>943</v>
      </c>
      <c r="D948" s="189" t="str">
        <f>VLOOKUP(D.sign_Data[[#This Row],[CÓDIGO]],Descripciones[[CÓDIGO]:[NOMBRE DE SERVICIO]],3,FALSE)</f>
        <v>D3. Vivienda Campestre</v>
      </c>
      <c r="E948" s="87" t="s">
        <v>497</v>
      </c>
      <c r="F948" s="88" t="s">
        <v>944</v>
      </c>
      <c r="G948" s="88" t="s">
        <v>536</v>
      </c>
      <c r="H948" s="87" t="s">
        <v>500</v>
      </c>
      <c r="I948" s="89">
        <v>1</v>
      </c>
      <c r="J948" s="88" t="s">
        <v>945</v>
      </c>
      <c r="K948" s="102"/>
      <c r="L948" s="88" t="s">
        <v>897</v>
      </c>
      <c r="M948" s="89" t="s">
        <v>381</v>
      </c>
      <c r="N948" s="90">
        <v>0.25</v>
      </c>
      <c r="O948" s="27">
        <f>IFERROR(+VLOOKUP(M948,D.sign_Lista_Data[[RESPONSABLE]:[SOFTWARE 
VALOR HORA]],3,FALSE),"0")</f>
        <v>20263.424518743668</v>
      </c>
      <c r="P948" s="3">
        <f t="shared" si="34"/>
        <v>5065.856129685917</v>
      </c>
      <c r="Q948" s="11">
        <f>IFERROR(+VLOOKUP(M948,D.sign_Lista_Data[[RESPONSABLE]:[SOFTWARE 
VALOR HORA]],5,FALSE)*D.sign_Data[[#This Row],[TIEMPO (HORAS)]],0)</f>
        <v>1055.3866936845659</v>
      </c>
      <c r="R948" s="11">
        <f>IFERROR(+VLOOKUP(M948,D.sign_Lista_Data[[RESPONSABLE]:[SOFTWARE 
VALOR HORA]],8,FALSE)*D.sign_Data[[#This Row],[TIEMPO (HORAS)]],0)</f>
        <v>852.71372178599586</v>
      </c>
      <c r="S948" s="99"/>
      <c r="T948" s="99"/>
      <c r="U948" s="3">
        <f t="shared" si="35"/>
        <v>6973.9565451564795</v>
      </c>
      <c r="V948" s="100">
        <f>D.sign_Data[[#This Row],[TIEMPO (HORAS)]]*Gastos_Operativos[[#Totals],[GASTOS HORA]]</f>
        <v>6947.3692680776003</v>
      </c>
      <c r="W948" s="3">
        <f>+D.sign_Data[[#This Row],[COSTO 
DIRECTO ($COP)]]+D.sign_Data[[#This Row],[PRORRATEO GASTOS ($COP)]]</f>
        <v>13921.32581323408</v>
      </c>
      <c r="X948" s="101">
        <v>0.05</v>
      </c>
      <c r="Y948" s="15">
        <f>+D.sign_Data[[#This Row],[COSTOS OPERACIONALES ($COP)]]*D.sign_Data[[#This Row],[DESFASE (%)]]</f>
        <v>696.06629066170399</v>
      </c>
      <c r="Z948" s="101">
        <v>0.4</v>
      </c>
      <c r="AA948" s="15">
        <f>+((D.sign_Data[[#This Row],[COSTOS OPERACIONALES ($COP)]]/(100%-D.sign_Data[[#This Row],[UTILIDAD (%)]])))-D.sign_Data[[#This Row],[COSTOS OPERACIONALES ($COP)]]</f>
        <v>9280.8838754893859</v>
      </c>
      <c r="AB948" s="3">
        <f>+D.sign_Data[[#This Row],[COSTOS OPERACIONALES ($COP)]]+D.sign_Data[[#This Row],[DESFASE ($COP)]]+D.sign_Data[[#This Row],[UTILIDAD ($COP)]]</f>
        <v>23898.275979385169</v>
      </c>
      <c r="AC948" s="101">
        <v>0.05</v>
      </c>
      <c r="AD948" s="15">
        <f>+D.sign_Data[[#This Row],[VALOR NETO ($COP)]]/(100%-D.sign_Data[[#This Row],[MARGEN DE NEGOCIACIÓN (%)]])-D.sign_Data[[#This Row],[VALOR NETO ($COP)]]</f>
        <v>1257.8039989150093</v>
      </c>
      <c r="AE948" s="15">
        <f>+(D.sign_Data[[#This Row],[VALOR NETO ($COP)]]+D.sign_Data[[#This Row],[NEGOCIACIÓN ($COP)]])*1%</f>
        <v>251.56079978300178</v>
      </c>
      <c r="AF948" s="15">
        <f>+(D.sign_Data[[#This Row],[VALOR NETO ($COP)]]+D.sign_Data[[#This Row],[NEGOCIACIÓN ($COP)]])*1%</f>
        <v>251.56079978300178</v>
      </c>
      <c r="AG948" s="3">
        <f>+D.sign_Data[[#This Row],[VALOR NETO ($COP)]]+D.sign_Data[[#This Row],[NEGOCIACIÓN ($COP)]]+D.sign_Data[[#This Row],[ICA ($COP)]]+D.sign_Data[[#This Row],[4 * 1000 ($COP)]]</f>
        <v>25659.201577866181</v>
      </c>
    </row>
    <row r="949" spans="1:33" ht="60" hidden="1" customHeight="1" x14ac:dyDescent="0.25">
      <c r="A949" s="14"/>
      <c r="B949" s="87" t="s">
        <v>442</v>
      </c>
      <c r="C949" s="182" t="s">
        <v>943</v>
      </c>
      <c r="D949" s="189" t="str">
        <f>VLOOKUP(D.sign_Data[[#This Row],[CÓDIGO]],Descripciones[[CÓDIGO]:[NOMBRE DE SERVICIO]],3,FALSE)</f>
        <v>D3. Vivienda Campestre</v>
      </c>
      <c r="E949" s="87" t="s">
        <v>497</v>
      </c>
      <c r="F949" s="88" t="s">
        <v>944</v>
      </c>
      <c r="G949" s="88" t="s">
        <v>536</v>
      </c>
      <c r="H949" s="87" t="s">
        <v>500</v>
      </c>
      <c r="I949" s="89">
        <v>1</v>
      </c>
      <c r="J949" s="88" t="s">
        <v>945</v>
      </c>
      <c r="K949" s="102"/>
      <c r="L949" s="88" t="s">
        <v>898</v>
      </c>
      <c r="M949" s="89" t="s">
        <v>381</v>
      </c>
      <c r="N949" s="90">
        <v>0.25</v>
      </c>
      <c r="O949" s="27">
        <f>IFERROR(+VLOOKUP(M949,D.sign_Lista_Data[[RESPONSABLE]:[SOFTWARE 
VALOR HORA]],3,FALSE),"0")</f>
        <v>20263.424518743668</v>
      </c>
      <c r="P949" s="3">
        <f t="shared" si="34"/>
        <v>5065.856129685917</v>
      </c>
      <c r="Q949" s="11">
        <f>IFERROR(+VLOOKUP(M949,D.sign_Lista_Data[[RESPONSABLE]:[SOFTWARE 
VALOR HORA]],5,FALSE)*D.sign_Data[[#This Row],[TIEMPO (HORAS)]],0)</f>
        <v>1055.3866936845659</v>
      </c>
      <c r="R949" s="11">
        <f>IFERROR(+VLOOKUP(M949,D.sign_Lista_Data[[RESPONSABLE]:[SOFTWARE 
VALOR HORA]],8,FALSE)*D.sign_Data[[#This Row],[TIEMPO (HORAS)]],0)</f>
        <v>852.71372178599586</v>
      </c>
      <c r="S949" s="99"/>
      <c r="T949" s="99"/>
      <c r="U949" s="3">
        <f t="shared" si="35"/>
        <v>6973.9565451564795</v>
      </c>
      <c r="V949" s="100">
        <f>D.sign_Data[[#This Row],[TIEMPO (HORAS)]]*Gastos_Operativos[[#Totals],[GASTOS HORA]]</f>
        <v>6947.3692680776003</v>
      </c>
      <c r="W949" s="3">
        <f>+D.sign_Data[[#This Row],[COSTO 
DIRECTO ($COP)]]+D.sign_Data[[#This Row],[PRORRATEO GASTOS ($COP)]]</f>
        <v>13921.32581323408</v>
      </c>
      <c r="X949" s="101">
        <v>0.05</v>
      </c>
      <c r="Y949" s="15">
        <f>+D.sign_Data[[#This Row],[COSTOS OPERACIONALES ($COP)]]*D.sign_Data[[#This Row],[DESFASE (%)]]</f>
        <v>696.06629066170399</v>
      </c>
      <c r="Z949" s="101">
        <v>0.4</v>
      </c>
      <c r="AA949" s="15">
        <f>+((D.sign_Data[[#This Row],[COSTOS OPERACIONALES ($COP)]]/(100%-D.sign_Data[[#This Row],[UTILIDAD (%)]])))-D.sign_Data[[#This Row],[COSTOS OPERACIONALES ($COP)]]</f>
        <v>9280.8838754893859</v>
      </c>
      <c r="AB949" s="3">
        <f>+D.sign_Data[[#This Row],[COSTOS OPERACIONALES ($COP)]]+D.sign_Data[[#This Row],[DESFASE ($COP)]]+D.sign_Data[[#This Row],[UTILIDAD ($COP)]]</f>
        <v>23898.275979385169</v>
      </c>
      <c r="AC949" s="101">
        <v>0.05</v>
      </c>
      <c r="AD949" s="15">
        <f>+D.sign_Data[[#This Row],[VALOR NETO ($COP)]]/(100%-D.sign_Data[[#This Row],[MARGEN DE NEGOCIACIÓN (%)]])-D.sign_Data[[#This Row],[VALOR NETO ($COP)]]</f>
        <v>1257.8039989150093</v>
      </c>
      <c r="AE949" s="15">
        <f>+(D.sign_Data[[#This Row],[VALOR NETO ($COP)]]+D.sign_Data[[#This Row],[NEGOCIACIÓN ($COP)]])*1%</f>
        <v>251.56079978300178</v>
      </c>
      <c r="AF949" s="15">
        <f>+(D.sign_Data[[#This Row],[VALOR NETO ($COP)]]+D.sign_Data[[#This Row],[NEGOCIACIÓN ($COP)]])*1%</f>
        <v>251.56079978300178</v>
      </c>
      <c r="AG949" s="3">
        <f>+D.sign_Data[[#This Row],[VALOR NETO ($COP)]]+D.sign_Data[[#This Row],[NEGOCIACIÓN ($COP)]]+D.sign_Data[[#This Row],[ICA ($COP)]]+D.sign_Data[[#This Row],[4 * 1000 ($COP)]]</f>
        <v>25659.201577866181</v>
      </c>
    </row>
    <row r="950" spans="1:33" ht="60" hidden="1" customHeight="1" x14ac:dyDescent="0.25">
      <c r="A950" s="14"/>
      <c r="B950" s="87" t="s">
        <v>442</v>
      </c>
      <c r="C950" s="182" t="s">
        <v>943</v>
      </c>
      <c r="D950" s="189" t="str">
        <f>VLOOKUP(D.sign_Data[[#This Row],[CÓDIGO]],Descripciones[[CÓDIGO]:[NOMBRE DE SERVICIO]],3,FALSE)</f>
        <v>D3. Vivienda Campestre</v>
      </c>
      <c r="E950" s="87" t="s">
        <v>497</v>
      </c>
      <c r="F950" s="88" t="s">
        <v>944</v>
      </c>
      <c r="G950" s="88" t="s">
        <v>536</v>
      </c>
      <c r="H950" s="87" t="s">
        <v>500</v>
      </c>
      <c r="I950" s="89">
        <v>1</v>
      </c>
      <c r="J950" s="88" t="s">
        <v>945</v>
      </c>
      <c r="K950" s="102"/>
      <c r="L950" s="88" t="s">
        <v>828</v>
      </c>
      <c r="M950" s="89" t="s">
        <v>381</v>
      </c>
      <c r="N950" s="90">
        <v>2</v>
      </c>
      <c r="O950" s="27">
        <f>IFERROR(+VLOOKUP(M950,D.sign_Lista_Data[[RESPONSABLE]:[SOFTWARE 
VALOR HORA]],3,FALSE),"0")</f>
        <v>20263.424518743668</v>
      </c>
      <c r="P950" s="3">
        <f t="shared" si="34"/>
        <v>40526.849037487336</v>
      </c>
      <c r="Q950" s="11">
        <f>IFERROR(+VLOOKUP(M950,D.sign_Lista_Data[[RESPONSABLE]:[SOFTWARE 
VALOR HORA]],5,FALSE)*D.sign_Data[[#This Row],[TIEMPO (HORAS)]],0)</f>
        <v>8443.0935494765272</v>
      </c>
      <c r="R950" s="11">
        <f>IFERROR(+VLOOKUP(M950,D.sign_Lista_Data[[RESPONSABLE]:[SOFTWARE 
VALOR HORA]],8,FALSE)*D.sign_Data[[#This Row],[TIEMPO (HORAS)]],0)</f>
        <v>6821.7097742879669</v>
      </c>
      <c r="S950" s="99"/>
      <c r="T950" s="99"/>
      <c r="U950" s="3">
        <f t="shared" si="35"/>
        <v>55791.652361251836</v>
      </c>
      <c r="V950" s="100">
        <f>D.sign_Data[[#This Row],[TIEMPO (HORAS)]]*Gastos_Operativos[[#Totals],[GASTOS HORA]]</f>
        <v>55578.954144620802</v>
      </c>
      <c r="W950" s="3">
        <f>+D.sign_Data[[#This Row],[COSTO 
DIRECTO ($COP)]]+D.sign_Data[[#This Row],[PRORRATEO GASTOS ($COP)]]</f>
        <v>111370.60650587264</v>
      </c>
      <c r="X950" s="101">
        <v>0.05</v>
      </c>
      <c r="Y950" s="15">
        <f>+D.sign_Data[[#This Row],[COSTOS OPERACIONALES ($COP)]]*D.sign_Data[[#This Row],[DESFASE (%)]]</f>
        <v>5568.5303252936319</v>
      </c>
      <c r="Z950" s="101">
        <v>0.4</v>
      </c>
      <c r="AA950" s="15">
        <f>+((D.sign_Data[[#This Row],[COSTOS OPERACIONALES ($COP)]]/(100%-D.sign_Data[[#This Row],[UTILIDAD (%)]])))-D.sign_Data[[#This Row],[COSTOS OPERACIONALES ($COP)]]</f>
        <v>74247.071003915087</v>
      </c>
      <c r="AB950" s="3">
        <f>+D.sign_Data[[#This Row],[COSTOS OPERACIONALES ($COP)]]+D.sign_Data[[#This Row],[DESFASE ($COP)]]+D.sign_Data[[#This Row],[UTILIDAD ($COP)]]</f>
        <v>191186.20783508135</v>
      </c>
      <c r="AC950" s="101">
        <v>0.05</v>
      </c>
      <c r="AD950" s="15">
        <f>+D.sign_Data[[#This Row],[VALOR NETO ($COP)]]/(100%-D.sign_Data[[#This Row],[MARGEN DE NEGOCIACIÓN (%)]])-D.sign_Data[[#This Row],[VALOR NETO ($COP)]]</f>
        <v>10062.431991320074</v>
      </c>
      <c r="AE950" s="15">
        <f>+(D.sign_Data[[#This Row],[VALOR NETO ($COP)]]+D.sign_Data[[#This Row],[NEGOCIACIÓN ($COP)]])*1%</f>
        <v>2012.4863982640143</v>
      </c>
      <c r="AF950" s="15">
        <f>+(D.sign_Data[[#This Row],[VALOR NETO ($COP)]]+D.sign_Data[[#This Row],[NEGOCIACIÓN ($COP)]])*1%</f>
        <v>2012.4863982640143</v>
      </c>
      <c r="AG950" s="3">
        <f>+D.sign_Data[[#This Row],[VALOR NETO ($COP)]]+D.sign_Data[[#This Row],[NEGOCIACIÓN ($COP)]]+D.sign_Data[[#This Row],[ICA ($COP)]]+D.sign_Data[[#This Row],[4 * 1000 ($COP)]]</f>
        <v>205273.61262292945</v>
      </c>
    </row>
    <row r="951" spans="1:33" ht="60" hidden="1" customHeight="1" x14ac:dyDescent="0.25">
      <c r="A951" s="14"/>
      <c r="B951" s="87" t="s">
        <v>442</v>
      </c>
      <c r="C951" s="182" t="s">
        <v>943</v>
      </c>
      <c r="D951" s="189" t="str">
        <f>VLOOKUP(D.sign_Data[[#This Row],[CÓDIGO]],Descripciones[[CÓDIGO]:[NOMBRE DE SERVICIO]],3,FALSE)</f>
        <v>D3. Vivienda Campestre</v>
      </c>
      <c r="E951" s="87" t="s">
        <v>497</v>
      </c>
      <c r="F951" s="88" t="s">
        <v>944</v>
      </c>
      <c r="G951" s="88" t="s">
        <v>536</v>
      </c>
      <c r="H951" s="87" t="s">
        <v>500</v>
      </c>
      <c r="I951" s="89">
        <v>1</v>
      </c>
      <c r="J951" s="88" t="s">
        <v>945</v>
      </c>
      <c r="K951" s="102"/>
      <c r="L951" s="88" t="s">
        <v>829</v>
      </c>
      <c r="M951" s="89" t="s">
        <v>381</v>
      </c>
      <c r="N951" s="90">
        <v>2</v>
      </c>
      <c r="O951" s="27">
        <f>IFERROR(+VLOOKUP(M951,D.sign_Lista_Data[[RESPONSABLE]:[SOFTWARE 
VALOR HORA]],3,FALSE),"0")</f>
        <v>20263.424518743668</v>
      </c>
      <c r="P951" s="3">
        <f t="shared" si="34"/>
        <v>40526.849037487336</v>
      </c>
      <c r="Q951" s="11">
        <f>IFERROR(+VLOOKUP(M951,D.sign_Lista_Data[[RESPONSABLE]:[SOFTWARE 
VALOR HORA]],5,FALSE)*D.sign_Data[[#This Row],[TIEMPO (HORAS)]],0)</f>
        <v>8443.0935494765272</v>
      </c>
      <c r="R951" s="11">
        <f>IFERROR(+VLOOKUP(M951,D.sign_Lista_Data[[RESPONSABLE]:[SOFTWARE 
VALOR HORA]],8,FALSE)*D.sign_Data[[#This Row],[TIEMPO (HORAS)]],0)</f>
        <v>6821.7097742879669</v>
      </c>
      <c r="S951" s="99"/>
      <c r="T951" s="99"/>
      <c r="U951" s="3">
        <f t="shared" si="35"/>
        <v>55791.652361251836</v>
      </c>
      <c r="V951" s="100">
        <f>D.sign_Data[[#This Row],[TIEMPO (HORAS)]]*Gastos_Operativos[[#Totals],[GASTOS HORA]]</f>
        <v>55578.954144620802</v>
      </c>
      <c r="W951" s="3">
        <f>+D.sign_Data[[#This Row],[COSTO 
DIRECTO ($COP)]]+D.sign_Data[[#This Row],[PRORRATEO GASTOS ($COP)]]</f>
        <v>111370.60650587264</v>
      </c>
      <c r="X951" s="101">
        <v>0.05</v>
      </c>
      <c r="Y951" s="15">
        <f>+D.sign_Data[[#This Row],[COSTOS OPERACIONALES ($COP)]]*D.sign_Data[[#This Row],[DESFASE (%)]]</f>
        <v>5568.5303252936319</v>
      </c>
      <c r="Z951" s="101">
        <v>0.4</v>
      </c>
      <c r="AA951" s="15">
        <f>+((D.sign_Data[[#This Row],[COSTOS OPERACIONALES ($COP)]]/(100%-D.sign_Data[[#This Row],[UTILIDAD (%)]])))-D.sign_Data[[#This Row],[COSTOS OPERACIONALES ($COP)]]</f>
        <v>74247.071003915087</v>
      </c>
      <c r="AB951" s="3">
        <f>+D.sign_Data[[#This Row],[COSTOS OPERACIONALES ($COP)]]+D.sign_Data[[#This Row],[DESFASE ($COP)]]+D.sign_Data[[#This Row],[UTILIDAD ($COP)]]</f>
        <v>191186.20783508135</v>
      </c>
      <c r="AC951" s="101">
        <v>0.05</v>
      </c>
      <c r="AD951" s="15">
        <f>+D.sign_Data[[#This Row],[VALOR NETO ($COP)]]/(100%-D.sign_Data[[#This Row],[MARGEN DE NEGOCIACIÓN (%)]])-D.sign_Data[[#This Row],[VALOR NETO ($COP)]]</f>
        <v>10062.431991320074</v>
      </c>
      <c r="AE951" s="15">
        <f>+(D.sign_Data[[#This Row],[VALOR NETO ($COP)]]+D.sign_Data[[#This Row],[NEGOCIACIÓN ($COP)]])*1%</f>
        <v>2012.4863982640143</v>
      </c>
      <c r="AF951" s="15">
        <f>+(D.sign_Data[[#This Row],[VALOR NETO ($COP)]]+D.sign_Data[[#This Row],[NEGOCIACIÓN ($COP)]])*1%</f>
        <v>2012.4863982640143</v>
      </c>
      <c r="AG951" s="3">
        <f>+D.sign_Data[[#This Row],[VALOR NETO ($COP)]]+D.sign_Data[[#This Row],[NEGOCIACIÓN ($COP)]]+D.sign_Data[[#This Row],[ICA ($COP)]]+D.sign_Data[[#This Row],[4 * 1000 ($COP)]]</f>
        <v>205273.61262292945</v>
      </c>
    </row>
    <row r="952" spans="1:33" ht="60" hidden="1" customHeight="1" x14ac:dyDescent="0.25">
      <c r="A952" s="14"/>
      <c r="B952" s="87" t="s">
        <v>442</v>
      </c>
      <c r="C952" s="182" t="s">
        <v>943</v>
      </c>
      <c r="D952" s="189" t="str">
        <f>VLOOKUP(D.sign_Data[[#This Row],[CÓDIGO]],Descripciones[[CÓDIGO]:[NOMBRE DE SERVICIO]],3,FALSE)</f>
        <v>D3. Vivienda Campestre</v>
      </c>
      <c r="E952" s="87" t="s">
        <v>497</v>
      </c>
      <c r="F952" s="88" t="s">
        <v>944</v>
      </c>
      <c r="G952" s="88" t="s">
        <v>536</v>
      </c>
      <c r="H952" s="87" t="s">
        <v>500</v>
      </c>
      <c r="I952" s="89">
        <v>1</v>
      </c>
      <c r="J952" s="88" t="s">
        <v>945</v>
      </c>
      <c r="K952" s="102"/>
      <c r="L952" s="88" t="s">
        <v>830</v>
      </c>
      <c r="M952" s="89" t="s">
        <v>381</v>
      </c>
      <c r="N952" s="90">
        <v>1</v>
      </c>
      <c r="O952" s="27">
        <f>IFERROR(+VLOOKUP(M952,D.sign_Lista_Data[[RESPONSABLE]:[SOFTWARE 
VALOR HORA]],3,FALSE),"0")</f>
        <v>20263.424518743668</v>
      </c>
      <c r="P952" s="3">
        <f t="shared" si="34"/>
        <v>20263.424518743668</v>
      </c>
      <c r="Q952" s="11">
        <f>IFERROR(+VLOOKUP(M952,D.sign_Lista_Data[[RESPONSABLE]:[SOFTWARE 
VALOR HORA]],5,FALSE)*D.sign_Data[[#This Row],[TIEMPO (HORAS)]],0)</f>
        <v>4221.5467747382636</v>
      </c>
      <c r="R952" s="11">
        <f>IFERROR(+VLOOKUP(M952,D.sign_Lista_Data[[RESPONSABLE]:[SOFTWARE 
VALOR HORA]],8,FALSE)*D.sign_Data[[#This Row],[TIEMPO (HORAS)]],0)</f>
        <v>3410.8548871439834</v>
      </c>
      <c r="S952" s="99"/>
      <c r="T952" s="99"/>
      <c r="U952" s="3">
        <f t="shared" si="35"/>
        <v>27895.826180625918</v>
      </c>
      <c r="V952" s="100">
        <f>D.sign_Data[[#This Row],[TIEMPO (HORAS)]]*Gastos_Operativos[[#Totals],[GASTOS HORA]]</f>
        <v>27789.477072310401</v>
      </c>
      <c r="W952" s="3">
        <f>+D.sign_Data[[#This Row],[COSTO 
DIRECTO ($COP)]]+D.sign_Data[[#This Row],[PRORRATEO GASTOS ($COP)]]</f>
        <v>55685.303252936319</v>
      </c>
      <c r="X952" s="101">
        <v>0.05</v>
      </c>
      <c r="Y952" s="15">
        <f>+D.sign_Data[[#This Row],[COSTOS OPERACIONALES ($COP)]]*D.sign_Data[[#This Row],[DESFASE (%)]]</f>
        <v>2784.265162646816</v>
      </c>
      <c r="Z952" s="101">
        <v>0.4</v>
      </c>
      <c r="AA952" s="15">
        <f>+((D.sign_Data[[#This Row],[COSTOS OPERACIONALES ($COP)]]/(100%-D.sign_Data[[#This Row],[UTILIDAD (%)]])))-D.sign_Data[[#This Row],[COSTOS OPERACIONALES ($COP)]]</f>
        <v>37123.535501957544</v>
      </c>
      <c r="AB952" s="3">
        <f>+D.sign_Data[[#This Row],[COSTOS OPERACIONALES ($COP)]]+D.sign_Data[[#This Row],[DESFASE ($COP)]]+D.sign_Data[[#This Row],[UTILIDAD ($COP)]]</f>
        <v>95593.103917540677</v>
      </c>
      <c r="AC952" s="101">
        <v>0.05</v>
      </c>
      <c r="AD952" s="15">
        <f>+D.sign_Data[[#This Row],[VALOR NETO ($COP)]]/(100%-D.sign_Data[[#This Row],[MARGEN DE NEGOCIACIÓN (%)]])-D.sign_Data[[#This Row],[VALOR NETO ($COP)]]</f>
        <v>5031.2159956600372</v>
      </c>
      <c r="AE952" s="15">
        <f>+(D.sign_Data[[#This Row],[VALOR NETO ($COP)]]+D.sign_Data[[#This Row],[NEGOCIACIÓN ($COP)]])*1%</f>
        <v>1006.2431991320071</v>
      </c>
      <c r="AF952" s="15">
        <f>+(D.sign_Data[[#This Row],[VALOR NETO ($COP)]]+D.sign_Data[[#This Row],[NEGOCIACIÓN ($COP)]])*1%</f>
        <v>1006.2431991320071</v>
      </c>
      <c r="AG952" s="3">
        <f>+D.sign_Data[[#This Row],[VALOR NETO ($COP)]]+D.sign_Data[[#This Row],[NEGOCIACIÓN ($COP)]]+D.sign_Data[[#This Row],[ICA ($COP)]]+D.sign_Data[[#This Row],[4 * 1000 ($COP)]]</f>
        <v>102636.80631146472</v>
      </c>
    </row>
    <row r="953" spans="1:33" ht="60" hidden="1" customHeight="1" x14ac:dyDescent="0.25">
      <c r="A953" s="14"/>
      <c r="B953" s="87" t="s">
        <v>442</v>
      </c>
      <c r="C953" s="182" t="s">
        <v>943</v>
      </c>
      <c r="D953" s="189" t="str">
        <f>VLOOKUP(D.sign_Data[[#This Row],[CÓDIGO]],Descripciones[[CÓDIGO]:[NOMBRE DE SERVICIO]],3,FALSE)</f>
        <v>D3. Vivienda Campestre</v>
      </c>
      <c r="E953" s="87" t="s">
        <v>497</v>
      </c>
      <c r="F953" s="88" t="s">
        <v>944</v>
      </c>
      <c r="G953" s="88" t="s">
        <v>536</v>
      </c>
      <c r="H953" s="87" t="s">
        <v>500</v>
      </c>
      <c r="I953" s="89">
        <v>1</v>
      </c>
      <c r="J953" s="88" t="s">
        <v>945</v>
      </c>
      <c r="K953" s="102"/>
      <c r="L953" s="88" t="s">
        <v>831</v>
      </c>
      <c r="M953" s="89" t="s">
        <v>381</v>
      </c>
      <c r="N953" s="90">
        <v>2</v>
      </c>
      <c r="O953" s="27">
        <f>IFERROR(+VLOOKUP(M953,D.sign_Lista_Data[[RESPONSABLE]:[SOFTWARE 
VALOR HORA]],3,FALSE),"0")</f>
        <v>20263.424518743668</v>
      </c>
      <c r="P953" s="3">
        <f t="shared" si="34"/>
        <v>40526.849037487336</v>
      </c>
      <c r="Q953" s="11">
        <f>IFERROR(+VLOOKUP(M953,D.sign_Lista_Data[[RESPONSABLE]:[SOFTWARE 
VALOR HORA]],5,FALSE)*D.sign_Data[[#This Row],[TIEMPO (HORAS)]],0)</f>
        <v>8443.0935494765272</v>
      </c>
      <c r="R953" s="11">
        <f>IFERROR(+VLOOKUP(M953,D.sign_Lista_Data[[RESPONSABLE]:[SOFTWARE 
VALOR HORA]],8,FALSE)*D.sign_Data[[#This Row],[TIEMPO (HORAS)]],0)</f>
        <v>6821.7097742879669</v>
      </c>
      <c r="S953" s="99"/>
      <c r="T953" s="99"/>
      <c r="U953" s="3">
        <f t="shared" si="35"/>
        <v>55791.652361251836</v>
      </c>
      <c r="V953" s="100">
        <f>D.sign_Data[[#This Row],[TIEMPO (HORAS)]]*Gastos_Operativos[[#Totals],[GASTOS HORA]]</f>
        <v>55578.954144620802</v>
      </c>
      <c r="W953" s="3">
        <f>+D.sign_Data[[#This Row],[COSTO 
DIRECTO ($COP)]]+D.sign_Data[[#This Row],[PRORRATEO GASTOS ($COP)]]</f>
        <v>111370.60650587264</v>
      </c>
      <c r="X953" s="101">
        <v>0.05</v>
      </c>
      <c r="Y953" s="15">
        <f>+D.sign_Data[[#This Row],[COSTOS OPERACIONALES ($COP)]]*D.sign_Data[[#This Row],[DESFASE (%)]]</f>
        <v>5568.5303252936319</v>
      </c>
      <c r="Z953" s="101">
        <v>0.4</v>
      </c>
      <c r="AA953" s="15">
        <f>+((D.sign_Data[[#This Row],[COSTOS OPERACIONALES ($COP)]]/(100%-D.sign_Data[[#This Row],[UTILIDAD (%)]])))-D.sign_Data[[#This Row],[COSTOS OPERACIONALES ($COP)]]</f>
        <v>74247.071003915087</v>
      </c>
      <c r="AB953" s="3">
        <f>+D.sign_Data[[#This Row],[COSTOS OPERACIONALES ($COP)]]+D.sign_Data[[#This Row],[DESFASE ($COP)]]+D.sign_Data[[#This Row],[UTILIDAD ($COP)]]</f>
        <v>191186.20783508135</v>
      </c>
      <c r="AC953" s="101">
        <v>0.05</v>
      </c>
      <c r="AD953" s="15">
        <f>+D.sign_Data[[#This Row],[VALOR NETO ($COP)]]/(100%-D.sign_Data[[#This Row],[MARGEN DE NEGOCIACIÓN (%)]])-D.sign_Data[[#This Row],[VALOR NETO ($COP)]]</f>
        <v>10062.431991320074</v>
      </c>
      <c r="AE953" s="15">
        <f>+(D.sign_Data[[#This Row],[VALOR NETO ($COP)]]+D.sign_Data[[#This Row],[NEGOCIACIÓN ($COP)]])*1%</f>
        <v>2012.4863982640143</v>
      </c>
      <c r="AF953" s="15">
        <f>+(D.sign_Data[[#This Row],[VALOR NETO ($COP)]]+D.sign_Data[[#This Row],[NEGOCIACIÓN ($COP)]])*1%</f>
        <v>2012.4863982640143</v>
      </c>
      <c r="AG953" s="3">
        <f>+D.sign_Data[[#This Row],[VALOR NETO ($COP)]]+D.sign_Data[[#This Row],[NEGOCIACIÓN ($COP)]]+D.sign_Data[[#This Row],[ICA ($COP)]]+D.sign_Data[[#This Row],[4 * 1000 ($COP)]]</f>
        <v>205273.61262292945</v>
      </c>
    </row>
    <row r="954" spans="1:33" ht="60" hidden="1" customHeight="1" x14ac:dyDescent="0.25">
      <c r="A954" s="14"/>
      <c r="B954" s="87" t="s">
        <v>442</v>
      </c>
      <c r="C954" s="182" t="s">
        <v>943</v>
      </c>
      <c r="D954" s="189" t="str">
        <f>VLOOKUP(D.sign_Data[[#This Row],[CÓDIGO]],Descripciones[[CÓDIGO]:[NOMBRE DE SERVICIO]],3,FALSE)</f>
        <v>D3. Vivienda Campestre</v>
      </c>
      <c r="E954" s="87" t="s">
        <v>497</v>
      </c>
      <c r="F954" s="88" t="s">
        <v>944</v>
      </c>
      <c r="G954" s="88" t="s">
        <v>536</v>
      </c>
      <c r="H954" s="87" t="s">
        <v>500</v>
      </c>
      <c r="I954" s="89">
        <v>1</v>
      </c>
      <c r="J954" s="88" t="s">
        <v>945</v>
      </c>
      <c r="K954" s="102"/>
      <c r="L954" s="88" t="s">
        <v>832</v>
      </c>
      <c r="M954" s="89" t="s">
        <v>381</v>
      </c>
      <c r="N954" s="90">
        <v>2</v>
      </c>
      <c r="O954" s="27">
        <f>IFERROR(+VLOOKUP(M954,D.sign_Lista_Data[[RESPONSABLE]:[SOFTWARE 
VALOR HORA]],3,FALSE),"0")</f>
        <v>20263.424518743668</v>
      </c>
      <c r="P954" s="3">
        <f t="shared" si="34"/>
        <v>40526.849037487336</v>
      </c>
      <c r="Q954" s="11">
        <f>IFERROR(+VLOOKUP(M954,D.sign_Lista_Data[[RESPONSABLE]:[SOFTWARE 
VALOR HORA]],5,FALSE)*D.sign_Data[[#This Row],[TIEMPO (HORAS)]],0)</f>
        <v>8443.0935494765272</v>
      </c>
      <c r="R954" s="11">
        <f>IFERROR(+VLOOKUP(M954,D.sign_Lista_Data[[RESPONSABLE]:[SOFTWARE 
VALOR HORA]],8,FALSE)*D.sign_Data[[#This Row],[TIEMPO (HORAS)]],0)</f>
        <v>6821.7097742879669</v>
      </c>
      <c r="S954" s="99"/>
      <c r="T954" s="99"/>
      <c r="U954" s="3">
        <f t="shared" si="35"/>
        <v>55791.652361251836</v>
      </c>
      <c r="V954" s="100">
        <f>D.sign_Data[[#This Row],[TIEMPO (HORAS)]]*Gastos_Operativos[[#Totals],[GASTOS HORA]]</f>
        <v>55578.954144620802</v>
      </c>
      <c r="W954" s="3">
        <f>+D.sign_Data[[#This Row],[COSTO 
DIRECTO ($COP)]]+D.sign_Data[[#This Row],[PRORRATEO GASTOS ($COP)]]</f>
        <v>111370.60650587264</v>
      </c>
      <c r="X954" s="101">
        <v>0.05</v>
      </c>
      <c r="Y954" s="15">
        <f>+D.sign_Data[[#This Row],[COSTOS OPERACIONALES ($COP)]]*D.sign_Data[[#This Row],[DESFASE (%)]]</f>
        <v>5568.5303252936319</v>
      </c>
      <c r="Z954" s="101">
        <v>0.4</v>
      </c>
      <c r="AA954" s="15">
        <f>+((D.sign_Data[[#This Row],[COSTOS OPERACIONALES ($COP)]]/(100%-D.sign_Data[[#This Row],[UTILIDAD (%)]])))-D.sign_Data[[#This Row],[COSTOS OPERACIONALES ($COP)]]</f>
        <v>74247.071003915087</v>
      </c>
      <c r="AB954" s="3">
        <f>+D.sign_Data[[#This Row],[COSTOS OPERACIONALES ($COP)]]+D.sign_Data[[#This Row],[DESFASE ($COP)]]+D.sign_Data[[#This Row],[UTILIDAD ($COP)]]</f>
        <v>191186.20783508135</v>
      </c>
      <c r="AC954" s="101">
        <v>0.05</v>
      </c>
      <c r="AD954" s="15">
        <f>+D.sign_Data[[#This Row],[VALOR NETO ($COP)]]/(100%-D.sign_Data[[#This Row],[MARGEN DE NEGOCIACIÓN (%)]])-D.sign_Data[[#This Row],[VALOR NETO ($COP)]]</f>
        <v>10062.431991320074</v>
      </c>
      <c r="AE954" s="15">
        <f>+(D.sign_Data[[#This Row],[VALOR NETO ($COP)]]+D.sign_Data[[#This Row],[NEGOCIACIÓN ($COP)]])*1%</f>
        <v>2012.4863982640143</v>
      </c>
      <c r="AF954" s="15">
        <f>+(D.sign_Data[[#This Row],[VALOR NETO ($COP)]]+D.sign_Data[[#This Row],[NEGOCIACIÓN ($COP)]])*1%</f>
        <v>2012.4863982640143</v>
      </c>
      <c r="AG954" s="3">
        <f>+D.sign_Data[[#This Row],[VALOR NETO ($COP)]]+D.sign_Data[[#This Row],[NEGOCIACIÓN ($COP)]]+D.sign_Data[[#This Row],[ICA ($COP)]]+D.sign_Data[[#This Row],[4 * 1000 ($COP)]]</f>
        <v>205273.61262292945</v>
      </c>
    </row>
    <row r="955" spans="1:33" ht="60" hidden="1" customHeight="1" x14ac:dyDescent="0.25">
      <c r="A955" s="14"/>
      <c r="B955" s="87" t="s">
        <v>442</v>
      </c>
      <c r="C955" s="182" t="s">
        <v>943</v>
      </c>
      <c r="D955" s="189" t="str">
        <f>VLOOKUP(D.sign_Data[[#This Row],[CÓDIGO]],Descripciones[[CÓDIGO]:[NOMBRE DE SERVICIO]],3,FALSE)</f>
        <v>D3. Vivienda Campestre</v>
      </c>
      <c r="E955" s="87" t="s">
        <v>497</v>
      </c>
      <c r="F955" s="88" t="s">
        <v>944</v>
      </c>
      <c r="G955" s="88" t="s">
        <v>536</v>
      </c>
      <c r="H955" s="87" t="s">
        <v>500</v>
      </c>
      <c r="I955" s="89">
        <v>1</v>
      </c>
      <c r="J955" s="88" t="s">
        <v>945</v>
      </c>
      <c r="K955" s="102"/>
      <c r="L955" s="88" t="s">
        <v>833</v>
      </c>
      <c r="M955" s="89" t="s">
        <v>381</v>
      </c>
      <c r="N955" s="90">
        <v>8</v>
      </c>
      <c r="O955" s="27">
        <f>IFERROR(+VLOOKUP(M955,D.sign_Lista_Data[[RESPONSABLE]:[SOFTWARE 
VALOR HORA]],3,FALSE),"0")</f>
        <v>20263.424518743668</v>
      </c>
      <c r="P955" s="3">
        <f t="shared" si="34"/>
        <v>162107.39614994935</v>
      </c>
      <c r="Q955" s="11">
        <f>IFERROR(+VLOOKUP(M955,D.sign_Lista_Data[[RESPONSABLE]:[SOFTWARE 
VALOR HORA]],5,FALSE)*D.sign_Data[[#This Row],[TIEMPO (HORAS)]],0)</f>
        <v>33772.374197906109</v>
      </c>
      <c r="R955" s="11">
        <f>IFERROR(+VLOOKUP(M955,D.sign_Lista_Data[[RESPONSABLE]:[SOFTWARE 
VALOR HORA]],8,FALSE)*D.sign_Data[[#This Row],[TIEMPO (HORAS)]],0)</f>
        <v>27286.839097151867</v>
      </c>
      <c r="S955" s="99"/>
      <c r="T955" s="99"/>
      <c r="U955" s="3">
        <f t="shared" si="35"/>
        <v>223166.60944500734</v>
      </c>
      <c r="V955" s="100">
        <f>D.sign_Data[[#This Row],[TIEMPO (HORAS)]]*Gastos_Operativos[[#Totals],[GASTOS HORA]]</f>
        <v>222315.81657848321</v>
      </c>
      <c r="W955" s="3">
        <f>+D.sign_Data[[#This Row],[COSTO 
DIRECTO ($COP)]]+D.sign_Data[[#This Row],[PRORRATEO GASTOS ($COP)]]</f>
        <v>445482.42602349055</v>
      </c>
      <c r="X955" s="101">
        <v>0.05</v>
      </c>
      <c r="Y955" s="15">
        <f>+D.sign_Data[[#This Row],[COSTOS OPERACIONALES ($COP)]]*D.sign_Data[[#This Row],[DESFASE (%)]]</f>
        <v>22274.121301174528</v>
      </c>
      <c r="Z955" s="101">
        <v>0.4</v>
      </c>
      <c r="AA955" s="15">
        <f>+((D.sign_Data[[#This Row],[COSTOS OPERACIONALES ($COP)]]/(100%-D.sign_Data[[#This Row],[UTILIDAD (%)]])))-D.sign_Data[[#This Row],[COSTOS OPERACIONALES ($COP)]]</f>
        <v>296988.28401566035</v>
      </c>
      <c r="AB955" s="3">
        <f>+D.sign_Data[[#This Row],[COSTOS OPERACIONALES ($COP)]]+D.sign_Data[[#This Row],[DESFASE ($COP)]]+D.sign_Data[[#This Row],[UTILIDAD ($COP)]]</f>
        <v>764744.83134032541</v>
      </c>
      <c r="AC955" s="101">
        <v>0.05</v>
      </c>
      <c r="AD955" s="15">
        <f>+D.sign_Data[[#This Row],[VALOR NETO ($COP)]]/(100%-D.sign_Data[[#This Row],[MARGEN DE NEGOCIACIÓN (%)]])-D.sign_Data[[#This Row],[VALOR NETO ($COP)]]</f>
        <v>40249.727965280297</v>
      </c>
      <c r="AE955" s="15">
        <f>+(D.sign_Data[[#This Row],[VALOR NETO ($COP)]]+D.sign_Data[[#This Row],[NEGOCIACIÓN ($COP)]])*1%</f>
        <v>8049.9455930560571</v>
      </c>
      <c r="AF955" s="15">
        <f>+(D.sign_Data[[#This Row],[VALOR NETO ($COP)]]+D.sign_Data[[#This Row],[NEGOCIACIÓN ($COP)]])*1%</f>
        <v>8049.9455930560571</v>
      </c>
      <c r="AG955" s="3">
        <f>+D.sign_Data[[#This Row],[VALOR NETO ($COP)]]+D.sign_Data[[#This Row],[NEGOCIACIÓN ($COP)]]+D.sign_Data[[#This Row],[ICA ($COP)]]+D.sign_Data[[#This Row],[4 * 1000 ($COP)]]</f>
        <v>821094.45049171778</v>
      </c>
    </row>
    <row r="956" spans="1:33" ht="60" hidden="1" customHeight="1" x14ac:dyDescent="0.25">
      <c r="A956" s="14"/>
      <c r="B956" s="87" t="s">
        <v>442</v>
      </c>
      <c r="C956" s="182" t="s">
        <v>943</v>
      </c>
      <c r="D956" s="189" t="str">
        <f>VLOOKUP(D.sign_Data[[#This Row],[CÓDIGO]],Descripciones[[CÓDIGO]:[NOMBRE DE SERVICIO]],3,FALSE)</f>
        <v>D3. Vivienda Campestre</v>
      </c>
      <c r="E956" s="87" t="s">
        <v>497</v>
      </c>
      <c r="F956" s="88" t="s">
        <v>944</v>
      </c>
      <c r="G956" s="88" t="s">
        <v>536</v>
      </c>
      <c r="H956" s="87" t="s">
        <v>500</v>
      </c>
      <c r="I956" s="89">
        <v>1</v>
      </c>
      <c r="J956" s="88" t="s">
        <v>945</v>
      </c>
      <c r="K956" s="102"/>
      <c r="L956" s="88" t="s">
        <v>834</v>
      </c>
      <c r="M956" s="89" t="s">
        <v>381</v>
      </c>
      <c r="N956" s="90">
        <v>1</v>
      </c>
      <c r="O956" s="27">
        <f>IFERROR(+VLOOKUP(M956,D.sign_Lista_Data[[RESPONSABLE]:[SOFTWARE 
VALOR HORA]],3,FALSE),"0")</f>
        <v>20263.424518743668</v>
      </c>
      <c r="P956" s="3">
        <f t="shared" si="34"/>
        <v>20263.424518743668</v>
      </c>
      <c r="Q956" s="11">
        <f>IFERROR(+VLOOKUP(M956,D.sign_Lista_Data[[RESPONSABLE]:[SOFTWARE 
VALOR HORA]],5,FALSE)*D.sign_Data[[#This Row],[TIEMPO (HORAS)]],0)</f>
        <v>4221.5467747382636</v>
      </c>
      <c r="R956" s="11">
        <f>IFERROR(+VLOOKUP(M956,D.sign_Lista_Data[[RESPONSABLE]:[SOFTWARE 
VALOR HORA]],8,FALSE)*D.sign_Data[[#This Row],[TIEMPO (HORAS)]],0)</f>
        <v>3410.8548871439834</v>
      </c>
      <c r="S956" s="99"/>
      <c r="T956" s="99"/>
      <c r="U956" s="3">
        <f t="shared" si="35"/>
        <v>27895.826180625918</v>
      </c>
      <c r="V956" s="100">
        <f>D.sign_Data[[#This Row],[TIEMPO (HORAS)]]*Gastos_Operativos[[#Totals],[GASTOS HORA]]</f>
        <v>27789.477072310401</v>
      </c>
      <c r="W956" s="3">
        <f>+D.sign_Data[[#This Row],[COSTO 
DIRECTO ($COP)]]+D.sign_Data[[#This Row],[PRORRATEO GASTOS ($COP)]]</f>
        <v>55685.303252936319</v>
      </c>
      <c r="X956" s="101">
        <v>0.05</v>
      </c>
      <c r="Y956" s="15">
        <f>+D.sign_Data[[#This Row],[COSTOS OPERACIONALES ($COP)]]*D.sign_Data[[#This Row],[DESFASE (%)]]</f>
        <v>2784.265162646816</v>
      </c>
      <c r="Z956" s="101">
        <v>0.4</v>
      </c>
      <c r="AA956" s="15">
        <f>+((D.sign_Data[[#This Row],[COSTOS OPERACIONALES ($COP)]]/(100%-D.sign_Data[[#This Row],[UTILIDAD (%)]])))-D.sign_Data[[#This Row],[COSTOS OPERACIONALES ($COP)]]</f>
        <v>37123.535501957544</v>
      </c>
      <c r="AB956" s="3">
        <f>+D.sign_Data[[#This Row],[COSTOS OPERACIONALES ($COP)]]+D.sign_Data[[#This Row],[DESFASE ($COP)]]+D.sign_Data[[#This Row],[UTILIDAD ($COP)]]</f>
        <v>95593.103917540677</v>
      </c>
      <c r="AC956" s="101">
        <v>0.05</v>
      </c>
      <c r="AD956" s="15">
        <f>+D.sign_Data[[#This Row],[VALOR NETO ($COP)]]/(100%-D.sign_Data[[#This Row],[MARGEN DE NEGOCIACIÓN (%)]])-D.sign_Data[[#This Row],[VALOR NETO ($COP)]]</f>
        <v>5031.2159956600372</v>
      </c>
      <c r="AE956" s="15">
        <f>+(D.sign_Data[[#This Row],[VALOR NETO ($COP)]]+D.sign_Data[[#This Row],[NEGOCIACIÓN ($COP)]])*1%</f>
        <v>1006.2431991320071</v>
      </c>
      <c r="AF956" s="15">
        <f>+(D.sign_Data[[#This Row],[VALOR NETO ($COP)]]+D.sign_Data[[#This Row],[NEGOCIACIÓN ($COP)]])*1%</f>
        <v>1006.2431991320071</v>
      </c>
      <c r="AG956" s="3">
        <f>+D.sign_Data[[#This Row],[VALOR NETO ($COP)]]+D.sign_Data[[#This Row],[NEGOCIACIÓN ($COP)]]+D.sign_Data[[#This Row],[ICA ($COP)]]+D.sign_Data[[#This Row],[4 * 1000 ($COP)]]</f>
        <v>102636.80631146472</v>
      </c>
    </row>
    <row r="957" spans="1:33" ht="60" hidden="1" customHeight="1" x14ac:dyDescent="0.25">
      <c r="A957" s="14"/>
      <c r="B957" s="87" t="s">
        <v>442</v>
      </c>
      <c r="C957" s="182" t="s">
        <v>943</v>
      </c>
      <c r="D957" s="189" t="str">
        <f>VLOOKUP(D.sign_Data[[#This Row],[CÓDIGO]],Descripciones[[CÓDIGO]:[NOMBRE DE SERVICIO]],3,FALSE)</f>
        <v>D3. Vivienda Campestre</v>
      </c>
      <c r="E957" s="87" t="s">
        <v>497</v>
      </c>
      <c r="F957" s="88" t="s">
        <v>944</v>
      </c>
      <c r="G957" s="88" t="s">
        <v>536</v>
      </c>
      <c r="H957" s="87" t="s">
        <v>500</v>
      </c>
      <c r="I957" s="89">
        <v>1</v>
      </c>
      <c r="J957" s="88" t="s">
        <v>945</v>
      </c>
      <c r="K957" s="102"/>
      <c r="L957" s="88" t="s">
        <v>835</v>
      </c>
      <c r="M957" s="89" t="s">
        <v>381</v>
      </c>
      <c r="N957" s="90">
        <v>2</v>
      </c>
      <c r="O957" s="27">
        <f>IFERROR(+VLOOKUP(M957,D.sign_Lista_Data[[RESPONSABLE]:[SOFTWARE 
VALOR HORA]],3,FALSE),"0")</f>
        <v>20263.424518743668</v>
      </c>
      <c r="P957" s="3">
        <f t="shared" si="34"/>
        <v>40526.849037487336</v>
      </c>
      <c r="Q957" s="11">
        <f>IFERROR(+VLOOKUP(M957,D.sign_Lista_Data[[RESPONSABLE]:[SOFTWARE 
VALOR HORA]],5,FALSE)*D.sign_Data[[#This Row],[TIEMPO (HORAS)]],0)</f>
        <v>8443.0935494765272</v>
      </c>
      <c r="R957" s="11">
        <f>IFERROR(+VLOOKUP(M957,D.sign_Lista_Data[[RESPONSABLE]:[SOFTWARE 
VALOR HORA]],8,FALSE)*D.sign_Data[[#This Row],[TIEMPO (HORAS)]],0)</f>
        <v>6821.7097742879669</v>
      </c>
      <c r="S957" s="99"/>
      <c r="T957" s="99"/>
      <c r="U957" s="3">
        <f t="shared" si="35"/>
        <v>55791.652361251836</v>
      </c>
      <c r="V957" s="100">
        <f>D.sign_Data[[#This Row],[TIEMPO (HORAS)]]*Gastos_Operativos[[#Totals],[GASTOS HORA]]</f>
        <v>55578.954144620802</v>
      </c>
      <c r="W957" s="3">
        <f>+D.sign_Data[[#This Row],[COSTO 
DIRECTO ($COP)]]+D.sign_Data[[#This Row],[PRORRATEO GASTOS ($COP)]]</f>
        <v>111370.60650587264</v>
      </c>
      <c r="X957" s="101">
        <v>0.05</v>
      </c>
      <c r="Y957" s="15">
        <f>+D.sign_Data[[#This Row],[COSTOS OPERACIONALES ($COP)]]*D.sign_Data[[#This Row],[DESFASE (%)]]</f>
        <v>5568.5303252936319</v>
      </c>
      <c r="Z957" s="101">
        <v>0.4</v>
      </c>
      <c r="AA957" s="15">
        <f>+((D.sign_Data[[#This Row],[COSTOS OPERACIONALES ($COP)]]/(100%-D.sign_Data[[#This Row],[UTILIDAD (%)]])))-D.sign_Data[[#This Row],[COSTOS OPERACIONALES ($COP)]]</f>
        <v>74247.071003915087</v>
      </c>
      <c r="AB957" s="3">
        <f>+D.sign_Data[[#This Row],[COSTOS OPERACIONALES ($COP)]]+D.sign_Data[[#This Row],[DESFASE ($COP)]]+D.sign_Data[[#This Row],[UTILIDAD ($COP)]]</f>
        <v>191186.20783508135</v>
      </c>
      <c r="AC957" s="101">
        <v>0.05</v>
      </c>
      <c r="AD957" s="15">
        <f>+D.sign_Data[[#This Row],[VALOR NETO ($COP)]]/(100%-D.sign_Data[[#This Row],[MARGEN DE NEGOCIACIÓN (%)]])-D.sign_Data[[#This Row],[VALOR NETO ($COP)]]</f>
        <v>10062.431991320074</v>
      </c>
      <c r="AE957" s="15">
        <f>+(D.sign_Data[[#This Row],[VALOR NETO ($COP)]]+D.sign_Data[[#This Row],[NEGOCIACIÓN ($COP)]])*1%</f>
        <v>2012.4863982640143</v>
      </c>
      <c r="AF957" s="15">
        <f>+(D.sign_Data[[#This Row],[VALOR NETO ($COP)]]+D.sign_Data[[#This Row],[NEGOCIACIÓN ($COP)]])*1%</f>
        <v>2012.4863982640143</v>
      </c>
      <c r="AG957" s="3">
        <f>+D.sign_Data[[#This Row],[VALOR NETO ($COP)]]+D.sign_Data[[#This Row],[NEGOCIACIÓN ($COP)]]+D.sign_Data[[#This Row],[ICA ($COP)]]+D.sign_Data[[#This Row],[4 * 1000 ($COP)]]</f>
        <v>205273.61262292945</v>
      </c>
    </row>
    <row r="958" spans="1:33" ht="60" hidden="1" customHeight="1" x14ac:dyDescent="0.25">
      <c r="A958" s="14"/>
      <c r="B958" s="87" t="s">
        <v>442</v>
      </c>
      <c r="C958" s="182" t="s">
        <v>943</v>
      </c>
      <c r="D958" s="189" t="str">
        <f>VLOOKUP(D.sign_Data[[#This Row],[CÓDIGO]],Descripciones[[CÓDIGO]:[NOMBRE DE SERVICIO]],3,FALSE)</f>
        <v>D3. Vivienda Campestre</v>
      </c>
      <c r="E958" s="87" t="s">
        <v>497</v>
      </c>
      <c r="F958" s="88" t="s">
        <v>944</v>
      </c>
      <c r="G958" s="88" t="s">
        <v>536</v>
      </c>
      <c r="H958" s="87" t="s">
        <v>500</v>
      </c>
      <c r="I958" s="89">
        <v>1</v>
      </c>
      <c r="J958" s="88" t="s">
        <v>946</v>
      </c>
      <c r="K958" s="102"/>
      <c r="L958" s="88" t="s">
        <v>837</v>
      </c>
      <c r="M958" s="89" t="s">
        <v>381</v>
      </c>
      <c r="N958" s="90">
        <v>1</v>
      </c>
      <c r="O958" s="27">
        <f>IFERROR(+VLOOKUP(M958,D.sign_Lista_Data[[RESPONSABLE]:[SOFTWARE 
VALOR HORA]],3,FALSE),"0")</f>
        <v>20263.424518743668</v>
      </c>
      <c r="P958" s="3">
        <f t="shared" si="34"/>
        <v>20263.424518743668</v>
      </c>
      <c r="Q958" s="11">
        <f>IFERROR(+VLOOKUP(M958,D.sign_Lista_Data[[RESPONSABLE]:[SOFTWARE 
VALOR HORA]],5,FALSE)*D.sign_Data[[#This Row],[TIEMPO (HORAS)]],0)</f>
        <v>4221.5467747382636</v>
      </c>
      <c r="R958" s="11">
        <f>IFERROR(+VLOOKUP(M958,D.sign_Lista_Data[[RESPONSABLE]:[SOFTWARE 
VALOR HORA]],8,FALSE)*D.sign_Data[[#This Row],[TIEMPO (HORAS)]],0)</f>
        <v>3410.8548871439834</v>
      </c>
      <c r="S958" s="99"/>
      <c r="T958" s="99"/>
      <c r="U958" s="3">
        <f t="shared" si="35"/>
        <v>27895.826180625918</v>
      </c>
      <c r="V958" s="100">
        <f>D.sign_Data[[#This Row],[TIEMPO (HORAS)]]*Gastos_Operativos[[#Totals],[GASTOS HORA]]</f>
        <v>27789.477072310401</v>
      </c>
      <c r="W958" s="3">
        <f>+D.sign_Data[[#This Row],[COSTO 
DIRECTO ($COP)]]+D.sign_Data[[#This Row],[PRORRATEO GASTOS ($COP)]]</f>
        <v>55685.303252936319</v>
      </c>
      <c r="X958" s="101">
        <v>0.05</v>
      </c>
      <c r="Y958" s="15">
        <f>+D.sign_Data[[#This Row],[COSTOS OPERACIONALES ($COP)]]*D.sign_Data[[#This Row],[DESFASE (%)]]</f>
        <v>2784.265162646816</v>
      </c>
      <c r="Z958" s="101">
        <v>0.4</v>
      </c>
      <c r="AA958" s="15">
        <f>+((D.sign_Data[[#This Row],[COSTOS OPERACIONALES ($COP)]]/(100%-D.sign_Data[[#This Row],[UTILIDAD (%)]])))-D.sign_Data[[#This Row],[COSTOS OPERACIONALES ($COP)]]</f>
        <v>37123.535501957544</v>
      </c>
      <c r="AB958" s="3">
        <f>+D.sign_Data[[#This Row],[COSTOS OPERACIONALES ($COP)]]+D.sign_Data[[#This Row],[DESFASE ($COP)]]+D.sign_Data[[#This Row],[UTILIDAD ($COP)]]</f>
        <v>95593.103917540677</v>
      </c>
      <c r="AC958" s="101">
        <v>0.05</v>
      </c>
      <c r="AD958" s="15">
        <f>+D.sign_Data[[#This Row],[VALOR NETO ($COP)]]/(100%-D.sign_Data[[#This Row],[MARGEN DE NEGOCIACIÓN (%)]])-D.sign_Data[[#This Row],[VALOR NETO ($COP)]]</f>
        <v>5031.2159956600372</v>
      </c>
      <c r="AE958" s="15">
        <f>+(D.sign_Data[[#This Row],[VALOR NETO ($COP)]]+D.sign_Data[[#This Row],[NEGOCIACIÓN ($COP)]])*1%</f>
        <v>1006.2431991320071</v>
      </c>
      <c r="AF958" s="15">
        <f>+(D.sign_Data[[#This Row],[VALOR NETO ($COP)]]+D.sign_Data[[#This Row],[NEGOCIACIÓN ($COP)]])*1%</f>
        <v>1006.2431991320071</v>
      </c>
      <c r="AG958" s="3">
        <f>+D.sign_Data[[#This Row],[VALOR NETO ($COP)]]+D.sign_Data[[#This Row],[NEGOCIACIÓN ($COP)]]+D.sign_Data[[#This Row],[ICA ($COP)]]+D.sign_Data[[#This Row],[4 * 1000 ($COP)]]</f>
        <v>102636.80631146472</v>
      </c>
    </row>
    <row r="959" spans="1:33" ht="60" hidden="1" customHeight="1" x14ac:dyDescent="0.25">
      <c r="A959" s="14"/>
      <c r="B959" s="87" t="s">
        <v>442</v>
      </c>
      <c r="C959" s="182" t="s">
        <v>943</v>
      </c>
      <c r="D959" s="189" t="str">
        <f>VLOOKUP(D.sign_Data[[#This Row],[CÓDIGO]],Descripciones[[CÓDIGO]:[NOMBRE DE SERVICIO]],3,FALSE)</f>
        <v>D3. Vivienda Campestre</v>
      </c>
      <c r="E959" s="87" t="s">
        <v>497</v>
      </c>
      <c r="F959" s="88" t="s">
        <v>944</v>
      </c>
      <c r="G959" s="88" t="s">
        <v>536</v>
      </c>
      <c r="H959" s="87" t="s">
        <v>500</v>
      </c>
      <c r="I959" s="89">
        <v>1</v>
      </c>
      <c r="J959" s="88" t="s">
        <v>946</v>
      </c>
      <c r="K959" s="102"/>
      <c r="L959" s="88" t="s">
        <v>838</v>
      </c>
      <c r="M959" s="89" t="s">
        <v>381</v>
      </c>
      <c r="N959" s="90">
        <v>1</v>
      </c>
      <c r="O959" s="27">
        <f>IFERROR(+VLOOKUP(M959,D.sign_Lista_Data[[RESPONSABLE]:[SOFTWARE 
VALOR HORA]],3,FALSE),"0")</f>
        <v>20263.424518743668</v>
      </c>
      <c r="P959" s="3">
        <f t="shared" si="34"/>
        <v>20263.424518743668</v>
      </c>
      <c r="Q959" s="11">
        <f>IFERROR(+VLOOKUP(M959,D.sign_Lista_Data[[RESPONSABLE]:[SOFTWARE 
VALOR HORA]],5,FALSE)*D.sign_Data[[#This Row],[TIEMPO (HORAS)]],0)</f>
        <v>4221.5467747382636</v>
      </c>
      <c r="R959" s="11">
        <f>IFERROR(+VLOOKUP(M959,D.sign_Lista_Data[[RESPONSABLE]:[SOFTWARE 
VALOR HORA]],8,FALSE)*D.sign_Data[[#This Row],[TIEMPO (HORAS)]],0)</f>
        <v>3410.8548871439834</v>
      </c>
      <c r="S959" s="99"/>
      <c r="T959" s="99"/>
      <c r="U959" s="3">
        <f t="shared" si="35"/>
        <v>27895.826180625918</v>
      </c>
      <c r="V959" s="100">
        <f>D.sign_Data[[#This Row],[TIEMPO (HORAS)]]*Gastos_Operativos[[#Totals],[GASTOS HORA]]</f>
        <v>27789.477072310401</v>
      </c>
      <c r="W959" s="3">
        <f>+D.sign_Data[[#This Row],[COSTO 
DIRECTO ($COP)]]+D.sign_Data[[#This Row],[PRORRATEO GASTOS ($COP)]]</f>
        <v>55685.303252936319</v>
      </c>
      <c r="X959" s="101">
        <v>0.05</v>
      </c>
      <c r="Y959" s="15">
        <f>+D.sign_Data[[#This Row],[COSTOS OPERACIONALES ($COP)]]*D.sign_Data[[#This Row],[DESFASE (%)]]</f>
        <v>2784.265162646816</v>
      </c>
      <c r="Z959" s="101">
        <v>0.4</v>
      </c>
      <c r="AA959" s="15">
        <f>+((D.sign_Data[[#This Row],[COSTOS OPERACIONALES ($COP)]]/(100%-D.sign_Data[[#This Row],[UTILIDAD (%)]])))-D.sign_Data[[#This Row],[COSTOS OPERACIONALES ($COP)]]</f>
        <v>37123.535501957544</v>
      </c>
      <c r="AB959" s="3">
        <f>+D.sign_Data[[#This Row],[COSTOS OPERACIONALES ($COP)]]+D.sign_Data[[#This Row],[DESFASE ($COP)]]+D.sign_Data[[#This Row],[UTILIDAD ($COP)]]</f>
        <v>95593.103917540677</v>
      </c>
      <c r="AC959" s="101">
        <v>0.05</v>
      </c>
      <c r="AD959" s="15">
        <f>+D.sign_Data[[#This Row],[VALOR NETO ($COP)]]/(100%-D.sign_Data[[#This Row],[MARGEN DE NEGOCIACIÓN (%)]])-D.sign_Data[[#This Row],[VALOR NETO ($COP)]]</f>
        <v>5031.2159956600372</v>
      </c>
      <c r="AE959" s="15">
        <f>+(D.sign_Data[[#This Row],[VALOR NETO ($COP)]]+D.sign_Data[[#This Row],[NEGOCIACIÓN ($COP)]])*1%</f>
        <v>1006.2431991320071</v>
      </c>
      <c r="AF959" s="15">
        <f>+(D.sign_Data[[#This Row],[VALOR NETO ($COP)]]+D.sign_Data[[#This Row],[NEGOCIACIÓN ($COP)]])*1%</f>
        <v>1006.2431991320071</v>
      </c>
      <c r="AG959" s="3">
        <f>+D.sign_Data[[#This Row],[VALOR NETO ($COP)]]+D.sign_Data[[#This Row],[NEGOCIACIÓN ($COP)]]+D.sign_Data[[#This Row],[ICA ($COP)]]+D.sign_Data[[#This Row],[4 * 1000 ($COP)]]</f>
        <v>102636.80631146472</v>
      </c>
    </row>
    <row r="960" spans="1:33" ht="60" hidden="1" customHeight="1" x14ac:dyDescent="0.25">
      <c r="A960" s="14"/>
      <c r="B960" s="87" t="s">
        <v>442</v>
      </c>
      <c r="C960" s="182" t="s">
        <v>943</v>
      </c>
      <c r="D960" s="189" t="str">
        <f>VLOOKUP(D.sign_Data[[#This Row],[CÓDIGO]],Descripciones[[CÓDIGO]:[NOMBRE DE SERVICIO]],3,FALSE)</f>
        <v>D3. Vivienda Campestre</v>
      </c>
      <c r="E960" s="87" t="s">
        <v>497</v>
      </c>
      <c r="F960" s="88" t="s">
        <v>944</v>
      </c>
      <c r="G960" s="88" t="s">
        <v>536</v>
      </c>
      <c r="H960" s="87" t="s">
        <v>500</v>
      </c>
      <c r="I960" s="89">
        <v>1</v>
      </c>
      <c r="J960" s="88" t="s">
        <v>946</v>
      </c>
      <c r="K960" s="102"/>
      <c r="L960" s="88" t="s">
        <v>839</v>
      </c>
      <c r="M960" s="89" t="s">
        <v>381</v>
      </c>
      <c r="N960" s="90">
        <v>1</v>
      </c>
      <c r="O960" s="27">
        <f>IFERROR(+VLOOKUP(M960,D.sign_Lista_Data[[RESPONSABLE]:[SOFTWARE 
VALOR HORA]],3,FALSE),"0")</f>
        <v>20263.424518743668</v>
      </c>
      <c r="P960" s="3">
        <f t="shared" si="34"/>
        <v>20263.424518743668</v>
      </c>
      <c r="Q960" s="11">
        <f>IFERROR(+VLOOKUP(M960,D.sign_Lista_Data[[RESPONSABLE]:[SOFTWARE 
VALOR HORA]],5,FALSE)*D.sign_Data[[#This Row],[TIEMPO (HORAS)]],0)</f>
        <v>4221.5467747382636</v>
      </c>
      <c r="R960" s="11">
        <f>IFERROR(+VLOOKUP(M960,D.sign_Lista_Data[[RESPONSABLE]:[SOFTWARE 
VALOR HORA]],8,FALSE)*D.sign_Data[[#This Row],[TIEMPO (HORAS)]],0)</f>
        <v>3410.8548871439834</v>
      </c>
      <c r="S960" s="99"/>
      <c r="T960" s="99"/>
      <c r="U960" s="3">
        <f t="shared" si="35"/>
        <v>27895.826180625918</v>
      </c>
      <c r="V960" s="100">
        <f>D.sign_Data[[#This Row],[TIEMPO (HORAS)]]*Gastos_Operativos[[#Totals],[GASTOS HORA]]</f>
        <v>27789.477072310401</v>
      </c>
      <c r="W960" s="3">
        <f>+D.sign_Data[[#This Row],[COSTO 
DIRECTO ($COP)]]+D.sign_Data[[#This Row],[PRORRATEO GASTOS ($COP)]]</f>
        <v>55685.303252936319</v>
      </c>
      <c r="X960" s="101">
        <v>0.05</v>
      </c>
      <c r="Y960" s="15">
        <f>+D.sign_Data[[#This Row],[COSTOS OPERACIONALES ($COP)]]*D.sign_Data[[#This Row],[DESFASE (%)]]</f>
        <v>2784.265162646816</v>
      </c>
      <c r="Z960" s="101">
        <v>0.4</v>
      </c>
      <c r="AA960" s="15">
        <f>+((D.sign_Data[[#This Row],[COSTOS OPERACIONALES ($COP)]]/(100%-D.sign_Data[[#This Row],[UTILIDAD (%)]])))-D.sign_Data[[#This Row],[COSTOS OPERACIONALES ($COP)]]</f>
        <v>37123.535501957544</v>
      </c>
      <c r="AB960" s="3">
        <f>+D.sign_Data[[#This Row],[COSTOS OPERACIONALES ($COP)]]+D.sign_Data[[#This Row],[DESFASE ($COP)]]+D.sign_Data[[#This Row],[UTILIDAD ($COP)]]</f>
        <v>95593.103917540677</v>
      </c>
      <c r="AC960" s="101">
        <v>0.05</v>
      </c>
      <c r="AD960" s="15">
        <f>+D.sign_Data[[#This Row],[VALOR NETO ($COP)]]/(100%-D.sign_Data[[#This Row],[MARGEN DE NEGOCIACIÓN (%)]])-D.sign_Data[[#This Row],[VALOR NETO ($COP)]]</f>
        <v>5031.2159956600372</v>
      </c>
      <c r="AE960" s="15">
        <f>+(D.sign_Data[[#This Row],[VALOR NETO ($COP)]]+D.sign_Data[[#This Row],[NEGOCIACIÓN ($COP)]])*1%</f>
        <v>1006.2431991320071</v>
      </c>
      <c r="AF960" s="15">
        <f>+(D.sign_Data[[#This Row],[VALOR NETO ($COP)]]+D.sign_Data[[#This Row],[NEGOCIACIÓN ($COP)]])*1%</f>
        <v>1006.2431991320071</v>
      </c>
      <c r="AG960" s="3">
        <f>+D.sign_Data[[#This Row],[VALOR NETO ($COP)]]+D.sign_Data[[#This Row],[NEGOCIACIÓN ($COP)]]+D.sign_Data[[#This Row],[ICA ($COP)]]+D.sign_Data[[#This Row],[4 * 1000 ($COP)]]</f>
        <v>102636.80631146472</v>
      </c>
    </row>
    <row r="961" spans="1:33" ht="60" hidden="1" customHeight="1" x14ac:dyDescent="0.25">
      <c r="A961" s="14"/>
      <c r="B961" s="87" t="s">
        <v>442</v>
      </c>
      <c r="C961" s="182" t="s">
        <v>943</v>
      </c>
      <c r="D961" s="189" t="str">
        <f>VLOOKUP(D.sign_Data[[#This Row],[CÓDIGO]],Descripciones[[CÓDIGO]:[NOMBRE DE SERVICIO]],3,FALSE)</f>
        <v>D3. Vivienda Campestre</v>
      </c>
      <c r="E961" s="87" t="s">
        <v>497</v>
      </c>
      <c r="F961" s="88" t="s">
        <v>944</v>
      </c>
      <c r="G961" s="88" t="s">
        <v>536</v>
      </c>
      <c r="H961" s="87" t="s">
        <v>500</v>
      </c>
      <c r="I961" s="89">
        <v>1</v>
      </c>
      <c r="J961" s="88" t="s">
        <v>946</v>
      </c>
      <c r="K961" s="102"/>
      <c r="L961" s="88" t="s">
        <v>738</v>
      </c>
      <c r="M961" s="89" t="s">
        <v>381</v>
      </c>
      <c r="N961" s="90">
        <v>1</v>
      </c>
      <c r="O961" s="27">
        <f>IFERROR(+VLOOKUP(M961,D.sign_Lista_Data[[RESPONSABLE]:[SOFTWARE 
VALOR HORA]],3,FALSE),"0")</f>
        <v>20263.424518743668</v>
      </c>
      <c r="P961" s="3">
        <f t="shared" si="34"/>
        <v>20263.424518743668</v>
      </c>
      <c r="Q961" s="11">
        <f>IFERROR(+VLOOKUP(M961,D.sign_Lista_Data[[RESPONSABLE]:[SOFTWARE 
VALOR HORA]],5,FALSE)*D.sign_Data[[#This Row],[TIEMPO (HORAS)]],0)</f>
        <v>4221.5467747382636</v>
      </c>
      <c r="R961" s="11">
        <f>IFERROR(+VLOOKUP(M961,D.sign_Lista_Data[[RESPONSABLE]:[SOFTWARE 
VALOR HORA]],8,FALSE)*D.sign_Data[[#This Row],[TIEMPO (HORAS)]],0)</f>
        <v>3410.8548871439834</v>
      </c>
      <c r="S961" s="99"/>
      <c r="T961" s="99"/>
      <c r="U961" s="3">
        <f t="shared" si="35"/>
        <v>27895.826180625918</v>
      </c>
      <c r="V961" s="100">
        <f>D.sign_Data[[#This Row],[TIEMPO (HORAS)]]*Gastos_Operativos[[#Totals],[GASTOS HORA]]</f>
        <v>27789.477072310401</v>
      </c>
      <c r="W961" s="3">
        <f>+D.sign_Data[[#This Row],[COSTO 
DIRECTO ($COP)]]+D.sign_Data[[#This Row],[PRORRATEO GASTOS ($COP)]]</f>
        <v>55685.303252936319</v>
      </c>
      <c r="X961" s="101">
        <v>0.05</v>
      </c>
      <c r="Y961" s="15">
        <f>+D.sign_Data[[#This Row],[COSTOS OPERACIONALES ($COP)]]*D.sign_Data[[#This Row],[DESFASE (%)]]</f>
        <v>2784.265162646816</v>
      </c>
      <c r="Z961" s="101">
        <v>0.4</v>
      </c>
      <c r="AA961" s="15">
        <f>+((D.sign_Data[[#This Row],[COSTOS OPERACIONALES ($COP)]]/(100%-D.sign_Data[[#This Row],[UTILIDAD (%)]])))-D.sign_Data[[#This Row],[COSTOS OPERACIONALES ($COP)]]</f>
        <v>37123.535501957544</v>
      </c>
      <c r="AB961" s="3">
        <f>+D.sign_Data[[#This Row],[COSTOS OPERACIONALES ($COP)]]+D.sign_Data[[#This Row],[DESFASE ($COP)]]+D.sign_Data[[#This Row],[UTILIDAD ($COP)]]</f>
        <v>95593.103917540677</v>
      </c>
      <c r="AC961" s="101">
        <v>0.05</v>
      </c>
      <c r="AD961" s="15">
        <f>+D.sign_Data[[#This Row],[VALOR NETO ($COP)]]/(100%-D.sign_Data[[#This Row],[MARGEN DE NEGOCIACIÓN (%)]])-D.sign_Data[[#This Row],[VALOR NETO ($COP)]]</f>
        <v>5031.2159956600372</v>
      </c>
      <c r="AE961" s="15">
        <f>+(D.sign_Data[[#This Row],[VALOR NETO ($COP)]]+D.sign_Data[[#This Row],[NEGOCIACIÓN ($COP)]])*1%</f>
        <v>1006.2431991320071</v>
      </c>
      <c r="AF961" s="15">
        <f>+(D.sign_Data[[#This Row],[VALOR NETO ($COP)]]+D.sign_Data[[#This Row],[NEGOCIACIÓN ($COP)]])*1%</f>
        <v>1006.2431991320071</v>
      </c>
      <c r="AG961" s="3">
        <f>+D.sign_Data[[#This Row],[VALOR NETO ($COP)]]+D.sign_Data[[#This Row],[NEGOCIACIÓN ($COP)]]+D.sign_Data[[#This Row],[ICA ($COP)]]+D.sign_Data[[#This Row],[4 * 1000 ($COP)]]</f>
        <v>102636.80631146472</v>
      </c>
    </row>
    <row r="962" spans="1:33" ht="60" hidden="1" customHeight="1" x14ac:dyDescent="0.25">
      <c r="A962" s="14"/>
      <c r="B962" s="87" t="s">
        <v>442</v>
      </c>
      <c r="C962" s="182" t="s">
        <v>943</v>
      </c>
      <c r="D962" s="189" t="str">
        <f>VLOOKUP(D.sign_Data[[#This Row],[CÓDIGO]],Descripciones[[CÓDIGO]:[NOMBRE DE SERVICIO]],3,FALSE)</f>
        <v>D3. Vivienda Campestre</v>
      </c>
      <c r="E962" s="87" t="s">
        <v>497</v>
      </c>
      <c r="F962" s="88" t="s">
        <v>944</v>
      </c>
      <c r="G962" s="88" t="s">
        <v>536</v>
      </c>
      <c r="H962" s="87" t="s">
        <v>500</v>
      </c>
      <c r="I962" s="89">
        <v>1</v>
      </c>
      <c r="J962" s="88" t="s">
        <v>946</v>
      </c>
      <c r="K962" s="102"/>
      <c r="L962" s="88" t="s">
        <v>648</v>
      </c>
      <c r="M962" s="89" t="s">
        <v>381</v>
      </c>
      <c r="N962" s="90">
        <v>2</v>
      </c>
      <c r="O962" s="27">
        <f>IFERROR(+VLOOKUP(M962,D.sign_Lista_Data[[RESPONSABLE]:[SOFTWARE 
VALOR HORA]],3,FALSE),"0")</f>
        <v>20263.424518743668</v>
      </c>
      <c r="P962" s="3">
        <f t="shared" si="34"/>
        <v>40526.849037487336</v>
      </c>
      <c r="Q962" s="11">
        <f>IFERROR(+VLOOKUP(M962,D.sign_Lista_Data[[RESPONSABLE]:[SOFTWARE 
VALOR HORA]],5,FALSE)*D.sign_Data[[#This Row],[TIEMPO (HORAS)]],0)</f>
        <v>8443.0935494765272</v>
      </c>
      <c r="R962" s="11">
        <f>IFERROR(+VLOOKUP(M962,D.sign_Lista_Data[[RESPONSABLE]:[SOFTWARE 
VALOR HORA]],8,FALSE)*D.sign_Data[[#This Row],[TIEMPO (HORAS)]],0)</f>
        <v>6821.7097742879669</v>
      </c>
      <c r="S962" s="99"/>
      <c r="T962" s="99"/>
      <c r="U962" s="3">
        <f t="shared" si="35"/>
        <v>55791.652361251836</v>
      </c>
      <c r="V962" s="100">
        <f>D.sign_Data[[#This Row],[TIEMPO (HORAS)]]*Gastos_Operativos[[#Totals],[GASTOS HORA]]</f>
        <v>55578.954144620802</v>
      </c>
      <c r="W962" s="3">
        <f>+D.sign_Data[[#This Row],[COSTO 
DIRECTO ($COP)]]+D.sign_Data[[#This Row],[PRORRATEO GASTOS ($COP)]]</f>
        <v>111370.60650587264</v>
      </c>
      <c r="X962" s="101">
        <v>0.05</v>
      </c>
      <c r="Y962" s="15">
        <f>+D.sign_Data[[#This Row],[COSTOS OPERACIONALES ($COP)]]*D.sign_Data[[#This Row],[DESFASE (%)]]</f>
        <v>5568.5303252936319</v>
      </c>
      <c r="Z962" s="101">
        <v>0.4</v>
      </c>
      <c r="AA962" s="15">
        <f>+((D.sign_Data[[#This Row],[COSTOS OPERACIONALES ($COP)]]/(100%-D.sign_Data[[#This Row],[UTILIDAD (%)]])))-D.sign_Data[[#This Row],[COSTOS OPERACIONALES ($COP)]]</f>
        <v>74247.071003915087</v>
      </c>
      <c r="AB962" s="3">
        <f>+D.sign_Data[[#This Row],[COSTOS OPERACIONALES ($COP)]]+D.sign_Data[[#This Row],[DESFASE ($COP)]]+D.sign_Data[[#This Row],[UTILIDAD ($COP)]]</f>
        <v>191186.20783508135</v>
      </c>
      <c r="AC962" s="101">
        <v>0.05</v>
      </c>
      <c r="AD962" s="15">
        <f>+D.sign_Data[[#This Row],[VALOR NETO ($COP)]]/(100%-D.sign_Data[[#This Row],[MARGEN DE NEGOCIACIÓN (%)]])-D.sign_Data[[#This Row],[VALOR NETO ($COP)]]</f>
        <v>10062.431991320074</v>
      </c>
      <c r="AE962" s="15">
        <f>+(D.sign_Data[[#This Row],[VALOR NETO ($COP)]]+D.sign_Data[[#This Row],[NEGOCIACIÓN ($COP)]])*1%</f>
        <v>2012.4863982640143</v>
      </c>
      <c r="AF962" s="15">
        <f>+(D.sign_Data[[#This Row],[VALOR NETO ($COP)]]+D.sign_Data[[#This Row],[NEGOCIACIÓN ($COP)]])*1%</f>
        <v>2012.4863982640143</v>
      </c>
      <c r="AG962" s="3">
        <f>+D.sign_Data[[#This Row],[VALOR NETO ($COP)]]+D.sign_Data[[#This Row],[NEGOCIACIÓN ($COP)]]+D.sign_Data[[#This Row],[ICA ($COP)]]+D.sign_Data[[#This Row],[4 * 1000 ($COP)]]</f>
        <v>205273.61262292945</v>
      </c>
    </row>
    <row r="963" spans="1:33" ht="60" hidden="1" customHeight="1" x14ac:dyDescent="0.25">
      <c r="A963" s="14"/>
      <c r="B963" s="87" t="s">
        <v>442</v>
      </c>
      <c r="C963" s="182" t="s">
        <v>943</v>
      </c>
      <c r="D963" s="189" t="str">
        <f>VLOOKUP(D.sign_Data[[#This Row],[CÓDIGO]],Descripciones[[CÓDIGO]:[NOMBRE DE SERVICIO]],3,FALSE)</f>
        <v>D3. Vivienda Campestre</v>
      </c>
      <c r="E963" s="87" t="s">
        <v>497</v>
      </c>
      <c r="F963" s="88" t="s">
        <v>944</v>
      </c>
      <c r="G963" s="88" t="s">
        <v>536</v>
      </c>
      <c r="H963" s="87" t="s">
        <v>500</v>
      </c>
      <c r="I963" s="89">
        <v>1</v>
      </c>
      <c r="J963" s="88" t="s">
        <v>947</v>
      </c>
      <c r="K963" s="102"/>
      <c r="L963" s="88" t="s">
        <v>841</v>
      </c>
      <c r="M963" s="89" t="s">
        <v>381</v>
      </c>
      <c r="N963" s="90">
        <v>1</v>
      </c>
      <c r="O963" s="27">
        <f>IFERROR(+VLOOKUP(M963,D.sign_Lista_Data[[RESPONSABLE]:[SOFTWARE 
VALOR HORA]],3,FALSE),"0")</f>
        <v>20263.424518743668</v>
      </c>
      <c r="P963" s="3">
        <f t="shared" si="34"/>
        <v>20263.424518743668</v>
      </c>
      <c r="Q963" s="11">
        <f>IFERROR(+VLOOKUP(M963,D.sign_Lista_Data[[RESPONSABLE]:[SOFTWARE 
VALOR HORA]],5,FALSE)*D.sign_Data[[#This Row],[TIEMPO (HORAS)]],0)</f>
        <v>4221.5467747382636</v>
      </c>
      <c r="R963" s="11">
        <f>IFERROR(+VLOOKUP(M963,D.sign_Lista_Data[[RESPONSABLE]:[SOFTWARE 
VALOR HORA]],8,FALSE)*D.sign_Data[[#This Row],[TIEMPO (HORAS)]],0)</f>
        <v>3410.8548871439834</v>
      </c>
      <c r="S963" s="99"/>
      <c r="T963" s="99"/>
      <c r="U963" s="3">
        <f t="shared" si="35"/>
        <v>27895.826180625918</v>
      </c>
      <c r="V963" s="100">
        <f>D.sign_Data[[#This Row],[TIEMPO (HORAS)]]*Gastos_Operativos[[#Totals],[GASTOS HORA]]</f>
        <v>27789.477072310401</v>
      </c>
      <c r="W963" s="3">
        <f>+D.sign_Data[[#This Row],[COSTO 
DIRECTO ($COP)]]+D.sign_Data[[#This Row],[PRORRATEO GASTOS ($COP)]]</f>
        <v>55685.303252936319</v>
      </c>
      <c r="X963" s="101">
        <v>0.05</v>
      </c>
      <c r="Y963" s="15">
        <f>+D.sign_Data[[#This Row],[COSTOS OPERACIONALES ($COP)]]*D.sign_Data[[#This Row],[DESFASE (%)]]</f>
        <v>2784.265162646816</v>
      </c>
      <c r="Z963" s="101">
        <v>0.4</v>
      </c>
      <c r="AA963" s="15">
        <f>+((D.sign_Data[[#This Row],[COSTOS OPERACIONALES ($COP)]]/(100%-D.sign_Data[[#This Row],[UTILIDAD (%)]])))-D.sign_Data[[#This Row],[COSTOS OPERACIONALES ($COP)]]</f>
        <v>37123.535501957544</v>
      </c>
      <c r="AB963" s="3">
        <f>+D.sign_Data[[#This Row],[COSTOS OPERACIONALES ($COP)]]+D.sign_Data[[#This Row],[DESFASE ($COP)]]+D.sign_Data[[#This Row],[UTILIDAD ($COP)]]</f>
        <v>95593.103917540677</v>
      </c>
      <c r="AC963" s="101">
        <v>0.05</v>
      </c>
      <c r="AD963" s="15">
        <f>+D.sign_Data[[#This Row],[VALOR NETO ($COP)]]/(100%-D.sign_Data[[#This Row],[MARGEN DE NEGOCIACIÓN (%)]])-D.sign_Data[[#This Row],[VALOR NETO ($COP)]]</f>
        <v>5031.2159956600372</v>
      </c>
      <c r="AE963" s="15">
        <f>+(D.sign_Data[[#This Row],[VALOR NETO ($COP)]]+D.sign_Data[[#This Row],[NEGOCIACIÓN ($COP)]])*1%</f>
        <v>1006.2431991320071</v>
      </c>
      <c r="AF963" s="15">
        <f>+(D.sign_Data[[#This Row],[VALOR NETO ($COP)]]+D.sign_Data[[#This Row],[NEGOCIACIÓN ($COP)]])*1%</f>
        <v>1006.2431991320071</v>
      </c>
      <c r="AG963" s="3">
        <f>+D.sign_Data[[#This Row],[VALOR NETO ($COP)]]+D.sign_Data[[#This Row],[NEGOCIACIÓN ($COP)]]+D.sign_Data[[#This Row],[ICA ($COP)]]+D.sign_Data[[#This Row],[4 * 1000 ($COP)]]</f>
        <v>102636.80631146472</v>
      </c>
    </row>
    <row r="964" spans="1:33" ht="60" hidden="1" customHeight="1" x14ac:dyDescent="0.25">
      <c r="A964" s="14"/>
      <c r="B964" s="87" t="s">
        <v>442</v>
      </c>
      <c r="C964" s="182" t="s">
        <v>943</v>
      </c>
      <c r="D964" s="189" t="str">
        <f>VLOOKUP(D.sign_Data[[#This Row],[CÓDIGO]],Descripciones[[CÓDIGO]:[NOMBRE DE SERVICIO]],3,FALSE)</f>
        <v>D3. Vivienda Campestre</v>
      </c>
      <c r="E964" s="87" t="s">
        <v>497</v>
      </c>
      <c r="F964" s="88" t="s">
        <v>944</v>
      </c>
      <c r="G964" s="88" t="s">
        <v>536</v>
      </c>
      <c r="H964" s="87" t="s">
        <v>500</v>
      </c>
      <c r="I964" s="89">
        <v>1</v>
      </c>
      <c r="J964" s="88" t="s">
        <v>947</v>
      </c>
      <c r="K964" s="102"/>
      <c r="L964" s="88" t="s">
        <v>842</v>
      </c>
      <c r="M964" s="89" t="s">
        <v>381</v>
      </c>
      <c r="N964" s="90">
        <v>0.5</v>
      </c>
      <c r="O964" s="27">
        <f>IFERROR(+VLOOKUP(M964,D.sign_Lista_Data[[RESPONSABLE]:[SOFTWARE 
VALOR HORA]],3,FALSE),"0")</f>
        <v>20263.424518743668</v>
      </c>
      <c r="P964" s="3">
        <f t="shared" si="34"/>
        <v>10131.712259371834</v>
      </c>
      <c r="Q964" s="11">
        <f>IFERROR(+VLOOKUP(M964,D.sign_Lista_Data[[RESPONSABLE]:[SOFTWARE 
VALOR HORA]],5,FALSE)*D.sign_Data[[#This Row],[TIEMPO (HORAS)]],0)</f>
        <v>2110.7733873691318</v>
      </c>
      <c r="R964" s="11">
        <f>IFERROR(+VLOOKUP(M964,D.sign_Lista_Data[[RESPONSABLE]:[SOFTWARE 
VALOR HORA]],8,FALSE)*D.sign_Data[[#This Row],[TIEMPO (HORAS)]],0)</f>
        <v>1705.4274435719917</v>
      </c>
      <c r="S964" s="99"/>
      <c r="T964" s="99"/>
      <c r="U964" s="3">
        <f t="shared" si="35"/>
        <v>13947.913090312959</v>
      </c>
      <c r="V964" s="100">
        <f>D.sign_Data[[#This Row],[TIEMPO (HORAS)]]*Gastos_Operativos[[#Totals],[GASTOS HORA]]</f>
        <v>13894.738536155201</v>
      </c>
      <c r="W964" s="3">
        <f>+D.sign_Data[[#This Row],[COSTO 
DIRECTO ($COP)]]+D.sign_Data[[#This Row],[PRORRATEO GASTOS ($COP)]]</f>
        <v>27842.65162646816</v>
      </c>
      <c r="X964" s="101">
        <v>0.05</v>
      </c>
      <c r="Y964" s="15">
        <f>+D.sign_Data[[#This Row],[COSTOS OPERACIONALES ($COP)]]*D.sign_Data[[#This Row],[DESFASE (%)]]</f>
        <v>1392.132581323408</v>
      </c>
      <c r="Z964" s="101">
        <v>0.4</v>
      </c>
      <c r="AA964" s="15">
        <f>+((D.sign_Data[[#This Row],[COSTOS OPERACIONALES ($COP)]]/(100%-D.sign_Data[[#This Row],[UTILIDAD (%)]])))-D.sign_Data[[#This Row],[COSTOS OPERACIONALES ($COP)]]</f>
        <v>18561.767750978772</v>
      </c>
      <c r="AB964" s="3">
        <f>+D.sign_Data[[#This Row],[COSTOS OPERACIONALES ($COP)]]+D.sign_Data[[#This Row],[DESFASE ($COP)]]+D.sign_Data[[#This Row],[UTILIDAD ($COP)]]</f>
        <v>47796.551958770338</v>
      </c>
      <c r="AC964" s="101">
        <v>0.05</v>
      </c>
      <c r="AD964" s="15">
        <f>+D.sign_Data[[#This Row],[VALOR NETO ($COP)]]/(100%-D.sign_Data[[#This Row],[MARGEN DE NEGOCIACIÓN (%)]])-D.sign_Data[[#This Row],[VALOR NETO ($COP)]]</f>
        <v>2515.6079978300186</v>
      </c>
      <c r="AE964" s="15">
        <f>+(D.sign_Data[[#This Row],[VALOR NETO ($COP)]]+D.sign_Data[[#This Row],[NEGOCIACIÓN ($COP)]])*1%</f>
        <v>503.12159956600357</v>
      </c>
      <c r="AF964" s="15">
        <f>+(D.sign_Data[[#This Row],[VALOR NETO ($COP)]]+D.sign_Data[[#This Row],[NEGOCIACIÓN ($COP)]])*1%</f>
        <v>503.12159956600357</v>
      </c>
      <c r="AG964" s="3">
        <f>+D.sign_Data[[#This Row],[VALOR NETO ($COP)]]+D.sign_Data[[#This Row],[NEGOCIACIÓN ($COP)]]+D.sign_Data[[#This Row],[ICA ($COP)]]+D.sign_Data[[#This Row],[4 * 1000 ($COP)]]</f>
        <v>51318.403155732361</v>
      </c>
    </row>
    <row r="965" spans="1:33" ht="60" hidden="1" customHeight="1" x14ac:dyDescent="0.25">
      <c r="A965" s="14"/>
      <c r="B965" s="87" t="s">
        <v>442</v>
      </c>
      <c r="C965" s="182" t="s">
        <v>943</v>
      </c>
      <c r="D965" s="189" t="str">
        <f>VLOOKUP(D.sign_Data[[#This Row],[CÓDIGO]],Descripciones[[CÓDIGO]:[NOMBRE DE SERVICIO]],3,FALSE)</f>
        <v>D3. Vivienda Campestre</v>
      </c>
      <c r="E965" s="87" t="s">
        <v>497</v>
      </c>
      <c r="F965" s="88" t="s">
        <v>944</v>
      </c>
      <c r="G965" s="88" t="s">
        <v>536</v>
      </c>
      <c r="H965" s="87" t="s">
        <v>500</v>
      </c>
      <c r="I965" s="89">
        <v>1</v>
      </c>
      <c r="J965" s="88" t="s">
        <v>947</v>
      </c>
      <c r="K965" s="102"/>
      <c r="L965" s="88" t="s">
        <v>843</v>
      </c>
      <c r="M965" s="89" t="s">
        <v>381</v>
      </c>
      <c r="N965" s="90">
        <v>1</v>
      </c>
      <c r="O965" s="27">
        <f>IFERROR(+VLOOKUP(M965,D.sign_Lista_Data[[RESPONSABLE]:[SOFTWARE 
VALOR HORA]],3,FALSE),"0")</f>
        <v>20263.424518743668</v>
      </c>
      <c r="P965" s="3">
        <f t="shared" si="34"/>
        <v>20263.424518743668</v>
      </c>
      <c r="Q965" s="11">
        <f>IFERROR(+VLOOKUP(M965,D.sign_Lista_Data[[RESPONSABLE]:[SOFTWARE 
VALOR HORA]],5,FALSE)*D.sign_Data[[#This Row],[TIEMPO (HORAS)]],0)</f>
        <v>4221.5467747382636</v>
      </c>
      <c r="R965" s="11">
        <f>IFERROR(+VLOOKUP(M965,D.sign_Lista_Data[[RESPONSABLE]:[SOFTWARE 
VALOR HORA]],8,FALSE)*D.sign_Data[[#This Row],[TIEMPO (HORAS)]],0)</f>
        <v>3410.8548871439834</v>
      </c>
      <c r="S965" s="99"/>
      <c r="T965" s="99"/>
      <c r="U965" s="3">
        <f t="shared" si="35"/>
        <v>27895.826180625918</v>
      </c>
      <c r="V965" s="100">
        <f>D.sign_Data[[#This Row],[TIEMPO (HORAS)]]*Gastos_Operativos[[#Totals],[GASTOS HORA]]</f>
        <v>27789.477072310401</v>
      </c>
      <c r="W965" s="3">
        <f>+D.sign_Data[[#This Row],[COSTO 
DIRECTO ($COP)]]+D.sign_Data[[#This Row],[PRORRATEO GASTOS ($COP)]]</f>
        <v>55685.303252936319</v>
      </c>
      <c r="X965" s="101">
        <v>0.05</v>
      </c>
      <c r="Y965" s="15">
        <f>+D.sign_Data[[#This Row],[COSTOS OPERACIONALES ($COP)]]*D.sign_Data[[#This Row],[DESFASE (%)]]</f>
        <v>2784.265162646816</v>
      </c>
      <c r="Z965" s="101">
        <v>0.4</v>
      </c>
      <c r="AA965" s="15">
        <f>+((D.sign_Data[[#This Row],[COSTOS OPERACIONALES ($COP)]]/(100%-D.sign_Data[[#This Row],[UTILIDAD (%)]])))-D.sign_Data[[#This Row],[COSTOS OPERACIONALES ($COP)]]</f>
        <v>37123.535501957544</v>
      </c>
      <c r="AB965" s="3">
        <f>+D.sign_Data[[#This Row],[COSTOS OPERACIONALES ($COP)]]+D.sign_Data[[#This Row],[DESFASE ($COP)]]+D.sign_Data[[#This Row],[UTILIDAD ($COP)]]</f>
        <v>95593.103917540677</v>
      </c>
      <c r="AC965" s="101">
        <v>0.05</v>
      </c>
      <c r="AD965" s="15">
        <f>+D.sign_Data[[#This Row],[VALOR NETO ($COP)]]/(100%-D.sign_Data[[#This Row],[MARGEN DE NEGOCIACIÓN (%)]])-D.sign_Data[[#This Row],[VALOR NETO ($COP)]]</f>
        <v>5031.2159956600372</v>
      </c>
      <c r="AE965" s="15">
        <f>+(D.sign_Data[[#This Row],[VALOR NETO ($COP)]]+D.sign_Data[[#This Row],[NEGOCIACIÓN ($COP)]])*1%</f>
        <v>1006.2431991320071</v>
      </c>
      <c r="AF965" s="15">
        <f>+(D.sign_Data[[#This Row],[VALOR NETO ($COP)]]+D.sign_Data[[#This Row],[NEGOCIACIÓN ($COP)]])*1%</f>
        <v>1006.2431991320071</v>
      </c>
      <c r="AG965" s="3">
        <f>+D.sign_Data[[#This Row],[VALOR NETO ($COP)]]+D.sign_Data[[#This Row],[NEGOCIACIÓN ($COP)]]+D.sign_Data[[#This Row],[ICA ($COP)]]+D.sign_Data[[#This Row],[4 * 1000 ($COP)]]</f>
        <v>102636.80631146472</v>
      </c>
    </row>
    <row r="966" spans="1:33" ht="60" hidden="1" customHeight="1" x14ac:dyDescent="0.25">
      <c r="A966" s="14"/>
      <c r="B966" s="87" t="s">
        <v>442</v>
      </c>
      <c r="C966" s="182" t="s">
        <v>943</v>
      </c>
      <c r="D966" s="189" t="str">
        <f>VLOOKUP(D.sign_Data[[#This Row],[CÓDIGO]],Descripciones[[CÓDIGO]:[NOMBRE DE SERVICIO]],3,FALSE)</f>
        <v>D3. Vivienda Campestre</v>
      </c>
      <c r="E966" s="87" t="s">
        <v>497</v>
      </c>
      <c r="F966" s="88" t="s">
        <v>944</v>
      </c>
      <c r="G966" s="88" t="s">
        <v>536</v>
      </c>
      <c r="H966" s="87" t="s">
        <v>500</v>
      </c>
      <c r="I966" s="89">
        <v>1</v>
      </c>
      <c r="J966" s="88" t="s">
        <v>947</v>
      </c>
      <c r="K966" s="102"/>
      <c r="L966" s="88" t="s">
        <v>844</v>
      </c>
      <c r="M966" s="89" t="s">
        <v>381</v>
      </c>
      <c r="N966" s="90">
        <v>0.5</v>
      </c>
      <c r="O966" s="27">
        <f>IFERROR(+VLOOKUP(M966,D.sign_Lista_Data[[RESPONSABLE]:[SOFTWARE 
VALOR HORA]],3,FALSE),"0")</f>
        <v>20263.424518743668</v>
      </c>
      <c r="P966" s="3">
        <f t="shared" si="34"/>
        <v>10131.712259371834</v>
      </c>
      <c r="Q966" s="11">
        <f>IFERROR(+VLOOKUP(M966,D.sign_Lista_Data[[RESPONSABLE]:[SOFTWARE 
VALOR HORA]],5,FALSE)*D.sign_Data[[#This Row],[TIEMPO (HORAS)]],0)</f>
        <v>2110.7733873691318</v>
      </c>
      <c r="R966" s="11">
        <f>IFERROR(+VLOOKUP(M966,D.sign_Lista_Data[[RESPONSABLE]:[SOFTWARE 
VALOR HORA]],8,FALSE)*D.sign_Data[[#This Row],[TIEMPO (HORAS)]],0)</f>
        <v>1705.4274435719917</v>
      </c>
      <c r="S966" s="99"/>
      <c r="T966" s="99"/>
      <c r="U966" s="3">
        <f t="shared" si="35"/>
        <v>13947.913090312959</v>
      </c>
      <c r="V966" s="100">
        <f>D.sign_Data[[#This Row],[TIEMPO (HORAS)]]*Gastos_Operativos[[#Totals],[GASTOS HORA]]</f>
        <v>13894.738536155201</v>
      </c>
      <c r="W966" s="3">
        <f>+D.sign_Data[[#This Row],[COSTO 
DIRECTO ($COP)]]+D.sign_Data[[#This Row],[PRORRATEO GASTOS ($COP)]]</f>
        <v>27842.65162646816</v>
      </c>
      <c r="X966" s="101">
        <v>0.05</v>
      </c>
      <c r="Y966" s="15">
        <f>+D.sign_Data[[#This Row],[COSTOS OPERACIONALES ($COP)]]*D.sign_Data[[#This Row],[DESFASE (%)]]</f>
        <v>1392.132581323408</v>
      </c>
      <c r="Z966" s="101">
        <v>0.4</v>
      </c>
      <c r="AA966" s="15">
        <f>+((D.sign_Data[[#This Row],[COSTOS OPERACIONALES ($COP)]]/(100%-D.sign_Data[[#This Row],[UTILIDAD (%)]])))-D.sign_Data[[#This Row],[COSTOS OPERACIONALES ($COP)]]</f>
        <v>18561.767750978772</v>
      </c>
      <c r="AB966" s="3">
        <f>+D.sign_Data[[#This Row],[COSTOS OPERACIONALES ($COP)]]+D.sign_Data[[#This Row],[DESFASE ($COP)]]+D.sign_Data[[#This Row],[UTILIDAD ($COP)]]</f>
        <v>47796.551958770338</v>
      </c>
      <c r="AC966" s="101">
        <v>0.05</v>
      </c>
      <c r="AD966" s="15">
        <f>+D.sign_Data[[#This Row],[VALOR NETO ($COP)]]/(100%-D.sign_Data[[#This Row],[MARGEN DE NEGOCIACIÓN (%)]])-D.sign_Data[[#This Row],[VALOR NETO ($COP)]]</f>
        <v>2515.6079978300186</v>
      </c>
      <c r="AE966" s="15">
        <f>+(D.sign_Data[[#This Row],[VALOR NETO ($COP)]]+D.sign_Data[[#This Row],[NEGOCIACIÓN ($COP)]])*1%</f>
        <v>503.12159956600357</v>
      </c>
      <c r="AF966" s="15">
        <f>+(D.sign_Data[[#This Row],[VALOR NETO ($COP)]]+D.sign_Data[[#This Row],[NEGOCIACIÓN ($COP)]])*1%</f>
        <v>503.12159956600357</v>
      </c>
      <c r="AG966" s="3">
        <f>+D.sign_Data[[#This Row],[VALOR NETO ($COP)]]+D.sign_Data[[#This Row],[NEGOCIACIÓN ($COP)]]+D.sign_Data[[#This Row],[ICA ($COP)]]+D.sign_Data[[#This Row],[4 * 1000 ($COP)]]</f>
        <v>51318.403155732361</v>
      </c>
    </row>
    <row r="967" spans="1:33" ht="60" hidden="1" customHeight="1" x14ac:dyDescent="0.25">
      <c r="A967" s="14"/>
      <c r="B967" s="87" t="s">
        <v>442</v>
      </c>
      <c r="C967" s="182" t="s">
        <v>943</v>
      </c>
      <c r="D967" s="189" t="str">
        <f>VLOOKUP(D.sign_Data[[#This Row],[CÓDIGO]],Descripciones[[CÓDIGO]:[NOMBRE DE SERVICIO]],3,FALSE)</f>
        <v>D3. Vivienda Campestre</v>
      </c>
      <c r="E967" s="87" t="s">
        <v>497</v>
      </c>
      <c r="F967" s="88" t="s">
        <v>944</v>
      </c>
      <c r="G967" s="88" t="s">
        <v>536</v>
      </c>
      <c r="H967" s="87" t="s">
        <v>500</v>
      </c>
      <c r="I967" s="89">
        <v>1</v>
      </c>
      <c r="J967" s="88" t="s">
        <v>947</v>
      </c>
      <c r="K967" s="102"/>
      <c r="L967" s="88" t="s">
        <v>743</v>
      </c>
      <c r="M967" s="89" t="s">
        <v>381</v>
      </c>
      <c r="N967" s="90">
        <v>0.5</v>
      </c>
      <c r="O967" s="27">
        <f>IFERROR(+VLOOKUP(M967,D.sign_Lista_Data[[RESPONSABLE]:[SOFTWARE 
VALOR HORA]],3,FALSE),"0")</f>
        <v>20263.424518743668</v>
      </c>
      <c r="P967" s="3">
        <f t="shared" si="34"/>
        <v>10131.712259371834</v>
      </c>
      <c r="Q967" s="11">
        <f>IFERROR(+VLOOKUP(M967,D.sign_Lista_Data[[RESPONSABLE]:[SOFTWARE 
VALOR HORA]],5,FALSE)*D.sign_Data[[#This Row],[TIEMPO (HORAS)]],0)</f>
        <v>2110.7733873691318</v>
      </c>
      <c r="R967" s="11">
        <f>IFERROR(+VLOOKUP(M967,D.sign_Lista_Data[[RESPONSABLE]:[SOFTWARE 
VALOR HORA]],8,FALSE)*D.sign_Data[[#This Row],[TIEMPO (HORAS)]],0)</f>
        <v>1705.4274435719917</v>
      </c>
      <c r="S967" s="99"/>
      <c r="T967" s="99"/>
      <c r="U967" s="3">
        <f t="shared" si="35"/>
        <v>13947.913090312959</v>
      </c>
      <c r="V967" s="100">
        <f>D.sign_Data[[#This Row],[TIEMPO (HORAS)]]*Gastos_Operativos[[#Totals],[GASTOS HORA]]</f>
        <v>13894.738536155201</v>
      </c>
      <c r="W967" s="3">
        <f>+D.sign_Data[[#This Row],[COSTO 
DIRECTO ($COP)]]+D.sign_Data[[#This Row],[PRORRATEO GASTOS ($COP)]]</f>
        <v>27842.65162646816</v>
      </c>
      <c r="X967" s="101">
        <v>0.05</v>
      </c>
      <c r="Y967" s="15">
        <f>+D.sign_Data[[#This Row],[COSTOS OPERACIONALES ($COP)]]*D.sign_Data[[#This Row],[DESFASE (%)]]</f>
        <v>1392.132581323408</v>
      </c>
      <c r="Z967" s="101">
        <v>0.4</v>
      </c>
      <c r="AA967" s="15">
        <f>+((D.sign_Data[[#This Row],[COSTOS OPERACIONALES ($COP)]]/(100%-D.sign_Data[[#This Row],[UTILIDAD (%)]])))-D.sign_Data[[#This Row],[COSTOS OPERACIONALES ($COP)]]</f>
        <v>18561.767750978772</v>
      </c>
      <c r="AB967" s="3">
        <f>+D.sign_Data[[#This Row],[COSTOS OPERACIONALES ($COP)]]+D.sign_Data[[#This Row],[DESFASE ($COP)]]+D.sign_Data[[#This Row],[UTILIDAD ($COP)]]</f>
        <v>47796.551958770338</v>
      </c>
      <c r="AC967" s="101">
        <v>0.05</v>
      </c>
      <c r="AD967" s="15">
        <f>+D.sign_Data[[#This Row],[VALOR NETO ($COP)]]/(100%-D.sign_Data[[#This Row],[MARGEN DE NEGOCIACIÓN (%)]])-D.sign_Data[[#This Row],[VALOR NETO ($COP)]]</f>
        <v>2515.6079978300186</v>
      </c>
      <c r="AE967" s="15">
        <f>+(D.sign_Data[[#This Row],[VALOR NETO ($COP)]]+D.sign_Data[[#This Row],[NEGOCIACIÓN ($COP)]])*1%</f>
        <v>503.12159956600357</v>
      </c>
      <c r="AF967" s="15">
        <f>+(D.sign_Data[[#This Row],[VALOR NETO ($COP)]]+D.sign_Data[[#This Row],[NEGOCIACIÓN ($COP)]])*1%</f>
        <v>503.12159956600357</v>
      </c>
      <c r="AG967" s="3">
        <f>+D.sign_Data[[#This Row],[VALOR NETO ($COP)]]+D.sign_Data[[#This Row],[NEGOCIACIÓN ($COP)]]+D.sign_Data[[#This Row],[ICA ($COP)]]+D.sign_Data[[#This Row],[4 * 1000 ($COP)]]</f>
        <v>51318.403155732361</v>
      </c>
    </row>
    <row r="968" spans="1:33" ht="60" hidden="1" customHeight="1" x14ac:dyDescent="0.25">
      <c r="A968" s="14"/>
      <c r="B968" s="87" t="s">
        <v>442</v>
      </c>
      <c r="C968" s="182" t="s">
        <v>943</v>
      </c>
      <c r="D968" s="189" t="str">
        <f>VLOOKUP(D.sign_Data[[#This Row],[CÓDIGO]],Descripciones[[CÓDIGO]:[NOMBRE DE SERVICIO]],3,FALSE)</f>
        <v>D3. Vivienda Campestre</v>
      </c>
      <c r="E968" s="87" t="s">
        <v>497</v>
      </c>
      <c r="F968" s="88" t="s">
        <v>944</v>
      </c>
      <c r="G968" s="88" t="s">
        <v>536</v>
      </c>
      <c r="H968" s="87" t="s">
        <v>500</v>
      </c>
      <c r="I968" s="89">
        <v>1</v>
      </c>
      <c r="J968" s="88" t="s">
        <v>948</v>
      </c>
      <c r="K968" s="102"/>
      <c r="L968" s="88" t="s">
        <v>858</v>
      </c>
      <c r="M968" s="89" t="s">
        <v>381</v>
      </c>
      <c r="N968" s="90">
        <v>1</v>
      </c>
      <c r="O968" s="27">
        <f>IFERROR(+VLOOKUP(M968,D.sign_Lista_Data[[RESPONSABLE]:[SOFTWARE 
VALOR HORA]],3,FALSE),"0")</f>
        <v>20263.424518743668</v>
      </c>
      <c r="P968" s="3">
        <f t="shared" si="34"/>
        <v>20263.424518743668</v>
      </c>
      <c r="Q968" s="11">
        <f>IFERROR(+VLOOKUP(M968,D.sign_Lista_Data[[RESPONSABLE]:[SOFTWARE 
VALOR HORA]],5,FALSE)*D.sign_Data[[#This Row],[TIEMPO (HORAS)]],0)</f>
        <v>4221.5467747382636</v>
      </c>
      <c r="R968" s="11">
        <f>IFERROR(+VLOOKUP(M968,D.sign_Lista_Data[[RESPONSABLE]:[SOFTWARE 
VALOR HORA]],8,FALSE)*D.sign_Data[[#This Row],[TIEMPO (HORAS)]],0)</f>
        <v>3410.8548871439834</v>
      </c>
      <c r="S968" s="99"/>
      <c r="T968" s="99"/>
      <c r="U968" s="3">
        <f t="shared" si="35"/>
        <v>27895.826180625918</v>
      </c>
      <c r="V968" s="100">
        <f>D.sign_Data[[#This Row],[TIEMPO (HORAS)]]*Gastos_Operativos[[#Totals],[GASTOS HORA]]</f>
        <v>27789.477072310401</v>
      </c>
      <c r="W968" s="3">
        <f>+D.sign_Data[[#This Row],[COSTO 
DIRECTO ($COP)]]+D.sign_Data[[#This Row],[PRORRATEO GASTOS ($COP)]]</f>
        <v>55685.303252936319</v>
      </c>
      <c r="X968" s="101">
        <v>0.05</v>
      </c>
      <c r="Y968" s="15">
        <f>+D.sign_Data[[#This Row],[COSTOS OPERACIONALES ($COP)]]*D.sign_Data[[#This Row],[DESFASE (%)]]</f>
        <v>2784.265162646816</v>
      </c>
      <c r="Z968" s="101">
        <v>0.4</v>
      </c>
      <c r="AA968" s="15">
        <f>+((D.sign_Data[[#This Row],[COSTOS OPERACIONALES ($COP)]]/(100%-D.sign_Data[[#This Row],[UTILIDAD (%)]])))-D.sign_Data[[#This Row],[COSTOS OPERACIONALES ($COP)]]</f>
        <v>37123.535501957544</v>
      </c>
      <c r="AB968" s="3">
        <f>+D.sign_Data[[#This Row],[COSTOS OPERACIONALES ($COP)]]+D.sign_Data[[#This Row],[DESFASE ($COP)]]+D.sign_Data[[#This Row],[UTILIDAD ($COP)]]</f>
        <v>95593.103917540677</v>
      </c>
      <c r="AC968" s="101">
        <v>0.05</v>
      </c>
      <c r="AD968" s="15">
        <f>+D.sign_Data[[#This Row],[VALOR NETO ($COP)]]/(100%-D.sign_Data[[#This Row],[MARGEN DE NEGOCIACIÓN (%)]])-D.sign_Data[[#This Row],[VALOR NETO ($COP)]]</f>
        <v>5031.2159956600372</v>
      </c>
      <c r="AE968" s="15">
        <f>+(D.sign_Data[[#This Row],[VALOR NETO ($COP)]]+D.sign_Data[[#This Row],[NEGOCIACIÓN ($COP)]])*1%</f>
        <v>1006.2431991320071</v>
      </c>
      <c r="AF968" s="15">
        <f>+(D.sign_Data[[#This Row],[VALOR NETO ($COP)]]+D.sign_Data[[#This Row],[NEGOCIACIÓN ($COP)]])*1%</f>
        <v>1006.2431991320071</v>
      </c>
      <c r="AG968" s="3">
        <f>+D.sign_Data[[#This Row],[VALOR NETO ($COP)]]+D.sign_Data[[#This Row],[NEGOCIACIÓN ($COP)]]+D.sign_Data[[#This Row],[ICA ($COP)]]+D.sign_Data[[#This Row],[4 * 1000 ($COP)]]</f>
        <v>102636.80631146472</v>
      </c>
    </row>
    <row r="969" spans="1:33" ht="60" hidden="1" customHeight="1" x14ac:dyDescent="0.25">
      <c r="A969" s="14"/>
      <c r="B969" s="87" t="s">
        <v>442</v>
      </c>
      <c r="C969" s="182" t="s">
        <v>943</v>
      </c>
      <c r="D969" s="189" t="str">
        <f>VLOOKUP(D.sign_Data[[#This Row],[CÓDIGO]],Descripciones[[CÓDIGO]:[NOMBRE DE SERVICIO]],3,FALSE)</f>
        <v>D3. Vivienda Campestre</v>
      </c>
      <c r="E969" s="87" t="s">
        <v>497</v>
      </c>
      <c r="F969" s="88" t="s">
        <v>944</v>
      </c>
      <c r="G969" s="88" t="s">
        <v>536</v>
      </c>
      <c r="H969" s="87" t="s">
        <v>500</v>
      </c>
      <c r="I969" s="89">
        <v>1</v>
      </c>
      <c r="J969" s="88" t="s">
        <v>949</v>
      </c>
      <c r="K969" s="102"/>
      <c r="L969" s="88" t="s">
        <v>860</v>
      </c>
      <c r="M969" s="89" t="s">
        <v>381</v>
      </c>
      <c r="N969" s="90">
        <v>0.5</v>
      </c>
      <c r="O969" s="27">
        <f>IFERROR(+VLOOKUP(M969,D.sign_Lista_Data[[RESPONSABLE]:[SOFTWARE 
VALOR HORA]],3,FALSE),"0")</f>
        <v>20263.424518743668</v>
      </c>
      <c r="P969" s="3">
        <f t="shared" si="34"/>
        <v>10131.712259371834</v>
      </c>
      <c r="Q969" s="11">
        <f>IFERROR(+VLOOKUP(M969,D.sign_Lista_Data[[RESPONSABLE]:[SOFTWARE 
VALOR HORA]],5,FALSE)*D.sign_Data[[#This Row],[TIEMPO (HORAS)]],0)</f>
        <v>2110.7733873691318</v>
      </c>
      <c r="R969" s="11">
        <f>IFERROR(+VLOOKUP(M969,D.sign_Lista_Data[[RESPONSABLE]:[SOFTWARE 
VALOR HORA]],8,FALSE)*D.sign_Data[[#This Row],[TIEMPO (HORAS)]],0)</f>
        <v>1705.4274435719917</v>
      </c>
      <c r="S969" s="99"/>
      <c r="T969" s="99"/>
      <c r="U969" s="3">
        <f t="shared" si="35"/>
        <v>13947.913090312959</v>
      </c>
      <c r="V969" s="100">
        <f>D.sign_Data[[#This Row],[TIEMPO (HORAS)]]*Gastos_Operativos[[#Totals],[GASTOS HORA]]</f>
        <v>13894.738536155201</v>
      </c>
      <c r="W969" s="3">
        <f>+D.sign_Data[[#This Row],[COSTO 
DIRECTO ($COP)]]+D.sign_Data[[#This Row],[PRORRATEO GASTOS ($COP)]]</f>
        <v>27842.65162646816</v>
      </c>
      <c r="X969" s="101">
        <v>0.05</v>
      </c>
      <c r="Y969" s="15">
        <f>+D.sign_Data[[#This Row],[COSTOS OPERACIONALES ($COP)]]*D.sign_Data[[#This Row],[DESFASE (%)]]</f>
        <v>1392.132581323408</v>
      </c>
      <c r="Z969" s="101">
        <v>0.4</v>
      </c>
      <c r="AA969" s="15">
        <f>+((D.sign_Data[[#This Row],[COSTOS OPERACIONALES ($COP)]]/(100%-D.sign_Data[[#This Row],[UTILIDAD (%)]])))-D.sign_Data[[#This Row],[COSTOS OPERACIONALES ($COP)]]</f>
        <v>18561.767750978772</v>
      </c>
      <c r="AB969" s="3">
        <f>+D.sign_Data[[#This Row],[COSTOS OPERACIONALES ($COP)]]+D.sign_Data[[#This Row],[DESFASE ($COP)]]+D.sign_Data[[#This Row],[UTILIDAD ($COP)]]</f>
        <v>47796.551958770338</v>
      </c>
      <c r="AC969" s="101">
        <v>0.05</v>
      </c>
      <c r="AD969" s="15">
        <f>+D.sign_Data[[#This Row],[VALOR NETO ($COP)]]/(100%-D.sign_Data[[#This Row],[MARGEN DE NEGOCIACIÓN (%)]])-D.sign_Data[[#This Row],[VALOR NETO ($COP)]]</f>
        <v>2515.6079978300186</v>
      </c>
      <c r="AE969" s="15">
        <f>+(D.sign_Data[[#This Row],[VALOR NETO ($COP)]]+D.sign_Data[[#This Row],[NEGOCIACIÓN ($COP)]])*1%</f>
        <v>503.12159956600357</v>
      </c>
      <c r="AF969" s="15">
        <f>+(D.sign_Data[[#This Row],[VALOR NETO ($COP)]]+D.sign_Data[[#This Row],[NEGOCIACIÓN ($COP)]])*1%</f>
        <v>503.12159956600357</v>
      </c>
      <c r="AG969" s="3">
        <f>+D.sign_Data[[#This Row],[VALOR NETO ($COP)]]+D.sign_Data[[#This Row],[NEGOCIACIÓN ($COP)]]+D.sign_Data[[#This Row],[ICA ($COP)]]+D.sign_Data[[#This Row],[4 * 1000 ($COP)]]</f>
        <v>51318.403155732361</v>
      </c>
    </row>
    <row r="970" spans="1:33" ht="60" hidden="1" customHeight="1" x14ac:dyDescent="0.25">
      <c r="A970" s="14"/>
      <c r="B970" s="87" t="s">
        <v>442</v>
      </c>
      <c r="C970" s="182" t="s">
        <v>943</v>
      </c>
      <c r="D970" s="189" t="str">
        <f>VLOOKUP(D.sign_Data[[#This Row],[CÓDIGO]],Descripciones[[CÓDIGO]:[NOMBRE DE SERVICIO]],3,FALSE)</f>
        <v>D3. Vivienda Campestre</v>
      </c>
      <c r="E970" s="87" t="s">
        <v>497</v>
      </c>
      <c r="F970" s="88" t="s">
        <v>944</v>
      </c>
      <c r="G970" s="88" t="s">
        <v>536</v>
      </c>
      <c r="H970" s="87" t="s">
        <v>500</v>
      </c>
      <c r="I970" s="89">
        <v>1</v>
      </c>
      <c r="J970" s="88" t="s">
        <v>949</v>
      </c>
      <c r="K970" s="102"/>
      <c r="L970" s="88" t="s">
        <v>861</v>
      </c>
      <c r="M970" s="89" t="s">
        <v>381</v>
      </c>
      <c r="N970" s="90">
        <v>0.5</v>
      </c>
      <c r="O970" s="27">
        <f>IFERROR(+VLOOKUP(M970,D.sign_Lista_Data[[RESPONSABLE]:[SOFTWARE 
VALOR HORA]],3,FALSE),"0")</f>
        <v>20263.424518743668</v>
      </c>
      <c r="P970" s="3">
        <f t="shared" si="34"/>
        <v>10131.712259371834</v>
      </c>
      <c r="Q970" s="11">
        <f>IFERROR(+VLOOKUP(M970,D.sign_Lista_Data[[RESPONSABLE]:[SOFTWARE 
VALOR HORA]],5,FALSE)*D.sign_Data[[#This Row],[TIEMPO (HORAS)]],0)</f>
        <v>2110.7733873691318</v>
      </c>
      <c r="R970" s="11">
        <f>IFERROR(+VLOOKUP(M970,D.sign_Lista_Data[[RESPONSABLE]:[SOFTWARE 
VALOR HORA]],8,FALSE)*D.sign_Data[[#This Row],[TIEMPO (HORAS)]],0)</f>
        <v>1705.4274435719917</v>
      </c>
      <c r="S970" s="99"/>
      <c r="T970" s="99"/>
      <c r="U970" s="3">
        <f t="shared" si="35"/>
        <v>13947.913090312959</v>
      </c>
      <c r="V970" s="100">
        <f>D.sign_Data[[#This Row],[TIEMPO (HORAS)]]*Gastos_Operativos[[#Totals],[GASTOS HORA]]</f>
        <v>13894.738536155201</v>
      </c>
      <c r="W970" s="3">
        <f>+D.sign_Data[[#This Row],[COSTO 
DIRECTO ($COP)]]+D.sign_Data[[#This Row],[PRORRATEO GASTOS ($COP)]]</f>
        <v>27842.65162646816</v>
      </c>
      <c r="X970" s="101">
        <v>0.05</v>
      </c>
      <c r="Y970" s="15">
        <f>+D.sign_Data[[#This Row],[COSTOS OPERACIONALES ($COP)]]*D.sign_Data[[#This Row],[DESFASE (%)]]</f>
        <v>1392.132581323408</v>
      </c>
      <c r="Z970" s="101">
        <v>0.4</v>
      </c>
      <c r="AA970" s="15">
        <f>+((D.sign_Data[[#This Row],[COSTOS OPERACIONALES ($COP)]]/(100%-D.sign_Data[[#This Row],[UTILIDAD (%)]])))-D.sign_Data[[#This Row],[COSTOS OPERACIONALES ($COP)]]</f>
        <v>18561.767750978772</v>
      </c>
      <c r="AB970" s="3">
        <f>+D.sign_Data[[#This Row],[COSTOS OPERACIONALES ($COP)]]+D.sign_Data[[#This Row],[DESFASE ($COP)]]+D.sign_Data[[#This Row],[UTILIDAD ($COP)]]</f>
        <v>47796.551958770338</v>
      </c>
      <c r="AC970" s="101">
        <v>0.05</v>
      </c>
      <c r="AD970" s="15">
        <f>+D.sign_Data[[#This Row],[VALOR NETO ($COP)]]/(100%-D.sign_Data[[#This Row],[MARGEN DE NEGOCIACIÓN (%)]])-D.sign_Data[[#This Row],[VALOR NETO ($COP)]]</f>
        <v>2515.6079978300186</v>
      </c>
      <c r="AE970" s="15">
        <f>+(D.sign_Data[[#This Row],[VALOR NETO ($COP)]]+D.sign_Data[[#This Row],[NEGOCIACIÓN ($COP)]])*1%</f>
        <v>503.12159956600357</v>
      </c>
      <c r="AF970" s="15">
        <f>+(D.sign_Data[[#This Row],[VALOR NETO ($COP)]]+D.sign_Data[[#This Row],[NEGOCIACIÓN ($COP)]])*1%</f>
        <v>503.12159956600357</v>
      </c>
      <c r="AG970" s="3">
        <f>+D.sign_Data[[#This Row],[VALOR NETO ($COP)]]+D.sign_Data[[#This Row],[NEGOCIACIÓN ($COP)]]+D.sign_Data[[#This Row],[ICA ($COP)]]+D.sign_Data[[#This Row],[4 * 1000 ($COP)]]</f>
        <v>51318.403155732361</v>
      </c>
    </row>
    <row r="971" spans="1:33" ht="60" hidden="1" customHeight="1" x14ac:dyDescent="0.25">
      <c r="A971" s="14"/>
      <c r="B971" s="87" t="s">
        <v>442</v>
      </c>
      <c r="C971" s="182" t="s">
        <v>943</v>
      </c>
      <c r="D971" s="189" t="str">
        <f>VLOOKUP(D.sign_Data[[#This Row],[CÓDIGO]],Descripciones[[CÓDIGO]:[NOMBRE DE SERVICIO]],3,FALSE)</f>
        <v>D3. Vivienda Campestre</v>
      </c>
      <c r="E971" s="87" t="s">
        <v>497</v>
      </c>
      <c r="F971" s="88" t="s">
        <v>944</v>
      </c>
      <c r="G971" s="88" t="s">
        <v>536</v>
      </c>
      <c r="H971" s="87" t="s">
        <v>500</v>
      </c>
      <c r="I971" s="89">
        <v>1</v>
      </c>
      <c r="J971" s="88" t="s">
        <v>949</v>
      </c>
      <c r="K971" s="102"/>
      <c r="L971" s="88" t="s">
        <v>653</v>
      </c>
      <c r="M971" s="89" t="s">
        <v>381</v>
      </c>
      <c r="N971" s="90">
        <v>1</v>
      </c>
      <c r="O971" s="27">
        <f>IFERROR(+VLOOKUP(M971,D.sign_Lista_Data[[RESPONSABLE]:[SOFTWARE 
VALOR HORA]],3,FALSE),"0")</f>
        <v>20263.424518743668</v>
      </c>
      <c r="P971" s="3">
        <f t="shared" si="34"/>
        <v>20263.424518743668</v>
      </c>
      <c r="Q971" s="11">
        <f>IFERROR(+VLOOKUP(M971,D.sign_Lista_Data[[RESPONSABLE]:[SOFTWARE 
VALOR HORA]],5,FALSE)*D.sign_Data[[#This Row],[TIEMPO (HORAS)]],0)</f>
        <v>4221.5467747382636</v>
      </c>
      <c r="R971" s="11">
        <f>IFERROR(+VLOOKUP(M971,D.sign_Lista_Data[[RESPONSABLE]:[SOFTWARE 
VALOR HORA]],8,FALSE)*D.sign_Data[[#This Row],[TIEMPO (HORAS)]],0)</f>
        <v>3410.8548871439834</v>
      </c>
      <c r="S971" s="99"/>
      <c r="T971" s="99"/>
      <c r="U971" s="3">
        <f t="shared" si="35"/>
        <v>27895.826180625918</v>
      </c>
      <c r="V971" s="100">
        <f>D.sign_Data[[#This Row],[TIEMPO (HORAS)]]*Gastos_Operativos[[#Totals],[GASTOS HORA]]</f>
        <v>27789.477072310401</v>
      </c>
      <c r="W971" s="3">
        <f>+D.sign_Data[[#This Row],[COSTO 
DIRECTO ($COP)]]+D.sign_Data[[#This Row],[PRORRATEO GASTOS ($COP)]]</f>
        <v>55685.303252936319</v>
      </c>
      <c r="X971" s="101">
        <v>0.05</v>
      </c>
      <c r="Y971" s="15">
        <f>+D.sign_Data[[#This Row],[COSTOS OPERACIONALES ($COP)]]*D.sign_Data[[#This Row],[DESFASE (%)]]</f>
        <v>2784.265162646816</v>
      </c>
      <c r="Z971" s="101">
        <v>0.4</v>
      </c>
      <c r="AA971" s="15">
        <f>+((D.sign_Data[[#This Row],[COSTOS OPERACIONALES ($COP)]]/(100%-D.sign_Data[[#This Row],[UTILIDAD (%)]])))-D.sign_Data[[#This Row],[COSTOS OPERACIONALES ($COP)]]</f>
        <v>37123.535501957544</v>
      </c>
      <c r="AB971" s="3">
        <f>+D.sign_Data[[#This Row],[COSTOS OPERACIONALES ($COP)]]+D.sign_Data[[#This Row],[DESFASE ($COP)]]+D.sign_Data[[#This Row],[UTILIDAD ($COP)]]</f>
        <v>95593.103917540677</v>
      </c>
      <c r="AC971" s="101">
        <v>0.05</v>
      </c>
      <c r="AD971" s="15">
        <f>+D.sign_Data[[#This Row],[VALOR NETO ($COP)]]/(100%-D.sign_Data[[#This Row],[MARGEN DE NEGOCIACIÓN (%)]])-D.sign_Data[[#This Row],[VALOR NETO ($COP)]]</f>
        <v>5031.2159956600372</v>
      </c>
      <c r="AE971" s="15">
        <f>+(D.sign_Data[[#This Row],[VALOR NETO ($COP)]]+D.sign_Data[[#This Row],[NEGOCIACIÓN ($COP)]])*1%</f>
        <v>1006.2431991320071</v>
      </c>
      <c r="AF971" s="15">
        <f>+(D.sign_Data[[#This Row],[VALOR NETO ($COP)]]+D.sign_Data[[#This Row],[NEGOCIACIÓN ($COP)]])*1%</f>
        <v>1006.2431991320071</v>
      </c>
      <c r="AG971" s="3">
        <f>+D.sign_Data[[#This Row],[VALOR NETO ($COP)]]+D.sign_Data[[#This Row],[NEGOCIACIÓN ($COP)]]+D.sign_Data[[#This Row],[ICA ($COP)]]+D.sign_Data[[#This Row],[4 * 1000 ($COP)]]</f>
        <v>102636.80631146472</v>
      </c>
    </row>
    <row r="972" spans="1:33" ht="60" hidden="1" customHeight="1" x14ac:dyDescent="0.25">
      <c r="A972" s="14"/>
      <c r="B972" s="87" t="s">
        <v>442</v>
      </c>
      <c r="C972" s="182" t="s">
        <v>943</v>
      </c>
      <c r="D972" s="189" t="str">
        <f>VLOOKUP(D.sign_Data[[#This Row],[CÓDIGO]],Descripciones[[CÓDIGO]:[NOMBRE DE SERVICIO]],3,FALSE)</f>
        <v>D3. Vivienda Campestre</v>
      </c>
      <c r="E972" s="87" t="s">
        <v>497</v>
      </c>
      <c r="F972" s="88" t="s">
        <v>944</v>
      </c>
      <c r="G972" s="88" t="s">
        <v>536</v>
      </c>
      <c r="H972" s="87" t="s">
        <v>500</v>
      </c>
      <c r="I972" s="89">
        <v>1</v>
      </c>
      <c r="J972" s="88" t="s">
        <v>949</v>
      </c>
      <c r="K972" s="102"/>
      <c r="L972" s="88" t="s">
        <v>654</v>
      </c>
      <c r="M972" s="89" t="s">
        <v>381</v>
      </c>
      <c r="N972" s="90">
        <v>1</v>
      </c>
      <c r="O972" s="27">
        <f>IFERROR(+VLOOKUP(M972,D.sign_Lista_Data[[RESPONSABLE]:[SOFTWARE 
VALOR HORA]],3,FALSE),"0")</f>
        <v>20263.424518743668</v>
      </c>
      <c r="P972" s="3">
        <f t="shared" si="34"/>
        <v>20263.424518743668</v>
      </c>
      <c r="Q972" s="11">
        <f>IFERROR(+VLOOKUP(M972,D.sign_Lista_Data[[RESPONSABLE]:[SOFTWARE 
VALOR HORA]],5,FALSE)*D.sign_Data[[#This Row],[TIEMPO (HORAS)]],0)</f>
        <v>4221.5467747382636</v>
      </c>
      <c r="R972" s="11">
        <f>IFERROR(+VLOOKUP(M972,D.sign_Lista_Data[[RESPONSABLE]:[SOFTWARE 
VALOR HORA]],8,FALSE)*D.sign_Data[[#This Row],[TIEMPO (HORAS)]],0)</f>
        <v>3410.8548871439834</v>
      </c>
      <c r="S972" s="99"/>
      <c r="T972" s="99"/>
      <c r="U972" s="3">
        <f t="shared" si="35"/>
        <v>27895.826180625918</v>
      </c>
      <c r="V972" s="100">
        <f>D.sign_Data[[#This Row],[TIEMPO (HORAS)]]*Gastos_Operativos[[#Totals],[GASTOS HORA]]</f>
        <v>27789.477072310401</v>
      </c>
      <c r="W972" s="3">
        <f>+D.sign_Data[[#This Row],[COSTO 
DIRECTO ($COP)]]+D.sign_Data[[#This Row],[PRORRATEO GASTOS ($COP)]]</f>
        <v>55685.303252936319</v>
      </c>
      <c r="X972" s="101">
        <v>0.05</v>
      </c>
      <c r="Y972" s="15">
        <f>+D.sign_Data[[#This Row],[COSTOS OPERACIONALES ($COP)]]*D.sign_Data[[#This Row],[DESFASE (%)]]</f>
        <v>2784.265162646816</v>
      </c>
      <c r="Z972" s="101">
        <v>0.4</v>
      </c>
      <c r="AA972" s="15">
        <f>+((D.sign_Data[[#This Row],[COSTOS OPERACIONALES ($COP)]]/(100%-D.sign_Data[[#This Row],[UTILIDAD (%)]])))-D.sign_Data[[#This Row],[COSTOS OPERACIONALES ($COP)]]</f>
        <v>37123.535501957544</v>
      </c>
      <c r="AB972" s="3">
        <f>+D.sign_Data[[#This Row],[COSTOS OPERACIONALES ($COP)]]+D.sign_Data[[#This Row],[DESFASE ($COP)]]+D.sign_Data[[#This Row],[UTILIDAD ($COP)]]</f>
        <v>95593.103917540677</v>
      </c>
      <c r="AC972" s="101">
        <v>0.05</v>
      </c>
      <c r="AD972" s="15">
        <f>+D.sign_Data[[#This Row],[VALOR NETO ($COP)]]/(100%-D.sign_Data[[#This Row],[MARGEN DE NEGOCIACIÓN (%)]])-D.sign_Data[[#This Row],[VALOR NETO ($COP)]]</f>
        <v>5031.2159956600372</v>
      </c>
      <c r="AE972" s="15">
        <f>+(D.sign_Data[[#This Row],[VALOR NETO ($COP)]]+D.sign_Data[[#This Row],[NEGOCIACIÓN ($COP)]])*1%</f>
        <v>1006.2431991320071</v>
      </c>
      <c r="AF972" s="15">
        <f>+(D.sign_Data[[#This Row],[VALOR NETO ($COP)]]+D.sign_Data[[#This Row],[NEGOCIACIÓN ($COP)]])*1%</f>
        <v>1006.2431991320071</v>
      </c>
      <c r="AG972" s="3">
        <f>+D.sign_Data[[#This Row],[VALOR NETO ($COP)]]+D.sign_Data[[#This Row],[NEGOCIACIÓN ($COP)]]+D.sign_Data[[#This Row],[ICA ($COP)]]+D.sign_Data[[#This Row],[4 * 1000 ($COP)]]</f>
        <v>102636.80631146472</v>
      </c>
    </row>
    <row r="973" spans="1:33" ht="60" hidden="1" customHeight="1" x14ac:dyDescent="0.25">
      <c r="A973" s="14"/>
      <c r="B973" s="87" t="s">
        <v>442</v>
      </c>
      <c r="C973" s="182" t="s">
        <v>943</v>
      </c>
      <c r="D973" s="189" t="str">
        <f>VLOOKUP(D.sign_Data[[#This Row],[CÓDIGO]],Descripciones[[CÓDIGO]:[NOMBRE DE SERVICIO]],3,FALSE)</f>
        <v>D3. Vivienda Campestre</v>
      </c>
      <c r="E973" s="87" t="s">
        <v>497</v>
      </c>
      <c r="F973" s="88" t="s">
        <v>944</v>
      </c>
      <c r="G973" s="88" t="s">
        <v>536</v>
      </c>
      <c r="H973" s="87" t="s">
        <v>500</v>
      </c>
      <c r="I973" s="89">
        <v>1</v>
      </c>
      <c r="J973" s="88" t="s">
        <v>949</v>
      </c>
      <c r="K973" s="102"/>
      <c r="L973" s="88" t="s">
        <v>848</v>
      </c>
      <c r="M973" s="89" t="s">
        <v>381</v>
      </c>
      <c r="N973" s="90">
        <v>0.5</v>
      </c>
      <c r="O973" s="27">
        <f>IFERROR(+VLOOKUP(M973,D.sign_Lista_Data[[RESPONSABLE]:[SOFTWARE 
VALOR HORA]],3,FALSE),"0")</f>
        <v>20263.424518743668</v>
      </c>
      <c r="P973" s="3">
        <f t="shared" si="34"/>
        <v>10131.712259371834</v>
      </c>
      <c r="Q973" s="11">
        <f>IFERROR(+VLOOKUP(M973,D.sign_Lista_Data[[RESPONSABLE]:[SOFTWARE 
VALOR HORA]],5,FALSE)*D.sign_Data[[#This Row],[TIEMPO (HORAS)]],0)</f>
        <v>2110.7733873691318</v>
      </c>
      <c r="R973" s="11">
        <f>IFERROR(+VLOOKUP(M973,D.sign_Lista_Data[[RESPONSABLE]:[SOFTWARE 
VALOR HORA]],8,FALSE)*D.sign_Data[[#This Row],[TIEMPO (HORAS)]],0)</f>
        <v>1705.4274435719917</v>
      </c>
      <c r="S973" s="99"/>
      <c r="T973" s="99"/>
      <c r="U973" s="3">
        <f t="shared" si="35"/>
        <v>13947.913090312959</v>
      </c>
      <c r="V973" s="100">
        <f>D.sign_Data[[#This Row],[TIEMPO (HORAS)]]*Gastos_Operativos[[#Totals],[GASTOS HORA]]</f>
        <v>13894.738536155201</v>
      </c>
      <c r="W973" s="3">
        <f>+D.sign_Data[[#This Row],[COSTO 
DIRECTO ($COP)]]+D.sign_Data[[#This Row],[PRORRATEO GASTOS ($COP)]]</f>
        <v>27842.65162646816</v>
      </c>
      <c r="X973" s="101">
        <v>0.05</v>
      </c>
      <c r="Y973" s="15">
        <f>+D.sign_Data[[#This Row],[COSTOS OPERACIONALES ($COP)]]*D.sign_Data[[#This Row],[DESFASE (%)]]</f>
        <v>1392.132581323408</v>
      </c>
      <c r="Z973" s="101">
        <v>0.4</v>
      </c>
      <c r="AA973" s="15">
        <f>+((D.sign_Data[[#This Row],[COSTOS OPERACIONALES ($COP)]]/(100%-D.sign_Data[[#This Row],[UTILIDAD (%)]])))-D.sign_Data[[#This Row],[COSTOS OPERACIONALES ($COP)]]</f>
        <v>18561.767750978772</v>
      </c>
      <c r="AB973" s="3">
        <f>+D.sign_Data[[#This Row],[COSTOS OPERACIONALES ($COP)]]+D.sign_Data[[#This Row],[DESFASE ($COP)]]+D.sign_Data[[#This Row],[UTILIDAD ($COP)]]</f>
        <v>47796.551958770338</v>
      </c>
      <c r="AC973" s="101">
        <v>0.05</v>
      </c>
      <c r="AD973" s="15">
        <f>+D.sign_Data[[#This Row],[VALOR NETO ($COP)]]/(100%-D.sign_Data[[#This Row],[MARGEN DE NEGOCIACIÓN (%)]])-D.sign_Data[[#This Row],[VALOR NETO ($COP)]]</f>
        <v>2515.6079978300186</v>
      </c>
      <c r="AE973" s="15">
        <f>+(D.sign_Data[[#This Row],[VALOR NETO ($COP)]]+D.sign_Data[[#This Row],[NEGOCIACIÓN ($COP)]])*1%</f>
        <v>503.12159956600357</v>
      </c>
      <c r="AF973" s="15">
        <f>+(D.sign_Data[[#This Row],[VALOR NETO ($COP)]]+D.sign_Data[[#This Row],[NEGOCIACIÓN ($COP)]])*1%</f>
        <v>503.12159956600357</v>
      </c>
      <c r="AG973" s="3">
        <f>+D.sign_Data[[#This Row],[VALOR NETO ($COP)]]+D.sign_Data[[#This Row],[NEGOCIACIÓN ($COP)]]+D.sign_Data[[#This Row],[ICA ($COP)]]+D.sign_Data[[#This Row],[4 * 1000 ($COP)]]</f>
        <v>51318.403155732361</v>
      </c>
    </row>
    <row r="974" spans="1:33" ht="60" hidden="1" customHeight="1" x14ac:dyDescent="0.25">
      <c r="A974" s="14"/>
      <c r="B974" s="87" t="s">
        <v>442</v>
      </c>
      <c r="C974" s="182" t="s">
        <v>943</v>
      </c>
      <c r="D974" s="189" t="str">
        <f>VLOOKUP(D.sign_Data[[#This Row],[CÓDIGO]],Descripciones[[CÓDIGO]:[NOMBRE DE SERVICIO]],3,FALSE)</f>
        <v>D3. Vivienda Campestre</v>
      </c>
      <c r="E974" s="87" t="s">
        <v>497</v>
      </c>
      <c r="F974" s="88" t="s">
        <v>944</v>
      </c>
      <c r="G974" s="88" t="s">
        <v>536</v>
      </c>
      <c r="H974" s="87" t="s">
        <v>448</v>
      </c>
      <c r="I974" s="89">
        <v>1</v>
      </c>
      <c r="J974" s="88" t="s">
        <v>950</v>
      </c>
      <c r="K974" s="102"/>
      <c r="L974" s="88" t="s">
        <v>863</v>
      </c>
      <c r="M974" s="89" t="s">
        <v>381</v>
      </c>
      <c r="N974" s="90">
        <v>0.2</v>
      </c>
      <c r="O974" s="27">
        <f>IFERROR(+VLOOKUP(M974,D.sign_Lista_Data[[RESPONSABLE]:[SOFTWARE 
VALOR HORA]],3,FALSE),"0")</f>
        <v>20263.424518743668</v>
      </c>
      <c r="P974" s="3">
        <f t="shared" si="34"/>
        <v>4052.6849037487336</v>
      </c>
      <c r="Q974" s="11">
        <f>IFERROR(+VLOOKUP(M974,D.sign_Lista_Data[[RESPONSABLE]:[SOFTWARE 
VALOR HORA]],5,FALSE)*D.sign_Data[[#This Row],[TIEMPO (HORAS)]],0)</f>
        <v>844.30935494765276</v>
      </c>
      <c r="R974" s="11">
        <f>IFERROR(+VLOOKUP(M974,D.sign_Lista_Data[[RESPONSABLE]:[SOFTWARE 
VALOR HORA]],8,FALSE)*D.sign_Data[[#This Row],[TIEMPO (HORAS)]],0)</f>
        <v>682.17097742879673</v>
      </c>
      <c r="S974" s="99"/>
      <c r="T974" s="99"/>
      <c r="U974" s="3">
        <f t="shared" si="35"/>
        <v>5579.1652361251827</v>
      </c>
      <c r="V974" s="100">
        <f>D.sign_Data[[#This Row],[TIEMPO (HORAS)]]*Gastos_Operativos[[#Totals],[GASTOS HORA]]</f>
        <v>5557.8954144620802</v>
      </c>
      <c r="W974" s="3">
        <f>+D.sign_Data[[#This Row],[COSTO 
DIRECTO ($COP)]]+D.sign_Data[[#This Row],[PRORRATEO GASTOS ($COP)]]</f>
        <v>11137.060650587264</v>
      </c>
      <c r="X974" s="101">
        <v>0.05</v>
      </c>
      <c r="Y974" s="15">
        <f>+D.sign_Data[[#This Row],[COSTOS OPERACIONALES ($COP)]]*D.sign_Data[[#This Row],[DESFASE (%)]]</f>
        <v>556.85303252936319</v>
      </c>
      <c r="Z974" s="101">
        <v>0.4</v>
      </c>
      <c r="AA974" s="15">
        <f>+((D.sign_Data[[#This Row],[COSTOS OPERACIONALES ($COP)]]/(100%-D.sign_Data[[#This Row],[UTILIDAD (%)]])))-D.sign_Data[[#This Row],[COSTOS OPERACIONALES ($COP)]]</f>
        <v>7424.7071003915116</v>
      </c>
      <c r="AB974" s="3">
        <f>+D.sign_Data[[#This Row],[COSTOS OPERACIONALES ($COP)]]+D.sign_Data[[#This Row],[DESFASE ($COP)]]+D.sign_Data[[#This Row],[UTILIDAD ($COP)]]</f>
        <v>19118.620783508137</v>
      </c>
      <c r="AC974" s="101">
        <v>0.05</v>
      </c>
      <c r="AD974" s="15">
        <f>+D.sign_Data[[#This Row],[VALOR NETO ($COP)]]/(100%-D.sign_Data[[#This Row],[MARGEN DE NEGOCIACIÓN (%)]])-D.sign_Data[[#This Row],[VALOR NETO ($COP)]]</f>
        <v>1006.2431991320082</v>
      </c>
      <c r="AE974" s="15">
        <f>+(D.sign_Data[[#This Row],[VALOR NETO ($COP)]]+D.sign_Data[[#This Row],[NEGOCIACIÓN ($COP)]])*1%</f>
        <v>201.24863982640144</v>
      </c>
      <c r="AF974" s="15">
        <f>+(D.sign_Data[[#This Row],[VALOR NETO ($COP)]]+D.sign_Data[[#This Row],[NEGOCIACIÓN ($COP)]])*1%</f>
        <v>201.24863982640144</v>
      </c>
      <c r="AG974" s="3">
        <f>+D.sign_Data[[#This Row],[VALOR NETO ($COP)]]+D.sign_Data[[#This Row],[NEGOCIACIÓN ($COP)]]+D.sign_Data[[#This Row],[ICA ($COP)]]+D.sign_Data[[#This Row],[4 * 1000 ($COP)]]</f>
        <v>20527.361262292947</v>
      </c>
    </row>
    <row r="975" spans="1:33" ht="60" hidden="1" customHeight="1" x14ac:dyDescent="0.25">
      <c r="A975" s="14"/>
      <c r="B975" s="87" t="s">
        <v>442</v>
      </c>
      <c r="C975" s="182" t="s">
        <v>951</v>
      </c>
      <c r="D975" s="189" t="str">
        <f>VLOOKUP(D.sign_Data[[#This Row],[CÓDIGO]],Descripciones[[CÓDIGO]:[NOMBRE DE SERVICIO]],3,FALSE)</f>
        <v>D3. Vivienda Campestre</v>
      </c>
      <c r="E975" s="87" t="s">
        <v>497</v>
      </c>
      <c r="F975" s="88" t="s">
        <v>952</v>
      </c>
      <c r="G975" s="88" t="s">
        <v>953</v>
      </c>
      <c r="H975" s="87" t="s">
        <v>500</v>
      </c>
      <c r="I975" s="89">
        <v>1</v>
      </c>
      <c r="J975" s="88" t="s">
        <v>954</v>
      </c>
      <c r="K975" s="102"/>
      <c r="L975" s="88" t="s">
        <v>471</v>
      </c>
      <c r="M975" s="89" t="s">
        <v>381</v>
      </c>
      <c r="N975" s="90">
        <v>0.5</v>
      </c>
      <c r="O975" s="27">
        <f>IFERROR(+VLOOKUP(M975,D.sign_Lista_Data[[RESPONSABLE]:[SOFTWARE 
VALOR HORA]],3,FALSE),"0")</f>
        <v>20263.424518743668</v>
      </c>
      <c r="P975" s="3">
        <f t="shared" ref="P975:P1006" si="36">+O975*N975</f>
        <v>10131.712259371834</v>
      </c>
      <c r="Q975" s="11">
        <f>IFERROR(+VLOOKUP(M975,D.sign_Lista_Data[[RESPONSABLE]:[SOFTWARE 
VALOR HORA]],5,FALSE)*D.sign_Data[[#This Row],[TIEMPO (HORAS)]],0)</f>
        <v>2110.7733873691318</v>
      </c>
      <c r="R975" s="11">
        <f>IFERROR(+VLOOKUP(M975,D.sign_Lista_Data[[RESPONSABLE]:[SOFTWARE 
VALOR HORA]],8,FALSE)*D.sign_Data[[#This Row],[TIEMPO (HORAS)]],0)</f>
        <v>1705.4274435719917</v>
      </c>
      <c r="S975" s="99"/>
      <c r="T975" s="99"/>
      <c r="U975" s="3">
        <f t="shared" ref="U975:U1006" si="37">SUM(P975:T975)</f>
        <v>13947.913090312959</v>
      </c>
      <c r="V975" s="100">
        <f>D.sign_Data[[#This Row],[TIEMPO (HORAS)]]*Gastos_Operativos[[#Totals],[GASTOS HORA]]</f>
        <v>13894.738536155201</v>
      </c>
      <c r="W975" s="3">
        <f>+D.sign_Data[[#This Row],[COSTO 
DIRECTO ($COP)]]+D.sign_Data[[#This Row],[PRORRATEO GASTOS ($COP)]]</f>
        <v>27842.65162646816</v>
      </c>
      <c r="X975" s="101">
        <v>0.05</v>
      </c>
      <c r="Y975" s="15">
        <f>+D.sign_Data[[#This Row],[COSTOS OPERACIONALES ($COP)]]*D.sign_Data[[#This Row],[DESFASE (%)]]</f>
        <v>1392.132581323408</v>
      </c>
      <c r="Z975" s="101">
        <v>0.3</v>
      </c>
      <c r="AA975" s="15">
        <f>+((D.sign_Data[[#This Row],[COSTOS OPERACIONALES ($COP)]]/(100%-D.sign_Data[[#This Row],[UTILIDAD (%)]])))-D.sign_Data[[#This Row],[COSTOS OPERACIONALES ($COP)]]</f>
        <v>11932.564982772074</v>
      </c>
      <c r="AB975" s="3">
        <f>+D.sign_Data[[#This Row],[COSTOS OPERACIONALES ($COP)]]+D.sign_Data[[#This Row],[DESFASE ($COP)]]+D.sign_Data[[#This Row],[UTILIDAD ($COP)]]</f>
        <v>41167.34919056364</v>
      </c>
      <c r="AC975" s="101">
        <v>0.05</v>
      </c>
      <c r="AD975" s="15">
        <f>+D.sign_Data[[#This Row],[VALOR NETO ($COP)]]/(100%-D.sign_Data[[#This Row],[MARGEN DE NEGOCIACIÓN (%)]])-D.sign_Data[[#This Row],[VALOR NETO ($COP)]]</f>
        <v>2166.7025889770375</v>
      </c>
      <c r="AE975" s="15">
        <f>+(D.sign_Data[[#This Row],[VALOR NETO ($COP)]]+D.sign_Data[[#This Row],[NEGOCIACIÓN ($COP)]])*1%</f>
        <v>433.34051779540681</v>
      </c>
      <c r="AF975" s="15">
        <f>+(D.sign_Data[[#This Row],[VALOR NETO ($COP)]]+D.sign_Data[[#This Row],[NEGOCIACIÓN ($COP)]])*1%</f>
        <v>433.34051779540681</v>
      </c>
      <c r="AG975" s="3">
        <f>+D.sign_Data[[#This Row],[VALOR NETO ($COP)]]+D.sign_Data[[#This Row],[NEGOCIACIÓN ($COP)]]+D.sign_Data[[#This Row],[ICA ($COP)]]+D.sign_Data[[#This Row],[4 * 1000 ($COP)]]</f>
        <v>44200.732815131487</v>
      </c>
    </row>
    <row r="976" spans="1:33" ht="60" hidden="1" customHeight="1" x14ac:dyDescent="0.25">
      <c r="A976" s="14"/>
      <c r="B976" s="87" t="s">
        <v>442</v>
      </c>
      <c r="C976" s="182" t="s">
        <v>951</v>
      </c>
      <c r="D976" s="189" t="str">
        <f>VLOOKUP(D.sign_Data[[#This Row],[CÓDIGO]],Descripciones[[CÓDIGO]:[NOMBRE DE SERVICIO]],3,FALSE)</f>
        <v>D3. Vivienda Campestre</v>
      </c>
      <c r="E976" s="87" t="s">
        <v>497</v>
      </c>
      <c r="F976" s="88" t="s">
        <v>952</v>
      </c>
      <c r="G976" s="88" t="s">
        <v>953</v>
      </c>
      <c r="H976" s="87" t="s">
        <v>448</v>
      </c>
      <c r="I976" s="89">
        <v>1</v>
      </c>
      <c r="J976" s="88" t="s">
        <v>954</v>
      </c>
      <c r="K976" s="102"/>
      <c r="L976" s="88" t="s">
        <v>473</v>
      </c>
      <c r="M976" s="89" t="s">
        <v>381</v>
      </c>
      <c r="N976" s="90">
        <v>0.5</v>
      </c>
      <c r="O976" s="27">
        <f>IFERROR(+VLOOKUP(M976,D.sign_Lista_Data[[RESPONSABLE]:[SOFTWARE 
VALOR HORA]],3,FALSE),"0")</f>
        <v>20263.424518743668</v>
      </c>
      <c r="P976" s="3">
        <f t="shared" si="36"/>
        <v>10131.712259371834</v>
      </c>
      <c r="Q976" s="11">
        <f>IFERROR(+VLOOKUP(M976,D.sign_Lista_Data[[RESPONSABLE]:[SOFTWARE 
VALOR HORA]],5,FALSE)*D.sign_Data[[#This Row],[TIEMPO (HORAS)]],0)</f>
        <v>2110.7733873691318</v>
      </c>
      <c r="R976" s="11">
        <f>IFERROR(+VLOOKUP(M976,D.sign_Lista_Data[[RESPONSABLE]:[SOFTWARE 
VALOR HORA]],8,FALSE)*D.sign_Data[[#This Row],[TIEMPO (HORAS)]],0)</f>
        <v>1705.4274435719917</v>
      </c>
      <c r="S976" s="99"/>
      <c r="T976" s="99"/>
      <c r="U976" s="3">
        <f t="shared" si="37"/>
        <v>13947.913090312959</v>
      </c>
      <c r="V976" s="100">
        <f>D.sign_Data[[#This Row],[TIEMPO (HORAS)]]*Gastos_Operativos[[#Totals],[GASTOS HORA]]</f>
        <v>13894.738536155201</v>
      </c>
      <c r="W976" s="3">
        <f>+D.sign_Data[[#This Row],[COSTO 
DIRECTO ($COP)]]+D.sign_Data[[#This Row],[PRORRATEO GASTOS ($COP)]]</f>
        <v>27842.65162646816</v>
      </c>
      <c r="X976" s="101">
        <v>0.05</v>
      </c>
      <c r="Y976" s="15">
        <f>+D.sign_Data[[#This Row],[COSTOS OPERACIONALES ($COP)]]*D.sign_Data[[#This Row],[DESFASE (%)]]</f>
        <v>1392.132581323408</v>
      </c>
      <c r="Z976" s="101">
        <v>0.3</v>
      </c>
      <c r="AA976" s="15">
        <f>+((D.sign_Data[[#This Row],[COSTOS OPERACIONALES ($COP)]]/(100%-D.sign_Data[[#This Row],[UTILIDAD (%)]])))-D.sign_Data[[#This Row],[COSTOS OPERACIONALES ($COP)]]</f>
        <v>11932.564982772074</v>
      </c>
      <c r="AB976" s="3">
        <f>+D.sign_Data[[#This Row],[COSTOS OPERACIONALES ($COP)]]+D.sign_Data[[#This Row],[DESFASE ($COP)]]+D.sign_Data[[#This Row],[UTILIDAD ($COP)]]</f>
        <v>41167.34919056364</v>
      </c>
      <c r="AC976" s="101">
        <v>0.05</v>
      </c>
      <c r="AD976" s="15">
        <f>+D.sign_Data[[#This Row],[VALOR NETO ($COP)]]/(100%-D.sign_Data[[#This Row],[MARGEN DE NEGOCIACIÓN (%)]])-D.sign_Data[[#This Row],[VALOR NETO ($COP)]]</f>
        <v>2166.7025889770375</v>
      </c>
      <c r="AE976" s="15">
        <f>+(D.sign_Data[[#This Row],[VALOR NETO ($COP)]]+D.sign_Data[[#This Row],[NEGOCIACIÓN ($COP)]])*1%</f>
        <v>433.34051779540681</v>
      </c>
      <c r="AF976" s="15">
        <f>+(D.sign_Data[[#This Row],[VALOR NETO ($COP)]]+D.sign_Data[[#This Row],[NEGOCIACIÓN ($COP)]])*1%</f>
        <v>433.34051779540681</v>
      </c>
      <c r="AG976" s="3">
        <f>+D.sign_Data[[#This Row],[VALOR NETO ($COP)]]+D.sign_Data[[#This Row],[NEGOCIACIÓN ($COP)]]+D.sign_Data[[#This Row],[ICA ($COP)]]+D.sign_Data[[#This Row],[4 * 1000 ($COP)]]</f>
        <v>44200.732815131487</v>
      </c>
    </row>
    <row r="977" spans="1:33" ht="60" hidden="1" customHeight="1" x14ac:dyDescent="0.25">
      <c r="A977" s="14"/>
      <c r="B977" s="87" t="s">
        <v>442</v>
      </c>
      <c r="C977" s="182" t="s">
        <v>951</v>
      </c>
      <c r="D977" s="189" t="str">
        <f>VLOOKUP(D.sign_Data[[#This Row],[CÓDIGO]],Descripciones[[CÓDIGO]:[NOMBRE DE SERVICIO]],3,FALSE)</f>
        <v>D3. Vivienda Campestre</v>
      </c>
      <c r="E977" s="87" t="s">
        <v>497</v>
      </c>
      <c r="F977" s="88" t="s">
        <v>952</v>
      </c>
      <c r="G977" s="88" t="s">
        <v>953</v>
      </c>
      <c r="H977" s="87" t="s">
        <v>448</v>
      </c>
      <c r="I977" s="89">
        <v>1</v>
      </c>
      <c r="J977" s="88" t="s">
        <v>954</v>
      </c>
      <c r="K977" s="102"/>
      <c r="L977" s="88" t="s">
        <v>474</v>
      </c>
      <c r="M977" s="89" t="s">
        <v>381</v>
      </c>
      <c r="N977" s="90">
        <v>0.25</v>
      </c>
      <c r="O977" s="27">
        <f>IFERROR(+VLOOKUP(M977,D.sign_Lista_Data[[RESPONSABLE]:[SOFTWARE 
VALOR HORA]],3,FALSE),"0")</f>
        <v>20263.424518743668</v>
      </c>
      <c r="P977" s="3">
        <f t="shared" si="36"/>
        <v>5065.856129685917</v>
      </c>
      <c r="Q977" s="11">
        <f>IFERROR(+VLOOKUP(M977,D.sign_Lista_Data[[RESPONSABLE]:[SOFTWARE 
VALOR HORA]],5,FALSE)*D.sign_Data[[#This Row],[TIEMPO (HORAS)]],0)</f>
        <v>1055.3866936845659</v>
      </c>
      <c r="R977" s="11">
        <f>IFERROR(+VLOOKUP(M977,D.sign_Lista_Data[[RESPONSABLE]:[SOFTWARE 
VALOR HORA]],8,FALSE)*D.sign_Data[[#This Row],[TIEMPO (HORAS)]],0)</f>
        <v>852.71372178599586</v>
      </c>
      <c r="S977" s="99"/>
      <c r="T977" s="99"/>
      <c r="U977" s="3">
        <f t="shared" si="37"/>
        <v>6973.9565451564795</v>
      </c>
      <c r="V977" s="100">
        <f>D.sign_Data[[#This Row],[TIEMPO (HORAS)]]*Gastos_Operativos[[#Totals],[GASTOS HORA]]</f>
        <v>6947.3692680776003</v>
      </c>
      <c r="W977" s="3">
        <f>+D.sign_Data[[#This Row],[COSTO 
DIRECTO ($COP)]]+D.sign_Data[[#This Row],[PRORRATEO GASTOS ($COP)]]</f>
        <v>13921.32581323408</v>
      </c>
      <c r="X977" s="101">
        <v>0.05</v>
      </c>
      <c r="Y977" s="15">
        <f>+D.sign_Data[[#This Row],[COSTOS OPERACIONALES ($COP)]]*D.sign_Data[[#This Row],[DESFASE (%)]]</f>
        <v>696.06629066170399</v>
      </c>
      <c r="Z977" s="101">
        <v>0.3</v>
      </c>
      <c r="AA977" s="15">
        <f>+((D.sign_Data[[#This Row],[COSTOS OPERACIONALES ($COP)]]/(100%-D.sign_Data[[#This Row],[UTILIDAD (%)]])))-D.sign_Data[[#This Row],[COSTOS OPERACIONALES ($COP)]]</f>
        <v>5966.2824913860368</v>
      </c>
      <c r="AB977" s="3">
        <f>+D.sign_Data[[#This Row],[COSTOS OPERACIONALES ($COP)]]+D.sign_Data[[#This Row],[DESFASE ($COP)]]+D.sign_Data[[#This Row],[UTILIDAD ($COP)]]</f>
        <v>20583.67459528182</v>
      </c>
      <c r="AC977" s="101">
        <v>0.05</v>
      </c>
      <c r="AD977" s="15">
        <f>+D.sign_Data[[#This Row],[VALOR NETO ($COP)]]/(100%-D.sign_Data[[#This Row],[MARGEN DE NEGOCIACIÓN (%)]])-D.sign_Data[[#This Row],[VALOR NETO ($COP)]]</f>
        <v>1083.3512944885188</v>
      </c>
      <c r="AE977" s="15">
        <f>+(D.sign_Data[[#This Row],[VALOR NETO ($COP)]]+D.sign_Data[[#This Row],[NEGOCIACIÓN ($COP)]])*1%</f>
        <v>216.67025889770341</v>
      </c>
      <c r="AF977" s="15">
        <f>+(D.sign_Data[[#This Row],[VALOR NETO ($COP)]]+D.sign_Data[[#This Row],[NEGOCIACIÓN ($COP)]])*1%</f>
        <v>216.67025889770341</v>
      </c>
      <c r="AG977" s="3">
        <f>+D.sign_Data[[#This Row],[VALOR NETO ($COP)]]+D.sign_Data[[#This Row],[NEGOCIACIÓN ($COP)]]+D.sign_Data[[#This Row],[ICA ($COP)]]+D.sign_Data[[#This Row],[4 * 1000 ($COP)]]</f>
        <v>22100.366407565743</v>
      </c>
    </row>
    <row r="978" spans="1:33" ht="60" hidden="1" customHeight="1" x14ac:dyDescent="0.25">
      <c r="A978" s="14"/>
      <c r="B978" s="87" t="s">
        <v>442</v>
      </c>
      <c r="C978" s="182" t="s">
        <v>951</v>
      </c>
      <c r="D978" s="189" t="str">
        <f>VLOOKUP(D.sign_Data[[#This Row],[CÓDIGO]],Descripciones[[CÓDIGO]:[NOMBRE DE SERVICIO]],3,FALSE)</f>
        <v>D3. Vivienda Campestre</v>
      </c>
      <c r="E978" s="87" t="s">
        <v>497</v>
      </c>
      <c r="F978" s="88" t="s">
        <v>952</v>
      </c>
      <c r="G978" s="88" t="s">
        <v>953</v>
      </c>
      <c r="H978" s="87" t="s">
        <v>448</v>
      </c>
      <c r="I978" s="89">
        <v>1</v>
      </c>
      <c r="J978" s="88" t="s">
        <v>955</v>
      </c>
      <c r="K978" s="102"/>
      <c r="L978" s="88" t="s">
        <v>476</v>
      </c>
      <c r="M978" s="89" t="s">
        <v>381</v>
      </c>
      <c r="N978" s="90">
        <v>0.25</v>
      </c>
      <c r="O978" s="27">
        <f>IFERROR(+VLOOKUP(M978,D.sign_Lista_Data[[RESPONSABLE]:[SOFTWARE 
VALOR HORA]],3,FALSE),"0")</f>
        <v>20263.424518743668</v>
      </c>
      <c r="P978" s="3">
        <f t="shared" si="36"/>
        <v>5065.856129685917</v>
      </c>
      <c r="Q978" s="11">
        <f>IFERROR(+VLOOKUP(M978,D.sign_Lista_Data[[RESPONSABLE]:[SOFTWARE 
VALOR HORA]],5,FALSE)*D.sign_Data[[#This Row],[TIEMPO (HORAS)]],0)</f>
        <v>1055.3866936845659</v>
      </c>
      <c r="R978" s="11">
        <f>IFERROR(+VLOOKUP(M978,D.sign_Lista_Data[[RESPONSABLE]:[SOFTWARE 
VALOR HORA]],8,FALSE)*D.sign_Data[[#This Row],[TIEMPO (HORAS)]],0)</f>
        <v>852.71372178599586</v>
      </c>
      <c r="S978" s="99"/>
      <c r="T978" s="99"/>
      <c r="U978" s="3">
        <f t="shared" si="37"/>
        <v>6973.9565451564795</v>
      </c>
      <c r="V978" s="100">
        <f>D.sign_Data[[#This Row],[TIEMPO (HORAS)]]*Gastos_Operativos[[#Totals],[GASTOS HORA]]</f>
        <v>6947.3692680776003</v>
      </c>
      <c r="W978" s="3">
        <f>+D.sign_Data[[#This Row],[COSTO 
DIRECTO ($COP)]]+D.sign_Data[[#This Row],[PRORRATEO GASTOS ($COP)]]</f>
        <v>13921.32581323408</v>
      </c>
      <c r="X978" s="101">
        <v>0.05</v>
      </c>
      <c r="Y978" s="15">
        <f>+D.sign_Data[[#This Row],[COSTOS OPERACIONALES ($COP)]]*D.sign_Data[[#This Row],[DESFASE (%)]]</f>
        <v>696.06629066170399</v>
      </c>
      <c r="Z978" s="101">
        <v>0.3</v>
      </c>
      <c r="AA978" s="15">
        <f>+((D.sign_Data[[#This Row],[COSTOS OPERACIONALES ($COP)]]/(100%-D.sign_Data[[#This Row],[UTILIDAD (%)]])))-D.sign_Data[[#This Row],[COSTOS OPERACIONALES ($COP)]]</f>
        <v>5966.2824913860368</v>
      </c>
      <c r="AB978" s="3">
        <f>+D.sign_Data[[#This Row],[COSTOS OPERACIONALES ($COP)]]+D.sign_Data[[#This Row],[DESFASE ($COP)]]+D.sign_Data[[#This Row],[UTILIDAD ($COP)]]</f>
        <v>20583.67459528182</v>
      </c>
      <c r="AC978" s="101">
        <v>0.05</v>
      </c>
      <c r="AD978" s="15">
        <f>+D.sign_Data[[#This Row],[VALOR NETO ($COP)]]/(100%-D.sign_Data[[#This Row],[MARGEN DE NEGOCIACIÓN (%)]])-D.sign_Data[[#This Row],[VALOR NETO ($COP)]]</f>
        <v>1083.3512944885188</v>
      </c>
      <c r="AE978" s="15">
        <f>+(D.sign_Data[[#This Row],[VALOR NETO ($COP)]]+D.sign_Data[[#This Row],[NEGOCIACIÓN ($COP)]])*1%</f>
        <v>216.67025889770341</v>
      </c>
      <c r="AF978" s="15">
        <f>+(D.sign_Data[[#This Row],[VALOR NETO ($COP)]]+D.sign_Data[[#This Row],[NEGOCIACIÓN ($COP)]])*1%</f>
        <v>216.67025889770341</v>
      </c>
      <c r="AG978" s="3">
        <f>+D.sign_Data[[#This Row],[VALOR NETO ($COP)]]+D.sign_Data[[#This Row],[NEGOCIACIÓN ($COP)]]+D.sign_Data[[#This Row],[ICA ($COP)]]+D.sign_Data[[#This Row],[4 * 1000 ($COP)]]</f>
        <v>22100.366407565743</v>
      </c>
    </row>
    <row r="979" spans="1:33" ht="60" hidden="1" customHeight="1" x14ac:dyDescent="0.25">
      <c r="A979" s="14"/>
      <c r="B979" s="87" t="s">
        <v>442</v>
      </c>
      <c r="C979" s="182" t="s">
        <v>951</v>
      </c>
      <c r="D979" s="189" t="str">
        <f>VLOOKUP(D.sign_Data[[#This Row],[CÓDIGO]],Descripciones[[CÓDIGO]:[NOMBRE DE SERVICIO]],3,FALSE)</f>
        <v>D3. Vivienda Campestre</v>
      </c>
      <c r="E979" s="87" t="s">
        <v>497</v>
      </c>
      <c r="F979" s="88" t="s">
        <v>952</v>
      </c>
      <c r="G979" s="88" t="s">
        <v>953</v>
      </c>
      <c r="H979" s="87" t="s">
        <v>448</v>
      </c>
      <c r="I979" s="89">
        <v>1</v>
      </c>
      <c r="J979" s="88" t="s">
        <v>955</v>
      </c>
      <c r="K979" s="102"/>
      <c r="L979" s="91" t="s">
        <v>477</v>
      </c>
      <c r="M979" s="89" t="s">
        <v>381</v>
      </c>
      <c r="N979" s="90">
        <v>1</v>
      </c>
      <c r="O979" s="27">
        <f>IFERROR(+VLOOKUP(M979,D.sign_Lista_Data[[RESPONSABLE]:[SOFTWARE 
VALOR HORA]],3,FALSE),"0")</f>
        <v>20263.424518743668</v>
      </c>
      <c r="P979" s="3">
        <f t="shared" si="36"/>
        <v>20263.424518743668</v>
      </c>
      <c r="Q979" s="11">
        <f>IFERROR(+VLOOKUP(M979,D.sign_Lista_Data[[RESPONSABLE]:[SOFTWARE 
VALOR HORA]],5,FALSE)*D.sign_Data[[#This Row],[TIEMPO (HORAS)]],0)</f>
        <v>4221.5467747382636</v>
      </c>
      <c r="R979" s="11">
        <f>IFERROR(+VLOOKUP(M979,D.sign_Lista_Data[[RESPONSABLE]:[SOFTWARE 
VALOR HORA]],8,FALSE)*D.sign_Data[[#This Row],[TIEMPO (HORAS)]],0)</f>
        <v>3410.8548871439834</v>
      </c>
      <c r="S979" s="99"/>
      <c r="T979" s="99"/>
      <c r="U979" s="3">
        <f t="shared" si="37"/>
        <v>27895.826180625918</v>
      </c>
      <c r="V979" s="100">
        <f>D.sign_Data[[#This Row],[TIEMPO (HORAS)]]*Gastos_Operativos[[#Totals],[GASTOS HORA]]</f>
        <v>27789.477072310401</v>
      </c>
      <c r="W979" s="3">
        <f>+D.sign_Data[[#This Row],[COSTO 
DIRECTO ($COP)]]+D.sign_Data[[#This Row],[PRORRATEO GASTOS ($COP)]]</f>
        <v>55685.303252936319</v>
      </c>
      <c r="X979" s="101">
        <v>0.05</v>
      </c>
      <c r="Y979" s="15">
        <f>+D.sign_Data[[#This Row],[COSTOS OPERACIONALES ($COP)]]*D.sign_Data[[#This Row],[DESFASE (%)]]</f>
        <v>2784.265162646816</v>
      </c>
      <c r="Z979" s="101">
        <v>0.3</v>
      </c>
      <c r="AA979" s="15">
        <f>+((D.sign_Data[[#This Row],[COSTOS OPERACIONALES ($COP)]]/(100%-D.sign_Data[[#This Row],[UTILIDAD (%)]])))-D.sign_Data[[#This Row],[COSTOS OPERACIONALES ($COP)]]</f>
        <v>23865.129965544147</v>
      </c>
      <c r="AB979" s="3">
        <f>+D.sign_Data[[#This Row],[COSTOS OPERACIONALES ($COP)]]+D.sign_Data[[#This Row],[DESFASE ($COP)]]+D.sign_Data[[#This Row],[UTILIDAD ($COP)]]</f>
        <v>82334.69838112728</v>
      </c>
      <c r="AC979" s="101">
        <v>0.05</v>
      </c>
      <c r="AD979" s="15">
        <f>+D.sign_Data[[#This Row],[VALOR NETO ($COP)]]/(100%-D.sign_Data[[#This Row],[MARGEN DE NEGOCIACIÓN (%)]])-D.sign_Data[[#This Row],[VALOR NETO ($COP)]]</f>
        <v>4333.405177954075</v>
      </c>
      <c r="AE979" s="15">
        <f>+(D.sign_Data[[#This Row],[VALOR NETO ($COP)]]+D.sign_Data[[#This Row],[NEGOCIACIÓN ($COP)]])*1%</f>
        <v>866.68103559081362</v>
      </c>
      <c r="AF979" s="15">
        <f>+(D.sign_Data[[#This Row],[VALOR NETO ($COP)]]+D.sign_Data[[#This Row],[NEGOCIACIÓN ($COP)]])*1%</f>
        <v>866.68103559081362</v>
      </c>
      <c r="AG979" s="3">
        <f>+D.sign_Data[[#This Row],[VALOR NETO ($COP)]]+D.sign_Data[[#This Row],[NEGOCIACIÓN ($COP)]]+D.sign_Data[[#This Row],[ICA ($COP)]]+D.sign_Data[[#This Row],[4 * 1000 ($COP)]]</f>
        <v>88401.465630262974</v>
      </c>
    </row>
    <row r="980" spans="1:33" ht="60" hidden="1" customHeight="1" x14ac:dyDescent="0.25">
      <c r="A980" s="14"/>
      <c r="B980" s="87" t="s">
        <v>442</v>
      </c>
      <c r="C980" s="182" t="s">
        <v>951</v>
      </c>
      <c r="D980" s="189" t="str">
        <f>VLOOKUP(D.sign_Data[[#This Row],[CÓDIGO]],Descripciones[[CÓDIGO]:[NOMBRE DE SERVICIO]],3,FALSE)</f>
        <v>D3. Vivienda Campestre</v>
      </c>
      <c r="E980" s="87" t="s">
        <v>497</v>
      </c>
      <c r="F980" s="88" t="s">
        <v>952</v>
      </c>
      <c r="G980" s="88" t="s">
        <v>953</v>
      </c>
      <c r="H980" s="87" t="s">
        <v>500</v>
      </c>
      <c r="I980" s="89">
        <v>1</v>
      </c>
      <c r="J980" s="88" t="s">
        <v>955</v>
      </c>
      <c r="K980" s="102"/>
      <c r="L980" s="91" t="s">
        <v>471</v>
      </c>
      <c r="M980" s="89" t="s">
        <v>381</v>
      </c>
      <c r="N980" s="90">
        <v>2</v>
      </c>
      <c r="O980" s="27">
        <f>IFERROR(+VLOOKUP(M980,D.sign_Lista_Data[[RESPONSABLE]:[SOFTWARE 
VALOR HORA]],3,FALSE),"0")</f>
        <v>20263.424518743668</v>
      </c>
      <c r="P980" s="3">
        <f t="shared" si="36"/>
        <v>40526.849037487336</v>
      </c>
      <c r="Q980" s="11">
        <f>IFERROR(+VLOOKUP(M980,D.sign_Lista_Data[[RESPONSABLE]:[SOFTWARE 
VALOR HORA]],5,FALSE)*D.sign_Data[[#This Row],[TIEMPO (HORAS)]],0)</f>
        <v>8443.0935494765272</v>
      </c>
      <c r="R980" s="11">
        <f>IFERROR(+VLOOKUP(M980,D.sign_Lista_Data[[RESPONSABLE]:[SOFTWARE 
VALOR HORA]],8,FALSE)*D.sign_Data[[#This Row],[TIEMPO (HORAS)]],0)</f>
        <v>6821.7097742879669</v>
      </c>
      <c r="S980" s="99"/>
      <c r="T980" s="99"/>
      <c r="U980" s="3">
        <f t="shared" si="37"/>
        <v>55791.652361251836</v>
      </c>
      <c r="V980" s="100">
        <f>D.sign_Data[[#This Row],[TIEMPO (HORAS)]]*Gastos_Operativos[[#Totals],[GASTOS HORA]]</f>
        <v>55578.954144620802</v>
      </c>
      <c r="W980" s="3">
        <f>+D.sign_Data[[#This Row],[COSTO 
DIRECTO ($COP)]]+D.sign_Data[[#This Row],[PRORRATEO GASTOS ($COP)]]</f>
        <v>111370.60650587264</v>
      </c>
      <c r="X980" s="101">
        <v>0.05</v>
      </c>
      <c r="Y980" s="15">
        <f>+D.sign_Data[[#This Row],[COSTOS OPERACIONALES ($COP)]]*D.sign_Data[[#This Row],[DESFASE (%)]]</f>
        <v>5568.5303252936319</v>
      </c>
      <c r="Z980" s="101">
        <v>0.3</v>
      </c>
      <c r="AA980" s="15">
        <f>+((D.sign_Data[[#This Row],[COSTOS OPERACIONALES ($COP)]]/(100%-D.sign_Data[[#This Row],[UTILIDAD (%)]])))-D.sign_Data[[#This Row],[COSTOS OPERACIONALES ($COP)]]</f>
        <v>47730.259931088294</v>
      </c>
      <c r="AB980" s="3">
        <f>+D.sign_Data[[#This Row],[COSTOS OPERACIONALES ($COP)]]+D.sign_Data[[#This Row],[DESFASE ($COP)]]+D.sign_Data[[#This Row],[UTILIDAD ($COP)]]</f>
        <v>164669.39676225456</v>
      </c>
      <c r="AC980" s="101">
        <v>0.05</v>
      </c>
      <c r="AD980" s="15">
        <f>+D.sign_Data[[#This Row],[VALOR NETO ($COP)]]/(100%-D.sign_Data[[#This Row],[MARGEN DE NEGOCIACIÓN (%)]])-D.sign_Data[[#This Row],[VALOR NETO ($COP)]]</f>
        <v>8666.8103559081501</v>
      </c>
      <c r="AE980" s="15">
        <f>+(D.sign_Data[[#This Row],[VALOR NETO ($COP)]]+D.sign_Data[[#This Row],[NEGOCIACIÓN ($COP)]])*1%</f>
        <v>1733.3620711816272</v>
      </c>
      <c r="AF980" s="15">
        <f>+(D.sign_Data[[#This Row],[VALOR NETO ($COP)]]+D.sign_Data[[#This Row],[NEGOCIACIÓN ($COP)]])*1%</f>
        <v>1733.3620711816272</v>
      </c>
      <c r="AG980" s="3">
        <f>+D.sign_Data[[#This Row],[VALOR NETO ($COP)]]+D.sign_Data[[#This Row],[NEGOCIACIÓN ($COP)]]+D.sign_Data[[#This Row],[ICA ($COP)]]+D.sign_Data[[#This Row],[4 * 1000 ($COP)]]</f>
        <v>176802.93126052595</v>
      </c>
    </row>
    <row r="981" spans="1:33" ht="60" hidden="1" customHeight="1" x14ac:dyDescent="0.25">
      <c r="A981" s="14"/>
      <c r="B981" s="87" t="s">
        <v>442</v>
      </c>
      <c r="C981" s="182" t="s">
        <v>951</v>
      </c>
      <c r="D981" s="189" t="str">
        <f>VLOOKUP(D.sign_Data[[#This Row],[CÓDIGO]],Descripciones[[CÓDIGO]:[NOMBRE DE SERVICIO]],3,FALSE)</f>
        <v>D3. Vivienda Campestre</v>
      </c>
      <c r="E981" s="87" t="s">
        <v>497</v>
      </c>
      <c r="F981" s="88" t="s">
        <v>952</v>
      </c>
      <c r="G981" s="88" t="s">
        <v>953</v>
      </c>
      <c r="H981" s="87" t="s">
        <v>448</v>
      </c>
      <c r="I981" s="89">
        <v>1</v>
      </c>
      <c r="J981" s="88" t="s">
        <v>955</v>
      </c>
      <c r="K981" s="102"/>
      <c r="L981" s="91" t="s">
        <v>503</v>
      </c>
      <c r="M981" s="89" t="s">
        <v>381</v>
      </c>
      <c r="N981" s="90">
        <v>2</v>
      </c>
      <c r="O981" s="27">
        <f>IFERROR(+VLOOKUP(M981,D.sign_Lista_Data[[RESPONSABLE]:[SOFTWARE 
VALOR HORA]],3,FALSE),"0")</f>
        <v>20263.424518743668</v>
      </c>
      <c r="P981" s="3">
        <f t="shared" si="36"/>
        <v>40526.849037487336</v>
      </c>
      <c r="Q981" s="11">
        <f>IFERROR(+VLOOKUP(M981,D.sign_Lista_Data[[RESPONSABLE]:[SOFTWARE 
VALOR HORA]],5,FALSE)*D.sign_Data[[#This Row],[TIEMPO (HORAS)]],0)</f>
        <v>8443.0935494765272</v>
      </c>
      <c r="R981" s="11">
        <f>IFERROR(+VLOOKUP(M981,D.sign_Lista_Data[[RESPONSABLE]:[SOFTWARE 
VALOR HORA]],8,FALSE)*D.sign_Data[[#This Row],[TIEMPO (HORAS)]],0)</f>
        <v>6821.7097742879669</v>
      </c>
      <c r="S981" s="99"/>
      <c r="T981" s="99"/>
      <c r="U981" s="3">
        <f t="shared" si="37"/>
        <v>55791.652361251836</v>
      </c>
      <c r="V981" s="100">
        <f>D.sign_Data[[#This Row],[TIEMPO (HORAS)]]*Gastos_Operativos[[#Totals],[GASTOS HORA]]</f>
        <v>55578.954144620802</v>
      </c>
      <c r="W981" s="3">
        <f>+D.sign_Data[[#This Row],[COSTO 
DIRECTO ($COP)]]+D.sign_Data[[#This Row],[PRORRATEO GASTOS ($COP)]]</f>
        <v>111370.60650587264</v>
      </c>
      <c r="X981" s="101">
        <v>0.05</v>
      </c>
      <c r="Y981" s="15">
        <f>+D.sign_Data[[#This Row],[COSTOS OPERACIONALES ($COP)]]*D.sign_Data[[#This Row],[DESFASE (%)]]</f>
        <v>5568.5303252936319</v>
      </c>
      <c r="Z981" s="101">
        <v>0.3</v>
      </c>
      <c r="AA981" s="15">
        <f>+((D.sign_Data[[#This Row],[COSTOS OPERACIONALES ($COP)]]/(100%-D.sign_Data[[#This Row],[UTILIDAD (%)]])))-D.sign_Data[[#This Row],[COSTOS OPERACIONALES ($COP)]]</f>
        <v>47730.259931088294</v>
      </c>
      <c r="AB981" s="3">
        <f>+D.sign_Data[[#This Row],[COSTOS OPERACIONALES ($COP)]]+D.sign_Data[[#This Row],[DESFASE ($COP)]]+D.sign_Data[[#This Row],[UTILIDAD ($COP)]]</f>
        <v>164669.39676225456</v>
      </c>
      <c r="AC981" s="101">
        <v>0.05</v>
      </c>
      <c r="AD981" s="15">
        <f>+D.sign_Data[[#This Row],[VALOR NETO ($COP)]]/(100%-D.sign_Data[[#This Row],[MARGEN DE NEGOCIACIÓN (%)]])-D.sign_Data[[#This Row],[VALOR NETO ($COP)]]</f>
        <v>8666.8103559081501</v>
      </c>
      <c r="AE981" s="15">
        <f>+(D.sign_Data[[#This Row],[VALOR NETO ($COP)]]+D.sign_Data[[#This Row],[NEGOCIACIÓN ($COP)]])*1%</f>
        <v>1733.3620711816272</v>
      </c>
      <c r="AF981" s="15">
        <f>+(D.sign_Data[[#This Row],[VALOR NETO ($COP)]]+D.sign_Data[[#This Row],[NEGOCIACIÓN ($COP)]])*1%</f>
        <v>1733.3620711816272</v>
      </c>
      <c r="AG981" s="3">
        <f>+D.sign_Data[[#This Row],[VALOR NETO ($COP)]]+D.sign_Data[[#This Row],[NEGOCIACIÓN ($COP)]]+D.sign_Data[[#This Row],[ICA ($COP)]]+D.sign_Data[[#This Row],[4 * 1000 ($COP)]]</f>
        <v>176802.93126052595</v>
      </c>
    </row>
    <row r="982" spans="1:33" ht="60" hidden="1" customHeight="1" x14ac:dyDescent="0.25">
      <c r="A982" s="14"/>
      <c r="B982" s="87" t="s">
        <v>442</v>
      </c>
      <c r="C982" s="182" t="s">
        <v>951</v>
      </c>
      <c r="D982" s="189" t="str">
        <f>VLOOKUP(D.sign_Data[[#This Row],[CÓDIGO]],Descripciones[[CÓDIGO]:[NOMBRE DE SERVICIO]],3,FALSE)</f>
        <v>D3. Vivienda Campestre</v>
      </c>
      <c r="E982" s="87" t="s">
        <v>497</v>
      </c>
      <c r="F982" s="88" t="s">
        <v>952</v>
      </c>
      <c r="G982" s="88" t="s">
        <v>953</v>
      </c>
      <c r="H982" s="87" t="s">
        <v>448</v>
      </c>
      <c r="I982" s="89">
        <v>1</v>
      </c>
      <c r="J982" s="88" t="s">
        <v>955</v>
      </c>
      <c r="K982" s="102"/>
      <c r="L982" s="88" t="s">
        <v>473</v>
      </c>
      <c r="M982" s="89" t="s">
        <v>381</v>
      </c>
      <c r="N982" s="90">
        <v>0.25</v>
      </c>
      <c r="O982" s="27">
        <f>IFERROR(+VLOOKUP(M982,D.sign_Lista_Data[[RESPONSABLE]:[SOFTWARE 
VALOR HORA]],3,FALSE),"0")</f>
        <v>20263.424518743668</v>
      </c>
      <c r="P982" s="3">
        <f t="shared" si="36"/>
        <v>5065.856129685917</v>
      </c>
      <c r="Q982" s="11">
        <f>IFERROR(+VLOOKUP(M982,D.sign_Lista_Data[[RESPONSABLE]:[SOFTWARE 
VALOR HORA]],5,FALSE)*D.sign_Data[[#This Row],[TIEMPO (HORAS)]],0)</f>
        <v>1055.3866936845659</v>
      </c>
      <c r="R982" s="11">
        <f>IFERROR(+VLOOKUP(M982,D.sign_Lista_Data[[RESPONSABLE]:[SOFTWARE 
VALOR HORA]],8,FALSE)*D.sign_Data[[#This Row],[TIEMPO (HORAS)]],0)</f>
        <v>852.71372178599586</v>
      </c>
      <c r="S982" s="99"/>
      <c r="T982" s="99"/>
      <c r="U982" s="3">
        <f t="shared" si="37"/>
        <v>6973.9565451564795</v>
      </c>
      <c r="V982" s="100">
        <f>D.sign_Data[[#This Row],[TIEMPO (HORAS)]]*Gastos_Operativos[[#Totals],[GASTOS HORA]]</f>
        <v>6947.3692680776003</v>
      </c>
      <c r="W982" s="3">
        <f>+D.sign_Data[[#This Row],[COSTO 
DIRECTO ($COP)]]+D.sign_Data[[#This Row],[PRORRATEO GASTOS ($COP)]]</f>
        <v>13921.32581323408</v>
      </c>
      <c r="X982" s="101">
        <v>0.05</v>
      </c>
      <c r="Y982" s="15">
        <f>+D.sign_Data[[#This Row],[COSTOS OPERACIONALES ($COP)]]*D.sign_Data[[#This Row],[DESFASE (%)]]</f>
        <v>696.06629066170399</v>
      </c>
      <c r="Z982" s="101">
        <v>0.3</v>
      </c>
      <c r="AA982" s="15">
        <f>+((D.sign_Data[[#This Row],[COSTOS OPERACIONALES ($COP)]]/(100%-D.sign_Data[[#This Row],[UTILIDAD (%)]])))-D.sign_Data[[#This Row],[COSTOS OPERACIONALES ($COP)]]</f>
        <v>5966.2824913860368</v>
      </c>
      <c r="AB982" s="3">
        <f>+D.sign_Data[[#This Row],[COSTOS OPERACIONALES ($COP)]]+D.sign_Data[[#This Row],[DESFASE ($COP)]]+D.sign_Data[[#This Row],[UTILIDAD ($COP)]]</f>
        <v>20583.67459528182</v>
      </c>
      <c r="AC982" s="101">
        <v>0.05</v>
      </c>
      <c r="AD982" s="15">
        <f>+D.sign_Data[[#This Row],[VALOR NETO ($COP)]]/(100%-D.sign_Data[[#This Row],[MARGEN DE NEGOCIACIÓN (%)]])-D.sign_Data[[#This Row],[VALOR NETO ($COP)]]</f>
        <v>1083.3512944885188</v>
      </c>
      <c r="AE982" s="15">
        <f>+(D.sign_Data[[#This Row],[VALOR NETO ($COP)]]+D.sign_Data[[#This Row],[NEGOCIACIÓN ($COP)]])*1%</f>
        <v>216.67025889770341</v>
      </c>
      <c r="AF982" s="15">
        <f>+(D.sign_Data[[#This Row],[VALOR NETO ($COP)]]+D.sign_Data[[#This Row],[NEGOCIACIÓN ($COP)]])*1%</f>
        <v>216.67025889770341</v>
      </c>
      <c r="AG982" s="3">
        <f>+D.sign_Data[[#This Row],[VALOR NETO ($COP)]]+D.sign_Data[[#This Row],[NEGOCIACIÓN ($COP)]]+D.sign_Data[[#This Row],[ICA ($COP)]]+D.sign_Data[[#This Row],[4 * 1000 ($COP)]]</f>
        <v>22100.366407565743</v>
      </c>
    </row>
    <row r="983" spans="1:33" ht="60" hidden="1" customHeight="1" x14ac:dyDescent="0.25">
      <c r="A983" s="14"/>
      <c r="B983" s="87" t="s">
        <v>442</v>
      </c>
      <c r="C983" s="182" t="s">
        <v>951</v>
      </c>
      <c r="D983" s="189" t="str">
        <f>VLOOKUP(D.sign_Data[[#This Row],[CÓDIGO]],Descripciones[[CÓDIGO]:[NOMBRE DE SERVICIO]],3,FALSE)</f>
        <v>D3. Vivienda Campestre</v>
      </c>
      <c r="E983" s="87" t="s">
        <v>497</v>
      </c>
      <c r="F983" s="88" t="s">
        <v>952</v>
      </c>
      <c r="G983" s="88" t="s">
        <v>953</v>
      </c>
      <c r="H983" s="87" t="s">
        <v>500</v>
      </c>
      <c r="I983" s="89">
        <v>1</v>
      </c>
      <c r="J983" s="88" t="s">
        <v>955</v>
      </c>
      <c r="K983" s="102"/>
      <c r="L983" s="88" t="s">
        <v>478</v>
      </c>
      <c r="M983" s="89" t="s">
        <v>381</v>
      </c>
      <c r="N983" s="90">
        <v>0.5</v>
      </c>
      <c r="O983" s="27">
        <f>IFERROR(+VLOOKUP(M983,D.sign_Lista_Data[[RESPONSABLE]:[SOFTWARE 
VALOR HORA]],3,FALSE),"0")</f>
        <v>20263.424518743668</v>
      </c>
      <c r="P983" s="3">
        <f t="shared" si="36"/>
        <v>10131.712259371834</v>
      </c>
      <c r="Q983" s="11">
        <f>IFERROR(+VLOOKUP(M983,D.sign_Lista_Data[[RESPONSABLE]:[SOFTWARE 
VALOR HORA]],5,FALSE)*D.sign_Data[[#This Row],[TIEMPO (HORAS)]],0)</f>
        <v>2110.7733873691318</v>
      </c>
      <c r="R983" s="11">
        <f>IFERROR(+VLOOKUP(M983,D.sign_Lista_Data[[RESPONSABLE]:[SOFTWARE 
VALOR HORA]],8,FALSE)*D.sign_Data[[#This Row],[TIEMPO (HORAS)]],0)</f>
        <v>1705.4274435719917</v>
      </c>
      <c r="S983" s="99"/>
      <c r="T983" s="99"/>
      <c r="U983" s="3">
        <f t="shared" si="37"/>
        <v>13947.913090312959</v>
      </c>
      <c r="V983" s="100">
        <f>D.sign_Data[[#This Row],[TIEMPO (HORAS)]]*Gastos_Operativos[[#Totals],[GASTOS HORA]]</f>
        <v>13894.738536155201</v>
      </c>
      <c r="W983" s="3">
        <f>+D.sign_Data[[#This Row],[COSTO 
DIRECTO ($COP)]]+D.sign_Data[[#This Row],[PRORRATEO GASTOS ($COP)]]</f>
        <v>27842.65162646816</v>
      </c>
      <c r="X983" s="101">
        <v>0.05</v>
      </c>
      <c r="Y983" s="15">
        <f>+D.sign_Data[[#This Row],[COSTOS OPERACIONALES ($COP)]]*D.sign_Data[[#This Row],[DESFASE (%)]]</f>
        <v>1392.132581323408</v>
      </c>
      <c r="Z983" s="101">
        <v>0.3</v>
      </c>
      <c r="AA983" s="15">
        <f>+((D.sign_Data[[#This Row],[COSTOS OPERACIONALES ($COP)]]/(100%-D.sign_Data[[#This Row],[UTILIDAD (%)]])))-D.sign_Data[[#This Row],[COSTOS OPERACIONALES ($COP)]]</f>
        <v>11932.564982772074</v>
      </c>
      <c r="AB983" s="3">
        <f>+D.sign_Data[[#This Row],[COSTOS OPERACIONALES ($COP)]]+D.sign_Data[[#This Row],[DESFASE ($COP)]]+D.sign_Data[[#This Row],[UTILIDAD ($COP)]]</f>
        <v>41167.34919056364</v>
      </c>
      <c r="AC983" s="101">
        <v>0.05</v>
      </c>
      <c r="AD983" s="15">
        <f>+D.sign_Data[[#This Row],[VALOR NETO ($COP)]]/(100%-D.sign_Data[[#This Row],[MARGEN DE NEGOCIACIÓN (%)]])-D.sign_Data[[#This Row],[VALOR NETO ($COP)]]</f>
        <v>2166.7025889770375</v>
      </c>
      <c r="AE983" s="15">
        <f>+(D.sign_Data[[#This Row],[VALOR NETO ($COP)]]+D.sign_Data[[#This Row],[NEGOCIACIÓN ($COP)]])*1%</f>
        <v>433.34051779540681</v>
      </c>
      <c r="AF983" s="15">
        <f>+(D.sign_Data[[#This Row],[VALOR NETO ($COP)]]+D.sign_Data[[#This Row],[NEGOCIACIÓN ($COP)]])*1%</f>
        <v>433.34051779540681</v>
      </c>
      <c r="AG983" s="3">
        <f>+D.sign_Data[[#This Row],[VALOR NETO ($COP)]]+D.sign_Data[[#This Row],[NEGOCIACIÓN ($COP)]]+D.sign_Data[[#This Row],[ICA ($COP)]]+D.sign_Data[[#This Row],[4 * 1000 ($COP)]]</f>
        <v>44200.732815131487</v>
      </c>
    </row>
    <row r="984" spans="1:33" ht="60" hidden="1" customHeight="1" x14ac:dyDescent="0.25">
      <c r="A984" s="14"/>
      <c r="B984" s="87" t="s">
        <v>442</v>
      </c>
      <c r="C984" s="182" t="s">
        <v>951</v>
      </c>
      <c r="D984" s="189" t="str">
        <f>VLOOKUP(D.sign_Data[[#This Row],[CÓDIGO]],Descripciones[[CÓDIGO]:[NOMBRE DE SERVICIO]],3,FALSE)</f>
        <v>D3. Vivienda Campestre</v>
      </c>
      <c r="E984" s="87" t="s">
        <v>497</v>
      </c>
      <c r="F984" s="88" t="s">
        <v>952</v>
      </c>
      <c r="G984" s="88" t="s">
        <v>953</v>
      </c>
      <c r="H984" s="87" t="s">
        <v>448</v>
      </c>
      <c r="I984" s="89">
        <v>1</v>
      </c>
      <c r="J984" s="88" t="s">
        <v>955</v>
      </c>
      <c r="K984" s="102"/>
      <c r="L984" s="88" t="s">
        <v>474</v>
      </c>
      <c r="M984" s="89" t="s">
        <v>381</v>
      </c>
      <c r="N984" s="90">
        <v>0.25</v>
      </c>
      <c r="O984" s="27">
        <f>IFERROR(+VLOOKUP(M984,D.sign_Lista_Data[[RESPONSABLE]:[SOFTWARE 
VALOR HORA]],3,FALSE),"0")</f>
        <v>20263.424518743668</v>
      </c>
      <c r="P984" s="3">
        <f t="shared" si="36"/>
        <v>5065.856129685917</v>
      </c>
      <c r="Q984" s="11">
        <f>IFERROR(+VLOOKUP(M984,D.sign_Lista_Data[[RESPONSABLE]:[SOFTWARE 
VALOR HORA]],5,FALSE)*D.sign_Data[[#This Row],[TIEMPO (HORAS)]],0)</f>
        <v>1055.3866936845659</v>
      </c>
      <c r="R984" s="11">
        <f>IFERROR(+VLOOKUP(M984,D.sign_Lista_Data[[RESPONSABLE]:[SOFTWARE 
VALOR HORA]],8,FALSE)*D.sign_Data[[#This Row],[TIEMPO (HORAS)]],0)</f>
        <v>852.71372178599586</v>
      </c>
      <c r="S984" s="99"/>
      <c r="T984" s="99"/>
      <c r="U984" s="3">
        <f t="shared" si="37"/>
        <v>6973.9565451564795</v>
      </c>
      <c r="V984" s="100">
        <f>D.sign_Data[[#This Row],[TIEMPO (HORAS)]]*Gastos_Operativos[[#Totals],[GASTOS HORA]]</f>
        <v>6947.3692680776003</v>
      </c>
      <c r="W984" s="3">
        <f>+D.sign_Data[[#This Row],[COSTO 
DIRECTO ($COP)]]+D.sign_Data[[#This Row],[PRORRATEO GASTOS ($COP)]]</f>
        <v>13921.32581323408</v>
      </c>
      <c r="X984" s="101">
        <v>0.05</v>
      </c>
      <c r="Y984" s="15">
        <f>+D.sign_Data[[#This Row],[COSTOS OPERACIONALES ($COP)]]*D.sign_Data[[#This Row],[DESFASE (%)]]</f>
        <v>696.06629066170399</v>
      </c>
      <c r="Z984" s="101">
        <v>0.3</v>
      </c>
      <c r="AA984" s="15">
        <f>+((D.sign_Data[[#This Row],[COSTOS OPERACIONALES ($COP)]]/(100%-D.sign_Data[[#This Row],[UTILIDAD (%)]])))-D.sign_Data[[#This Row],[COSTOS OPERACIONALES ($COP)]]</f>
        <v>5966.2824913860368</v>
      </c>
      <c r="AB984" s="3">
        <f>+D.sign_Data[[#This Row],[COSTOS OPERACIONALES ($COP)]]+D.sign_Data[[#This Row],[DESFASE ($COP)]]+D.sign_Data[[#This Row],[UTILIDAD ($COP)]]</f>
        <v>20583.67459528182</v>
      </c>
      <c r="AC984" s="101">
        <v>0.05</v>
      </c>
      <c r="AD984" s="15">
        <f>+D.sign_Data[[#This Row],[VALOR NETO ($COP)]]/(100%-D.sign_Data[[#This Row],[MARGEN DE NEGOCIACIÓN (%)]])-D.sign_Data[[#This Row],[VALOR NETO ($COP)]]</f>
        <v>1083.3512944885188</v>
      </c>
      <c r="AE984" s="15">
        <f>+(D.sign_Data[[#This Row],[VALOR NETO ($COP)]]+D.sign_Data[[#This Row],[NEGOCIACIÓN ($COP)]])*1%</f>
        <v>216.67025889770341</v>
      </c>
      <c r="AF984" s="15">
        <f>+(D.sign_Data[[#This Row],[VALOR NETO ($COP)]]+D.sign_Data[[#This Row],[NEGOCIACIÓN ($COP)]])*1%</f>
        <v>216.67025889770341</v>
      </c>
      <c r="AG984" s="3">
        <f>+D.sign_Data[[#This Row],[VALOR NETO ($COP)]]+D.sign_Data[[#This Row],[NEGOCIACIÓN ($COP)]]+D.sign_Data[[#This Row],[ICA ($COP)]]+D.sign_Data[[#This Row],[4 * 1000 ($COP)]]</f>
        <v>22100.366407565743</v>
      </c>
    </row>
    <row r="985" spans="1:33" ht="60" hidden="1" customHeight="1" x14ac:dyDescent="0.25">
      <c r="A985" s="14"/>
      <c r="B985" s="87" t="s">
        <v>442</v>
      </c>
      <c r="C985" s="182" t="s">
        <v>951</v>
      </c>
      <c r="D985" s="189" t="str">
        <f>VLOOKUP(D.sign_Data[[#This Row],[CÓDIGO]],Descripciones[[CÓDIGO]:[NOMBRE DE SERVICIO]],3,FALSE)</f>
        <v>D3. Vivienda Campestre</v>
      </c>
      <c r="E985" s="87" t="s">
        <v>497</v>
      </c>
      <c r="F985" s="88" t="s">
        <v>952</v>
      </c>
      <c r="G985" s="88" t="s">
        <v>953</v>
      </c>
      <c r="H985" s="87" t="s">
        <v>448</v>
      </c>
      <c r="I985" s="89">
        <v>1</v>
      </c>
      <c r="J985" s="88" t="s">
        <v>956</v>
      </c>
      <c r="K985" s="102"/>
      <c r="L985" s="88" t="s">
        <v>476</v>
      </c>
      <c r="M985" s="89" t="s">
        <v>381</v>
      </c>
      <c r="N985" s="90">
        <v>0.25</v>
      </c>
      <c r="O985" s="27">
        <f>IFERROR(+VLOOKUP(M985,D.sign_Lista_Data[[RESPONSABLE]:[SOFTWARE 
VALOR HORA]],3,FALSE),"0")</f>
        <v>20263.424518743668</v>
      </c>
      <c r="P985" s="3">
        <f t="shared" si="36"/>
        <v>5065.856129685917</v>
      </c>
      <c r="Q985" s="11">
        <f>IFERROR(+VLOOKUP(M985,D.sign_Lista_Data[[RESPONSABLE]:[SOFTWARE 
VALOR HORA]],5,FALSE)*D.sign_Data[[#This Row],[TIEMPO (HORAS)]],0)</f>
        <v>1055.3866936845659</v>
      </c>
      <c r="R985" s="11">
        <f>IFERROR(+VLOOKUP(M985,D.sign_Lista_Data[[RESPONSABLE]:[SOFTWARE 
VALOR HORA]],8,FALSE)*D.sign_Data[[#This Row],[TIEMPO (HORAS)]],0)</f>
        <v>852.71372178599586</v>
      </c>
      <c r="S985" s="99"/>
      <c r="T985" s="99"/>
      <c r="U985" s="3">
        <f t="shared" si="37"/>
        <v>6973.9565451564795</v>
      </c>
      <c r="V985" s="100">
        <f>D.sign_Data[[#This Row],[TIEMPO (HORAS)]]*Gastos_Operativos[[#Totals],[GASTOS HORA]]</f>
        <v>6947.3692680776003</v>
      </c>
      <c r="W985" s="3">
        <f>+D.sign_Data[[#This Row],[COSTO 
DIRECTO ($COP)]]+D.sign_Data[[#This Row],[PRORRATEO GASTOS ($COP)]]</f>
        <v>13921.32581323408</v>
      </c>
      <c r="X985" s="101">
        <v>0.05</v>
      </c>
      <c r="Y985" s="15">
        <f>+D.sign_Data[[#This Row],[COSTOS OPERACIONALES ($COP)]]*D.sign_Data[[#This Row],[DESFASE (%)]]</f>
        <v>696.06629066170399</v>
      </c>
      <c r="Z985" s="101">
        <v>0.3</v>
      </c>
      <c r="AA985" s="15">
        <f>+((D.sign_Data[[#This Row],[COSTOS OPERACIONALES ($COP)]]/(100%-D.sign_Data[[#This Row],[UTILIDAD (%)]])))-D.sign_Data[[#This Row],[COSTOS OPERACIONALES ($COP)]]</f>
        <v>5966.2824913860368</v>
      </c>
      <c r="AB985" s="3">
        <f>+D.sign_Data[[#This Row],[COSTOS OPERACIONALES ($COP)]]+D.sign_Data[[#This Row],[DESFASE ($COP)]]+D.sign_Data[[#This Row],[UTILIDAD ($COP)]]</f>
        <v>20583.67459528182</v>
      </c>
      <c r="AC985" s="101">
        <v>0.05</v>
      </c>
      <c r="AD985" s="15">
        <f>+D.sign_Data[[#This Row],[VALOR NETO ($COP)]]/(100%-D.sign_Data[[#This Row],[MARGEN DE NEGOCIACIÓN (%)]])-D.sign_Data[[#This Row],[VALOR NETO ($COP)]]</f>
        <v>1083.3512944885188</v>
      </c>
      <c r="AE985" s="15">
        <f>+(D.sign_Data[[#This Row],[VALOR NETO ($COP)]]+D.sign_Data[[#This Row],[NEGOCIACIÓN ($COP)]])*1%</f>
        <v>216.67025889770341</v>
      </c>
      <c r="AF985" s="15">
        <f>+(D.sign_Data[[#This Row],[VALOR NETO ($COP)]]+D.sign_Data[[#This Row],[NEGOCIACIÓN ($COP)]])*1%</f>
        <v>216.67025889770341</v>
      </c>
      <c r="AG985" s="3">
        <f>+D.sign_Data[[#This Row],[VALOR NETO ($COP)]]+D.sign_Data[[#This Row],[NEGOCIACIÓN ($COP)]]+D.sign_Data[[#This Row],[ICA ($COP)]]+D.sign_Data[[#This Row],[4 * 1000 ($COP)]]</f>
        <v>22100.366407565743</v>
      </c>
    </row>
    <row r="986" spans="1:33" ht="60" hidden="1" customHeight="1" x14ac:dyDescent="0.25">
      <c r="A986" s="14"/>
      <c r="B986" s="87" t="s">
        <v>442</v>
      </c>
      <c r="C986" s="182" t="s">
        <v>951</v>
      </c>
      <c r="D986" s="189" t="str">
        <f>VLOOKUP(D.sign_Data[[#This Row],[CÓDIGO]],Descripciones[[CÓDIGO]:[NOMBRE DE SERVICIO]],3,FALSE)</f>
        <v>D3. Vivienda Campestre</v>
      </c>
      <c r="E986" s="87" t="s">
        <v>497</v>
      </c>
      <c r="F986" s="88" t="s">
        <v>952</v>
      </c>
      <c r="G986" s="88" t="s">
        <v>953</v>
      </c>
      <c r="H986" s="87" t="s">
        <v>448</v>
      </c>
      <c r="I986" s="89">
        <v>1</v>
      </c>
      <c r="J986" s="88" t="s">
        <v>956</v>
      </c>
      <c r="K986" s="102"/>
      <c r="L986" s="88" t="s">
        <v>471</v>
      </c>
      <c r="M986" s="89" t="s">
        <v>381</v>
      </c>
      <c r="N986" s="90">
        <v>1</v>
      </c>
      <c r="O986" s="27">
        <f>IFERROR(+VLOOKUP(M986,D.sign_Lista_Data[[RESPONSABLE]:[SOFTWARE 
VALOR HORA]],3,FALSE),"0")</f>
        <v>20263.424518743668</v>
      </c>
      <c r="P986" s="3">
        <f t="shared" si="36"/>
        <v>20263.424518743668</v>
      </c>
      <c r="Q986" s="11">
        <f>IFERROR(+VLOOKUP(M986,D.sign_Lista_Data[[RESPONSABLE]:[SOFTWARE 
VALOR HORA]],5,FALSE)*D.sign_Data[[#This Row],[TIEMPO (HORAS)]],0)</f>
        <v>4221.5467747382636</v>
      </c>
      <c r="R986" s="11">
        <f>IFERROR(+VLOOKUP(M986,D.sign_Lista_Data[[RESPONSABLE]:[SOFTWARE 
VALOR HORA]],8,FALSE)*D.sign_Data[[#This Row],[TIEMPO (HORAS)]],0)</f>
        <v>3410.8548871439834</v>
      </c>
      <c r="S986" s="99"/>
      <c r="T986" s="99"/>
      <c r="U986" s="3">
        <f t="shared" si="37"/>
        <v>27895.826180625918</v>
      </c>
      <c r="V986" s="100">
        <f>D.sign_Data[[#This Row],[TIEMPO (HORAS)]]*Gastos_Operativos[[#Totals],[GASTOS HORA]]</f>
        <v>27789.477072310401</v>
      </c>
      <c r="W986" s="3">
        <f>+D.sign_Data[[#This Row],[COSTO 
DIRECTO ($COP)]]+D.sign_Data[[#This Row],[PRORRATEO GASTOS ($COP)]]</f>
        <v>55685.303252936319</v>
      </c>
      <c r="X986" s="101">
        <v>0.05</v>
      </c>
      <c r="Y986" s="15">
        <f>+D.sign_Data[[#This Row],[COSTOS OPERACIONALES ($COP)]]*D.sign_Data[[#This Row],[DESFASE (%)]]</f>
        <v>2784.265162646816</v>
      </c>
      <c r="Z986" s="101">
        <v>0.3</v>
      </c>
      <c r="AA986" s="15">
        <f>+((D.sign_Data[[#This Row],[COSTOS OPERACIONALES ($COP)]]/(100%-D.sign_Data[[#This Row],[UTILIDAD (%)]])))-D.sign_Data[[#This Row],[COSTOS OPERACIONALES ($COP)]]</f>
        <v>23865.129965544147</v>
      </c>
      <c r="AB986" s="3">
        <f>+D.sign_Data[[#This Row],[COSTOS OPERACIONALES ($COP)]]+D.sign_Data[[#This Row],[DESFASE ($COP)]]+D.sign_Data[[#This Row],[UTILIDAD ($COP)]]</f>
        <v>82334.69838112728</v>
      </c>
      <c r="AC986" s="101">
        <v>0.05</v>
      </c>
      <c r="AD986" s="15">
        <f>+D.sign_Data[[#This Row],[VALOR NETO ($COP)]]/(100%-D.sign_Data[[#This Row],[MARGEN DE NEGOCIACIÓN (%)]])-D.sign_Data[[#This Row],[VALOR NETO ($COP)]]</f>
        <v>4333.405177954075</v>
      </c>
      <c r="AE986" s="15">
        <f>+(D.sign_Data[[#This Row],[VALOR NETO ($COP)]]+D.sign_Data[[#This Row],[NEGOCIACIÓN ($COP)]])*1%</f>
        <v>866.68103559081362</v>
      </c>
      <c r="AF986" s="15">
        <f>+(D.sign_Data[[#This Row],[VALOR NETO ($COP)]]+D.sign_Data[[#This Row],[NEGOCIACIÓN ($COP)]])*1%</f>
        <v>866.68103559081362</v>
      </c>
      <c r="AG986" s="3">
        <f>+D.sign_Data[[#This Row],[VALOR NETO ($COP)]]+D.sign_Data[[#This Row],[NEGOCIACIÓN ($COP)]]+D.sign_Data[[#This Row],[ICA ($COP)]]+D.sign_Data[[#This Row],[4 * 1000 ($COP)]]</f>
        <v>88401.465630262974</v>
      </c>
    </row>
    <row r="987" spans="1:33" ht="60" hidden="1" customHeight="1" x14ac:dyDescent="0.25">
      <c r="A987" s="14"/>
      <c r="B987" s="87" t="s">
        <v>442</v>
      </c>
      <c r="C987" s="182" t="s">
        <v>951</v>
      </c>
      <c r="D987" s="189" t="str">
        <f>VLOOKUP(D.sign_Data[[#This Row],[CÓDIGO]],Descripciones[[CÓDIGO]:[NOMBRE DE SERVICIO]],3,FALSE)</f>
        <v>D3. Vivienda Campestre</v>
      </c>
      <c r="E987" s="87" t="s">
        <v>497</v>
      </c>
      <c r="F987" s="88" t="s">
        <v>952</v>
      </c>
      <c r="G987" s="88" t="s">
        <v>953</v>
      </c>
      <c r="H987" s="87" t="s">
        <v>448</v>
      </c>
      <c r="I987" s="89">
        <v>1</v>
      </c>
      <c r="J987" s="88" t="s">
        <v>956</v>
      </c>
      <c r="K987" s="102"/>
      <c r="L987" s="88" t="s">
        <v>480</v>
      </c>
      <c r="M987" s="89" t="s">
        <v>381</v>
      </c>
      <c r="N987" s="90">
        <v>0.5</v>
      </c>
      <c r="O987" s="27">
        <f>IFERROR(+VLOOKUP(M987,D.sign_Lista_Data[[RESPONSABLE]:[SOFTWARE 
VALOR HORA]],3,FALSE),"0")</f>
        <v>20263.424518743668</v>
      </c>
      <c r="P987" s="3">
        <f t="shared" si="36"/>
        <v>10131.712259371834</v>
      </c>
      <c r="Q987" s="11">
        <f>IFERROR(+VLOOKUP(M987,D.sign_Lista_Data[[RESPONSABLE]:[SOFTWARE 
VALOR HORA]],5,FALSE)*D.sign_Data[[#This Row],[TIEMPO (HORAS)]],0)</f>
        <v>2110.7733873691318</v>
      </c>
      <c r="R987" s="11">
        <f>IFERROR(+VLOOKUP(M987,D.sign_Lista_Data[[RESPONSABLE]:[SOFTWARE 
VALOR HORA]],8,FALSE)*D.sign_Data[[#This Row],[TIEMPO (HORAS)]],0)</f>
        <v>1705.4274435719917</v>
      </c>
      <c r="S987" s="99"/>
      <c r="T987" s="99"/>
      <c r="U987" s="3">
        <f t="shared" si="37"/>
        <v>13947.913090312959</v>
      </c>
      <c r="V987" s="100">
        <f>D.sign_Data[[#This Row],[TIEMPO (HORAS)]]*Gastos_Operativos[[#Totals],[GASTOS HORA]]</f>
        <v>13894.738536155201</v>
      </c>
      <c r="W987" s="3">
        <f>+D.sign_Data[[#This Row],[COSTO 
DIRECTO ($COP)]]+D.sign_Data[[#This Row],[PRORRATEO GASTOS ($COP)]]</f>
        <v>27842.65162646816</v>
      </c>
      <c r="X987" s="101">
        <v>0.05</v>
      </c>
      <c r="Y987" s="15">
        <f>+D.sign_Data[[#This Row],[COSTOS OPERACIONALES ($COP)]]*D.sign_Data[[#This Row],[DESFASE (%)]]</f>
        <v>1392.132581323408</v>
      </c>
      <c r="Z987" s="101">
        <v>0.3</v>
      </c>
      <c r="AA987" s="15">
        <f>+((D.sign_Data[[#This Row],[COSTOS OPERACIONALES ($COP)]]/(100%-D.sign_Data[[#This Row],[UTILIDAD (%)]])))-D.sign_Data[[#This Row],[COSTOS OPERACIONALES ($COP)]]</f>
        <v>11932.564982772074</v>
      </c>
      <c r="AB987" s="3">
        <f>+D.sign_Data[[#This Row],[COSTOS OPERACIONALES ($COP)]]+D.sign_Data[[#This Row],[DESFASE ($COP)]]+D.sign_Data[[#This Row],[UTILIDAD ($COP)]]</f>
        <v>41167.34919056364</v>
      </c>
      <c r="AC987" s="101">
        <v>0.05</v>
      </c>
      <c r="AD987" s="15">
        <f>+D.sign_Data[[#This Row],[VALOR NETO ($COP)]]/(100%-D.sign_Data[[#This Row],[MARGEN DE NEGOCIACIÓN (%)]])-D.sign_Data[[#This Row],[VALOR NETO ($COP)]]</f>
        <v>2166.7025889770375</v>
      </c>
      <c r="AE987" s="15">
        <f>+(D.sign_Data[[#This Row],[VALOR NETO ($COP)]]+D.sign_Data[[#This Row],[NEGOCIACIÓN ($COP)]])*1%</f>
        <v>433.34051779540681</v>
      </c>
      <c r="AF987" s="15">
        <f>+(D.sign_Data[[#This Row],[VALOR NETO ($COP)]]+D.sign_Data[[#This Row],[NEGOCIACIÓN ($COP)]])*1%</f>
        <v>433.34051779540681</v>
      </c>
      <c r="AG987" s="3">
        <f>+D.sign_Data[[#This Row],[VALOR NETO ($COP)]]+D.sign_Data[[#This Row],[NEGOCIACIÓN ($COP)]]+D.sign_Data[[#This Row],[ICA ($COP)]]+D.sign_Data[[#This Row],[4 * 1000 ($COP)]]</f>
        <v>44200.732815131487</v>
      </c>
    </row>
    <row r="988" spans="1:33" ht="60" hidden="1" customHeight="1" x14ac:dyDescent="0.25">
      <c r="A988" s="14"/>
      <c r="B988" s="87" t="s">
        <v>442</v>
      </c>
      <c r="C988" s="182" t="s">
        <v>951</v>
      </c>
      <c r="D988" s="189" t="str">
        <f>VLOOKUP(D.sign_Data[[#This Row],[CÓDIGO]],Descripciones[[CÓDIGO]:[NOMBRE DE SERVICIO]],3,FALSE)</f>
        <v>D3. Vivienda Campestre</v>
      </c>
      <c r="E988" s="87" t="s">
        <v>497</v>
      </c>
      <c r="F988" s="88" t="s">
        <v>952</v>
      </c>
      <c r="G988" s="88" t="s">
        <v>953</v>
      </c>
      <c r="H988" s="87" t="s">
        <v>448</v>
      </c>
      <c r="I988" s="89">
        <v>1</v>
      </c>
      <c r="J988" s="88" t="s">
        <v>956</v>
      </c>
      <c r="K988" s="102"/>
      <c r="L988" s="88" t="s">
        <v>481</v>
      </c>
      <c r="M988" s="89" t="s">
        <v>381</v>
      </c>
      <c r="N988" s="90">
        <v>0.5</v>
      </c>
      <c r="O988" s="27">
        <f>IFERROR(+VLOOKUP(M988,D.sign_Lista_Data[[RESPONSABLE]:[SOFTWARE 
VALOR HORA]],3,FALSE),"0")</f>
        <v>20263.424518743668</v>
      </c>
      <c r="P988" s="3">
        <f t="shared" si="36"/>
        <v>10131.712259371834</v>
      </c>
      <c r="Q988" s="11">
        <f>IFERROR(+VLOOKUP(M988,D.sign_Lista_Data[[RESPONSABLE]:[SOFTWARE 
VALOR HORA]],5,FALSE)*D.sign_Data[[#This Row],[TIEMPO (HORAS)]],0)</f>
        <v>2110.7733873691318</v>
      </c>
      <c r="R988" s="11">
        <f>IFERROR(+VLOOKUP(M988,D.sign_Lista_Data[[RESPONSABLE]:[SOFTWARE 
VALOR HORA]],8,FALSE)*D.sign_Data[[#This Row],[TIEMPO (HORAS)]],0)</f>
        <v>1705.4274435719917</v>
      </c>
      <c r="S988" s="99"/>
      <c r="T988" s="99"/>
      <c r="U988" s="3">
        <f t="shared" si="37"/>
        <v>13947.913090312959</v>
      </c>
      <c r="V988" s="100">
        <f>D.sign_Data[[#This Row],[TIEMPO (HORAS)]]*Gastos_Operativos[[#Totals],[GASTOS HORA]]</f>
        <v>13894.738536155201</v>
      </c>
      <c r="W988" s="3">
        <f>+D.sign_Data[[#This Row],[COSTO 
DIRECTO ($COP)]]+D.sign_Data[[#This Row],[PRORRATEO GASTOS ($COP)]]</f>
        <v>27842.65162646816</v>
      </c>
      <c r="X988" s="101">
        <v>0.05</v>
      </c>
      <c r="Y988" s="15">
        <f>+D.sign_Data[[#This Row],[COSTOS OPERACIONALES ($COP)]]*D.sign_Data[[#This Row],[DESFASE (%)]]</f>
        <v>1392.132581323408</v>
      </c>
      <c r="Z988" s="101">
        <v>0.3</v>
      </c>
      <c r="AA988" s="15">
        <f>+((D.sign_Data[[#This Row],[COSTOS OPERACIONALES ($COP)]]/(100%-D.sign_Data[[#This Row],[UTILIDAD (%)]])))-D.sign_Data[[#This Row],[COSTOS OPERACIONALES ($COP)]]</f>
        <v>11932.564982772074</v>
      </c>
      <c r="AB988" s="3">
        <f>+D.sign_Data[[#This Row],[COSTOS OPERACIONALES ($COP)]]+D.sign_Data[[#This Row],[DESFASE ($COP)]]+D.sign_Data[[#This Row],[UTILIDAD ($COP)]]</f>
        <v>41167.34919056364</v>
      </c>
      <c r="AC988" s="101">
        <v>0.05</v>
      </c>
      <c r="AD988" s="15">
        <f>+D.sign_Data[[#This Row],[VALOR NETO ($COP)]]/(100%-D.sign_Data[[#This Row],[MARGEN DE NEGOCIACIÓN (%)]])-D.sign_Data[[#This Row],[VALOR NETO ($COP)]]</f>
        <v>2166.7025889770375</v>
      </c>
      <c r="AE988" s="15">
        <f>+(D.sign_Data[[#This Row],[VALOR NETO ($COP)]]+D.sign_Data[[#This Row],[NEGOCIACIÓN ($COP)]])*1%</f>
        <v>433.34051779540681</v>
      </c>
      <c r="AF988" s="15">
        <f>+(D.sign_Data[[#This Row],[VALOR NETO ($COP)]]+D.sign_Data[[#This Row],[NEGOCIACIÓN ($COP)]])*1%</f>
        <v>433.34051779540681</v>
      </c>
      <c r="AG988" s="3">
        <f>+D.sign_Data[[#This Row],[VALOR NETO ($COP)]]+D.sign_Data[[#This Row],[NEGOCIACIÓN ($COP)]]+D.sign_Data[[#This Row],[ICA ($COP)]]+D.sign_Data[[#This Row],[4 * 1000 ($COP)]]</f>
        <v>44200.732815131487</v>
      </c>
    </row>
    <row r="989" spans="1:33" ht="60" hidden="1" customHeight="1" x14ac:dyDescent="0.25">
      <c r="A989" s="14"/>
      <c r="B989" s="87" t="s">
        <v>442</v>
      </c>
      <c r="C989" s="182" t="s">
        <v>951</v>
      </c>
      <c r="D989" s="189" t="str">
        <f>VLOOKUP(D.sign_Data[[#This Row],[CÓDIGO]],Descripciones[[CÓDIGO]:[NOMBRE DE SERVICIO]],3,FALSE)</f>
        <v>D3. Vivienda Campestre</v>
      </c>
      <c r="E989" s="87" t="s">
        <v>497</v>
      </c>
      <c r="F989" s="88" t="s">
        <v>952</v>
      </c>
      <c r="G989" s="88" t="s">
        <v>953</v>
      </c>
      <c r="H989" s="87" t="s">
        <v>448</v>
      </c>
      <c r="I989" s="89">
        <v>1</v>
      </c>
      <c r="J989" s="88" t="s">
        <v>956</v>
      </c>
      <c r="K989" s="102"/>
      <c r="L989" s="88" t="s">
        <v>482</v>
      </c>
      <c r="M989" s="89" t="s">
        <v>381</v>
      </c>
      <c r="N989" s="90">
        <v>0.5</v>
      </c>
      <c r="O989" s="27">
        <f>IFERROR(+VLOOKUP(M989,D.sign_Lista_Data[[RESPONSABLE]:[SOFTWARE 
VALOR HORA]],3,FALSE),"0")</f>
        <v>20263.424518743668</v>
      </c>
      <c r="P989" s="3">
        <f t="shared" si="36"/>
        <v>10131.712259371834</v>
      </c>
      <c r="Q989" s="11">
        <f>IFERROR(+VLOOKUP(M989,D.sign_Lista_Data[[RESPONSABLE]:[SOFTWARE 
VALOR HORA]],5,FALSE)*D.sign_Data[[#This Row],[TIEMPO (HORAS)]],0)</f>
        <v>2110.7733873691318</v>
      </c>
      <c r="R989" s="11">
        <f>IFERROR(+VLOOKUP(M989,D.sign_Lista_Data[[RESPONSABLE]:[SOFTWARE 
VALOR HORA]],8,FALSE)*D.sign_Data[[#This Row],[TIEMPO (HORAS)]],0)</f>
        <v>1705.4274435719917</v>
      </c>
      <c r="S989" s="99"/>
      <c r="T989" s="99"/>
      <c r="U989" s="3">
        <f t="shared" si="37"/>
        <v>13947.913090312959</v>
      </c>
      <c r="V989" s="100">
        <f>D.sign_Data[[#This Row],[TIEMPO (HORAS)]]*Gastos_Operativos[[#Totals],[GASTOS HORA]]</f>
        <v>13894.738536155201</v>
      </c>
      <c r="W989" s="3">
        <f>+D.sign_Data[[#This Row],[COSTO 
DIRECTO ($COP)]]+D.sign_Data[[#This Row],[PRORRATEO GASTOS ($COP)]]</f>
        <v>27842.65162646816</v>
      </c>
      <c r="X989" s="101">
        <v>0.05</v>
      </c>
      <c r="Y989" s="15">
        <f>+D.sign_Data[[#This Row],[COSTOS OPERACIONALES ($COP)]]*D.sign_Data[[#This Row],[DESFASE (%)]]</f>
        <v>1392.132581323408</v>
      </c>
      <c r="Z989" s="101">
        <v>0.3</v>
      </c>
      <c r="AA989" s="15">
        <f>+((D.sign_Data[[#This Row],[COSTOS OPERACIONALES ($COP)]]/(100%-D.sign_Data[[#This Row],[UTILIDAD (%)]])))-D.sign_Data[[#This Row],[COSTOS OPERACIONALES ($COP)]]</f>
        <v>11932.564982772074</v>
      </c>
      <c r="AB989" s="3">
        <f>+D.sign_Data[[#This Row],[COSTOS OPERACIONALES ($COP)]]+D.sign_Data[[#This Row],[DESFASE ($COP)]]+D.sign_Data[[#This Row],[UTILIDAD ($COP)]]</f>
        <v>41167.34919056364</v>
      </c>
      <c r="AC989" s="101">
        <v>0.05</v>
      </c>
      <c r="AD989" s="15">
        <f>+D.sign_Data[[#This Row],[VALOR NETO ($COP)]]/(100%-D.sign_Data[[#This Row],[MARGEN DE NEGOCIACIÓN (%)]])-D.sign_Data[[#This Row],[VALOR NETO ($COP)]]</f>
        <v>2166.7025889770375</v>
      </c>
      <c r="AE989" s="15">
        <f>+(D.sign_Data[[#This Row],[VALOR NETO ($COP)]]+D.sign_Data[[#This Row],[NEGOCIACIÓN ($COP)]])*1%</f>
        <v>433.34051779540681</v>
      </c>
      <c r="AF989" s="15">
        <f>+(D.sign_Data[[#This Row],[VALOR NETO ($COP)]]+D.sign_Data[[#This Row],[NEGOCIACIÓN ($COP)]])*1%</f>
        <v>433.34051779540681</v>
      </c>
      <c r="AG989" s="3">
        <f>+D.sign_Data[[#This Row],[VALOR NETO ($COP)]]+D.sign_Data[[#This Row],[NEGOCIACIÓN ($COP)]]+D.sign_Data[[#This Row],[ICA ($COP)]]+D.sign_Data[[#This Row],[4 * 1000 ($COP)]]</f>
        <v>44200.732815131487</v>
      </c>
    </row>
    <row r="990" spans="1:33" ht="60" hidden="1" customHeight="1" x14ac:dyDescent="0.25">
      <c r="A990" s="14"/>
      <c r="B990" s="87" t="s">
        <v>442</v>
      </c>
      <c r="C990" s="182" t="s">
        <v>951</v>
      </c>
      <c r="D990" s="189" t="str">
        <f>VLOOKUP(D.sign_Data[[#This Row],[CÓDIGO]],Descripciones[[CÓDIGO]:[NOMBRE DE SERVICIO]],3,FALSE)</f>
        <v>D3. Vivienda Campestre</v>
      </c>
      <c r="E990" s="87" t="s">
        <v>497</v>
      </c>
      <c r="F990" s="88" t="s">
        <v>952</v>
      </c>
      <c r="G990" s="88" t="s">
        <v>953</v>
      </c>
      <c r="H990" s="87" t="s">
        <v>448</v>
      </c>
      <c r="I990" s="89">
        <v>1</v>
      </c>
      <c r="J990" s="88" t="s">
        <v>956</v>
      </c>
      <c r="K990" s="102"/>
      <c r="L990" s="88" t="s">
        <v>483</v>
      </c>
      <c r="M990" s="89" t="s">
        <v>381</v>
      </c>
      <c r="N990" s="90">
        <v>0.25</v>
      </c>
      <c r="O990" s="27">
        <f>IFERROR(+VLOOKUP(M990,D.sign_Lista_Data[[RESPONSABLE]:[SOFTWARE 
VALOR HORA]],3,FALSE),"0")</f>
        <v>20263.424518743668</v>
      </c>
      <c r="P990" s="3">
        <f t="shared" si="36"/>
        <v>5065.856129685917</v>
      </c>
      <c r="Q990" s="11">
        <f>IFERROR(+VLOOKUP(M990,D.sign_Lista_Data[[RESPONSABLE]:[SOFTWARE 
VALOR HORA]],5,FALSE)*D.sign_Data[[#This Row],[TIEMPO (HORAS)]],0)</f>
        <v>1055.3866936845659</v>
      </c>
      <c r="R990" s="11">
        <f>IFERROR(+VLOOKUP(M990,D.sign_Lista_Data[[RESPONSABLE]:[SOFTWARE 
VALOR HORA]],8,FALSE)*D.sign_Data[[#This Row],[TIEMPO (HORAS)]],0)</f>
        <v>852.71372178599586</v>
      </c>
      <c r="S990" s="99"/>
      <c r="T990" s="99"/>
      <c r="U990" s="3">
        <f t="shared" si="37"/>
        <v>6973.9565451564795</v>
      </c>
      <c r="V990" s="100">
        <f>D.sign_Data[[#This Row],[TIEMPO (HORAS)]]*Gastos_Operativos[[#Totals],[GASTOS HORA]]</f>
        <v>6947.3692680776003</v>
      </c>
      <c r="W990" s="3">
        <f>+D.sign_Data[[#This Row],[COSTO 
DIRECTO ($COP)]]+D.sign_Data[[#This Row],[PRORRATEO GASTOS ($COP)]]</f>
        <v>13921.32581323408</v>
      </c>
      <c r="X990" s="101">
        <v>0.05</v>
      </c>
      <c r="Y990" s="15">
        <f>+D.sign_Data[[#This Row],[COSTOS OPERACIONALES ($COP)]]*D.sign_Data[[#This Row],[DESFASE (%)]]</f>
        <v>696.06629066170399</v>
      </c>
      <c r="Z990" s="101">
        <v>0.3</v>
      </c>
      <c r="AA990" s="15">
        <f>+((D.sign_Data[[#This Row],[COSTOS OPERACIONALES ($COP)]]/(100%-D.sign_Data[[#This Row],[UTILIDAD (%)]])))-D.sign_Data[[#This Row],[COSTOS OPERACIONALES ($COP)]]</f>
        <v>5966.2824913860368</v>
      </c>
      <c r="AB990" s="3">
        <f>+D.sign_Data[[#This Row],[COSTOS OPERACIONALES ($COP)]]+D.sign_Data[[#This Row],[DESFASE ($COP)]]+D.sign_Data[[#This Row],[UTILIDAD ($COP)]]</f>
        <v>20583.67459528182</v>
      </c>
      <c r="AC990" s="101">
        <v>0.05</v>
      </c>
      <c r="AD990" s="15">
        <f>+D.sign_Data[[#This Row],[VALOR NETO ($COP)]]/(100%-D.sign_Data[[#This Row],[MARGEN DE NEGOCIACIÓN (%)]])-D.sign_Data[[#This Row],[VALOR NETO ($COP)]]</f>
        <v>1083.3512944885188</v>
      </c>
      <c r="AE990" s="15">
        <f>+(D.sign_Data[[#This Row],[VALOR NETO ($COP)]]+D.sign_Data[[#This Row],[NEGOCIACIÓN ($COP)]])*1%</f>
        <v>216.67025889770341</v>
      </c>
      <c r="AF990" s="15">
        <f>+(D.sign_Data[[#This Row],[VALOR NETO ($COP)]]+D.sign_Data[[#This Row],[NEGOCIACIÓN ($COP)]])*1%</f>
        <v>216.67025889770341</v>
      </c>
      <c r="AG990" s="3">
        <f>+D.sign_Data[[#This Row],[VALOR NETO ($COP)]]+D.sign_Data[[#This Row],[NEGOCIACIÓN ($COP)]]+D.sign_Data[[#This Row],[ICA ($COP)]]+D.sign_Data[[#This Row],[4 * 1000 ($COP)]]</f>
        <v>22100.366407565743</v>
      </c>
    </row>
    <row r="991" spans="1:33" ht="60" hidden="1" customHeight="1" x14ac:dyDescent="0.25">
      <c r="A991" s="14"/>
      <c r="B991" s="87" t="s">
        <v>442</v>
      </c>
      <c r="C991" s="182" t="s">
        <v>951</v>
      </c>
      <c r="D991" s="189" t="str">
        <f>VLOOKUP(D.sign_Data[[#This Row],[CÓDIGO]],Descripciones[[CÓDIGO]:[NOMBRE DE SERVICIO]],3,FALSE)</f>
        <v>D3. Vivienda Campestre</v>
      </c>
      <c r="E991" s="87" t="s">
        <v>497</v>
      </c>
      <c r="F991" s="88" t="s">
        <v>952</v>
      </c>
      <c r="G991" s="88" t="s">
        <v>953</v>
      </c>
      <c r="H991" s="87" t="s">
        <v>448</v>
      </c>
      <c r="I991" s="89">
        <v>1</v>
      </c>
      <c r="J991" s="88" t="s">
        <v>956</v>
      </c>
      <c r="K991" s="102"/>
      <c r="L991" s="88" t="s">
        <v>478</v>
      </c>
      <c r="M991" s="89" t="s">
        <v>381</v>
      </c>
      <c r="N991" s="90">
        <v>0.5</v>
      </c>
      <c r="O991" s="27">
        <f>IFERROR(+VLOOKUP(M991,D.sign_Lista_Data[[RESPONSABLE]:[SOFTWARE 
VALOR HORA]],3,FALSE),"0")</f>
        <v>20263.424518743668</v>
      </c>
      <c r="P991" s="3">
        <f t="shared" si="36"/>
        <v>10131.712259371834</v>
      </c>
      <c r="Q991" s="11">
        <f>IFERROR(+VLOOKUP(M991,D.sign_Lista_Data[[RESPONSABLE]:[SOFTWARE 
VALOR HORA]],5,FALSE)*D.sign_Data[[#This Row],[TIEMPO (HORAS)]],0)</f>
        <v>2110.7733873691318</v>
      </c>
      <c r="R991" s="11">
        <f>IFERROR(+VLOOKUP(M991,D.sign_Lista_Data[[RESPONSABLE]:[SOFTWARE 
VALOR HORA]],8,FALSE)*D.sign_Data[[#This Row],[TIEMPO (HORAS)]],0)</f>
        <v>1705.4274435719917</v>
      </c>
      <c r="S991" s="99"/>
      <c r="T991" s="99"/>
      <c r="U991" s="3">
        <f t="shared" si="37"/>
        <v>13947.913090312959</v>
      </c>
      <c r="V991" s="100">
        <f>D.sign_Data[[#This Row],[TIEMPO (HORAS)]]*Gastos_Operativos[[#Totals],[GASTOS HORA]]</f>
        <v>13894.738536155201</v>
      </c>
      <c r="W991" s="3">
        <f>+D.sign_Data[[#This Row],[COSTO 
DIRECTO ($COP)]]+D.sign_Data[[#This Row],[PRORRATEO GASTOS ($COP)]]</f>
        <v>27842.65162646816</v>
      </c>
      <c r="X991" s="101">
        <v>0.05</v>
      </c>
      <c r="Y991" s="15">
        <f>+D.sign_Data[[#This Row],[COSTOS OPERACIONALES ($COP)]]*D.sign_Data[[#This Row],[DESFASE (%)]]</f>
        <v>1392.132581323408</v>
      </c>
      <c r="Z991" s="101">
        <v>0.3</v>
      </c>
      <c r="AA991" s="15">
        <f>+((D.sign_Data[[#This Row],[COSTOS OPERACIONALES ($COP)]]/(100%-D.sign_Data[[#This Row],[UTILIDAD (%)]])))-D.sign_Data[[#This Row],[COSTOS OPERACIONALES ($COP)]]</f>
        <v>11932.564982772074</v>
      </c>
      <c r="AB991" s="3">
        <f>+D.sign_Data[[#This Row],[COSTOS OPERACIONALES ($COP)]]+D.sign_Data[[#This Row],[DESFASE ($COP)]]+D.sign_Data[[#This Row],[UTILIDAD ($COP)]]</f>
        <v>41167.34919056364</v>
      </c>
      <c r="AC991" s="101">
        <v>0.05</v>
      </c>
      <c r="AD991" s="15">
        <f>+D.sign_Data[[#This Row],[VALOR NETO ($COP)]]/(100%-D.sign_Data[[#This Row],[MARGEN DE NEGOCIACIÓN (%)]])-D.sign_Data[[#This Row],[VALOR NETO ($COP)]]</f>
        <v>2166.7025889770375</v>
      </c>
      <c r="AE991" s="15">
        <f>+(D.sign_Data[[#This Row],[VALOR NETO ($COP)]]+D.sign_Data[[#This Row],[NEGOCIACIÓN ($COP)]])*1%</f>
        <v>433.34051779540681</v>
      </c>
      <c r="AF991" s="15">
        <f>+(D.sign_Data[[#This Row],[VALOR NETO ($COP)]]+D.sign_Data[[#This Row],[NEGOCIACIÓN ($COP)]])*1%</f>
        <v>433.34051779540681</v>
      </c>
      <c r="AG991" s="3">
        <f>+D.sign_Data[[#This Row],[VALOR NETO ($COP)]]+D.sign_Data[[#This Row],[NEGOCIACIÓN ($COP)]]+D.sign_Data[[#This Row],[ICA ($COP)]]+D.sign_Data[[#This Row],[4 * 1000 ($COP)]]</f>
        <v>44200.732815131487</v>
      </c>
    </row>
    <row r="992" spans="1:33" ht="60" hidden="1" customHeight="1" x14ac:dyDescent="0.25">
      <c r="A992" s="14"/>
      <c r="B992" s="87" t="s">
        <v>442</v>
      </c>
      <c r="C992" s="182" t="s">
        <v>951</v>
      </c>
      <c r="D992" s="189" t="str">
        <f>VLOOKUP(D.sign_Data[[#This Row],[CÓDIGO]],Descripciones[[CÓDIGO]:[NOMBRE DE SERVICIO]],3,FALSE)</f>
        <v>D3. Vivienda Campestre</v>
      </c>
      <c r="E992" s="87" t="s">
        <v>497</v>
      </c>
      <c r="F992" s="88" t="s">
        <v>952</v>
      </c>
      <c r="G992" s="88" t="s">
        <v>953</v>
      </c>
      <c r="H992" s="87" t="s">
        <v>448</v>
      </c>
      <c r="I992" s="89">
        <v>1</v>
      </c>
      <c r="J992" s="88" t="s">
        <v>956</v>
      </c>
      <c r="K992" s="102"/>
      <c r="L992" s="88" t="s">
        <v>474</v>
      </c>
      <c r="M992" s="89" t="s">
        <v>381</v>
      </c>
      <c r="N992" s="90">
        <v>0.21</v>
      </c>
      <c r="O992" s="27">
        <f>IFERROR(+VLOOKUP(M992,D.sign_Lista_Data[[RESPONSABLE]:[SOFTWARE 
VALOR HORA]],3,FALSE),"0")</f>
        <v>20263.424518743668</v>
      </c>
      <c r="P992" s="3">
        <f t="shared" si="36"/>
        <v>4255.3191489361698</v>
      </c>
      <c r="Q992" s="11">
        <f>IFERROR(+VLOOKUP(M992,D.sign_Lista_Data[[RESPONSABLE]:[SOFTWARE 
VALOR HORA]],5,FALSE)*D.sign_Data[[#This Row],[TIEMPO (HORAS)]],0)</f>
        <v>886.52482269503537</v>
      </c>
      <c r="R992" s="11">
        <f>IFERROR(+VLOOKUP(M992,D.sign_Lista_Data[[RESPONSABLE]:[SOFTWARE 
VALOR HORA]],8,FALSE)*D.sign_Data[[#This Row],[TIEMPO (HORAS)]],0)</f>
        <v>716.27952630023651</v>
      </c>
      <c r="S992" s="99"/>
      <c r="T992" s="99"/>
      <c r="U992" s="3">
        <f t="shared" si="37"/>
        <v>5858.1234979314413</v>
      </c>
      <c r="V992" s="100">
        <f>D.sign_Data[[#This Row],[TIEMPO (HORAS)]]*Gastos_Operativos[[#Totals],[GASTOS HORA]]</f>
        <v>5835.7901851851839</v>
      </c>
      <c r="W992" s="3">
        <f>+D.sign_Data[[#This Row],[COSTO 
DIRECTO ($COP)]]+D.sign_Data[[#This Row],[PRORRATEO GASTOS ($COP)]]</f>
        <v>11693.913683116625</v>
      </c>
      <c r="X992" s="101">
        <v>0.05</v>
      </c>
      <c r="Y992" s="15">
        <f>+D.sign_Data[[#This Row],[COSTOS OPERACIONALES ($COP)]]*D.sign_Data[[#This Row],[DESFASE (%)]]</f>
        <v>584.69568415583126</v>
      </c>
      <c r="Z992" s="101">
        <v>0.3</v>
      </c>
      <c r="AA992" s="15">
        <f>+((D.sign_Data[[#This Row],[COSTOS OPERACIONALES ($COP)]]/(100%-D.sign_Data[[#This Row],[UTILIDAD (%)]])))-D.sign_Data[[#This Row],[COSTOS OPERACIONALES ($COP)]]</f>
        <v>5011.6772927642705</v>
      </c>
      <c r="AB992" s="3">
        <f>+D.sign_Data[[#This Row],[COSTOS OPERACIONALES ($COP)]]+D.sign_Data[[#This Row],[DESFASE ($COP)]]+D.sign_Data[[#This Row],[UTILIDAD ($COP)]]</f>
        <v>17290.286660036727</v>
      </c>
      <c r="AC992" s="101">
        <v>0.05</v>
      </c>
      <c r="AD992" s="15">
        <f>+D.sign_Data[[#This Row],[VALOR NETO ($COP)]]/(100%-D.sign_Data[[#This Row],[MARGEN DE NEGOCIACIÓN (%)]])-D.sign_Data[[#This Row],[VALOR NETO ($COP)]]</f>
        <v>910.01508737035329</v>
      </c>
      <c r="AE992" s="15">
        <f>+(D.sign_Data[[#This Row],[VALOR NETO ($COP)]]+D.sign_Data[[#This Row],[NEGOCIACIÓN ($COP)]])*1%</f>
        <v>182.00301747407082</v>
      </c>
      <c r="AF992" s="15">
        <f>+(D.sign_Data[[#This Row],[VALOR NETO ($COP)]]+D.sign_Data[[#This Row],[NEGOCIACIÓN ($COP)]])*1%</f>
        <v>182.00301747407082</v>
      </c>
      <c r="AG992" s="3">
        <f>+D.sign_Data[[#This Row],[VALOR NETO ($COP)]]+D.sign_Data[[#This Row],[NEGOCIACIÓN ($COP)]]+D.sign_Data[[#This Row],[ICA ($COP)]]+D.sign_Data[[#This Row],[4 * 1000 ($COP)]]</f>
        <v>18564.307782355223</v>
      </c>
    </row>
    <row r="993" spans="1:33" ht="60" hidden="1" customHeight="1" x14ac:dyDescent="0.25">
      <c r="A993" s="14"/>
      <c r="B993" s="87" t="s">
        <v>442</v>
      </c>
      <c r="C993" s="182" t="s">
        <v>951</v>
      </c>
      <c r="D993" s="189" t="str">
        <f>VLOOKUP(D.sign_Data[[#This Row],[CÓDIGO]],Descripciones[[CÓDIGO]:[NOMBRE DE SERVICIO]],3,FALSE)</f>
        <v>D3. Vivienda Campestre</v>
      </c>
      <c r="E993" s="87" t="s">
        <v>497</v>
      </c>
      <c r="F993" s="88" t="s">
        <v>952</v>
      </c>
      <c r="G993" s="88" t="s">
        <v>953</v>
      </c>
      <c r="H993" s="87" t="s">
        <v>448</v>
      </c>
      <c r="I993" s="89">
        <v>1</v>
      </c>
      <c r="J993" s="88" t="s">
        <v>957</v>
      </c>
      <c r="K993" s="102"/>
      <c r="L993" s="88" t="s">
        <v>485</v>
      </c>
      <c r="M993" s="89" t="s">
        <v>381</v>
      </c>
      <c r="N993" s="90">
        <v>0.5</v>
      </c>
      <c r="O993" s="27">
        <f>IFERROR(+VLOOKUP(M993,D.sign_Lista_Data[[RESPONSABLE]:[SOFTWARE 
VALOR HORA]],3,FALSE),"0")</f>
        <v>20263.424518743668</v>
      </c>
      <c r="P993" s="3">
        <f t="shared" si="36"/>
        <v>10131.712259371834</v>
      </c>
      <c r="Q993" s="11">
        <f>IFERROR(+VLOOKUP(M993,D.sign_Lista_Data[[RESPONSABLE]:[SOFTWARE 
VALOR HORA]],5,FALSE)*D.sign_Data[[#This Row],[TIEMPO (HORAS)]],0)</f>
        <v>2110.7733873691318</v>
      </c>
      <c r="R993" s="11">
        <f>IFERROR(+VLOOKUP(M993,D.sign_Lista_Data[[RESPONSABLE]:[SOFTWARE 
VALOR HORA]],8,FALSE)*D.sign_Data[[#This Row],[TIEMPO (HORAS)]],0)</f>
        <v>1705.4274435719917</v>
      </c>
      <c r="S993" s="99"/>
      <c r="T993" s="99"/>
      <c r="U993" s="3">
        <f t="shared" si="37"/>
        <v>13947.913090312959</v>
      </c>
      <c r="V993" s="100">
        <f>D.sign_Data[[#This Row],[TIEMPO (HORAS)]]*Gastos_Operativos[[#Totals],[GASTOS HORA]]</f>
        <v>13894.738536155201</v>
      </c>
      <c r="W993" s="3">
        <f>+D.sign_Data[[#This Row],[COSTO 
DIRECTO ($COP)]]+D.sign_Data[[#This Row],[PRORRATEO GASTOS ($COP)]]</f>
        <v>27842.65162646816</v>
      </c>
      <c r="X993" s="101">
        <v>0.05</v>
      </c>
      <c r="Y993" s="15">
        <f>+D.sign_Data[[#This Row],[COSTOS OPERACIONALES ($COP)]]*D.sign_Data[[#This Row],[DESFASE (%)]]</f>
        <v>1392.132581323408</v>
      </c>
      <c r="Z993" s="101">
        <v>0.3</v>
      </c>
      <c r="AA993" s="15">
        <f>+((D.sign_Data[[#This Row],[COSTOS OPERACIONALES ($COP)]]/(100%-D.sign_Data[[#This Row],[UTILIDAD (%)]])))-D.sign_Data[[#This Row],[COSTOS OPERACIONALES ($COP)]]</f>
        <v>11932.564982772074</v>
      </c>
      <c r="AB993" s="3">
        <f>+D.sign_Data[[#This Row],[COSTOS OPERACIONALES ($COP)]]+D.sign_Data[[#This Row],[DESFASE ($COP)]]+D.sign_Data[[#This Row],[UTILIDAD ($COP)]]</f>
        <v>41167.34919056364</v>
      </c>
      <c r="AC993" s="101">
        <v>0.05</v>
      </c>
      <c r="AD993" s="15">
        <f>+D.sign_Data[[#This Row],[VALOR NETO ($COP)]]/(100%-D.sign_Data[[#This Row],[MARGEN DE NEGOCIACIÓN (%)]])-D.sign_Data[[#This Row],[VALOR NETO ($COP)]]</f>
        <v>2166.7025889770375</v>
      </c>
      <c r="AE993" s="15">
        <f>+(D.sign_Data[[#This Row],[VALOR NETO ($COP)]]+D.sign_Data[[#This Row],[NEGOCIACIÓN ($COP)]])*1%</f>
        <v>433.34051779540681</v>
      </c>
      <c r="AF993" s="15">
        <f>+(D.sign_Data[[#This Row],[VALOR NETO ($COP)]]+D.sign_Data[[#This Row],[NEGOCIACIÓN ($COP)]])*1%</f>
        <v>433.34051779540681</v>
      </c>
      <c r="AG993" s="3">
        <f>+D.sign_Data[[#This Row],[VALOR NETO ($COP)]]+D.sign_Data[[#This Row],[NEGOCIACIÓN ($COP)]]+D.sign_Data[[#This Row],[ICA ($COP)]]+D.sign_Data[[#This Row],[4 * 1000 ($COP)]]</f>
        <v>44200.732815131487</v>
      </c>
    </row>
    <row r="994" spans="1:33" ht="60" hidden="1" customHeight="1" x14ac:dyDescent="0.25">
      <c r="A994" s="14"/>
      <c r="B994" s="87" t="s">
        <v>442</v>
      </c>
      <c r="C994" s="182" t="s">
        <v>951</v>
      </c>
      <c r="D994" s="189" t="str">
        <f>VLOOKUP(D.sign_Data[[#This Row],[CÓDIGO]],Descripciones[[CÓDIGO]:[NOMBRE DE SERVICIO]],3,FALSE)</f>
        <v>D3. Vivienda Campestre</v>
      </c>
      <c r="E994" s="87" t="s">
        <v>497</v>
      </c>
      <c r="F994" s="88" t="s">
        <v>952</v>
      </c>
      <c r="G994" s="88" t="s">
        <v>953</v>
      </c>
      <c r="H994" s="87" t="s">
        <v>448</v>
      </c>
      <c r="I994" s="89">
        <v>1</v>
      </c>
      <c r="J994" s="88" t="s">
        <v>957</v>
      </c>
      <c r="K994" s="102"/>
      <c r="L994" s="88" t="s">
        <v>486</v>
      </c>
      <c r="M994" s="89" t="s">
        <v>381</v>
      </c>
      <c r="N994" s="90">
        <v>0.5</v>
      </c>
      <c r="O994" s="27">
        <f>IFERROR(+VLOOKUP(M994,D.sign_Lista_Data[[RESPONSABLE]:[SOFTWARE 
VALOR HORA]],3,FALSE),"0")</f>
        <v>20263.424518743668</v>
      </c>
      <c r="P994" s="3">
        <f t="shared" si="36"/>
        <v>10131.712259371834</v>
      </c>
      <c r="Q994" s="11">
        <f>IFERROR(+VLOOKUP(M994,D.sign_Lista_Data[[RESPONSABLE]:[SOFTWARE 
VALOR HORA]],5,FALSE)*D.sign_Data[[#This Row],[TIEMPO (HORAS)]],0)</f>
        <v>2110.7733873691318</v>
      </c>
      <c r="R994" s="11">
        <f>IFERROR(+VLOOKUP(M994,D.sign_Lista_Data[[RESPONSABLE]:[SOFTWARE 
VALOR HORA]],8,FALSE)*D.sign_Data[[#This Row],[TIEMPO (HORAS)]],0)</f>
        <v>1705.4274435719917</v>
      </c>
      <c r="S994" s="99"/>
      <c r="T994" s="99"/>
      <c r="U994" s="3">
        <f t="shared" si="37"/>
        <v>13947.913090312959</v>
      </c>
      <c r="V994" s="100">
        <f>D.sign_Data[[#This Row],[TIEMPO (HORAS)]]*Gastos_Operativos[[#Totals],[GASTOS HORA]]</f>
        <v>13894.738536155201</v>
      </c>
      <c r="W994" s="3">
        <f>+D.sign_Data[[#This Row],[COSTO 
DIRECTO ($COP)]]+D.sign_Data[[#This Row],[PRORRATEO GASTOS ($COP)]]</f>
        <v>27842.65162646816</v>
      </c>
      <c r="X994" s="101">
        <v>0.05</v>
      </c>
      <c r="Y994" s="15">
        <f>+D.sign_Data[[#This Row],[COSTOS OPERACIONALES ($COP)]]*D.sign_Data[[#This Row],[DESFASE (%)]]</f>
        <v>1392.132581323408</v>
      </c>
      <c r="Z994" s="101">
        <v>0.3</v>
      </c>
      <c r="AA994" s="15">
        <f>+((D.sign_Data[[#This Row],[COSTOS OPERACIONALES ($COP)]]/(100%-D.sign_Data[[#This Row],[UTILIDAD (%)]])))-D.sign_Data[[#This Row],[COSTOS OPERACIONALES ($COP)]]</f>
        <v>11932.564982772074</v>
      </c>
      <c r="AB994" s="3">
        <f>+D.sign_Data[[#This Row],[COSTOS OPERACIONALES ($COP)]]+D.sign_Data[[#This Row],[DESFASE ($COP)]]+D.sign_Data[[#This Row],[UTILIDAD ($COP)]]</f>
        <v>41167.34919056364</v>
      </c>
      <c r="AC994" s="101">
        <v>0.05</v>
      </c>
      <c r="AD994" s="15">
        <f>+D.sign_Data[[#This Row],[VALOR NETO ($COP)]]/(100%-D.sign_Data[[#This Row],[MARGEN DE NEGOCIACIÓN (%)]])-D.sign_Data[[#This Row],[VALOR NETO ($COP)]]</f>
        <v>2166.7025889770375</v>
      </c>
      <c r="AE994" s="15">
        <f>+(D.sign_Data[[#This Row],[VALOR NETO ($COP)]]+D.sign_Data[[#This Row],[NEGOCIACIÓN ($COP)]])*1%</f>
        <v>433.34051779540681</v>
      </c>
      <c r="AF994" s="15">
        <f>+(D.sign_Data[[#This Row],[VALOR NETO ($COP)]]+D.sign_Data[[#This Row],[NEGOCIACIÓN ($COP)]])*1%</f>
        <v>433.34051779540681</v>
      </c>
      <c r="AG994" s="3">
        <f>+D.sign_Data[[#This Row],[VALOR NETO ($COP)]]+D.sign_Data[[#This Row],[NEGOCIACIÓN ($COP)]]+D.sign_Data[[#This Row],[ICA ($COP)]]+D.sign_Data[[#This Row],[4 * 1000 ($COP)]]</f>
        <v>44200.732815131487</v>
      </c>
    </row>
    <row r="995" spans="1:33" ht="60" hidden="1" customHeight="1" x14ac:dyDescent="0.25">
      <c r="A995" s="14"/>
      <c r="B995" s="87" t="s">
        <v>442</v>
      </c>
      <c r="C995" s="182" t="s">
        <v>951</v>
      </c>
      <c r="D995" s="189" t="str">
        <f>VLOOKUP(D.sign_Data[[#This Row],[CÓDIGO]],Descripciones[[CÓDIGO]:[NOMBRE DE SERVICIO]],3,FALSE)</f>
        <v>D3. Vivienda Campestre</v>
      </c>
      <c r="E995" s="87" t="s">
        <v>497</v>
      </c>
      <c r="F995" s="88" t="s">
        <v>952</v>
      </c>
      <c r="G995" s="88" t="s">
        <v>953</v>
      </c>
      <c r="H995" s="87" t="s">
        <v>448</v>
      </c>
      <c r="I995" s="89">
        <v>1</v>
      </c>
      <c r="J995" s="88" t="s">
        <v>957</v>
      </c>
      <c r="K995" s="102"/>
      <c r="L995" s="88" t="s">
        <v>471</v>
      </c>
      <c r="M995" s="89" t="s">
        <v>381</v>
      </c>
      <c r="N995" s="90">
        <v>1</v>
      </c>
      <c r="O995" s="27">
        <f>IFERROR(+VLOOKUP(M995,D.sign_Lista_Data[[RESPONSABLE]:[SOFTWARE 
VALOR HORA]],3,FALSE),"0")</f>
        <v>20263.424518743668</v>
      </c>
      <c r="P995" s="3">
        <f t="shared" si="36"/>
        <v>20263.424518743668</v>
      </c>
      <c r="Q995" s="11">
        <f>IFERROR(+VLOOKUP(M995,D.sign_Lista_Data[[RESPONSABLE]:[SOFTWARE 
VALOR HORA]],5,FALSE)*D.sign_Data[[#This Row],[TIEMPO (HORAS)]],0)</f>
        <v>4221.5467747382636</v>
      </c>
      <c r="R995" s="11">
        <f>IFERROR(+VLOOKUP(M995,D.sign_Lista_Data[[RESPONSABLE]:[SOFTWARE 
VALOR HORA]],8,FALSE)*D.sign_Data[[#This Row],[TIEMPO (HORAS)]],0)</f>
        <v>3410.8548871439834</v>
      </c>
      <c r="S995" s="99"/>
      <c r="T995" s="99"/>
      <c r="U995" s="3">
        <f t="shared" si="37"/>
        <v>27895.826180625918</v>
      </c>
      <c r="V995" s="100">
        <f>D.sign_Data[[#This Row],[TIEMPO (HORAS)]]*Gastos_Operativos[[#Totals],[GASTOS HORA]]</f>
        <v>27789.477072310401</v>
      </c>
      <c r="W995" s="3">
        <f>+D.sign_Data[[#This Row],[COSTO 
DIRECTO ($COP)]]+D.sign_Data[[#This Row],[PRORRATEO GASTOS ($COP)]]</f>
        <v>55685.303252936319</v>
      </c>
      <c r="X995" s="101">
        <v>0.05</v>
      </c>
      <c r="Y995" s="15">
        <f>+D.sign_Data[[#This Row],[COSTOS OPERACIONALES ($COP)]]*D.sign_Data[[#This Row],[DESFASE (%)]]</f>
        <v>2784.265162646816</v>
      </c>
      <c r="Z995" s="101">
        <v>0.3</v>
      </c>
      <c r="AA995" s="15">
        <f>+((D.sign_Data[[#This Row],[COSTOS OPERACIONALES ($COP)]]/(100%-D.sign_Data[[#This Row],[UTILIDAD (%)]])))-D.sign_Data[[#This Row],[COSTOS OPERACIONALES ($COP)]]</f>
        <v>23865.129965544147</v>
      </c>
      <c r="AB995" s="3">
        <f>+D.sign_Data[[#This Row],[COSTOS OPERACIONALES ($COP)]]+D.sign_Data[[#This Row],[DESFASE ($COP)]]+D.sign_Data[[#This Row],[UTILIDAD ($COP)]]</f>
        <v>82334.69838112728</v>
      </c>
      <c r="AC995" s="101">
        <v>0.05</v>
      </c>
      <c r="AD995" s="15">
        <f>+D.sign_Data[[#This Row],[VALOR NETO ($COP)]]/(100%-D.sign_Data[[#This Row],[MARGEN DE NEGOCIACIÓN (%)]])-D.sign_Data[[#This Row],[VALOR NETO ($COP)]]</f>
        <v>4333.405177954075</v>
      </c>
      <c r="AE995" s="15">
        <f>+(D.sign_Data[[#This Row],[VALOR NETO ($COP)]]+D.sign_Data[[#This Row],[NEGOCIACIÓN ($COP)]])*1%</f>
        <v>866.68103559081362</v>
      </c>
      <c r="AF995" s="15">
        <f>+(D.sign_Data[[#This Row],[VALOR NETO ($COP)]]+D.sign_Data[[#This Row],[NEGOCIACIÓN ($COP)]])*1%</f>
        <v>866.68103559081362</v>
      </c>
      <c r="AG995" s="3">
        <f>+D.sign_Data[[#This Row],[VALOR NETO ($COP)]]+D.sign_Data[[#This Row],[NEGOCIACIÓN ($COP)]]+D.sign_Data[[#This Row],[ICA ($COP)]]+D.sign_Data[[#This Row],[4 * 1000 ($COP)]]</f>
        <v>88401.465630262974</v>
      </c>
    </row>
    <row r="996" spans="1:33" ht="60" hidden="1" customHeight="1" x14ac:dyDescent="0.25">
      <c r="A996" s="14"/>
      <c r="B996" s="87" t="s">
        <v>442</v>
      </c>
      <c r="C996" s="182" t="s">
        <v>951</v>
      </c>
      <c r="D996" s="189" t="str">
        <f>VLOOKUP(D.sign_Data[[#This Row],[CÓDIGO]],Descripciones[[CÓDIGO]:[NOMBRE DE SERVICIO]],3,FALSE)</f>
        <v>D3. Vivienda Campestre</v>
      </c>
      <c r="E996" s="87" t="s">
        <v>497</v>
      </c>
      <c r="F996" s="88" t="s">
        <v>952</v>
      </c>
      <c r="G996" s="88" t="s">
        <v>953</v>
      </c>
      <c r="H996" s="87" t="s">
        <v>448</v>
      </c>
      <c r="I996" s="89">
        <v>1</v>
      </c>
      <c r="J996" s="88" t="s">
        <v>957</v>
      </c>
      <c r="K996" s="102"/>
      <c r="L996" s="88" t="s">
        <v>473</v>
      </c>
      <c r="M996" s="89" t="s">
        <v>381</v>
      </c>
      <c r="N996" s="90">
        <v>0.3</v>
      </c>
      <c r="O996" s="27">
        <f>IFERROR(+VLOOKUP(M996,D.sign_Lista_Data[[RESPONSABLE]:[SOFTWARE 
VALOR HORA]],3,FALSE),"0")</f>
        <v>20263.424518743668</v>
      </c>
      <c r="P996" s="3">
        <f t="shared" si="36"/>
        <v>6079.0273556231004</v>
      </c>
      <c r="Q996" s="11">
        <f>IFERROR(+VLOOKUP(M996,D.sign_Lista_Data[[RESPONSABLE]:[SOFTWARE 
VALOR HORA]],5,FALSE)*D.sign_Data[[#This Row],[TIEMPO (HORAS)]],0)</f>
        <v>1266.464032421479</v>
      </c>
      <c r="R996" s="11">
        <f>IFERROR(+VLOOKUP(M996,D.sign_Lista_Data[[RESPONSABLE]:[SOFTWARE 
VALOR HORA]],8,FALSE)*D.sign_Data[[#This Row],[TIEMPO (HORAS)]],0)</f>
        <v>1023.256466143195</v>
      </c>
      <c r="S996" s="99"/>
      <c r="T996" s="99"/>
      <c r="U996" s="3">
        <f t="shared" si="37"/>
        <v>8368.7478541877736</v>
      </c>
      <c r="V996" s="100">
        <f>D.sign_Data[[#This Row],[TIEMPO (HORAS)]]*Gastos_Operativos[[#Totals],[GASTOS HORA]]</f>
        <v>8336.8431216931203</v>
      </c>
      <c r="W996" s="3">
        <f>+D.sign_Data[[#This Row],[COSTO 
DIRECTO ($COP)]]+D.sign_Data[[#This Row],[PRORRATEO GASTOS ($COP)]]</f>
        <v>16705.590975880892</v>
      </c>
      <c r="X996" s="101">
        <v>0.05</v>
      </c>
      <c r="Y996" s="15">
        <f>+D.sign_Data[[#This Row],[COSTOS OPERACIONALES ($COP)]]*D.sign_Data[[#This Row],[DESFASE (%)]]</f>
        <v>835.27954879404467</v>
      </c>
      <c r="Z996" s="101">
        <v>0.3</v>
      </c>
      <c r="AA996" s="15">
        <f>+((D.sign_Data[[#This Row],[COSTOS OPERACIONALES ($COP)]]/(100%-D.sign_Data[[#This Row],[UTILIDAD (%)]])))-D.sign_Data[[#This Row],[COSTOS OPERACIONALES ($COP)]]</f>
        <v>7159.5389896632405</v>
      </c>
      <c r="AB996" s="3">
        <f>+D.sign_Data[[#This Row],[COSTOS OPERACIONALES ($COP)]]+D.sign_Data[[#This Row],[DESFASE ($COP)]]+D.sign_Data[[#This Row],[UTILIDAD ($COP)]]</f>
        <v>24700.409514338178</v>
      </c>
      <c r="AC996" s="101">
        <v>0.05</v>
      </c>
      <c r="AD996" s="15">
        <f>+D.sign_Data[[#This Row],[VALOR NETO ($COP)]]/(100%-D.sign_Data[[#This Row],[MARGEN DE NEGOCIACIÓN (%)]])-D.sign_Data[[#This Row],[VALOR NETO ($COP)]]</f>
        <v>1300.0215533862211</v>
      </c>
      <c r="AE996" s="15">
        <f>+(D.sign_Data[[#This Row],[VALOR NETO ($COP)]]+D.sign_Data[[#This Row],[NEGOCIACIÓN ($COP)]])*1%</f>
        <v>260.00431067724401</v>
      </c>
      <c r="AF996" s="15">
        <f>+(D.sign_Data[[#This Row],[VALOR NETO ($COP)]]+D.sign_Data[[#This Row],[NEGOCIACIÓN ($COP)]])*1%</f>
        <v>260.00431067724401</v>
      </c>
      <c r="AG996" s="3">
        <f>+D.sign_Data[[#This Row],[VALOR NETO ($COP)]]+D.sign_Data[[#This Row],[NEGOCIACIÓN ($COP)]]+D.sign_Data[[#This Row],[ICA ($COP)]]+D.sign_Data[[#This Row],[4 * 1000 ($COP)]]</f>
        <v>26520.439689078885</v>
      </c>
    </row>
    <row r="997" spans="1:33" ht="60" hidden="1" customHeight="1" x14ac:dyDescent="0.25">
      <c r="A997" s="14"/>
      <c r="B997" s="87" t="s">
        <v>442</v>
      </c>
      <c r="C997" s="182" t="s">
        <v>951</v>
      </c>
      <c r="D997" s="189" t="str">
        <f>VLOOKUP(D.sign_Data[[#This Row],[CÓDIGO]],Descripciones[[CÓDIGO]:[NOMBRE DE SERVICIO]],3,FALSE)</f>
        <v>D3. Vivienda Campestre</v>
      </c>
      <c r="E997" s="87" t="s">
        <v>497</v>
      </c>
      <c r="F997" s="88" t="s">
        <v>952</v>
      </c>
      <c r="G997" s="88" t="s">
        <v>953</v>
      </c>
      <c r="H997" s="87" t="s">
        <v>448</v>
      </c>
      <c r="I997" s="89">
        <v>1</v>
      </c>
      <c r="J997" s="88" t="s">
        <v>957</v>
      </c>
      <c r="K997" s="102"/>
      <c r="L997" s="88" t="s">
        <v>478</v>
      </c>
      <c r="M997" s="89" t="s">
        <v>381</v>
      </c>
      <c r="N997" s="90">
        <v>0.5</v>
      </c>
      <c r="O997" s="27">
        <f>IFERROR(+VLOOKUP(M997,D.sign_Lista_Data[[RESPONSABLE]:[SOFTWARE 
VALOR HORA]],3,FALSE),"0")</f>
        <v>20263.424518743668</v>
      </c>
      <c r="P997" s="3">
        <f t="shared" si="36"/>
        <v>10131.712259371834</v>
      </c>
      <c r="Q997" s="11">
        <f>IFERROR(+VLOOKUP(M997,D.sign_Lista_Data[[RESPONSABLE]:[SOFTWARE 
VALOR HORA]],5,FALSE)*D.sign_Data[[#This Row],[TIEMPO (HORAS)]],0)</f>
        <v>2110.7733873691318</v>
      </c>
      <c r="R997" s="11">
        <f>IFERROR(+VLOOKUP(M997,D.sign_Lista_Data[[RESPONSABLE]:[SOFTWARE 
VALOR HORA]],8,FALSE)*D.sign_Data[[#This Row],[TIEMPO (HORAS)]],0)</f>
        <v>1705.4274435719917</v>
      </c>
      <c r="S997" s="99"/>
      <c r="T997" s="99"/>
      <c r="U997" s="3">
        <f t="shared" si="37"/>
        <v>13947.913090312959</v>
      </c>
      <c r="V997" s="100">
        <f>D.sign_Data[[#This Row],[TIEMPO (HORAS)]]*Gastos_Operativos[[#Totals],[GASTOS HORA]]</f>
        <v>13894.738536155201</v>
      </c>
      <c r="W997" s="3">
        <f>+D.sign_Data[[#This Row],[COSTO 
DIRECTO ($COP)]]+D.sign_Data[[#This Row],[PRORRATEO GASTOS ($COP)]]</f>
        <v>27842.65162646816</v>
      </c>
      <c r="X997" s="101">
        <v>0.05</v>
      </c>
      <c r="Y997" s="15">
        <f>+D.sign_Data[[#This Row],[COSTOS OPERACIONALES ($COP)]]*D.sign_Data[[#This Row],[DESFASE (%)]]</f>
        <v>1392.132581323408</v>
      </c>
      <c r="Z997" s="101">
        <v>0.3</v>
      </c>
      <c r="AA997" s="15">
        <f>+((D.sign_Data[[#This Row],[COSTOS OPERACIONALES ($COP)]]/(100%-D.sign_Data[[#This Row],[UTILIDAD (%)]])))-D.sign_Data[[#This Row],[COSTOS OPERACIONALES ($COP)]]</f>
        <v>11932.564982772074</v>
      </c>
      <c r="AB997" s="3">
        <f>+D.sign_Data[[#This Row],[COSTOS OPERACIONALES ($COP)]]+D.sign_Data[[#This Row],[DESFASE ($COP)]]+D.sign_Data[[#This Row],[UTILIDAD ($COP)]]</f>
        <v>41167.34919056364</v>
      </c>
      <c r="AC997" s="101">
        <v>0.05</v>
      </c>
      <c r="AD997" s="15">
        <f>+D.sign_Data[[#This Row],[VALOR NETO ($COP)]]/(100%-D.sign_Data[[#This Row],[MARGEN DE NEGOCIACIÓN (%)]])-D.sign_Data[[#This Row],[VALOR NETO ($COP)]]</f>
        <v>2166.7025889770375</v>
      </c>
      <c r="AE997" s="15">
        <f>+(D.sign_Data[[#This Row],[VALOR NETO ($COP)]]+D.sign_Data[[#This Row],[NEGOCIACIÓN ($COP)]])*1%</f>
        <v>433.34051779540681</v>
      </c>
      <c r="AF997" s="15">
        <f>+(D.sign_Data[[#This Row],[VALOR NETO ($COP)]]+D.sign_Data[[#This Row],[NEGOCIACIÓN ($COP)]])*1%</f>
        <v>433.34051779540681</v>
      </c>
      <c r="AG997" s="3">
        <f>+D.sign_Data[[#This Row],[VALOR NETO ($COP)]]+D.sign_Data[[#This Row],[NEGOCIACIÓN ($COP)]]+D.sign_Data[[#This Row],[ICA ($COP)]]+D.sign_Data[[#This Row],[4 * 1000 ($COP)]]</f>
        <v>44200.732815131487</v>
      </c>
    </row>
    <row r="998" spans="1:33" ht="60" hidden="1" customHeight="1" x14ac:dyDescent="0.25">
      <c r="A998" s="14"/>
      <c r="B998" s="87" t="s">
        <v>442</v>
      </c>
      <c r="C998" s="182" t="s">
        <v>951</v>
      </c>
      <c r="D998" s="189" t="str">
        <f>VLOOKUP(D.sign_Data[[#This Row],[CÓDIGO]],Descripciones[[CÓDIGO]:[NOMBRE DE SERVICIO]],3,FALSE)</f>
        <v>D3. Vivienda Campestre</v>
      </c>
      <c r="E998" s="87" t="s">
        <v>497</v>
      </c>
      <c r="F998" s="88" t="s">
        <v>952</v>
      </c>
      <c r="G998" s="88" t="s">
        <v>953</v>
      </c>
      <c r="H998" s="87" t="s">
        <v>448</v>
      </c>
      <c r="I998" s="89">
        <v>1</v>
      </c>
      <c r="J998" s="88" t="s">
        <v>957</v>
      </c>
      <c r="K998" s="102"/>
      <c r="L998" s="88" t="s">
        <v>474</v>
      </c>
      <c r="M998" s="89" t="s">
        <v>381</v>
      </c>
      <c r="N998" s="90">
        <v>0.3</v>
      </c>
      <c r="O998" s="27">
        <f>IFERROR(+VLOOKUP(M998,D.sign_Lista_Data[[RESPONSABLE]:[SOFTWARE 
VALOR HORA]],3,FALSE),"0")</f>
        <v>20263.424518743668</v>
      </c>
      <c r="P998" s="3">
        <f t="shared" si="36"/>
        <v>6079.0273556231004</v>
      </c>
      <c r="Q998" s="11">
        <f>IFERROR(+VLOOKUP(M998,D.sign_Lista_Data[[RESPONSABLE]:[SOFTWARE 
VALOR HORA]],5,FALSE)*D.sign_Data[[#This Row],[TIEMPO (HORAS)]],0)</f>
        <v>1266.464032421479</v>
      </c>
      <c r="R998" s="11">
        <f>IFERROR(+VLOOKUP(M998,D.sign_Lista_Data[[RESPONSABLE]:[SOFTWARE 
VALOR HORA]],8,FALSE)*D.sign_Data[[#This Row],[TIEMPO (HORAS)]],0)</f>
        <v>1023.256466143195</v>
      </c>
      <c r="S998" s="99"/>
      <c r="T998" s="99"/>
      <c r="U998" s="3">
        <f t="shared" si="37"/>
        <v>8368.7478541877736</v>
      </c>
      <c r="V998" s="100">
        <f>D.sign_Data[[#This Row],[TIEMPO (HORAS)]]*Gastos_Operativos[[#Totals],[GASTOS HORA]]</f>
        <v>8336.8431216931203</v>
      </c>
      <c r="W998" s="3">
        <f>+D.sign_Data[[#This Row],[COSTO 
DIRECTO ($COP)]]+D.sign_Data[[#This Row],[PRORRATEO GASTOS ($COP)]]</f>
        <v>16705.590975880892</v>
      </c>
      <c r="X998" s="101">
        <v>0.05</v>
      </c>
      <c r="Y998" s="15">
        <f>+D.sign_Data[[#This Row],[COSTOS OPERACIONALES ($COP)]]*D.sign_Data[[#This Row],[DESFASE (%)]]</f>
        <v>835.27954879404467</v>
      </c>
      <c r="Z998" s="101">
        <v>0.3</v>
      </c>
      <c r="AA998" s="15">
        <f>+((D.sign_Data[[#This Row],[COSTOS OPERACIONALES ($COP)]]/(100%-D.sign_Data[[#This Row],[UTILIDAD (%)]])))-D.sign_Data[[#This Row],[COSTOS OPERACIONALES ($COP)]]</f>
        <v>7159.5389896632405</v>
      </c>
      <c r="AB998" s="3">
        <f>+D.sign_Data[[#This Row],[COSTOS OPERACIONALES ($COP)]]+D.sign_Data[[#This Row],[DESFASE ($COP)]]+D.sign_Data[[#This Row],[UTILIDAD ($COP)]]</f>
        <v>24700.409514338178</v>
      </c>
      <c r="AC998" s="101">
        <v>0.05</v>
      </c>
      <c r="AD998" s="15">
        <f>+D.sign_Data[[#This Row],[VALOR NETO ($COP)]]/(100%-D.sign_Data[[#This Row],[MARGEN DE NEGOCIACIÓN (%)]])-D.sign_Data[[#This Row],[VALOR NETO ($COP)]]</f>
        <v>1300.0215533862211</v>
      </c>
      <c r="AE998" s="15">
        <f>+(D.sign_Data[[#This Row],[VALOR NETO ($COP)]]+D.sign_Data[[#This Row],[NEGOCIACIÓN ($COP)]])*1%</f>
        <v>260.00431067724401</v>
      </c>
      <c r="AF998" s="15">
        <f>+(D.sign_Data[[#This Row],[VALOR NETO ($COP)]]+D.sign_Data[[#This Row],[NEGOCIACIÓN ($COP)]])*1%</f>
        <v>260.00431067724401</v>
      </c>
      <c r="AG998" s="3">
        <f>+D.sign_Data[[#This Row],[VALOR NETO ($COP)]]+D.sign_Data[[#This Row],[NEGOCIACIÓN ($COP)]]+D.sign_Data[[#This Row],[ICA ($COP)]]+D.sign_Data[[#This Row],[4 * 1000 ($COP)]]</f>
        <v>26520.439689078885</v>
      </c>
    </row>
    <row r="999" spans="1:33" ht="60" hidden="1" customHeight="1" x14ac:dyDescent="0.25">
      <c r="A999" s="14"/>
      <c r="B999" s="87" t="s">
        <v>442</v>
      </c>
      <c r="C999" s="182" t="s">
        <v>951</v>
      </c>
      <c r="D999" s="189" t="str">
        <f>VLOOKUP(D.sign_Data[[#This Row],[CÓDIGO]],Descripciones[[CÓDIGO]:[NOMBRE DE SERVICIO]],3,FALSE)</f>
        <v>D3. Vivienda Campestre</v>
      </c>
      <c r="E999" s="87" t="s">
        <v>497</v>
      </c>
      <c r="F999" s="88" t="s">
        <v>952</v>
      </c>
      <c r="G999" s="88" t="s">
        <v>953</v>
      </c>
      <c r="H999" s="87" t="s">
        <v>448</v>
      </c>
      <c r="I999" s="89">
        <v>1</v>
      </c>
      <c r="J999" s="88" t="s">
        <v>958</v>
      </c>
      <c r="K999" s="102"/>
      <c r="L999" s="88" t="s">
        <v>488</v>
      </c>
      <c r="M999" s="89" t="s">
        <v>381</v>
      </c>
      <c r="N999" s="90">
        <v>0.5</v>
      </c>
      <c r="O999" s="27">
        <f>IFERROR(+VLOOKUP(M999,D.sign_Lista_Data[[RESPONSABLE]:[SOFTWARE 
VALOR HORA]],3,FALSE),"0")</f>
        <v>20263.424518743668</v>
      </c>
      <c r="P999" s="3">
        <f t="shared" si="36"/>
        <v>10131.712259371834</v>
      </c>
      <c r="Q999" s="11">
        <f>IFERROR(+VLOOKUP(M999,D.sign_Lista_Data[[RESPONSABLE]:[SOFTWARE 
VALOR HORA]],5,FALSE)*D.sign_Data[[#This Row],[TIEMPO (HORAS)]],0)</f>
        <v>2110.7733873691318</v>
      </c>
      <c r="R999" s="11">
        <f>IFERROR(+VLOOKUP(M999,D.sign_Lista_Data[[RESPONSABLE]:[SOFTWARE 
VALOR HORA]],8,FALSE)*D.sign_Data[[#This Row],[TIEMPO (HORAS)]],0)</f>
        <v>1705.4274435719917</v>
      </c>
      <c r="S999" s="99"/>
      <c r="T999" s="99"/>
      <c r="U999" s="3">
        <f t="shared" si="37"/>
        <v>13947.913090312959</v>
      </c>
      <c r="V999" s="100">
        <f>D.sign_Data[[#This Row],[TIEMPO (HORAS)]]*Gastos_Operativos[[#Totals],[GASTOS HORA]]</f>
        <v>13894.738536155201</v>
      </c>
      <c r="W999" s="3">
        <f>+D.sign_Data[[#This Row],[COSTO 
DIRECTO ($COP)]]+D.sign_Data[[#This Row],[PRORRATEO GASTOS ($COP)]]</f>
        <v>27842.65162646816</v>
      </c>
      <c r="X999" s="101">
        <v>0.05</v>
      </c>
      <c r="Y999" s="15">
        <f>+D.sign_Data[[#This Row],[COSTOS OPERACIONALES ($COP)]]*D.sign_Data[[#This Row],[DESFASE (%)]]</f>
        <v>1392.132581323408</v>
      </c>
      <c r="Z999" s="101">
        <v>0.3</v>
      </c>
      <c r="AA999" s="15">
        <f>+((D.sign_Data[[#This Row],[COSTOS OPERACIONALES ($COP)]]/(100%-D.sign_Data[[#This Row],[UTILIDAD (%)]])))-D.sign_Data[[#This Row],[COSTOS OPERACIONALES ($COP)]]</f>
        <v>11932.564982772074</v>
      </c>
      <c r="AB999" s="3">
        <f>+D.sign_Data[[#This Row],[COSTOS OPERACIONALES ($COP)]]+D.sign_Data[[#This Row],[DESFASE ($COP)]]+D.sign_Data[[#This Row],[UTILIDAD ($COP)]]</f>
        <v>41167.34919056364</v>
      </c>
      <c r="AC999" s="101">
        <v>0.05</v>
      </c>
      <c r="AD999" s="15">
        <f>+D.sign_Data[[#This Row],[VALOR NETO ($COP)]]/(100%-D.sign_Data[[#This Row],[MARGEN DE NEGOCIACIÓN (%)]])-D.sign_Data[[#This Row],[VALOR NETO ($COP)]]</f>
        <v>2166.7025889770375</v>
      </c>
      <c r="AE999" s="15">
        <f>+(D.sign_Data[[#This Row],[VALOR NETO ($COP)]]+D.sign_Data[[#This Row],[NEGOCIACIÓN ($COP)]])*1%</f>
        <v>433.34051779540681</v>
      </c>
      <c r="AF999" s="15">
        <f>+(D.sign_Data[[#This Row],[VALOR NETO ($COP)]]+D.sign_Data[[#This Row],[NEGOCIACIÓN ($COP)]])*1%</f>
        <v>433.34051779540681</v>
      </c>
      <c r="AG999" s="3">
        <f>+D.sign_Data[[#This Row],[VALOR NETO ($COP)]]+D.sign_Data[[#This Row],[NEGOCIACIÓN ($COP)]]+D.sign_Data[[#This Row],[ICA ($COP)]]+D.sign_Data[[#This Row],[4 * 1000 ($COP)]]</f>
        <v>44200.732815131487</v>
      </c>
    </row>
    <row r="1000" spans="1:33" ht="60" hidden="1" customHeight="1" x14ac:dyDescent="0.25">
      <c r="A1000" s="14"/>
      <c r="B1000" s="87" t="s">
        <v>442</v>
      </c>
      <c r="C1000" s="182" t="s">
        <v>951</v>
      </c>
      <c r="D1000" s="189" t="str">
        <f>VLOOKUP(D.sign_Data[[#This Row],[CÓDIGO]],Descripciones[[CÓDIGO]:[NOMBRE DE SERVICIO]],3,FALSE)</f>
        <v>D3. Vivienda Campestre</v>
      </c>
      <c r="E1000" s="87" t="s">
        <v>497</v>
      </c>
      <c r="F1000" s="88" t="s">
        <v>952</v>
      </c>
      <c r="G1000" s="88" t="s">
        <v>953</v>
      </c>
      <c r="H1000" s="87" t="s">
        <v>448</v>
      </c>
      <c r="I1000" s="89">
        <v>1</v>
      </c>
      <c r="J1000" s="88" t="s">
        <v>958</v>
      </c>
      <c r="K1000" s="102"/>
      <c r="L1000" s="91" t="s">
        <v>478</v>
      </c>
      <c r="M1000" s="89" t="s">
        <v>381</v>
      </c>
      <c r="N1000" s="90">
        <v>0.5</v>
      </c>
      <c r="O1000" s="27">
        <f>IFERROR(+VLOOKUP(M1000,D.sign_Lista_Data[[RESPONSABLE]:[SOFTWARE 
VALOR HORA]],3,FALSE),"0")</f>
        <v>20263.424518743668</v>
      </c>
      <c r="P1000" s="3">
        <f t="shared" si="36"/>
        <v>10131.712259371834</v>
      </c>
      <c r="Q1000" s="11">
        <f>IFERROR(+VLOOKUP(M1000,D.sign_Lista_Data[[RESPONSABLE]:[SOFTWARE 
VALOR HORA]],5,FALSE)*D.sign_Data[[#This Row],[TIEMPO (HORAS)]],0)</f>
        <v>2110.7733873691318</v>
      </c>
      <c r="R1000" s="11">
        <f>IFERROR(+VLOOKUP(M1000,D.sign_Lista_Data[[RESPONSABLE]:[SOFTWARE 
VALOR HORA]],8,FALSE)*D.sign_Data[[#This Row],[TIEMPO (HORAS)]],0)</f>
        <v>1705.4274435719917</v>
      </c>
      <c r="S1000" s="99"/>
      <c r="T1000" s="99"/>
      <c r="U1000" s="3">
        <f t="shared" si="37"/>
        <v>13947.913090312959</v>
      </c>
      <c r="V1000" s="100">
        <f>D.sign_Data[[#This Row],[TIEMPO (HORAS)]]*Gastos_Operativos[[#Totals],[GASTOS HORA]]</f>
        <v>13894.738536155201</v>
      </c>
      <c r="W1000" s="3">
        <f>+D.sign_Data[[#This Row],[COSTO 
DIRECTO ($COP)]]+D.sign_Data[[#This Row],[PRORRATEO GASTOS ($COP)]]</f>
        <v>27842.65162646816</v>
      </c>
      <c r="X1000" s="101">
        <v>0.05</v>
      </c>
      <c r="Y1000" s="15">
        <f>+D.sign_Data[[#This Row],[COSTOS OPERACIONALES ($COP)]]*D.sign_Data[[#This Row],[DESFASE (%)]]</f>
        <v>1392.132581323408</v>
      </c>
      <c r="Z1000" s="101">
        <v>0.3</v>
      </c>
      <c r="AA1000" s="15">
        <f>+((D.sign_Data[[#This Row],[COSTOS OPERACIONALES ($COP)]]/(100%-D.sign_Data[[#This Row],[UTILIDAD (%)]])))-D.sign_Data[[#This Row],[COSTOS OPERACIONALES ($COP)]]</f>
        <v>11932.564982772074</v>
      </c>
      <c r="AB1000" s="3">
        <f>+D.sign_Data[[#This Row],[COSTOS OPERACIONALES ($COP)]]+D.sign_Data[[#This Row],[DESFASE ($COP)]]+D.sign_Data[[#This Row],[UTILIDAD ($COP)]]</f>
        <v>41167.34919056364</v>
      </c>
      <c r="AC1000" s="101">
        <v>0.05</v>
      </c>
      <c r="AD1000" s="15">
        <f>+D.sign_Data[[#This Row],[VALOR NETO ($COP)]]/(100%-D.sign_Data[[#This Row],[MARGEN DE NEGOCIACIÓN (%)]])-D.sign_Data[[#This Row],[VALOR NETO ($COP)]]</f>
        <v>2166.7025889770375</v>
      </c>
      <c r="AE1000" s="15">
        <f>+(D.sign_Data[[#This Row],[VALOR NETO ($COP)]]+D.sign_Data[[#This Row],[NEGOCIACIÓN ($COP)]])*1%</f>
        <v>433.34051779540681</v>
      </c>
      <c r="AF1000" s="15">
        <f>+(D.sign_Data[[#This Row],[VALOR NETO ($COP)]]+D.sign_Data[[#This Row],[NEGOCIACIÓN ($COP)]])*1%</f>
        <v>433.34051779540681</v>
      </c>
      <c r="AG1000" s="3">
        <f>+D.sign_Data[[#This Row],[VALOR NETO ($COP)]]+D.sign_Data[[#This Row],[NEGOCIACIÓN ($COP)]]+D.sign_Data[[#This Row],[ICA ($COP)]]+D.sign_Data[[#This Row],[4 * 1000 ($COP)]]</f>
        <v>44200.732815131487</v>
      </c>
    </row>
    <row r="1001" spans="1:33" ht="60" hidden="1" customHeight="1" x14ac:dyDescent="0.25">
      <c r="A1001" s="14"/>
      <c r="B1001" s="87" t="s">
        <v>442</v>
      </c>
      <c r="C1001" s="182" t="s">
        <v>951</v>
      </c>
      <c r="D1001" s="189" t="str">
        <f>VLOOKUP(D.sign_Data[[#This Row],[CÓDIGO]],Descripciones[[CÓDIGO]:[NOMBRE DE SERVICIO]],3,FALSE)</f>
        <v>D3. Vivienda Campestre</v>
      </c>
      <c r="E1001" s="87" t="s">
        <v>497</v>
      </c>
      <c r="F1001" s="88" t="s">
        <v>952</v>
      </c>
      <c r="G1001" s="88" t="s">
        <v>953</v>
      </c>
      <c r="H1001" s="87" t="s">
        <v>448</v>
      </c>
      <c r="I1001" s="89">
        <v>1</v>
      </c>
      <c r="J1001" s="88" t="s">
        <v>958</v>
      </c>
      <c r="K1001" s="102"/>
      <c r="L1001" s="91" t="s">
        <v>471</v>
      </c>
      <c r="M1001" s="89" t="s">
        <v>381</v>
      </c>
      <c r="N1001" s="90">
        <v>1</v>
      </c>
      <c r="O1001" s="27">
        <f>IFERROR(+VLOOKUP(M1001,D.sign_Lista_Data[[RESPONSABLE]:[SOFTWARE 
VALOR HORA]],3,FALSE),"0")</f>
        <v>20263.424518743668</v>
      </c>
      <c r="P1001" s="3">
        <f t="shared" si="36"/>
        <v>20263.424518743668</v>
      </c>
      <c r="Q1001" s="11">
        <f>IFERROR(+VLOOKUP(M1001,D.sign_Lista_Data[[RESPONSABLE]:[SOFTWARE 
VALOR HORA]],5,FALSE)*D.sign_Data[[#This Row],[TIEMPO (HORAS)]],0)</f>
        <v>4221.5467747382636</v>
      </c>
      <c r="R1001" s="11">
        <f>IFERROR(+VLOOKUP(M1001,D.sign_Lista_Data[[RESPONSABLE]:[SOFTWARE 
VALOR HORA]],8,FALSE)*D.sign_Data[[#This Row],[TIEMPO (HORAS)]],0)</f>
        <v>3410.8548871439834</v>
      </c>
      <c r="S1001" s="99"/>
      <c r="T1001" s="99"/>
      <c r="U1001" s="3">
        <f t="shared" si="37"/>
        <v>27895.826180625918</v>
      </c>
      <c r="V1001" s="100">
        <f>D.sign_Data[[#This Row],[TIEMPO (HORAS)]]*Gastos_Operativos[[#Totals],[GASTOS HORA]]</f>
        <v>27789.477072310401</v>
      </c>
      <c r="W1001" s="3">
        <f>+D.sign_Data[[#This Row],[COSTO 
DIRECTO ($COP)]]+D.sign_Data[[#This Row],[PRORRATEO GASTOS ($COP)]]</f>
        <v>55685.303252936319</v>
      </c>
      <c r="X1001" s="101">
        <v>0.05</v>
      </c>
      <c r="Y1001" s="15">
        <f>+D.sign_Data[[#This Row],[COSTOS OPERACIONALES ($COP)]]*D.sign_Data[[#This Row],[DESFASE (%)]]</f>
        <v>2784.265162646816</v>
      </c>
      <c r="Z1001" s="101">
        <v>0.3</v>
      </c>
      <c r="AA1001" s="15">
        <f>+((D.sign_Data[[#This Row],[COSTOS OPERACIONALES ($COP)]]/(100%-D.sign_Data[[#This Row],[UTILIDAD (%)]])))-D.sign_Data[[#This Row],[COSTOS OPERACIONALES ($COP)]]</f>
        <v>23865.129965544147</v>
      </c>
      <c r="AB1001" s="3">
        <f>+D.sign_Data[[#This Row],[COSTOS OPERACIONALES ($COP)]]+D.sign_Data[[#This Row],[DESFASE ($COP)]]+D.sign_Data[[#This Row],[UTILIDAD ($COP)]]</f>
        <v>82334.69838112728</v>
      </c>
      <c r="AC1001" s="101">
        <v>0.05</v>
      </c>
      <c r="AD1001" s="15">
        <f>+D.sign_Data[[#This Row],[VALOR NETO ($COP)]]/(100%-D.sign_Data[[#This Row],[MARGEN DE NEGOCIACIÓN (%)]])-D.sign_Data[[#This Row],[VALOR NETO ($COP)]]</f>
        <v>4333.405177954075</v>
      </c>
      <c r="AE1001" s="15">
        <f>+(D.sign_Data[[#This Row],[VALOR NETO ($COP)]]+D.sign_Data[[#This Row],[NEGOCIACIÓN ($COP)]])*1%</f>
        <v>866.68103559081362</v>
      </c>
      <c r="AF1001" s="15">
        <f>+(D.sign_Data[[#This Row],[VALOR NETO ($COP)]]+D.sign_Data[[#This Row],[NEGOCIACIÓN ($COP)]])*1%</f>
        <v>866.68103559081362</v>
      </c>
      <c r="AG1001" s="3">
        <f>+D.sign_Data[[#This Row],[VALOR NETO ($COP)]]+D.sign_Data[[#This Row],[NEGOCIACIÓN ($COP)]]+D.sign_Data[[#This Row],[ICA ($COP)]]+D.sign_Data[[#This Row],[4 * 1000 ($COP)]]</f>
        <v>88401.465630262974</v>
      </c>
    </row>
    <row r="1002" spans="1:33" ht="60" hidden="1" customHeight="1" x14ac:dyDescent="0.25">
      <c r="A1002" s="14"/>
      <c r="B1002" s="87" t="s">
        <v>442</v>
      </c>
      <c r="C1002" s="182" t="s">
        <v>951</v>
      </c>
      <c r="D1002" s="189" t="str">
        <f>VLOOKUP(D.sign_Data[[#This Row],[CÓDIGO]],Descripciones[[CÓDIGO]:[NOMBRE DE SERVICIO]],3,FALSE)</f>
        <v>D3. Vivienda Campestre</v>
      </c>
      <c r="E1002" s="87" t="s">
        <v>497</v>
      </c>
      <c r="F1002" s="88" t="s">
        <v>952</v>
      </c>
      <c r="G1002" s="88" t="s">
        <v>953</v>
      </c>
      <c r="H1002" s="87" t="s">
        <v>448</v>
      </c>
      <c r="I1002" s="89">
        <v>1</v>
      </c>
      <c r="J1002" s="88" t="s">
        <v>958</v>
      </c>
      <c r="K1002" s="102"/>
      <c r="L1002" s="91" t="s">
        <v>473</v>
      </c>
      <c r="M1002" s="89" t="s">
        <v>381</v>
      </c>
      <c r="N1002" s="90">
        <v>0.25</v>
      </c>
      <c r="O1002" s="27">
        <f>IFERROR(+VLOOKUP(M1002,D.sign_Lista_Data[[RESPONSABLE]:[SOFTWARE 
VALOR HORA]],3,FALSE),"0")</f>
        <v>20263.424518743668</v>
      </c>
      <c r="P1002" s="3">
        <f t="shared" si="36"/>
        <v>5065.856129685917</v>
      </c>
      <c r="Q1002" s="11">
        <f>IFERROR(+VLOOKUP(M1002,D.sign_Lista_Data[[RESPONSABLE]:[SOFTWARE 
VALOR HORA]],5,FALSE)*D.sign_Data[[#This Row],[TIEMPO (HORAS)]],0)</f>
        <v>1055.3866936845659</v>
      </c>
      <c r="R1002" s="11">
        <f>IFERROR(+VLOOKUP(M1002,D.sign_Lista_Data[[RESPONSABLE]:[SOFTWARE 
VALOR HORA]],8,FALSE)*D.sign_Data[[#This Row],[TIEMPO (HORAS)]],0)</f>
        <v>852.71372178599586</v>
      </c>
      <c r="S1002" s="99"/>
      <c r="T1002" s="99"/>
      <c r="U1002" s="3">
        <f t="shared" si="37"/>
        <v>6973.9565451564795</v>
      </c>
      <c r="V1002" s="100">
        <f>D.sign_Data[[#This Row],[TIEMPO (HORAS)]]*Gastos_Operativos[[#Totals],[GASTOS HORA]]</f>
        <v>6947.3692680776003</v>
      </c>
      <c r="W1002" s="3">
        <f>+D.sign_Data[[#This Row],[COSTO 
DIRECTO ($COP)]]+D.sign_Data[[#This Row],[PRORRATEO GASTOS ($COP)]]</f>
        <v>13921.32581323408</v>
      </c>
      <c r="X1002" s="101">
        <v>0.05</v>
      </c>
      <c r="Y1002" s="15">
        <f>+D.sign_Data[[#This Row],[COSTOS OPERACIONALES ($COP)]]*D.sign_Data[[#This Row],[DESFASE (%)]]</f>
        <v>696.06629066170399</v>
      </c>
      <c r="Z1002" s="101">
        <v>0.3</v>
      </c>
      <c r="AA1002" s="15">
        <f>+((D.sign_Data[[#This Row],[COSTOS OPERACIONALES ($COP)]]/(100%-D.sign_Data[[#This Row],[UTILIDAD (%)]])))-D.sign_Data[[#This Row],[COSTOS OPERACIONALES ($COP)]]</f>
        <v>5966.2824913860368</v>
      </c>
      <c r="AB1002" s="3">
        <f>+D.sign_Data[[#This Row],[COSTOS OPERACIONALES ($COP)]]+D.sign_Data[[#This Row],[DESFASE ($COP)]]+D.sign_Data[[#This Row],[UTILIDAD ($COP)]]</f>
        <v>20583.67459528182</v>
      </c>
      <c r="AC1002" s="101">
        <v>0.05</v>
      </c>
      <c r="AD1002" s="15">
        <f>+D.sign_Data[[#This Row],[VALOR NETO ($COP)]]/(100%-D.sign_Data[[#This Row],[MARGEN DE NEGOCIACIÓN (%)]])-D.sign_Data[[#This Row],[VALOR NETO ($COP)]]</f>
        <v>1083.3512944885188</v>
      </c>
      <c r="AE1002" s="15">
        <f>+(D.sign_Data[[#This Row],[VALOR NETO ($COP)]]+D.sign_Data[[#This Row],[NEGOCIACIÓN ($COP)]])*1%</f>
        <v>216.67025889770341</v>
      </c>
      <c r="AF1002" s="15">
        <f>+(D.sign_Data[[#This Row],[VALOR NETO ($COP)]]+D.sign_Data[[#This Row],[NEGOCIACIÓN ($COP)]])*1%</f>
        <v>216.67025889770341</v>
      </c>
      <c r="AG1002" s="3">
        <f>+D.sign_Data[[#This Row],[VALOR NETO ($COP)]]+D.sign_Data[[#This Row],[NEGOCIACIÓN ($COP)]]+D.sign_Data[[#This Row],[ICA ($COP)]]+D.sign_Data[[#This Row],[4 * 1000 ($COP)]]</f>
        <v>22100.366407565743</v>
      </c>
    </row>
    <row r="1003" spans="1:33" ht="60" hidden="1" customHeight="1" x14ac:dyDescent="0.25">
      <c r="A1003" s="14"/>
      <c r="B1003" s="87" t="s">
        <v>442</v>
      </c>
      <c r="C1003" s="182" t="s">
        <v>951</v>
      </c>
      <c r="D1003" s="189" t="str">
        <f>VLOOKUP(D.sign_Data[[#This Row],[CÓDIGO]],Descripciones[[CÓDIGO]:[NOMBRE DE SERVICIO]],3,FALSE)</f>
        <v>D3. Vivienda Campestre</v>
      </c>
      <c r="E1003" s="87" t="s">
        <v>497</v>
      </c>
      <c r="F1003" s="88" t="s">
        <v>952</v>
      </c>
      <c r="G1003" s="88" t="s">
        <v>953</v>
      </c>
      <c r="H1003" s="87" t="s">
        <v>448</v>
      </c>
      <c r="I1003" s="89">
        <v>1</v>
      </c>
      <c r="J1003" s="88" t="s">
        <v>958</v>
      </c>
      <c r="K1003" s="102"/>
      <c r="L1003" s="88" t="s">
        <v>474</v>
      </c>
      <c r="M1003" s="89" t="s">
        <v>381</v>
      </c>
      <c r="N1003" s="90">
        <v>0.1</v>
      </c>
      <c r="O1003" s="27">
        <f>IFERROR(+VLOOKUP(M1003,D.sign_Lista_Data[[RESPONSABLE]:[SOFTWARE 
VALOR HORA]],3,FALSE),"0")</f>
        <v>20263.424518743668</v>
      </c>
      <c r="P1003" s="3">
        <f t="shared" si="36"/>
        <v>2026.3424518743668</v>
      </c>
      <c r="Q1003" s="11">
        <f>IFERROR(+VLOOKUP(M1003,D.sign_Lista_Data[[RESPONSABLE]:[SOFTWARE 
VALOR HORA]],5,FALSE)*D.sign_Data[[#This Row],[TIEMPO (HORAS)]],0)</f>
        <v>422.15467747382638</v>
      </c>
      <c r="R1003" s="11">
        <f>IFERROR(+VLOOKUP(M1003,D.sign_Lista_Data[[RESPONSABLE]:[SOFTWARE 
VALOR HORA]],8,FALSE)*D.sign_Data[[#This Row],[TIEMPO (HORAS)]],0)</f>
        <v>341.08548871439837</v>
      </c>
      <c r="S1003" s="99"/>
      <c r="T1003" s="99"/>
      <c r="U1003" s="3">
        <f t="shared" si="37"/>
        <v>2789.5826180625913</v>
      </c>
      <c r="V1003" s="100">
        <f>D.sign_Data[[#This Row],[TIEMPO (HORAS)]]*Gastos_Operativos[[#Totals],[GASTOS HORA]]</f>
        <v>2778.9477072310401</v>
      </c>
      <c r="W1003" s="3">
        <f>+D.sign_Data[[#This Row],[COSTO 
DIRECTO ($COP)]]+D.sign_Data[[#This Row],[PRORRATEO GASTOS ($COP)]]</f>
        <v>5568.5303252936319</v>
      </c>
      <c r="X1003" s="101">
        <v>0.05</v>
      </c>
      <c r="Y1003" s="15">
        <f>+D.sign_Data[[#This Row],[COSTOS OPERACIONALES ($COP)]]*D.sign_Data[[#This Row],[DESFASE (%)]]</f>
        <v>278.4265162646816</v>
      </c>
      <c r="Z1003" s="101">
        <v>0.3</v>
      </c>
      <c r="AA1003" s="15">
        <f>+((D.sign_Data[[#This Row],[COSTOS OPERACIONALES ($COP)]]/(100%-D.sign_Data[[#This Row],[UTILIDAD (%)]])))-D.sign_Data[[#This Row],[COSTOS OPERACIONALES ($COP)]]</f>
        <v>2386.5129965544138</v>
      </c>
      <c r="AB1003" s="3">
        <f>+D.sign_Data[[#This Row],[COSTOS OPERACIONALES ($COP)]]+D.sign_Data[[#This Row],[DESFASE ($COP)]]+D.sign_Data[[#This Row],[UTILIDAD ($COP)]]</f>
        <v>8233.4698381127273</v>
      </c>
      <c r="AC1003" s="101">
        <v>0.05</v>
      </c>
      <c r="AD1003" s="15">
        <f>+D.sign_Data[[#This Row],[VALOR NETO ($COP)]]/(100%-D.sign_Data[[#This Row],[MARGEN DE NEGOCIACIÓN (%)]])-D.sign_Data[[#This Row],[VALOR NETO ($COP)]]</f>
        <v>433.34051779540641</v>
      </c>
      <c r="AE1003" s="15">
        <f>+(D.sign_Data[[#This Row],[VALOR NETO ($COP)]]+D.sign_Data[[#This Row],[NEGOCIACIÓN ($COP)]])*1%</f>
        <v>86.668103559081345</v>
      </c>
      <c r="AF1003" s="15">
        <f>+(D.sign_Data[[#This Row],[VALOR NETO ($COP)]]+D.sign_Data[[#This Row],[NEGOCIACIÓN ($COP)]])*1%</f>
        <v>86.668103559081345</v>
      </c>
      <c r="AG1003" s="3">
        <f>+D.sign_Data[[#This Row],[VALOR NETO ($COP)]]+D.sign_Data[[#This Row],[NEGOCIACIÓN ($COP)]]+D.sign_Data[[#This Row],[ICA ($COP)]]+D.sign_Data[[#This Row],[4 * 1000 ($COP)]]</f>
        <v>8840.1465630262956</v>
      </c>
    </row>
    <row r="1004" spans="1:33" ht="60" hidden="1" customHeight="1" x14ac:dyDescent="0.25">
      <c r="A1004" s="14"/>
      <c r="B1004" s="87" t="s">
        <v>442</v>
      </c>
      <c r="C1004" s="182" t="s">
        <v>951</v>
      </c>
      <c r="D1004" s="189" t="str">
        <f>VLOOKUP(D.sign_Data[[#This Row],[CÓDIGO]],Descripciones[[CÓDIGO]:[NOMBRE DE SERVICIO]],3,FALSE)</f>
        <v>D3. Vivienda Campestre</v>
      </c>
      <c r="E1004" s="87" t="s">
        <v>497</v>
      </c>
      <c r="F1004" s="88" t="s">
        <v>952</v>
      </c>
      <c r="G1004" s="88" t="s">
        <v>953</v>
      </c>
      <c r="H1004" s="87" t="s">
        <v>448</v>
      </c>
      <c r="I1004" s="89">
        <v>1</v>
      </c>
      <c r="J1004" s="88" t="s">
        <v>936</v>
      </c>
      <c r="K1004" s="102"/>
      <c r="L1004" s="88" t="s">
        <v>490</v>
      </c>
      <c r="M1004" s="89" t="s">
        <v>381</v>
      </c>
      <c r="N1004" s="90">
        <v>0.5</v>
      </c>
      <c r="O1004" s="27">
        <f>IFERROR(+VLOOKUP(M1004,D.sign_Lista_Data[[RESPONSABLE]:[SOFTWARE 
VALOR HORA]],3,FALSE),"0")</f>
        <v>20263.424518743668</v>
      </c>
      <c r="P1004" s="3">
        <f t="shared" si="36"/>
        <v>10131.712259371834</v>
      </c>
      <c r="Q1004" s="11">
        <f>IFERROR(+VLOOKUP(M1004,D.sign_Lista_Data[[RESPONSABLE]:[SOFTWARE 
VALOR HORA]],5,FALSE)*D.sign_Data[[#This Row],[TIEMPO (HORAS)]],0)</f>
        <v>2110.7733873691318</v>
      </c>
      <c r="R1004" s="11">
        <f>IFERROR(+VLOOKUP(M1004,D.sign_Lista_Data[[RESPONSABLE]:[SOFTWARE 
VALOR HORA]],8,FALSE)*D.sign_Data[[#This Row],[TIEMPO (HORAS)]],0)</f>
        <v>1705.4274435719917</v>
      </c>
      <c r="S1004" s="99"/>
      <c r="T1004" s="99"/>
      <c r="U1004" s="3">
        <f t="shared" si="37"/>
        <v>13947.913090312959</v>
      </c>
      <c r="V1004" s="100">
        <f>D.sign_Data[[#This Row],[TIEMPO (HORAS)]]*Gastos_Operativos[[#Totals],[GASTOS HORA]]</f>
        <v>13894.738536155201</v>
      </c>
      <c r="W1004" s="3">
        <f>+D.sign_Data[[#This Row],[COSTO 
DIRECTO ($COP)]]+D.sign_Data[[#This Row],[PRORRATEO GASTOS ($COP)]]</f>
        <v>27842.65162646816</v>
      </c>
      <c r="X1004" s="101">
        <v>0.05</v>
      </c>
      <c r="Y1004" s="15">
        <f>+D.sign_Data[[#This Row],[COSTOS OPERACIONALES ($COP)]]*D.sign_Data[[#This Row],[DESFASE (%)]]</f>
        <v>1392.132581323408</v>
      </c>
      <c r="Z1004" s="101">
        <v>0.3</v>
      </c>
      <c r="AA1004" s="15">
        <f>+((D.sign_Data[[#This Row],[COSTOS OPERACIONALES ($COP)]]/(100%-D.sign_Data[[#This Row],[UTILIDAD (%)]])))-D.sign_Data[[#This Row],[COSTOS OPERACIONALES ($COP)]]</f>
        <v>11932.564982772074</v>
      </c>
      <c r="AB1004" s="3">
        <f>+D.sign_Data[[#This Row],[COSTOS OPERACIONALES ($COP)]]+D.sign_Data[[#This Row],[DESFASE ($COP)]]+D.sign_Data[[#This Row],[UTILIDAD ($COP)]]</f>
        <v>41167.34919056364</v>
      </c>
      <c r="AC1004" s="101">
        <v>0.05</v>
      </c>
      <c r="AD1004" s="15">
        <f>+D.sign_Data[[#This Row],[VALOR NETO ($COP)]]/(100%-D.sign_Data[[#This Row],[MARGEN DE NEGOCIACIÓN (%)]])-D.sign_Data[[#This Row],[VALOR NETO ($COP)]]</f>
        <v>2166.7025889770375</v>
      </c>
      <c r="AE1004" s="15">
        <f>+(D.sign_Data[[#This Row],[VALOR NETO ($COP)]]+D.sign_Data[[#This Row],[NEGOCIACIÓN ($COP)]])*1%</f>
        <v>433.34051779540681</v>
      </c>
      <c r="AF1004" s="15">
        <f>+(D.sign_Data[[#This Row],[VALOR NETO ($COP)]]+D.sign_Data[[#This Row],[NEGOCIACIÓN ($COP)]])*1%</f>
        <v>433.34051779540681</v>
      </c>
      <c r="AG1004" s="3">
        <f>+D.sign_Data[[#This Row],[VALOR NETO ($COP)]]+D.sign_Data[[#This Row],[NEGOCIACIÓN ($COP)]]+D.sign_Data[[#This Row],[ICA ($COP)]]+D.sign_Data[[#This Row],[4 * 1000 ($COP)]]</f>
        <v>44200.732815131487</v>
      </c>
    </row>
    <row r="1005" spans="1:33" ht="60" hidden="1" customHeight="1" x14ac:dyDescent="0.25">
      <c r="A1005" s="14"/>
      <c r="B1005" s="87" t="s">
        <v>442</v>
      </c>
      <c r="C1005" s="182" t="s">
        <v>951</v>
      </c>
      <c r="D1005" s="189" t="str">
        <f>VLOOKUP(D.sign_Data[[#This Row],[CÓDIGO]],Descripciones[[CÓDIGO]:[NOMBRE DE SERVICIO]],3,FALSE)</f>
        <v>D3. Vivienda Campestre</v>
      </c>
      <c r="E1005" s="87" t="s">
        <v>497</v>
      </c>
      <c r="F1005" s="88" t="s">
        <v>952</v>
      </c>
      <c r="G1005" s="88" t="s">
        <v>953</v>
      </c>
      <c r="H1005" s="87" t="s">
        <v>448</v>
      </c>
      <c r="I1005" s="89">
        <v>1</v>
      </c>
      <c r="J1005" s="88" t="s">
        <v>937</v>
      </c>
      <c r="K1005" s="102"/>
      <c r="L1005" s="88" t="s">
        <v>492</v>
      </c>
      <c r="M1005" s="89" t="s">
        <v>381</v>
      </c>
      <c r="N1005" s="90">
        <v>0.6</v>
      </c>
      <c r="O1005" s="27">
        <f>IFERROR(+VLOOKUP(M1005,D.sign_Lista_Data[[RESPONSABLE]:[SOFTWARE 
VALOR HORA]],3,FALSE),"0")</f>
        <v>20263.424518743668</v>
      </c>
      <c r="P1005" s="3">
        <f t="shared" si="36"/>
        <v>12158.054711246201</v>
      </c>
      <c r="Q1005" s="11">
        <f>IFERROR(+VLOOKUP(M1005,D.sign_Lista_Data[[RESPONSABLE]:[SOFTWARE 
VALOR HORA]],5,FALSE)*D.sign_Data[[#This Row],[TIEMPO (HORAS)]],0)</f>
        <v>2532.9280648429581</v>
      </c>
      <c r="R1005" s="11">
        <f>IFERROR(+VLOOKUP(M1005,D.sign_Lista_Data[[RESPONSABLE]:[SOFTWARE 
VALOR HORA]],8,FALSE)*D.sign_Data[[#This Row],[TIEMPO (HORAS)]],0)</f>
        <v>2046.51293228639</v>
      </c>
      <c r="S1005" s="99"/>
      <c r="T1005" s="99"/>
      <c r="U1005" s="3">
        <f t="shared" si="37"/>
        <v>16737.495708375547</v>
      </c>
      <c r="V1005" s="100">
        <f>D.sign_Data[[#This Row],[TIEMPO (HORAS)]]*Gastos_Operativos[[#Totals],[GASTOS HORA]]</f>
        <v>16673.686243386241</v>
      </c>
      <c r="W1005" s="3">
        <f>+D.sign_Data[[#This Row],[COSTO 
DIRECTO ($COP)]]+D.sign_Data[[#This Row],[PRORRATEO GASTOS ($COP)]]</f>
        <v>33411.181951761784</v>
      </c>
      <c r="X1005" s="101">
        <v>0.05</v>
      </c>
      <c r="Y1005" s="15">
        <f>+D.sign_Data[[#This Row],[COSTOS OPERACIONALES ($COP)]]*D.sign_Data[[#This Row],[DESFASE (%)]]</f>
        <v>1670.5590975880893</v>
      </c>
      <c r="Z1005" s="101">
        <v>0.3</v>
      </c>
      <c r="AA1005" s="15">
        <f>+((D.sign_Data[[#This Row],[COSTOS OPERACIONALES ($COP)]]/(100%-D.sign_Data[[#This Row],[UTILIDAD (%)]])))-D.sign_Data[[#This Row],[COSTOS OPERACIONALES ($COP)]]</f>
        <v>14319.077979326481</v>
      </c>
      <c r="AB1005" s="3">
        <f>+D.sign_Data[[#This Row],[COSTOS OPERACIONALES ($COP)]]+D.sign_Data[[#This Row],[DESFASE ($COP)]]+D.sign_Data[[#This Row],[UTILIDAD ($COP)]]</f>
        <v>49400.819028676357</v>
      </c>
      <c r="AC1005" s="101">
        <v>0.05</v>
      </c>
      <c r="AD1005" s="15">
        <f>+D.sign_Data[[#This Row],[VALOR NETO ($COP)]]/(100%-D.sign_Data[[#This Row],[MARGEN DE NEGOCIACIÓN (%)]])-D.sign_Data[[#This Row],[VALOR NETO ($COP)]]</f>
        <v>2600.0431067724421</v>
      </c>
      <c r="AE1005" s="15">
        <f>+(D.sign_Data[[#This Row],[VALOR NETO ($COP)]]+D.sign_Data[[#This Row],[NEGOCIACIÓN ($COP)]])*1%</f>
        <v>520.00862135448801</v>
      </c>
      <c r="AF1005" s="15">
        <f>+(D.sign_Data[[#This Row],[VALOR NETO ($COP)]]+D.sign_Data[[#This Row],[NEGOCIACIÓN ($COP)]])*1%</f>
        <v>520.00862135448801</v>
      </c>
      <c r="AG1005" s="3">
        <f>+D.sign_Data[[#This Row],[VALOR NETO ($COP)]]+D.sign_Data[[#This Row],[NEGOCIACIÓN ($COP)]]+D.sign_Data[[#This Row],[ICA ($COP)]]+D.sign_Data[[#This Row],[4 * 1000 ($COP)]]</f>
        <v>53040.87937815777</v>
      </c>
    </row>
    <row r="1006" spans="1:33" ht="60" hidden="1" customHeight="1" x14ac:dyDescent="0.25">
      <c r="A1006" s="14"/>
      <c r="B1006" s="87" t="s">
        <v>442</v>
      </c>
      <c r="C1006" s="182" t="s">
        <v>951</v>
      </c>
      <c r="D1006" s="189" t="str">
        <f>VLOOKUP(D.sign_Data[[#This Row],[CÓDIGO]],Descripciones[[CÓDIGO]:[NOMBRE DE SERVICIO]],3,FALSE)</f>
        <v>D3. Vivienda Campestre</v>
      </c>
      <c r="E1006" s="87" t="s">
        <v>497</v>
      </c>
      <c r="F1006" s="88" t="s">
        <v>952</v>
      </c>
      <c r="G1006" s="88" t="s">
        <v>953</v>
      </c>
      <c r="H1006" s="87" t="s">
        <v>448</v>
      </c>
      <c r="I1006" s="89">
        <v>1</v>
      </c>
      <c r="J1006" s="88" t="s">
        <v>937</v>
      </c>
      <c r="K1006" s="102"/>
      <c r="L1006" s="91" t="s">
        <v>483</v>
      </c>
      <c r="M1006" s="89" t="s">
        <v>381</v>
      </c>
      <c r="N1006" s="90">
        <v>0.1</v>
      </c>
      <c r="O1006" s="27">
        <f>IFERROR(+VLOOKUP(M1006,D.sign_Lista_Data[[RESPONSABLE]:[SOFTWARE 
VALOR HORA]],3,FALSE),"0")</f>
        <v>20263.424518743668</v>
      </c>
      <c r="P1006" s="3">
        <f t="shared" si="36"/>
        <v>2026.3424518743668</v>
      </c>
      <c r="Q1006" s="11">
        <f>IFERROR(+VLOOKUP(M1006,D.sign_Lista_Data[[RESPONSABLE]:[SOFTWARE 
VALOR HORA]],5,FALSE)*D.sign_Data[[#This Row],[TIEMPO (HORAS)]],0)</f>
        <v>422.15467747382638</v>
      </c>
      <c r="R1006" s="11">
        <f>IFERROR(+VLOOKUP(M1006,D.sign_Lista_Data[[RESPONSABLE]:[SOFTWARE 
VALOR HORA]],8,FALSE)*D.sign_Data[[#This Row],[TIEMPO (HORAS)]],0)</f>
        <v>341.08548871439837</v>
      </c>
      <c r="S1006" s="99"/>
      <c r="T1006" s="99"/>
      <c r="U1006" s="3">
        <f t="shared" si="37"/>
        <v>2789.5826180625913</v>
      </c>
      <c r="V1006" s="100">
        <f>D.sign_Data[[#This Row],[TIEMPO (HORAS)]]*Gastos_Operativos[[#Totals],[GASTOS HORA]]</f>
        <v>2778.9477072310401</v>
      </c>
      <c r="W1006" s="3">
        <f>+D.sign_Data[[#This Row],[COSTO 
DIRECTO ($COP)]]+D.sign_Data[[#This Row],[PRORRATEO GASTOS ($COP)]]</f>
        <v>5568.5303252936319</v>
      </c>
      <c r="X1006" s="101">
        <v>0.05</v>
      </c>
      <c r="Y1006" s="15">
        <f>+D.sign_Data[[#This Row],[COSTOS OPERACIONALES ($COP)]]*D.sign_Data[[#This Row],[DESFASE (%)]]</f>
        <v>278.4265162646816</v>
      </c>
      <c r="Z1006" s="101">
        <v>0.3</v>
      </c>
      <c r="AA1006" s="15">
        <f>+((D.sign_Data[[#This Row],[COSTOS OPERACIONALES ($COP)]]/(100%-D.sign_Data[[#This Row],[UTILIDAD (%)]])))-D.sign_Data[[#This Row],[COSTOS OPERACIONALES ($COP)]]</f>
        <v>2386.5129965544138</v>
      </c>
      <c r="AB1006" s="3">
        <f>+D.sign_Data[[#This Row],[COSTOS OPERACIONALES ($COP)]]+D.sign_Data[[#This Row],[DESFASE ($COP)]]+D.sign_Data[[#This Row],[UTILIDAD ($COP)]]</f>
        <v>8233.4698381127273</v>
      </c>
      <c r="AC1006" s="101">
        <v>0.05</v>
      </c>
      <c r="AD1006" s="15">
        <f>+D.sign_Data[[#This Row],[VALOR NETO ($COP)]]/(100%-D.sign_Data[[#This Row],[MARGEN DE NEGOCIACIÓN (%)]])-D.sign_Data[[#This Row],[VALOR NETO ($COP)]]</f>
        <v>433.34051779540641</v>
      </c>
      <c r="AE1006" s="15">
        <f>+(D.sign_Data[[#This Row],[VALOR NETO ($COP)]]+D.sign_Data[[#This Row],[NEGOCIACIÓN ($COP)]])*1%</f>
        <v>86.668103559081345</v>
      </c>
      <c r="AF1006" s="15">
        <f>+(D.sign_Data[[#This Row],[VALOR NETO ($COP)]]+D.sign_Data[[#This Row],[NEGOCIACIÓN ($COP)]])*1%</f>
        <v>86.668103559081345</v>
      </c>
      <c r="AG1006" s="3">
        <f>+D.sign_Data[[#This Row],[VALOR NETO ($COP)]]+D.sign_Data[[#This Row],[NEGOCIACIÓN ($COP)]]+D.sign_Data[[#This Row],[ICA ($COP)]]+D.sign_Data[[#This Row],[4 * 1000 ($COP)]]</f>
        <v>8840.1465630262956</v>
      </c>
    </row>
    <row r="1007" spans="1:33" ht="60" hidden="1" customHeight="1" x14ac:dyDescent="0.25">
      <c r="A1007" s="14"/>
      <c r="B1007" s="87" t="s">
        <v>493</v>
      </c>
      <c r="C1007" s="182" t="s">
        <v>959</v>
      </c>
      <c r="D1007" s="189" t="str">
        <f>VLOOKUP(D.sign_Data[[#This Row],[CÓDIGO]],Descripciones[[CÓDIGO]:[NOMBRE DE SERVICIO]],3,FALSE)</f>
        <v>D3. Vivienda Campestre</v>
      </c>
      <c r="E1007" s="87" t="s">
        <v>497</v>
      </c>
      <c r="F1007" s="88" t="s">
        <v>960</v>
      </c>
      <c r="G1007" s="88" t="s">
        <v>961</v>
      </c>
      <c r="H1007" s="104" t="s">
        <v>207</v>
      </c>
      <c r="I1007" s="89">
        <v>1</v>
      </c>
      <c r="J1007" s="88" t="s">
        <v>962</v>
      </c>
      <c r="K1007" s="102"/>
      <c r="L1007" s="88" t="s">
        <v>963</v>
      </c>
      <c r="M1007" s="89" t="s">
        <v>381</v>
      </c>
      <c r="N1007" s="90">
        <v>1</v>
      </c>
      <c r="O1007" s="27">
        <f>IFERROR(+VLOOKUP(M1007,D.sign_Lista_Data[[RESPONSABLE]:[SOFTWARE 
VALOR HORA]],3,FALSE),"0")</f>
        <v>20263.424518743668</v>
      </c>
      <c r="P1007" s="3">
        <f t="shared" si="34"/>
        <v>20263.424518743668</v>
      </c>
      <c r="Q1007" s="11">
        <f>IFERROR(+VLOOKUP(M1007,D.sign_Lista_Data[[RESPONSABLE]:[SOFTWARE 
VALOR HORA]],5,FALSE)*D.sign_Data[[#This Row],[TIEMPO (HORAS)]],0)</f>
        <v>4221.5467747382636</v>
      </c>
      <c r="R1007" s="42">
        <f>IFERROR(+VLOOKUP(M1007,D.sign_Lista_Data[[RESPONSABLE]:[SOFTWARE 
VALOR HORA]],8,FALSE)*D.sign_Data[[#This Row],[TIEMPO (HORAS)]],0)</f>
        <v>3410.8548871439834</v>
      </c>
      <c r="S1007" s="99"/>
      <c r="T1007" s="99">
        <v>250000</v>
      </c>
      <c r="U1007" s="3">
        <f t="shared" si="35"/>
        <v>277895.82618062594</v>
      </c>
      <c r="V1007" s="100">
        <f>D.sign_Data[[#This Row],[TIEMPO (HORAS)]]*Gastos_Operativos[[#Totals],[GASTOS HORA]]</f>
        <v>27789.477072310401</v>
      </c>
      <c r="W1007" s="3">
        <f>+D.sign_Data[[#This Row],[COSTO 
DIRECTO ($COP)]]+D.sign_Data[[#This Row],[PRORRATEO GASTOS ($COP)]]</f>
        <v>305685.30325293634</v>
      </c>
      <c r="X1007" s="101">
        <v>0.2</v>
      </c>
      <c r="Y1007" s="15">
        <f>+D.sign_Data[[#This Row],[COSTOS OPERACIONALES ($COP)]]*D.sign_Data[[#This Row],[DESFASE (%)]]</f>
        <v>61137.060650587271</v>
      </c>
      <c r="Z1007" s="101">
        <v>0.15</v>
      </c>
      <c r="AA1007" s="15">
        <f>+((D.sign_Data[[#This Row],[COSTOS OPERACIONALES ($COP)]]/(100%-D.sign_Data[[#This Row],[UTILIDAD (%)]])))-D.sign_Data[[#This Row],[COSTOS OPERACIONALES ($COP)]]</f>
        <v>53944.46527992998</v>
      </c>
      <c r="AB1007" s="3">
        <f>+D.sign_Data[[#This Row],[COSTOS OPERACIONALES ($COP)]]+D.sign_Data[[#This Row],[DESFASE ($COP)]]+D.sign_Data[[#This Row],[UTILIDAD ($COP)]]</f>
        <v>420766.82918345358</v>
      </c>
      <c r="AC1007" s="101">
        <v>0.05</v>
      </c>
      <c r="AD1007" s="15">
        <f>+D.sign_Data[[#This Row],[VALOR NETO ($COP)]]/(100%-D.sign_Data[[#This Row],[MARGEN DE NEGOCIACIÓN (%)]])-D.sign_Data[[#This Row],[VALOR NETO ($COP)]]</f>
        <v>22145.622588602826</v>
      </c>
      <c r="AE1007" s="15">
        <f>+(D.sign_Data[[#This Row],[VALOR NETO ($COP)]]+D.sign_Data[[#This Row],[NEGOCIACIÓN ($COP)]])*1%</f>
        <v>4429.1245177205637</v>
      </c>
      <c r="AF1007" s="15">
        <f>+(D.sign_Data[[#This Row],[VALOR NETO ($COP)]]+D.sign_Data[[#This Row],[NEGOCIACIÓN ($COP)]])*1%</f>
        <v>4429.1245177205637</v>
      </c>
      <c r="AG1007" s="3">
        <f>+D.sign_Data[[#This Row],[VALOR NETO ($COP)]]+D.sign_Data[[#This Row],[NEGOCIACIÓN ($COP)]]+D.sign_Data[[#This Row],[ICA ($COP)]]+D.sign_Data[[#This Row],[4 * 1000 ($COP)]]</f>
        <v>451770.70080749749</v>
      </c>
    </row>
    <row r="1008" spans="1:33" ht="60" hidden="1" customHeight="1" x14ac:dyDescent="0.25">
      <c r="A1008" s="14"/>
      <c r="B1008" s="87" t="s">
        <v>493</v>
      </c>
      <c r="C1008" s="182" t="s">
        <v>959</v>
      </c>
      <c r="D1008" s="189" t="str">
        <f>VLOOKUP(D.sign_Data[[#This Row],[CÓDIGO]],Descripciones[[CÓDIGO]:[NOMBRE DE SERVICIO]],3,FALSE)</f>
        <v>D3. Vivienda Campestre</v>
      </c>
      <c r="E1008" s="87" t="s">
        <v>497</v>
      </c>
      <c r="F1008" s="88" t="s">
        <v>960</v>
      </c>
      <c r="G1008" s="88" t="s">
        <v>961</v>
      </c>
      <c r="H1008" s="104" t="s">
        <v>207</v>
      </c>
      <c r="I1008" s="89">
        <v>1</v>
      </c>
      <c r="J1008" s="88" t="s">
        <v>964</v>
      </c>
      <c r="K1008" s="102"/>
      <c r="L1008" s="88" t="s">
        <v>965</v>
      </c>
      <c r="M1008" s="89" t="s">
        <v>381</v>
      </c>
      <c r="N1008" s="90">
        <v>8</v>
      </c>
      <c r="O1008" s="27">
        <f>IFERROR(+VLOOKUP(M1008,D.sign_Lista_Data[[RESPONSABLE]:[SOFTWARE 
VALOR HORA]],3,FALSE),"0")</f>
        <v>20263.424518743668</v>
      </c>
      <c r="P1008" s="3">
        <f t="shared" si="34"/>
        <v>162107.39614994935</v>
      </c>
      <c r="Q1008" s="11">
        <f>IFERROR(+VLOOKUP(M1008,D.sign_Lista_Data[[RESPONSABLE]:[SOFTWARE 
VALOR HORA]],5,FALSE)*D.sign_Data[[#This Row],[TIEMPO (HORAS)]],0)</f>
        <v>33772.374197906109</v>
      </c>
      <c r="R1008" s="42">
        <f>IFERROR(+VLOOKUP(M1008,D.sign_Lista_Data[[RESPONSABLE]:[SOFTWARE 
VALOR HORA]],8,FALSE)*D.sign_Data[[#This Row],[TIEMPO (HORAS)]],0)</f>
        <v>27286.839097151867</v>
      </c>
      <c r="S1008" s="99"/>
      <c r="T1008" s="99">
        <v>600000</v>
      </c>
      <c r="U1008" s="3">
        <f t="shared" si="35"/>
        <v>823166.60944500729</v>
      </c>
      <c r="V1008" s="100">
        <f>D.sign_Data[[#This Row],[TIEMPO (HORAS)]]*Gastos_Operativos[[#Totals],[GASTOS HORA]]</f>
        <v>222315.81657848321</v>
      </c>
      <c r="W1008" s="3">
        <f>+D.sign_Data[[#This Row],[COSTO 
DIRECTO ($COP)]]+D.sign_Data[[#This Row],[PRORRATEO GASTOS ($COP)]]</f>
        <v>1045482.4260234905</v>
      </c>
      <c r="X1008" s="101">
        <v>0.2</v>
      </c>
      <c r="Y1008" s="15">
        <f>+D.sign_Data[[#This Row],[COSTOS OPERACIONALES ($COP)]]*D.sign_Data[[#This Row],[DESFASE (%)]]</f>
        <v>209096.48520469811</v>
      </c>
      <c r="Z1008" s="101">
        <v>0.15</v>
      </c>
      <c r="AA1008" s="15">
        <f>+((D.sign_Data[[#This Row],[COSTOS OPERACIONALES ($COP)]]/(100%-D.sign_Data[[#This Row],[UTILIDAD (%)]])))-D.sign_Data[[#This Row],[COSTOS OPERACIONALES ($COP)]]</f>
        <v>184496.8987100278</v>
      </c>
      <c r="AB1008" s="3">
        <f>+D.sign_Data[[#This Row],[COSTOS OPERACIONALES ($COP)]]+D.sign_Data[[#This Row],[DESFASE ($COP)]]+D.sign_Data[[#This Row],[UTILIDAD ($COP)]]</f>
        <v>1439075.8099382163</v>
      </c>
      <c r="AC1008" s="101">
        <v>0.05</v>
      </c>
      <c r="AD1008" s="15">
        <f>+D.sign_Data[[#This Row],[VALOR NETO ($COP)]]/(100%-D.sign_Data[[#This Row],[MARGEN DE NEGOCIACIÓN (%)]])-D.sign_Data[[#This Row],[VALOR NETO ($COP)]]</f>
        <v>75740.832102011424</v>
      </c>
      <c r="AE1008" s="15">
        <f>+(D.sign_Data[[#This Row],[VALOR NETO ($COP)]]+D.sign_Data[[#This Row],[NEGOCIACIÓN ($COP)]])*1%</f>
        <v>15148.166420402278</v>
      </c>
      <c r="AF1008" s="15">
        <f>+(D.sign_Data[[#This Row],[VALOR NETO ($COP)]]+D.sign_Data[[#This Row],[NEGOCIACIÓN ($COP)]])*1%</f>
        <v>15148.166420402278</v>
      </c>
      <c r="AG1008" s="3">
        <f>+D.sign_Data[[#This Row],[VALOR NETO ($COP)]]+D.sign_Data[[#This Row],[NEGOCIACIÓN ($COP)]]+D.sign_Data[[#This Row],[ICA ($COP)]]+D.sign_Data[[#This Row],[4 * 1000 ($COP)]]</f>
        <v>1545112.9748810322</v>
      </c>
    </row>
    <row r="1009" spans="1:33" ht="60" hidden="1" customHeight="1" x14ac:dyDescent="0.25">
      <c r="A1009" s="14"/>
      <c r="B1009" s="87" t="s">
        <v>493</v>
      </c>
      <c r="C1009" s="182" t="s">
        <v>959</v>
      </c>
      <c r="D1009" s="189" t="str">
        <f>VLOOKUP(D.sign_Data[[#This Row],[CÓDIGO]],Descripciones[[CÓDIGO]:[NOMBRE DE SERVICIO]],3,FALSE)</f>
        <v>D3. Vivienda Campestre</v>
      </c>
      <c r="E1009" s="87" t="s">
        <v>497</v>
      </c>
      <c r="F1009" s="88" t="s">
        <v>960</v>
      </c>
      <c r="G1009" s="88" t="s">
        <v>961</v>
      </c>
      <c r="H1009" s="104" t="s">
        <v>207</v>
      </c>
      <c r="I1009" s="89">
        <v>1</v>
      </c>
      <c r="J1009" s="88" t="s">
        <v>966</v>
      </c>
      <c r="K1009" s="102"/>
      <c r="L1009" s="88" t="s">
        <v>967</v>
      </c>
      <c r="M1009" s="89" t="s">
        <v>381</v>
      </c>
      <c r="N1009" s="90">
        <v>2</v>
      </c>
      <c r="O1009" s="27">
        <f>IFERROR(+VLOOKUP(M1009,D.sign_Lista_Data[[RESPONSABLE]:[SOFTWARE 
VALOR HORA]],3,FALSE),"0")</f>
        <v>20263.424518743668</v>
      </c>
      <c r="P1009" s="3">
        <f t="shared" ref="P1009:P1072" si="38">+O1009*N1009</f>
        <v>40526.849037487336</v>
      </c>
      <c r="Q1009" s="11">
        <f>IFERROR(+VLOOKUP(M1009,D.sign_Lista_Data[[RESPONSABLE]:[SOFTWARE 
VALOR HORA]],5,FALSE)*D.sign_Data[[#This Row],[TIEMPO (HORAS)]],0)</f>
        <v>8443.0935494765272</v>
      </c>
      <c r="R1009" s="42">
        <f>IFERROR(+VLOOKUP(M1009,D.sign_Lista_Data[[RESPONSABLE]:[SOFTWARE 
VALOR HORA]],8,FALSE)*D.sign_Data[[#This Row],[TIEMPO (HORAS)]],0)</f>
        <v>6821.7097742879669</v>
      </c>
      <c r="S1009" s="99"/>
      <c r="T1009" s="99">
        <v>0</v>
      </c>
      <c r="U1009" s="3">
        <f t="shared" ref="U1009:U1072" si="39">SUM(P1009:T1009)</f>
        <v>55791.652361251836</v>
      </c>
      <c r="V1009" s="100">
        <f>D.sign_Data[[#This Row],[TIEMPO (HORAS)]]*Gastos_Operativos[[#Totals],[GASTOS HORA]]</f>
        <v>55578.954144620802</v>
      </c>
      <c r="W1009" s="3">
        <f>+D.sign_Data[[#This Row],[COSTO 
DIRECTO ($COP)]]+D.sign_Data[[#This Row],[PRORRATEO GASTOS ($COP)]]</f>
        <v>111370.60650587264</v>
      </c>
      <c r="X1009" s="101">
        <v>0.2</v>
      </c>
      <c r="Y1009" s="15">
        <f>+D.sign_Data[[#This Row],[COSTOS OPERACIONALES ($COP)]]*D.sign_Data[[#This Row],[DESFASE (%)]]</f>
        <v>22274.121301174528</v>
      </c>
      <c r="Z1009" s="101">
        <v>0.15</v>
      </c>
      <c r="AA1009" s="15">
        <f>+((D.sign_Data[[#This Row],[COSTOS OPERACIONALES ($COP)]]/(100%-D.sign_Data[[#This Row],[UTILIDAD (%)]])))-D.sign_Data[[#This Row],[COSTOS OPERACIONALES ($COP)]]</f>
        <v>19653.636442212824</v>
      </c>
      <c r="AB1009" s="3">
        <f>+D.sign_Data[[#This Row],[COSTOS OPERACIONALES ($COP)]]+D.sign_Data[[#This Row],[DESFASE ($COP)]]+D.sign_Data[[#This Row],[UTILIDAD ($COP)]]</f>
        <v>153298.36424925999</v>
      </c>
      <c r="AC1009" s="101">
        <v>0.05</v>
      </c>
      <c r="AD1009" s="15">
        <f>+D.sign_Data[[#This Row],[VALOR NETO ($COP)]]/(100%-D.sign_Data[[#This Row],[MARGEN DE NEGOCIACIÓN (%)]])-D.sign_Data[[#This Row],[VALOR NETO ($COP)]]</f>
        <v>8068.3349604873802</v>
      </c>
      <c r="AE1009" s="15">
        <f>+(D.sign_Data[[#This Row],[VALOR NETO ($COP)]]+D.sign_Data[[#This Row],[NEGOCIACIÓN ($COP)]])*1%</f>
        <v>1613.6669920974737</v>
      </c>
      <c r="AF1009" s="15">
        <f>+(D.sign_Data[[#This Row],[VALOR NETO ($COP)]]+D.sign_Data[[#This Row],[NEGOCIACIÓN ($COP)]])*1%</f>
        <v>1613.6669920974737</v>
      </c>
      <c r="AG1009" s="3">
        <f>+D.sign_Data[[#This Row],[VALOR NETO ($COP)]]+D.sign_Data[[#This Row],[NEGOCIACIÓN ($COP)]]+D.sign_Data[[#This Row],[ICA ($COP)]]+D.sign_Data[[#This Row],[4 * 1000 ($COP)]]</f>
        <v>164594.03319394233</v>
      </c>
    </row>
    <row r="1010" spans="1:33" ht="60" hidden="1" customHeight="1" x14ac:dyDescent="0.25">
      <c r="A1010" s="14"/>
      <c r="B1010" s="87" t="s">
        <v>493</v>
      </c>
      <c r="C1010" s="182" t="s">
        <v>959</v>
      </c>
      <c r="D1010" s="189" t="str">
        <f>VLOOKUP(D.sign_Data[[#This Row],[CÓDIGO]],Descripciones[[CÓDIGO]:[NOMBRE DE SERVICIO]],3,FALSE)</f>
        <v>D3. Vivienda Campestre</v>
      </c>
      <c r="E1010" s="87" t="s">
        <v>497</v>
      </c>
      <c r="F1010" s="88" t="s">
        <v>960</v>
      </c>
      <c r="G1010" s="88" t="s">
        <v>961</v>
      </c>
      <c r="H1010" s="104" t="s">
        <v>207</v>
      </c>
      <c r="I1010" s="89">
        <v>1</v>
      </c>
      <c r="J1010" s="88" t="s">
        <v>968</v>
      </c>
      <c r="K1010" s="102"/>
      <c r="L1010" s="88" t="s">
        <v>969</v>
      </c>
      <c r="M1010" s="89" t="s">
        <v>381</v>
      </c>
      <c r="N1010" s="90">
        <v>5</v>
      </c>
      <c r="O1010" s="27">
        <f>IFERROR(+VLOOKUP(M1010,D.sign_Lista_Data[[RESPONSABLE]:[SOFTWARE 
VALOR HORA]],3,FALSE),"0")</f>
        <v>20263.424518743668</v>
      </c>
      <c r="P1010" s="3">
        <f t="shared" si="38"/>
        <v>101317.12259371835</v>
      </c>
      <c r="Q1010" s="11">
        <f>IFERROR(+VLOOKUP(M1010,D.sign_Lista_Data[[RESPONSABLE]:[SOFTWARE 
VALOR HORA]],5,FALSE)*D.sign_Data[[#This Row],[TIEMPO (HORAS)]],0)</f>
        <v>21107.733873691319</v>
      </c>
      <c r="R1010" s="11">
        <f>IFERROR(+VLOOKUP(M1010,D.sign_Lista_Data[[RESPONSABLE]:[SOFTWARE 
VALOR HORA]],8,FALSE)*D.sign_Data[[#This Row],[TIEMPO (HORAS)]],0)</f>
        <v>17054.274435719919</v>
      </c>
      <c r="S1010" s="99"/>
      <c r="T1010" s="99">
        <v>0</v>
      </c>
      <c r="U1010" s="3">
        <f t="shared" si="39"/>
        <v>139479.13090312958</v>
      </c>
      <c r="V1010" s="100">
        <f>D.sign_Data[[#This Row],[TIEMPO (HORAS)]]*Gastos_Operativos[[#Totals],[GASTOS HORA]]</f>
        <v>138947.38536155201</v>
      </c>
      <c r="W1010" s="3">
        <f>+D.sign_Data[[#This Row],[COSTO 
DIRECTO ($COP)]]+D.sign_Data[[#This Row],[PRORRATEO GASTOS ($COP)]]</f>
        <v>278426.51626468159</v>
      </c>
      <c r="X1010" s="101">
        <v>0.2</v>
      </c>
      <c r="Y1010" s="15">
        <f>+D.sign_Data[[#This Row],[COSTOS OPERACIONALES ($COP)]]*D.sign_Data[[#This Row],[DESFASE (%)]]</f>
        <v>55685.303252936319</v>
      </c>
      <c r="Z1010" s="101">
        <v>0.15</v>
      </c>
      <c r="AA1010" s="15">
        <f>+((D.sign_Data[[#This Row],[COSTOS OPERACIONALES ($COP)]]/(100%-D.sign_Data[[#This Row],[UTILIDAD (%)]])))-D.sign_Data[[#This Row],[COSTOS OPERACIONALES ($COP)]]</f>
        <v>49134.091105532076</v>
      </c>
      <c r="AB1010" s="3">
        <f>+D.sign_Data[[#This Row],[COSTOS OPERACIONALES ($COP)]]+D.sign_Data[[#This Row],[DESFASE ($COP)]]+D.sign_Data[[#This Row],[UTILIDAD ($COP)]]</f>
        <v>383245.91062315</v>
      </c>
      <c r="AC1010" s="101">
        <v>0.05</v>
      </c>
      <c r="AD1010" s="15">
        <f>+D.sign_Data[[#This Row],[VALOR NETO ($COP)]]/(100%-D.sign_Data[[#This Row],[MARGEN DE NEGOCIACIÓN (%)]])-D.sign_Data[[#This Row],[VALOR NETO ($COP)]]</f>
        <v>20170.837401218421</v>
      </c>
      <c r="AE1010" s="15">
        <f>+(D.sign_Data[[#This Row],[VALOR NETO ($COP)]]+D.sign_Data[[#This Row],[NEGOCIACIÓN ($COP)]])*1%</f>
        <v>4034.1674802436842</v>
      </c>
      <c r="AF1010" s="15">
        <f>+(D.sign_Data[[#This Row],[VALOR NETO ($COP)]]+D.sign_Data[[#This Row],[NEGOCIACIÓN ($COP)]])*1%</f>
        <v>4034.1674802436842</v>
      </c>
      <c r="AG1010" s="3">
        <f>+D.sign_Data[[#This Row],[VALOR NETO ($COP)]]+D.sign_Data[[#This Row],[NEGOCIACIÓN ($COP)]]+D.sign_Data[[#This Row],[ICA ($COP)]]+D.sign_Data[[#This Row],[4 * 1000 ($COP)]]</f>
        <v>411485.08298485575</v>
      </c>
    </row>
    <row r="1011" spans="1:33" ht="60" hidden="1" customHeight="1" x14ac:dyDescent="0.25">
      <c r="A1011" s="14"/>
      <c r="B1011" s="87" t="s">
        <v>493</v>
      </c>
      <c r="C1011" s="182" t="s">
        <v>970</v>
      </c>
      <c r="D1011" s="189" t="str">
        <f>VLOOKUP(D.sign_Data[[#This Row],[CÓDIGO]],Descripciones[[CÓDIGO]:[NOMBRE DE SERVICIO]],3,FALSE)</f>
        <v>D3. Vivienda Campestre</v>
      </c>
      <c r="E1011" s="87" t="s">
        <v>497</v>
      </c>
      <c r="F1011" s="88" t="s">
        <v>551</v>
      </c>
      <c r="G1011" s="88" t="s">
        <v>536</v>
      </c>
      <c r="H1011" s="104" t="s">
        <v>552</v>
      </c>
      <c r="I1011" s="89">
        <v>1</v>
      </c>
      <c r="J1011" s="88" t="s">
        <v>538</v>
      </c>
      <c r="K1011" s="102"/>
      <c r="L1011" s="88" t="s">
        <v>553</v>
      </c>
      <c r="M1011" s="89" t="s">
        <v>381</v>
      </c>
      <c r="N1011" s="90">
        <v>0.2</v>
      </c>
      <c r="O1011" s="27">
        <f>IFERROR(+VLOOKUP(M1011,D.sign_Lista_Data[[RESPONSABLE]:[SOFTWARE 
VALOR HORA]],3,FALSE),"0")</f>
        <v>20263.424518743668</v>
      </c>
      <c r="P1011" s="3">
        <f t="shared" si="38"/>
        <v>4052.6849037487336</v>
      </c>
      <c r="Q1011" s="11">
        <f>IFERROR(+VLOOKUP(M1011,D.sign_Lista_Data[[RESPONSABLE]:[SOFTWARE 
VALOR HORA]],5,FALSE)*D.sign_Data[[#This Row],[TIEMPO (HORAS)]],0)</f>
        <v>844.30935494765276</v>
      </c>
      <c r="R1011" s="11">
        <f>IFERROR(+VLOOKUP(M1011,D.sign_Lista_Data[[RESPONSABLE]:[SOFTWARE 
VALOR HORA]],8,FALSE)*D.sign_Data[[#This Row],[TIEMPO (HORAS)]],0)</f>
        <v>682.17097742879673</v>
      </c>
      <c r="S1011" s="99"/>
      <c r="T1011" s="99"/>
      <c r="U1011" s="3">
        <f t="shared" si="39"/>
        <v>5579.1652361251827</v>
      </c>
      <c r="V1011" s="100">
        <f>D.sign_Data[[#This Row],[TIEMPO (HORAS)]]*Gastos_Operativos[[#Totals],[GASTOS HORA]]</f>
        <v>5557.8954144620802</v>
      </c>
      <c r="W1011" s="3">
        <f>+D.sign_Data[[#This Row],[COSTO 
DIRECTO ($COP)]]+D.sign_Data[[#This Row],[PRORRATEO GASTOS ($COP)]]</f>
        <v>11137.060650587264</v>
      </c>
      <c r="X1011" s="101">
        <v>0.05</v>
      </c>
      <c r="Y1011" s="15">
        <f>+D.sign_Data[[#This Row],[COSTOS OPERACIONALES ($COP)]]*D.sign_Data[[#This Row],[DESFASE (%)]]</f>
        <v>556.85303252936319</v>
      </c>
      <c r="Z1011" s="101">
        <v>0.15</v>
      </c>
      <c r="AA1011" s="15">
        <f>+((D.sign_Data[[#This Row],[COSTOS OPERACIONALES ($COP)]]/(100%-D.sign_Data[[#This Row],[UTILIDAD (%)]])))-D.sign_Data[[#This Row],[COSTOS OPERACIONALES ($COP)]]</f>
        <v>1965.3636442212828</v>
      </c>
      <c r="AB1011" s="3">
        <f>+D.sign_Data[[#This Row],[COSTOS OPERACIONALES ($COP)]]+D.sign_Data[[#This Row],[DESFASE ($COP)]]+D.sign_Data[[#This Row],[UTILIDAD ($COP)]]</f>
        <v>13659.27732733791</v>
      </c>
      <c r="AC1011" s="101">
        <v>0.05</v>
      </c>
      <c r="AD1011" s="15">
        <f>+D.sign_Data[[#This Row],[VALOR NETO ($COP)]]/(100%-D.sign_Data[[#This Row],[MARGEN DE NEGOCIACIÓN (%)]])-D.sign_Data[[#This Row],[VALOR NETO ($COP)]]</f>
        <v>718.90933301778568</v>
      </c>
      <c r="AE1011" s="15">
        <f>+(D.sign_Data[[#This Row],[VALOR NETO ($COP)]]+D.sign_Data[[#This Row],[NEGOCIACIÓN ($COP)]])*1%</f>
        <v>143.78186660355695</v>
      </c>
      <c r="AF1011" s="15">
        <f>+(D.sign_Data[[#This Row],[VALOR NETO ($COP)]]+D.sign_Data[[#This Row],[NEGOCIACIÓN ($COP)]])*1%</f>
        <v>143.78186660355695</v>
      </c>
      <c r="AG1011" s="3">
        <f>+D.sign_Data[[#This Row],[VALOR NETO ($COP)]]+D.sign_Data[[#This Row],[NEGOCIACIÓN ($COP)]]+D.sign_Data[[#This Row],[ICA ($COP)]]+D.sign_Data[[#This Row],[4 * 1000 ($COP)]]</f>
        <v>14665.750393562808</v>
      </c>
    </row>
    <row r="1012" spans="1:33" ht="60" hidden="1" customHeight="1" x14ac:dyDescent="0.25">
      <c r="A1012" s="14"/>
      <c r="B1012" s="87" t="s">
        <v>493</v>
      </c>
      <c r="C1012" s="182" t="s">
        <v>970</v>
      </c>
      <c r="D1012" s="189" t="str">
        <f>VLOOKUP(D.sign_Data[[#This Row],[CÓDIGO]],Descripciones[[CÓDIGO]:[NOMBRE DE SERVICIO]],3,FALSE)</f>
        <v>D3. Vivienda Campestre</v>
      </c>
      <c r="E1012" s="87" t="s">
        <v>497</v>
      </c>
      <c r="F1012" s="88" t="s">
        <v>551</v>
      </c>
      <c r="G1012" s="88" t="s">
        <v>536</v>
      </c>
      <c r="H1012" s="104" t="s">
        <v>552</v>
      </c>
      <c r="I1012" s="89">
        <v>1</v>
      </c>
      <c r="J1012" s="88" t="s">
        <v>538</v>
      </c>
      <c r="K1012" s="102"/>
      <c r="L1012" s="88" t="s">
        <v>540</v>
      </c>
      <c r="M1012" s="89" t="s">
        <v>381</v>
      </c>
      <c r="N1012" s="90">
        <v>0.2</v>
      </c>
      <c r="O1012" s="27">
        <f>IFERROR(+VLOOKUP(M1012,D.sign_Lista_Data[[RESPONSABLE]:[SOFTWARE 
VALOR HORA]],3,FALSE),"0")</f>
        <v>20263.424518743668</v>
      </c>
      <c r="P1012" s="3">
        <f t="shared" si="38"/>
        <v>4052.6849037487336</v>
      </c>
      <c r="Q1012" s="11">
        <f>IFERROR(+VLOOKUP(M1012,D.sign_Lista_Data[[RESPONSABLE]:[SOFTWARE 
VALOR HORA]],5,FALSE)*D.sign_Data[[#This Row],[TIEMPO (HORAS)]],0)</f>
        <v>844.30935494765276</v>
      </c>
      <c r="R1012" s="11">
        <f>IFERROR(+VLOOKUP(M1012,D.sign_Lista_Data[[RESPONSABLE]:[SOFTWARE 
VALOR HORA]],8,FALSE)*D.sign_Data[[#This Row],[TIEMPO (HORAS)]],0)</f>
        <v>682.17097742879673</v>
      </c>
      <c r="S1012" s="99"/>
      <c r="T1012" s="99"/>
      <c r="U1012" s="3">
        <f t="shared" si="39"/>
        <v>5579.1652361251827</v>
      </c>
      <c r="V1012" s="100">
        <f>D.sign_Data[[#This Row],[TIEMPO (HORAS)]]*Gastos_Operativos[[#Totals],[GASTOS HORA]]</f>
        <v>5557.8954144620802</v>
      </c>
      <c r="W1012" s="3">
        <f>+D.sign_Data[[#This Row],[COSTO 
DIRECTO ($COP)]]+D.sign_Data[[#This Row],[PRORRATEO GASTOS ($COP)]]</f>
        <v>11137.060650587264</v>
      </c>
      <c r="X1012" s="101">
        <v>0.05</v>
      </c>
      <c r="Y1012" s="15">
        <f>+D.sign_Data[[#This Row],[COSTOS OPERACIONALES ($COP)]]*D.sign_Data[[#This Row],[DESFASE (%)]]</f>
        <v>556.85303252936319</v>
      </c>
      <c r="Z1012" s="101">
        <v>0.15</v>
      </c>
      <c r="AA1012" s="15">
        <f>+((D.sign_Data[[#This Row],[COSTOS OPERACIONALES ($COP)]]/(100%-D.sign_Data[[#This Row],[UTILIDAD (%)]])))-D.sign_Data[[#This Row],[COSTOS OPERACIONALES ($COP)]]</f>
        <v>1965.3636442212828</v>
      </c>
      <c r="AB1012" s="3">
        <f>+D.sign_Data[[#This Row],[COSTOS OPERACIONALES ($COP)]]+D.sign_Data[[#This Row],[DESFASE ($COP)]]+D.sign_Data[[#This Row],[UTILIDAD ($COP)]]</f>
        <v>13659.27732733791</v>
      </c>
      <c r="AC1012" s="101">
        <v>0.05</v>
      </c>
      <c r="AD1012" s="15">
        <f>+D.sign_Data[[#This Row],[VALOR NETO ($COP)]]/(100%-D.sign_Data[[#This Row],[MARGEN DE NEGOCIACIÓN (%)]])-D.sign_Data[[#This Row],[VALOR NETO ($COP)]]</f>
        <v>718.90933301778568</v>
      </c>
      <c r="AE1012" s="15">
        <f>+(D.sign_Data[[#This Row],[VALOR NETO ($COP)]]+D.sign_Data[[#This Row],[NEGOCIACIÓN ($COP)]])*1%</f>
        <v>143.78186660355695</v>
      </c>
      <c r="AF1012" s="15">
        <f>+(D.sign_Data[[#This Row],[VALOR NETO ($COP)]]+D.sign_Data[[#This Row],[NEGOCIACIÓN ($COP)]])*1%</f>
        <v>143.78186660355695</v>
      </c>
      <c r="AG1012" s="3">
        <f>+D.sign_Data[[#This Row],[VALOR NETO ($COP)]]+D.sign_Data[[#This Row],[NEGOCIACIÓN ($COP)]]+D.sign_Data[[#This Row],[ICA ($COP)]]+D.sign_Data[[#This Row],[4 * 1000 ($COP)]]</f>
        <v>14665.750393562808</v>
      </c>
    </row>
    <row r="1013" spans="1:33" ht="60" hidden="1" customHeight="1" x14ac:dyDescent="0.25">
      <c r="A1013" s="14"/>
      <c r="B1013" s="87" t="s">
        <v>493</v>
      </c>
      <c r="C1013" s="182" t="s">
        <v>970</v>
      </c>
      <c r="D1013" s="189" t="str">
        <f>VLOOKUP(D.sign_Data[[#This Row],[CÓDIGO]],Descripciones[[CÓDIGO]:[NOMBRE DE SERVICIO]],3,FALSE)</f>
        <v>D3. Vivienda Campestre</v>
      </c>
      <c r="E1013" s="87" t="s">
        <v>497</v>
      </c>
      <c r="F1013" s="88" t="s">
        <v>551</v>
      </c>
      <c r="G1013" s="88" t="s">
        <v>536</v>
      </c>
      <c r="H1013" s="104" t="s">
        <v>552</v>
      </c>
      <c r="I1013" s="89">
        <v>1</v>
      </c>
      <c r="J1013" s="88" t="s">
        <v>541</v>
      </c>
      <c r="K1013" s="102"/>
      <c r="L1013" s="88" t="s">
        <v>554</v>
      </c>
      <c r="M1013" s="89" t="s">
        <v>381</v>
      </c>
      <c r="N1013" s="90">
        <v>2</v>
      </c>
      <c r="O1013" s="27">
        <f>IFERROR(+VLOOKUP(M1013,D.sign_Lista_Data[[RESPONSABLE]:[SOFTWARE 
VALOR HORA]],3,FALSE),"0")</f>
        <v>20263.424518743668</v>
      </c>
      <c r="P1013" s="3">
        <f t="shared" si="38"/>
        <v>40526.849037487336</v>
      </c>
      <c r="Q1013" s="11">
        <f>IFERROR(+VLOOKUP(M1013,D.sign_Lista_Data[[RESPONSABLE]:[SOFTWARE 
VALOR HORA]],5,FALSE)*D.sign_Data[[#This Row],[TIEMPO (HORAS)]],0)</f>
        <v>8443.0935494765272</v>
      </c>
      <c r="R1013" s="11">
        <f>IFERROR(+VLOOKUP(M1013,D.sign_Lista_Data[[RESPONSABLE]:[SOFTWARE 
VALOR HORA]],8,FALSE)*D.sign_Data[[#This Row],[TIEMPO (HORAS)]],0)</f>
        <v>6821.7097742879669</v>
      </c>
      <c r="S1013" s="99"/>
      <c r="T1013" s="99"/>
      <c r="U1013" s="3">
        <f t="shared" si="39"/>
        <v>55791.652361251836</v>
      </c>
      <c r="V1013" s="100">
        <f>D.sign_Data[[#This Row],[TIEMPO (HORAS)]]*Gastos_Operativos[[#Totals],[GASTOS HORA]]</f>
        <v>55578.954144620802</v>
      </c>
      <c r="W1013" s="3">
        <f>+D.sign_Data[[#This Row],[COSTO 
DIRECTO ($COP)]]+D.sign_Data[[#This Row],[PRORRATEO GASTOS ($COP)]]</f>
        <v>111370.60650587264</v>
      </c>
      <c r="X1013" s="101">
        <v>0.05</v>
      </c>
      <c r="Y1013" s="15">
        <f>+D.sign_Data[[#This Row],[COSTOS OPERACIONALES ($COP)]]*D.sign_Data[[#This Row],[DESFASE (%)]]</f>
        <v>5568.5303252936319</v>
      </c>
      <c r="Z1013" s="101">
        <v>0.15</v>
      </c>
      <c r="AA1013" s="15">
        <f>+((D.sign_Data[[#This Row],[COSTOS OPERACIONALES ($COP)]]/(100%-D.sign_Data[[#This Row],[UTILIDAD (%)]])))-D.sign_Data[[#This Row],[COSTOS OPERACIONALES ($COP)]]</f>
        <v>19653.636442212824</v>
      </c>
      <c r="AB1013" s="3">
        <f>+D.sign_Data[[#This Row],[COSTOS OPERACIONALES ($COP)]]+D.sign_Data[[#This Row],[DESFASE ($COP)]]+D.sign_Data[[#This Row],[UTILIDAD ($COP)]]</f>
        <v>136592.77327337908</v>
      </c>
      <c r="AC1013" s="101">
        <v>0.05</v>
      </c>
      <c r="AD1013" s="15">
        <f>+D.sign_Data[[#This Row],[VALOR NETO ($COP)]]/(100%-D.sign_Data[[#This Row],[MARGEN DE NEGOCIACIÓN (%)]])-D.sign_Data[[#This Row],[VALOR NETO ($COP)]]</f>
        <v>7189.0933301778568</v>
      </c>
      <c r="AE1013" s="15">
        <f>+(D.sign_Data[[#This Row],[VALOR NETO ($COP)]]+D.sign_Data[[#This Row],[NEGOCIACIÓN ($COP)]])*1%</f>
        <v>1437.8186660355693</v>
      </c>
      <c r="AF1013" s="15">
        <f>+(D.sign_Data[[#This Row],[VALOR NETO ($COP)]]+D.sign_Data[[#This Row],[NEGOCIACIÓN ($COP)]])*1%</f>
        <v>1437.8186660355693</v>
      </c>
      <c r="AG1013" s="3">
        <f>+D.sign_Data[[#This Row],[VALOR NETO ($COP)]]+D.sign_Data[[#This Row],[NEGOCIACIÓN ($COP)]]+D.sign_Data[[#This Row],[ICA ($COP)]]+D.sign_Data[[#This Row],[4 * 1000 ($COP)]]</f>
        <v>146657.50393562808</v>
      </c>
    </row>
    <row r="1014" spans="1:33" ht="60" hidden="1" customHeight="1" x14ac:dyDescent="0.25">
      <c r="A1014" s="14"/>
      <c r="B1014" s="87" t="s">
        <v>493</v>
      </c>
      <c r="C1014" s="182" t="s">
        <v>970</v>
      </c>
      <c r="D1014" s="189" t="str">
        <f>VLOOKUP(D.sign_Data[[#This Row],[CÓDIGO]],Descripciones[[CÓDIGO]:[NOMBRE DE SERVICIO]],3,FALSE)</f>
        <v>D3. Vivienda Campestre</v>
      </c>
      <c r="E1014" s="87" t="s">
        <v>497</v>
      </c>
      <c r="F1014" s="88" t="s">
        <v>551</v>
      </c>
      <c r="G1014" s="88" t="s">
        <v>536</v>
      </c>
      <c r="H1014" s="104" t="s">
        <v>552</v>
      </c>
      <c r="I1014" s="89">
        <v>1</v>
      </c>
      <c r="J1014" s="88" t="s">
        <v>541</v>
      </c>
      <c r="K1014" s="102"/>
      <c r="L1014" s="88" t="s">
        <v>555</v>
      </c>
      <c r="M1014" s="89" t="s">
        <v>381</v>
      </c>
      <c r="N1014" s="90">
        <v>9</v>
      </c>
      <c r="O1014" s="27">
        <f>IFERROR(+VLOOKUP(M1014,D.sign_Lista_Data[[RESPONSABLE]:[SOFTWARE 
VALOR HORA]],3,FALSE),"0")</f>
        <v>20263.424518743668</v>
      </c>
      <c r="P1014" s="3">
        <f t="shared" si="38"/>
        <v>182370.82066869302</v>
      </c>
      <c r="Q1014" s="11">
        <f>IFERROR(+VLOOKUP(M1014,D.sign_Lista_Data[[RESPONSABLE]:[SOFTWARE 
VALOR HORA]],5,FALSE)*D.sign_Data[[#This Row],[TIEMPO (HORAS)]],0)</f>
        <v>37993.920972644373</v>
      </c>
      <c r="R1014" s="11">
        <f>IFERROR(+VLOOKUP(M1014,D.sign_Lista_Data[[RESPONSABLE]:[SOFTWARE 
VALOR HORA]],8,FALSE)*D.sign_Data[[#This Row],[TIEMPO (HORAS)]],0)</f>
        <v>30697.693984295853</v>
      </c>
      <c r="S1014" s="99"/>
      <c r="T1014" s="99"/>
      <c r="U1014" s="3">
        <f t="shared" si="39"/>
        <v>251062.43562563325</v>
      </c>
      <c r="V1014" s="100">
        <f>D.sign_Data[[#This Row],[TIEMPO (HORAS)]]*Gastos_Operativos[[#Totals],[GASTOS HORA]]</f>
        <v>250105.29365079361</v>
      </c>
      <c r="W1014" s="3">
        <f>+D.sign_Data[[#This Row],[COSTO 
DIRECTO ($COP)]]+D.sign_Data[[#This Row],[PRORRATEO GASTOS ($COP)]]</f>
        <v>501167.72927642683</v>
      </c>
      <c r="X1014" s="101">
        <v>0.05</v>
      </c>
      <c r="Y1014" s="15">
        <f>+D.sign_Data[[#This Row],[COSTOS OPERACIONALES ($COP)]]*D.sign_Data[[#This Row],[DESFASE (%)]]</f>
        <v>25058.386463821342</v>
      </c>
      <c r="Z1014" s="101">
        <v>0.15</v>
      </c>
      <c r="AA1014" s="15">
        <f>+((D.sign_Data[[#This Row],[COSTOS OPERACIONALES ($COP)]]/(100%-D.sign_Data[[#This Row],[UTILIDAD (%)]])))-D.sign_Data[[#This Row],[COSTOS OPERACIONALES ($COP)]]</f>
        <v>88441.363989957725</v>
      </c>
      <c r="AB1014" s="3">
        <f>+D.sign_Data[[#This Row],[COSTOS OPERACIONALES ($COP)]]+D.sign_Data[[#This Row],[DESFASE ($COP)]]+D.sign_Data[[#This Row],[UTILIDAD ($COP)]]</f>
        <v>614667.47973020596</v>
      </c>
      <c r="AC1014" s="101">
        <v>0.05</v>
      </c>
      <c r="AD1014" s="15">
        <f>+D.sign_Data[[#This Row],[VALOR NETO ($COP)]]/(100%-D.sign_Data[[#This Row],[MARGEN DE NEGOCIACIÓN (%)]])-D.sign_Data[[#This Row],[VALOR NETO ($COP)]]</f>
        <v>32350.919985800399</v>
      </c>
      <c r="AE1014" s="15">
        <f>+(D.sign_Data[[#This Row],[VALOR NETO ($COP)]]+D.sign_Data[[#This Row],[NEGOCIACIÓN ($COP)]])*1%</f>
        <v>6470.1839971600639</v>
      </c>
      <c r="AF1014" s="15">
        <f>+(D.sign_Data[[#This Row],[VALOR NETO ($COP)]]+D.sign_Data[[#This Row],[NEGOCIACIÓN ($COP)]])*1%</f>
        <v>6470.1839971600639</v>
      </c>
      <c r="AG1014" s="3">
        <f>+D.sign_Data[[#This Row],[VALOR NETO ($COP)]]+D.sign_Data[[#This Row],[NEGOCIACIÓN ($COP)]]+D.sign_Data[[#This Row],[ICA ($COP)]]+D.sign_Data[[#This Row],[4 * 1000 ($COP)]]</f>
        <v>659958.76771032647</v>
      </c>
    </row>
    <row r="1015" spans="1:33" ht="60" hidden="1" customHeight="1" x14ac:dyDescent="0.25">
      <c r="A1015" s="14"/>
      <c r="B1015" s="87" t="s">
        <v>493</v>
      </c>
      <c r="C1015" s="182" t="s">
        <v>970</v>
      </c>
      <c r="D1015" s="189" t="str">
        <f>VLOOKUP(D.sign_Data[[#This Row],[CÓDIGO]],Descripciones[[CÓDIGO]:[NOMBRE DE SERVICIO]],3,FALSE)</f>
        <v>D3. Vivienda Campestre</v>
      </c>
      <c r="E1015" s="87" t="s">
        <v>497</v>
      </c>
      <c r="F1015" s="88" t="s">
        <v>551</v>
      </c>
      <c r="G1015" s="88" t="s">
        <v>536</v>
      </c>
      <c r="H1015" s="104" t="s">
        <v>552</v>
      </c>
      <c r="I1015" s="89">
        <v>1</v>
      </c>
      <c r="J1015" s="88" t="s">
        <v>541</v>
      </c>
      <c r="K1015" s="102"/>
      <c r="L1015" s="88" t="s">
        <v>556</v>
      </c>
      <c r="M1015" s="89" t="s">
        <v>381</v>
      </c>
      <c r="N1015" s="90">
        <v>2</v>
      </c>
      <c r="O1015" s="27">
        <f>IFERROR(+VLOOKUP(M1015,D.sign_Lista_Data[[RESPONSABLE]:[SOFTWARE 
VALOR HORA]],3,FALSE),"0")</f>
        <v>20263.424518743668</v>
      </c>
      <c r="P1015" s="3">
        <f t="shared" si="38"/>
        <v>40526.849037487336</v>
      </c>
      <c r="Q1015" s="11">
        <f>IFERROR(+VLOOKUP(M1015,D.sign_Lista_Data[[RESPONSABLE]:[SOFTWARE 
VALOR HORA]],5,FALSE)*D.sign_Data[[#This Row],[TIEMPO (HORAS)]],0)</f>
        <v>8443.0935494765272</v>
      </c>
      <c r="R1015" s="11">
        <f>IFERROR(+VLOOKUP(M1015,D.sign_Lista_Data[[RESPONSABLE]:[SOFTWARE 
VALOR HORA]],8,FALSE)*D.sign_Data[[#This Row],[TIEMPO (HORAS)]],0)</f>
        <v>6821.7097742879669</v>
      </c>
      <c r="S1015" s="99"/>
      <c r="T1015" s="99"/>
      <c r="U1015" s="3">
        <f t="shared" si="39"/>
        <v>55791.652361251836</v>
      </c>
      <c r="V1015" s="100">
        <f>D.sign_Data[[#This Row],[TIEMPO (HORAS)]]*Gastos_Operativos[[#Totals],[GASTOS HORA]]</f>
        <v>55578.954144620802</v>
      </c>
      <c r="W1015" s="3">
        <f>+D.sign_Data[[#This Row],[COSTO 
DIRECTO ($COP)]]+D.sign_Data[[#This Row],[PRORRATEO GASTOS ($COP)]]</f>
        <v>111370.60650587264</v>
      </c>
      <c r="X1015" s="101">
        <v>0.05</v>
      </c>
      <c r="Y1015" s="15">
        <f>+D.sign_Data[[#This Row],[COSTOS OPERACIONALES ($COP)]]*D.sign_Data[[#This Row],[DESFASE (%)]]</f>
        <v>5568.5303252936319</v>
      </c>
      <c r="Z1015" s="101">
        <v>0.15</v>
      </c>
      <c r="AA1015" s="15">
        <f>+((D.sign_Data[[#This Row],[COSTOS OPERACIONALES ($COP)]]/(100%-D.sign_Data[[#This Row],[UTILIDAD (%)]])))-D.sign_Data[[#This Row],[COSTOS OPERACIONALES ($COP)]]</f>
        <v>19653.636442212824</v>
      </c>
      <c r="AB1015" s="3">
        <f>+D.sign_Data[[#This Row],[COSTOS OPERACIONALES ($COP)]]+D.sign_Data[[#This Row],[DESFASE ($COP)]]+D.sign_Data[[#This Row],[UTILIDAD ($COP)]]</f>
        <v>136592.77327337908</v>
      </c>
      <c r="AC1015" s="101">
        <v>0.05</v>
      </c>
      <c r="AD1015" s="15">
        <f>+D.sign_Data[[#This Row],[VALOR NETO ($COP)]]/(100%-D.sign_Data[[#This Row],[MARGEN DE NEGOCIACIÓN (%)]])-D.sign_Data[[#This Row],[VALOR NETO ($COP)]]</f>
        <v>7189.0933301778568</v>
      </c>
      <c r="AE1015" s="15">
        <f>+(D.sign_Data[[#This Row],[VALOR NETO ($COP)]]+D.sign_Data[[#This Row],[NEGOCIACIÓN ($COP)]])*1%</f>
        <v>1437.8186660355693</v>
      </c>
      <c r="AF1015" s="15">
        <f>+(D.sign_Data[[#This Row],[VALOR NETO ($COP)]]+D.sign_Data[[#This Row],[NEGOCIACIÓN ($COP)]])*1%</f>
        <v>1437.8186660355693</v>
      </c>
      <c r="AG1015" s="3">
        <f>+D.sign_Data[[#This Row],[VALOR NETO ($COP)]]+D.sign_Data[[#This Row],[NEGOCIACIÓN ($COP)]]+D.sign_Data[[#This Row],[ICA ($COP)]]+D.sign_Data[[#This Row],[4 * 1000 ($COP)]]</f>
        <v>146657.50393562808</v>
      </c>
    </row>
    <row r="1016" spans="1:33" ht="60" hidden="1" customHeight="1" x14ac:dyDescent="0.25">
      <c r="A1016" s="14"/>
      <c r="B1016" s="87" t="s">
        <v>493</v>
      </c>
      <c r="C1016" s="182" t="s">
        <v>970</v>
      </c>
      <c r="D1016" s="189" t="str">
        <f>VLOOKUP(D.sign_Data[[#This Row],[CÓDIGO]],Descripciones[[CÓDIGO]:[NOMBRE DE SERVICIO]],3,FALSE)</f>
        <v>D3. Vivienda Campestre</v>
      </c>
      <c r="E1016" s="87" t="s">
        <v>497</v>
      </c>
      <c r="F1016" s="88" t="s">
        <v>551</v>
      </c>
      <c r="G1016" s="88" t="s">
        <v>536</v>
      </c>
      <c r="H1016" s="104" t="s">
        <v>552</v>
      </c>
      <c r="I1016" s="89">
        <v>1</v>
      </c>
      <c r="J1016" s="88" t="s">
        <v>541</v>
      </c>
      <c r="K1016" s="102"/>
      <c r="L1016" s="88" t="s">
        <v>557</v>
      </c>
      <c r="M1016" s="89" t="s">
        <v>381</v>
      </c>
      <c r="N1016" s="90">
        <v>2</v>
      </c>
      <c r="O1016" s="27">
        <f>IFERROR(+VLOOKUP(M1016,D.sign_Lista_Data[[RESPONSABLE]:[SOFTWARE 
VALOR HORA]],3,FALSE),"0")</f>
        <v>20263.424518743668</v>
      </c>
      <c r="P1016" s="3">
        <f t="shared" si="38"/>
        <v>40526.849037487336</v>
      </c>
      <c r="Q1016" s="11">
        <f>IFERROR(+VLOOKUP(M1016,D.sign_Lista_Data[[RESPONSABLE]:[SOFTWARE 
VALOR HORA]],5,FALSE)*D.sign_Data[[#This Row],[TIEMPO (HORAS)]],0)</f>
        <v>8443.0935494765272</v>
      </c>
      <c r="R1016" s="11">
        <f>IFERROR(+VLOOKUP(M1016,D.sign_Lista_Data[[RESPONSABLE]:[SOFTWARE 
VALOR HORA]],8,FALSE)*D.sign_Data[[#This Row],[TIEMPO (HORAS)]],0)</f>
        <v>6821.7097742879669</v>
      </c>
      <c r="S1016" s="99"/>
      <c r="T1016" s="99"/>
      <c r="U1016" s="3">
        <f t="shared" si="39"/>
        <v>55791.652361251836</v>
      </c>
      <c r="V1016" s="100">
        <f>D.sign_Data[[#This Row],[TIEMPO (HORAS)]]*Gastos_Operativos[[#Totals],[GASTOS HORA]]</f>
        <v>55578.954144620802</v>
      </c>
      <c r="W1016" s="3">
        <f>+D.sign_Data[[#This Row],[COSTO 
DIRECTO ($COP)]]+D.sign_Data[[#This Row],[PRORRATEO GASTOS ($COP)]]</f>
        <v>111370.60650587264</v>
      </c>
      <c r="X1016" s="101">
        <v>0.05</v>
      </c>
      <c r="Y1016" s="15">
        <f>+D.sign_Data[[#This Row],[COSTOS OPERACIONALES ($COP)]]*D.sign_Data[[#This Row],[DESFASE (%)]]</f>
        <v>5568.5303252936319</v>
      </c>
      <c r="Z1016" s="101">
        <v>0.15</v>
      </c>
      <c r="AA1016" s="15">
        <f>+((D.sign_Data[[#This Row],[COSTOS OPERACIONALES ($COP)]]/(100%-D.sign_Data[[#This Row],[UTILIDAD (%)]])))-D.sign_Data[[#This Row],[COSTOS OPERACIONALES ($COP)]]</f>
        <v>19653.636442212824</v>
      </c>
      <c r="AB1016" s="3">
        <f>+D.sign_Data[[#This Row],[COSTOS OPERACIONALES ($COP)]]+D.sign_Data[[#This Row],[DESFASE ($COP)]]+D.sign_Data[[#This Row],[UTILIDAD ($COP)]]</f>
        <v>136592.77327337908</v>
      </c>
      <c r="AC1016" s="101">
        <v>0.05</v>
      </c>
      <c r="AD1016" s="15">
        <f>+D.sign_Data[[#This Row],[VALOR NETO ($COP)]]/(100%-D.sign_Data[[#This Row],[MARGEN DE NEGOCIACIÓN (%)]])-D.sign_Data[[#This Row],[VALOR NETO ($COP)]]</f>
        <v>7189.0933301778568</v>
      </c>
      <c r="AE1016" s="15">
        <f>+(D.sign_Data[[#This Row],[VALOR NETO ($COP)]]+D.sign_Data[[#This Row],[NEGOCIACIÓN ($COP)]])*1%</f>
        <v>1437.8186660355693</v>
      </c>
      <c r="AF1016" s="15">
        <f>+(D.sign_Data[[#This Row],[VALOR NETO ($COP)]]+D.sign_Data[[#This Row],[NEGOCIACIÓN ($COP)]])*1%</f>
        <v>1437.8186660355693</v>
      </c>
      <c r="AG1016" s="3">
        <f>+D.sign_Data[[#This Row],[VALOR NETO ($COP)]]+D.sign_Data[[#This Row],[NEGOCIACIÓN ($COP)]]+D.sign_Data[[#This Row],[ICA ($COP)]]+D.sign_Data[[#This Row],[4 * 1000 ($COP)]]</f>
        <v>146657.50393562808</v>
      </c>
    </row>
    <row r="1017" spans="1:33" ht="60" hidden="1" customHeight="1" x14ac:dyDescent="0.25">
      <c r="A1017" s="14"/>
      <c r="B1017" s="87" t="s">
        <v>493</v>
      </c>
      <c r="C1017" s="182" t="s">
        <v>970</v>
      </c>
      <c r="D1017" s="189" t="str">
        <f>VLOOKUP(D.sign_Data[[#This Row],[CÓDIGO]],Descripciones[[CÓDIGO]:[NOMBRE DE SERVICIO]],3,FALSE)</f>
        <v>D3. Vivienda Campestre</v>
      </c>
      <c r="E1017" s="87" t="s">
        <v>497</v>
      </c>
      <c r="F1017" s="88" t="s">
        <v>551</v>
      </c>
      <c r="G1017" s="88" t="s">
        <v>536</v>
      </c>
      <c r="H1017" s="104" t="s">
        <v>552</v>
      </c>
      <c r="I1017" s="89">
        <v>1</v>
      </c>
      <c r="J1017" s="88" t="s">
        <v>541</v>
      </c>
      <c r="K1017" s="102"/>
      <c r="L1017" s="88" t="s">
        <v>558</v>
      </c>
      <c r="M1017" s="89" t="s">
        <v>381</v>
      </c>
      <c r="N1017" s="90">
        <v>9</v>
      </c>
      <c r="O1017" s="27">
        <f>IFERROR(+VLOOKUP(M1017,D.sign_Lista_Data[[RESPONSABLE]:[SOFTWARE 
VALOR HORA]],3,FALSE),"0")</f>
        <v>20263.424518743668</v>
      </c>
      <c r="P1017" s="3">
        <f t="shared" si="38"/>
        <v>182370.82066869302</v>
      </c>
      <c r="Q1017" s="11">
        <f>IFERROR(+VLOOKUP(M1017,D.sign_Lista_Data[[RESPONSABLE]:[SOFTWARE 
VALOR HORA]],5,FALSE)*D.sign_Data[[#This Row],[TIEMPO (HORAS)]],0)</f>
        <v>37993.920972644373</v>
      </c>
      <c r="R1017" s="11">
        <f>IFERROR(+VLOOKUP(M1017,D.sign_Lista_Data[[RESPONSABLE]:[SOFTWARE 
VALOR HORA]],8,FALSE)*D.sign_Data[[#This Row],[TIEMPO (HORAS)]],0)</f>
        <v>30697.693984295853</v>
      </c>
      <c r="S1017" s="99"/>
      <c r="T1017" s="99"/>
      <c r="U1017" s="3">
        <f t="shared" si="39"/>
        <v>251062.43562563325</v>
      </c>
      <c r="V1017" s="100">
        <f>D.sign_Data[[#This Row],[TIEMPO (HORAS)]]*Gastos_Operativos[[#Totals],[GASTOS HORA]]</f>
        <v>250105.29365079361</v>
      </c>
      <c r="W1017" s="3">
        <f>+D.sign_Data[[#This Row],[COSTO 
DIRECTO ($COP)]]+D.sign_Data[[#This Row],[PRORRATEO GASTOS ($COP)]]</f>
        <v>501167.72927642683</v>
      </c>
      <c r="X1017" s="101">
        <v>0.05</v>
      </c>
      <c r="Y1017" s="15">
        <f>+D.sign_Data[[#This Row],[COSTOS OPERACIONALES ($COP)]]*D.sign_Data[[#This Row],[DESFASE (%)]]</f>
        <v>25058.386463821342</v>
      </c>
      <c r="Z1017" s="101">
        <v>0.15</v>
      </c>
      <c r="AA1017" s="15">
        <f>+((D.sign_Data[[#This Row],[COSTOS OPERACIONALES ($COP)]]/(100%-D.sign_Data[[#This Row],[UTILIDAD (%)]])))-D.sign_Data[[#This Row],[COSTOS OPERACIONALES ($COP)]]</f>
        <v>88441.363989957725</v>
      </c>
      <c r="AB1017" s="3">
        <f>+D.sign_Data[[#This Row],[COSTOS OPERACIONALES ($COP)]]+D.sign_Data[[#This Row],[DESFASE ($COP)]]+D.sign_Data[[#This Row],[UTILIDAD ($COP)]]</f>
        <v>614667.47973020596</v>
      </c>
      <c r="AC1017" s="101">
        <v>0.05</v>
      </c>
      <c r="AD1017" s="15">
        <f>+D.sign_Data[[#This Row],[VALOR NETO ($COP)]]/(100%-D.sign_Data[[#This Row],[MARGEN DE NEGOCIACIÓN (%)]])-D.sign_Data[[#This Row],[VALOR NETO ($COP)]]</f>
        <v>32350.919985800399</v>
      </c>
      <c r="AE1017" s="15">
        <f>+(D.sign_Data[[#This Row],[VALOR NETO ($COP)]]+D.sign_Data[[#This Row],[NEGOCIACIÓN ($COP)]])*1%</f>
        <v>6470.1839971600639</v>
      </c>
      <c r="AF1017" s="15">
        <f>+(D.sign_Data[[#This Row],[VALOR NETO ($COP)]]+D.sign_Data[[#This Row],[NEGOCIACIÓN ($COP)]])*1%</f>
        <v>6470.1839971600639</v>
      </c>
      <c r="AG1017" s="3">
        <f>+D.sign_Data[[#This Row],[VALOR NETO ($COP)]]+D.sign_Data[[#This Row],[NEGOCIACIÓN ($COP)]]+D.sign_Data[[#This Row],[ICA ($COP)]]+D.sign_Data[[#This Row],[4 * 1000 ($COP)]]</f>
        <v>659958.76771032647</v>
      </c>
    </row>
    <row r="1018" spans="1:33" ht="60" hidden="1" customHeight="1" x14ac:dyDescent="0.25">
      <c r="A1018" s="14"/>
      <c r="B1018" s="87" t="s">
        <v>493</v>
      </c>
      <c r="C1018" s="182" t="s">
        <v>970</v>
      </c>
      <c r="D1018" s="189" t="str">
        <f>VLOOKUP(D.sign_Data[[#This Row],[CÓDIGO]],Descripciones[[CÓDIGO]:[NOMBRE DE SERVICIO]],3,FALSE)</f>
        <v>D3. Vivienda Campestre</v>
      </c>
      <c r="E1018" s="87" t="s">
        <v>497</v>
      </c>
      <c r="F1018" s="88" t="s">
        <v>551</v>
      </c>
      <c r="G1018" s="88" t="s">
        <v>536</v>
      </c>
      <c r="H1018" s="104" t="s">
        <v>552</v>
      </c>
      <c r="I1018" s="89">
        <v>1</v>
      </c>
      <c r="J1018" s="88" t="s">
        <v>541</v>
      </c>
      <c r="K1018" s="102"/>
      <c r="L1018" s="88" t="s">
        <v>559</v>
      </c>
      <c r="M1018" s="89" t="s">
        <v>381</v>
      </c>
      <c r="N1018" s="90">
        <v>9</v>
      </c>
      <c r="O1018" s="27">
        <f>IFERROR(+VLOOKUP(M1018,D.sign_Lista_Data[[RESPONSABLE]:[SOFTWARE 
VALOR HORA]],3,FALSE),"0")</f>
        <v>20263.424518743668</v>
      </c>
      <c r="P1018" s="3">
        <f t="shared" si="38"/>
        <v>182370.82066869302</v>
      </c>
      <c r="Q1018" s="11">
        <f>IFERROR(+VLOOKUP(M1018,D.sign_Lista_Data[[RESPONSABLE]:[SOFTWARE 
VALOR HORA]],5,FALSE)*D.sign_Data[[#This Row],[TIEMPO (HORAS)]],0)</f>
        <v>37993.920972644373</v>
      </c>
      <c r="R1018" s="11">
        <f>IFERROR(+VLOOKUP(M1018,D.sign_Lista_Data[[RESPONSABLE]:[SOFTWARE 
VALOR HORA]],8,FALSE)*D.sign_Data[[#This Row],[TIEMPO (HORAS)]],0)</f>
        <v>30697.693984295853</v>
      </c>
      <c r="S1018" s="99"/>
      <c r="T1018" s="99"/>
      <c r="U1018" s="3">
        <f t="shared" si="39"/>
        <v>251062.43562563325</v>
      </c>
      <c r="V1018" s="100">
        <f>D.sign_Data[[#This Row],[TIEMPO (HORAS)]]*Gastos_Operativos[[#Totals],[GASTOS HORA]]</f>
        <v>250105.29365079361</v>
      </c>
      <c r="W1018" s="3">
        <f>+D.sign_Data[[#This Row],[COSTO 
DIRECTO ($COP)]]+D.sign_Data[[#This Row],[PRORRATEO GASTOS ($COP)]]</f>
        <v>501167.72927642683</v>
      </c>
      <c r="X1018" s="101">
        <v>0.05</v>
      </c>
      <c r="Y1018" s="15">
        <f>+D.sign_Data[[#This Row],[COSTOS OPERACIONALES ($COP)]]*D.sign_Data[[#This Row],[DESFASE (%)]]</f>
        <v>25058.386463821342</v>
      </c>
      <c r="Z1018" s="101">
        <v>0.15</v>
      </c>
      <c r="AA1018" s="15">
        <f>+((D.sign_Data[[#This Row],[COSTOS OPERACIONALES ($COP)]]/(100%-D.sign_Data[[#This Row],[UTILIDAD (%)]])))-D.sign_Data[[#This Row],[COSTOS OPERACIONALES ($COP)]]</f>
        <v>88441.363989957725</v>
      </c>
      <c r="AB1018" s="3">
        <f>+D.sign_Data[[#This Row],[COSTOS OPERACIONALES ($COP)]]+D.sign_Data[[#This Row],[DESFASE ($COP)]]+D.sign_Data[[#This Row],[UTILIDAD ($COP)]]</f>
        <v>614667.47973020596</v>
      </c>
      <c r="AC1018" s="101">
        <v>0.05</v>
      </c>
      <c r="AD1018" s="15">
        <f>+D.sign_Data[[#This Row],[VALOR NETO ($COP)]]/(100%-D.sign_Data[[#This Row],[MARGEN DE NEGOCIACIÓN (%)]])-D.sign_Data[[#This Row],[VALOR NETO ($COP)]]</f>
        <v>32350.919985800399</v>
      </c>
      <c r="AE1018" s="15">
        <f>+(D.sign_Data[[#This Row],[VALOR NETO ($COP)]]+D.sign_Data[[#This Row],[NEGOCIACIÓN ($COP)]])*1%</f>
        <v>6470.1839971600639</v>
      </c>
      <c r="AF1018" s="15">
        <f>+(D.sign_Data[[#This Row],[VALOR NETO ($COP)]]+D.sign_Data[[#This Row],[NEGOCIACIÓN ($COP)]])*1%</f>
        <v>6470.1839971600639</v>
      </c>
      <c r="AG1018" s="3">
        <f>+D.sign_Data[[#This Row],[VALOR NETO ($COP)]]+D.sign_Data[[#This Row],[NEGOCIACIÓN ($COP)]]+D.sign_Data[[#This Row],[ICA ($COP)]]+D.sign_Data[[#This Row],[4 * 1000 ($COP)]]</f>
        <v>659958.76771032647</v>
      </c>
    </row>
    <row r="1019" spans="1:33" ht="60" hidden="1" customHeight="1" x14ac:dyDescent="0.25">
      <c r="A1019" s="14"/>
      <c r="B1019" s="87" t="s">
        <v>493</v>
      </c>
      <c r="C1019" s="182" t="s">
        <v>970</v>
      </c>
      <c r="D1019" s="189" t="str">
        <f>VLOOKUP(D.sign_Data[[#This Row],[CÓDIGO]],Descripciones[[CÓDIGO]:[NOMBRE DE SERVICIO]],3,FALSE)</f>
        <v>D3. Vivienda Campestre</v>
      </c>
      <c r="E1019" s="87" t="s">
        <v>497</v>
      </c>
      <c r="F1019" s="88" t="s">
        <v>551</v>
      </c>
      <c r="G1019" s="88" t="s">
        <v>536</v>
      </c>
      <c r="H1019" s="104" t="s">
        <v>552</v>
      </c>
      <c r="I1019" s="89">
        <v>1</v>
      </c>
      <c r="J1019" s="88" t="s">
        <v>541</v>
      </c>
      <c r="K1019" s="102"/>
      <c r="L1019" s="88" t="s">
        <v>560</v>
      </c>
      <c r="M1019" s="89" t="s">
        <v>381</v>
      </c>
      <c r="N1019" s="90">
        <v>9.4</v>
      </c>
      <c r="O1019" s="27">
        <f>IFERROR(+VLOOKUP(M1019,D.sign_Lista_Data[[RESPONSABLE]:[SOFTWARE 
VALOR HORA]],3,FALSE),"0")</f>
        <v>20263.424518743668</v>
      </c>
      <c r="P1019" s="3">
        <f t="shared" si="38"/>
        <v>190476.19047619047</v>
      </c>
      <c r="Q1019" s="11">
        <f>IFERROR(+VLOOKUP(M1019,D.sign_Lista_Data[[RESPONSABLE]:[SOFTWARE 
VALOR HORA]],5,FALSE)*D.sign_Data[[#This Row],[TIEMPO (HORAS)]],0)</f>
        <v>39682.539682539682</v>
      </c>
      <c r="R1019" s="11">
        <f>IFERROR(+VLOOKUP(M1019,D.sign_Lista_Data[[RESPONSABLE]:[SOFTWARE 
VALOR HORA]],8,FALSE)*D.sign_Data[[#This Row],[TIEMPO (HORAS)]],0)</f>
        <v>32062.035939153444</v>
      </c>
      <c r="S1019" s="99"/>
      <c r="T1019" s="99"/>
      <c r="U1019" s="3">
        <f t="shared" si="39"/>
        <v>262220.76609788358</v>
      </c>
      <c r="V1019" s="100">
        <f>D.sign_Data[[#This Row],[TIEMPO (HORAS)]]*Gastos_Operativos[[#Totals],[GASTOS HORA]]</f>
        <v>261221.08447971777</v>
      </c>
      <c r="W1019" s="3">
        <f>+D.sign_Data[[#This Row],[COSTO 
DIRECTO ($COP)]]+D.sign_Data[[#This Row],[PRORRATEO GASTOS ($COP)]]</f>
        <v>523441.85057760135</v>
      </c>
      <c r="X1019" s="101">
        <v>0.05</v>
      </c>
      <c r="Y1019" s="15">
        <f>+D.sign_Data[[#This Row],[COSTOS OPERACIONALES ($COP)]]*D.sign_Data[[#This Row],[DESFASE (%)]]</f>
        <v>26172.092528880068</v>
      </c>
      <c r="Z1019" s="101">
        <v>0.15</v>
      </c>
      <c r="AA1019" s="15">
        <f>+((D.sign_Data[[#This Row],[COSTOS OPERACIONALES ($COP)]]/(100%-D.sign_Data[[#This Row],[UTILIDAD (%)]])))-D.sign_Data[[#This Row],[COSTOS OPERACIONALES ($COP)]]</f>
        <v>92372.091278400272</v>
      </c>
      <c r="AB1019" s="3">
        <f>+D.sign_Data[[#This Row],[COSTOS OPERACIONALES ($COP)]]+D.sign_Data[[#This Row],[DESFASE ($COP)]]+D.sign_Data[[#This Row],[UTILIDAD ($COP)]]</f>
        <v>641986.03438488173</v>
      </c>
      <c r="AC1019" s="101">
        <v>0.05</v>
      </c>
      <c r="AD1019" s="15">
        <f>+D.sign_Data[[#This Row],[VALOR NETO ($COP)]]/(100%-D.sign_Data[[#This Row],[MARGEN DE NEGOCIACIÓN (%)]])-D.sign_Data[[#This Row],[VALOR NETO ($COP)]]</f>
        <v>33788.738651835942</v>
      </c>
      <c r="AE1019" s="15">
        <f>+(D.sign_Data[[#This Row],[VALOR NETO ($COP)]]+D.sign_Data[[#This Row],[NEGOCIACIÓN ($COP)]])*1%</f>
        <v>6757.7477303671767</v>
      </c>
      <c r="AF1019" s="15">
        <f>+(D.sign_Data[[#This Row],[VALOR NETO ($COP)]]+D.sign_Data[[#This Row],[NEGOCIACIÓN ($COP)]])*1%</f>
        <v>6757.7477303671767</v>
      </c>
      <c r="AG1019" s="3">
        <f>+D.sign_Data[[#This Row],[VALOR NETO ($COP)]]+D.sign_Data[[#This Row],[NEGOCIACIÓN ($COP)]]+D.sign_Data[[#This Row],[ICA ($COP)]]+D.sign_Data[[#This Row],[4 * 1000 ($COP)]]</f>
        <v>689290.26849745191</v>
      </c>
    </row>
    <row r="1020" spans="1:33" ht="60" hidden="1" customHeight="1" x14ac:dyDescent="0.25">
      <c r="A1020" s="14"/>
      <c r="B1020" s="87" t="s">
        <v>493</v>
      </c>
      <c r="C1020" s="182" t="s">
        <v>970</v>
      </c>
      <c r="D1020" s="189" t="str">
        <f>VLOOKUP(D.sign_Data[[#This Row],[CÓDIGO]],Descripciones[[CÓDIGO]:[NOMBRE DE SERVICIO]],3,FALSE)</f>
        <v>D3. Vivienda Campestre</v>
      </c>
      <c r="E1020" s="87" t="s">
        <v>497</v>
      </c>
      <c r="F1020" s="88" t="s">
        <v>551</v>
      </c>
      <c r="G1020" s="88" t="s">
        <v>536</v>
      </c>
      <c r="H1020" s="104" t="s">
        <v>552</v>
      </c>
      <c r="I1020" s="89">
        <v>1</v>
      </c>
      <c r="J1020" s="88" t="s">
        <v>541</v>
      </c>
      <c r="K1020" s="102"/>
      <c r="L1020" s="88" t="s">
        <v>561</v>
      </c>
      <c r="M1020" s="89" t="s">
        <v>381</v>
      </c>
      <c r="N1020" s="90">
        <v>3</v>
      </c>
      <c r="O1020" s="27">
        <f>IFERROR(+VLOOKUP(M1020,D.sign_Lista_Data[[RESPONSABLE]:[SOFTWARE 
VALOR HORA]],3,FALSE),"0")</f>
        <v>20263.424518743668</v>
      </c>
      <c r="P1020" s="3">
        <f t="shared" si="38"/>
        <v>60790.273556231004</v>
      </c>
      <c r="Q1020" s="11">
        <f>IFERROR(+VLOOKUP(M1020,D.sign_Lista_Data[[RESPONSABLE]:[SOFTWARE 
VALOR HORA]],5,FALSE)*D.sign_Data[[#This Row],[TIEMPO (HORAS)]],0)</f>
        <v>12664.64032421479</v>
      </c>
      <c r="R1020" s="11">
        <f>IFERROR(+VLOOKUP(M1020,D.sign_Lista_Data[[RESPONSABLE]:[SOFTWARE 
VALOR HORA]],8,FALSE)*D.sign_Data[[#This Row],[TIEMPO (HORAS)]],0)</f>
        <v>10232.56466143195</v>
      </c>
      <c r="S1020" s="99"/>
      <c r="T1020" s="99"/>
      <c r="U1020" s="3">
        <f t="shared" si="39"/>
        <v>83687.478541877746</v>
      </c>
      <c r="V1020" s="100">
        <f>D.sign_Data[[#This Row],[TIEMPO (HORAS)]]*Gastos_Operativos[[#Totals],[GASTOS HORA]]</f>
        <v>83368.431216931203</v>
      </c>
      <c r="W1020" s="3">
        <f>+D.sign_Data[[#This Row],[COSTO 
DIRECTO ($COP)]]+D.sign_Data[[#This Row],[PRORRATEO GASTOS ($COP)]]</f>
        <v>167055.90975880896</v>
      </c>
      <c r="X1020" s="101">
        <v>0.05</v>
      </c>
      <c r="Y1020" s="15">
        <f>+D.sign_Data[[#This Row],[COSTOS OPERACIONALES ($COP)]]*D.sign_Data[[#This Row],[DESFASE (%)]]</f>
        <v>8352.7954879404479</v>
      </c>
      <c r="Z1020" s="101">
        <v>0.15</v>
      </c>
      <c r="AA1020" s="15">
        <f>+((D.sign_Data[[#This Row],[COSTOS OPERACIONALES ($COP)]]/(100%-D.sign_Data[[#This Row],[UTILIDAD (%)]])))-D.sign_Data[[#This Row],[COSTOS OPERACIONALES ($COP)]]</f>
        <v>29480.454663319222</v>
      </c>
      <c r="AB1020" s="3">
        <f>+D.sign_Data[[#This Row],[COSTOS OPERACIONALES ($COP)]]+D.sign_Data[[#This Row],[DESFASE ($COP)]]+D.sign_Data[[#This Row],[UTILIDAD ($COP)]]</f>
        <v>204889.15991006864</v>
      </c>
      <c r="AC1020" s="101">
        <v>0.05</v>
      </c>
      <c r="AD1020" s="15">
        <f>+D.sign_Data[[#This Row],[VALOR NETO ($COP)]]/(100%-D.sign_Data[[#This Row],[MARGEN DE NEGOCIACIÓN (%)]])-D.sign_Data[[#This Row],[VALOR NETO ($COP)]]</f>
        <v>10783.639995266771</v>
      </c>
      <c r="AE1020" s="15">
        <f>+(D.sign_Data[[#This Row],[VALOR NETO ($COP)]]+D.sign_Data[[#This Row],[NEGOCIACIÓN ($COP)]])*1%</f>
        <v>2156.7279990533543</v>
      </c>
      <c r="AF1020" s="15">
        <f>+(D.sign_Data[[#This Row],[VALOR NETO ($COP)]]+D.sign_Data[[#This Row],[NEGOCIACIÓN ($COP)]])*1%</f>
        <v>2156.7279990533543</v>
      </c>
      <c r="AG1020" s="3">
        <f>+D.sign_Data[[#This Row],[VALOR NETO ($COP)]]+D.sign_Data[[#This Row],[NEGOCIACIÓN ($COP)]]+D.sign_Data[[#This Row],[ICA ($COP)]]+D.sign_Data[[#This Row],[4 * 1000 ($COP)]]</f>
        <v>219986.2559034421</v>
      </c>
    </row>
    <row r="1021" spans="1:33" ht="31.5" hidden="1" x14ac:dyDescent="0.25">
      <c r="A1021" s="14"/>
      <c r="B1021" s="87" t="s">
        <v>493</v>
      </c>
      <c r="C1021" s="182" t="s">
        <v>970</v>
      </c>
      <c r="D1021" s="189" t="str">
        <f>VLOOKUP(D.sign_Data[[#This Row],[CÓDIGO]],Descripciones[[CÓDIGO]:[NOMBRE DE SERVICIO]],3,FALSE)</f>
        <v>D3. Vivienda Campestre</v>
      </c>
      <c r="E1021" s="87" t="s">
        <v>497</v>
      </c>
      <c r="F1021" s="88" t="s">
        <v>551</v>
      </c>
      <c r="G1021" s="88" t="s">
        <v>536</v>
      </c>
      <c r="H1021" s="104" t="s">
        <v>552</v>
      </c>
      <c r="I1021" s="89">
        <v>1</v>
      </c>
      <c r="J1021" s="88" t="s">
        <v>541</v>
      </c>
      <c r="K1021" s="102"/>
      <c r="L1021" s="88" t="s">
        <v>547</v>
      </c>
      <c r="M1021" s="89" t="s">
        <v>381</v>
      </c>
      <c r="N1021" s="90">
        <v>2</v>
      </c>
      <c r="O1021" s="27">
        <f>IFERROR(+VLOOKUP(M1021,D.sign_Lista_Data[[RESPONSABLE]:[SOFTWARE 
VALOR HORA]],3,FALSE),"0")</f>
        <v>20263.424518743668</v>
      </c>
      <c r="P1021" s="3">
        <f t="shared" si="38"/>
        <v>40526.849037487336</v>
      </c>
      <c r="Q1021" s="11">
        <f>IFERROR(+VLOOKUP(M1021,D.sign_Lista_Data[[RESPONSABLE]:[SOFTWARE 
VALOR HORA]],5,FALSE)*D.sign_Data[[#This Row],[TIEMPO (HORAS)]],0)</f>
        <v>8443.0935494765272</v>
      </c>
      <c r="R1021" s="11">
        <f>IFERROR(+VLOOKUP(M1021,D.sign_Lista_Data[[RESPONSABLE]:[SOFTWARE 
VALOR HORA]],8,FALSE)*D.sign_Data[[#This Row],[TIEMPO (HORAS)]],0)</f>
        <v>6821.7097742879669</v>
      </c>
      <c r="S1021" s="99"/>
      <c r="T1021" s="99"/>
      <c r="U1021" s="3">
        <f t="shared" si="39"/>
        <v>55791.652361251836</v>
      </c>
      <c r="V1021" s="100">
        <f>D.sign_Data[[#This Row],[TIEMPO (HORAS)]]*Gastos_Operativos[[#Totals],[GASTOS HORA]]</f>
        <v>55578.954144620802</v>
      </c>
      <c r="W1021" s="3">
        <f>+D.sign_Data[[#This Row],[COSTO 
DIRECTO ($COP)]]+D.sign_Data[[#This Row],[PRORRATEO GASTOS ($COP)]]</f>
        <v>111370.60650587264</v>
      </c>
      <c r="X1021" s="101">
        <v>0.05</v>
      </c>
      <c r="Y1021" s="15">
        <f>+D.sign_Data[[#This Row],[COSTOS OPERACIONALES ($COP)]]*D.sign_Data[[#This Row],[DESFASE (%)]]</f>
        <v>5568.5303252936319</v>
      </c>
      <c r="Z1021" s="101">
        <v>0.15</v>
      </c>
      <c r="AA1021" s="15">
        <f>+((D.sign_Data[[#This Row],[COSTOS OPERACIONALES ($COP)]]/(100%-D.sign_Data[[#This Row],[UTILIDAD (%)]])))-D.sign_Data[[#This Row],[COSTOS OPERACIONALES ($COP)]]</f>
        <v>19653.636442212824</v>
      </c>
      <c r="AB1021" s="3">
        <f>+D.sign_Data[[#This Row],[COSTOS OPERACIONALES ($COP)]]+D.sign_Data[[#This Row],[DESFASE ($COP)]]+D.sign_Data[[#This Row],[UTILIDAD ($COP)]]</f>
        <v>136592.77327337908</v>
      </c>
      <c r="AC1021" s="101">
        <v>0.05</v>
      </c>
      <c r="AD1021" s="15">
        <f>+D.sign_Data[[#This Row],[VALOR NETO ($COP)]]/(100%-D.sign_Data[[#This Row],[MARGEN DE NEGOCIACIÓN (%)]])-D.sign_Data[[#This Row],[VALOR NETO ($COP)]]</f>
        <v>7189.0933301778568</v>
      </c>
      <c r="AE1021" s="15">
        <f>+(D.sign_Data[[#This Row],[VALOR NETO ($COP)]]+D.sign_Data[[#This Row],[NEGOCIACIÓN ($COP)]])*1%</f>
        <v>1437.8186660355693</v>
      </c>
      <c r="AF1021" s="15">
        <f>+(D.sign_Data[[#This Row],[VALOR NETO ($COP)]]+D.sign_Data[[#This Row],[NEGOCIACIÓN ($COP)]])*1%</f>
        <v>1437.8186660355693</v>
      </c>
      <c r="AG1021" s="3">
        <f>+D.sign_Data[[#This Row],[VALOR NETO ($COP)]]+D.sign_Data[[#This Row],[NEGOCIACIÓN ($COP)]]+D.sign_Data[[#This Row],[ICA ($COP)]]+D.sign_Data[[#This Row],[4 * 1000 ($COP)]]</f>
        <v>146657.50393562808</v>
      </c>
    </row>
    <row r="1022" spans="1:33" ht="60" hidden="1" customHeight="1" x14ac:dyDescent="0.25">
      <c r="A1022" s="14"/>
      <c r="B1022" s="87" t="s">
        <v>493</v>
      </c>
      <c r="C1022" s="182" t="s">
        <v>970</v>
      </c>
      <c r="D1022" s="189" t="str">
        <f>VLOOKUP(D.sign_Data[[#This Row],[CÓDIGO]],Descripciones[[CÓDIGO]:[NOMBRE DE SERVICIO]],3,FALSE)</f>
        <v>D3. Vivienda Campestre</v>
      </c>
      <c r="E1022" s="87" t="s">
        <v>497</v>
      </c>
      <c r="F1022" s="88" t="s">
        <v>551</v>
      </c>
      <c r="G1022" s="88" t="s">
        <v>536</v>
      </c>
      <c r="H1022" s="104" t="s">
        <v>552</v>
      </c>
      <c r="I1022" s="89">
        <v>1</v>
      </c>
      <c r="J1022" s="88" t="s">
        <v>541</v>
      </c>
      <c r="K1022" s="102"/>
      <c r="L1022" s="88" t="s">
        <v>562</v>
      </c>
      <c r="M1022" s="89" t="s">
        <v>381</v>
      </c>
      <c r="N1022" s="90">
        <v>9</v>
      </c>
      <c r="O1022" s="27">
        <f>IFERROR(+VLOOKUP(M1022,D.sign_Lista_Data[[RESPONSABLE]:[SOFTWARE 
VALOR HORA]],3,FALSE),"0")</f>
        <v>20263.424518743668</v>
      </c>
      <c r="P1022" s="3">
        <f t="shared" si="38"/>
        <v>182370.82066869302</v>
      </c>
      <c r="Q1022" s="11">
        <f>IFERROR(+VLOOKUP(M1022,D.sign_Lista_Data[[RESPONSABLE]:[SOFTWARE 
VALOR HORA]],5,FALSE)*D.sign_Data[[#This Row],[TIEMPO (HORAS)]],0)</f>
        <v>37993.920972644373</v>
      </c>
      <c r="R1022" s="11">
        <f>IFERROR(+VLOOKUP(M1022,D.sign_Lista_Data[[RESPONSABLE]:[SOFTWARE 
VALOR HORA]],8,FALSE)*D.sign_Data[[#This Row],[TIEMPO (HORAS)]],0)</f>
        <v>30697.693984295853</v>
      </c>
      <c r="S1022" s="99"/>
      <c r="T1022" s="99"/>
      <c r="U1022" s="3">
        <f t="shared" si="39"/>
        <v>251062.43562563325</v>
      </c>
      <c r="V1022" s="100">
        <f>D.sign_Data[[#This Row],[TIEMPO (HORAS)]]*Gastos_Operativos[[#Totals],[GASTOS HORA]]</f>
        <v>250105.29365079361</v>
      </c>
      <c r="W1022" s="3">
        <f>+D.sign_Data[[#This Row],[COSTO 
DIRECTO ($COP)]]+D.sign_Data[[#This Row],[PRORRATEO GASTOS ($COP)]]</f>
        <v>501167.72927642683</v>
      </c>
      <c r="X1022" s="101">
        <v>0.05</v>
      </c>
      <c r="Y1022" s="15">
        <f>+D.sign_Data[[#This Row],[COSTOS OPERACIONALES ($COP)]]*D.sign_Data[[#This Row],[DESFASE (%)]]</f>
        <v>25058.386463821342</v>
      </c>
      <c r="Z1022" s="101">
        <v>0.15</v>
      </c>
      <c r="AA1022" s="15">
        <f>+((D.sign_Data[[#This Row],[COSTOS OPERACIONALES ($COP)]]/(100%-D.sign_Data[[#This Row],[UTILIDAD (%)]])))-D.sign_Data[[#This Row],[COSTOS OPERACIONALES ($COP)]]</f>
        <v>88441.363989957725</v>
      </c>
      <c r="AB1022" s="3">
        <f>+D.sign_Data[[#This Row],[COSTOS OPERACIONALES ($COP)]]+D.sign_Data[[#This Row],[DESFASE ($COP)]]+D.sign_Data[[#This Row],[UTILIDAD ($COP)]]</f>
        <v>614667.47973020596</v>
      </c>
      <c r="AC1022" s="101">
        <v>0.05</v>
      </c>
      <c r="AD1022" s="15">
        <f>+D.sign_Data[[#This Row],[VALOR NETO ($COP)]]/(100%-D.sign_Data[[#This Row],[MARGEN DE NEGOCIACIÓN (%)]])-D.sign_Data[[#This Row],[VALOR NETO ($COP)]]</f>
        <v>32350.919985800399</v>
      </c>
      <c r="AE1022" s="15">
        <f>+(D.sign_Data[[#This Row],[VALOR NETO ($COP)]]+D.sign_Data[[#This Row],[NEGOCIACIÓN ($COP)]])*1%</f>
        <v>6470.1839971600639</v>
      </c>
      <c r="AF1022" s="15">
        <f>+(D.sign_Data[[#This Row],[VALOR NETO ($COP)]]+D.sign_Data[[#This Row],[NEGOCIACIÓN ($COP)]])*1%</f>
        <v>6470.1839971600639</v>
      </c>
      <c r="AG1022" s="3">
        <f>+D.sign_Data[[#This Row],[VALOR NETO ($COP)]]+D.sign_Data[[#This Row],[NEGOCIACIÓN ($COP)]]+D.sign_Data[[#This Row],[ICA ($COP)]]+D.sign_Data[[#This Row],[4 * 1000 ($COP)]]</f>
        <v>659958.76771032647</v>
      </c>
    </row>
    <row r="1023" spans="1:33" ht="60" hidden="1" customHeight="1" x14ac:dyDescent="0.25">
      <c r="A1023" s="14"/>
      <c r="B1023" s="87" t="s">
        <v>493</v>
      </c>
      <c r="C1023" s="182" t="s">
        <v>971</v>
      </c>
      <c r="D1023" s="189" t="str">
        <f>VLOOKUP(D.sign_Data[[#This Row],[CÓDIGO]],Descripciones[[CÓDIGO]:[NOMBRE DE SERVICIO]],3,FALSE)</f>
        <v>D3. Vivienda Campestre</v>
      </c>
      <c r="E1023" s="87" t="s">
        <v>497</v>
      </c>
      <c r="F1023" s="88" t="s">
        <v>918</v>
      </c>
      <c r="G1023" s="88" t="s">
        <v>565</v>
      </c>
      <c r="H1023" s="104" t="s">
        <v>552</v>
      </c>
      <c r="I1023" s="89">
        <v>1</v>
      </c>
      <c r="J1023" s="88" t="s">
        <v>603</v>
      </c>
      <c r="K1023" s="102"/>
      <c r="L1023" s="88" t="s">
        <v>567</v>
      </c>
      <c r="M1023" s="89" t="s">
        <v>381</v>
      </c>
      <c r="N1023" s="90">
        <v>0.2</v>
      </c>
      <c r="O1023" s="27">
        <f>IFERROR(+VLOOKUP(M1023,D.sign_Lista_Data[[RESPONSABLE]:[SOFTWARE 
VALOR HORA]],3,FALSE),"0")</f>
        <v>20263.424518743668</v>
      </c>
      <c r="P1023" s="3">
        <f t="shared" si="38"/>
        <v>4052.6849037487336</v>
      </c>
      <c r="Q1023" s="11">
        <f>IFERROR(+VLOOKUP(M1023,D.sign_Lista_Data[[RESPONSABLE]:[SOFTWARE 
VALOR HORA]],5,FALSE)*D.sign_Data[[#This Row],[TIEMPO (HORAS)]],0)</f>
        <v>844.30935494765276</v>
      </c>
      <c r="R1023" s="11">
        <f>IFERROR(+VLOOKUP(M1023,D.sign_Lista_Data[[RESPONSABLE]:[SOFTWARE 
VALOR HORA]],8,FALSE)*D.sign_Data[[#This Row],[TIEMPO (HORAS)]],0)</f>
        <v>682.17097742879673</v>
      </c>
      <c r="S1023" s="99"/>
      <c r="T1023" s="99"/>
      <c r="U1023" s="3">
        <f t="shared" si="39"/>
        <v>5579.1652361251827</v>
      </c>
      <c r="V1023" s="100">
        <f>D.sign_Data[[#This Row],[TIEMPO (HORAS)]]*Gastos_Operativos[[#Totals],[GASTOS HORA]]</f>
        <v>5557.8954144620802</v>
      </c>
      <c r="W1023" s="3">
        <f>+D.sign_Data[[#This Row],[COSTO 
DIRECTO ($COP)]]+D.sign_Data[[#This Row],[PRORRATEO GASTOS ($COP)]]</f>
        <v>11137.060650587264</v>
      </c>
      <c r="X1023" s="101">
        <v>0.05</v>
      </c>
      <c r="Y1023" s="15">
        <f>+D.sign_Data[[#This Row],[COSTOS OPERACIONALES ($COP)]]*D.sign_Data[[#This Row],[DESFASE (%)]]</f>
        <v>556.85303252936319</v>
      </c>
      <c r="Z1023" s="101">
        <v>0.15</v>
      </c>
      <c r="AA1023" s="15">
        <f>+((D.sign_Data[[#This Row],[COSTOS OPERACIONALES ($COP)]]/(100%-D.sign_Data[[#This Row],[UTILIDAD (%)]])))-D.sign_Data[[#This Row],[COSTOS OPERACIONALES ($COP)]]</f>
        <v>1965.3636442212828</v>
      </c>
      <c r="AB1023" s="3">
        <f>+D.sign_Data[[#This Row],[COSTOS OPERACIONALES ($COP)]]+D.sign_Data[[#This Row],[DESFASE ($COP)]]+D.sign_Data[[#This Row],[UTILIDAD ($COP)]]</f>
        <v>13659.27732733791</v>
      </c>
      <c r="AC1023" s="101">
        <v>0.05</v>
      </c>
      <c r="AD1023" s="15">
        <f>+D.sign_Data[[#This Row],[VALOR NETO ($COP)]]/(100%-D.sign_Data[[#This Row],[MARGEN DE NEGOCIACIÓN (%)]])-D.sign_Data[[#This Row],[VALOR NETO ($COP)]]</f>
        <v>718.90933301778568</v>
      </c>
      <c r="AE1023" s="15">
        <f>+(D.sign_Data[[#This Row],[VALOR NETO ($COP)]]+D.sign_Data[[#This Row],[NEGOCIACIÓN ($COP)]])*1%</f>
        <v>143.78186660355695</v>
      </c>
      <c r="AF1023" s="15">
        <f>+(D.sign_Data[[#This Row],[VALOR NETO ($COP)]]+D.sign_Data[[#This Row],[NEGOCIACIÓN ($COP)]])*1%</f>
        <v>143.78186660355695</v>
      </c>
      <c r="AG1023" s="3">
        <f>+D.sign_Data[[#This Row],[VALOR NETO ($COP)]]+D.sign_Data[[#This Row],[NEGOCIACIÓN ($COP)]]+D.sign_Data[[#This Row],[ICA ($COP)]]+D.sign_Data[[#This Row],[4 * 1000 ($COP)]]</f>
        <v>14665.750393562808</v>
      </c>
    </row>
    <row r="1024" spans="1:33" ht="60" hidden="1" customHeight="1" x14ac:dyDescent="0.25">
      <c r="A1024" s="14"/>
      <c r="B1024" s="87" t="s">
        <v>493</v>
      </c>
      <c r="C1024" s="182" t="s">
        <v>971</v>
      </c>
      <c r="D1024" s="189" t="str">
        <f>VLOOKUP(D.sign_Data[[#This Row],[CÓDIGO]],Descripciones[[CÓDIGO]:[NOMBRE DE SERVICIO]],3,FALSE)</f>
        <v>D3. Vivienda Campestre</v>
      </c>
      <c r="E1024" s="87" t="s">
        <v>497</v>
      </c>
      <c r="F1024" s="88" t="s">
        <v>918</v>
      </c>
      <c r="G1024" s="88" t="s">
        <v>565</v>
      </c>
      <c r="H1024" s="104" t="s">
        <v>552</v>
      </c>
      <c r="I1024" s="89">
        <v>1</v>
      </c>
      <c r="J1024" s="88" t="s">
        <v>603</v>
      </c>
      <c r="K1024" s="102"/>
      <c r="L1024" s="88" t="s">
        <v>604</v>
      </c>
      <c r="M1024" s="89" t="s">
        <v>381</v>
      </c>
      <c r="N1024" s="90">
        <v>0.1</v>
      </c>
      <c r="O1024" s="27">
        <f>IFERROR(+VLOOKUP(M1024,D.sign_Lista_Data[[RESPONSABLE]:[SOFTWARE 
VALOR HORA]],3,FALSE),"0")</f>
        <v>20263.424518743668</v>
      </c>
      <c r="P1024" s="3">
        <f t="shared" si="38"/>
        <v>2026.3424518743668</v>
      </c>
      <c r="Q1024" s="11">
        <f>IFERROR(+VLOOKUP(M1024,D.sign_Lista_Data[[RESPONSABLE]:[SOFTWARE 
VALOR HORA]],5,FALSE)*D.sign_Data[[#This Row],[TIEMPO (HORAS)]],0)</f>
        <v>422.15467747382638</v>
      </c>
      <c r="R1024" s="11">
        <f>IFERROR(+VLOOKUP(M1024,D.sign_Lista_Data[[RESPONSABLE]:[SOFTWARE 
VALOR HORA]],8,FALSE)*D.sign_Data[[#This Row],[TIEMPO (HORAS)]],0)</f>
        <v>341.08548871439837</v>
      </c>
      <c r="S1024" s="99"/>
      <c r="T1024" s="99"/>
      <c r="U1024" s="3">
        <f t="shared" si="39"/>
        <v>2789.5826180625913</v>
      </c>
      <c r="V1024" s="100">
        <f>D.sign_Data[[#This Row],[TIEMPO (HORAS)]]*Gastos_Operativos[[#Totals],[GASTOS HORA]]</f>
        <v>2778.9477072310401</v>
      </c>
      <c r="W1024" s="3">
        <f>+D.sign_Data[[#This Row],[COSTO 
DIRECTO ($COP)]]+D.sign_Data[[#This Row],[PRORRATEO GASTOS ($COP)]]</f>
        <v>5568.5303252936319</v>
      </c>
      <c r="X1024" s="101">
        <v>0.05</v>
      </c>
      <c r="Y1024" s="15">
        <f>+D.sign_Data[[#This Row],[COSTOS OPERACIONALES ($COP)]]*D.sign_Data[[#This Row],[DESFASE (%)]]</f>
        <v>278.4265162646816</v>
      </c>
      <c r="Z1024" s="101">
        <v>0.15</v>
      </c>
      <c r="AA1024" s="15">
        <f>+((D.sign_Data[[#This Row],[COSTOS OPERACIONALES ($COP)]]/(100%-D.sign_Data[[#This Row],[UTILIDAD (%)]])))-D.sign_Data[[#This Row],[COSTOS OPERACIONALES ($COP)]]</f>
        <v>982.68182211064141</v>
      </c>
      <c r="AB1024" s="3">
        <f>+D.sign_Data[[#This Row],[COSTOS OPERACIONALES ($COP)]]+D.sign_Data[[#This Row],[DESFASE ($COP)]]+D.sign_Data[[#This Row],[UTILIDAD ($COP)]]</f>
        <v>6829.6386636689549</v>
      </c>
      <c r="AC1024" s="101">
        <v>0.05</v>
      </c>
      <c r="AD1024" s="15">
        <f>+D.sign_Data[[#This Row],[VALOR NETO ($COP)]]/(100%-D.sign_Data[[#This Row],[MARGEN DE NEGOCIACIÓN (%)]])-D.sign_Data[[#This Row],[VALOR NETO ($COP)]]</f>
        <v>359.45466650889284</v>
      </c>
      <c r="AE1024" s="15">
        <f>+(D.sign_Data[[#This Row],[VALOR NETO ($COP)]]+D.sign_Data[[#This Row],[NEGOCIACIÓN ($COP)]])*1%</f>
        <v>71.890933301778475</v>
      </c>
      <c r="AF1024" s="15">
        <f>+(D.sign_Data[[#This Row],[VALOR NETO ($COP)]]+D.sign_Data[[#This Row],[NEGOCIACIÓN ($COP)]])*1%</f>
        <v>71.890933301778475</v>
      </c>
      <c r="AG1024" s="3">
        <f>+D.sign_Data[[#This Row],[VALOR NETO ($COP)]]+D.sign_Data[[#This Row],[NEGOCIACIÓN ($COP)]]+D.sign_Data[[#This Row],[ICA ($COP)]]+D.sign_Data[[#This Row],[4 * 1000 ($COP)]]</f>
        <v>7332.8751967814042</v>
      </c>
    </row>
    <row r="1025" spans="1:33" ht="60" hidden="1" customHeight="1" x14ac:dyDescent="0.25">
      <c r="A1025" s="14"/>
      <c r="B1025" s="87" t="s">
        <v>493</v>
      </c>
      <c r="C1025" s="182" t="s">
        <v>971</v>
      </c>
      <c r="D1025" s="189" t="str">
        <f>VLOOKUP(D.sign_Data[[#This Row],[CÓDIGO]],Descripciones[[CÓDIGO]:[NOMBRE DE SERVICIO]],3,FALSE)</f>
        <v>D3. Vivienda Campestre</v>
      </c>
      <c r="E1025" s="87" t="s">
        <v>497</v>
      </c>
      <c r="F1025" s="88" t="s">
        <v>918</v>
      </c>
      <c r="G1025" s="88" t="s">
        <v>565</v>
      </c>
      <c r="H1025" s="104" t="s">
        <v>552</v>
      </c>
      <c r="I1025" s="89">
        <v>1</v>
      </c>
      <c r="J1025" s="88" t="s">
        <v>603</v>
      </c>
      <c r="K1025" s="102"/>
      <c r="L1025" s="88" t="s">
        <v>570</v>
      </c>
      <c r="M1025" s="89" t="s">
        <v>381</v>
      </c>
      <c r="N1025" s="90">
        <v>0.5</v>
      </c>
      <c r="O1025" s="27">
        <f>IFERROR(+VLOOKUP(M1025,D.sign_Lista_Data[[RESPONSABLE]:[SOFTWARE 
VALOR HORA]],3,FALSE),"0")</f>
        <v>20263.424518743668</v>
      </c>
      <c r="P1025" s="3">
        <f t="shared" si="38"/>
        <v>10131.712259371834</v>
      </c>
      <c r="Q1025" s="11">
        <f>IFERROR(+VLOOKUP(M1025,D.sign_Lista_Data[[RESPONSABLE]:[SOFTWARE 
VALOR HORA]],5,FALSE)*D.sign_Data[[#This Row],[TIEMPO (HORAS)]],0)</f>
        <v>2110.7733873691318</v>
      </c>
      <c r="R1025" s="11">
        <f>IFERROR(+VLOOKUP(M1025,D.sign_Lista_Data[[RESPONSABLE]:[SOFTWARE 
VALOR HORA]],8,FALSE)*D.sign_Data[[#This Row],[TIEMPO (HORAS)]],0)</f>
        <v>1705.4274435719917</v>
      </c>
      <c r="S1025" s="99"/>
      <c r="T1025" s="99"/>
      <c r="U1025" s="3">
        <f t="shared" si="39"/>
        <v>13947.913090312959</v>
      </c>
      <c r="V1025" s="100">
        <f>D.sign_Data[[#This Row],[TIEMPO (HORAS)]]*Gastos_Operativos[[#Totals],[GASTOS HORA]]</f>
        <v>13894.738536155201</v>
      </c>
      <c r="W1025" s="3">
        <f>+D.sign_Data[[#This Row],[COSTO 
DIRECTO ($COP)]]+D.sign_Data[[#This Row],[PRORRATEO GASTOS ($COP)]]</f>
        <v>27842.65162646816</v>
      </c>
      <c r="X1025" s="101">
        <v>0.05</v>
      </c>
      <c r="Y1025" s="15">
        <f>+D.sign_Data[[#This Row],[COSTOS OPERACIONALES ($COP)]]*D.sign_Data[[#This Row],[DESFASE (%)]]</f>
        <v>1392.132581323408</v>
      </c>
      <c r="Z1025" s="101">
        <v>0.15</v>
      </c>
      <c r="AA1025" s="15">
        <f>+((D.sign_Data[[#This Row],[COSTOS OPERACIONALES ($COP)]]/(100%-D.sign_Data[[#This Row],[UTILIDAD (%)]])))-D.sign_Data[[#This Row],[COSTOS OPERACIONALES ($COP)]]</f>
        <v>4913.4091105532061</v>
      </c>
      <c r="AB1025" s="3">
        <f>+D.sign_Data[[#This Row],[COSTOS OPERACIONALES ($COP)]]+D.sign_Data[[#This Row],[DESFASE ($COP)]]+D.sign_Data[[#This Row],[UTILIDAD ($COP)]]</f>
        <v>34148.193318344769</v>
      </c>
      <c r="AC1025" s="101">
        <v>0.05</v>
      </c>
      <c r="AD1025" s="15">
        <f>+D.sign_Data[[#This Row],[VALOR NETO ($COP)]]/(100%-D.sign_Data[[#This Row],[MARGEN DE NEGOCIACIÓN (%)]])-D.sign_Data[[#This Row],[VALOR NETO ($COP)]]</f>
        <v>1797.2733325444642</v>
      </c>
      <c r="AE1025" s="15">
        <f>+(D.sign_Data[[#This Row],[VALOR NETO ($COP)]]+D.sign_Data[[#This Row],[NEGOCIACIÓN ($COP)]])*1%</f>
        <v>359.45466650889233</v>
      </c>
      <c r="AF1025" s="15">
        <f>+(D.sign_Data[[#This Row],[VALOR NETO ($COP)]]+D.sign_Data[[#This Row],[NEGOCIACIÓN ($COP)]])*1%</f>
        <v>359.45466650889233</v>
      </c>
      <c r="AG1025" s="3">
        <f>+D.sign_Data[[#This Row],[VALOR NETO ($COP)]]+D.sign_Data[[#This Row],[NEGOCIACIÓN ($COP)]]+D.sign_Data[[#This Row],[ICA ($COP)]]+D.sign_Data[[#This Row],[4 * 1000 ($COP)]]</f>
        <v>36664.375983907019</v>
      </c>
    </row>
    <row r="1026" spans="1:33" ht="60" hidden="1" customHeight="1" x14ac:dyDescent="0.25">
      <c r="A1026" s="14"/>
      <c r="B1026" s="87" t="s">
        <v>493</v>
      </c>
      <c r="C1026" s="182" t="s">
        <v>971</v>
      </c>
      <c r="D1026" s="189" t="str">
        <f>VLOOKUP(D.sign_Data[[#This Row],[CÓDIGO]],Descripciones[[CÓDIGO]:[NOMBRE DE SERVICIO]],3,FALSE)</f>
        <v>D3. Vivienda Campestre</v>
      </c>
      <c r="E1026" s="87" t="s">
        <v>497</v>
      </c>
      <c r="F1026" s="88" t="s">
        <v>918</v>
      </c>
      <c r="G1026" s="88" t="s">
        <v>565</v>
      </c>
      <c r="H1026" s="104" t="s">
        <v>552</v>
      </c>
      <c r="I1026" s="89">
        <v>1</v>
      </c>
      <c r="J1026" s="88" t="s">
        <v>603</v>
      </c>
      <c r="K1026" s="102"/>
      <c r="L1026" s="88" t="s">
        <v>571</v>
      </c>
      <c r="M1026" s="89" t="s">
        <v>381</v>
      </c>
      <c r="N1026" s="90">
        <v>0.1</v>
      </c>
      <c r="O1026" s="27">
        <f>IFERROR(+VLOOKUP(M1026,D.sign_Lista_Data[[RESPONSABLE]:[SOFTWARE 
VALOR HORA]],3,FALSE),"0")</f>
        <v>20263.424518743668</v>
      </c>
      <c r="P1026" s="3">
        <f t="shared" si="38"/>
        <v>2026.3424518743668</v>
      </c>
      <c r="Q1026" s="11">
        <f>IFERROR(+VLOOKUP(M1026,D.sign_Lista_Data[[RESPONSABLE]:[SOFTWARE 
VALOR HORA]],5,FALSE)*D.sign_Data[[#This Row],[TIEMPO (HORAS)]],0)</f>
        <v>422.15467747382638</v>
      </c>
      <c r="R1026" s="11">
        <f>IFERROR(+VLOOKUP(M1026,D.sign_Lista_Data[[RESPONSABLE]:[SOFTWARE 
VALOR HORA]],8,FALSE)*D.sign_Data[[#This Row],[TIEMPO (HORAS)]],0)</f>
        <v>341.08548871439837</v>
      </c>
      <c r="S1026" s="99"/>
      <c r="T1026" s="99"/>
      <c r="U1026" s="3">
        <f t="shared" si="39"/>
        <v>2789.5826180625913</v>
      </c>
      <c r="V1026" s="100">
        <f>D.sign_Data[[#This Row],[TIEMPO (HORAS)]]*Gastos_Operativos[[#Totals],[GASTOS HORA]]</f>
        <v>2778.9477072310401</v>
      </c>
      <c r="W1026" s="3">
        <f>+D.sign_Data[[#This Row],[COSTO 
DIRECTO ($COP)]]+D.sign_Data[[#This Row],[PRORRATEO GASTOS ($COP)]]</f>
        <v>5568.5303252936319</v>
      </c>
      <c r="X1026" s="101">
        <v>0.05</v>
      </c>
      <c r="Y1026" s="15">
        <f>+D.sign_Data[[#This Row],[COSTOS OPERACIONALES ($COP)]]*D.sign_Data[[#This Row],[DESFASE (%)]]</f>
        <v>278.4265162646816</v>
      </c>
      <c r="Z1026" s="101">
        <v>0.15</v>
      </c>
      <c r="AA1026" s="15">
        <f>+((D.sign_Data[[#This Row],[COSTOS OPERACIONALES ($COP)]]/(100%-D.sign_Data[[#This Row],[UTILIDAD (%)]])))-D.sign_Data[[#This Row],[COSTOS OPERACIONALES ($COP)]]</f>
        <v>982.68182211064141</v>
      </c>
      <c r="AB1026" s="3">
        <f>+D.sign_Data[[#This Row],[COSTOS OPERACIONALES ($COP)]]+D.sign_Data[[#This Row],[DESFASE ($COP)]]+D.sign_Data[[#This Row],[UTILIDAD ($COP)]]</f>
        <v>6829.6386636689549</v>
      </c>
      <c r="AC1026" s="101">
        <v>0.05</v>
      </c>
      <c r="AD1026" s="15">
        <f>+D.sign_Data[[#This Row],[VALOR NETO ($COP)]]/(100%-D.sign_Data[[#This Row],[MARGEN DE NEGOCIACIÓN (%)]])-D.sign_Data[[#This Row],[VALOR NETO ($COP)]]</f>
        <v>359.45466650889284</v>
      </c>
      <c r="AE1026" s="15">
        <f>+(D.sign_Data[[#This Row],[VALOR NETO ($COP)]]+D.sign_Data[[#This Row],[NEGOCIACIÓN ($COP)]])*1%</f>
        <v>71.890933301778475</v>
      </c>
      <c r="AF1026" s="15">
        <f>+(D.sign_Data[[#This Row],[VALOR NETO ($COP)]]+D.sign_Data[[#This Row],[NEGOCIACIÓN ($COP)]])*1%</f>
        <v>71.890933301778475</v>
      </c>
      <c r="AG1026" s="3">
        <f>+D.sign_Data[[#This Row],[VALOR NETO ($COP)]]+D.sign_Data[[#This Row],[NEGOCIACIÓN ($COP)]]+D.sign_Data[[#This Row],[ICA ($COP)]]+D.sign_Data[[#This Row],[4 * 1000 ($COP)]]</f>
        <v>7332.8751967814042</v>
      </c>
    </row>
    <row r="1027" spans="1:33" ht="60" hidden="1" customHeight="1" x14ac:dyDescent="0.25">
      <c r="A1027" s="14"/>
      <c r="B1027" s="87" t="s">
        <v>493</v>
      </c>
      <c r="C1027" s="182" t="s">
        <v>971</v>
      </c>
      <c r="D1027" s="189" t="str">
        <f>VLOOKUP(D.sign_Data[[#This Row],[CÓDIGO]],Descripciones[[CÓDIGO]:[NOMBRE DE SERVICIO]],3,FALSE)</f>
        <v>D3. Vivienda Campestre</v>
      </c>
      <c r="E1027" s="87" t="s">
        <v>497</v>
      </c>
      <c r="F1027" s="88" t="s">
        <v>918</v>
      </c>
      <c r="G1027" s="88" t="s">
        <v>565</v>
      </c>
      <c r="H1027" s="104" t="s">
        <v>552</v>
      </c>
      <c r="I1027" s="89">
        <v>1</v>
      </c>
      <c r="J1027" s="88" t="s">
        <v>603</v>
      </c>
      <c r="K1027" s="102"/>
      <c r="L1027" s="88" t="s">
        <v>572</v>
      </c>
      <c r="M1027" s="89" t="s">
        <v>381</v>
      </c>
      <c r="N1027" s="90">
        <v>0.1</v>
      </c>
      <c r="O1027" s="27">
        <f>IFERROR(+VLOOKUP(M1027,D.sign_Lista_Data[[RESPONSABLE]:[SOFTWARE 
VALOR HORA]],3,FALSE),"0")</f>
        <v>20263.424518743668</v>
      </c>
      <c r="P1027" s="3">
        <f t="shared" si="38"/>
        <v>2026.3424518743668</v>
      </c>
      <c r="Q1027" s="11">
        <f>IFERROR(+VLOOKUP(M1027,D.sign_Lista_Data[[RESPONSABLE]:[SOFTWARE 
VALOR HORA]],5,FALSE)*D.sign_Data[[#This Row],[TIEMPO (HORAS)]],0)</f>
        <v>422.15467747382638</v>
      </c>
      <c r="R1027" s="11">
        <f>IFERROR(+VLOOKUP(M1027,D.sign_Lista_Data[[RESPONSABLE]:[SOFTWARE 
VALOR HORA]],8,FALSE)*D.sign_Data[[#This Row],[TIEMPO (HORAS)]],0)</f>
        <v>341.08548871439837</v>
      </c>
      <c r="S1027" s="99"/>
      <c r="T1027" s="99"/>
      <c r="U1027" s="3">
        <f t="shared" si="39"/>
        <v>2789.5826180625913</v>
      </c>
      <c r="V1027" s="100">
        <f>D.sign_Data[[#This Row],[TIEMPO (HORAS)]]*Gastos_Operativos[[#Totals],[GASTOS HORA]]</f>
        <v>2778.9477072310401</v>
      </c>
      <c r="W1027" s="3">
        <f>+D.sign_Data[[#This Row],[COSTO 
DIRECTO ($COP)]]+D.sign_Data[[#This Row],[PRORRATEO GASTOS ($COP)]]</f>
        <v>5568.5303252936319</v>
      </c>
      <c r="X1027" s="101">
        <v>0.05</v>
      </c>
      <c r="Y1027" s="15">
        <f>+D.sign_Data[[#This Row],[COSTOS OPERACIONALES ($COP)]]*D.sign_Data[[#This Row],[DESFASE (%)]]</f>
        <v>278.4265162646816</v>
      </c>
      <c r="Z1027" s="101">
        <v>0.15</v>
      </c>
      <c r="AA1027" s="15">
        <f>+((D.sign_Data[[#This Row],[COSTOS OPERACIONALES ($COP)]]/(100%-D.sign_Data[[#This Row],[UTILIDAD (%)]])))-D.sign_Data[[#This Row],[COSTOS OPERACIONALES ($COP)]]</f>
        <v>982.68182211064141</v>
      </c>
      <c r="AB1027" s="3">
        <f>+D.sign_Data[[#This Row],[COSTOS OPERACIONALES ($COP)]]+D.sign_Data[[#This Row],[DESFASE ($COP)]]+D.sign_Data[[#This Row],[UTILIDAD ($COP)]]</f>
        <v>6829.6386636689549</v>
      </c>
      <c r="AC1027" s="101">
        <v>0.05</v>
      </c>
      <c r="AD1027" s="15">
        <f>+D.sign_Data[[#This Row],[VALOR NETO ($COP)]]/(100%-D.sign_Data[[#This Row],[MARGEN DE NEGOCIACIÓN (%)]])-D.sign_Data[[#This Row],[VALOR NETO ($COP)]]</f>
        <v>359.45466650889284</v>
      </c>
      <c r="AE1027" s="15">
        <f>+(D.sign_Data[[#This Row],[VALOR NETO ($COP)]]+D.sign_Data[[#This Row],[NEGOCIACIÓN ($COP)]])*1%</f>
        <v>71.890933301778475</v>
      </c>
      <c r="AF1027" s="15">
        <f>+(D.sign_Data[[#This Row],[VALOR NETO ($COP)]]+D.sign_Data[[#This Row],[NEGOCIACIÓN ($COP)]])*1%</f>
        <v>71.890933301778475</v>
      </c>
      <c r="AG1027" s="3">
        <f>+D.sign_Data[[#This Row],[VALOR NETO ($COP)]]+D.sign_Data[[#This Row],[NEGOCIACIÓN ($COP)]]+D.sign_Data[[#This Row],[ICA ($COP)]]+D.sign_Data[[#This Row],[4 * 1000 ($COP)]]</f>
        <v>7332.8751967814042</v>
      </c>
    </row>
    <row r="1028" spans="1:33" ht="60" hidden="1" customHeight="1" x14ac:dyDescent="0.25">
      <c r="A1028" s="14"/>
      <c r="B1028" s="87" t="s">
        <v>493</v>
      </c>
      <c r="C1028" s="182" t="s">
        <v>971</v>
      </c>
      <c r="D1028" s="189" t="str">
        <f>VLOOKUP(D.sign_Data[[#This Row],[CÓDIGO]],Descripciones[[CÓDIGO]:[NOMBRE DE SERVICIO]],3,FALSE)</f>
        <v>D3. Vivienda Campestre</v>
      </c>
      <c r="E1028" s="87" t="s">
        <v>497</v>
      </c>
      <c r="F1028" s="88" t="s">
        <v>918</v>
      </c>
      <c r="G1028" s="88" t="s">
        <v>573</v>
      </c>
      <c r="H1028" s="104" t="s">
        <v>552</v>
      </c>
      <c r="I1028" s="89">
        <v>1</v>
      </c>
      <c r="J1028" s="88" t="s">
        <v>605</v>
      </c>
      <c r="K1028" s="102"/>
      <c r="L1028" s="88" t="s">
        <v>575</v>
      </c>
      <c r="M1028" s="89" t="s">
        <v>381</v>
      </c>
      <c r="N1028" s="90">
        <v>0.2</v>
      </c>
      <c r="O1028" s="27">
        <f>IFERROR(+VLOOKUP(M1028,D.sign_Lista_Data[[RESPONSABLE]:[SOFTWARE 
VALOR HORA]],3,FALSE),"0")</f>
        <v>20263.424518743668</v>
      </c>
      <c r="P1028" s="3">
        <f t="shared" si="38"/>
        <v>4052.6849037487336</v>
      </c>
      <c r="Q1028" s="11">
        <f>IFERROR(+VLOOKUP(M1028,D.sign_Lista_Data[[RESPONSABLE]:[SOFTWARE 
VALOR HORA]],5,FALSE)*D.sign_Data[[#This Row],[TIEMPO (HORAS)]],0)</f>
        <v>844.30935494765276</v>
      </c>
      <c r="R1028" s="11">
        <f>IFERROR(+VLOOKUP(M1028,D.sign_Lista_Data[[RESPONSABLE]:[SOFTWARE 
VALOR HORA]],8,FALSE)*D.sign_Data[[#This Row],[TIEMPO (HORAS)]],0)</f>
        <v>682.17097742879673</v>
      </c>
      <c r="S1028" s="99"/>
      <c r="T1028" s="99"/>
      <c r="U1028" s="3">
        <f t="shared" si="39"/>
        <v>5579.1652361251827</v>
      </c>
      <c r="V1028" s="100">
        <f>D.sign_Data[[#This Row],[TIEMPO (HORAS)]]*Gastos_Operativos[[#Totals],[GASTOS HORA]]</f>
        <v>5557.8954144620802</v>
      </c>
      <c r="W1028" s="3">
        <f>+D.sign_Data[[#This Row],[COSTO 
DIRECTO ($COP)]]+D.sign_Data[[#This Row],[PRORRATEO GASTOS ($COP)]]</f>
        <v>11137.060650587264</v>
      </c>
      <c r="X1028" s="101">
        <v>0.05</v>
      </c>
      <c r="Y1028" s="15">
        <f>+D.sign_Data[[#This Row],[COSTOS OPERACIONALES ($COP)]]*D.sign_Data[[#This Row],[DESFASE (%)]]</f>
        <v>556.85303252936319</v>
      </c>
      <c r="Z1028" s="101">
        <v>0.15</v>
      </c>
      <c r="AA1028" s="15">
        <f>+((D.sign_Data[[#This Row],[COSTOS OPERACIONALES ($COP)]]/(100%-D.sign_Data[[#This Row],[UTILIDAD (%)]])))-D.sign_Data[[#This Row],[COSTOS OPERACIONALES ($COP)]]</f>
        <v>1965.3636442212828</v>
      </c>
      <c r="AB1028" s="3">
        <f>+D.sign_Data[[#This Row],[COSTOS OPERACIONALES ($COP)]]+D.sign_Data[[#This Row],[DESFASE ($COP)]]+D.sign_Data[[#This Row],[UTILIDAD ($COP)]]</f>
        <v>13659.27732733791</v>
      </c>
      <c r="AC1028" s="101">
        <v>0.05</v>
      </c>
      <c r="AD1028" s="15">
        <f>+D.sign_Data[[#This Row],[VALOR NETO ($COP)]]/(100%-D.sign_Data[[#This Row],[MARGEN DE NEGOCIACIÓN (%)]])-D.sign_Data[[#This Row],[VALOR NETO ($COP)]]</f>
        <v>718.90933301778568</v>
      </c>
      <c r="AE1028" s="15">
        <f>+(D.sign_Data[[#This Row],[VALOR NETO ($COP)]]+D.sign_Data[[#This Row],[NEGOCIACIÓN ($COP)]])*1%</f>
        <v>143.78186660355695</v>
      </c>
      <c r="AF1028" s="15">
        <f>+(D.sign_Data[[#This Row],[VALOR NETO ($COP)]]+D.sign_Data[[#This Row],[NEGOCIACIÓN ($COP)]])*1%</f>
        <v>143.78186660355695</v>
      </c>
      <c r="AG1028" s="3">
        <f>+D.sign_Data[[#This Row],[VALOR NETO ($COP)]]+D.sign_Data[[#This Row],[NEGOCIACIÓN ($COP)]]+D.sign_Data[[#This Row],[ICA ($COP)]]+D.sign_Data[[#This Row],[4 * 1000 ($COP)]]</f>
        <v>14665.750393562808</v>
      </c>
    </row>
    <row r="1029" spans="1:33" ht="60" hidden="1" customHeight="1" x14ac:dyDescent="0.25">
      <c r="A1029" s="14"/>
      <c r="B1029" s="87" t="s">
        <v>493</v>
      </c>
      <c r="C1029" s="182" t="s">
        <v>971</v>
      </c>
      <c r="D1029" s="189" t="str">
        <f>VLOOKUP(D.sign_Data[[#This Row],[CÓDIGO]],Descripciones[[CÓDIGO]:[NOMBRE DE SERVICIO]],3,FALSE)</f>
        <v>D3. Vivienda Campestre</v>
      </c>
      <c r="E1029" s="87" t="s">
        <v>497</v>
      </c>
      <c r="F1029" s="88" t="s">
        <v>918</v>
      </c>
      <c r="G1029" s="88" t="s">
        <v>573</v>
      </c>
      <c r="H1029" s="104" t="s">
        <v>552</v>
      </c>
      <c r="I1029" s="89">
        <v>1</v>
      </c>
      <c r="J1029" s="88" t="s">
        <v>605</v>
      </c>
      <c r="K1029" s="102"/>
      <c r="L1029" s="88" t="s">
        <v>576</v>
      </c>
      <c r="M1029" s="89" t="s">
        <v>381</v>
      </c>
      <c r="N1029" s="90">
        <v>1</v>
      </c>
      <c r="O1029" s="27">
        <f>IFERROR(+VLOOKUP(M1029,D.sign_Lista_Data[[RESPONSABLE]:[SOFTWARE 
VALOR HORA]],3,FALSE),"0")</f>
        <v>20263.424518743668</v>
      </c>
      <c r="P1029" s="3">
        <f t="shared" si="38"/>
        <v>20263.424518743668</v>
      </c>
      <c r="Q1029" s="11">
        <f>IFERROR(+VLOOKUP(M1029,D.sign_Lista_Data[[RESPONSABLE]:[SOFTWARE 
VALOR HORA]],5,FALSE)*D.sign_Data[[#This Row],[TIEMPO (HORAS)]],0)</f>
        <v>4221.5467747382636</v>
      </c>
      <c r="R1029" s="11">
        <f>IFERROR(+VLOOKUP(M1029,D.sign_Lista_Data[[RESPONSABLE]:[SOFTWARE 
VALOR HORA]],8,FALSE)*D.sign_Data[[#This Row],[TIEMPO (HORAS)]],0)</f>
        <v>3410.8548871439834</v>
      </c>
      <c r="S1029" s="99"/>
      <c r="T1029" s="99"/>
      <c r="U1029" s="3">
        <f t="shared" si="39"/>
        <v>27895.826180625918</v>
      </c>
      <c r="V1029" s="100">
        <f>D.sign_Data[[#This Row],[TIEMPO (HORAS)]]*Gastos_Operativos[[#Totals],[GASTOS HORA]]</f>
        <v>27789.477072310401</v>
      </c>
      <c r="W1029" s="3">
        <f>+D.sign_Data[[#This Row],[COSTO 
DIRECTO ($COP)]]+D.sign_Data[[#This Row],[PRORRATEO GASTOS ($COP)]]</f>
        <v>55685.303252936319</v>
      </c>
      <c r="X1029" s="101">
        <v>0.05</v>
      </c>
      <c r="Y1029" s="15">
        <f>+D.sign_Data[[#This Row],[COSTOS OPERACIONALES ($COP)]]*D.sign_Data[[#This Row],[DESFASE (%)]]</f>
        <v>2784.265162646816</v>
      </c>
      <c r="Z1029" s="101">
        <v>0.15</v>
      </c>
      <c r="AA1029" s="15">
        <f>+((D.sign_Data[[#This Row],[COSTOS OPERACIONALES ($COP)]]/(100%-D.sign_Data[[#This Row],[UTILIDAD (%)]])))-D.sign_Data[[#This Row],[COSTOS OPERACIONALES ($COP)]]</f>
        <v>9826.8182211064122</v>
      </c>
      <c r="AB1029" s="3">
        <f>+D.sign_Data[[#This Row],[COSTOS OPERACIONALES ($COP)]]+D.sign_Data[[#This Row],[DESFASE ($COP)]]+D.sign_Data[[#This Row],[UTILIDAD ($COP)]]</f>
        <v>68296.386636689538</v>
      </c>
      <c r="AC1029" s="101">
        <v>0.05</v>
      </c>
      <c r="AD1029" s="15">
        <f>+D.sign_Data[[#This Row],[VALOR NETO ($COP)]]/(100%-D.sign_Data[[#This Row],[MARGEN DE NEGOCIACIÓN (%)]])-D.sign_Data[[#This Row],[VALOR NETO ($COP)]]</f>
        <v>3594.5466650889284</v>
      </c>
      <c r="AE1029" s="15">
        <f>+(D.sign_Data[[#This Row],[VALOR NETO ($COP)]]+D.sign_Data[[#This Row],[NEGOCIACIÓN ($COP)]])*1%</f>
        <v>718.90933301778466</v>
      </c>
      <c r="AF1029" s="15">
        <f>+(D.sign_Data[[#This Row],[VALOR NETO ($COP)]]+D.sign_Data[[#This Row],[NEGOCIACIÓN ($COP)]])*1%</f>
        <v>718.90933301778466</v>
      </c>
      <c r="AG1029" s="3">
        <f>+D.sign_Data[[#This Row],[VALOR NETO ($COP)]]+D.sign_Data[[#This Row],[NEGOCIACIÓN ($COP)]]+D.sign_Data[[#This Row],[ICA ($COP)]]+D.sign_Data[[#This Row],[4 * 1000 ($COP)]]</f>
        <v>73328.751967814038</v>
      </c>
    </row>
    <row r="1030" spans="1:33" ht="60" hidden="1" customHeight="1" x14ac:dyDescent="0.25">
      <c r="A1030" s="14"/>
      <c r="B1030" s="87" t="s">
        <v>493</v>
      </c>
      <c r="C1030" s="182" t="s">
        <v>971</v>
      </c>
      <c r="D1030" s="189" t="str">
        <f>VLOOKUP(D.sign_Data[[#This Row],[CÓDIGO]],Descripciones[[CÓDIGO]:[NOMBRE DE SERVICIO]],3,FALSE)</f>
        <v>D3. Vivienda Campestre</v>
      </c>
      <c r="E1030" s="87" t="s">
        <v>497</v>
      </c>
      <c r="F1030" s="88" t="s">
        <v>918</v>
      </c>
      <c r="G1030" s="88" t="s">
        <v>573</v>
      </c>
      <c r="H1030" s="104" t="s">
        <v>552</v>
      </c>
      <c r="I1030" s="89">
        <v>1</v>
      </c>
      <c r="J1030" s="88" t="s">
        <v>605</v>
      </c>
      <c r="K1030" s="102"/>
      <c r="L1030" s="88" t="s">
        <v>577</v>
      </c>
      <c r="M1030" s="89" t="s">
        <v>381</v>
      </c>
      <c r="N1030" s="90">
        <v>1</v>
      </c>
      <c r="O1030" s="27">
        <f>IFERROR(+VLOOKUP(M1030,D.sign_Lista_Data[[RESPONSABLE]:[SOFTWARE 
VALOR HORA]],3,FALSE),"0")</f>
        <v>20263.424518743668</v>
      </c>
      <c r="P1030" s="3">
        <f t="shared" si="38"/>
        <v>20263.424518743668</v>
      </c>
      <c r="Q1030" s="11">
        <f>IFERROR(+VLOOKUP(M1030,D.sign_Lista_Data[[RESPONSABLE]:[SOFTWARE 
VALOR HORA]],5,FALSE)*D.sign_Data[[#This Row],[TIEMPO (HORAS)]],0)</f>
        <v>4221.5467747382636</v>
      </c>
      <c r="R1030" s="11">
        <f>IFERROR(+VLOOKUP(M1030,D.sign_Lista_Data[[RESPONSABLE]:[SOFTWARE 
VALOR HORA]],8,FALSE)*D.sign_Data[[#This Row],[TIEMPO (HORAS)]],0)</f>
        <v>3410.8548871439834</v>
      </c>
      <c r="S1030" s="99"/>
      <c r="T1030" s="99"/>
      <c r="U1030" s="3">
        <f t="shared" si="39"/>
        <v>27895.826180625918</v>
      </c>
      <c r="V1030" s="100">
        <f>D.sign_Data[[#This Row],[TIEMPO (HORAS)]]*Gastos_Operativos[[#Totals],[GASTOS HORA]]</f>
        <v>27789.477072310401</v>
      </c>
      <c r="W1030" s="3">
        <f>+D.sign_Data[[#This Row],[COSTO 
DIRECTO ($COP)]]+D.sign_Data[[#This Row],[PRORRATEO GASTOS ($COP)]]</f>
        <v>55685.303252936319</v>
      </c>
      <c r="X1030" s="101">
        <v>0.05</v>
      </c>
      <c r="Y1030" s="15">
        <f>+D.sign_Data[[#This Row],[COSTOS OPERACIONALES ($COP)]]*D.sign_Data[[#This Row],[DESFASE (%)]]</f>
        <v>2784.265162646816</v>
      </c>
      <c r="Z1030" s="101">
        <v>0.15</v>
      </c>
      <c r="AA1030" s="15">
        <f>+((D.sign_Data[[#This Row],[COSTOS OPERACIONALES ($COP)]]/(100%-D.sign_Data[[#This Row],[UTILIDAD (%)]])))-D.sign_Data[[#This Row],[COSTOS OPERACIONALES ($COP)]]</f>
        <v>9826.8182211064122</v>
      </c>
      <c r="AB1030" s="3">
        <f>+D.sign_Data[[#This Row],[COSTOS OPERACIONALES ($COP)]]+D.sign_Data[[#This Row],[DESFASE ($COP)]]+D.sign_Data[[#This Row],[UTILIDAD ($COP)]]</f>
        <v>68296.386636689538</v>
      </c>
      <c r="AC1030" s="101">
        <v>0.05</v>
      </c>
      <c r="AD1030" s="15">
        <f>+D.sign_Data[[#This Row],[VALOR NETO ($COP)]]/(100%-D.sign_Data[[#This Row],[MARGEN DE NEGOCIACIÓN (%)]])-D.sign_Data[[#This Row],[VALOR NETO ($COP)]]</f>
        <v>3594.5466650889284</v>
      </c>
      <c r="AE1030" s="15">
        <f>+(D.sign_Data[[#This Row],[VALOR NETO ($COP)]]+D.sign_Data[[#This Row],[NEGOCIACIÓN ($COP)]])*1%</f>
        <v>718.90933301778466</v>
      </c>
      <c r="AF1030" s="15">
        <f>+(D.sign_Data[[#This Row],[VALOR NETO ($COP)]]+D.sign_Data[[#This Row],[NEGOCIACIÓN ($COP)]])*1%</f>
        <v>718.90933301778466</v>
      </c>
      <c r="AG1030" s="3">
        <f>+D.sign_Data[[#This Row],[VALOR NETO ($COP)]]+D.sign_Data[[#This Row],[NEGOCIACIÓN ($COP)]]+D.sign_Data[[#This Row],[ICA ($COP)]]+D.sign_Data[[#This Row],[4 * 1000 ($COP)]]</f>
        <v>73328.751967814038</v>
      </c>
    </row>
    <row r="1031" spans="1:33" ht="60" hidden="1" customHeight="1" x14ac:dyDescent="0.25">
      <c r="A1031" s="14"/>
      <c r="B1031" s="87" t="s">
        <v>493</v>
      </c>
      <c r="C1031" s="182" t="s">
        <v>971</v>
      </c>
      <c r="D1031" s="189" t="str">
        <f>VLOOKUP(D.sign_Data[[#This Row],[CÓDIGO]],Descripciones[[CÓDIGO]:[NOMBRE DE SERVICIO]],3,FALSE)</f>
        <v>D3. Vivienda Campestre</v>
      </c>
      <c r="E1031" s="87" t="s">
        <v>497</v>
      </c>
      <c r="F1031" s="88" t="s">
        <v>918</v>
      </c>
      <c r="G1031" s="88" t="s">
        <v>573</v>
      </c>
      <c r="H1031" s="104" t="s">
        <v>552</v>
      </c>
      <c r="I1031" s="89">
        <v>1</v>
      </c>
      <c r="J1031" s="88" t="s">
        <v>605</v>
      </c>
      <c r="K1031" s="102"/>
      <c r="L1031" s="88" t="s">
        <v>606</v>
      </c>
      <c r="M1031" s="89" t="s">
        <v>381</v>
      </c>
      <c r="N1031" s="90">
        <v>1</v>
      </c>
      <c r="O1031" s="27">
        <f>IFERROR(+VLOOKUP(M1031,D.sign_Lista_Data[[RESPONSABLE]:[SOFTWARE 
VALOR HORA]],3,FALSE),"0")</f>
        <v>20263.424518743668</v>
      </c>
      <c r="P1031" s="3">
        <f t="shared" si="38"/>
        <v>20263.424518743668</v>
      </c>
      <c r="Q1031" s="11">
        <f>IFERROR(+VLOOKUP(M1031,D.sign_Lista_Data[[RESPONSABLE]:[SOFTWARE 
VALOR HORA]],5,FALSE)*D.sign_Data[[#This Row],[TIEMPO (HORAS)]],0)</f>
        <v>4221.5467747382636</v>
      </c>
      <c r="R1031" s="11">
        <f>IFERROR(+VLOOKUP(M1031,D.sign_Lista_Data[[RESPONSABLE]:[SOFTWARE 
VALOR HORA]],8,FALSE)*D.sign_Data[[#This Row],[TIEMPO (HORAS)]],0)</f>
        <v>3410.8548871439834</v>
      </c>
      <c r="S1031" s="99"/>
      <c r="T1031" s="99"/>
      <c r="U1031" s="3">
        <f t="shared" si="39"/>
        <v>27895.826180625918</v>
      </c>
      <c r="V1031" s="100">
        <f>D.sign_Data[[#This Row],[TIEMPO (HORAS)]]*Gastos_Operativos[[#Totals],[GASTOS HORA]]</f>
        <v>27789.477072310401</v>
      </c>
      <c r="W1031" s="3">
        <f>+D.sign_Data[[#This Row],[COSTO 
DIRECTO ($COP)]]+D.sign_Data[[#This Row],[PRORRATEO GASTOS ($COP)]]</f>
        <v>55685.303252936319</v>
      </c>
      <c r="X1031" s="101">
        <v>0.05</v>
      </c>
      <c r="Y1031" s="15">
        <f>+D.sign_Data[[#This Row],[COSTOS OPERACIONALES ($COP)]]*D.sign_Data[[#This Row],[DESFASE (%)]]</f>
        <v>2784.265162646816</v>
      </c>
      <c r="Z1031" s="101">
        <v>0.15</v>
      </c>
      <c r="AA1031" s="15">
        <f>+((D.sign_Data[[#This Row],[COSTOS OPERACIONALES ($COP)]]/(100%-D.sign_Data[[#This Row],[UTILIDAD (%)]])))-D.sign_Data[[#This Row],[COSTOS OPERACIONALES ($COP)]]</f>
        <v>9826.8182211064122</v>
      </c>
      <c r="AB1031" s="3">
        <f>+D.sign_Data[[#This Row],[COSTOS OPERACIONALES ($COP)]]+D.sign_Data[[#This Row],[DESFASE ($COP)]]+D.sign_Data[[#This Row],[UTILIDAD ($COP)]]</f>
        <v>68296.386636689538</v>
      </c>
      <c r="AC1031" s="101">
        <v>0.05</v>
      </c>
      <c r="AD1031" s="15">
        <f>+D.sign_Data[[#This Row],[VALOR NETO ($COP)]]/(100%-D.sign_Data[[#This Row],[MARGEN DE NEGOCIACIÓN (%)]])-D.sign_Data[[#This Row],[VALOR NETO ($COP)]]</f>
        <v>3594.5466650889284</v>
      </c>
      <c r="AE1031" s="15">
        <f>+(D.sign_Data[[#This Row],[VALOR NETO ($COP)]]+D.sign_Data[[#This Row],[NEGOCIACIÓN ($COP)]])*1%</f>
        <v>718.90933301778466</v>
      </c>
      <c r="AF1031" s="15">
        <f>+(D.sign_Data[[#This Row],[VALOR NETO ($COP)]]+D.sign_Data[[#This Row],[NEGOCIACIÓN ($COP)]])*1%</f>
        <v>718.90933301778466</v>
      </c>
      <c r="AG1031" s="3">
        <f>+D.sign_Data[[#This Row],[VALOR NETO ($COP)]]+D.sign_Data[[#This Row],[NEGOCIACIÓN ($COP)]]+D.sign_Data[[#This Row],[ICA ($COP)]]+D.sign_Data[[#This Row],[4 * 1000 ($COP)]]</f>
        <v>73328.751967814038</v>
      </c>
    </row>
    <row r="1032" spans="1:33" ht="60" hidden="1" customHeight="1" x14ac:dyDescent="0.25">
      <c r="A1032" s="14"/>
      <c r="B1032" s="87" t="s">
        <v>493</v>
      </c>
      <c r="C1032" s="182" t="s">
        <v>971</v>
      </c>
      <c r="D1032" s="189" t="str">
        <f>VLOOKUP(D.sign_Data[[#This Row],[CÓDIGO]],Descripciones[[CÓDIGO]:[NOMBRE DE SERVICIO]],3,FALSE)</f>
        <v>D3. Vivienda Campestre</v>
      </c>
      <c r="E1032" s="87" t="s">
        <v>497</v>
      </c>
      <c r="F1032" s="88" t="s">
        <v>918</v>
      </c>
      <c r="G1032" s="88" t="s">
        <v>573</v>
      </c>
      <c r="H1032" s="104" t="s">
        <v>552</v>
      </c>
      <c r="I1032" s="89">
        <v>1</v>
      </c>
      <c r="J1032" s="88" t="s">
        <v>605</v>
      </c>
      <c r="K1032" s="102"/>
      <c r="L1032" s="88" t="s">
        <v>579</v>
      </c>
      <c r="M1032" s="89" t="s">
        <v>381</v>
      </c>
      <c r="N1032" s="90">
        <v>1</v>
      </c>
      <c r="O1032" s="27">
        <f>IFERROR(+VLOOKUP(M1032,D.sign_Lista_Data[[RESPONSABLE]:[SOFTWARE 
VALOR HORA]],3,FALSE),"0")</f>
        <v>20263.424518743668</v>
      </c>
      <c r="P1032" s="3">
        <f t="shared" si="38"/>
        <v>20263.424518743668</v>
      </c>
      <c r="Q1032" s="11">
        <f>IFERROR(+VLOOKUP(M1032,D.sign_Lista_Data[[RESPONSABLE]:[SOFTWARE 
VALOR HORA]],5,FALSE)*D.sign_Data[[#This Row],[TIEMPO (HORAS)]],0)</f>
        <v>4221.5467747382636</v>
      </c>
      <c r="R1032" s="11">
        <f>IFERROR(+VLOOKUP(M1032,D.sign_Lista_Data[[RESPONSABLE]:[SOFTWARE 
VALOR HORA]],8,FALSE)*D.sign_Data[[#This Row],[TIEMPO (HORAS)]],0)</f>
        <v>3410.8548871439834</v>
      </c>
      <c r="S1032" s="99"/>
      <c r="T1032" s="99"/>
      <c r="U1032" s="3">
        <f t="shared" si="39"/>
        <v>27895.826180625918</v>
      </c>
      <c r="V1032" s="100">
        <f>D.sign_Data[[#This Row],[TIEMPO (HORAS)]]*Gastos_Operativos[[#Totals],[GASTOS HORA]]</f>
        <v>27789.477072310401</v>
      </c>
      <c r="W1032" s="3">
        <f>+D.sign_Data[[#This Row],[COSTO 
DIRECTO ($COP)]]+D.sign_Data[[#This Row],[PRORRATEO GASTOS ($COP)]]</f>
        <v>55685.303252936319</v>
      </c>
      <c r="X1032" s="101">
        <v>0.05</v>
      </c>
      <c r="Y1032" s="15">
        <f>+D.sign_Data[[#This Row],[COSTOS OPERACIONALES ($COP)]]*D.sign_Data[[#This Row],[DESFASE (%)]]</f>
        <v>2784.265162646816</v>
      </c>
      <c r="Z1032" s="101">
        <v>0.15</v>
      </c>
      <c r="AA1032" s="15">
        <f>+((D.sign_Data[[#This Row],[COSTOS OPERACIONALES ($COP)]]/(100%-D.sign_Data[[#This Row],[UTILIDAD (%)]])))-D.sign_Data[[#This Row],[COSTOS OPERACIONALES ($COP)]]</f>
        <v>9826.8182211064122</v>
      </c>
      <c r="AB1032" s="3">
        <f>+D.sign_Data[[#This Row],[COSTOS OPERACIONALES ($COP)]]+D.sign_Data[[#This Row],[DESFASE ($COP)]]+D.sign_Data[[#This Row],[UTILIDAD ($COP)]]</f>
        <v>68296.386636689538</v>
      </c>
      <c r="AC1032" s="101">
        <v>0.05</v>
      </c>
      <c r="AD1032" s="15">
        <f>+D.sign_Data[[#This Row],[VALOR NETO ($COP)]]/(100%-D.sign_Data[[#This Row],[MARGEN DE NEGOCIACIÓN (%)]])-D.sign_Data[[#This Row],[VALOR NETO ($COP)]]</f>
        <v>3594.5466650889284</v>
      </c>
      <c r="AE1032" s="15">
        <f>+(D.sign_Data[[#This Row],[VALOR NETO ($COP)]]+D.sign_Data[[#This Row],[NEGOCIACIÓN ($COP)]])*1%</f>
        <v>718.90933301778466</v>
      </c>
      <c r="AF1032" s="15">
        <f>+(D.sign_Data[[#This Row],[VALOR NETO ($COP)]]+D.sign_Data[[#This Row],[NEGOCIACIÓN ($COP)]])*1%</f>
        <v>718.90933301778466</v>
      </c>
      <c r="AG1032" s="3">
        <f>+D.sign_Data[[#This Row],[VALOR NETO ($COP)]]+D.sign_Data[[#This Row],[NEGOCIACIÓN ($COP)]]+D.sign_Data[[#This Row],[ICA ($COP)]]+D.sign_Data[[#This Row],[4 * 1000 ($COP)]]</f>
        <v>73328.751967814038</v>
      </c>
    </row>
    <row r="1033" spans="1:33" ht="60" hidden="1" customHeight="1" x14ac:dyDescent="0.25">
      <c r="A1033" s="14"/>
      <c r="B1033" s="87" t="s">
        <v>493</v>
      </c>
      <c r="C1033" s="182" t="s">
        <v>971</v>
      </c>
      <c r="D1033" s="189" t="str">
        <f>VLOOKUP(D.sign_Data[[#This Row],[CÓDIGO]],Descripciones[[CÓDIGO]:[NOMBRE DE SERVICIO]],3,FALSE)</f>
        <v>D3. Vivienda Campestre</v>
      </c>
      <c r="E1033" s="87" t="s">
        <v>497</v>
      </c>
      <c r="F1033" s="88" t="s">
        <v>918</v>
      </c>
      <c r="G1033" s="88" t="s">
        <v>573</v>
      </c>
      <c r="H1033" s="104" t="s">
        <v>552</v>
      </c>
      <c r="I1033" s="89">
        <v>1</v>
      </c>
      <c r="J1033" s="88" t="s">
        <v>605</v>
      </c>
      <c r="K1033" s="102"/>
      <c r="L1033" s="88" t="s">
        <v>570</v>
      </c>
      <c r="M1033" s="89" t="s">
        <v>381</v>
      </c>
      <c r="N1033" s="90">
        <v>0.6</v>
      </c>
      <c r="O1033" s="27">
        <f>IFERROR(+VLOOKUP(M1033,D.sign_Lista_Data[[RESPONSABLE]:[SOFTWARE 
VALOR HORA]],3,FALSE),"0")</f>
        <v>20263.424518743668</v>
      </c>
      <c r="P1033" s="3">
        <f t="shared" si="38"/>
        <v>12158.054711246201</v>
      </c>
      <c r="Q1033" s="11">
        <f>IFERROR(+VLOOKUP(M1033,D.sign_Lista_Data[[RESPONSABLE]:[SOFTWARE 
VALOR HORA]],5,FALSE)*D.sign_Data[[#This Row],[TIEMPO (HORAS)]],0)</f>
        <v>2532.9280648429581</v>
      </c>
      <c r="R1033" s="11">
        <f>IFERROR(+VLOOKUP(M1033,D.sign_Lista_Data[[RESPONSABLE]:[SOFTWARE 
VALOR HORA]],8,FALSE)*D.sign_Data[[#This Row],[TIEMPO (HORAS)]],0)</f>
        <v>2046.51293228639</v>
      </c>
      <c r="S1033" s="99"/>
      <c r="T1033" s="99"/>
      <c r="U1033" s="3">
        <f t="shared" si="39"/>
        <v>16737.495708375547</v>
      </c>
      <c r="V1033" s="100">
        <f>D.sign_Data[[#This Row],[TIEMPO (HORAS)]]*Gastos_Operativos[[#Totals],[GASTOS HORA]]</f>
        <v>16673.686243386241</v>
      </c>
      <c r="W1033" s="3">
        <f>+D.sign_Data[[#This Row],[COSTO 
DIRECTO ($COP)]]+D.sign_Data[[#This Row],[PRORRATEO GASTOS ($COP)]]</f>
        <v>33411.181951761784</v>
      </c>
      <c r="X1033" s="101">
        <v>0.05</v>
      </c>
      <c r="Y1033" s="15">
        <f>+D.sign_Data[[#This Row],[COSTOS OPERACIONALES ($COP)]]*D.sign_Data[[#This Row],[DESFASE (%)]]</f>
        <v>1670.5590975880893</v>
      </c>
      <c r="Z1033" s="101">
        <v>0.15</v>
      </c>
      <c r="AA1033" s="15">
        <f>+((D.sign_Data[[#This Row],[COSTOS OPERACIONALES ($COP)]]/(100%-D.sign_Data[[#This Row],[UTILIDAD (%)]])))-D.sign_Data[[#This Row],[COSTOS OPERACIONALES ($COP)]]</f>
        <v>5896.090932663843</v>
      </c>
      <c r="AB1033" s="3">
        <f>+D.sign_Data[[#This Row],[COSTOS OPERACIONALES ($COP)]]+D.sign_Data[[#This Row],[DESFASE ($COP)]]+D.sign_Data[[#This Row],[UTILIDAD ($COP)]]</f>
        <v>40977.831982013719</v>
      </c>
      <c r="AC1033" s="101">
        <v>0.05</v>
      </c>
      <c r="AD1033" s="15">
        <f>+D.sign_Data[[#This Row],[VALOR NETO ($COP)]]/(100%-D.sign_Data[[#This Row],[MARGEN DE NEGOCIACIÓN (%)]])-D.sign_Data[[#This Row],[VALOR NETO ($COP)]]</f>
        <v>2156.7279990533571</v>
      </c>
      <c r="AE1033" s="15">
        <f>+(D.sign_Data[[#This Row],[VALOR NETO ($COP)]]+D.sign_Data[[#This Row],[NEGOCIACIÓN ($COP)]])*1%</f>
        <v>431.34559981067076</v>
      </c>
      <c r="AF1033" s="15">
        <f>+(D.sign_Data[[#This Row],[VALOR NETO ($COP)]]+D.sign_Data[[#This Row],[NEGOCIACIÓN ($COP)]])*1%</f>
        <v>431.34559981067076</v>
      </c>
      <c r="AG1033" s="3">
        <f>+D.sign_Data[[#This Row],[VALOR NETO ($COP)]]+D.sign_Data[[#This Row],[NEGOCIACIÓN ($COP)]]+D.sign_Data[[#This Row],[ICA ($COP)]]+D.sign_Data[[#This Row],[4 * 1000 ($COP)]]</f>
        <v>43997.251180688421</v>
      </c>
    </row>
    <row r="1034" spans="1:33" ht="60" hidden="1" customHeight="1" x14ac:dyDescent="0.25">
      <c r="A1034" s="14"/>
      <c r="B1034" s="87" t="s">
        <v>493</v>
      </c>
      <c r="C1034" s="182" t="s">
        <v>971</v>
      </c>
      <c r="D1034" s="189" t="str">
        <f>VLOOKUP(D.sign_Data[[#This Row],[CÓDIGO]],Descripciones[[CÓDIGO]:[NOMBRE DE SERVICIO]],3,FALSE)</f>
        <v>D3. Vivienda Campestre</v>
      </c>
      <c r="E1034" s="87" t="s">
        <v>497</v>
      </c>
      <c r="F1034" s="88" t="s">
        <v>918</v>
      </c>
      <c r="G1034" s="88" t="s">
        <v>573</v>
      </c>
      <c r="H1034" s="104" t="s">
        <v>552</v>
      </c>
      <c r="I1034" s="89">
        <v>1</v>
      </c>
      <c r="J1034" s="88" t="s">
        <v>605</v>
      </c>
      <c r="K1034" s="102"/>
      <c r="L1034" s="88" t="s">
        <v>483</v>
      </c>
      <c r="M1034" s="89" t="s">
        <v>381</v>
      </c>
      <c r="N1034" s="90">
        <v>0.1</v>
      </c>
      <c r="O1034" s="27">
        <f>IFERROR(+VLOOKUP(M1034,D.sign_Lista_Data[[RESPONSABLE]:[SOFTWARE 
VALOR HORA]],3,FALSE),"0")</f>
        <v>20263.424518743668</v>
      </c>
      <c r="P1034" s="3">
        <f t="shared" si="38"/>
        <v>2026.3424518743668</v>
      </c>
      <c r="Q1034" s="11">
        <f>IFERROR(+VLOOKUP(M1034,D.sign_Lista_Data[[RESPONSABLE]:[SOFTWARE 
VALOR HORA]],5,FALSE)*D.sign_Data[[#This Row],[TIEMPO (HORAS)]],0)</f>
        <v>422.15467747382638</v>
      </c>
      <c r="R1034" s="11">
        <f>IFERROR(+VLOOKUP(M1034,D.sign_Lista_Data[[RESPONSABLE]:[SOFTWARE 
VALOR HORA]],8,FALSE)*D.sign_Data[[#This Row],[TIEMPO (HORAS)]],0)</f>
        <v>341.08548871439837</v>
      </c>
      <c r="S1034" s="99"/>
      <c r="T1034" s="99"/>
      <c r="U1034" s="3">
        <f t="shared" si="39"/>
        <v>2789.5826180625913</v>
      </c>
      <c r="V1034" s="100">
        <f>D.sign_Data[[#This Row],[TIEMPO (HORAS)]]*Gastos_Operativos[[#Totals],[GASTOS HORA]]</f>
        <v>2778.9477072310401</v>
      </c>
      <c r="W1034" s="3">
        <f>+D.sign_Data[[#This Row],[COSTO 
DIRECTO ($COP)]]+D.sign_Data[[#This Row],[PRORRATEO GASTOS ($COP)]]</f>
        <v>5568.5303252936319</v>
      </c>
      <c r="X1034" s="101">
        <v>0.05</v>
      </c>
      <c r="Y1034" s="15">
        <f>+D.sign_Data[[#This Row],[COSTOS OPERACIONALES ($COP)]]*D.sign_Data[[#This Row],[DESFASE (%)]]</f>
        <v>278.4265162646816</v>
      </c>
      <c r="Z1034" s="101">
        <v>0.15</v>
      </c>
      <c r="AA1034" s="15">
        <f>+((D.sign_Data[[#This Row],[COSTOS OPERACIONALES ($COP)]]/(100%-D.sign_Data[[#This Row],[UTILIDAD (%)]])))-D.sign_Data[[#This Row],[COSTOS OPERACIONALES ($COP)]]</f>
        <v>982.68182211064141</v>
      </c>
      <c r="AB1034" s="3">
        <f>+D.sign_Data[[#This Row],[COSTOS OPERACIONALES ($COP)]]+D.sign_Data[[#This Row],[DESFASE ($COP)]]+D.sign_Data[[#This Row],[UTILIDAD ($COP)]]</f>
        <v>6829.6386636689549</v>
      </c>
      <c r="AC1034" s="101">
        <v>0.05</v>
      </c>
      <c r="AD1034" s="15">
        <f>+D.sign_Data[[#This Row],[VALOR NETO ($COP)]]/(100%-D.sign_Data[[#This Row],[MARGEN DE NEGOCIACIÓN (%)]])-D.sign_Data[[#This Row],[VALOR NETO ($COP)]]</f>
        <v>359.45466650889284</v>
      </c>
      <c r="AE1034" s="15">
        <f>+(D.sign_Data[[#This Row],[VALOR NETO ($COP)]]+D.sign_Data[[#This Row],[NEGOCIACIÓN ($COP)]])*1%</f>
        <v>71.890933301778475</v>
      </c>
      <c r="AF1034" s="15">
        <f>+(D.sign_Data[[#This Row],[VALOR NETO ($COP)]]+D.sign_Data[[#This Row],[NEGOCIACIÓN ($COP)]])*1%</f>
        <v>71.890933301778475</v>
      </c>
      <c r="AG1034" s="3">
        <f>+D.sign_Data[[#This Row],[VALOR NETO ($COP)]]+D.sign_Data[[#This Row],[NEGOCIACIÓN ($COP)]]+D.sign_Data[[#This Row],[ICA ($COP)]]+D.sign_Data[[#This Row],[4 * 1000 ($COP)]]</f>
        <v>7332.8751967814042</v>
      </c>
    </row>
    <row r="1035" spans="1:33" ht="60" hidden="1" customHeight="1" x14ac:dyDescent="0.25">
      <c r="A1035" s="14"/>
      <c r="B1035" s="87" t="s">
        <v>493</v>
      </c>
      <c r="C1035" s="182" t="s">
        <v>971</v>
      </c>
      <c r="D1035" s="189" t="str">
        <f>VLOOKUP(D.sign_Data[[#This Row],[CÓDIGO]],Descripciones[[CÓDIGO]:[NOMBRE DE SERVICIO]],3,FALSE)</f>
        <v>D3. Vivienda Campestre</v>
      </c>
      <c r="E1035" s="87" t="s">
        <v>497</v>
      </c>
      <c r="F1035" s="88" t="s">
        <v>918</v>
      </c>
      <c r="G1035" s="88" t="s">
        <v>573</v>
      </c>
      <c r="H1035" s="104" t="s">
        <v>552</v>
      </c>
      <c r="I1035" s="89">
        <v>1</v>
      </c>
      <c r="J1035" s="88" t="s">
        <v>605</v>
      </c>
      <c r="K1035" s="102"/>
      <c r="L1035" s="88" t="s">
        <v>572</v>
      </c>
      <c r="M1035" s="89" t="s">
        <v>381</v>
      </c>
      <c r="N1035" s="90">
        <v>0.1</v>
      </c>
      <c r="O1035" s="27">
        <f>IFERROR(+VLOOKUP(M1035,D.sign_Lista_Data[[RESPONSABLE]:[SOFTWARE 
VALOR HORA]],3,FALSE),"0")</f>
        <v>20263.424518743668</v>
      </c>
      <c r="P1035" s="3">
        <f t="shared" si="38"/>
        <v>2026.3424518743668</v>
      </c>
      <c r="Q1035" s="11">
        <f>IFERROR(+VLOOKUP(M1035,D.sign_Lista_Data[[RESPONSABLE]:[SOFTWARE 
VALOR HORA]],5,FALSE)*D.sign_Data[[#This Row],[TIEMPO (HORAS)]],0)</f>
        <v>422.15467747382638</v>
      </c>
      <c r="R1035" s="11">
        <f>IFERROR(+VLOOKUP(M1035,D.sign_Lista_Data[[RESPONSABLE]:[SOFTWARE 
VALOR HORA]],8,FALSE)*D.sign_Data[[#This Row],[TIEMPO (HORAS)]],0)</f>
        <v>341.08548871439837</v>
      </c>
      <c r="S1035" s="99"/>
      <c r="T1035" s="99"/>
      <c r="U1035" s="3">
        <f t="shared" si="39"/>
        <v>2789.5826180625913</v>
      </c>
      <c r="V1035" s="100">
        <f>D.sign_Data[[#This Row],[TIEMPO (HORAS)]]*Gastos_Operativos[[#Totals],[GASTOS HORA]]</f>
        <v>2778.9477072310401</v>
      </c>
      <c r="W1035" s="3">
        <f>+D.sign_Data[[#This Row],[COSTO 
DIRECTO ($COP)]]+D.sign_Data[[#This Row],[PRORRATEO GASTOS ($COP)]]</f>
        <v>5568.5303252936319</v>
      </c>
      <c r="X1035" s="101">
        <v>0.05</v>
      </c>
      <c r="Y1035" s="15">
        <f>+D.sign_Data[[#This Row],[COSTOS OPERACIONALES ($COP)]]*D.sign_Data[[#This Row],[DESFASE (%)]]</f>
        <v>278.4265162646816</v>
      </c>
      <c r="Z1035" s="101">
        <v>0.15</v>
      </c>
      <c r="AA1035" s="15">
        <f>+((D.sign_Data[[#This Row],[COSTOS OPERACIONALES ($COP)]]/(100%-D.sign_Data[[#This Row],[UTILIDAD (%)]])))-D.sign_Data[[#This Row],[COSTOS OPERACIONALES ($COP)]]</f>
        <v>982.68182211064141</v>
      </c>
      <c r="AB1035" s="3">
        <f>+D.sign_Data[[#This Row],[COSTOS OPERACIONALES ($COP)]]+D.sign_Data[[#This Row],[DESFASE ($COP)]]+D.sign_Data[[#This Row],[UTILIDAD ($COP)]]</f>
        <v>6829.6386636689549</v>
      </c>
      <c r="AC1035" s="101">
        <v>0.05</v>
      </c>
      <c r="AD1035" s="15">
        <f>+D.sign_Data[[#This Row],[VALOR NETO ($COP)]]/(100%-D.sign_Data[[#This Row],[MARGEN DE NEGOCIACIÓN (%)]])-D.sign_Data[[#This Row],[VALOR NETO ($COP)]]</f>
        <v>359.45466650889284</v>
      </c>
      <c r="AE1035" s="15">
        <f>+(D.sign_Data[[#This Row],[VALOR NETO ($COP)]]+D.sign_Data[[#This Row],[NEGOCIACIÓN ($COP)]])*1%</f>
        <v>71.890933301778475</v>
      </c>
      <c r="AF1035" s="15">
        <f>+(D.sign_Data[[#This Row],[VALOR NETO ($COP)]]+D.sign_Data[[#This Row],[NEGOCIACIÓN ($COP)]])*1%</f>
        <v>71.890933301778475</v>
      </c>
      <c r="AG1035" s="3">
        <f>+D.sign_Data[[#This Row],[VALOR NETO ($COP)]]+D.sign_Data[[#This Row],[NEGOCIACIÓN ($COP)]]+D.sign_Data[[#This Row],[ICA ($COP)]]+D.sign_Data[[#This Row],[4 * 1000 ($COP)]]</f>
        <v>7332.8751967814042</v>
      </c>
    </row>
    <row r="1036" spans="1:33" ht="60" hidden="1" customHeight="1" x14ac:dyDescent="0.25">
      <c r="A1036" s="14"/>
      <c r="B1036" s="87" t="s">
        <v>493</v>
      </c>
      <c r="C1036" s="182" t="s">
        <v>971</v>
      </c>
      <c r="D1036" s="189" t="str">
        <f>VLOOKUP(D.sign_Data[[#This Row],[CÓDIGO]],Descripciones[[CÓDIGO]:[NOMBRE DE SERVICIO]],3,FALSE)</f>
        <v>D3. Vivienda Campestre</v>
      </c>
      <c r="E1036" s="87" t="s">
        <v>497</v>
      </c>
      <c r="F1036" s="88" t="s">
        <v>918</v>
      </c>
      <c r="G1036" s="88" t="s">
        <v>580</v>
      </c>
      <c r="H1036" s="104" t="s">
        <v>552</v>
      </c>
      <c r="I1036" s="89">
        <v>1</v>
      </c>
      <c r="J1036" s="88" t="s">
        <v>607</v>
      </c>
      <c r="K1036" s="102"/>
      <c r="L1036" s="88" t="s">
        <v>608</v>
      </c>
      <c r="M1036" s="89" t="s">
        <v>381</v>
      </c>
      <c r="N1036" s="180">
        <v>2</v>
      </c>
      <c r="O1036" s="27">
        <f>IFERROR(+VLOOKUP(M1036,D.sign_Lista_Data[[RESPONSABLE]:[SOFTWARE 
VALOR HORA]],3,FALSE),"0")</f>
        <v>20263.424518743668</v>
      </c>
      <c r="P1036" s="3">
        <f t="shared" si="38"/>
        <v>40526.849037487336</v>
      </c>
      <c r="Q1036" s="11">
        <f>IFERROR(+VLOOKUP(M1036,D.sign_Lista_Data[[RESPONSABLE]:[SOFTWARE 
VALOR HORA]],5,FALSE)*D.sign_Data[[#This Row],[TIEMPO (HORAS)]],0)</f>
        <v>8443.0935494765272</v>
      </c>
      <c r="R1036" s="11">
        <f>IFERROR(+VLOOKUP(M1036,D.sign_Lista_Data[[RESPONSABLE]:[SOFTWARE 
VALOR HORA]],8,FALSE)*D.sign_Data[[#This Row],[TIEMPO (HORAS)]],0)</f>
        <v>6821.7097742879669</v>
      </c>
      <c r="S1036" s="99"/>
      <c r="T1036" s="99"/>
      <c r="U1036" s="3">
        <f t="shared" si="39"/>
        <v>55791.652361251836</v>
      </c>
      <c r="V1036" s="100">
        <f>D.sign_Data[[#This Row],[TIEMPO (HORAS)]]*Gastos_Operativos[[#Totals],[GASTOS HORA]]</f>
        <v>55578.954144620802</v>
      </c>
      <c r="W1036" s="3">
        <f>+D.sign_Data[[#This Row],[COSTO 
DIRECTO ($COP)]]+D.sign_Data[[#This Row],[PRORRATEO GASTOS ($COP)]]</f>
        <v>111370.60650587264</v>
      </c>
      <c r="X1036" s="101">
        <v>0.05</v>
      </c>
      <c r="Y1036" s="15">
        <f>+D.sign_Data[[#This Row],[COSTOS OPERACIONALES ($COP)]]*D.sign_Data[[#This Row],[DESFASE (%)]]</f>
        <v>5568.5303252936319</v>
      </c>
      <c r="Z1036" s="101">
        <v>0.15</v>
      </c>
      <c r="AA1036" s="15">
        <f>+((D.sign_Data[[#This Row],[COSTOS OPERACIONALES ($COP)]]/(100%-D.sign_Data[[#This Row],[UTILIDAD (%)]])))-D.sign_Data[[#This Row],[COSTOS OPERACIONALES ($COP)]]</f>
        <v>19653.636442212824</v>
      </c>
      <c r="AB1036" s="3">
        <f>+D.sign_Data[[#This Row],[COSTOS OPERACIONALES ($COP)]]+D.sign_Data[[#This Row],[DESFASE ($COP)]]+D.sign_Data[[#This Row],[UTILIDAD ($COP)]]</f>
        <v>136592.77327337908</v>
      </c>
      <c r="AC1036" s="101">
        <v>0.05</v>
      </c>
      <c r="AD1036" s="15">
        <f>+D.sign_Data[[#This Row],[VALOR NETO ($COP)]]/(100%-D.sign_Data[[#This Row],[MARGEN DE NEGOCIACIÓN (%)]])-D.sign_Data[[#This Row],[VALOR NETO ($COP)]]</f>
        <v>7189.0933301778568</v>
      </c>
      <c r="AE1036" s="15">
        <f>+(D.sign_Data[[#This Row],[VALOR NETO ($COP)]]+D.sign_Data[[#This Row],[NEGOCIACIÓN ($COP)]])*1%</f>
        <v>1437.8186660355693</v>
      </c>
      <c r="AF1036" s="15">
        <f>+(D.sign_Data[[#This Row],[VALOR NETO ($COP)]]+D.sign_Data[[#This Row],[NEGOCIACIÓN ($COP)]])*1%</f>
        <v>1437.8186660355693</v>
      </c>
      <c r="AG1036" s="3">
        <f>+D.sign_Data[[#This Row],[VALOR NETO ($COP)]]+D.sign_Data[[#This Row],[NEGOCIACIÓN ($COP)]]+D.sign_Data[[#This Row],[ICA ($COP)]]+D.sign_Data[[#This Row],[4 * 1000 ($COP)]]</f>
        <v>146657.50393562808</v>
      </c>
    </row>
    <row r="1037" spans="1:33" ht="60" hidden="1" customHeight="1" x14ac:dyDescent="0.25">
      <c r="A1037" s="14"/>
      <c r="B1037" s="87" t="s">
        <v>493</v>
      </c>
      <c r="C1037" s="182" t="s">
        <v>971</v>
      </c>
      <c r="D1037" s="189" t="str">
        <f>VLOOKUP(D.sign_Data[[#This Row],[CÓDIGO]],Descripciones[[CÓDIGO]:[NOMBRE DE SERVICIO]],3,FALSE)</f>
        <v>D3. Vivienda Campestre</v>
      </c>
      <c r="E1037" s="87" t="s">
        <v>497</v>
      </c>
      <c r="F1037" s="88" t="s">
        <v>918</v>
      </c>
      <c r="G1037" s="88" t="s">
        <v>580</v>
      </c>
      <c r="H1037" s="104" t="s">
        <v>552</v>
      </c>
      <c r="I1037" s="89">
        <v>1</v>
      </c>
      <c r="J1037" s="88" t="s">
        <v>607</v>
      </c>
      <c r="K1037" s="102"/>
      <c r="L1037" s="88" t="s">
        <v>609</v>
      </c>
      <c r="M1037" s="89" t="s">
        <v>381</v>
      </c>
      <c r="N1037" s="180">
        <v>0.5</v>
      </c>
      <c r="O1037" s="27">
        <f>IFERROR(+VLOOKUP(M1037,D.sign_Lista_Data[[RESPONSABLE]:[SOFTWARE 
VALOR HORA]],3,FALSE),"0")</f>
        <v>20263.424518743668</v>
      </c>
      <c r="P1037" s="3">
        <f t="shared" si="38"/>
        <v>10131.712259371834</v>
      </c>
      <c r="Q1037" s="11">
        <f>IFERROR(+VLOOKUP(M1037,D.sign_Lista_Data[[RESPONSABLE]:[SOFTWARE 
VALOR HORA]],5,FALSE)*D.sign_Data[[#This Row],[TIEMPO (HORAS)]],0)</f>
        <v>2110.7733873691318</v>
      </c>
      <c r="R1037" s="11">
        <f>IFERROR(+VLOOKUP(M1037,D.sign_Lista_Data[[RESPONSABLE]:[SOFTWARE 
VALOR HORA]],8,FALSE)*D.sign_Data[[#This Row],[TIEMPO (HORAS)]],0)</f>
        <v>1705.4274435719917</v>
      </c>
      <c r="S1037" s="99"/>
      <c r="T1037" s="99"/>
      <c r="U1037" s="3">
        <f t="shared" si="39"/>
        <v>13947.913090312959</v>
      </c>
      <c r="V1037" s="100">
        <f>D.sign_Data[[#This Row],[TIEMPO (HORAS)]]*Gastos_Operativos[[#Totals],[GASTOS HORA]]</f>
        <v>13894.738536155201</v>
      </c>
      <c r="W1037" s="3">
        <f>+D.sign_Data[[#This Row],[COSTO 
DIRECTO ($COP)]]+D.sign_Data[[#This Row],[PRORRATEO GASTOS ($COP)]]</f>
        <v>27842.65162646816</v>
      </c>
      <c r="X1037" s="101">
        <v>0.05</v>
      </c>
      <c r="Y1037" s="15">
        <f>+D.sign_Data[[#This Row],[COSTOS OPERACIONALES ($COP)]]*D.sign_Data[[#This Row],[DESFASE (%)]]</f>
        <v>1392.132581323408</v>
      </c>
      <c r="Z1037" s="101">
        <v>0.15</v>
      </c>
      <c r="AA1037" s="15">
        <f>+((D.sign_Data[[#This Row],[COSTOS OPERACIONALES ($COP)]]/(100%-D.sign_Data[[#This Row],[UTILIDAD (%)]])))-D.sign_Data[[#This Row],[COSTOS OPERACIONALES ($COP)]]</f>
        <v>4913.4091105532061</v>
      </c>
      <c r="AB1037" s="3">
        <f>+D.sign_Data[[#This Row],[COSTOS OPERACIONALES ($COP)]]+D.sign_Data[[#This Row],[DESFASE ($COP)]]+D.sign_Data[[#This Row],[UTILIDAD ($COP)]]</f>
        <v>34148.193318344769</v>
      </c>
      <c r="AC1037" s="101">
        <v>0.05</v>
      </c>
      <c r="AD1037" s="15">
        <f>+D.sign_Data[[#This Row],[VALOR NETO ($COP)]]/(100%-D.sign_Data[[#This Row],[MARGEN DE NEGOCIACIÓN (%)]])-D.sign_Data[[#This Row],[VALOR NETO ($COP)]]</f>
        <v>1797.2733325444642</v>
      </c>
      <c r="AE1037" s="15">
        <f>+(D.sign_Data[[#This Row],[VALOR NETO ($COP)]]+D.sign_Data[[#This Row],[NEGOCIACIÓN ($COP)]])*1%</f>
        <v>359.45466650889233</v>
      </c>
      <c r="AF1037" s="15">
        <f>+(D.sign_Data[[#This Row],[VALOR NETO ($COP)]]+D.sign_Data[[#This Row],[NEGOCIACIÓN ($COP)]])*1%</f>
        <v>359.45466650889233</v>
      </c>
      <c r="AG1037" s="3">
        <f>+D.sign_Data[[#This Row],[VALOR NETO ($COP)]]+D.sign_Data[[#This Row],[NEGOCIACIÓN ($COP)]]+D.sign_Data[[#This Row],[ICA ($COP)]]+D.sign_Data[[#This Row],[4 * 1000 ($COP)]]</f>
        <v>36664.375983907019</v>
      </c>
    </row>
    <row r="1038" spans="1:33" ht="60" hidden="1" customHeight="1" x14ac:dyDescent="0.25">
      <c r="A1038" s="14"/>
      <c r="B1038" s="87" t="s">
        <v>493</v>
      </c>
      <c r="C1038" s="182" t="s">
        <v>971</v>
      </c>
      <c r="D1038" s="189" t="str">
        <f>VLOOKUP(D.sign_Data[[#This Row],[CÓDIGO]],Descripciones[[CÓDIGO]:[NOMBRE DE SERVICIO]],3,FALSE)</f>
        <v>D3. Vivienda Campestre</v>
      </c>
      <c r="E1038" s="87" t="s">
        <v>497</v>
      </c>
      <c r="F1038" s="88" t="s">
        <v>918</v>
      </c>
      <c r="G1038" s="88" t="s">
        <v>580</v>
      </c>
      <c r="H1038" s="104" t="s">
        <v>552</v>
      </c>
      <c r="I1038" s="89">
        <v>1</v>
      </c>
      <c r="J1038" s="88" t="s">
        <v>607</v>
      </c>
      <c r="K1038" s="102"/>
      <c r="L1038" s="88" t="s">
        <v>610</v>
      </c>
      <c r="M1038" s="89" t="s">
        <v>381</v>
      </c>
      <c r="N1038" s="180">
        <v>1.5</v>
      </c>
      <c r="O1038" s="27">
        <f>IFERROR(+VLOOKUP(M1038,D.sign_Lista_Data[[RESPONSABLE]:[SOFTWARE 
VALOR HORA]],3,FALSE),"0")</f>
        <v>20263.424518743668</v>
      </c>
      <c r="P1038" s="3">
        <f t="shared" si="38"/>
        <v>30395.136778115502</v>
      </c>
      <c r="Q1038" s="11">
        <f>IFERROR(+VLOOKUP(M1038,D.sign_Lista_Data[[RESPONSABLE]:[SOFTWARE 
VALOR HORA]],5,FALSE)*D.sign_Data[[#This Row],[TIEMPO (HORAS)]],0)</f>
        <v>6332.3201621073949</v>
      </c>
      <c r="R1038" s="11">
        <f>IFERROR(+VLOOKUP(M1038,D.sign_Lista_Data[[RESPONSABLE]:[SOFTWARE 
VALOR HORA]],8,FALSE)*D.sign_Data[[#This Row],[TIEMPO (HORAS)]],0)</f>
        <v>5116.2823307159751</v>
      </c>
      <c r="S1038" s="99"/>
      <c r="T1038" s="99"/>
      <c r="U1038" s="3">
        <f t="shared" si="39"/>
        <v>41843.739270938873</v>
      </c>
      <c r="V1038" s="100">
        <f>D.sign_Data[[#This Row],[TIEMPO (HORAS)]]*Gastos_Operativos[[#Totals],[GASTOS HORA]]</f>
        <v>41684.215608465602</v>
      </c>
      <c r="W1038" s="3">
        <f>+D.sign_Data[[#This Row],[COSTO 
DIRECTO ($COP)]]+D.sign_Data[[#This Row],[PRORRATEO GASTOS ($COP)]]</f>
        <v>83527.954879404482</v>
      </c>
      <c r="X1038" s="101">
        <v>0.05</v>
      </c>
      <c r="Y1038" s="15">
        <f>+D.sign_Data[[#This Row],[COSTOS OPERACIONALES ($COP)]]*D.sign_Data[[#This Row],[DESFASE (%)]]</f>
        <v>4176.3977439702239</v>
      </c>
      <c r="Z1038" s="101">
        <v>0.15</v>
      </c>
      <c r="AA1038" s="15">
        <f>+((D.sign_Data[[#This Row],[COSTOS OPERACIONALES ($COP)]]/(100%-D.sign_Data[[#This Row],[UTILIDAD (%)]])))-D.sign_Data[[#This Row],[COSTOS OPERACIONALES ($COP)]]</f>
        <v>14740.227331659611</v>
      </c>
      <c r="AB1038" s="3">
        <f>+D.sign_Data[[#This Row],[COSTOS OPERACIONALES ($COP)]]+D.sign_Data[[#This Row],[DESFASE ($COP)]]+D.sign_Data[[#This Row],[UTILIDAD ($COP)]]</f>
        <v>102444.57995503432</v>
      </c>
      <c r="AC1038" s="101">
        <v>0.05</v>
      </c>
      <c r="AD1038" s="15">
        <f>+D.sign_Data[[#This Row],[VALOR NETO ($COP)]]/(100%-D.sign_Data[[#This Row],[MARGEN DE NEGOCIACIÓN (%)]])-D.sign_Data[[#This Row],[VALOR NETO ($COP)]]</f>
        <v>5391.8199976333854</v>
      </c>
      <c r="AE1038" s="15">
        <f>+(D.sign_Data[[#This Row],[VALOR NETO ($COP)]]+D.sign_Data[[#This Row],[NEGOCIACIÓN ($COP)]])*1%</f>
        <v>1078.3639995266772</v>
      </c>
      <c r="AF1038" s="15">
        <f>+(D.sign_Data[[#This Row],[VALOR NETO ($COP)]]+D.sign_Data[[#This Row],[NEGOCIACIÓN ($COP)]])*1%</f>
        <v>1078.3639995266772</v>
      </c>
      <c r="AG1038" s="3">
        <f>+D.sign_Data[[#This Row],[VALOR NETO ($COP)]]+D.sign_Data[[#This Row],[NEGOCIACIÓN ($COP)]]+D.sign_Data[[#This Row],[ICA ($COP)]]+D.sign_Data[[#This Row],[4 * 1000 ($COP)]]</f>
        <v>109993.12795172105</v>
      </c>
    </row>
    <row r="1039" spans="1:33" ht="60" hidden="1" customHeight="1" x14ac:dyDescent="0.25">
      <c r="A1039" s="14"/>
      <c r="B1039" s="87" t="s">
        <v>493</v>
      </c>
      <c r="C1039" s="182" t="s">
        <v>971</v>
      </c>
      <c r="D1039" s="189" t="str">
        <f>VLOOKUP(D.sign_Data[[#This Row],[CÓDIGO]],Descripciones[[CÓDIGO]:[NOMBRE DE SERVICIO]],3,FALSE)</f>
        <v>D3. Vivienda Campestre</v>
      </c>
      <c r="E1039" s="87" t="s">
        <v>497</v>
      </c>
      <c r="F1039" s="88" t="s">
        <v>918</v>
      </c>
      <c r="G1039" s="88" t="s">
        <v>580</v>
      </c>
      <c r="H1039" s="104" t="s">
        <v>552</v>
      </c>
      <c r="I1039" s="89">
        <v>1</v>
      </c>
      <c r="J1039" s="88" t="s">
        <v>607</v>
      </c>
      <c r="K1039" s="102"/>
      <c r="L1039" s="88" t="s">
        <v>611</v>
      </c>
      <c r="M1039" s="89" t="s">
        <v>381</v>
      </c>
      <c r="N1039" s="180">
        <v>0.5</v>
      </c>
      <c r="O1039" s="27">
        <f>IFERROR(+VLOOKUP(M1039,D.sign_Lista_Data[[RESPONSABLE]:[SOFTWARE 
VALOR HORA]],3,FALSE),"0")</f>
        <v>20263.424518743668</v>
      </c>
      <c r="P1039" s="3">
        <f t="shared" si="38"/>
        <v>10131.712259371834</v>
      </c>
      <c r="Q1039" s="11">
        <f>IFERROR(+VLOOKUP(M1039,D.sign_Lista_Data[[RESPONSABLE]:[SOFTWARE 
VALOR HORA]],5,FALSE)*D.sign_Data[[#This Row],[TIEMPO (HORAS)]],0)</f>
        <v>2110.7733873691318</v>
      </c>
      <c r="R1039" s="11">
        <f>IFERROR(+VLOOKUP(M1039,D.sign_Lista_Data[[RESPONSABLE]:[SOFTWARE 
VALOR HORA]],8,FALSE)*D.sign_Data[[#This Row],[TIEMPO (HORAS)]],0)</f>
        <v>1705.4274435719917</v>
      </c>
      <c r="S1039" s="99"/>
      <c r="T1039" s="99"/>
      <c r="U1039" s="3">
        <f t="shared" si="39"/>
        <v>13947.913090312959</v>
      </c>
      <c r="V1039" s="100">
        <f>D.sign_Data[[#This Row],[TIEMPO (HORAS)]]*Gastos_Operativos[[#Totals],[GASTOS HORA]]</f>
        <v>13894.738536155201</v>
      </c>
      <c r="W1039" s="3">
        <f>+D.sign_Data[[#This Row],[COSTO 
DIRECTO ($COP)]]+D.sign_Data[[#This Row],[PRORRATEO GASTOS ($COP)]]</f>
        <v>27842.65162646816</v>
      </c>
      <c r="X1039" s="101">
        <v>0.05</v>
      </c>
      <c r="Y1039" s="15">
        <f>+D.sign_Data[[#This Row],[COSTOS OPERACIONALES ($COP)]]*D.sign_Data[[#This Row],[DESFASE (%)]]</f>
        <v>1392.132581323408</v>
      </c>
      <c r="Z1039" s="101">
        <v>0.15</v>
      </c>
      <c r="AA1039" s="15">
        <f>+((D.sign_Data[[#This Row],[COSTOS OPERACIONALES ($COP)]]/(100%-D.sign_Data[[#This Row],[UTILIDAD (%)]])))-D.sign_Data[[#This Row],[COSTOS OPERACIONALES ($COP)]]</f>
        <v>4913.4091105532061</v>
      </c>
      <c r="AB1039" s="3">
        <f>+D.sign_Data[[#This Row],[COSTOS OPERACIONALES ($COP)]]+D.sign_Data[[#This Row],[DESFASE ($COP)]]+D.sign_Data[[#This Row],[UTILIDAD ($COP)]]</f>
        <v>34148.193318344769</v>
      </c>
      <c r="AC1039" s="101">
        <v>0.05</v>
      </c>
      <c r="AD1039" s="15">
        <f>+D.sign_Data[[#This Row],[VALOR NETO ($COP)]]/(100%-D.sign_Data[[#This Row],[MARGEN DE NEGOCIACIÓN (%)]])-D.sign_Data[[#This Row],[VALOR NETO ($COP)]]</f>
        <v>1797.2733325444642</v>
      </c>
      <c r="AE1039" s="15">
        <f>+(D.sign_Data[[#This Row],[VALOR NETO ($COP)]]+D.sign_Data[[#This Row],[NEGOCIACIÓN ($COP)]])*1%</f>
        <v>359.45466650889233</v>
      </c>
      <c r="AF1039" s="15">
        <f>+(D.sign_Data[[#This Row],[VALOR NETO ($COP)]]+D.sign_Data[[#This Row],[NEGOCIACIÓN ($COP)]])*1%</f>
        <v>359.45466650889233</v>
      </c>
      <c r="AG1039" s="3">
        <f>+D.sign_Data[[#This Row],[VALOR NETO ($COP)]]+D.sign_Data[[#This Row],[NEGOCIACIÓN ($COP)]]+D.sign_Data[[#This Row],[ICA ($COP)]]+D.sign_Data[[#This Row],[4 * 1000 ($COP)]]</f>
        <v>36664.375983907019</v>
      </c>
    </row>
    <row r="1040" spans="1:33" ht="60" hidden="1" customHeight="1" x14ac:dyDescent="0.25">
      <c r="A1040" s="14"/>
      <c r="B1040" s="87" t="s">
        <v>493</v>
      </c>
      <c r="C1040" s="182" t="s">
        <v>971</v>
      </c>
      <c r="D1040" s="189" t="str">
        <f>VLOOKUP(D.sign_Data[[#This Row],[CÓDIGO]],Descripciones[[CÓDIGO]:[NOMBRE DE SERVICIO]],3,FALSE)</f>
        <v>D3. Vivienda Campestre</v>
      </c>
      <c r="E1040" s="87" t="s">
        <v>497</v>
      </c>
      <c r="F1040" s="88" t="s">
        <v>918</v>
      </c>
      <c r="G1040" s="88" t="s">
        <v>580</v>
      </c>
      <c r="H1040" s="104" t="s">
        <v>552</v>
      </c>
      <c r="I1040" s="89">
        <v>1</v>
      </c>
      <c r="J1040" s="88" t="s">
        <v>607</v>
      </c>
      <c r="K1040" s="102"/>
      <c r="L1040" s="88" t="s">
        <v>612</v>
      </c>
      <c r="M1040" s="89" t="s">
        <v>381</v>
      </c>
      <c r="N1040" s="180">
        <v>1</v>
      </c>
      <c r="O1040" s="27">
        <f>IFERROR(+VLOOKUP(M1040,D.sign_Lista_Data[[RESPONSABLE]:[SOFTWARE 
VALOR HORA]],3,FALSE),"0")</f>
        <v>20263.424518743668</v>
      </c>
      <c r="P1040" s="3">
        <f t="shared" si="38"/>
        <v>20263.424518743668</v>
      </c>
      <c r="Q1040" s="11">
        <f>IFERROR(+VLOOKUP(M1040,D.sign_Lista_Data[[RESPONSABLE]:[SOFTWARE 
VALOR HORA]],5,FALSE)*D.sign_Data[[#This Row],[TIEMPO (HORAS)]],0)</f>
        <v>4221.5467747382636</v>
      </c>
      <c r="R1040" s="11">
        <f>IFERROR(+VLOOKUP(M1040,D.sign_Lista_Data[[RESPONSABLE]:[SOFTWARE 
VALOR HORA]],8,FALSE)*D.sign_Data[[#This Row],[TIEMPO (HORAS)]],0)</f>
        <v>3410.8548871439834</v>
      </c>
      <c r="S1040" s="99"/>
      <c r="T1040" s="99"/>
      <c r="U1040" s="3">
        <f t="shared" si="39"/>
        <v>27895.826180625918</v>
      </c>
      <c r="V1040" s="100">
        <f>D.sign_Data[[#This Row],[TIEMPO (HORAS)]]*Gastos_Operativos[[#Totals],[GASTOS HORA]]</f>
        <v>27789.477072310401</v>
      </c>
      <c r="W1040" s="3">
        <f>+D.sign_Data[[#This Row],[COSTO 
DIRECTO ($COP)]]+D.sign_Data[[#This Row],[PRORRATEO GASTOS ($COP)]]</f>
        <v>55685.303252936319</v>
      </c>
      <c r="X1040" s="101">
        <v>0.05</v>
      </c>
      <c r="Y1040" s="15">
        <f>+D.sign_Data[[#This Row],[COSTOS OPERACIONALES ($COP)]]*D.sign_Data[[#This Row],[DESFASE (%)]]</f>
        <v>2784.265162646816</v>
      </c>
      <c r="Z1040" s="101">
        <v>0.15</v>
      </c>
      <c r="AA1040" s="15">
        <f>+((D.sign_Data[[#This Row],[COSTOS OPERACIONALES ($COP)]]/(100%-D.sign_Data[[#This Row],[UTILIDAD (%)]])))-D.sign_Data[[#This Row],[COSTOS OPERACIONALES ($COP)]]</f>
        <v>9826.8182211064122</v>
      </c>
      <c r="AB1040" s="3">
        <f>+D.sign_Data[[#This Row],[COSTOS OPERACIONALES ($COP)]]+D.sign_Data[[#This Row],[DESFASE ($COP)]]+D.sign_Data[[#This Row],[UTILIDAD ($COP)]]</f>
        <v>68296.386636689538</v>
      </c>
      <c r="AC1040" s="101">
        <v>0.05</v>
      </c>
      <c r="AD1040" s="15">
        <f>+D.sign_Data[[#This Row],[VALOR NETO ($COP)]]/(100%-D.sign_Data[[#This Row],[MARGEN DE NEGOCIACIÓN (%)]])-D.sign_Data[[#This Row],[VALOR NETO ($COP)]]</f>
        <v>3594.5466650889284</v>
      </c>
      <c r="AE1040" s="15">
        <f>+(D.sign_Data[[#This Row],[VALOR NETO ($COP)]]+D.sign_Data[[#This Row],[NEGOCIACIÓN ($COP)]])*1%</f>
        <v>718.90933301778466</v>
      </c>
      <c r="AF1040" s="15">
        <f>+(D.sign_Data[[#This Row],[VALOR NETO ($COP)]]+D.sign_Data[[#This Row],[NEGOCIACIÓN ($COP)]])*1%</f>
        <v>718.90933301778466</v>
      </c>
      <c r="AG1040" s="3">
        <f>+D.sign_Data[[#This Row],[VALOR NETO ($COP)]]+D.sign_Data[[#This Row],[NEGOCIACIÓN ($COP)]]+D.sign_Data[[#This Row],[ICA ($COP)]]+D.sign_Data[[#This Row],[4 * 1000 ($COP)]]</f>
        <v>73328.751967814038</v>
      </c>
    </row>
    <row r="1041" spans="1:33" ht="60" hidden="1" customHeight="1" x14ac:dyDescent="0.25">
      <c r="A1041" s="14"/>
      <c r="B1041" s="87" t="s">
        <v>493</v>
      </c>
      <c r="C1041" s="182" t="s">
        <v>971</v>
      </c>
      <c r="D1041" s="189" t="str">
        <f>VLOOKUP(D.sign_Data[[#This Row],[CÓDIGO]],Descripciones[[CÓDIGO]:[NOMBRE DE SERVICIO]],3,FALSE)</f>
        <v>D3. Vivienda Campestre</v>
      </c>
      <c r="E1041" s="87" t="s">
        <v>497</v>
      </c>
      <c r="F1041" s="88" t="s">
        <v>918</v>
      </c>
      <c r="G1041" s="88" t="s">
        <v>580</v>
      </c>
      <c r="H1041" s="104" t="s">
        <v>552</v>
      </c>
      <c r="I1041" s="89">
        <v>1</v>
      </c>
      <c r="J1041" s="88" t="s">
        <v>607</v>
      </c>
      <c r="K1041" s="102"/>
      <c r="L1041" s="88" t="s">
        <v>613</v>
      </c>
      <c r="M1041" s="89" t="s">
        <v>381</v>
      </c>
      <c r="N1041" s="180">
        <v>0.5</v>
      </c>
      <c r="O1041" s="27">
        <f>IFERROR(+VLOOKUP(M1041,D.sign_Lista_Data[[RESPONSABLE]:[SOFTWARE 
VALOR HORA]],3,FALSE),"0")</f>
        <v>20263.424518743668</v>
      </c>
      <c r="P1041" s="3">
        <f t="shared" si="38"/>
        <v>10131.712259371834</v>
      </c>
      <c r="Q1041" s="11">
        <f>IFERROR(+VLOOKUP(M1041,D.sign_Lista_Data[[RESPONSABLE]:[SOFTWARE 
VALOR HORA]],5,FALSE)*D.sign_Data[[#This Row],[TIEMPO (HORAS)]],0)</f>
        <v>2110.7733873691318</v>
      </c>
      <c r="R1041" s="11">
        <f>IFERROR(+VLOOKUP(M1041,D.sign_Lista_Data[[RESPONSABLE]:[SOFTWARE 
VALOR HORA]],8,FALSE)*D.sign_Data[[#This Row],[TIEMPO (HORAS)]],0)</f>
        <v>1705.4274435719917</v>
      </c>
      <c r="S1041" s="99"/>
      <c r="T1041" s="99"/>
      <c r="U1041" s="3">
        <f t="shared" si="39"/>
        <v>13947.913090312959</v>
      </c>
      <c r="V1041" s="100">
        <f>D.sign_Data[[#This Row],[TIEMPO (HORAS)]]*Gastos_Operativos[[#Totals],[GASTOS HORA]]</f>
        <v>13894.738536155201</v>
      </c>
      <c r="W1041" s="3">
        <f>+D.sign_Data[[#This Row],[COSTO 
DIRECTO ($COP)]]+D.sign_Data[[#This Row],[PRORRATEO GASTOS ($COP)]]</f>
        <v>27842.65162646816</v>
      </c>
      <c r="X1041" s="101">
        <v>0.05</v>
      </c>
      <c r="Y1041" s="15">
        <f>+D.sign_Data[[#This Row],[COSTOS OPERACIONALES ($COP)]]*D.sign_Data[[#This Row],[DESFASE (%)]]</f>
        <v>1392.132581323408</v>
      </c>
      <c r="Z1041" s="101">
        <v>0.15</v>
      </c>
      <c r="AA1041" s="15">
        <f>+((D.sign_Data[[#This Row],[COSTOS OPERACIONALES ($COP)]]/(100%-D.sign_Data[[#This Row],[UTILIDAD (%)]])))-D.sign_Data[[#This Row],[COSTOS OPERACIONALES ($COP)]]</f>
        <v>4913.4091105532061</v>
      </c>
      <c r="AB1041" s="3">
        <f>+D.sign_Data[[#This Row],[COSTOS OPERACIONALES ($COP)]]+D.sign_Data[[#This Row],[DESFASE ($COP)]]+D.sign_Data[[#This Row],[UTILIDAD ($COP)]]</f>
        <v>34148.193318344769</v>
      </c>
      <c r="AC1041" s="101">
        <v>0.05</v>
      </c>
      <c r="AD1041" s="15">
        <f>+D.sign_Data[[#This Row],[VALOR NETO ($COP)]]/(100%-D.sign_Data[[#This Row],[MARGEN DE NEGOCIACIÓN (%)]])-D.sign_Data[[#This Row],[VALOR NETO ($COP)]]</f>
        <v>1797.2733325444642</v>
      </c>
      <c r="AE1041" s="15">
        <f>+(D.sign_Data[[#This Row],[VALOR NETO ($COP)]]+D.sign_Data[[#This Row],[NEGOCIACIÓN ($COP)]])*1%</f>
        <v>359.45466650889233</v>
      </c>
      <c r="AF1041" s="15">
        <f>+(D.sign_Data[[#This Row],[VALOR NETO ($COP)]]+D.sign_Data[[#This Row],[NEGOCIACIÓN ($COP)]])*1%</f>
        <v>359.45466650889233</v>
      </c>
      <c r="AG1041" s="3">
        <f>+D.sign_Data[[#This Row],[VALOR NETO ($COP)]]+D.sign_Data[[#This Row],[NEGOCIACIÓN ($COP)]]+D.sign_Data[[#This Row],[ICA ($COP)]]+D.sign_Data[[#This Row],[4 * 1000 ($COP)]]</f>
        <v>36664.375983907019</v>
      </c>
    </row>
    <row r="1042" spans="1:33" ht="60" hidden="1" customHeight="1" x14ac:dyDescent="0.25">
      <c r="A1042" s="14"/>
      <c r="B1042" s="87" t="s">
        <v>493</v>
      </c>
      <c r="C1042" s="182" t="s">
        <v>971</v>
      </c>
      <c r="D1042" s="189" t="str">
        <f>VLOOKUP(D.sign_Data[[#This Row],[CÓDIGO]],Descripciones[[CÓDIGO]:[NOMBRE DE SERVICIO]],3,FALSE)</f>
        <v>D3. Vivienda Campestre</v>
      </c>
      <c r="E1042" s="87" t="s">
        <v>497</v>
      </c>
      <c r="F1042" s="88" t="s">
        <v>918</v>
      </c>
      <c r="G1042" s="88" t="s">
        <v>580</v>
      </c>
      <c r="H1042" s="104" t="s">
        <v>552</v>
      </c>
      <c r="I1042" s="89">
        <v>1</v>
      </c>
      <c r="J1042" s="88" t="s">
        <v>607</v>
      </c>
      <c r="K1042" s="102"/>
      <c r="L1042" s="88" t="s">
        <v>579</v>
      </c>
      <c r="M1042" s="89" t="s">
        <v>381</v>
      </c>
      <c r="N1042" s="90">
        <v>1</v>
      </c>
      <c r="O1042" s="27">
        <f>IFERROR(+VLOOKUP(M1042,D.sign_Lista_Data[[RESPONSABLE]:[SOFTWARE 
VALOR HORA]],3,FALSE),"0")</f>
        <v>20263.424518743668</v>
      </c>
      <c r="P1042" s="3">
        <f t="shared" si="38"/>
        <v>20263.424518743668</v>
      </c>
      <c r="Q1042" s="11">
        <f>IFERROR(+VLOOKUP(M1042,D.sign_Lista_Data[[RESPONSABLE]:[SOFTWARE 
VALOR HORA]],5,FALSE)*D.sign_Data[[#This Row],[TIEMPO (HORAS)]],0)</f>
        <v>4221.5467747382636</v>
      </c>
      <c r="R1042" s="11">
        <f>IFERROR(+VLOOKUP(M1042,D.sign_Lista_Data[[RESPONSABLE]:[SOFTWARE 
VALOR HORA]],8,FALSE)*D.sign_Data[[#This Row],[TIEMPO (HORAS)]],0)</f>
        <v>3410.8548871439834</v>
      </c>
      <c r="S1042" s="99"/>
      <c r="T1042" s="99"/>
      <c r="U1042" s="3">
        <f t="shared" si="39"/>
        <v>27895.826180625918</v>
      </c>
      <c r="V1042" s="100">
        <f>D.sign_Data[[#This Row],[TIEMPO (HORAS)]]*Gastos_Operativos[[#Totals],[GASTOS HORA]]</f>
        <v>27789.477072310401</v>
      </c>
      <c r="W1042" s="3">
        <f>+D.sign_Data[[#This Row],[COSTO 
DIRECTO ($COP)]]+D.sign_Data[[#This Row],[PRORRATEO GASTOS ($COP)]]</f>
        <v>55685.303252936319</v>
      </c>
      <c r="X1042" s="101">
        <v>0.05</v>
      </c>
      <c r="Y1042" s="15">
        <f>+D.sign_Data[[#This Row],[COSTOS OPERACIONALES ($COP)]]*D.sign_Data[[#This Row],[DESFASE (%)]]</f>
        <v>2784.265162646816</v>
      </c>
      <c r="Z1042" s="101">
        <v>0.15</v>
      </c>
      <c r="AA1042" s="15">
        <f>+((D.sign_Data[[#This Row],[COSTOS OPERACIONALES ($COP)]]/(100%-D.sign_Data[[#This Row],[UTILIDAD (%)]])))-D.sign_Data[[#This Row],[COSTOS OPERACIONALES ($COP)]]</f>
        <v>9826.8182211064122</v>
      </c>
      <c r="AB1042" s="3">
        <f>+D.sign_Data[[#This Row],[COSTOS OPERACIONALES ($COP)]]+D.sign_Data[[#This Row],[DESFASE ($COP)]]+D.sign_Data[[#This Row],[UTILIDAD ($COP)]]</f>
        <v>68296.386636689538</v>
      </c>
      <c r="AC1042" s="101">
        <v>0.05</v>
      </c>
      <c r="AD1042" s="15">
        <f>+D.sign_Data[[#This Row],[VALOR NETO ($COP)]]/(100%-D.sign_Data[[#This Row],[MARGEN DE NEGOCIACIÓN (%)]])-D.sign_Data[[#This Row],[VALOR NETO ($COP)]]</f>
        <v>3594.5466650889284</v>
      </c>
      <c r="AE1042" s="15">
        <f>+(D.sign_Data[[#This Row],[VALOR NETO ($COP)]]+D.sign_Data[[#This Row],[NEGOCIACIÓN ($COP)]])*1%</f>
        <v>718.90933301778466</v>
      </c>
      <c r="AF1042" s="15">
        <f>+(D.sign_Data[[#This Row],[VALOR NETO ($COP)]]+D.sign_Data[[#This Row],[NEGOCIACIÓN ($COP)]])*1%</f>
        <v>718.90933301778466</v>
      </c>
      <c r="AG1042" s="3">
        <f>+D.sign_Data[[#This Row],[VALOR NETO ($COP)]]+D.sign_Data[[#This Row],[NEGOCIACIÓN ($COP)]]+D.sign_Data[[#This Row],[ICA ($COP)]]+D.sign_Data[[#This Row],[4 * 1000 ($COP)]]</f>
        <v>73328.751967814038</v>
      </c>
    </row>
    <row r="1043" spans="1:33" ht="60" hidden="1" customHeight="1" x14ac:dyDescent="0.25">
      <c r="A1043" s="14"/>
      <c r="B1043" s="87" t="s">
        <v>493</v>
      </c>
      <c r="C1043" s="182" t="s">
        <v>971</v>
      </c>
      <c r="D1043" s="189" t="str">
        <f>VLOOKUP(D.sign_Data[[#This Row],[CÓDIGO]],Descripciones[[CÓDIGO]:[NOMBRE DE SERVICIO]],3,FALSE)</f>
        <v>D3. Vivienda Campestre</v>
      </c>
      <c r="E1043" s="87" t="s">
        <v>497</v>
      </c>
      <c r="F1043" s="88" t="s">
        <v>918</v>
      </c>
      <c r="G1043" s="88" t="s">
        <v>580</v>
      </c>
      <c r="H1043" s="104" t="s">
        <v>552</v>
      </c>
      <c r="I1043" s="89">
        <v>1</v>
      </c>
      <c r="J1043" s="88" t="s">
        <v>607</v>
      </c>
      <c r="K1043" s="102"/>
      <c r="L1043" s="88" t="s">
        <v>567</v>
      </c>
      <c r="M1043" s="89" t="s">
        <v>381</v>
      </c>
      <c r="N1043" s="90">
        <v>0.2</v>
      </c>
      <c r="O1043" s="27">
        <f>IFERROR(+VLOOKUP(M1043,D.sign_Lista_Data[[RESPONSABLE]:[SOFTWARE 
VALOR HORA]],3,FALSE),"0")</f>
        <v>20263.424518743668</v>
      </c>
      <c r="P1043" s="3">
        <f t="shared" si="38"/>
        <v>4052.6849037487336</v>
      </c>
      <c r="Q1043" s="11">
        <f>IFERROR(+VLOOKUP(M1043,D.sign_Lista_Data[[RESPONSABLE]:[SOFTWARE 
VALOR HORA]],5,FALSE)*D.sign_Data[[#This Row],[TIEMPO (HORAS)]],0)</f>
        <v>844.30935494765276</v>
      </c>
      <c r="R1043" s="11">
        <f>IFERROR(+VLOOKUP(M1043,D.sign_Lista_Data[[RESPONSABLE]:[SOFTWARE 
VALOR HORA]],8,FALSE)*D.sign_Data[[#This Row],[TIEMPO (HORAS)]],0)</f>
        <v>682.17097742879673</v>
      </c>
      <c r="S1043" s="99"/>
      <c r="T1043" s="99"/>
      <c r="U1043" s="3">
        <f t="shared" si="39"/>
        <v>5579.1652361251827</v>
      </c>
      <c r="V1043" s="100">
        <f>D.sign_Data[[#This Row],[TIEMPO (HORAS)]]*Gastos_Operativos[[#Totals],[GASTOS HORA]]</f>
        <v>5557.8954144620802</v>
      </c>
      <c r="W1043" s="3">
        <f>+D.sign_Data[[#This Row],[COSTO 
DIRECTO ($COP)]]+D.sign_Data[[#This Row],[PRORRATEO GASTOS ($COP)]]</f>
        <v>11137.060650587264</v>
      </c>
      <c r="X1043" s="101">
        <v>0.05</v>
      </c>
      <c r="Y1043" s="15">
        <f>+D.sign_Data[[#This Row],[COSTOS OPERACIONALES ($COP)]]*D.sign_Data[[#This Row],[DESFASE (%)]]</f>
        <v>556.85303252936319</v>
      </c>
      <c r="Z1043" s="101">
        <v>0.15</v>
      </c>
      <c r="AA1043" s="15">
        <f>+((D.sign_Data[[#This Row],[COSTOS OPERACIONALES ($COP)]]/(100%-D.sign_Data[[#This Row],[UTILIDAD (%)]])))-D.sign_Data[[#This Row],[COSTOS OPERACIONALES ($COP)]]</f>
        <v>1965.3636442212828</v>
      </c>
      <c r="AB1043" s="3">
        <f>+D.sign_Data[[#This Row],[COSTOS OPERACIONALES ($COP)]]+D.sign_Data[[#This Row],[DESFASE ($COP)]]+D.sign_Data[[#This Row],[UTILIDAD ($COP)]]</f>
        <v>13659.27732733791</v>
      </c>
      <c r="AC1043" s="101">
        <v>0.05</v>
      </c>
      <c r="AD1043" s="15">
        <f>+D.sign_Data[[#This Row],[VALOR NETO ($COP)]]/(100%-D.sign_Data[[#This Row],[MARGEN DE NEGOCIACIÓN (%)]])-D.sign_Data[[#This Row],[VALOR NETO ($COP)]]</f>
        <v>718.90933301778568</v>
      </c>
      <c r="AE1043" s="15">
        <f>+(D.sign_Data[[#This Row],[VALOR NETO ($COP)]]+D.sign_Data[[#This Row],[NEGOCIACIÓN ($COP)]])*1%</f>
        <v>143.78186660355695</v>
      </c>
      <c r="AF1043" s="15">
        <f>+(D.sign_Data[[#This Row],[VALOR NETO ($COP)]]+D.sign_Data[[#This Row],[NEGOCIACIÓN ($COP)]])*1%</f>
        <v>143.78186660355695</v>
      </c>
      <c r="AG1043" s="3">
        <f>+D.sign_Data[[#This Row],[VALOR NETO ($COP)]]+D.sign_Data[[#This Row],[NEGOCIACIÓN ($COP)]]+D.sign_Data[[#This Row],[ICA ($COP)]]+D.sign_Data[[#This Row],[4 * 1000 ($COP)]]</f>
        <v>14665.750393562808</v>
      </c>
    </row>
    <row r="1044" spans="1:33" ht="60" hidden="1" customHeight="1" x14ac:dyDescent="0.25">
      <c r="A1044" s="14"/>
      <c r="B1044" s="87" t="s">
        <v>493</v>
      </c>
      <c r="C1044" s="182" t="s">
        <v>971</v>
      </c>
      <c r="D1044" s="189" t="str">
        <f>VLOOKUP(D.sign_Data[[#This Row],[CÓDIGO]],Descripciones[[CÓDIGO]:[NOMBRE DE SERVICIO]],3,FALSE)</f>
        <v>D3. Vivienda Campestre</v>
      </c>
      <c r="E1044" s="87" t="s">
        <v>497</v>
      </c>
      <c r="F1044" s="88" t="s">
        <v>918</v>
      </c>
      <c r="G1044" s="88" t="s">
        <v>580</v>
      </c>
      <c r="H1044" s="104" t="s">
        <v>552</v>
      </c>
      <c r="I1044" s="89">
        <v>1</v>
      </c>
      <c r="J1044" s="88" t="s">
        <v>607</v>
      </c>
      <c r="K1044" s="102"/>
      <c r="L1044" s="88" t="s">
        <v>604</v>
      </c>
      <c r="M1044" s="89" t="s">
        <v>381</v>
      </c>
      <c r="N1044" s="90">
        <v>0.5</v>
      </c>
      <c r="O1044" s="27">
        <f>IFERROR(+VLOOKUP(M1044,D.sign_Lista_Data[[RESPONSABLE]:[SOFTWARE 
VALOR HORA]],3,FALSE),"0")</f>
        <v>20263.424518743668</v>
      </c>
      <c r="P1044" s="3">
        <f t="shared" si="38"/>
        <v>10131.712259371834</v>
      </c>
      <c r="Q1044" s="11">
        <f>IFERROR(+VLOOKUP(M1044,D.sign_Lista_Data[[RESPONSABLE]:[SOFTWARE 
VALOR HORA]],5,FALSE)*D.sign_Data[[#This Row],[TIEMPO (HORAS)]],0)</f>
        <v>2110.7733873691318</v>
      </c>
      <c r="R1044" s="11">
        <f>IFERROR(+VLOOKUP(M1044,D.sign_Lista_Data[[RESPONSABLE]:[SOFTWARE 
VALOR HORA]],8,FALSE)*D.sign_Data[[#This Row],[TIEMPO (HORAS)]],0)</f>
        <v>1705.4274435719917</v>
      </c>
      <c r="S1044" s="99"/>
      <c r="T1044" s="99"/>
      <c r="U1044" s="3">
        <f t="shared" si="39"/>
        <v>13947.913090312959</v>
      </c>
      <c r="V1044" s="100">
        <f>D.sign_Data[[#This Row],[TIEMPO (HORAS)]]*Gastos_Operativos[[#Totals],[GASTOS HORA]]</f>
        <v>13894.738536155201</v>
      </c>
      <c r="W1044" s="3">
        <f>+D.sign_Data[[#This Row],[COSTO 
DIRECTO ($COP)]]+D.sign_Data[[#This Row],[PRORRATEO GASTOS ($COP)]]</f>
        <v>27842.65162646816</v>
      </c>
      <c r="X1044" s="101">
        <v>0.05</v>
      </c>
      <c r="Y1044" s="15">
        <f>+D.sign_Data[[#This Row],[COSTOS OPERACIONALES ($COP)]]*D.sign_Data[[#This Row],[DESFASE (%)]]</f>
        <v>1392.132581323408</v>
      </c>
      <c r="Z1044" s="101">
        <v>0.15</v>
      </c>
      <c r="AA1044" s="15">
        <f>+((D.sign_Data[[#This Row],[COSTOS OPERACIONALES ($COP)]]/(100%-D.sign_Data[[#This Row],[UTILIDAD (%)]])))-D.sign_Data[[#This Row],[COSTOS OPERACIONALES ($COP)]]</f>
        <v>4913.4091105532061</v>
      </c>
      <c r="AB1044" s="3">
        <f>+D.sign_Data[[#This Row],[COSTOS OPERACIONALES ($COP)]]+D.sign_Data[[#This Row],[DESFASE ($COP)]]+D.sign_Data[[#This Row],[UTILIDAD ($COP)]]</f>
        <v>34148.193318344769</v>
      </c>
      <c r="AC1044" s="101">
        <v>0.05</v>
      </c>
      <c r="AD1044" s="15">
        <f>+D.sign_Data[[#This Row],[VALOR NETO ($COP)]]/(100%-D.sign_Data[[#This Row],[MARGEN DE NEGOCIACIÓN (%)]])-D.sign_Data[[#This Row],[VALOR NETO ($COP)]]</f>
        <v>1797.2733325444642</v>
      </c>
      <c r="AE1044" s="15">
        <f>+(D.sign_Data[[#This Row],[VALOR NETO ($COP)]]+D.sign_Data[[#This Row],[NEGOCIACIÓN ($COP)]])*1%</f>
        <v>359.45466650889233</v>
      </c>
      <c r="AF1044" s="15">
        <f>+(D.sign_Data[[#This Row],[VALOR NETO ($COP)]]+D.sign_Data[[#This Row],[NEGOCIACIÓN ($COP)]])*1%</f>
        <v>359.45466650889233</v>
      </c>
      <c r="AG1044" s="3">
        <f>+D.sign_Data[[#This Row],[VALOR NETO ($COP)]]+D.sign_Data[[#This Row],[NEGOCIACIÓN ($COP)]]+D.sign_Data[[#This Row],[ICA ($COP)]]+D.sign_Data[[#This Row],[4 * 1000 ($COP)]]</f>
        <v>36664.375983907019</v>
      </c>
    </row>
    <row r="1045" spans="1:33" ht="60" hidden="1" customHeight="1" x14ac:dyDescent="0.25">
      <c r="A1045" s="14"/>
      <c r="B1045" s="87" t="s">
        <v>493</v>
      </c>
      <c r="C1045" s="182" t="s">
        <v>971</v>
      </c>
      <c r="D1045" s="189" t="str">
        <f>VLOOKUP(D.sign_Data[[#This Row],[CÓDIGO]],Descripciones[[CÓDIGO]:[NOMBRE DE SERVICIO]],3,FALSE)</f>
        <v>D3. Vivienda Campestre</v>
      </c>
      <c r="E1045" s="87" t="s">
        <v>497</v>
      </c>
      <c r="F1045" s="88" t="s">
        <v>918</v>
      </c>
      <c r="G1045" s="88" t="s">
        <v>580</v>
      </c>
      <c r="H1045" s="104" t="s">
        <v>552</v>
      </c>
      <c r="I1045" s="89">
        <v>1</v>
      </c>
      <c r="J1045" s="88" t="s">
        <v>607</v>
      </c>
      <c r="K1045" s="102"/>
      <c r="L1045" s="88" t="s">
        <v>570</v>
      </c>
      <c r="M1045" s="89" t="s">
        <v>381</v>
      </c>
      <c r="N1045" s="90">
        <v>1</v>
      </c>
      <c r="O1045" s="27">
        <f>IFERROR(+VLOOKUP(M1045,D.sign_Lista_Data[[RESPONSABLE]:[SOFTWARE 
VALOR HORA]],3,FALSE),"0")</f>
        <v>20263.424518743668</v>
      </c>
      <c r="P1045" s="3">
        <f t="shared" si="38"/>
        <v>20263.424518743668</v>
      </c>
      <c r="Q1045" s="11">
        <f>IFERROR(+VLOOKUP(M1045,D.sign_Lista_Data[[RESPONSABLE]:[SOFTWARE 
VALOR HORA]],5,FALSE)*D.sign_Data[[#This Row],[TIEMPO (HORAS)]],0)</f>
        <v>4221.5467747382636</v>
      </c>
      <c r="R1045" s="11">
        <f>IFERROR(+VLOOKUP(M1045,D.sign_Lista_Data[[RESPONSABLE]:[SOFTWARE 
VALOR HORA]],8,FALSE)*D.sign_Data[[#This Row],[TIEMPO (HORAS)]],0)</f>
        <v>3410.8548871439834</v>
      </c>
      <c r="S1045" s="99"/>
      <c r="T1045" s="99"/>
      <c r="U1045" s="3">
        <f t="shared" si="39"/>
        <v>27895.826180625918</v>
      </c>
      <c r="V1045" s="100">
        <f>D.sign_Data[[#This Row],[TIEMPO (HORAS)]]*Gastos_Operativos[[#Totals],[GASTOS HORA]]</f>
        <v>27789.477072310401</v>
      </c>
      <c r="W1045" s="3">
        <f>+D.sign_Data[[#This Row],[COSTO 
DIRECTO ($COP)]]+D.sign_Data[[#This Row],[PRORRATEO GASTOS ($COP)]]</f>
        <v>55685.303252936319</v>
      </c>
      <c r="X1045" s="101">
        <v>0.05</v>
      </c>
      <c r="Y1045" s="15">
        <f>+D.sign_Data[[#This Row],[COSTOS OPERACIONALES ($COP)]]*D.sign_Data[[#This Row],[DESFASE (%)]]</f>
        <v>2784.265162646816</v>
      </c>
      <c r="Z1045" s="101">
        <v>0.15</v>
      </c>
      <c r="AA1045" s="15">
        <f>+((D.sign_Data[[#This Row],[COSTOS OPERACIONALES ($COP)]]/(100%-D.sign_Data[[#This Row],[UTILIDAD (%)]])))-D.sign_Data[[#This Row],[COSTOS OPERACIONALES ($COP)]]</f>
        <v>9826.8182211064122</v>
      </c>
      <c r="AB1045" s="3">
        <f>+D.sign_Data[[#This Row],[COSTOS OPERACIONALES ($COP)]]+D.sign_Data[[#This Row],[DESFASE ($COP)]]+D.sign_Data[[#This Row],[UTILIDAD ($COP)]]</f>
        <v>68296.386636689538</v>
      </c>
      <c r="AC1045" s="101">
        <v>0.05</v>
      </c>
      <c r="AD1045" s="15">
        <f>+D.sign_Data[[#This Row],[VALOR NETO ($COP)]]/(100%-D.sign_Data[[#This Row],[MARGEN DE NEGOCIACIÓN (%)]])-D.sign_Data[[#This Row],[VALOR NETO ($COP)]]</f>
        <v>3594.5466650889284</v>
      </c>
      <c r="AE1045" s="15">
        <f>+(D.sign_Data[[#This Row],[VALOR NETO ($COP)]]+D.sign_Data[[#This Row],[NEGOCIACIÓN ($COP)]])*1%</f>
        <v>718.90933301778466</v>
      </c>
      <c r="AF1045" s="15">
        <f>+(D.sign_Data[[#This Row],[VALOR NETO ($COP)]]+D.sign_Data[[#This Row],[NEGOCIACIÓN ($COP)]])*1%</f>
        <v>718.90933301778466</v>
      </c>
      <c r="AG1045" s="3">
        <f>+D.sign_Data[[#This Row],[VALOR NETO ($COP)]]+D.sign_Data[[#This Row],[NEGOCIACIÓN ($COP)]]+D.sign_Data[[#This Row],[ICA ($COP)]]+D.sign_Data[[#This Row],[4 * 1000 ($COP)]]</f>
        <v>73328.751967814038</v>
      </c>
    </row>
    <row r="1046" spans="1:33" ht="60" hidden="1" customHeight="1" x14ac:dyDescent="0.25">
      <c r="A1046" s="14"/>
      <c r="B1046" s="87" t="s">
        <v>493</v>
      </c>
      <c r="C1046" s="182" t="s">
        <v>971</v>
      </c>
      <c r="D1046" s="189" t="str">
        <f>VLOOKUP(D.sign_Data[[#This Row],[CÓDIGO]],Descripciones[[CÓDIGO]:[NOMBRE DE SERVICIO]],3,FALSE)</f>
        <v>D3. Vivienda Campestre</v>
      </c>
      <c r="E1046" s="87" t="s">
        <v>497</v>
      </c>
      <c r="F1046" s="88" t="s">
        <v>918</v>
      </c>
      <c r="G1046" s="88" t="s">
        <v>580</v>
      </c>
      <c r="H1046" s="104" t="s">
        <v>552</v>
      </c>
      <c r="I1046" s="89">
        <v>1</v>
      </c>
      <c r="J1046" s="88" t="s">
        <v>607</v>
      </c>
      <c r="K1046" s="102"/>
      <c r="L1046" s="88" t="s">
        <v>571</v>
      </c>
      <c r="M1046" s="89" t="s">
        <v>381</v>
      </c>
      <c r="N1046" s="90">
        <v>0.1</v>
      </c>
      <c r="O1046" s="27">
        <f>IFERROR(+VLOOKUP(M1046,D.sign_Lista_Data[[RESPONSABLE]:[SOFTWARE 
VALOR HORA]],3,FALSE),"0")</f>
        <v>20263.424518743668</v>
      </c>
      <c r="P1046" s="3">
        <f t="shared" si="38"/>
        <v>2026.3424518743668</v>
      </c>
      <c r="Q1046" s="11">
        <f>IFERROR(+VLOOKUP(M1046,D.sign_Lista_Data[[RESPONSABLE]:[SOFTWARE 
VALOR HORA]],5,FALSE)*D.sign_Data[[#This Row],[TIEMPO (HORAS)]],0)</f>
        <v>422.15467747382638</v>
      </c>
      <c r="R1046" s="11">
        <f>IFERROR(+VLOOKUP(M1046,D.sign_Lista_Data[[RESPONSABLE]:[SOFTWARE 
VALOR HORA]],8,FALSE)*D.sign_Data[[#This Row],[TIEMPO (HORAS)]],0)</f>
        <v>341.08548871439837</v>
      </c>
      <c r="S1046" s="99"/>
      <c r="T1046" s="99"/>
      <c r="U1046" s="3">
        <f t="shared" si="39"/>
        <v>2789.5826180625913</v>
      </c>
      <c r="V1046" s="100">
        <f>D.sign_Data[[#This Row],[TIEMPO (HORAS)]]*Gastos_Operativos[[#Totals],[GASTOS HORA]]</f>
        <v>2778.9477072310401</v>
      </c>
      <c r="W1046" s="3">
        <f>+D.sign_Data[[#This Row],[COSTO 
DIRECTO ($COP)]]+D.sign_Data[[#This Row],[PRORRATEO GASTOS ($COP)]]</f>
        <v>5568.5303252936319</v>
      </c>
      <c r="X1046" s="101">
        <v>0.05</v>
      </c>
      <c r="Y1046" s="15">
        <f>+D.sign_Data[[#This Row],[COSTOS OPERACIONALES ($COP)]]*D.sign_Data[[#This Row],[DESFASE (%)]]</f>
        <v>278.4265162646816</v>
      </c>
      <c r="Z1046" s="101">
        <v>0.15</v>
      </c>
      <c r="AA1046" s="15">
        <f>+((D.sign_Data[[#This Row],[COSTOS OPERACIONALES ($COP)]]/(100%-D.sign_Data[[#This Row],[UTILIDAD (%)]])))-D.sign_Data[[#This Row],[COSTOS OPERACIONALES ($COP)]]</f>
        <v>982.68182211064141</v>
      </c>
      <c r="AB1046" s="3">
        <f>+D.sign_Data[[#This Row],[COSTOS OPERACIONALES ($COP)]]+D.sign_Data[[#This Row],[DESFASE ($COP)]]+D.sign_Data[[#This Row],[UTILIDAD ($COP)]]</f>
        <v>6829.6386636689549</v>
      </c>
      <c r="AC1046" s="101">
        <v>0.05</v>
      </c>
      <c r="AD1046" s="15">
        <f>+D.sign_Data[[#This Row],[VALOR NETO ($COP)]]/(100%-D.sign_Data[[#This Row],[MARGEN DE NEGOCIACIÓN (%)]])-D.sign_Data[[#This Row],[VALOR NETO ($COP)]]</f>
        <v>359.45466650889284</v>
      </c>
      <c r="AE1046" s="15">
        <f>+(D.sign_Data[[#This Row],[VALOR NETO ($COP)]]+D.sign_Data[[#This Row],[NEGOCIACIÓN ($COP)]])*1%</f>
        <v>71.890933301778475</v>
      </c>
      <c r="AF1046" s="15">
        <f>+(D.sign_Data[[#This Row],[VALOR NETO ($COP)]]+D.sign_Data[[#This Row],[NEGOCIACIÓN ($COP)]])*1%</f>
        <v>71.890933301778475</v>
      </c>
      <c r="AG1046" s="3">
        <f>+D.sign_Data[[#This Row],[VALOR NETO ($COP)]]+D.sign_Data[[#This Row],[NEGOCIACIÓN ($COP)]]+D.sign_Data[[#This Row],[ICA ($COP)]]+D.sign_Data[[#This Row],[4 * 1000 ($COP)]]</f>
        <v>7332.8751967814042</v>
      </c>
    </row>
    <row r="1047" spans="1:33" ht="60" hidden="1" customHeight="1" x14ac:dyDescent="0.25">
      <c r="A1047" s="14"/>
      <c r="B1047" s="87" t="s">
        <v>493</v>
      </c>
      <c r="C1047" s="182" t="s">
        <v>971</v>
      </c>
      <c r="D1047" s="189" t="str">
        <f>VLOOKUP(D.sign_Data[[#This Row],[CÓDIGO]],Descripciones[[CÓDIGO]:[NOMBRE DE SERVICIO]],3,FALSE)</f>
        <v>D3. Vivienda Campestre</v>
      </c>
      <c r="E1047" s="87" t="s">
        <v>497</v>
      </c>
      <c r="F1047" s="88" t="s">
        <v>918</v>
      </c>
      <c r="G1047" s="88" t="s">
        <v>580</v>
      </c>
      <c r="H1047" s="104" t="s">
        <v>552</v>
      </c>
      <c r="I1047" s="89">
        <v>1</v>
      </c>
      <c r="J1047" s="88" t="s">
        <v>607</v>
      </c>
      <c r="K1047" s="102"/>
      <c r="L1047" s="88" t="s">
        <v>572</v>
      </c>
      <c r="M1047" s="89" t="s">
        <v>381</v>
      </c>
      <c r="N1047" s="90">
        <v>0.1</v>
      </c>
      <c r="O1047" s="27">
        <f>IFERROR(+VLOOKUP(M1047,D.sign_Lista_Data[[RESPONSABLE]:[SOFTWARE 
VALOR HORA]],3,FALSE),"0")</f>
        <v>20263.424518743668</v>
      </c>
      <c r="P1047" s="3">
        <f t="shared" si="38"/>
        <v>2026.3424518743668</v>
      </c>
      <c r="Q1047" s="11">
        <f>IFERROR(+VLOOKUP(M1047,D.sign_Lista_Data[[RESPONSABLE]:[SOFTWARE 
VALOR HORA]],5,FALSE)*D.sign_Data[[#This Row],[TIEMPO (HORAS)]],0)</f>
        <v>422.15467747382638</v>
      </c>
      <c r="R1047" s="11">
        <f>IFERROR(+VLOOKUP(M1047,D.sign_Lista_Data[[RESPONSABLE]:[SOFTWARE 
VALOR HORA]],8,FALSE)*D.sign_Data[[#This Row],[TIEMPO (HORAS)]],0)</f>
        <v>341.08548871439837</v>
      </c>
      <c r="S1047" s="99"/>
      <c r="T1047" s="99"/>
      <c r="U1047" s="3">
        <f t="shared" si="39"/>
        <v>2789.5826180625913</v>
      </c>
      <c r="V1047" s="100">
        <f>D.sign_Data[[#This Row],[TIEMPO (HORAS)]]*Gastos_Operativos[[#Totals],[GASTOS HORA]]</f>
        <v>2778.9477072310401</v>
      </c>
      <c r="W1047" s="3">
        <f>+D.sign_Data[[#This Row],[COSTO 
DIRECTO ($COP)]]+D.sign_Data[[#This Row],[PRORRATEO GASTOS ($COP)]]</f>
        <v>5568.5303252936319</v>
      </c>
      <c r="X1047" s="101">
        <v>0.05</v>
      </c>
      <c r="Y1047" s="15">
        <f>+D.sign_Data[[#This Row],[COSTOS OPERACIONALES ($COP)]]*D.sign_Data[[#This Row],[DESFASE (%)]]</f>
        <v>278.4265162646816</v>
      </c>
      <c r="Z1047" s="101">
        <v>0.15</v>
      </c>
      <c r="AA1047" s="15">
        <f>+((D.sign_Data[[#This Row],[COSTOS OPERACIONALES ($COP)]]/(100%-D.sign_Data[[#This Row],[UTILIDAD (%)]])))-D.sign_Data[[#This Row],[COSTOS OPERACIONALES ($COP)]]</f>
        <v>982.68182211064141</v>
      </c>
      <c r="AB1047" s="3">
        <f>+D.sign_Data[[#This Row],[COSTOS OPERACIONALES ($COP)]]+D.sign_Data[[#This Row],[DESFASE ($COP)]]+D.sign_Data[[#This Row],[UTILIDAD ($COP)]]</f>
        <v>6829.6386636689549</v>
      </c>
      <c r="AC1047" s="101">
        <v>0.05</v>
      </c>
      <c r="AD1047" s="15">
        <f>+D.sign_Data[[#This Row],[VALOR NETO ($COP)]]/(100%-D.sign_Data[[#This Row],[MARGEN DE NEGOCIACIÓN (%)]])-D.sign_Data[[#This Row],[VALOR NETO ($COP)]]</f>
        <v>359.45466650889284</v>
      </c>
      <c r="AE1047" s="15">
        <f>+(D.sign_Data[[#This Row],[VALOR NETO ($COP)]]+D.sign_Data[[#This Row],[NEGOCIACIÓN ($COP)]])*1%</f>
        <v>71.890933301778475</v>
      </c>
      <c r="AF1047" s="15">
        <f>+(D.sign_Data[[#This Row],[VALOR NETO ($COP)]]+D.sign_Data[[#This Row],[NEGOCIACIÓN ($COP)]])*1%</f>
        <v>71.890933301778475</v>
      </c>
      <c r="AG1047" s="3">
        <f>+D.sign_Data[[#This Row],[VALOR NETO ($COP)]]+D.sign_Data[[#This Row],[NEGOCIACIÓN ($COP)]]+D.sign_Data[[#This Row],[ICA ($COP)]]+D.sign_Data[[#This Row],[4 * 1000 ($COP)]]</f>
        <v>7332.8751967814042</v>
      </c>
    </row>
    <row r="1048" spans="1:33" ht="60" hidden="1" customHeight="1" x14ac:dyDescent="0.25">
      <c r="A1048" s="14"/>
      <c r="B1048" s="87" t="s">
        <v>493</v>
      </c>
      <c r="C1048" s="182" t="s">
        <v>971</v>
      </c>
      <c r="D1048" s="189" t="str">
        <f>VLOOKUP(D.sign_Data[[#This Row],[CÓDIGO]],Descripciones[[CÓDIGO]:[NOMBRE DE SERVICIO]],3,FALSE)</f>
        <v>D3. Vivienda Campestre</v>
      </c>
      <c r="E1048" s="87" t="s">
        <v>497</v>
      </c>
      <c r="F1048" s="88" t="s">
        <v>918</v>
      </c>
      <c r="G1048" s="88" t="s">
        <v>582</v>
      </c>
      <c r="H1048" s="104" t="s">
        <v>552</v>
      </c>
      <c r="I1048" s="89">
        <v>1</v>
      </c>
      <c r="J1048" s="88" t="s">
        <v>614</v>
      </c>
      <c r="K1048" s="102"/>
      <c r="L1048" s="88" t="s">
        <v>584</v>
      </c>
      <c r="M1048" s="89" t="s">
        <v>381</v>
      </c>
      <c r="N1048" s="90">
        <v>1</v>
      </c>
      <c r="O1048" s="27">
        <f>IFERROR(+VLOOKUP(M1048,D.sign_Lista_Data[[RESPONSABLE]:[SOFTWARE 
VALOR HORA]],3,FALSE),"0")</f>
        <v>20263.424518743668</v>
      </c>
      <c r="P1048" s="3">
        <f t="shared" si="38"/>
        <v>20263.424518743668</v>
      </c>
      <c r="Q1048" s="11">
        <f>IFERROR(+VLOOKUP(M1048,D.sign_Lista_Data[[RESPONSABLE]:[SOFTWARE 
VALOR HORA]],5,FALSE)*D.sign_Data[[#This Row],[TIEMPO (HORAS)]],0)</f>
        <v>4221.5467747382636</v>
      </c>
      <c r="R1048" s="11">
        <f>IFERROR(+VLOOKUP(M1048,D.sign_Lista_Data[[RESPONSABLE]:[SOFTWARE 
VALOR HORA]],8,FALSE)*D.sign_Data[[#This Row],[TIEMPO (HORAS)]],0)</f>
        <v>3410.8548871439834</v>
      </c>
      <c r="S1048" s="99"/>
      <c r="T1048" s="99"/>
      <c r="U1048" s="3">
        <f t="shared" si="39"/>
        <v>27895.826180625918</v>
      </c>
      <c r="V1048" s="100">
        <f>D.sign_Data[[#This Row],[TIEMPO (HORAS)]]*Gastos_Operativos[[#Totals],[GASTOS HORA]]</f>
        <v>27789.477072310401</v>
      </c>
      <c r="W1048" s="3">
        <f>+D.sign_Data[[#This Row],[COSTO 
DIRECTO ($COP)]]+D.sign_Data[[#This Row],[PRORRATEO GASTOS ($COP)]]</f>
        <v>55685.303252936319</v>
      </c>
      <c r="X1048" s="101">
        <v>0.05</v>
      </c>
      <c r="Y1048" s="15">
        <f>+D.sign_Data[[#This Row],[COSTOS OPERACIONALES ($COP)]]*D.sign_Data[[#This Row],[DESFASE (%)]]</f>
        <v>2784.265162646816</v>
      </c>
      <c r="Z1048" s="101">
        <v>0.15</v>
      </c>
      <c r="AA1048" s="15">
        <f>+((D.sign_Data[[#This Row],[COSTOS OPERACIONALES ($COP)]]/(100%-D.sign_Data[[#This Row],[UTILIDAD (%)]])))-D.sign_Data[[#This Row],[COSTOS OPERACIONALES ($COP)]]</f>
        <v>9826.8182211064122</v>
      </c>
      <c r="AB1048" s="3">
        <f>+D.sign_Data[[#This Row],[COSTOS OPERACIONALES ($COP)]]+D.sign_Data[[#This Row],[DESFASE ($COP)]]+D.sign_Data[[#This Row],[UTILIDAD ($COP)]]</f>
        <v>68296.386636689538</v>
      </c>
      <c r="AC1048" s="101">
        <v>0.05</v>
      </c>
      <c r="AD1048" s="15">
        <f>+D.sign_Data[[#This Row],[VALOR NETO ($COP)]]/(100%-D.sign_Data[[#This Row],[MARGEN DE NEGOCIACIÓN (%)]])-D.sign_Data[[#This Row],[VALOR NETO ($COP)]]</f>
        <v>3594.5466650889284</v>
      </c>
      <c r="AE1048" s="15">
        <f>+(D.sign_Data[[#This Row],[VALOR NETO ($COP)]]+D.sign_Data[[#This Row],[NEGOCIACIÓN ($COP)]])*1%</f>
        <v>718.90933301778466</v>
      </c>
      <c r="AF1048" s="15">
        <f>+(D.sign_Data[[#This Row],[VALOR NETO ($COP)]]+D.sign_Data[[#This Row],[NEGOCIACIÓN ($COP)]])*1%</f>
        <v>718.90933301778466</v>
      </c>
      <c r="AG1048" s="3">
        <f>+D.sign_Data[[#This Row],[VALOR NETO ($COP)]]+D.sign_Data[[#This Row],[NEGOCIACIÓN ($COP)]]+D.sign_Data[[#This Row],[ICA ($COP)]]+D.sign_Data[[#This Row],[4 * 1000 ($COP)]]</f>
        <v>73328.751967814038</v>
      </c>
    </row>
    <row r="1049" spans="1:33" ht="60" hidden="1" customHeight="1" x14ac:dyDescent="0.25">
      <c r="A1049" s="14"/>
      <c r="B1049" s="87" t="s">
        <v>493</v>
      </c>
      <c r="C1049" s="182" t="s">
        <v>971</v>
      </c>
      <c r="D1049" s="189" t="str">
        <f>VLOOKUP(D.sign_Data[[#This Row],[CÓDIGO]],Descripciones[[CÓDIGO]:[NOMBRE DE SERVICIO]],3,FALSE)</f>
        <v>D3. Vivienda Campestre</v>
      </c>
      <c r="E1049" s="87" t="s">
        <v>497</v>
      </c>
      <c r="F1049" s="88" t="s">
        <v>918</v>
      </c>
      <c r="G1049" s="88" t="s">
        <v>582</v>
      </c>
      <c r="H1049" s="104" t="s">
        <v>552</v>
      </c>
      <c r="I1049" s="89">
        <v>1</v>
      </c>
      <c r="J1049" s="88" t="s">
        <v>614</v>
      </c>
      <c r="K1049" s="102"/>
      <c r="L1049" s="88" t="s">
        <v>575</v>
      </c>
      <c r="M1049" s="89" t="s">
        <v>381</v>
      </c>
      <c r="N1049" s="90">
        <v>0.2</v>
      </c>
      <c r="O1049" s="27">
        <f>IFERROR(+VLOOKUP(M1049,D.sign_Lista_Data[[RESPONSABLE]:[SOFTWARE 
VALOR HORA]],3,FALSE),"0")</f>
        <v>20263.424518743668</v>
      </c>
      <c r="P1049" s="3">
        <f t="shared" si="38"/>
        <v>4052.6849037487336</v>
      </c>
      <c r="Q1049" s="11">
        <f>IFERROR(+VLOOKUP(M1049,D.sign_Lista_Data[[RESPONSABLE]:[SOFTWARE 
VALOR HORA]],5,FALSE)*D.sign_Data[[#This Row],[TIEMPO (HORAS)]],0)</f>
        <v>844.30935494765276</v>
      </c>
      <c r="R1049" s="11">
        <f>IFERROR(+VLOOKUP(M1049,D.sign_Lista_Data[[RESPONSABLE]:[SOFTWARE 
VALOR HORA]],8,FALSE)*D.sign_Data[[#This Row],[TIEMPO (HORAS)]],0)</f>
        <v>682.17097742879673</v>
      </c>
      <c r="S1049" s="99"/>
      <c r="T1049" s="99"/>
      <c r="U1049" s="3">
        <f t="shared" si="39"/>
        <v>5579.1652361251827</v>
      </c>
      <c r="V1049" s="100">
        <f>D.sign_Data[[#This Row],[TIEMPO (HORAS)]]*Gastos_Operativos[[#Totals],[GASTOS HORA]]</f>
        <v>5557.8954144620802</v>
      </c>
      <c r="W1049" s="3">
        <f>+D.sign_Data[[#This Row],[COSTO 
DIRECTO ($COP)]]+D.sign_Data[[#This Row],[PRORRATEO GASTOS ($COP)]]</f>
        <v>11137.060650587264</v>
      </c>
      <c r="X1049" s="101">
        <v>0.05</v>
      </c>
      <c r="Y1049" s="15">
        <f>+D.sign_Data[[#This Row],[COSTOS OPERACIONALES ($COP)]]*D.sign_Data[[#This Row],[DESFASE (%)]]</f>
        <v>556.85303252936319</v>
      </c>
      <c r="Z1049" s="101">
        <v>0.15</v>
      </c>
      <c r="AA1049" s="15">
        <f>+((D.sign_Data[[#This Row],[COSTOS OPERACIONALES ($COP)]]/(100%-D.sign_Data[[#This Row],[UTILIDAD (%)]])))-D.sign_Data[[#This Row],[COSTOS OPERACIONALES ($COP)]]</f>
        <v>1965.3636442212828</v>
      </c>
      <c r="AB1049" s="3">
        <f>+D.sign_Data[[#This Row],[COSTOS OPERACIONALES ($COP)]]+D.sign_Data[[#This Row],[DESFASE ($COP)]]+D.sign_Data[[#This Row],[UTILIDAD ($COP)]]</f>
        <v>13659.27732733791</v>
      </c>
      <c r="AC1049" s="101">
        <v>0.05</v>
      </c>
      <c r="AD1049" s="15">
        <f>+D.sign_Data[[#This Row],[VALOR NETO ($COP)]]/(100%-D.sign_Data[[#This Row],[MARGEN DE NEGOCIACIÓN (%)]])-D.sign_Data[[#This Row],[VALOR NETO ($COP)]]</f>
        <v>718.90933301778568</v>
      </c>
      <c r="AE1049" s="15">
        <f>+(D.sign_Data[[#This Row],[VALOR NETO ($COP)]]+D.sign_Data[[#This Row],[NEGOCIACIÓN ($COP)]])*1%</f>
        <v>143.78186660355695</v>
      </c>
      <c r="AF1049" s="15">
        <f>+(D.sign_Data[[#This Row],[VALOR NETO ($COP)]]+D.sign_Data[[#This Row],[NEGOCIACIÓN ($COP)]])*1%</f>
        <v>143.78186660355695</v>
      </c>
      <c r="AG1049" s="3">
        <f>+D.sign_Data[[#This Row],[VALOR NETO ($COP)]]+D.sign_Data[[#This Row],[NEGOCIACIÓN ($COP)]]+D.sign_Data[[#This Row],[ICA ($COP)]]+D.sign_Data[[#This Row],[4 * 1000 ($COP)]]</f>
        <v>14665.750393562808</v>
      </c>
    </row>
    <row r="1050" spans="1:33" ht="60" hidden="1" customHeight="1" x14ac:dyDescent="0.25">
      <c r="A1050" s="14"/>
      <c r="B1050" s="87" t="s">
        <v>493</v>
      </c>
      <c r="C1050" s="182" t="s">
        <v>971</v>
      </c>
      <c r="D1050" s="189" t="str">
        <f>VLOOKUP(D.sign_Data[[#This Row],[CÓDIGO]],Descripciones[[CÓDIGO]:[NOMBRE DE SERVICIO]],3,FALSE)</f>
        <v>D3. Vivienda Campestre</v>
      </c>
      <c r="E1050" s="87" t="s">
        <v>497</v>
      </c>
      <c r="F1050" s="88" t="s">
        <v>918</v>
      </c>
      <c r="G1050" s="88" t="s">
        <v>582</v>
      </c>
      <c r="H1050" s="104" t="s">
        <v>552</v>
      </c>
      <c r="I1050" s="89">
        <v>1</v>
      </c>
      <c r="J1050" s="88" t="s">
        <v>614</v>
      </c>
      <c r="K1050" s="102"/>
      <c r="L1050" s="88" t="s">
        <v>604</v>
      </c>
      <c r="M1050" s="89" t="s">
        <v>381</v>
      </c>
      <c r="N1050" s="90">
        <v>0.5</v>
      </c>
      <c r="O1050" s="27">
        <f>IFERROR(+VLOOKUP(M1050,D.sign_Lista_Data[[RESPONSABLE]:[SOFTWARE 
VALOR HORA]],3,FALSE),"0")</f>
        <v>20263.424518743668</v>
      </c>
      <c r="P1050" s="3">
        <f t="shared" si="38"/>
        <v>10131.712259371834</v>
      </c>
      <c r="Q1050" s="11">
        <f>IFERROR(+VLOOKUP(M1050,D.sign_Lista_Data[[RESPONSABLE]:[SOFTWARE 
VALOR HORA]],5,FALSE)*D.sign_Data[[#This Row],[TIEMPO (HORAS)]],0)</f>
        <v>2110.7733873691318</v>
      </c>
      <c r="R1050" s="11">
        <f>IFERROR(+VLOOKUP(M1050,D.sign_Lista_Data[[RESPONSABLE]:[SOFTWARE 
VALOR HORA]],8,FALSE)*D.sign_Data[[#This Row],[TIEMPO (HORAS)]],0)</f>
        <v>1705.4274435719917</v>
      </c>
      <c r="S1050" s="99"/>
      <c r="T1050" s="99"/>
      <c r="U1050" s="3">
        <f t="shared" si="39"/>
        <v>13947.913090312959</v>
      </c>
      <c r="V1050" s="100">
        <f>D.sign_Data[[#This Row],[TIEMPO (HORAS)]]*Gastos_Operativos[[#Totals],[GASTOS HORA]]</f>
        <v>13894.738536155201</v>
      </c>
      <c r="W1050" s="3">
        <f>+D.sign_Data[[#This Row],[COSTO 
DIRECTO ($COP)]]+D.sign_Data[[#This Row],[PRORRATEO GASTOS ($COP)]]</f>
        <v>27842.65162646816</v>
      </c>
      <c r="X1050" s="101">
        <v>0.05</v>
      </c>
      <c r="Y1050" s="15">
        <f>+D.sign_Data[[#This Row],[COSTOS OPERACIONALES ($COP)]]*D.sign_Data[[#This Row],[DESFASE (%)]]</f>
        <v>1392.132581323408</v>
      </c>
      <c r="Z1050" s="101">
        <v>0.15</v>
      </c>
      <c r="AA1050" s="15">
        <f>+((D.sign_Data[[#This Row],[COSTOS OPERACIONALES ($COP)]]/(100%-D.sign_Data[[#This Row],[UTILIDAD (%)]])))-D.sign_Data[[#This Row],[COSTOS OPERACIONALES ($COP)]]</f>
        <v>4913.4091105532061</v>
      </c>
      <c r="AB1050" s="3">
        <f>+D.sign_Data[[#This Row],[COSTOS OPERACIONALES ($COP)]]+D.sign_Data[[#This Row],[DESFASE ($COP)]]+D.sign_Data[[#This Row],[UTILIDAD ($COP)]]</f>
        <v>34148.193318344769</v>
      </c>
      <c r="AC1050" s="101">
        <v>0.05</v>
      </c>
      <c r="AD1050" s="15">
        <f>+D.sign_Data[[#This Row],[VALOR NETO ($COP)]]/(100%-D.sign_Data[[#This Row],[MARGEN DE NEGOCIACIÓN (%)]])-D.sign_Data[[#This Row],[VALOR NETO ($COP)]]</f>
        <v>1797.2733325444642</v>
      </c>
      <c r="AE1050" s="15">
        <f>+(D.sign_Data[[#This Row],[VALOR NETO ($COP)]]+D.sign_Data[[#This Row],[NEGOCIACIÓN ($COP)]])*1%</f>
        <v>359.45466650889233</v>
      </c>
      <c r="AF1050" s="15">
        <f>+(D.sign_Data[[#This Row],[VALOR NETO ($COP)]]+D.sign_Data[[#This Row],[NEGOCIACIÓN ($COP)]])*1%</f>
        <v>359.45466650889233</v>
      </c>
      <c r="AG1050" s="3">
        <f>+D.sign_Data[[#This Row],[VALOR NETO ($COP)]]+D.sign_Data[[#This Row],[NEGOCIACIÓN ($COP)]]+D.sign_Data[[#This Row],[ICA ($COP)]]+D.sign_Data[[#This Row],[4 * 1000 ($COP)]]</f>
        <v>36664.375983907019</v>
      </c>
    </row>
    <row r="1051" spans="1:33" ht="60" hidden="1" customHeight="1" x14ac:dyDescent="0.25">
      <c r="A1051" s="14"/>
      <c r="B1051" s="87" t="s">
        <v>493</v>
      </c>
      <c r="C1051" s="182" t="s">
        <v>971</v>
      </c>
      <c r="D1051" s="189" t="str">
        <f>VLOOKUP(D.sign_Data[[#This Row],[CÓDIGO]],Descripciones[[CÓDIGO]:[NOMBRE DE SERVICIO]],3,FALSE)</f>
        <v>D3. Vivienda Campestre</v>
      </c>
      <c r="E1051" s="87" t="s">
        <v>497</v>
      </c>
      <c r="F1051" s="88" t="s">
        <v>918</v>
      </c>
      <c r="G1051" s="88" t="s">
        <v>582</v>
      </c>
      <c r="H1051" s="104" t="s">
        <v>552</v>
      </c>
      <c r="I1051" s="89">
        <v>1</v>
      </c>
      <c r="J1051" s="88" t="s">
        <v>614</v>
      </c>
      <c r="K1051" s="102"/>
      <c r="L1051" s="88" t="s">
        <v>570</v>
      </c>
      <c r="M1051" s="89" t="s">
        <v>381</v>
      </c>
      <c r="N1051" s="90">
        <v>0.6</v>
      </c>
      <c r="O1051" s="27">
        <f>IFERROR(+VLOOKUP(M1051,D.sign_Lista_Data[[RESPONSABLE]:[SOFTWARE 
VALOR HORA]],3,FALSE),"0")</f>
        <v>20263.424518743668</v>
      </c>
      <c r="P1051" s="3">
        <f t="shared" si="38"/>
        <v>12158.054711246201</v>
      </c>
      <c r="Q1051" s="11">
        <f>IFERROR(+VLOOKUP(M1051,D.sign_Lista_Data[[RESPONSABLE]:[SOFTWARE 
VALOR HORA]],5,FALSE)*D.sign_Data[[#This Row],[TIEMPO (HORAS)]],0)</f>
        <v>2532.9280648429581</v>
      </c>
      <c r="R1051" s="11">
        <f>IFERROR(+VLOOKUP(M1051,D.sign_Lista_Data[[RESPONSABLE]:[SOFTWARE 
VALOR HORA]],8,FALSE)*D.sign_Data[[#This Row],[TIEMPO (HORAS)]],0)</f>
        <v>2046.51293228639</v>
      </c>
      <c r="S1051" s="99"/>
      <c r="T1051" s="99"/>
      <c r="U1051" s="3">
        <f t="shared" si="39"/>
        <v>16737.495708375547</v>
      </c>
      <c r="V1051" s="100">
        <f>D.sign_Data[[#This Row],[TIEMPO (HORAS)]]*Gastos_Operativos[[#Totals],[GASTOS HORA]]</f>
        <v>16673.686243386241</v>
      </c>
      <c r="W1051" s="3">
        <f>+D.sign_Data[[#This Row],[COSTO 
DIRECTO ($COP)]]+D.sign_Data[[#This Row],[PRORRATEO GASTOS ($COP)]]</f>
        <v>33411.181951761784</v>
      </c>
      <c r="X1051" s="101">
        <v>0.05</v>
      </c>
      <c r="Y1051" s="15">
        <f>+D.sign_Data[[#This Row],[COSTOS OPERACIONALES ($COP)]]*D.sign_Data[[#This Row],[DESFASE (%)]]</f>
        <v>1670.5590975880893</v>
      </c>
      <c r="Z1051" s="101">
        <v>0.15</v>
      </c>
      <c r="AA1051" s="15">
        <f>+((D.sign_Data[[#This Row],[COSTOS OPERACIONALES ($COP)]]/(100%-D.sign_Data[[#This Row],[UTILIDAD (%)]])))-D.sign_Data[[#This Row],[COSTOS OPERACIONALES ($COP)]]</f>
        <v>5896.090932663843</v>
      </c>
      <c r="AB1051" s="3">
        <f>+D.sign_Data[[#This Row],[COSTOS OPERACIONALES ($COP)]]+D.sign_Data[[#This Row],[DESFASE ($COP)]]+D.sign_Data[[#This Row],[UTILIDAD ($COP)]]</f>
        <v>40977.831982013719</v>
      </c>
      <c r="AC1051" s="101">
        <v>0.05</v>
      </c>
      <c r="AD1051" s="15">
        <f>+D.sign_Data[[#This Row],[VALOR NETO ($COP)]]/(100%-D.sign_Data[[#This Row],[MARGEN DE NEGOCIACIÓN (%)]])-D.sign_Data[[#This Row],[VALOR NETO ($COP)]]</f>
        <v>2156.7279990533571</v>
      </c>
      <c r="AE1051" s="15">
        <f>+(D.sign_Data[[#This Row],[VALOR NETO ($COP)]]+D.sign_Data[[#This Row],[NEGOCIACIÓN ($COP)]])*1%</f>
        <v>431.34559981067076</v>
      </c>
      <c r="AF1051" s="15">
        <f>+(D.sign_Data[[#This Row],[VALOR NETO ($COP)]]+D.sign_Data[[#This Row],[NEGOCIACIÓN ($COP)]])*1%</f>
        <v>431.34559981067076</v>
      </c>
      <c r="AG1051" s="3">
        <f>+D.sign_Data[[#This Row],[VALOR NETO ($COP)]]+D.sign_Data[[#This Row],[NEGOCIACIÓN ($COP)]]+D.sign_Data[[#This Row],[ICA ($COP)]]+D.sign_Data[[#This Row],[4 * 1000 ($COP)]]</f>
        <v>43997.251180688421</v>
      </c>
    </row>
    <row r="1052" spans="1:33" ht="60" hidden="1" customHeight="1" x14ac:dyDescent="0.25">
      <c r="A1052" s="14"/>
      <c r="B1052" s="87" t="s">
        <v>493</v>
      </c>
      <c r="C1052" s="182" t="s">
        <v>971</v>
      </c>
      <c r="D1052" s="189" t="str">
        <f>VLOOKUP(D.sign_Data[[#This Row],[CÓDIGO]],Descripciones[[CÓDIGO]:[NOMBRE DE SERVICIO]],3,FALSE)</f>
        <v>D3. Vivienda Campestre</v>
      </c>
      <c r="E1052" s="87" t="s">
        <v>497</v>
      </c>
      <c r="F1052" s="88" t="s">
        <v>918</v>
      </c>
      <c r="G1052" s="88" t="s">
        <v>582</v>
      </c>
      <c r="H1052" s="104" t="s">
        <v>552</v>
      </c>
      <c r="I1052" s="89">
        <v>1</v>
      </c>
      <c r="J1052" s="88" t="s">
        <v>614</v>
      </c>
      <c r="K1052" s="102"/>
      <c r="L1052" s="88" t="s">
        <v>571</v>
      </c>
      <c r="M1052" s="89" t="s">
        <v>381</v>
      </c>
      <c r="N1052" s="90">
        <v>0.1</v>
      </c>
      <c r="O1052" s="27">
        <f>IFERROR(+VLOOKUP(M1052,D.sign_Lista_Data[[RESPONSABLE]:[SOFTWARE 
VALOR HORA]],3,FALSE),"0")</f>
        <v>20263.424518743668</v>
      </c>
      <c r="P1052" s="3">
        <f t="shared" si="38"/>
        <v>2026.3424518743668</v>
      </c>
      <c r="Q1052" s="11">
        <f>IFERROR(+VLOOKUP(M1052,D.sign_Lista_Data[[RESPONSABLE]:[SOFTWARE 
VALOR HORA]],5,FALSE)*D.sign_Data[[#This Row],[TIEMPO (HORAS)]],0)</f>
        <v>422.15467747382638</v>
      </c>
      <c r="R1052" s="11">
        <f>IFERROR(+VLOOKUP(M1052,D.sign_Lista_Data[[RESPONSABLE]:[SOFTWARE 
VALOR HORA]],8,FALSE)*D.sign_Data[[#This Row],[TIEMPO (HORAS)]],0)</f>
        <v>341.08548871439837</v>
      </c>
      <c r="S1052" s="99"/>
      <c r="T1052" s="99"/>
      <c r="U1052" s="3">
        <f t="shared" si="39"/>
        <v>2789.5826180625913</v>
      </c>
      <c r="V1052" s="100">
        <f>D.sign_Data[[#This Row],[TIEMPO (HORAS)]]*Gastos_Operativos[[#Totals],[GASTOS HORA]]</f>
        <v>2778.9477072310401</v>
      </c>
      <c r="W1052" s="3">
        <f>+D.sign_Data[[#This Row],[COSTO 
DIRECTO ($COP)]]+D.sign_Data[[#This Row],[PRORRATEO GASTOS ($COP)]]</f>
        <v>5568.5303252936319</v>
      </c>
      <c r="X1052" s="101">
        <v>0.05</v>
      </c>
      <c r="Y1052" s="15">
        <f>+D.sign_Data[[#This Row],[COSTOS OPERACIONALES ($COP)]]*D.sign_Data[[#This Row],[DESFASE (%)]]</f>
        <v>278.4265162646816</v>
      </c>
      <c r="Z1052" s="101">
        <v>0.15</v>
      </c>
      <c r="AA1052" s="15">
        <f>+((D.sign_Data[[#This Row],[COSTOS OPERACIONALES ($COP)]]/(100%-D.sign_Data[[#This Row],[UTILIDAD (%)]])))-D.sign_Data[[#This Row],[COSTOS OPERACIONALES ($COP)]]</f>
        <v>982.68182211064141</v>
      </c>
      <c r="AB1052" s="3">
        <f>+D.sign_Data[[#This Row],[COSTOS OPERACIONALES ($COP)]]+D.sign_Data[[#This Row],[DESFASE ($COP)]]+D.sign_Data[[#This Row],[UTILIDAD ($COP)]]</f>
        <v>6829.6386636689549</v>
      </c>
      <c r="AC1052" s="101">
        <v>0.05</v>
      </c>
      <c r="AD1052" s="15">
        <f>+D.sign_Data[[#This Row],[VALOR NETO ($COP)]]/(100%-D.sign_Data[[#This Row],[MARGEN DE NEGOCIACIÓN (%)]])-D.sign_Data[[#This Row],[VALOR NETO ($COP)]]</f>
        <v>359.45466650889284</v>
      </c>
      <c r="AE1052" s="15">
        <f>+(D.sign_Data[[#This Row],[VALOR NETO ($COP)]]+D.sign_Data[[#This Row],[NEGOCIACIÓN ($COP)]])*1%</f>
        <v>71.890933301778475</v>
      </c>
      <c r="AF1052" s="15">
        <f>+(D.sign_Data[[#This Row],[VALOR NETO ($COP)]]+D.sign_Data[[#This Row],[NEGOCIACIÓN ($COP)]])*1%</f>
        <v>71.890933301778475</v>
      </c>
      <c r="AG1052" s="3">
        <f>+D.sign_Data[[#This Row],[VALOR NETO ($COP)]]+D.sign_Data[[#This Row],[NEGOCIACIÓN ($COP)]]+D.sign_Data[[#This Row],[ICA ($COP)]]+D.sign_Data[[#This Row],[4 * 1000 ($COP)]]</f>
        <v>7332.8751967814042</v>
      </c>
    </row>
    <row r="1053" spans="1:33" ht="60" hidden="1" customHeight="1" x14ac:dyDescent="0.25">
      <c r="A1053" s="14"/>
      <c r="B1053" s="87" t="s">
        <v>493</v>
      </c>
      <c r="C1053" s="182" t="s">
        <v>971</v>
      </c>
      <c r="D1053" s="189" t="str">
        <f>VLOOKUP(D.sign_Data[[#This Row],[CÓDIGO]],Descripciones[[CÓDIGO]:[NOMBRE DE SERVICIO]],3,FALSE)</f>
        <v>D3. Vivienda Campestre</v>
      </c>
      <c r="E1053" s="87" t="s">
        <v>497</v>
      </c>
      <c r="F1053" s="88" t="s">
        <v>918</v>
      </c>
      <c r="G1053" s="88" t="s">
        <v>582</v>
      </c>
      <c r="H1053" s="104" t="s">
        <v>552</v>
      </c>
      <c r="I1053" s="89">
        <v>1</v>
      </c>
      <c r="J1053" s="88" t="s">
        <v>614</v>
      </c>
      <c r="K1053" s="102"/>
      <c r="L1053" s="88" t="s">
        <v>579</v>
      </c>
      <c r="M1053" s="89" t="s">
        <v>381</v>
      </c>
      <c r="N1053" s="90">
        <v>1</v>
      </c>
      <c r="O1053" s="27">
        <f>IFERROR(+VLOOKUP(M1053,D.sign_Lista_Data[[RESPONSABLE]:[SOFTWARE 
VALOR HORA]],3,FALSE),"0")</f>
        <v>20263.424518743668</v>
      </c>
      <c r="P1053" s="3">
        <f t="shared" si="38"/>
        <v>20263.424518743668</v>
      </c>
      <c r="Q1053" s="11">
        <f>IFERROR(+VLOOKUP(M1053,D.sign_Lista_Data[[RESPONSABLE]:[SOFTWARE 
VALOR HORA]],5,FALSE)*D.sign_Data[[#This Row],[TIEMPO (HORAS)]],0)</f>
        <v>4221.5467747382636</v>
      </c>
      <c r="R1053" s="11">
        <f>IFERROR(+VLOOKUP(M1053,D.sign_Lista_Data[[RESPONSABLE]:[SOFTWARE 
VALOR HORA]],8,FALSE)*D.sign_Data[[#This Row],[TIEMPO (HORAS)]],0)</f>
        <v>3410.8548871439834</v>
      </c>
      <c r="S1053" s="99"/>
      <c r="T1053" s="99"/>
      <c r="U1053" s="3">
        <f t="shared" si="39"/>
        <v>27895.826180625918</v>
      </c>
      <c r="V1053" s="100">
        <f>D.sign_Data[[#This Row],[TIEMPO (HORAS)]]*Gastos_Operativos[[#Totals],[GASTOS HORA]]</f>
        <v>27789.477072310401</v>
      </c>
      <c r="W1053" s="3">
        <f>+D.sign_Data[[#This Row],[COSTO 
DIRECTO ($COP)]]+D.sign_Data[[#This Row],[PRORRATEO GASTOS ($COP)]]</f>
        <v>55685.303252936319</v>
      </c>
      <c r="X1053" s="101">
        <v>0.05</v>
      </c>
      <c r="Y1053" s="15">
        <f>+D.sign_Data[[#This Row],[COSTOS OPERACIONALES ($COP)]]*D.sign_Data[[#This Row],[DESFASE (%)]]</f>
        <v>2784.265162646816</v>
      </c>
      <c r="Z1053" s="101">
        <v>0.15</v>
      </c>
      <c r="AA1053" s="15">
        <f>+((D.sign_Data[[#This Row],[COSTOS OPERACIONALES ($COP)]]/(100%-D.sign_Data[[#This Row],[UTILIDAD (%)]])))-D.sign_Data[[#This Row],[COSTOS OPERACIONALES ($COP)]]</f>
        <v>9826.8182211064122</v>
      </c>
      <c r="AB1053" s="3">
        <f>+D.sign_Data[[#This Row],[COSTOS OPERACIONALES ($COP)]]+D.sign_Data[[#This Row],[DESFASE ($COP)]]+D.sign_Data[[#This Row],[UTILIDAD ($COP)]]</f>
        <v>68296.386636689538</v>
      </c>
      <c r="AC1053" s="101">
        <v>0.05</v>
      </c>
      <c r="AD1053" s="15">
        <f>+D.sign_Data[[#This Row],[VALOR NETO ($COP)]]/(100%-D.sign_Data[[#This Row],[MARGEN DE NEGOCIACIÓN (%)]])-D.sign_Data[[#This Row],[VALOR NETO ($COP)]]</f>
        <v>3594.5466650889284</v>
      </c>
      <c r="AE1053" s="15">
        <f>+(D.sign_Data[[#This Row],[VALOR NETO ($COP)]]+D.sign_Data[[#This Row],[NEGOCIACIÓN ($COP)]])*1%</f>
        <v>718.90933301778466</v>
      </c>
      <c r="AF1053" s="15">
        <f>+(D.sign_Data[[#This Row],[VALOR NETO ($COP)]]+D.sign_Data[[#This Row],[NEGOCIACIÓN ($COP)]])*1%</f>
        <v>718.90933301778466</v>
      </c>
      <c r="AG1053" s="3">
        <f>+D.sign_Data[[#This Row],[VALOR NETO ($COP)]]+D.sign_Data[[#This Row],[NEGOCIACIÓN ($COP)]]+D.sign_Data[[#This Row],[ICA ($COP)]]+D.sign_Data[[#This Row],[4 * 1000 ($COP)]]</f>
        <v>73328.751967814038</v>
      </c>
    </row>
    <row r="1054" spans="1:33" ht="60" hidden="1" customHeight="1" x14ac:dyDescent="0.25">
      <c r="A1054" s="14"/>
      <c r="B1054" s="87" t="s">
        <v>493</v>
      </c>
      <c r="C1054" s="182" t="s">
        <v>971</v>
      </c>
      <c r="D1054" s="189" t="str">
        <f>VLOOKUP(D.sign_Data[[#This Row],[CÓDIGO]],Descripciones[[CÓDIGO]:[NOMBRE DE SERVICIO]],3,FALSE)</f>
        <v>D3. Vivienda Campestre</v>
      </c>
      <c r="E1054" s="87" t="s">
        <v>497</v>
      </c>
      <c r="F1054" s="88" t="s">
        <v>918</v>
      </c>
      <c r="G1054" s="88" t="s">
        <v>582</v>
      </c>
      <c r="H1054" s="104" t="s">
        <v>552</v>
      </c>
      <c r="I1054" s="89">
        <v>1</v>
      </c>
      <c r="J1054" s="88" t="s">
        <v>614</v>
      </c>
      <c r="K1054" s="102"/>
      <c r="L1054" s="88" t="s">
        <v>572</v>
      </c>
      <c r="M1054" s="89" t="s">
        <v>381</v>
      </c>
      <c r="N1054" s="90">
        <v>0.1</v>
      </c>
      <c r="O1054" s="27">
        <f>IFERROR(+VLOOKUP(M1054,D.sign_Lista_Data[[RESPONSABLE]:[SOFTWARE 
VALOR HORA]],3,FALSE),"0")</f>
        <v>20263.424518743668</v>
      </c>
      <c r="P1054" s="3">
        <f t="shared" si="38"/>
        <v>2026.3424518743668</v>
      </c>
      <c r="Q1054" s="11">
        <f>IFERROR(+VLOOKUP(M1054,D.sign_Lista_Data[[RESPONSABLE]:[SOFTWARE 
VALOR HORA]],5,FALSE)*D.sign_Data[[#This Row],[TIEMPO (HORAS)]],0)</f>
        <v>422.15467747382638</v>
      </c>
      <c r="R1054" s="11">
        <f>IFERROR(+VLOOKUP(M1054,D.sign_Lista_Data[[RESPONSABLE]:[SOFTWARE 
VALOR HORA]],8,FALSE)*D.sign_Data[[#This Row],[TIEMPO (HORAS)]],0)</f>
        <v>341.08548871439837</v>
      </c>
      <c r="S1054" s="99"/>
      <c r="T1054" s="99"/>
      <c r="U1054" s="3">
        <f t="shared" si="39"/>
        <v>2789.5826180625913</v>
      </c>
      <c r="V1054" s="100">
        <f>D.sign_Data[[#This Row],[TIEMPO (HORAS)]]*Gastos_Operativos[[#Totals],[GASTOS HORA]]</f>
        <v>2778.9477072310401</v>
      </c>
      <c r="W1054" s="3">
        <f>+D.sign_Data[[#This Row],[COSTO 
DIRECTO ($COP)]]+D.sign_Data[[#This Row],[PRORRATEO GASTOS ($COP)]]</f>
        <v>5568.5303252936319</v>
      </c>
      <c r="X1054" s="101">
        <v>0.05</v>
      </c>
      <c r="Y1054" s="15">
        <f>+D.sign_Data[[#This Row],[COSTOS OPERACIONALES ($COP)]]*D.sign_Data[[#This Row],[DESFASE (%)]]</f>
        <v>278.4265162646816</v>
      </c>
      <c r="Z1054" s="101">
        <v>0.15</v>
      </c>
      <c r="AA1054" s="15">
        <f>+((D.sign_Data[[#This Row],[COSTOS OPERACIONALES ($COP)]]/(100%-D.sign_Data[[#This Row],[UTILIDAD (%)]])))-D.sign_Data[[#This Row],[COSTOS OPERACIONALES ($COP)]]</f>
        <v>982.68182211064141</v>
      </c>
      <c r="AB1054" s="3">
        <f>+D.sign_Data[[#This Row],[COSTOS OPERACIONALES ($COP)]]+D.sign_Data[[#This Row],[DESFASE ($COP)]]+D.sign_Data[[#This Row],[UTILIDAD ($COP)]]</f>
        <v>6829.6386636689549</v>
      </c>
      <c r="AC1054" s="101">
        <v>0.05</v>
      </c>
      <c r="AD1054" s="15">
        <f>+D.sign_Data[[#This Row],[VALOR NETO ($COP)]]/(100%-D.sign_Data[[#This Row],[MARGEN DE NEGOCIACIÓN (%)]])-D.sign_Data[[#This Row],[VALOR NETO ($COP)]]</f>
        <v>359.45466650889284</v>
      </c>
      <c r="AE1054" s="15">
        <f>+(D.sign_Data[[#This Row],[VALOR NETO ($COP)]]+D.sign_Data[[#This Row],[NEGOCIACIÓN ($COP)]])*1%</f>
        <v>71.890933301778475</v>
      </c>
      <c r="AF1054" s="15">
        <f>+(D.sign_Data[[#This Row],[VALOR NETO ($COP)]]+D.sign_Data[[#This Row],[NEGOCIACIÓN ($COP)]])*1%</f>
        <v>71.890933301778475</v>
      </c>
      <c r="AG1054" s="3">
        <f>+D.sign_Data[[#This Row],[VALOR NETO ($COP)]]+D.sign_Data[[#This Row],[NEGOCIACIÓN ($COP)]]+D.sign_Data[[#This Row],[ICA ($COP)]]+D.sign_Data[[#This Row],[4 * 1000 ($COP)]]</f>
        <v>7332.8751967814042</v>
      </c>
    </row>
    <row r="1055" spans="1:33" ht="60" hidden="1" customHeight="1" x14ac:dyDescent="0.25">
      <c r="A1055" s="14"/>
      <c r="B1055" s="87" t="s">
        <v>493</v>
      </c>
      <c r="C1055" s="182" t="s">
        <v>971</v>
      </c>
      <c r="D1055" s="189" t="str">
        <f>VLOOKUP(D.sign_Data[[#This Row],[CÓDIGO]],Descripciones[[CÓDIGO]:[NOMBRE DE SERVICIO]],3,FALSE)</f>
        <v>D3. Vivienda Campestre</v>
      </c>
      <c r="E1055" s="87" t="s">
        <v>497</v>
      </c>
      <c r="F1055" s="88" t="s">
        <v>918</v>
      </c>
      <c r="G1055" s="88" t="s">
        <v>587</v>
      </c>
      <c r="H1055" s="104" t="s">
        <v>552</v>
      </c>
      <c r="I1055" s="89">
        <v>1</v>
      </c>
      <c r="J1055" s="88" t="s">
        <v>588</v>
      </c>
      <c r="K1055" s="102"/>
      <c r="L1055" s="88" t="s">
        <v>589</v>
      </c>
      <c r="M1055" s="89" t="s">
        <v>381</v>
      </c>
      <c r="N1055" s="90">
        <v>1</v>
      </c>
      <c r="O1055" s="27">
        <f>IFERROR(+VLOOKUP(M1055,D.sign_Lista_Data[[RESPONSABLE]:[SOFTWARE 
VALOR HORA]],3,FALSE),"0")</f>
        <v>20263.424518743668</v>
      </c>
      <c r="P1055" s="3">
        <f t="shared" si="38"/>
        <v>20263.424518743668</v>
      </c>
      <c r="Q1055" s="11">
        <f>IFERROR(+VLOOKUP(M1055,D.sign_Lista_Data[[RESPONSABLE]:[SOFTWARE 
VALOR HORA]],5,FALSE)*D.sign_Data[[#This Row],[TIEMPO (HORAS)]],0)</f>
        <v>4221.5467747382636</v>
      </c>
      <c r="R1055" s="11">
        <f>IFERROR(+VLOOKUP(M1055,D.sign_Lista_Data[[RESPONSABLE]:[SOFTWARE 
VALOR HORA]],8,FALSE)*D.sign_Data[[#This Row],[TIEMPO (HORAS)]],0)</f>
        <v>3410.8548871439834</v>
      </c>
      <c r="S1055" s="99"/>
      <c r="T1055" s="99"/>
      <c r="U1055" s="3">
        <f t="shared" si="39"/>
        <v>27895.826180625918</v>
      </c>
      <c r="V1055" s="100">
        <f>D.sign_Data[[#This Row],[TIEMPO (HORAS)]]*Gastos_Operativos[[#Totals],[GASTOS HORA]]</f>
        <v>27789.477072310401</v>
      </c>
      <c r="W1055" s="3">
        <f>+D.sign_Data[[#This Row],[COSTO 
DIRECTO ($COP)]]+D.sign_Data[[#This Row],[PRORRATEO GASTOS ($COP)]]</f>
        <v>55685.303252936319</v>
      </c>
      <c r="X1055" s="101">
        <v>0.05</v>
      </c>
      <c r="Y1055" s="15">
        <f>+D.sign_Data[[#This Row],[COSTOS OPERACIONALES ($COP)]]*D.sign_Data[[#This Row],[DESFASE (%)]]</f>
        <v>2784.265162646816</v>
      </c>
      <c r="Z1055" s="101">
        <v>0.15</v>
      </c>
      <c r="AA1055" s="15">
        <f>+((D.sign_Data[[#This Row],[COSTOS OPERACIONALES ($COP)]]/(100%-D.sign_Data[[#This Row],[UTILIDAD (%)]])))-D.sign_Data[[#This Row],[COSTOS OPERACIONALES ($COP)]]</f>
        <v>9826.8182211064122</v>
      </c>
      <c r="AB1055" s="3">
        <f>+D.sign_Data[[#This Row],[COSTOS OPERACIONALES ($COP)]]+D.sign_Data[[#This Row],[DESFASE ($COP)]]+D.sign_Data[[#This Row],[UTILIDAD ($COP)]]</f>
        <v>68296.386636689538</v>
      </c>
      <c r="AC1055" s="101">
        <v>0.05</v>
      </c>
      <c r="AD1055" s="15">
        <f>+D.sign_Data[[#This Row],[VALOR NETO ($COP)]]/(100%-D.sign_Data[[#This Row],[MARGEN DE NEGOCIACIÓN (%)]])-D.sign_Data[[#This Row],[VALOR NETO ($COP)]]</f>
        <v>3594.5466650889284</v>
      </c>
      <c r="AE1055" s="15">
        <f>+(D.sign_Data[[#This Row],[VALOR NETO ($COP)]]+D.sign_Data[[#This Row],[NEGOCIACIÓN ($COP)]])*1%</f>
        <v>718.90933301778466</v>
      </c>
      <c r="AF1055" s="15">
        <f>+(D.sign_Data[[#This Row],[VALOR NETO ($COP)]]+D.sign_Data[[#This Row],[NEGOCIACIÓN ($COP)]])*1%</f>
        <v>718.90933301778466</v>
      </c>
      <c r="AG1055" s="3">
        <f>+D.sign_Data[[#This Row],[VALOR NETO ($COP)]]+D.sign_Data[[#This Row],[NEGOCIACIÓN ($COP)]]+D.sign_Data[[#This Row],[ICA ($COP)]]+D.sign_Data[[#This Row],[4 * 1000 ($COP)]]</f>
        <v>73328.751967814038</v>
      </c>
    </row>
    <row r="1056" spans="1:33" ht="60" hidden="1" customHeight="1" x14ac:dyDescent="0.25">
      <c r="A1056" s="14"/>
      <c r="B1056" s="87" t="s">
        <v>493</v>
      </c>
      <c r="C1056" s="182" t="s">
        <v>971</v>
      </c>
      <c r="D1056" s="189" t="str">
        <f>VLOOKUP(D.sign_Data[[#This Row],[CÓDIGO]],Descripciones[[CÓDIGO]:[NOMBRE DE SERVICIO]],3,FALSE)</f>
        <v>D3. Vivienda Campestre</v>
      </c>
      <c r="E1056" s="87" t="s">
        <v>497</v>
      </c>
      <c r="F1056" s="88" t="s">
        <v>918</v>
      </c>
      <c r="G1056" s="88" t="s">
        <v>587</v>
      </c>
      <c r="H1056" s="104" t="s">
        <v>552</v>
      </c>
      <c r="I1056" s="89">
        <v>1</v>
      </c>
      <c r="J1056" s="88" t="s">
        <v>588</v>
      </c>
      <c r="K1056" s="102"/>
      <c r="L1056" s="88" t="s">
        <v>575</v>
      </c>
      <c r="M1056" s="89" t="s">
        <v>381</v>
      </c>
      <c r="N1056" s="90">
        <v>0.2</v>
      </c>
      <c r="O1056" s="27">
        <f>IFERROR(+VLOOKUP(M1056,D.sign_Lista_Data[[RESPONSABLE]:[SOFTWARE 
VALOR HORA]],3,FALSE),"0")</f>
        <v>20263.424518743668</v>
      </c>
      <c r="P1056" s="3">
        <f t="shared" si="38"/>
        <v>4052.6849037487336</v>
      </c>
      <c r="Q1056" s="11">
        <f>IFERROR(+VLOOKUP(M1056,D.sign_Lista_Data[[RESPONSABLE]:[SOFTWARE 
VALOR HORA]],5,FALSE)*D.sign_Data[[#This Row],[TIEMPO (HORAS)]],0)</f>
        <v>844.30935494765276</v>
      </c>
      <c r="R1056" s="11">
        <f>IFERROR(+VLOOKUP(M1056,D.sign_Lista_Data[[RESPONSABLE]:[SOFTWARE 
VALOR HORA]],8,FALSE)*D.sign_Data[[#This Row],[TIEMPO (HORAS)]],0)</f>
        <v>682.17097742879673</v>
      </c>
      <c r="S1056" s="99"/>
      <c r="T1056" s="99"/>
      <c r="U1056" s="3">
        <f t="shared" si="39"/>
        <v>5579.1652361251827</v>
      </c>
      <c r="V1056" s="100">
        <f>D.sign_Data[[#This Row],[TIEMPO (HORAS)]]*Gastos_Operativos[[#Totals],[GASTOS HORA]]</f>
        <v>5557.8954144620802</v>
      </c>
      <c r="W1056" s="3">
        <f>+D.sign_Data[[#This Row],[COSTO 
DIRECTO ($COP)]]+D.sign_Data[[#This Row],[PRORRATEO GASTOS ($COP)]]</f>
        <v>11137.060650587264</v>
      </c>
      <c r="X1056" s="101">
        <v>0.05</v>
      </c>
      <c r="Y1056" s="15">
        <f>+D.sign_Data[[#This Row],[COSTOS OPERACIONALES ($COP)]]*D.sign_Data[[#This Row],[DESFASE (%)]]</f>
        <v>556.85303252936319</v>
      </c>
      <c r="Z1056" s="101">
        <v>0.15</v>
      </c>
      <c r="AA1056" s="15">
        <f>+((D.sign_Data[[#This Row],[COSTOS OPERACIONALES ($COP)]]/(100%-D.sign_Data[[#This Row],[UTILIDAD (%)]])))-D.sign_Data[[#This Row],[COSTOS OPERACIONALES ($COP)]]</f>
        <v>1965.3636442212828</v>
      </c>
      <c r="AB1056" s="3">
        <f>+D.sign_Data[[#This Row],[COSTOS OPERACIONALES ($COP)]]+D.sign_Data[[#This Row],[DESFASE ($COP)]]+D.sign_Data[[#This Row],[UTILIDAD ($COP)]]</f>
        <v>13659.27732733791</v>
      </c>
      <c r="AC1056" s="101">
        <v>0.05</v>
      </c>
      <c r="AD1056" s="15">
        <f>+D.sign_Data[[#This Row],[VALOR NETO ($COP)]]/(100%-D.sign_Data[[#This Row],[MARGEN DE NEGOCIACIÓN (%)]])-D.sign_Data[[#This Row],[VALOR NETO ($COP)]]</f>
        <v>718.90933301778568</v>
      </c>
      <c r="AE1056" s="15">
        <f>+(D.sign_Data[[#This Row],[VALOR NETO ($COP)]]+D.sign_Data[[#This Row],[NEGOCIACIÓN ($COP)]])*1%</f>
        <v>143.78186660355695</v>
      </c>
      <c r="AF1056" s="15">
        <f>+(D.sign_Data[[#This Row],[VALOR NETO ($COP)]]+D.sign_Data[[#This Row],[NEGOCIACIÓN ($COP)]])*1%</f>
        <v>143.78186660355695</v>
      </c>
      <c r="AG1056" s="3">
        <f>+D.sign_Data[[#This Row],[VALOR NETO ($COP)]]+D.sign_Data[[#This Row],[NEGOCIACIÓN ($COP)]]+D.sign_Data[[#This Row],[ICA ($COP)]]+D.sign_Data[[#This Row],[4 * 1000 ($COP)]]</f>
        <v>14665.750393562808</v>
      </c>
    </row>
    <row r="1057" spans="1:33" ht="60" hidden="1" customHeight="1" x14ac:dyDescent="0.25">
      <c r="A1057" s="14"/>
      <c r="B1057" s="87" t="s">
        <v>493</v>
      </c>
      <c r="C1057" s="182" t="s">
        <v>971</v>
      </c>
      <c r="D1057" s="189" t="str">
        <f>VLOOKUP(D.sign_Data[[#This Row],[CÓDIGO]],Descripciones[[CÓDIGO]:[NOMBRE DE SERVICIO]],3,FALSE)</f>
        <v>D3. Vivienda Campestre</v>
      </c>
      <c r="E1057" s="87" t="s">
        <v>497</v>
      </c>
      <c r="F1057" s="88" t="s">
        <v>918</v>
      </c>
      <c r="G1057" s="88" t="s">
        <v>587</v>
      </c>
      <c r="H1057" s="104" t="s">
        <v>552</v>
      </c>
      <c r="I1057" s="89">
        <v>1</v>
      </c>
      <c r="J1057" s="88" t="s">
        <v>588</v>
      </c>
      <c r="K1057" s="102"/>
      <c r="L1057" s="88" t="s">
        <v>590</v>
      </c>
      <c r="M1057" s="89" t="s">
        <v>381</v>
      </c>
      <c r="N1057" s="90">
        <v>0.5</v>
      </c>
      <c r="O1057" s="27">
        <f>IFERROR(+VLOOKUP(M1057,D.sign_Lista_Data[[RESPONSABLE]:[SOFTWARE 
VALOR HORA]],3,FALSE),"0")</f>
        <v>20263.424518743668</v>
      </c>
      <c r="P1057" s="3">
        <f t="shared" si="38"/>
        <v>10131.712259371834</v>
      </c>
      <c r="Q1057" s="11">
        <f>IFERROR(+VLOOKUP(M1057,D.sign_Lista_Data[[RESPONSABLE]:[SOFTWARE 
VALOR HORA]],5,FALSE)*D.sign_Data[[#This Row],[TIEMPO (HORAS)]],0)</f>
        <v>2110.7733873691318</v>
      </c>
      <c r="R1057" s="11">
        <f>IFERROR(+VLOOKUP(M1057,D.sign_Lista_Data[[RESPONSABLE]:[SOFTWARE 
VALOR HORA]],8,FALSE)*D.sign_Data[[#This Row],[TIEMPO (HORAS)]],0)</f>
        <v>1705.4274435719917</v>
      </c>
      <c r="S1057" s="99"/>
      <c r="T1057" s="99"/>
      <c r="U1057" s="3">
        <f t="shared" si="39"/>
        <v>13947.913090312959</v>
      </c>
      <c r="V1057" s="100">
        <f>D.sign_Data[[#This Row],[TIEMPO (HORAS)]]*Gastos_Operativos[[#Totals],[GASTOS HORA]]</f>
        <v>13894.738536155201</v>
      </c>
      <c r="W1057" s="3">
        <f>+D.sign_Data[[#This Row],[COSTO 
DIRECTO ($COP)]]+D.sign_Data[[#This Row],[PRORRATEO GASTOS ($COP)]]</f>
        <v>27842.65162646816</v>
      </c>
      <c r="X1057" s="101">
        <v>0.05</v>
      </c>
      <c r="Y1057" s="15">
        <f>+D.sign_Data[[#This Row],[COSTOS OPERACIONALES ($COP)]]*D.sign_Data[[#This Row],[DESFASE (%)]]</f>
        <v>1392.132581323408</v>
      </c>
      <c r="Z1057" s="101">
        <v>0.15</v>
      </c>
      <c r="AA1057" s="15">
        <f>+((D.sign_Data[[#This Row],[COSTOS OPERACIONALES ($COP)]]/(100%-D.sign_Data[[#This Row],[UTILIDAD (%)]])))-D.sign_Data[[#This Row],[COSTOS OPERACIONALES ($COP)]]</f>
        <v>4913.4091105532061</v>
      </c>
      <c r="AB1057" s="3">
        <f>+D.sign_Data[[#This Row],[COSTOS OPERACIONALES ($COP)]]+D.sign_Data[[#This Row],[DESFASE ($COP)]]+D.sign_Data[[#This Row],[UTILIDAD ($COP)]]</f>
        <v>34148.193318344769</v>
      </c>
      <c r="AC1057" s="101">
        <v>0.05</v>
      </c>
      <c r="AD1057" s="15">
        <f>+D.sign_Data[[#This Row],[VALOR NETO ($COP)]]/(100%-D.sign_Data[[#This Row],[MARGEN DE NEGOCIACIÓN (%)]])-D.sign_Data[[#This Row],[VALOR NETO ($COP)]]</f>
        <v>1797.2733325444642</v>
      </c>
      <c r="AE1057" s="15">
        <f>+(D.sign_Data[[#This Row],[VALOR NETO ($COP)]]+D.sign_Data[[#This Row],[NEGOCIACIÓN ($COP)]])*1%</f>
        <v>359.45466650889233</v>
      </c>
      <c r="AF1057" s="15">
        <f>+(D.sign_Data[[#This Row],[VALOR NETO ($COP)]]+D.sign_Data[[#This Row],[NEGOCIACIÓN ($COP)]])*1%</f>
        <v>359.45466650889233</v>
      </c>
      <c r="AG1057" s="3">
        <f>+D.sign_Data[[#This Row],[VALOR NETO ($COP)]]+D.sign_Data[[#This Row],[NEGOCIACIÓN ($COP)]]+D.sign_Data[[#This Row],[ICA ($COP)]]+D.sign_Data[[#This Row],[4 * 1000 ($COP)]]</f>
        <v>36664.375983907019</v>
      </c>
    </row>
    <row r="1058" spans="1:33" ht="60" hidden="1" customHeight="1" x14ac:dyDescent="0.25">
      <c r="A1058" s="14"/>
      <c r="B1058" s="87" t="s">
        <v>493</v>
      </c>
      <c r="C1058" s="182" t="s">
        <v>971</v>
      </c>
      <c r="D1058" s="189" t="str">
        <f>VLOOKUP(D.sign_Data[[#This Row],[CÓDIGO]],Descripciones[[CÓDIGO]:[NOMBRE DE SERVICIO]],3,FALSE)</f>
        <v>D3. Vivienda Campestre</v>
      </c>
      <c r="E1058" s="87" t="s">
        <v>497</v>
      </c>
      <c r="F1058" s="88" t="s">
        <v>918</v>
      </c>
      <c r="G1058" s="88" t="s">
        <v>587</v>
      </c>
      <c r="H1058" s="104" t="s">
        <v>552</v>
      </c>
      <c r="I1058" s="89">
        <v>1</v>
      </c>
      <c r="J1058" s="88" t="s">
        <v>588</v>
      </c>
      <c r="K1058" s="102"/>
      <c r="L1058" s="88" t="s">
        <v>591</v>
      </c>
      <c r="M1058" s="89" t="s">
        <v>381</v>
      </c>
      <c r="N1058" s="90">
        <v>1</v>
      </c>
      <c r="O1058" s="27">
        <f>IFERROR(+VLOOKUP(M1058,D.sign_Lista_Data[[RESPONSABLE]:[SOFTWARE 
VALOR HORA]],3,FALSE),"0")</f>
        <v>20263.424518743668</v>
      </c>
      <c r="P1058" s="3">
        <f t="shared" si="38"/>
        <v>20263.424518743668</v>
      </c>
      <c r="Q1058" s="11">
        <f>IFERROR(+VLOOKUP(M1058,D.sign_Lista_Data[[RESPONSABLE]:[SOFTWARE 
VALOR HORA]],5,FALSE)*D.sign_Data[[#This Row],[TIEMPO (HORAS)]],0)</f>
        <v>4221.5467747382636</v>
      </c>
      <c r="R1058" s="11">
        <f>IFERROR(+VLOOKUP(M1058,D.sign_Lista_Data[[RESPONSABLE]:[SOFTWARE 
VALOR HORA]],8,FALSE)*D.sign_Data[[#This Row],[TIEMPO (HORAS)]],0)</f>
        <v>3410.8548871439834</v>
      </c>
      <c r="S1058" s="99"/>
      <c r="T1058" s="99"/>
      <c r="U1058" s="3">
        <f t="shared" si="39"/>
        <v>27895.826180625918</v>
      </c>
      <c r="V1058" s="100">
        <f>D.sign_Data[[#This Row],[TIEMPO (HORAS)]]*Gastos_Operativos[[#Totals],[GASTOS HORA]]</f>
        <v>27789.477072310401</v>
      </c>
      <c r="W1058" s="3">
        <f>+D.sign_Data[[#This Row],[COSTO 
DIRECTO ($COP)]]+D.sign_Data[[#This Row],[PRORRATEO GASTOS ($COP)]]</f>
        <v>55685.303252936319</v>
      </c>
      <c r="X1058" s="101">
        <v>0.05</v>
      </c>
      <c r="Y1058" s="15">
        <f>+D.sign_Data[[#This Row],[COSTOS OPERACIONALES ($COP)]]*D.sign_Data[[#This Row],[DESFASE (%)]]</f>
        <v>2784.265162646816</v>
      </c>
      <c r="Z1058" s="101">
        <v>0.15</v>
      </c>
      <c r="AA1058" s="15">
        <f>+((D.sign_Data[[#This Row],[COSTOS OPERACIONALES ($COP)]]/(100%-D.sign_Data[[#This Row],[UTILIDAD (%)]])))-D.sign_Data[[#This Row],[COSTOS OPERACIONALES ($COP)]]</f>
        <v>9826.8182211064122</v>
      </c>
      <c r="AB1058" s="3">
        <f>+D.sign_Data[[#This Row],[COSTOS OPERACIONALES ($COP)]]+D.sign_Data[[#This Row],[DESFASE ($COP)]]+D.sign_Data[[#This Row],[UTILIDAD ($COP)]]</f>
        <v>68296.386636689538</v>
      </c>
      <c r="AC1058" s="101">
        <v>0.05</v>
      </c>
      <c r="AD1058" s="15">
        <f>+D.sign_Data[[#This Row],[VALOR NETO ($COP)]]/(100%-D.sign_Data[[#This Row],[MARGEN DE NEGOCIACIÓN (%)]])-D.sign_Data[[#This Row],[VALOR NETO ($COP)]]</f>
        <v>3594.5466650889284</v>
      </c>
      <c r="AE1058" s="15">
        <f>+(D.sign_Data[[#This Row],[VALOR NETO ($COP)]]+D.sign_Data[[#This Row],[NEGOCIACIÓN ($COP)]])*1%</f>
        <v>718.90933301778466</v>
      </c>
      <c r="AF1058" s="15">
        <f>+(D.sign_Data[[#This Row],[VALOR NETO ($COP)]]+D.sign_Data[[#This Row],[NEGOCIACIÓN ($COP)]])*1%</f>
        <v>718.90933301778466</v>
      </c>
      <c r="AG1058" s="3">
        <f>+D.sign_Data[[#This Row],[VALOR NETO ($COP)]]+D.sign_Data[[#This Row],[NEGOCIACIÓN ($COP)]]+D.sign_Data[[#This Row],[ICA ($COP)]]+D.sign_Data[[#This Row],[4 * 1000 ($COP)]]</f>
        <v>73328.751967814038</v>
      </c>
    </row>
    <row r="1059" spans="1:33" ht="60" hidden="1" customHeight="1" x14ac:dyDescent="0.25">
      <c r="A1059" s="14"/>
      <c r="B1059" s="87" t="s">
        <v>493</v>
      </c>
      <c r="C1059" s="182" t="s">
        <v>971</v>
      </c>
      <c r="D1059" s="189" t="str">
        <f>VLOOKUP(D.sign_Data[[#This Row],[CÓDIGO]],Descripciones[[CÓDIGO]:[NOMBRE DE SERVICIO]],3,FALSE)</f>
        <v>D3. Vivienda Campestre</v>
      </c>
      <c r="E1059" s="87" t="s">
        <v>497</v>
      </c>
      <c r="F1059" s="88" t="s">
        <v>918</v>
      </c>
      <c r="G1059" s="88" t="s">
        <v>587</v>
      </c>
      <c r="H1059" s="104" t="s">
        <v>552</v>
      </c>
      <c r="I1059" s="89">
        <v>1</v>
      </c>
      <c r="J1059" s="88" t="s">
        <v>588</v>
      </c>
      <c r="K1059" s="102"/>
      <c r="L1059" s="88" t="s">
        <v>570</v>
      </c>
      <c r="M1059" s="89" t="s">
        <v>381</v>
      </c>
      <c r="N1059" s="90">
        <v>1</v>
      </c>
      <c r="O1059" s="27">
        <f>IFERROR(+VLOOKUP(M1059,D.sign_Lista_Data[[RESPONSABLE]:[SOFTWARE 
VALOR HORA]],3,FALSE),"0")</f>
        <v>20263.424518743668</v>
      </c>
      <c r="P1059" s="3">
        <f t="shared" si="38"/>
        <v>20263.424518743668</v>
      </c>
      <c r="Q1059" s="11">
        <f>IFERROR(+VLOOKUP(M1059,D.sign_Lista_Data[[RESPONSABLE]:[SOFTWARE 
VALOR HORA]],5,FALSE)*D.sign_Data[[#This Row],[TIEMPO (HORAS)]],0)</f>
        <v>4221.5467747382636</v>
      </c>
      <c r="R1059" s="11">
        <f>IFERROR(+VLOOKUP(M1059,D.sign_Lista_Data[[RESPONSABLE]:[SOFTWARE 
VALOR HORA]],8,FALSE)*D.sign_Data[[#This Row],[TIEMPO (HORAS)]],0)</f>
        <v>3410.8548871439834</v>
      </c>
      <c r="S1059" s="99"/>
      <c r="T1059" s="99"/>
      <c r="U1059" s="3">
        <f t="shared" si="39"/>
        <v>27895.826180625918</v>
      </c>
      <c r="V1059" s="100">
        <f>D.sign_Data[[#This Row],[TIEMPO (HORAS)]]*Gastos_Operativos[[#Totals],[GASTOS HORA]]</f>
        <v>27789.477072310401</v>
      </c>
      <c r="W1059" s="3">
        <f>+D.sign_Data[[#This Row],[COSTO 
DIRECTO ($COP)]]+D.sign_Data[[#This Row],[PRORRATEO GASTOS ($COP)]]</f>
        <v>55685.303252936319</v>
      </c>
      <c r="X1059" s="101">
        <v>0.05</v>
      </c>
      <c r="Y1059" s="15">
        <f>+D.sign_Data[[#This Row],[COSTOS OPERACIONALES ($COP)]]*D.sign_Data[[#This Row],[DESFASE (%)]]</f>
        <v>2784.265162646816</v>
      </c>
      <c r="Z1059" s="101">
        <v>0.15</v>
      </c>
      <c r="AA1059" s="15">
        <f>+((D.sign_Data[[#This Row],[COSTOS OPERACIONALES ($COP)]]/(100%-D.sign_Data[[#This Row],[UTILIDAD (%)]])))-D.sign_Data[[#This Row],[COSTOS OPERACIONALES ($COP)]]</f>
        <v>9826.8182211064122</v>
      </c>
      <c r="AB1059" s="3">
        <f>+D.sign_Data[[#This Row],[COSTOS OPERACIONALES ($COP)]]+D.sign_Data[[#This Row],[DESFASE ($COP)]]+D.sign_Data[[#This Row],[UTILIDAD ($COP)]]</f>
        <v>68296.386636689538</v>
      </c>
      <c r="AC1059" s="101">
        <v>0.05</v>
      </c>
      <c r="AD1059" s="15">
        <f>+D.sign_Data[[#This Row],[VALOR NETO ($COP)]]/(100%-D.sign_Data[[#This Row],[MARGEN DE NEGOCIACIÓN (%)]])-D.sign_Data[[#This Row],[VALOR NETO ($COP)]]</f>
        <v>3594.5466650889284</v>
      </c>
      <c r="AE1059" s="15">
        <f>+(D.sign_Data[[#This Row],[VALOR NETO ($COP)]]+D.sign_Data[[#This Row],[NEGOCIACIÓN ($COP)]])*1%</f>
        <v>718.90933301778466</v>
      </c>
      <c r="AF1059" s="15">
        <f>+(D.sign_Data[[#This Row],[VALOR NETO ($COP)]]+D.sign_Data[[#This Row],[NEGOCIACIÓN ($COP)]])*1%</f>
        <v>718.90933301778466</v>
      </c>
      <c r="AG1059" s="3">
        <f>+D.sign_Data[[#This Row],[VALOR NETO ($COP)]]+D.sign_Data[[#This Row],[NEGOCIACIÓN ($COP)]]+D.sign_Data[[#This Row],[ICA ($COP)]]+D.sign_Data[[#This Row],[4 * 1000 ($COP)]]</f>
        <v>73328.751967814038</v>
      </c>
    </row>
    <row r="1060" spans="1:33" ht="60" hidden="1" customHeight="1" x14ac:dyDescent="0.25">
      <c r="A1060" s="14"/>
      <c r="B1060" s="87" t="s">
        <v>493</v>
      </c>
      <c r="C1060" s="182" t="s">
        <v>971</v>
      </c>
      <c r="D1060" s="189" t="str">
        <f>VLOOKUP(D.sign_Data[[#This Row],[CÓDIGO]],Descripciones[[CÓDIGO]:[NOMBRE DE SERVICIO]],3,FALSE)</f>
        <v>D3. Vivienda Campestre</v>
      </c>
      <c r="E1060" s="87" t="s">
        <v>497</v>
      </c>
      <c r="F1060" s="88" t="s">
        <v>918</v>
      </c>
      <c r="G1060" s="88" t="s">
        <v>587</v>
      </c>
      <c r="H1060" s="104" t="s">
        <v>552</v>
      </c>
      <c r="I1060" s="89">
        <v>1</v>
      </c>
      <c r="J1060" s="88" t="s">
        <v>588</v>
      </c>
      <c r="K1060" s="102"/>
      <c r="L1060" s="88" t="s">
        <v>571</v>
      </c>
      <c r="M1060" s="89" t="s">
        <v>381</v>
      </c>
      <c r="N1060" s="90">
        <v>0.1</v>
      </c>
      <c r="O1060" s="27">
        <f>IFERROR(+VLOOKUP(M1060,D.sign_Lista_Data[[RESPONSABLE]:[SOFTWARE 
VALOR HORA]],3,FALSE),"0")</f>
        <v>20263.424518743668</v>
      </c>
      <c r="P1060" s="3">
        <f t="shared" si="38"/>
        <v>2026.3424518743668</v>
      </c>
      <c r="Q1060" s="11">
        <f>IFERROR(+VLOOKUP(M1060,D.sign_Lista_Data[[RESPONSABLE]:[SOFTWARE 
VALOR HORA]],5,FALSE)*D.sign_Data[[#This Row],[TIEMPO (HORAS)]],0)</f>
        <v>422.15467747382638</v>
      </c>
      <c r="R1060" s="11">
        <f>IFERROR(+VLOOKUP(M1060,D.sign_Lista_Data[[RESPONSABLE]:[SOFTWARE 
VALOR HORA]],8,FALSE)*D.sign_Data[[#This Row],[TIEMPO (HORAS)]],0)</f>
        <v>341.08548871439837</v>
      </c>
      <c r="S1060" s="99"/>
      <c r="T1060" s="99"/>
      <c r="U1060" s="3">
        <f t="shared" si="39"/>
        <v>2789.5826180625913</v>
      </c>
      <c r="V1060" s="100">
        <f>D.sign_Data[[#This Row],[TIEMPO (HORAS)]]*Gastos_Operativos[[#Totals],[GASTOS HORA]]</f>
        <v>2778.9477072310401</v>
      </c>
      <c r="W1060" s="3">
        <f>+D.sign_Data[[#This Row],[COSTO 
DIRECTO ($COP)]]+D.sign_Data[[#This Row],[PRORRATEO GASTOS ($COP)]]</f>
        <v>5568.5303252936319</v>
      </c>
      <c r="X1060" s="101">
        <v>0.05</v>
      </c>
      <c r="Y1060" s="15">
        <f>+D.sign_Data[[#This Row],[COSTOS OPERACIONALES ($COP)]]*D.sign_Data[[#This Row],[DESFASE (%)]]</f>
        <v>278.4265162646816</v>
      </c>
      <c r="Z1060" s="101">
        <v>0.15</v>
      </c>
      <c r="AA1060" s="15">
        <f>+((D.sign_Data[[#This Row],[COSTOS OPERACIONALES ($COP)]]/(100%-D.sign_Data[[#This Row],[UTILIDAD (%)]])))-D.sign_Data[[#This Row],[COSTOS OPERACIONALES ($COP)]]</f>
        <v>982.68182211064141</v>
      </c>
      <c r="AB1060" s="3">
        <f>+D.sign_Data[[#This Row],[COSTOS OPERACIONALES ($COP)]]+D.sign_Data[[#This Row],[DESFASE ($COP)]]+D.sign_Data[[#This Row],[UTILIDAD ($COP)]]</f>
        <v>6829.6386636689549</v>
      </c>
      <c r="AC1060" s="101">
        <v>0.05</v>
      </c>
      <c r="AD1060" s="15">
        <f>+D.sign_Data[[#This Row],[VALOR NETO ($COP)]]/(100%-D.sign_Data[[#This Row],[MARGEN DE NEGOCIACIÓN (%)]])-D.sign_Data[[#This Row],[VALOR NETO ($COP)]]</f>
        <v>359.45466650889284</v>
      </c>
      <c r="AE1060" s="15">
        <f>+(D.sign_Data[[#This Row],[VALOR NETO ($COP)]]+D.sign_Data[[#This Row],[NEGOCIACIÓN ($COP)]])*1%</f>
        <v>71.890933301778475</v>
      </c>
      <c r="AF1060" s="15">
        <f>+(D.sign_Data[[#This Row],[VALOR NETO ($COP)]]+D.sign_Data[[#This Row],[NEGOCIACIÓN ($COP)]])*1%</f>
        <v>71.890933301778475</v>
      </c>
      <c r="AG1060" s="3">
        <f>+D.sign_Data[[#This Row],[VALOR NETO ($COP)]]+D.sign_Data[[#This Row],[NEGOCIACIÓN ($COP)]]+D.sign_Data[[#This Row],[ICA ($COP)]]+D.sign_Data[[#This Row],[4 * 1000 ($COP)]]</f>
        <v>7332.8751967814042</v>
      </c>
    </row>
    <row r="1061" spans="1:33" ht="60" hidden="1" customHeight="1" x14ac:dyDescent="0.25">
      <c r="A1061" s="14"/>
      <c r="B1061" s="87" t="s">
        <v>493</v>
      </c>
      <c r="C1061" s="182" t="s">
        <v>971</v>
      </c>
      <c r="D1061" s="189" t="str">
        <f>VLOOKUP(D.sign_Data[[#This Row],[CÓDIGO]],Descripciones[[CÓDIGO]:[NOMBRE DE SERVICIO]],3,FALSE)</f>
        <v>D3. Vivienda Campestre</v>
      </c>
      <c r="E1061" s="87" t="s">
        <v>497</v>
      </c>
      <c r="F1061" s="88" t="s">
        <v>918</v>
      </c>
      <c r="G1061" s="88" t="s">
        <v>587</v>
      </c>
      <c r="H1061" s="104" t="s">
        <v>552</v>
      </c>
      <c r="I1061" s="89">
        <v>1</v>
      </c>
      <c r="J1061" s="88" t="s">
        <v>588</v>
      </c>
      <c r="K1061" s="102"/>
      <c r="L1061" s="88" t="s">
        <v>579</v>
      </c>
      <c r="M1061" s="89" t="s">
        <v>381</v>
      </c>
      <c r="N1061" s="90">
        <v>0.5</v>
      </c>
      <c r="O1061" s="27">
        <f>IFERROR(+VLOOKUP(M1061,D.sign_Lista_Data[[RESPONSABLE]:[SOFTWARE 
VALOR HORA]],3,FALSE),"0")</f>
        <v>20263.424518743668</v>
      </c>
      <c r="P1061" s="3">
        <f t="shared" si="38"/>
        <v>10131.712259371834</v>
      </c>
      <c r="Q1061" s="11">
        <f>IFERROR(+VLOOKUP(M1061,D.sign_Lista_Data[[RESPONSABLE]:[SOFTWARE 
VALOR HORA]],5,FALSE)*D.sign_Data[[#This Row],[TIEMPO (HORAS)]],0)</f>
        <v>2110.7733873691318</v>
      </c>
      <c r="R1061" s="11">
        <f>IFERROR(+VLOOKUP(M1061,D.sign_Lista_Data[[RESPONSABLE]:[SOFTWARE 
VALOR HORA]],8,FALSE)*D.sign_Data[[#This Row],[TIEMPO (HORAS)]],0)</f>
        <v>1705.4274435719917</v>
      </c>
      <c r="S1061" s="99"/>
      <c r="T1061" s="99"/>
      <c r="U1061" s="3">
        <f t="shared" si="39"/>
        <v>13947.913090312959</v>
      </c>
      <c r="V1061" s="100">
        <f>D.sign_Data[[#This Row],[TIEMPO (HORAS)]]*Gastos_Operativos[[#Totals],[GASTOS HORA]]</f>
        <v>13894.738536155201</v>
      </c>
      <c r="W1061" s="3">
        <f>+D.sign_Data[[#This Row],[COSTO 
DIRECTO ($COP)]]+D.sign_Data[[#This Row],[PRORRATEO GASTOS ($COP)]]</f>
        <v>27842.65162646816</v>
      </c>
      <c r="X1061" s="101">
        <v>0.05</v>
      </c>
      <c r="Y1061" s="15">
        <f>+D.sign_Data[[#This Row],[COSTOS OPERACIONALES ($COP)]]*D.sign_Data[[#This Row],[DESFASE (%)]]</f>
        <v>1392.132581323408</v>
      </c>
      <c r="Z1061" s="101">
        <v>0.15</v>
      </c>
      <c r="AA1061" s="15">
        <f>+((D.sign_Data[[#This Row],[COSTOS OPERACIONALES ($COP)]]/(100%-D.sign_Data[[#This Row],[UTILIDAD (%)]])))-D.sign_Data[[#This Row],[COSTOS OPERACIONALES ($COP)]]</f>
        <v>4913.4091105532061</v>
      </c>
      <c r="AB1061" s="3">
        <f>+D.sign_Data[[#This Row],[COSTOS OPERACIONALES ($COP)]]+D.sign_Data[[#This Row],[DESFASE ($COP)]]+D.sign_Data[[#This Row],[UTILIDAD ($COP)]]</f>
        <v>34148.193318344769</v>
      </c>
      <c r="AC1061" s="101">
        <v>0.05</v>
      </c>
      <c r="AD1061" s="15">
        <f>+D.sign_Data[[#This Row],[VALOR NETO ($COP)]]/(100%-D.sign_Data[[#This Row],[MARGEN DE NEGOCIACIÓN (%)]])-D.sign_Data[[#This Row],[VALOR NETO ($COP)]]</f>
        <v>1797.2733325444642</v>
      </c>
      <c r="AE1061" s="15">
        <f>+(D.sign_Data[[#This Row],[VALOR NETO ($COP)]]+D.sign_Data[[#This Row],[NEGOCIACIÓN ($COP)]])*1%</f>
        <v>359.45466650889233</v>
      </c>
      <c r="AF1061" s="15">
        <f>+(D.sign_Data[[#This Row],[VALOR NETO ($COP)]]+D.sign_Data[[#This Row],[NEGOCIACIÓN ($COP)]])*1%</f>
        <v>359.45466650889233</v>
      </c>
      <c r="AG1061" s="3">
        <f>+D.sign_Data[[#This Row],[VALOR NETO ($COP)]]+D.sign_Data[[#This Row],[NEGOCIACIÓN ($COP)]]+D.sign_Data[[#This Row],[ICA ($COP)]]+D.sign_Data[[#This Row],[4 * 1000 ($COP)]]</f>
        <v>36664.375983907019</v>
      </c>
    </row>
    <row r="1062" spans="1:33" ht="60" hidden="1" customHeight="1" x14ac:dyDescent="0.25">
      <c r="A1062" s="14"/>
      <c r="B1062" s="87" t="s">
        <v>493</v>
      </c>
      <c r="C1062" s="182" t="s">
        <v>971</v>
      </c>
      <c r="D1062" s="189" t="str">
        <f>VLOOKUP(D.sign_Data[[#This Row],[CÓDIGO]],Descripciones[[CÓDIGO]:[NOMBRE DE SERVICIO]],3,FALSE)</f>
        <v>D3. Vivienda Campestre</v>
      </c>
      <c r="E1062" s="87" t="s">
        <v>497</v>
      </c>
      <c r="F1062" s="88" t="s">
        <v>918</v>
      </c>
      <c r="G1062" s="88" t="s">
        <v>592</v>
      </c>
      <c r="H1062" s="104" t="s">
        <v>552</v>
      </c>
      <c r="I1062" s="89">
        <v>1</v>
      </c>
      <c r="J1062" s="88" t="s">
        <v>588</v>
      </c>
      <c r="K1062" s="102"/>
      <c r="L1062" s="88" t="s">
        <v>572</v>
      </c>
      <c r="M1062" s="89" t="s">
        <v>381</v>
      </c>
      <c r="N1062" s="90">
        <v>0.1</v>
      </c>
      <c r="O1062" s="27">
        <f>IFERROR(+VLOOKUP(M1062,D.sign_Lista_Data[[RESPONSABLE]:[SOFTWARE 
VALOR HORA]],3,FALSE),"0")</f>
        <v>20263.424518743668</v>
      </c>
      <c r="P1062" s="3">
        <f t="shared" si="38"/>
        <v>2026.3424518743668</v>
      </c>
      <c r="Q1062" s="11">
        <f>IFERROR(+VLOOKUP(M1062,D.sign_Lista_Data[[RESPONSABLE]:[SOFTWARE 
VALOR HORA]],5,FALSE)*D.sign_Data[[#This Row],[TIEMPO (HORAS)]],0)</f>
        <v>422.15467747382638</v>
      </c>
      <c r="R1062" s="11">
        <f>IFERROR(+VLOOKUP(M1062,D.sign_Lista_Data[[RESPONSABLE]:[SOFTWARE 
VALOR HORA]],8,FALSE)*D.sign_Data[[#This Row],[TIEMPO (HORAS)]],0)</f>
        <v>341.08548871439837</v>
      </c>
      <c r="S1062" s="99"/>
      <c r="T1062" s="99"/>
      <c r="U1062" s="3">
        <f t="shared" si="39"/>
        <v>2789.5826180625913</v>
      </c>
      <c r="V1062" s="100">
        <f>D.sign_Data[[#This Row],[TIEMPO (HORAS)]]*Gastos_Operativos[[#Totals],[GASTOS HORA]]</f>
        <v>2778.9477072310401</v>
      </c>
      <c r="W1062" s="3">
        <f>+D.sign_Data[[#This Row],[COSTO 
DIRECTO ($COP)]]+D.sign_Data[[#This Row],[PRORRATEO GASTOS ($COP)]]</f>
        <v>5568.5303252936319</v>
      </c>
      <c r="X1062" s="101">
        <v>0.05</v>
      </c>
      <c r="Y1062" s="15">
        <f>+D.sign_Data[[#This Row],[COSTOS OPERACIONALES ($COP)]]*D.sign_Data[[#This Row],[DESFASE (%)]]</f>
        <v>278.4265162646816</v>
      </c>
      <c r="Z1062" s="101">
        <v>0.15</v>
      </c>
      <c r="AA1062" s="15">
        <f>+((D.sign_Data[[#This Row],[COSTOS OPERACIONALES ($COP)]]/(100%-D.sign_Data[[#This Row],[UTILIDAD (%)]])))-D.sign_Data[[#This Row],[COSTOS OPERACIONALES ($COP)]]</f>
        <v>982.68182211064141</v>
      </c>
      <c r="AB1062" s="3">
        <f>+D.sign_Data[[#This Row],[COSTOS OPERACIONALES ($COP)]]+D.sign_Data[[#This Row],[DESFASE ($COP)]]+D.sign_Data[[#This Row],[UTILIDAD ($COP)]]</f>
        <v>6829.6386636689549</v>
      </c>
      <c r="AC1062" s="101">
        <v>0.05</v>
      </c>
      <c r="AD1062" s="15">
        <f>+D.sign_Data[[#This Row],[VALOR NETO ($COP)]]/(100%-D.sign_Data[[#This Row],[MARGEN DE NEGOCIACIÓN (%)]])-D.sign_Data[[#This Row],[VALOR NETO ($COP)]]</f>
        <v>359.45466650889284</v>
      </c>
      <c r="AE1062" s="15">
        <f>+(D.sign_Data[[#This Row],[VALOR NETO ($COP)]]+D.sign_Data[[#This Row],[NEGOCIACIÓN ($COP)]])*1%</f>
        <v>71.890933301778475</v>
      </c>
      <c r="AF1062" s="15">
        <f>+(D.sign_Data[[#This Row],[VALOR NETO ($COP)]]+D.sign_Data[[#This Row],[NEGOCIACIÓN ($COP)]])*1%</f>
        <v>71.890933301778475</v>
      </c>
      <c r="AG1062" s="3">
        <f>+D.sign_Data[[#This Row],[VALOR NETO ($COP)]]+D.sign_Data[[#This Row],[NEGOCIACIÓN ($COP)]]+D.sign_Data[[#This Row],[ICA ($COP)]]+D.sign_Data[[#This Row],[4 * 1000 ($COP)]]</f>
        <v>7332.8751967814042</v>
      </c>
    </row>
    <row r="1063" spans="1:33" ht="60" hidden="1" customHeight="1" x14ac:dyDescent="0.25">
      <c r="A1063" s="14"/>
      <c r="B1063" s="87" t="s">
        <v>493</v>
      </c>
      <c r="C1063" s="182" t="s">
        <v>971</v>
      </c>
      <c r="D1063" s="189" t="str">
        <f>VLOOKUP(D.sign_Data[[#This Row],[CÓDIGO]],Descripciones[[CÓDIGO]:[NOMBRE DE SERVICIO]],3,FALSE)</f>
        <v>D3. Vivienda Campestre</v>
      </c>
      <c r="E1063" s="87" t="s">
        <v>497</v>
      </c>
      <c r="F1063" s="88" t="s">
        <v>918</v>
      </c>
      <c r="G1063" s="88" t="s">
        <v>587</v>
      </c>
      <c r="H1063" s="104" t="s">
        <v>552</v>
      </c>
      <c r="I1063" s="89">
        <v>1</v>
      </c>
      <c r="J1063" s="88" t="s">
        <v>615</v>
      </c>
      <c r="K1063" s="102"/>
      <c r="L1063" s="88" t="s">
        <v>575</v>
      </c>
      <c r="M1063" s="89" t="s">
        <v>381</v>
      </c>
      <c r="N1063" s="90">
        <v>0.2</v>
      </c>
      <c r="O1063" s="27">
        <f>IFERROR(+VLOOKUP(M1063,D.sign_Lista_Data[[RESPONSABLE]:[SOFTWARE 
VALOR HORA]],3,FALSE),"0")</f>
        <v>20263.424518743668</v>
      </c>
      <c r="P1063" s="3">
        <f t="shared" si="38"/>
        <v>4052.6849037487336</v>
      </c>
      <c r="Q1063" s="11">
        <f>IFERROR(+VLOOKUP(M1063,D.sign_Lista_Data[[RESPONSABLE]:[SOFTWARE 
VALOR HORA]],5,FALSE)*D.sign_Data[[#This Row],[TIEMPO (HORAS)]],0)</f>
        <v>844.30935494765276</v>
      </c>
      <c r="R1063" s="11">
        <f>IFERROR(+VLOOKUP(M1063,D.sign_Lista_Data[[RESPONSABLE]:[SOFTWARE 
VALOR HORA]],8,FALSE)*D.sign_Data[[#This Row],[TIEMPO (HORAS)]],0)</f>
        <v>682.17097742879673</v>
      </c>
      <c r="S1063" s="99"/>
      <c r="T1063" s="99"/>
      <c r="U1063" s="3">
        <f t="shared" si="39"/>
        <v>5579.1652361251827</v>
      </c>
      <c r="V1063" s="100">
        <f>D.sign_Data[[#This Row],[TIEMPO (HORAS)]]*Gastos_Operativos[[#Totals],[GASTOS HORA]]</f>
        <v>5557.8954144620802</v>
      </c>
      <c r="W1063" s="3">
        <f>+D.sign_Data[[#This Row],[COSTO 
DIRECTO ($COP)]]+D.sign_Data[[#This Row],[PRORRATEO GASTOS ($COP)]]</f>
        <v>11137.060650587264</v>
      </c>
      <c r="X1063" s="101">
        <v>0.05</v>
      </c>
      <c r="Y1063" s="15">
        <f>+D.sign_Data[[#This Row],[COSTOS OPERACIONALES ($COP)]]*D.sign_Data[[#This Row],[DESFASE (%)]]</f>
        <v>556.85303252936319</v>
      </c>
      <c r="Z1063" s="101">
        <v>0.15</v>
      </c>
      <c r="AA1063" s="15">
        <f>+((D.sign_Data[[#This Row],[COSTOS OPERACIONALES ($COP)]]/(100%-D.sign_Data[[#This Row],[UTILIDAD (%)]])))-D.sign_Data[[#This Row],[COSTOS OPERACIONALES ($COP)]]</f>
        <v>1965.3636442212828</v>
      </c>
      <c r="AB1063" s="3">
        <f>+D.sign_Data[[#This Row],[COSTOS OPERACIONALES ($COP)]]+D.sign_Data[[#This Row],[DESFASE ($COP)]]+D.sign_Data[[#This Row],[UTILIDAD ($COP)]]</f>
        <v>13659.27732733791</v>
      </c>
      <c r="AC1063" s="101">
        <v>0.05</v>
      </c>
      <c r="AD1063" s="15">
        <f>+D.sign_Data[[#This Row],[VALOR NETO ($COP)]]/(100%-D.sign_Data[[#This Row],[MARGEN DE NEGOCIACIÓN (%)]])-D.sign_Data[[#This Row],[VALOR NETO ($COP)]]</f>
        <v>718.90933301778568</v>
      </c>
      <c r="AE1063" s="15">
        <f>+(D.sign_Data[[#This Row],[VALOR NETO ($COP)]]+D.sign_Data[[#This Row],[NEGOCIACIÓN ($COP)]])*1%</f>
        <v>143.78186660355695</v>
      </c>
      <c r="AF1063" s="15">
        <f>+(D.sign_Data[[#This Row],[VALOR NETO ($COP)]]+D.sign_Data[[#This Row],[NEGOCIACIÓN ($COP)]])*1%</f>
        <v>143.78186660355695</v>
      </c>
      <c r="AG1063" s="3">
        <f>+D.sign_Data[[#This Row],[VALOR NETO ($COP)]]+D.sign_Data[[#This Row],[NEGOCIACIÓN ($COP)]]+D.sign_Data[[#This Row],[ICA ($COP)]]+D.sign_Data[[#This Row],[4 * 1000 ($COP)]]</f>
        <v>14665.750393562808</v>
      </c>
    </row>
    <row r="1064" spans="1:33" ht="60" hidden="1" customHeight="1" x14ac:dyDescent="0.25">
      <c r="A1064" s="14"/>
      <c r="B1064" s="87" t="s">
        <v>493</v>
      </c>
      <c r="C1064" s="182" t="s">
        <v>971</v>
      </c>
      <c r="D1064" s="189" t="str">
        <f>VLOOKUP(D.sign_Data[[#This Row],[CÓDIGO]],Descripciones[[CÓDIGO]:[NOMBRE DE SERVICIO]],3,FALSE)</f>
        <v>D3. Vivienda Campestre</v>
      </c>
      <c r="E1064" s="87" t="s">
        <v>497</v>
      </c>
      <c r="F1064" s="88" t="s">
        <v>918</v>
      </c>
      <c r="G1064" s="88" t="s">
        <v>587</v>
      </c>
      <c r="H1064" s="104" t="s">
        <v>552</v>
      </c>
      <c r="I1064" s="89">
        <v>1</v>
      </c>
      <c r="J1064" s="88" t="s">
        <v>615</v>
      </c>
      <c r="K1064" s="102"/>
      <c r="L1064" s="88" t="s">
        <v>616</v>
      </c>
      <c r="M1064" s="89" t="s">
        <v>381</v>
      </c>
      <c r="N1064" s="90">
        <v>1</v>
      </c>
      <c r="O1064" s="27">
        <f>IFERROR(+VLOOKUP(M1064,D.sign_Lista_Data[[RESPONSABLE]:[SOFTWARE 
VALOR HORA]],3,FALSE),"0")</f>
        <v>20263.424518743668</v>
      </c>
      <c r="P1064" s="3">
        <f t="shared" si="38"/>
        <v>20263.424518743668</v>
      </c>
      <c r="Q1064" s="11">
        <f>IFERROR(+VLOOKUP(M1064,D.sign_Lista_Data[[RESPONSABLE]:[SOFTWARE 
VALOR HORA]],5,FALSE)*D.sign_Data[[#This Row],[TIEMPO (HORAS)]],0)</f>
        <v>4221.5467747382636</v>
      </c>
      <c r="R1064" s="11">
        <f>IFERROR(+VLOOKUP(M1064,D.sign_Lista_Data[[RESPONSABLE]:[SOFTWARE 
VALOR HORA]],8,FALSE)*D.sign_Data[[#This Row],[TIEMPO (HORAS)]],0)</f>
        <v>3410.8548871439834</v>
      </c>
      <c r="S1064" s="99"/>
      <c r="T1064" s="99"/>
      <c r="U1064" s="3">
        <f t="shared" si="39"/>
        <v>27895.826180625918</v>
      </c>
      <c r="V1064" s="100">
        <f>D.sign_Data[[#This Row],[TIEMPO (HORAS)]]*Gastos_Operativos[[#Totals],[GASTOS HORA]]</f>
        <v>27789.477072310401</v>
      </c>
      <c r="W1064" s="3">
        <f>+D.sign_Data[[#This Row],[COSTO 
DIRECTO ($COP)]]+D.sign_Data[[#This Row],[PRORRATEO GASTOS ($COP)]]</f>
        <v>55685.303252936319</v>
      </c>
      <c r="X1064" s="101">
        <v>0.05</v>
      </c>
      <c r="Y1064" s="15">
        <f>+D.sign_Data[[#This Row],[COSTOS OPERACIONALES ($COP)]]*D.sign_Data[[#This Row],[DESFASE (%)]]</f>
        <v>2784.265162646816</v>
      </c>
      <c r="Z1064" s="101">
        <v>0.15</v>
      </c>
      <c r="AA1064" s="15">
        <f>+((D.sign_Data[[#This Row],[COSTOS OPERACIONALES ($COP)]]/(100%-D.sign_Data[[#This Row],[UTILIDAD (%)]])))-D.sign_Data[[#This Row],[COSTOS OPERACIONALES ($COP)]]</f>
        <v>9826.8182211064122</v>
      </c>
      <c r="AB1064" s="3">
        <f>+D.sign_Data[[#This Row],[COSTOS OPERACIONALES ($COP)]]+D.sign_Data[[#This Row],[DESFASE ($COP)]]+D.sign_Data[[#This Row],[UTILIDAD ($COP)]]</f>
        <v>68296.386636689538</v>
      </c>
      <c r="AC1064" s="101">
        <v>0.05</v>
      </c>
      <c r="AD1064" s="15">
        <f>+D.sign_Data[[#This Row],[VALOR NETO ($COP)]]/(100%-D.sign_Data[[#This Row],[MARGEN DE NEGOCIACIÓN (%)]])-D.sign_Data[[#This Row],[VALOR NETO ($COP)]]</f>
        <v>3594.5466650889284</v>
      </c>
      <c r="AE1064" s="15">
        <f>+(D.sign_Data[[#This Row],[VALOR NETO ($COP)]]+D.sign_Data[[#This Row],[NEGOCIACIÓN ($COP)]])*1%</f>
        <v>718.90933301778466</v>
      </c>
      <c r="AF1064" s="15">
        <f>+(D.sign_Data[[#This Row],[VALOR NETO ($COP)]]+D.sign_Data[[#This Row],[NEGOCIACIÓN ($COP)]])*1%</f>
        <v>718.90933301778466</v>
      </c>
      <c r="AG1064" s="3">
        <f>+D.sign_Data[[#This Row],[VALOR NETO ($COP)]]+D.sign_Data[[#This Row],[NEGOCIACIÓN ($COP)]]+D.sign_Data[[#This Row],[ICA ($COP)]]+D.sign_Data[[#This Row],[4 * 1000 ($COP)]]</f>
        <v>73328.751967814038</v>
      </c>
    </row>
    <row r="1065" spans="1:33" ht="60" hidden="1" customHeight="1" x14ac:dyDescent="0.25">
      <c r="A1065" s="14"/>
      <c r="B1065" s="87" t="s">
        <v>493</v>
      </c>
      <c r="C1065" s="182" t="s">
        <v>971</v>
      </c>
      <c r="D1065" s="189" t="str">
        <f>VLOOKUP(D.sign_Data[[#This Row],[CÓDIGO]],Descripciones[[CÓDIGO]:[NOMBRE DE SERVICIO]],3,FALSE)</f>
        <v>D3. Vivienda Campestre</v>
      </c>
      <c r="E1065" s="87" t="s">
        <v>497</v>
      </c>
      <c r="F1065" s="88" t="s">
        <v>918</v>
      </c>
      <c r="G1065" s="88" t="s">
        <v>587</v>
      </c>
      <c r="H1065" s="104" t="s">
        <v>552</v>
      </c>
      <c r="I1065" s="89">
        <v>1</v>
      </c>
      <c r="J1065" s="88" t="s">
        <v>615</v>
      </c>
      <c r="K1065" s="102"/>
      <c r="L1065" s="88" t="s">
        <v>577</v>
      </c>
      <c r="M1065" s="89" t="s">
        <v>381</v>
      </c>
      <c r="N1065" s="90">
        <v>0.5</v>
      </c>
      <c r="O1065" s="27">
        <f>IFERROR(+VLOOKUP(M1065,D.sign_Lista_Data[[RESPONSABLE]:[SOFTWARE 
VALOR HORA]],3,FALSE),"0")</f>
        <v>20263.424518743668</v>
      </c>
      <c r="P1065" s="3">
        <f t="shared" si="38"/>
        <v>10131.712259371834</v>
      </c>
      <c r="Q1065" s="11">
        <f>IFERROR(+VLOOKUP(M1065,D.sign_Lista_Data[[RESPONSABLE]:[SOFTWARE 
VALOR HORA]],5,FALSE)*D.sign_Data[[#This Row],[TIEMPO (HORAS)]],0)</f>
        <v>2110.7733873691318</v>
      </c>
      <c r="R1065" s="11">
        <f>IFERROR(+VLOOKUP(M1065,D.sign_Lista_Data[[RESPONSABLE]:[SOFTWARE 
VALOR HORA]],8,FALSE)*D.sign_Data[[#This Row],[TIEMPO (HORAS)]],0)</f>
        <v>1705.4274435719917</v>
      </c>
      <c r="S1065" s="99"/>
      <c r="T1065" s="99"/>
      <c r="U1065" s="3">
        <f t="shared" si="39"/>
        <v>13947.913090312959</v>
      </c>
      <c r="V1065" s="100">
        <f>D.sign_Data[[#This Row],[TIEMPO (HORAS)]]*Gastos_Operativos[[#Totals],[GASTOS HORA]]</f>
        <v>13894.738536155201</v>
      </c>
      <c r="W1065" s="3">
        <f>+D.sign_Data[[#This Row],[COSTO 
DIRECTO ($COP)]]+D.sign_Data[[#This Row],[PRORRATEO GASTOS ($COP)]]</f>
        <v>27842.65162646816</v>
      </c>
      <c r="X1065" s="101">
        <v>0.05</v>
      </c>
      <c r="Y1065" s="15">
        <f>+D.sign_Data[[#This Row],[COSTOS OPERACIONALES ($COP)]]*D.sign_Data[[#This Row],[DESFASE (%)]]</f>
        <v>1392.132581323408</v>
      </c>
      <c r="Z1065" s="101">
        <v>0.15</v>
      </c>
      <c r="AA1065" s="15">
        <f>+((D.sign_Data[[#This Row],[COSTOS OPERACIONALES ($COP)]]/(100%-D.sign_Data[[#This Row],[UTILIDAD (%)]])))-D.sign_Data[[#This Row],[COSTOS OPERACIONALES ($COP)]]</f>
        <v>4913.4091105532061</v>
      </c>
      <c r="AB1065" s="3">
        <f>+D.sign_Data[[#This Row],[COSTOS OPERACIONALES ($COP)]]+D.sign_Data[[#This Row],[DESFASE ($COP)]]+D.sign_Data[[#This Row],[UTILIDAD ($COP)]]</f>
        <v>34148.193318344769</v>
      </c>
      <c r="AC1065" s="101">
        <v>0.05</v>
      </c>
      <c r="AD1065" s="15">
        <f>+D.sign_Data[[#This Row],[VALOR NETO ($COP)]]/(100%-D.sign_Data[[#This Row],[MARGEN DE NEGOCIACIÓN (%)]])-D.sign_Data[[#This Row],[VALOR NETO ($COP)]]</f>
        <v>1797.2733325444642</v>
      </c>
      <c r="AE1065" s="15">
        <f>+(D.sign_Data[[#This Row],[VALOR NETO ($COP)]]+D.sign_Data[[#This Row],[NEGOCIACIÓN ($COP)]])*1%</f>
        <v>359.45466650889233</v>
      </c>
      <c r="AF1065" s="15">
        <f>+(D.sign_Data[[#This Row],[VALOR NETO ($COP)]]+D.sign_Data[[#This Row],[NEGOCIACIÓN ($COP)]])*1%</f>
        <v>359.45466650889233</v>
      </c>
      <c r="AG1065" s="3">
        <f>+D.sign_Data[[#This Row],[VALOR NETO ($COP)]]+D.sign_Data[[#This Row],[NEGOCIACIÓN ($COP)]]+D.sign_Data[[#This Row],[ICA ($COP)]]+D.sign_Data[[#This Row],[4 * 1000 ($COP)]]</f>
        <v>36664.375983907019</v>
      </c>
    </row>
    <row r="1066" spans="1:33" ht="60" hidden="1" customHeight="1" x14ac:dyDescent="0.25">
      <c r="A1066" s="14"/>
      <c r="B1066" s="87" t="s">
        <v>493</v>
      </c>
      <c r="C1066" s="182" t="s">
        <v>971</v>
      </c>
      <c r="D1066" s="189" t="str">
        <f>VLOOKUP(D.sign_Data[[#This Row],[CÓDIGO]],Descripciones[[CÓDIGO]:[NOMBRE DE SERVICIO]],3,FALSE)</f>
        <v>D3. Vivienda Campestre</v>
      </c>
      <c r="E1066" s="87" t="s">
        <v>497</v>
      </c>
      <c r="F1066" s="88" t="s">
        <v>918</v>
      </c>
      <c r="G1066" s="88" t="s">
        <v>587</v>
      </c>
      <c r="H1066" s="104" t="s">
        <v>552</v>
      </c>
      <c r="I1066" s="89">
        <v>1</v>
      </c>
      <c r="J1066" s="88" t="s">
        <v>615</v>
      </c>
      <c r="K1066" s="102"/>
      <c r="L1066" s="88" t="s">
        <v>606</v>
      </c>
      <c r="M1066" s="89" t="s">
        <v>381</v>
      </c>
      <c r="N1066" s="90">
        <v>0.5</v>
      </c>
      <c r="O1066" s="27">
        <f>IFERROR(+VLOOKUP(M1066,D.sign_Lista_Data[[RESPONSABLE]:[SOFTWARE 
VALOR HORA]],3,FALSE),"0")</f>
        <v>20263.424518743668</v>
      </c>
      <c r="P1066" s="3">
        <f t="shared" si="38"/>
        <v>10131.712259371834</v>
      </c>
      <c r="Q1066" s="11">
        <f>IFERROR(+VLOOKUP(M1066,D.sign_Lista_Data[[RESPONSABLE]:[SOFTWARE 
VALOR HORA]],5,FALSE)*D.sign_Data[[#This Row],[TIEMPO (HORAS)]],0)</f>
        <v>2110.7733873691318</v>
      </c>
      <c r="R1066" s="11">
        <f>IFERROR(+VLOOKUP(M1066,D.sign_Lista_Data[[RESPONSABLE]:[SOFTWARE 
VALOR HORA]],8,FALSE)*D.sign_Data[[#This Row],[TIEMPO (HORAS)]],0)</f>
        <v>1705.4274435719917</v>
      </c>
      <c r="S1066" s="99"/>
      <c r="T1066" s="99"/>
      <c r="U1066" s="3">
        <f t="shared" si="39"/>
        <v>13947.913090312959</v>
      </c>
      <c r="V1066" s="100">
        <f>D.sign_Data[[#This Row],[TIEMPO (HORAS)]]*Gastos_Operativos[[#Totals],[GASTOS HORA]]</f>
        <v>13894.738536155201</v>
      </c>
      <c r="W1066" s="3">
        <f>+D.sign_Data[[#This Row],[COSTO 
DIRECTO ($COP)]]+D.sign_Data[[#This Row],[PRORRATEO GASTOS ($COP)]]</f>
        <v>27842.65162646816</v>
      </c>
      <c r="X1066" s="101">
        <v>0.05</v>
      </c>
      <c r="Y1066" s="15">
        <f>+D.sign_Data[[#This Row],[COSTOS OPERACIONALES ($COP)]]*D.sign_Data[[#This Row],[DESFASE (%)]]</f>
        <v>1392.132581323408</v>
      </c>
      <c r="Z1066" s="101">
        <v>0.15</v>
      </c>
      <c r="AA1066" s="15">
        <f>+((D.sign_Data[[#This Row],[COSTOS OPERACIONALES ($COP)]]/(100%-D.sign_Data[[#This Row],[UTILIDAD (%)]])))-D.sign_Data[[#This Row],[COSTOS OPERACIONALES ($COP)]]</f>
        <v>4913.4091105532061</v>
      </c>
      <c r="AB1066" s="3">
        <f>+D.sign_Data[[#This Row],[COSTOS OPERACIONALES ($COP)]]+D.sign_Data[[#This Row],[DESFASE ($COP)]]+D.sign_Data[[#This Row],[UTILIDAD ($COP)]]</f>
        <v>34148.193318344769</v>
      </c>
      <c r="AC1066" s="101">
        <v>0.05</v>
      </c>
      <c r="AD1066" s="15">
        <f>+D.sign_Data[[#This Row],[VALOR NETO ($COP)]]/(100%-D.sign_Data[[#This Row],[MARGEN DE NEGOCIACIÓN (%)]])-D.sign_Data[[#This Row],[VALOR NETO ($COP)]]</f>
        <v>1797.2733325444642</v>
      </c>
      <c r="AE1066" s="15">
        <f>+(D.sign_Data[[#This Row],[VALOR NETO ($COP)]]+D.sign_Data[[#This Row],[NEGOCIACIÓN ($COP)]])*1%</f>
        <v>359.45466650889233</v>
      </c>
      <c r="AF1066" s="15">
        <f>+(D.sign_Data[[#This Row],[VALOR NETO ($COP)]]+D.sign_Data[[#This Row],[NEGOCIACIÓN ($COP)]])*1%</f>
        <v>359.45466650889233</v>
      </c>
      <c r="AG1066" s="3">
        <f>+D.sign_Data[[#This Row],[VALOR NETO ($COP)]]+D.sign_Data[[#This Row],[NEGOCIACIÓN ($COP)]]+D.sign_Data[[#This Row],[ICA ($COP)]]+D.sign_Data[[#This Row],[4 * 1000 ($COP)]]</f>
        <v>36664.375983907019</v>
      </c>
    </row>
    <row r="1067" spans="1:33" ht="60" hidden="1" customHeight="1" x14ac:dyDescent="0.25">
      <c r="A1067" s="14"/>
      <c r="B1067" s="87" t="s">
        <v>493</v>
      </c>
      <c r="C1067" s="182" t="s">
        <v>971</v>
      </c>
      <c r="D1067" s="189" t="str">
        <f>VLOOKUP(D.sign_Data[[#This Row],[CÓDIGO]],Descripciones[[CÓDIGO]:[NOMBRE DE SERVICIO]],3,FALSE)</f>
        <v>D3. Vivienda Campestre</v>
      </c>
      <c r="E1067" s="87" t="s">
        <v>497</v>
      </c>
      <c r="F1067" s="88" t="s">
        <v>918</v>
      </c>
      <c r="G1067" s="88" t="s">
        <v>587</v>
      </c>
      <c r="H1067" s="104" t="s">
        <v>552</v>
      </c>
      <c r="I1067" s="89">
        <v>1</v>
      </c>
      <c r="J1067" s="88" t="s">
        <v>615</v>
      </c>
      <c r="K1067" s="102"/>
      <c r="L1067" s="88" t="s">
        <v>596</v>
      </c>
      <c r="M1067" s="89" t="s">
        <v>381</v>
      </c>
      <c r="N1067" s="90">
        <v>1</v>
      </c>
      <c r="O1067" s="27">
        <f>IFERROR(+VLOOKUP(M1067,D.sign_Lista_Data[[RESPONSABLE]:[SOFTWARE 
VALOR HORA]],3,FALSE),"0")</f>
        <v>20263.424518743668</v>
      </c>
      <c r="P1067" s="3">
        <f t="shared" si="38"/>
        <v>20263.424518743668</v>
      </c>
      <c r="Q1067" s="11">
        <f>IFERROR(+VLOOKUP(M1067,D.sign_Lista_Data[[RESPONSABLE]:[SOFTWARE 
VALOR HORA]],5,FALSE)*D.sign_Data[[#This Row],[TIEMPO (HORAS)]],0)</f>
        <v>4221.5467747382636</v>
      </c>
      <c r="R1067" s="11">
        <f>IFERROR(+VLOOKUP(M1067,D.sign_Lista_Data[[RESPONSABLE]:[SOFTWARE 
VALOR HORA]],8,FALSE)*D.sign_Data[[#This Row],[TIEMPO (HORAS)]],0)</f>
        <v>3410.8548871439834</v>
      </c>
      <c r="S1067" s="99"/>
      <c r="T1067" s="99"/>
      <c r="U1067" s="3">
        <f t="shared" si="39"/>
        <v>27895.826180625918</v>
      </c>
      <c r="V1067" s="100">
        <f>D.sign_Data[[#This Row],[TIEMPO (HORAS)]]*Gastos_Operativos[[#Totals],[GASTOS HORA]]</f>
        <v>27789.477072310401</v>
      </c>
      <c r="W1067" s="3">
        <f>+D.sign_Data[[#This Row],[COSTO 
DIRECTO ($COP)]]+D.sign_Data[[#This Row],[PRORRATEO GASTOS ($COP)]]</f>
        <v>55685.303252936319</v>
      </c>
      <c r="X1067" s="101">
        <v>0.05</v>
      </c>
      <c r="Y1067" s="15">
        <f>+D.sign_Data[[#This Row],[COSTOS OPERACIONALES ($COP)]]*D.sign_Data[[#This Row],[DESFASE (%)]]</f>
        <v>2784.265162646816</v>
      </c>
      <c r="Z1067" s="101">
        <v>0.15</v>
      </c>
      <c r="AA1067" s="15">
        <f>+((D.sign_Data[[#This Row],[COSTOS OPERACIONALES ($COP)]]/(100%-D.sign_Data[[#This Row],[UTILIDAD (%)]])))-D.sign_Data[[#This Row],[COSTOS OPERACIONALES ($COP)]]</f>
        <v>9826.8182211064122</v>
      </c>
      <c r="AB1067" s="3">
        <f>+D.sign_Data[[#This Row],[COSTOS OPERACIONALES ($COP)]]+D.sign_Data[[#This Row],[DESFASE ($COP)]]+D.sign_Data[[#This Row],[UTILIDAD ($COP)]]</f>
        <v>68296.386636689538</v>
      </c>
      <c r="AC1067" s="101">
        <v>0.05</v>
      </c>
      <c r="AD1067" s="15">
        <f>+D.sign_Data[[#This Row],[VALOR NETO ($COP)]]/(100%-D.sign_Data[[#This Row],[MARGEN DE NEGOCIACIÓN (%)]])-D.sign_Data[[#This Row],[VALOR NETO ($COP)]]</f>
        <v>3594.5466650889284</v>
      </c>
      <c r="AE1067" s="15">
        <f>+(D.sign_Data[[#This Row],[VALOR NETO ($COP)]]+D.sign_Data[[#This Row],[NEGOCIACIÓN ($COP)]])*1%</f>
        <v>718.90933301778466</v>
      </c>
      <c r="AF1067" s="15">
        <f>+(D.sign_Data[[#This Row],[VALOR NETO ($COP)]]+D.sign_Data[[#This Row],[NEGOCIACIÓN ($COP)]])*1%</f>
        <v>718.90933301778466</v>
      </c>
      <c r="AG1067" s="3">
        <f>+D.sign_Data[[#This Row],[VALOR NETO ($COP)]]+D.sign_Data[[#This Row],[NEGOCIACIÓN ($COP)]]+D.sign_Data[[#This Row],[ICA ($COP)]]+D.sign_Data[[#This Row],[4 * 1000 ($COP)]]</f>
        <v>73328.751967814038</v>
      </c>
    </row>
    <row r="1068" spans="1:33" ht="60" hidden="1" customHeight="1" x14ac:dyDescent="0.25">
      <c r="A1068" s="14"/>
      <c r="B1068" s="87" t="s">
        <v>493</v>
      </c>
      <c r="C1068" s="182" t="s">
        <v>971</v>
      </c>
      <c r="D1068" s="189" t="str">
        <f>VLOOKUP(D.sign_Data[[#This Row],[CÓDIGO]],Descripciones[[CÓDIGO]:[NOMBRE DE SERVICIO]],3,FALSE)</f>
        <v>D3. Vivienda Campestre</v>
      </c>
      <c r="E1068" s="87" t="s">
        <v>497</v>
      </c>
      <c r="F1068" s="88" t="s">
        <v>918</v>
      </c>
      <c r="G1068" s="88" t="s">
        <v>587</v>
      </c>
      <c r="H1068" s="104" t="s">
        <v>552</v>
      </c>
      <c r="I1068" s="89">
        <v>1</v>
      </c>
      <c r="J1068" s="88" t="s">
        <v>615</v>
      </c>
      <c r="K1068" s="102"/>
      <c r="L1068" s="88" t="s">
        <v>579</v>
      </c>
      <c r="M1068" s="89" t="s">
        <v>381</v>
      </c>
      <c r="N1068" s="90">
        <v>1</v>
      </c>
      <c r="O1068" s="27">
        <f>IFERROR(+VLOOKUP(M1068,D.sign_Lista_Data[[RESPONSABLE]:[SOFTWARE 
VALOR HORA]],3,FALSE),"0")</f>
        <v>20263.424518743668</v>
      </c>
      <c r="P1068" s="3">
        <f t="shared" si="38"/>
        <v>20263.424518743668</v>
      </c>
      <c r="Q1068" s="11">
        <f>IFERROR(+VLOOKUP(M1068,D.sign_Lista_Data[[RESPONSABLE]:[SOFTWARE 
VALOR HORA]],5,FALSE)*D.sign_Data[[#This Row],[TIEMPO (HORAS)]],0)</f>
        <v>4221.5467747382636</v>
      </c>
      <c r="R1068" s="11">
        <f>IFERROR(+VLOOKUP(M1068,D.sign_Lista_Data[[RESPONSABLE]:[SOFTWARE 
VALOR HORA]],8,FALSE)*D.sign_Data[[#This Row],[TIEMPO (HORAS)]],0)</f>
        <v>3410.8548871439834</v>
      </c>
      <c r="S1068" s="99"/>
      <c r="T1068" s="99"/>
      <c r="U1068" s="3">
        <f t="shared" si="39"/>
        <v>27895.826180625918</v>
      </c>
      <c r="V1068" s="100">
        <f>D.sign_Data[[#This Row],[TIEMPO (HORAS)]]*Gastos_Operativos[[#Totals],[GASTOS HORA]]</f>
        <v>27789.477072310401</v>
      </c>
      <c r="W1068" s="3">
        <f>+D.sign_Data[[#This Row],[COSTO 
DIRECTO ($COP)]]+D.sign_Data[[#This Row],[PRORRATEO GASTOS ($COP)]]</f>
        <v>55685.303252936319</v>
      </c>
      <c r="X1068" s="101">
        <v>0.05</v>
      </c>
      <c r="Y1068" s="15">
        <f>+D.sign_Data[[#This Row],[COSTOS OPERACIONALES ($COP)]]*D.sign_Data[[#This Row],[DESFASE (%)]]</f>
        <v>2784.265162646816</v>
      </c>
      <c r="Z1068" s="101">
        <v>0.15</v>
      </c>
      <c r="AA1068" s="15">
        <f>+((D.sign_Data[[#This Row],[COSTOS OPERACIONALES ($COP)]]/(100%-D.sign_Data[[#This Row],[UTILIDAD (%)]])))-D.sign_Data[[#This Row],[COSTOS OPERACIONALES ($COP)]]</f>
        <v>9826.8182211064122</v>
      </c>
      <c r="AB1068" s="3">
        <f>+D.sign_Data[[#This Row],[COSTOS OPERACIONALES ($COP)]]+D.sign_Data[[#This Row],[DESFASE ($COP)]]+D.sign_Data[[#This Row],[UTILIDAD ($COP)]]</f>
        <v>68296.386636689538</v>
      </c>
      <c r="AC1068" s="101">
        <v>0.05</v>
      </c>
      <c r="AD1068" s="15">
        <f>+D.sign_Data[[#This Row],[VALOR NETO ($COP)]]/(100%-D.sign_Data[[#This Row],[MARGEN DE NEGOCIACIÓN (%)]])-D.sign_Data[[#This Row],[VALOR NETO ($COP)]]</f>
        <v>3594.5466650889284</v>
      </c>
      <c r="AE1068" s="15">
        <f>+(D.sign_Data[[#This Row],[VALOR NETO ($COP)]]+D.sign_Data[[#This Row],[NEGOCIACIÓN ($COP)]])*1%</f>
        <v>718.90933301778466</v>
      </c>
      <c r="AF1068" s="15">
        <f>+(D.sign_Data[[#This Row],[VALOR NETO ($COP)]]+D.sign_Data[[#This Row],[NEGOCIACIÓN ($COP)]])*1%</f>
        <v>718.90933301778466</v>
      </c>
      <c r="AG1068" s="3">
        <f>+D.sign_Data[[#This Row],[VALOR NETO ($COP)]]+D.sign_Data[[#This Row],[NEGOCIACIÓN ($COP)]]+D.sign_Data[[#This Row],[ICA ($COP)]]+D.sign_Data[[#This Row],[4 * 1000 ($COP)]]</f>
        <v>73328.751967814038</v>
      </c>
    </row>
    <row r="1069" spans="1:33" ht="60" hidden="1" customHeight="1" x14ac:dyDescent="0.25">
      <c r="A1069" s="14"/>
      <c r="B1069" s="87" t="s">
        <v>493</v>
      </c>
      <c r="C1069" s="182" t="s">
        <v>971</v>
      </c>
      <c r="D1069" s="189" t="str">
        <f>VLOOKUP(D.sign_Data[[#This Row],[CÓDIGO]],Descripciones[[CÓDIGO]:[NOMBRE DE SERVICIO]],3,FALSE)</f>
        <v>D3. Vivienda Campestre</v>
      </c>
      <c r="E1069" s="87" t="s">
        <v>497</v>
      </c>
      <c r="F1069" s="88" t="s">
        <v>918</v>
      </c>
      <c r="G1069" s="88" t="s">
        <v>587</v>
      </c>
      <c r="H1069" s="104" t="s">
        <v>552</v>
      </c>
      <c r="I1069" s="89">
        <v>1</v>
      </c>
      <c r="J1069" s="88" t="s">
        <v>615</v>
      </c>
      <c r="K1069" s="102"/>
      <c r="L1069" s="88" t="s">
        <v>570</v>
      </c>
      <c r="M1069" s="89" t="s">
        <v>381</v>
      </c>
      <c r="N1069" s="90">
        <v>0.5</v>
      </c>
      <c r="O1069" s="27">
        <f>IFERROR(+VLOOKUP(M1069,D.sign_Lista_Data[[RESPONSABLE]:[SOFTWARE 
VALOR HORA]],3,FALSE),"0")</f>
        <v>20263.424518743668</v>
      </c>
      <c r="P1069" s="3">
        <f t="shared" si="38"/>
        <v>10131.712259371834</v>
      </c>
      <c r="Q1069" s="11">
        <f>IFERROR(+VLOOKUP(M1069,D.sign_Lista_Data[[RESPONSABLE]:[SOFTWARE 
VALOR HORA]],5,FALSE)*D.sign_Data[[#This Row],[TIEMPO (HORAS)]],0)</f>
        <v>2110.7733873691318</v>
      </c>
      <c r="R1069" s="11">
        <f>IFERROR(+VLOOKUP(M1069,D.sign_Lista_Data[[RESPONSABLE]:[SOFTWARE 
VALOR HORA]],8,FALSE)*D.sign_Data[[#This Row],[TIEMPO (HORAS)]],0)</f>
        <v>1705.4274435719917</v>
      </c>
      <c r="S1069" s="99"/>
      <c r="T1069" s="99"/>
      <c r="U1069" s="3">
        <f t="shared" si="39"/>
        <v>13947.913090312959</v>
      </c>
      <c r="V1069" s="100">
        <f>D.sign_Data[[#This Row],[TIEMPO (HORAS)]]*Gastos_Operativos[[#Totals],[GASTOS HORA]]</f>
        <v>13894.738536155201</v>
      </c>
      <c r="W1069" s="3">
        <f>+D.sign_Data[[#This Row],[COSTO 
DIRECTO ($COP)]]+D.sign_Data[[#This Row],[PRORRATEO GASTOS ($COP)]]</f>
        <v>27842.65162646816</v>
      </c>
      <c r="X1069" s="101">
        <v>0.05</v>
      </c>
      <c r="Y1069" s="15">
        <f>+D.sign_Data[[#This Row],[COSTOS OPERACIONALES ($COP)]]*D.sign_Data[[#This Row],[DESFASE (%)]]</f>
        <v>1392.132581323408</v>
      </c>
      <c r="Z1069" s="101">
        <v>0.15</v>
      </c>
      <c r="AA1069" s="15">
        <f>+((D.sign_Data[[#This Row],[COSTOS OPERACIONALES ($COP)]]/(100%-D.sign_Data[[#This Row],[UTILIDAD (%)]])))-D.sign_Data[[#This Row],[COSTOS OPERACIONALES ($COP)]]</f>
        <v>4913.4091105532061</v>
      </c>
      <c r="AB1069" s="3">
        <f>+D.sign_Data[[#This Row],[COSTOS OPERACIONALES ($COP)]]+D.sign_Data[[#This Row],[DESFASE ($COP)]]+D.sign_Data[[#This Row],[UTILIDAD ($COP)]]</f>
        <v>34148.193318344769</v>
      </c>
      <c r="AC1069" s="101">
        <v>0.05</v>
      </c>
      <c r="AD1069" s="15">
        <f>+D.sign_Data[[#This Row],[VALOR NETO ($COP)]]/(100%-D.sign_Data[[#This Row],[MARGEN DE NEGOCIACIÓN (%)]])-D.sign_Data[[#This Row],[VALOR NETO ($COP)]]</f>
        <v>1797.2733325444642</v>
      </c>
      <c r="AE1069" s="15">
        <f>+(D.sign_Data[[#This Row],[VALOR NETO ($COP)]]+D.sign_Data[[#This Row],[NEGOCIACIÓN ($COP)]])*1%</f>
        <v>359.45466650889233</v>
      </c>
      <c r="AF1069" s="15">
        <f>+(D.sign_Data[[#This Row],[VALOR NETO ($COP)]]+D.sign_Data[[#This Row],[NEGOCIACIÓN ($COP)]])*1%</f>
        <v>359.45466650889233</v>
      </c>
      <c r="AG1069" s="3">
        <f>+D.sign_Data[[#This Row],[VALOR NETO ($COP)]]+D.sign_Data[[#This Row],[NEGOCIACIÓN ($COP)]]+D.sign_Data[[#This Row],[ICA ($COP)]]+D.sign_Data[[#This Row],[4 * 1000 ($COP)]]</f>
        <v>36664.375983907019</v>
      </c>
    </row>
    <row r="1070" spans="1:33" ht="60" hidden="1" customHeight="1" x14ac:dyDescent="0.25">
      <c r="A1070" s="14"/>
      <c r="B1070" s="87" t="s">
        <v>493</v>
      </c>
      <c r="C1070" s="182" t="s">
        <v>971</v>
      </c>
      <c r="D1070" s="189" t="str">
        <f>VLOOKUP(D.sign_Data[[#This Row],[CÓDIGO]],Descripciones[[CÓDIGO]:[NOMBRE DE SERVICIO]],3,FALSE)</f>
        <v>D3. Vivienda Campestre</v>
      </c>
      <c r="E1070" s="87" t="s">
        <v>497</v>
      </c>
      <c r="F1070" s="88" t="s">
        <v>918</v>
      </c>
      <c r="G1070" s="88" t="s">
        <v>587</v>
      </c>
      <c r="H1070" s="104" t="s">
        <v>552</v>
      </c>
      <c r="I1070" s="89">
        <v>1</v>
      </c>
      <c r="J1070" s="88" t="s">
        <v>615</v>
      </c>
      <c r="K1070" s="102"/>
      <c r="L1070" s="88" t="s">
        <v>483</v>
      </c>
      <c r="M1070" s="89" t="s">
        <v>381</v>
      </c>
      <c r="N1070" s="90">
        <v>0.1</v>
      </c>
      <c r="O1070" s="27">
        <f>IFERROR(+VLOOKUP(M1070,D.sign_Lista_Data[[RESPONSABLE]:[SOFTWARE 
VALOR HORA]],3,FALSE),"0")</f>
        <v>20263.424518743668</v>
      </c>
      <c r="P1070" s="3">
        <f t="shared" si="38"/>
        <v>2026.3424518743668</v>
      </c>
      <c r="Q1070" s="11">
        <f>IFERROR(+VLOOKUP(M1070,D.sign_Lista_Data[[RESPONSABLE]:[SOFTWARE 
VALOR HORA]],5,FALSE)*D.sign_Data[[#This Row],[TIEMPO (HORAS)]],0)</f>
        <v>422.15467747382638</v>
      </c>
      <c r="R1070" s="11">
        <f>IFERROR(+VLOOKUP(M1070,D.sign_Lista_Data[[RESPONSABLE]:[SOFTWARE 
VALOR HORA]],8,FALSE)*D.sign_Data[[#This Row],[TIEMPO (HORAS)]],0)</f>
        <v>341.08548871439837</v>
      </c>
      <c r="S1070" s="99"/>
      <c r="T1070" s="99"/>
      <c r="U1070" s="3">
        <f t="shared" si="39"/>
        <v>2789.5826180625913</v>
      </c>
      <c r="V1070" s="100">
        <f>D.sign_Data[[#This Row],[TIEMPO (HORAS)]]*Gastos_Operativos[[#Totals],[GASTOS HORA]]</f>
        <v>2778.9477072310401</v>
      </c>
      <c r="W1070" s="3">
        <f>+D.sign_Data[[#This Row],[COSTO 
DIRECTO ($COP)]]+D.sign_Data[[#This Row],[PRORRATEO GASTOS ($COP)]]</f>
        <v>5568.5303252936319</v>
      </c>
      <c r="X1070" s="101">
        <v>0.05</v>
      </c>
      <c r="Y1070" s="15">
        <f>+D.sign_Data[[#This Row],[COSTOS OPERACIONALES ($COP)]]*D.sign_Data[[#This Row],[DESFASE (%)]]</f>
        <v>278.4265162646816</v>
      </c>
      <c r="Z1070" s="101">
        <v>0.15</v>
      </c>
      <c r="AA1070" s="15">
        <f>+((D.sign_Data[[#This Row],[COSTOS OPERACIONALES ($COP)]]/(100%-D.sign_Data[[#This Row],[UTILIDAD (%)]])))-D.sign_Data[[#This Row],[COSTOS OPERACIONALES ($COP)]]</f>
        <v>982.68182211064141</v>
      </c>
      <c r="AB1070" s="3">
        <f>+D.sign_Data[[#This Row],[COSTOS OPERACIONALES ($COP)]]+D.sign_Data[[#This Row],[DESFASE ($COP)]]+D.sign_Data[[#This Row],[UTILIDAD ($COP)]]</f>
        <v>6829.6386636689549</v>
      </c>
      <c r="AC1070" s="101">
        <v>0.05</v>
      </c>
      <c r="AD1070" s="15">
        <f>+D.sign_Data[[#This Row],[VALOR NETO ($COP)]]/(100%-D.sign_Data[[#This Row],[MARGEN DE NEGOCIACIÓN (%)]])-D.sign_Data[[#This Row],[VALOR NETO ($COP)]]</f>
        <v>359.45466650889284</v>
      </c>
      <c r="AE1070" s="15">
        <f>+(D.sign_Data[[#This Row],[VALOR NETO ($COP)]]+D.sign_Data[[#This Row],[NEGOCIACIÓN ($COP)]])*1%</f>
        <v>71.890933301778475</v>
      </c>
      <c r="AF1070" s="15">
        <f>+(D.sign_Data[[#This Row],[VALOR NETO ($COP)]]+D.sign_Data[[#This Row],[NEGOCIACIÓN ($COP)]])*1%</f>
        <v>71.890933301778475</v>
      </c>
      <c r="AG1070" s="3">
        <f>+D.sign_Data[[#This Row],[VALOR NETO ($COP)]]+D.sign_Data[[#This Row],[NEGOCIACIÓN ($COP)]]+D.sign_Data[[#This Row],[ICA ($COP)]]+D.sign_Data[[#This Row],[4 * 1000 ($COP)]]</f>
        <v>7332.8751967814042</v>
      </c>
    </row>
    <row r="1071" spans="1:33" ht="60" hidden="1" customHeight="1" x14ac:dyDescent="0.25">
      <c r="A1071" s="14"/>
      <c r="B1071" s="87" t="s">
        <v>493</v>
      </c>
      <c r="C1071" s="182" t="s">
        <v>971</v>
      </c>
      <c r="D1071" s="189" t="str">
        <f>VLOOKUP(D.sign_Data[[#This Row],[CÓDIGO]],Descripciones[[CÓDIGO]:[NOMBRE DE SERVICIO]],3,FALSE)</f>
        <v>D3. Vivienda Campestre</v>
      </c>
      <c r="E1071" s="87" t="s">
        <v>497</v>
      </c>
      <c r="F1071" s="88" t="s">
        <v>918</v>
      </c>
      <c r="G1071" s="88" t="s">
        <v>587</v>
      </c>
      <c r="H1071" s="104" t="s">
        <v>552</v>
      </c>
      <c r="I1071" s="89">
        <v>1</v>
      </c>
      <c r="J1071" s="88" t="s">
        <v>615</v>
      </c>
      <c r="K1071" s="102"/>
      <c r="L1071" s="88" t="s">
        <v>572</v>
      </c>
      <c r="M1071" s="89" t="s">
        <v>381</v>
      </c>
      <c r="N1071" s="90">
        <v>0.1</v>
      </c>
      <c r="O1071" s="27">
        <f>IFERROR(+VLOOKUP(M1071,D.sign_Lista_Data[[RESPONSABLE]:[SOFTWARE 
VALOR HORA]],3,FALSE),"0")</f>
        <v>20263.424518743668</v>
      </c>
      <c r="P1071" s="3">
        <f t="shared" si="38"/>
        <v>2026.3424518743668</v>
      </c>
      <c r="Q1071" s="11">
        <f>IFERROR(+VLOOKUP(M1071,D.sign_Lista_Data[[RESPONSABLE]:[SOFTWARE 
VALOR HORA]],5,FALSE)*D.sign_Data[[#This Row],[TIEMPO (HORAS)]],0)</f>
        <v>422.15467747382638</v>
      </c>
      <c r="R1071" s="11">
        <f>IFERROR(+VLOOKUP(M1071,D.sign_Lista_Data[[RESPONSABLE]:[SOFTWARE 
VALOR HORA]],8,FALSE)*D.sign_Data[[#This Row],[TIEMPO (HORAS)]],0)</f>
        <v>341.08548871439837</v>
      </c>
      <c r="S1071" s="99"/>
      <c r="T1071" s="99"/>
      <c r="U1071" s="3">
        <f t="shared" si="39"/>
        <v>2789.5826180625913</v>
      </c>
      <c r="V1071" s="100">
        <f>D.sign_Data[[#This Row],[TIEMPO (HORAS)]]*Gastos_Operativos[[#Totals],[GASTOS HORA]]</f>
        <v>2778.9477072310401</v>
      </c>
      <c r="W1071" s="3">
        <f>+D.sign_Data[[#This Row],[COSTO 
DIRECTO ($COP)]]+D.sign_Data[[#This Row],[PRORRATEO GASTOS ($COP)]]</f>
        <v>5568.5303252936319</v>
      </c>
      <c r="X1071" s="101">
        <v>0.05</v>
      </c>
      <c r="Y1071" s="15">
        <f>+D.sign_Data[[#This Row],[COSTOS OPERACIONALES ($COP)]]*D.sign_Data[[#This Row],[DESFASE (%)]]</f>
        <v>278.4265162646816</v>
      </c>
      <c r="Z1071" s="101">
        <v>0.15</v>
      </c>
      <c r="AA1071" s="15">
        <f>+((D.sign_Data[[#This Row],[COSTOS OPERACIONALES ($COP)]]/(100%-D.sign_Data[[#This Row],[UTILIDAD (%)]])))-D.sign_Data[[#This Row],[COSTOS OPERACIONALES ($COP)]]</f>
        <v>982.68182211064141</v>
      </c>
      <c r="AB1071" s="3">
        <f>+D.sign_Data[[#This Row],[COSTOS OPERACIONALES ($COP)]]+D.sign_Data[[#This Row],[DESFASE ($COP)]]+D.sign_Data[[#This Row],[UTILIDAD ($COP)]]</f>
        <v>6829.6386636689549</v>
      </c>
      <c r="AC1071" s="101">
        <v>0.05</v>
      </c>
      <c r="AD1071" s="15">
        <f>+D.sign_Data[[#This Row],[VALOR NETO ($COP)]]/(100%-D.sign_Data[[#This Row],[MARGEN DE NEGOCIACIÓN (%)]])-D.sign_Data[[#This Row],[VALOR NETO ($COP)]]</f>
        <v>359.45466650889284</v>
      </c>
      <c r="AE1071" s="15">
        <f>+(D.sign_Data[[#This Row],[VALOR NETO ($COP)]]+D.sign_Data[[#This Row],[NEGOCIACIÓN ($COP)]])*1%</f>
        <v>71.890933301778475</v>
      </c>
      <c r="AF1071" s="15">
        <f>+(D.sign_Data[[#This Row],[VALOR NETO ($COP)]]+D.sign_Data[[#This Row],[NEGOCIACIÓN ($COP)]])*1%</f>
        <v>71.890933301778475</v>
      </c>
      <c r="AG1071" s="3">
        <f>+D.sign_Data[[#This Row],[VALOR NETO ($COP)]]+D.sign_Data[[#This Row],[NEGOCIACIÓN ($COP)]]+D.sign_Data[[#This Row],[ICA ($COP)]]+D.sign_Data[[#This Row],[4 * 1000 ($COP)]]</f>
        <v>7332.8751967814042</v>
      </c>
    </row>
    <row r="1072" spans="1:33" ht="60" hidden="1" customHeight="1" x14ac:dyDescent="0.25">
      <c r="A1072" s="14"/>
      <c r="B1072" s="87" t="s">
        <v>493</v>
      </c>
      <c r="C1072" s="182" t="s">
        <v>971</v>
      </c>
      <c r="D1072" s="189" t="str">
        <f>VLOOKUP(D.sign_Data[[#This Row],[CÓDIGO]],Descripciones[[CÓDIGO]:[NOMBRE DE SERVICIO]],3,FALSE)</f>
        <v>D3. Vivienda Campestre</v>
      </c>
      <c r="E1072" s="87" t="s">
        <v>497</v>
      </c>
      <c r="F1072" s="88" t="s">
        <v>918</v>
      </c>
      <c r="G1072" s="88" t="s">
        <v>597</v>
      </c>
      <c r="H1072" s="104" t="s">
        <v>552</v>
      </c>
      <c r="I1072" s="89">
        <v>1</v>
      </c>
      <c r="J1072" s="88" t="s">
        <v>617</v>
      </c>
      <c r="K1072" s="102"/>
      <c r="L1072" s="88" t="s">
        <v>618</v>
      </c>
      <c r="M1072" s="89" t="s">
        <v>381</v>
      </c>
      <c r="N1072" s="90">
        <v>1</v>
      </c>
      <c r="O1072" s="27">
        <f>IFERROR(+VLOOKUP(M1072,D.sign_Lista_Data[[RESPONSABLE]:[SOFTWARE 
VALOR HORA]],3,FALSE),"0")</f>
        <v>20263.424518743668</v>
      </c>
      <c r="P1072" s="3">
        <f t="shared" si="38"/>
        <v>20263.424518743668</v>
      </c>
      <c r="Q1072" s="11">
        <f>IFERROR(+VLOOKUP(M1072,D.sign_Lista_Data[[RESPONSABLE]:[SOFTWARE 
VALOR HORA]],5,FALSE)*D.sign_Data[[#This Row],[TIEMPO (HORAS)]],0)</f>
        <v>4221.5467747382636</v>
      </c>
      <c r="R1072" s="11">
        <f>IFERROR(+VLOOKUP(M1072,D.sign_Lista_Data[[RESPONSABLE]:[SOFTWARE 
VALOR HORA]],8,FALSE)*D.sign_Data[[#This Row],[TIEMPO (HORAS)]],0)</f>
        <v>3410.8548871439834</v>
      </c>
      <c r="S1072" s="99"/>
      <c r="T1072" s="99"/>
      <c r="U1072" s="3">
        <f t="shared" si="39"/>
        <v>27895.826180625918</v>
      </c>
      <c r="V1072" s="100">
        <f>D.sign_Data[[#This Row],[TIEMPO (HORAS)]]*Gastos_Operativos[[#Totals],[GASTOS HORA]]</f>
        <v>27789.477072310401</v>
      </c>
      <c r="W1072" s="3">
        <f>+D.sign_Data[[#This Row],[COSTO 
DIRECTO ($COP)]]+D.sign_Data[[#This Row],[PRORRATEO GASTOS ($COP)]]</f>
        <v>55685.303252936319</v>
      </c>
      <c r="X1072" s="101">
        <v>0.05</v>
      </c>
      <c r="Y1072" s="15">
        <f>+D.sign_Data[[#This Row],[COSTOS OPERACIONALES ($COP)]]*D.sign_Data[[#This Row],[DESFASE (%)]]</f>
        <v>2784.265162646816</v>
      </c>
      <c r="Z1072" s="101">
        <v>0.15</v>
      </c>
      <c r="AA1072" s="15">
        <f>+((D.sign_Data[[#This Row],[COSTOS OPERACIONALES ($COP)]]/(100%-D.sign_Data[[#This Row],[UTILIDAD (%)]])))-D.sign_Data[[#This Row],[COSTOS OPERACIONALES ($COP)]]</f>
        <v>9826.8182211064122</v>
      </c>
      <c r="AB1072" s="3">
        <f>+D.sign_Data[[#This Row],[COSTOS OPERACIONALES ($COP)]]+D.sign_Data[[#This Row],[DESFASE ($COP)]]+D.sign_Data[[#This Row],[UTILIDAD ($COP)]]</f>
        <v>68296.386636689538</v>
      </c>
      <c r="AC1072" s="101">
        <v>0.05</v>
      </c>
      <c r="AD1072" s="15">
        <f>+D.sign_Data[[#This Row],[VALOR NETO ($COP)]]/(100%-D.sign_Data[[#This Row],[MARGEN DE NEGOCIACIÓN (%)]])-D.sign_Data[[#This Row],[VALOR NETO ($COP)]]</f>
        <v>3594.5466650889284</v>
      </c>
      <c r="AE1072" s="15">
        <f>+(D.sign_Data[[#This Row],[VALOR NETO ($COP)]]+D.sign_Data[[#This Row],[NEGOCIACIÓN ($COP)]])*1%</f>
        <v>718.90933301778466</v>
      </c>
      <c r="AF1072" s="15">
        <f>+(D.sign_Data[[#This Row],[VALOR NETO ($COP)]]+D.sign_Data[[#This Row],[NEGOCIACIÓN ($COP)]])*1%</f>
        <v>718.90933301778466</v>
      </c>
      <c r="AG1072" s="3">
        <f>+D.sign_Data[[#This Row],[VALOR NETO ($COP)]]+D.sign_Data[[#This Row],[NEGOCIACIÓN ($COP)]]+D.sign_Data[[#This Row],[ICA ($COP)]]+D.sign_Data[[#This Row],[4 * 1000 ($COP)]]</f>
        <v>73328.751967814038</v>
      </c>
    </row>
    <row r="1073" spans="1:33" ht="60" hidden="1" customHeight="1" x14ac:dyDescent="0.25">
      <c r="A1073" s="14"/>
      <c r="B1073" s="87" t="s">
        <v>493</v>
      </c>
      <c r="C1073" s="182" t="s">
        <v>971</v>
      </c>
      <c r="D1073" s="189" t="str">
        <f>VLOOKUP(D.sign_Data[[#This Row],[CÓDIGO]],Descripciones[[CÓDIGO]:[NOMBRE DE SERVICIO]],3,FALSE)</f>
        <v>D3. Vivienda Campestre</v>
      </c>
      <c r="E1073" s="87" t="s">
        <v>497</v>
      </c>
      <c r="F1073" s="88" t="s">
        <v>918</v>
      </c>
      <c r="G1073" s="88" t="s">
        <v>597</v>
      </c>
      <c r="H1073" s="104" t="s">
        <v>552</v>
      </c>
      <c r="I1073" s="89">
        <v>1</v>
      </c>
      <c r="J1073" s="88" t="s">
        <v>617</v>
      </c>
      <c r="K1073" s="102"/>
      <c r="L1073" s="88" t="s">
        <v>619</v>
      </c>
      <c r="M1073" s="89" t="s">
        <v>381</v>
      </c>
      <c r="N1073" s="90">
        <v>1</v>
      </c>
      <c r="O1073" s="27">
        <f>IFERROR(+VLOOKUP(M1073,D.sign_Lista_Data[[RESPONSABLE]:[SOFTWARE 
VALOR HORA]],3,FALSE),"0")</f>
        <v>20263.424518743668</v>
      </c>
      <c r="P1073" s="3">
        <f t="shared" ref="P1073:P1133" si="40">+O1073*N1073</f>
        <v>20263.424518743668</v>
      </c>
      <c r="Q1073" s="11">
        <f>IFERROR(+VLOOKUP(M1073,D.sign_Lista_Data[[RESPONSABLE]:[SOFTWARE 
VALOR HORA]],5,FALSE)*D.sign_Data[[#This Row],[TIEMPO (HORAS)]],0)</f>
        <v>4221.5467747382636</v>
      </c>
      <c r="R1073" s="11">
        <f>IFERROR(+VLOOKUP(M1073,D.sign_Lista_Data[[RESPONSABLE]:[SOFTWARE 
VALOR HORA]],8,FALSE)*D.sign_Data[[#This Row],[TIEMPO (HORAS)]],0)</f>
        <v>3410.8548871439834</v>
      </c>
      <c r="S1073" s="99"/>
      <c r="T1073" s="99"/>
      <c r="U1073" s="3">
        <f t="shared" ref="U1073:U1133" si="41">SUM(P1073:T1073)</f>
        <v>27895.826180625918</v>
      </c>
      <c r="V1073" s="100">
        <f>D.sign_Data[[#This Row],[TIEMPO (HORAS)]]*Gastos_Operativos[[#Totals],[GASTOS HORA]]</f>
        <v>27789.477072310401</v>
      </c>
      <c r="W1073" s="3">
        <f>+D.sign_Data[[#This Row],[COSTO 
DIRECTO ($COP)]]+D.sign_Data[[#This Row],[PRORRATEO GASTOS ($COP)]]</f>
        <v>55685.303252936319</v>
      </c>
      <c r="X1073" s="101">
        <v>0.05</v>
      </c>
      <c r="Y1073" s="15">
        <f>+D.sign_Data[[#This Row],[COSTOS OPERACIONALES ($COP)]]*D.sign_Data[[#This Row],[DESFASE (%)]]</f>
        <v>2784.265162646816</v>
      </c>
      <c r="Z1073" s="101">
        <v>0.15</v>
      </c>
      <c r="AA1073" s="15">
        <f>+((D.sign_Data[[#This Row],[COSTOS OPERACIONALES ($COP)]]/(100%-D.sign_Data[[#This Row],[UTILIDAD (%)]])))-D.sign_Data[[#This Row],[COSTOS OPERACIONALES ($COP)]]</f>
        <v>9826.8182211064122</v>
      </c>
      <c r="AB1073" s="3">
        <f>+D.sign_Data[[#This Row],[COSTOS OPERACIONALES ($COP)]]+D.sign_Data[[#This Row],[DESFASE ($COP)]]+D.sign_Data[[#This Row],[UTILIDAD ($COP)]]</f>
        <v>68296.386636689538</v>
      </c>
      <c r="AC1073" s="101">
        <v>0.05</v>
      </c>
      <c r="AD1073" s="15">
        <f>+D.sign_Data[[#This Row],[VALOR NETO ($COP)]]/(100%-D.sign_Data[[#This Row],[MARGEN DE NEGOCIACIÓN (%)]])-D.sign_Data[[#This Row],[VALOR NETO ($COP)]]</f>
        <v>3594.5466650889284</v>
      </c>
      <c r="AE1073" s="15">
        <f>+(D.sign_Data[[#This Row],[VALOR NETO ($COP)]]+D.sign_Data[[#This Row],[NEGOCIACIÓN ($COP)]])*1%</f>
        <v>718.90933301778466</v>
      </c>
      <c r="AF1073" s="15">
        <f>+(D.sign_Data[[#This Row],[VALOR NETO ($COP)]]+D.sign_Data[[#This Row],[NEGOCIACIÓN ($COP)]])*1%</f>
        <v>718.90933301778466</v>
      </c>
      <c r="AG1073" s="3">
        <f>+D.sign_Data[[#This Row],[VALOR NETO ($COP)]]+D.sign_Data[[#This Row],[NEGOCIACIÓN ($COP)]]+D.sign_Data[[#This Row],[ICA ($COP)]]+D.sign_Data[[#This Row],[4 * 1000 ($COP)]]</f>
        <v>73328.751967814038</v>
      </c>
    </row>
    <row r="1074" spans="1:33" ht="60" hidden="1" customHeight="1" x14ac:dyDescent="0.25">
      <c r="A1074" s="14"/>
      <c r="B1074" s="87" t="s">
        <v>493</v>
      </c>
      <c r="C1074" s="182" t="s">
        <v>971</v>
      </c>
      <c r="D1074" s="189" t="str">
        <f>VLOOKUP(D.sign_Data[[#This Row],[CÓDIGO]],Descripciones[[CÓDIGO]:[NOMBRE DE SERVICIO]],3,FALSE)</f>
        <v>D3. Vivienda Campestre</v>
      </c>
      <c r="E1074" s="87" t="s">
        <v>497</v>
      </c>
      <c r="F1074" s="88" t="s">
        <v>918</v>
      </c>
      <c r="G1074" s="88" t="s">
        <v>597</v>
      </c>
      <c r="H1074" s="104" t="s">
        <v>552</v>
      </c>
      <c r="I1074" s="89">
        <v>1</v>
      </c>
      <c r="J1074" s="88" t="s">
        <v>617</v>
      </c>
      <c r="K1074" s="102"/>
      <c r="L1074" s="88" t="s">
        <v>620</v>
      </c>
      <c r="M1074" s="89" t="s">
        <v>381</v>
      </c>
      <c r="N1074" s="90">
        <v>1</v>
      </c>
      <c r="O1074" s="27">
        <f>IFERROR(+VLOOKUP(M1074,D.sign_Lista_Data[[RESPONSABLE]:[SOFTWARE 
VALOR HORA]],3,FALSE),"0")</f>
        <v>20263.424518743668</v>
      </c>
      <c r="P1074" s="3">
        <f t="shared" si="40"/>
        <v>20263.424518743668</v>
      </c>
      <c r="Q1074" s="11">
        <f>IFERROR(+VLOOKUP(M1074,D.sign_Lista_Data[[RESPONSABLE]:[SOFTWARE 
VALOR HORA]],5,FALSE)*D.sign_Data[[#This Row],[TIEMPO (HORAS)]],0)</f>
        <v>4221.5467747382636</v>
      </c>
      <c r="R1074" s="11">
        <f>IFERROR(+VLOOKUP(M1074,D.sign_Lista_Data[[RESPONSABLE]:[SOFTWARE 
VALOR HORA]],8,FALSE)*D.sign_Data[[#This Row],[TIEMPO (HORAS)]],0)</f>
        <v>3410.8548871439834</v>
      </c>
      <c r="S1074" s="99"/>
      <c r="T1074" s="99"/>
      <c r="U1074" s="3">
        <f t="shared" si="41"/>
        <v>27895.826180625918</v>
      </c>
      <c r="V1074" s="100">
        <f>D.sign_Data[[#This Row],[TIEMPO (HORAS)]]*Gastos_Operativos[[#Totals],[GASTOS HORA]]</f>
        <v>27789.477072310401</v>
      </c>
      <c r="W1074" s="3">
        <f>+D.sign_Data[[#This Row],[COSTO 
DIRECTO ($COP)]]+D.sign_Data[[#This Row],[PRORRATEO GASTOS ($COP)]]</f>
        <v>55685.303252936319</v>
      </c>
      <c r="X1074" s="101">
        <v>0.05</v>
      </c>
      <c r="Y1074" s="15">
        <f>+D.sign_Data[[#This Row],[COSTOS OPERACIONALES ($COP)]]*D.sign_Data[[#This Row],[DESFASE (%)]]</f>
        <v>2784.265162646816</v>
      </c>
      <c r="Z1074" s="101">
        <v>0.15</v>
      </c>
      <c r="AA1074" s="15">
        <f>+((D.sign_Data[[#This Row],[COSTOS OPERACIONALES ($COP)]]/(100%-D.sign_Data[[#This Row],[UTILIDAD (%)]])))-D.sign_Data[[#This Row],[COSTOS OPERACIONALES ($COP)]]</f>
        <v>9826.8182211064122</v>
      </c>
      <c r="AB1074" s="3">
        <f>+D.sign_Data[[#This Row],[COSTOS OPERACIONALES ($COP)]]+D.sign_Data[[#This Row],[DESFASE ($COP)]]+D.sign_Data[[#This Row],[UTILIDAD ($COP)]]</f>
        <v>68296.386636689538</v>
      </c>
      <c r="AC1074" s="101">
        <v>0.05</v>
      </c>
      <c r="AD1074" s="15">
        <f>+D.sign_Data[[#This Row],[VALOR NETO ($COP)]]/(100%-D.sign_Data[[#This Row],[MARGEN DE NEGOCIACIÓN (%)]])-D.sign_Data[[#This Row],[VALOR NETO ($COP)]]</f>
        <v>3594.5466650889284</v>
      </c>
      <c r="AE1074" s="15">
        <f>+(D.sign_Data[[#This Row],[VALOR NETO ($COP)]]+D.sign_Data[[#This Row],[NEGOCIACIÓN ($COP)]])*1%</f>
        <v>718.90933301778466</v>
      </c>
      <c r="AF1074" s="15">
        <f>+(D.sign_Data[[#This Row],[VALOR NETO ($COP)]]+D.sign_Data[[#This Row],[NEGOCIACIÓN ($COP)]])*1%</f>
        <v>718.90933301778466</v>
      </c>
      <c r="AG1074" s="3">
        <f>+D.sign_Data[[#This Row],[VALOR NETO ($COP)]]+D.sign_Data[[#This Row],[NEGOCIACIÓN ($COP)]]+D.sign_Data[[#This Row],[ICA ($COP)]]+D.sign_Data[[#This Row],[4 * 1000 ($COP)]]</f>
        <v>73328.751967814038</v>
      </c>
    </row>
    <row r="1075" spans="1:33" ht="60" hidden="1" customHeight="1" x14ac:dyDescent="0.25">
      <c r="A1075" s="14"/>
      <c r="B1075" s="87" t="s">
        <v>493</v>
      </c>
      <c r="C1075" s="182" t="s">
        <v>971</v>
      </c>
      <c r="D1075" s="189" t="str">
        <f>VLOOKUP(D.sign_Data[[#This Row],[CÓDIGO]],Descripciones[[CÓDIGO]:[NOMBRE DE SERVICIO]],3,FALSE)</f>
        <v>D3. Vivienda Campestre</v>
      </c>
      <c r="E1075" s="87" t="s">
        <v>497</v>
      </c>
      <c r="F1075" s="88" t="s">
        <v>918</v>
      </c>
      <c r="G1075" s="88" t="s">
        <v>597</v>
      </c>
      <c r="H1075" s="104" t="s">
        <v>552</v>
      </c>
      <c r="I1075" s="89">
        <v>1</v>
      </c>
      <c r="J1075" s="88" t="s">
        <v>617</v>
      </c>
      <c r="K1075" s="102"/>
      <c r="L1075" s="88" t="s">
        <v>621</v>
      </c>
      <c r="M1075" s="89" t="s">
        <v>381</v>
      </c>
      <c r="N1075" s="90">
        <v>1</v>
      </c>
      <c r="O1075" s="27">
        <f>IFERROR(+VLOOKUP(M1075,D.sign_Lista_Data[[RESPONSABLE]:[SOFTWARE 
VALOR HORA]],3,FALSE),"0")</f>
        <v>20263.424518743668</v>
      </c>
      <c r="P1075" s="3">
        <f t="shared" si="40"/>
        <v>20263.424518743668</v>
      </c>
      <c r="Q1075" s="11">
        <f>IFERROR(+VLOOKUP(M1075,D.sign_Lista_Data[[RESPONSABLE]:[SOFTWARE 
VALOR HORA]],5,FALSE)*D.sign_Data[[#This Row],[TIEMPO (HORAS)]],0)</f>
        <v>4221.5467747382636</v>
      </c>
      <c r="R1075" s="11">
        <f>IFERROR(+VLOOKUP(M1075,D.sign_Lista_Data[[RESPONSABLE]:[SOFTWARE 
VALOR HORA]],8,FALSE)*D.sign_Data[[#This Row],[TIEMPO (HORAS)]],0)</f>
        <v>3410.8548871439834</v>
      </c>
      <c r="S1075" s="99"/>
      <c r="T1075" s="99"/>
      <c r="U1075" s="3">
        <f t="shared" si="41"/>
        <v>27895.826180625918</v>
      </c>
      <c r="V1075" s="100">
        <f>D.sign_Data[[#This Row],[TIEMPO (HORAS)]]*Gastos_Operativos[[#Totals],[GASTOS HORA]]</f>
        <v>27789.477072310401</v>
      </c>
      <c r="W1075" s="3">
        <f>+D.sign_Data[[#This Row],[COSTO 
DIRECTO ($COP)]]+D.sign_Data[[#This Row],[PRORRATEO GASTOS ($COP)]]</f>
        <v>55685.303252936319</v>
      </c>
      <c r="X1075" s="101">
        <v>0.05</v>
      </c>
      <c r="Y1075" s="15">
        <f>+D.sign_Data[[#This Row],[COSTOS OPERACIONALES ($COP)]]*D.sign_Data[[#This Row],[DESFASE (%)]]</f>
        <v>2784.265162646816</v>
      </c>
      <c r="Z1075" s="101">
        <v>0.15</v>
      </c>
      <c r="AA1075" s="15">
        <f>+((D.sign_Data[[#This Row],[COSTOS OPERACIONALES ($COP)]]/(100%-D.sign_Data[[#This Row],[UTILIDAD (%)]])))-D.sign_Data[[#This Row],[COSTOS OPERACIONALES ($COP)]]</f>
        <v>9826.8182211064122</v>
      </c>
      <c r="AB1075" s="3">
        <f>+D.sign_Data[[#This Row],[COSTOS OPERACIONALES ($COP)]]+D.sign_Data[[#This Row],[DESFASE ($COP)]]+D.sign_Data[[#This Row],[UTILIDAD ($COP)]]</f>
        <v>68296.386636689538</v>
      </c>
      <c r="AC1075" s="101">
        <v>0.05</v>
      </c>
      <c r="AD1075" s="15">
        <f>+D.sign_Data[[#This Row],[VALOR NETO ($COP)]]/(100%-D.sign_Data[[#This Row],[MARGEN DE NEGOCIACIÓN (%)]])-D.sign_Data[[#This Row],[VALOR NETO ($COP)]]</f>
        <v>3594.5466650889284</v>
      </c>
      <c r="AE1075" s="15">
        <f>+(D.sign_Data[[#This Row],[VALOR NETO ($COP)]]+D.sign_Data[[#This Row],[NEGOCIACIÓN ($COP)]])*1%</f>
        <v>718.90933301778466</v>
      </c>
      <c r="AF1075" s="15">
        <f>+(D.sign_Data[[#This Row],[VALOR NETO ($COP)]]+D.sign_Data[[#This Row],[NEGOCIACIÓN ($COP)]])*1%</f>
        <v>718.90933301778466</v>
      </c>
      <c r="AG1075" s="3">
        <f>+D.sign_Data[[#This Row],[VALOR NETO ($COP)]]+D.sign_Data[[#This Row],[NEGOCIACIÓN ($COP)]]+D.sign_Data[[#This Row],[ICA ($COP)]]+D.sign_Data[[#This Row],[4 * 1000 ($COP)]]</f>
        <v>73328.751967814038</v>
      </c>
    </row>
    <row r="1076" spans="1:33" ht="60" hidden="1" customHeight="1" x14ac:dyDescent="0.25">
      <c r="A1076" s="14"/>
      <c r="B1076" s="87" t="s">
        <v>493</v>
      </c>
      <c r="C1076" s="182" t="s">
        <v>971</v>
      </c>
      <c r="D1076" s="189" t="str">
        <f>VLOOKUP(D.sign_Data[[#This Row],[CÓDIGO]],Descripciones[[CÓDIGO]:[NOMBRE DE SERVICIO]],3,FALSE)</f>
        <v>D3. Vivienda Campestre</v>
      </c>
      <c r="E1076" s="87" t="s">
        <v>497</v>
      </c>
      <c r="F1076" s="88" t="s">
        <v>918</v>
      </c>
      <c r="G1076" s="88" t="s">
        <v>597</v>
      </c>
      <c r="H1076" s="104" t="s">
        <v>552</v>
      </c>
      <c r="I1076" s="89">
        <v>1</v>
      </c>
      <c r="J1076" s="88" t="s">
        <v>617</v>
      </c>
      <c r="K1076" s="102"/>
      <c r="L1076" s="88" t="s">
        <v>622</v>
      </c>
      <c r="M1076" s="89" t="s">
        <v>381</v>
      </c>
      <c r="N1076" s="90">
        <v>2</v>
      </c>
      <c r="O1076" s="27">
        <f>IFERROR(+VLOOKUP(M1076,D.sign_Lista_Data[[RESPONSABLE]:[SOFTWARE 
VALOR HORA]],3,FALSE),"0")</f>
        <v>20263.424518743668</v>
      </c>
      <c r="P1076" s="3">
        <f t="shared" si="40"/>
        <v>40526.849037487336</v>
      </c>
      <c r="Q1076" s="11">
        <f>IFERROR(+VLOOKUP(M1076,D.sign_Lista_Data[[RESPONSABLE]:[SOFTWARE 
VALOR HORA]],5,FALSE)*D.sign_Data[[#This Row],[TIEMPO (HORAS)]],0)</f>
        <v>8443.0935494765272</v>
      </c>
      <c r="R1076" s="11">
        <f>IFERROR(+VLOOKUP(M1076,D.sign_Lista_Data[[RESPONSABLE]:[SOFTWARE 
VALOR HORA]],8,FALSE)*D.sign_Data[[#This Row],[TIEMPO (HORAS)]],0)</f>
        <v>6821.7097742879669</v>
      </c>
      <c r="S1076" s="99"/>
      <c r="T1076" s="99"/>
      <c r="U1076" s="3">
        <f t="shared" si="41"/>
        <v>55791.652361251836</v>
      </c>
      <c r="V1076" s="100">
        <f>D.sign_Data[[#This Row],[TIEMPO (HORAS)]]*Gastos_Operativos[[#Totals],[GASTOS HORA]]</f>
        <v>55578.954144620802</v>
      </c>
      <c r="W1076" s="3">
        <f>+D.sign_Data[[#This Row],[COSTO 
DIRECTO ($COP)]]+D.sign_Data[[#This Row],[PRORRATEO GASTOS ($COP)]]</f>
        <v>111370.60650587264</v>
      </c>
      <c r="X1076" s="101">
        <v>0.05</v>
      </c>
      <c r="Y1076" s="15">
        <f>+D.sign_Data[[#This Row],[COSTOS OPERACIONALES ($COP)]]*D.sign_Data[[#This Row],[DESFASE (%)]]</f>
        <v>5568.5303252936319</v>
      </c>
      <c r="Z1076" s="101">
        <v>0.15</v>
      </c>
      <c r="AA1076" s="15">
        <f>+((D.sign_Data[[#This Row],[COSTOS OPERACIONALES ($COP)]]/(100%-D.sign_Data[[#This Row],[UTILIDAD (%)]])))-D.sign_Data[[#This Row],[COSTOS OPERACIONALES ($COP)]]</f>
        <v>19653.636442212824</v>
      </c>
      <c r="AB1076" s="3">
        <f>+D.sign_Data[[#This Row],[COSTOS OPERACIONALES ($COP)]]+D.sign_Data[[#This Row],[DESFASE ($COP)]]+D.sign_Data[[#This Row],[UTILIDAD ($COP)]]</f>
        <v>136592.77327337908</v>
      </c>
      <c r="AC1076" s="101">
        <v>0.05</v>
      </c>
      <c r="AD1076" s="15">
        <f>+D.sign_Data[[#This Row],[VALOR NETO ($COP)]]/(100%-D.sign_Data[[#This Row],[MARGEN DE NEGOCIACIÓN (%)]])-D.sign_Data[[#This Row],[VALOR NETO ($COP)]]</f>
        <v>7189.0933301778568</v>
      </c>
      <c r="AE1076" s="15">
        <f>+(D.sign_Data[[#This Row],[VALOR NETO ($COP)]]+D.sign_Data[[#This Row],[NEGOCIACIÓN ($COP)]])*1%</f>
        <v>1437.8186660355693</v>
      </c>
      <c r="AF1076" s="15">
        <f>+(D.sign_Data[[#This Row],[VALOR NETO ($COP)]]+D.sign_Data[[#This Row],[NEGOCIACIÓN ($COP)]])*1%</f>
        <v>1437.8186660355693</v>
      </c>
      <c r="AG1076" s="3">
        <f>+D.sign_Data[[#This Row],[VALOR NETO ($COP)]]+D.sign_Data[[#This Row],[NEGOCIACIÓN ($COP)]]+D.sign_Data[[#This Row],[ICA ($COP)]]+D.sign_Data[[#This Row],[4 * 1000 ($COP)]]</f>
        <v>146657.50393562808</v>
      </c>
    </row>
    <row r="1077" spans="1:33" ht="60" hidden="1" customHeight="1" x14ac:dyDescent="0.25">
      <c r="A1077" s="14"/>
      <c r="B1077" s="87" t="s">
        <v>493</v>
      </c>
      <c r="C1077" s="182" t="s">
        <v>971</v>
      </c>
      <c r="D1077" s="189" t="str">
        <f>VLOOKUP(D.sign_Data[[#This Row],[CÓDIGO]],Descripciones[[CÓDIGO]:[NOMBRE DE SERVICIO]],3,FALSE)</f>
        <v>D3. Vivienda Campestre</v>
      </c>
      <c r="E1077" s="87" t="s">
        <v>497</v>
      </c>
      <c r="F1077" s="88" t="s">
        <v>918</v>
      </c>
      <c r="G1077" s="88" t="s">
        <v>597</v>
      </c>
      <c r="H1077" s="104" t="s">
        <v>552</v>
      </c>
      <c r="I1077" s="89">
        <v>1</v>
      </c>
      <c r="J1077" s="88" t="s">
        <v>617</v>
      </c>
      <c r="K1077" s="102"/>
      <c r="L1077" s="88" t="s">
        <v>623</v>
      </c>
      <c r="M1077" s="89" t="s">
        <v>381</v>
      </c>
      <c r="N1077" s="90">
        <v>2</v>
      </c>
      <c r="O1077" s="27">
        <f>IFERROR(+VLOOKUP(M1077,D.sign_Lista_Data[[RESPONSABLE]:[SOFTWARE 
VALOR HORA]],3,FALSE),"0")</f>
        <v>20263.424518743668</v>
      </c>
      <c r="P1077" s="3">
        <f t="shared" si="40"/>
        <v>40526.849037487336</v>
      </c>
      <c r="Q1077" s="11">
        <f>IFERROR(+VLOOKUP(M1077,D.sign_Lista_Data[[RESPONSABLE]:[SOFTWARE 
VALOR HORA]],5,FALSE)*D.sign_Data[[#This Row],[TIEMPO (HORAS)]],0)</f>
        <v>8443.0935494765272</v>
      </c>
      <c r="R1077" s="11">
        <f>IFERROR(+VLOOKUP(M1077,D.sign_Lista_Data[[RESPONSABLE]:[SOFTWARE 
VALOR HORA]],8,FALSE)*D.sign_Data[[#This Row],[TIEMPO (HORAS)]],0)</f>
        <v>6821.7097742879669</v>
      </c>
      <c r="S1077" s="99"/>
      <c r="T1077" s="99"/>
      <c r="U1077" s="3">
        <f t="shared" si="41"/>
        <v>55791.652361251836</v>
      </c>
      <c r="V1077" s="100">
        <f>D.sign_Data[[#This Row],[TIEMPO (HORAS)]]*Gastos_Operativos[[#Totals],[GASTOS HORA]]</f>
        <v>55578.954144620802</v>
      </c>
      <c r="W1077" s="3">
        <f>+D.sign_Data[[#This Row],[COSTO 
DIRECTO ($COP)]]+D.sign_Data[[#This Row],[PRORRATEO GASTOS ($COP)]]</f>
        <v>111370.60650587264</v>
      </c>
      <c r="X1077" s="101">
        <v>0.05</v>
      </c>
      <c r="Y1077" s="15">
        <f>+D.sign_Data[[#This Row],[COSTOS OPERACIONALES ($COP)]]*D.sign_Data[[#This Row],[DESFASE (%)]]</f>
        <v>5568.5303252936319</v>
      </c>
      <c r="Z1077" s="101">
        <v>0.15</v>
      </c>
      <c r="AA1077" s="15">
        <f>+((D.sign_Data[[#This Row],[COSTOS OPERACIONALES ($COP)]]/(100%-D.sign_Data[[#This Row],[UTILIDAD (%)]])))-D.sign_Data[[#This Row],[COSTOS OPERACIONALES ($COP)]]</f>
        <v>19653.636442212824</v>
      </c>
      <c r="AB1077" s="3">
        <f>+D.sign_Data[[#This Row],[COSTOS OPERACIONALES ($COP)]]+D.sign_Data[[#This Row],[DESFASE ($COP)]]+D.sign_Data[[#This Row],[UTILIDAD ($COP)]]</f>
        <v>136592.77327337908</v>
      </c>
      <c r="AC1077" s="101">
        <v>0.05</v>
      </c>
      <c r="AD1077" s="15">
        <f>+D.sign_Data[[#This Row],[VALOR NETO ($COP)]]/(100%-D.sign_Data[[#This Row],[MARGEN DE NEGOCIACIÓN (%)]])-D.sign_Data[[#This Row],[VALOR NETO ($COP)]]</f>
        <v>7189.0933301778568</v>
      </c>
      <c r="AE1077" s="15">
        <f>+(D.sign_Data[[#This Row],[VALOR NETO ($COP)]]+D.sign_Data[[#This Row],[NEGOCIACIÓN ($COP)]])*1%</f>
        <v>1437.8186660355693</v>
      </c>
      <c r="AF1077" s="15">
        <f>+(D.sign_Data[[#This Row],[VALOR NETO ($COP)]]+D.sign_Data[[#This Row],[NEGOCIACIÓN ($COP)]])*1%</f>
        <v>1437.8186660355693</v>
      </c>
      <c r="AG1077" s="3">
        <f>+D.sign_Data[[#This Row],[VALOR NETO ($COP)]]+D.sign_Data[[#This Row],[NEGOCIACIÓN ($COP)]]+D.sign_Data[[#This Row],[ICA ($COP)]]+D.sign_Data[[#This Row],[4 * 1000 ($COP)]]</f>
        <v>146657.50393562808</v>
      </c>
    </row>
    <row r="1078" spans="1:33" ht="60" hidden="1" customHeight="1" x14ac:dyDescent="0.25">
      <c r="A1078" s="14"/>
      <c r="B1078" s="87" t="s">
        <v>493</v>
      </c>
      <c r="C1078" s="182" t="s">
        <v>971</v>
      </c>
      <c r="D1078" s="189" t="str">
        <f>VLOOKUP(D.sign_Data[[#This Row],[CÓDIGO]],Descripciones[[CÓDIGO]:[NOMBRE DE SERVICIO]],3,FALSE)</f>
        <v>D3. Vivienda Campestre</v>
      </c>
      <c r="E1078" s="87" t="s">
        <v>497</v>
      </c>
      <c r="F1078" s="88" t="s">
        <v>918</v>
      </c>
      <c r="G1078" s="88" t="s">
        <v>597</v>
      </c>
      <c r="H1078" s="104" t="s">
        <v>552</v>
      </c>
      <c r="I1078" s="89">
        <v>1</v>
      </c>
      <c r="J1078" s="88" t="s">
        <v>617</v>
      </c>
      <c r="K1078" s="102"/>
      <c r="L1078" s="88" t="s">
        <v>483</v>
      </c>
      <c r="M1078" s="89" t="s">
        <v>381</v>
      </c>
      <c r="N1078" s="90">
        <v>1.5</v>
      </c>
      <c r="O1078" s="27">
        <f>IFERROR(+VLOOKUP(M1078,D.sign_Lista_Data[[RESPONSABLE]:[SOFTWARE 
VALOR HORA]],3,FALSE),"0")</f>
        <v>20263.424518743668</v>
      </c>
      <c r="P1078" s="3">
        <f t="shared" si="40"/>
        <v>30395.136778115502</v>
      </c>
      <c r="Q1078" s="11">
        <f>IFERROR(+VLOOKUP(M1078,D.sign_Lista_Data[[RESPONSABLE]:[SOFTWARE 
VALOR HORA]],5,FALSE)*D.sign_Data[[#This Row],[TIEMPO (HORAS)]],0)</f>
        <v>6332.3201621073949</v>
      </c>
      <c r="R1078" s="11">
        <f>IFERROR(+VLOOKUP(M1078,D.sign_Lista_Data[[RESPONSABLE]:[SOFTWARE 
VALOR HORA]],8,FALSE)*D.sign_Data[[#This Row],[TIEMPO (HORAS)]],0)</f>
        <v>5116.2823307159751</v>
      </c>
      <c r="S1078" s="99"/>
      <c r="T1078" s="99"/>
      <c r="U1078" s="3">
        <f t="shared" si="41"/>
        <v>41843.739270938873</v>
      </c>
      <c r="V1078" s="100">
        <f>D.sign_Data[[#This Row],[TIEMPO (HORAS)]]*Gastos_Operativos[[#Totals],[GASTOS HORA]]</f>
        <v>41684.215608465602</v>
      </c>
      <c r="W1078" s="3">
        <f>+D.sign_Data[[#This Row],[COSTO 
DIRECTO ($COP)]]+D.sign_Data[[#This Row],[PRORRATEO GASTOS ($COP)]]</f>
        <v>83527.954879404482</v>
      </c>
      <c r="X1078" s="101">
        <v>0.05</v>
      </c>
      <c r="Y1078" s="15">
        <f>+D.sign_Data[[#This Row],[COSTOS OPERACIONALES ($COP)]]*D.sign_Data[[#This Row],[DESFASE (%)]]</f>
        <v>4176.3977439702239</v>
      </c>
      <c r="Z1078" s="101">
        <v>0.15</v>
      </c>
      <c r="AA1078" s="15">
        <f>+((D.sign_Data[[#This Row],[COSTOS OPERACIONALES ($COP)]]/(100%-D.sign_Data[[#This Row],[UTILIDAD (%)]])))-D.sign_Data[[#This Row],[COSTOS OPERACIONALES ($COP)]]</f>
        <v>14740.227331659611</v>
      </c>
      <c r="AB1078" s="3">
        <f>+D.sign_Data[[#This Row],[COSTOS OPERACIONALES ($COP)]]+D.sign_Data[[#This Row],[DESFASE ($COP)]]+D.sign_Data[[#This Row],[UTILIDAD ($COP)]]</f>
        <v>102444.57995503432</v>
      </c>
      <c r="AC1078" s="101">
        <v>0.05</v>
      </c>
      <c r="AD1078" s="15">
        <f>+D.sign_Data[[#This Row],[VALOR NETO ($COP)]]/(100%-D.sign_Data[[#This Row],[MARGEN DE NEGOCIACIÓN (%)]])-D.sign_Data[[#This Row],[VALOR NETO ($COP)]]</f>
        <v>5391.8199976333854</v>
      </c>
      <c r="AE1078" s="15">
        <f>+(D.sign_Data[[#This Row],[VALOR NETO ($COP)]]+D.sign_Data[[#This Row],[NEGOCIACIÓN ($COP)]])*1%</f>
        <v>1078.3639995266772</v>
      </c>
      <c r="AF1078" s="15">
        <f>+(D.sign_Data[[#This Row],[VALOR NETO ($COP)]]+D.sign_Data[[#This Row],[NEGOCIACIÓN ($COP)]])*1%</f>
        <v>1078.3639995266772</v>
      </c>
      <c r="AG1078" s="3">
        <f>+D.sign_Data[[#This Row],[VALOR NETO ($COP)]]+D.sign_Data[[#This Row],[NEGOCIACIÓN ($COP)]]+D.sign_Data[[#This Row],[ICA ($COP)]]+D.sign_Data[[#This Row],[4 * 1000 ($COP)]]</f>
        <v>109993.12795172105</v>
      </c>
    </row>
    <row r="1079" spans="1:33" ht="60" hidden="1" customHeight="1" x14ac:dyDescent="0.25">
      <c r="A1079" s="14"/>
      <c r="B1079" s="87" t="s">
        <v>493</v>
      </c>
      <c r="C1079" s="182" t="s">
        <v>971</v>
      </c>
      <c r="D1079" s="189" t="str">
        <f>VLOOKUP(D.sign_Data[[#This Row],[CÓDIGO]],Descripciones[[CÓDIGO]:[NOMBRE DE SERVICIO]],3,FALSE)</f>
        <v>D3. Vivienda Campestre</v>
      </c>
      <c r="E1079" s="87" t="s">
        <v>497</v>
      </c>
      <c r="F1079" s="88" t="s">
        <v>918</v>
      </c>
      <c r="G1079" s="88" t="s">
        <v>597</v>
      </c>
      <c r="H1079" s="104" t="s">
        <v>552</v>
      </c>
      <c r="I1079" s="89">
        <v>1</v>
      </c>
      <c r="J1079" s="88" t="s">
        <v>617</v>
      </c>
      <c r="K1079" s="102"/>
      <c r="L1079" s="88" t="s">
        <v>624</v>
      </c>
      <c r="M1079" s="89" t="s">
        <v>381</v>
      </c>
      <c r="N1079" s="90">
        <v>1</v>
      </c>
      <c r="O1079" s="27">
        <f>IFERROR(+VLOOKUP(M1079,D.sign_Lista_Data[[RESPONSABLE]:[SOFTWARE 
VALOR HORA]],3,FALSE),"0")</f>
        <v>20263.424518743668</v>
      </c>
      <c r="P1079" s="3">
        <f t="shared" si="40"/>
        <v>20263.424518743668</v>
      </c>
      <c r="Q1079" s="11">
        <f>IFERROR(+VLOOKUP(M1079,D.sign_Lista_Data[[RESPONSABLE]:[SOFTWARE 
VALOR HORA]],5,FALSE)*D.sign_Data[[#This Row],[TIEMPO (HORAS)]],0)</f>
        <v>4221.5467747382636</v>
      </c>
      <c r="R1079" s="11">
        <f>IFERROR(+VLOOKUP(M1079,D.sign_Lista_Data[[RESPONSABLE]:[SOFTWARE 
VALOR HORA]],8,FALSE)*D.sign_Data[[#This Row],[TIEMPO (HORAS)]],0)</f>
        <v>3410.8548871439834</v>
      </c>
      <c r="S1079" s="99"/>
      <c r="T1079" s="99"/>
      <c r="U1079" s="3">
        <f t="shared" si="41"/>
        <v>27895.826180625918</v>
      </c>
      <c r="V1079" s="100">
        <f>D.sign_Data[[#This Row],[TIEMPO (HORAS)]]*Gastos_Operativos[[#Totals],[GASTOS HORA]]</f>
        <v>27789.477072310401</v>
      </c>
      <c r="W1079" s="3">
        <f>+D.sign_Data[[#This Row],[COSTO 
DIRECTO ($COP)]]+D.sign_Data[[#This Row],[PRORRATEO GASTOS ($COP)]]</f>
        <v>55685.303252936319</v>
      </c>
      <c r="X1079" s="101">
        <v>0.05</v>
      </c>
      <c r="Y1079" s="15">
        <f>+D.sign_Data[[#This Row],[COSTOS OPERACIONALES ($COP)]]*D.sign_Data[[#This Row],[DESFASE (%)]]</f>
        <v>2784.265162646816</v>
      </c>
      <c r="Z1079" s="101">
        <v>0.15</v>
      </c>
      <c r="AA1079" s="15">
        <f>+((D.sign_Data[[#This Row],[COSTOS OPERACIONALES ($COP)]]/(100%-D.sign_Data[[#This Row],[UTILIDAD (%)]])))-D.sign_Data[[#This Row],[COSTOS OPERACIONALES ($COP)]]</f>
        <v>9826.8182211064122</v>
      </c>
      <c r="AB1079" s="3">
        <f>+D.sign_Data[[#This Row],[COSTOS OPERACIONALES ($COP)]]+D.sign_Data[[#This Row],[DESFASE ($COP)]]+D.sign_Data[[#This Row],[UTILIDAD ($COP)]]</f>
        <v>68296.386636689538</v>
      </c>
      <c r="AC1079" s="101">
        <v>0.05</v>
      </c>
      <c r="AD1079" s="15">
        <f>+D.sign_Data[[#This Row],[VALOR NETO ($COP)]]/(100%-D.sign_Data[[#This Row],[MARGEN DE NEGOCIACIÓN (%)]])-D.sign_Data[[#This Row],[VALOR NETO ($COP)]]</f>
        <v>3594.5466650889284</v>
      </c>
      <c r="AE1079" s="15">
        <f>+(D.sign_Data[[#This Row],[VALOR NETO ($COP)]]+D.sign_Data[[#This Row],[NEGOCIACIÓN ($COP)]])*1%</f>
        <v>718.90933301778466</v>
      </c>
      <c r="AF1079" s="15">
        <f>+(D.sign_Data[[#This Row],[VALOR NETO ($COP)]]+D.sign_Data[[#This Row],[NEGOCIACIÓN ($COP)]])*1%</f>
        <v>718.90933301778466</v>
      </c>
      <c r="AG1079" s="3">
        <f>+D.sign_Data[[#This Row],[VALOR NETO ($COP)]]+D.sign_Data[[#This Row],[NEGOCIACIÓN ($COP)]]+D.sign_Data[[#This Row],[ICA ($COP)]]+D.sign_Data[[#This Row],[4 * 1000 ($COP)]]</f>
        <v>73328.751967814038</v>
      </c>
    </row>
    <row r="1080" spans="1:33" ht="60" hidden="1" customHeight="1" x14ac:dyDescent="0.25">
      <c r="A1080" s="14"/>
      <c r="B1080" s="87" t="s">
        <v>493</v>
      </c>
      <c r="C1080" s="182" t="s">
        <v>971</v>
      </c>
      <c r="D1080" s="189" t="str">
        <f>VLOOKUP(D.sign_Data[[#This Row],[CÓDIGO]],Descripciones[[CÓDIGO]:[NOMBRE DE SERVICIO]],3,FALSE)</f>
        <v>D3. Vivienda Campestre</v>
      </c>
      <c r="E1080" s="87" t="s">
        <v>497</v>
      </c>
      <c r="F1080" s="88" t="s">
        <v>918</v>
      </c>
      <c r="G1080" s="88" t="s">
        <v>597</v>
      </c>
      <c r="H1080" s="104" t="s">
        <v>552</v>
      </c>
      <c r="I1080" s="89">
        <v>1</v>
      </c>
      <c r="J1080" s="88" t="s">
        <v>617</v>
      </c>
      <c r="K1080" s="102"/>
      <c r="L1080" s="88" t="s">
        <v>579</v>
      </c>
      <c r="M1080" s="89" t="s">
        <v>381</v>
      </c>
      <c r="N1080" s="90">
        <v>1</v>
      </c>
      <c r="O1080" s="27">
        <f>IFERROR(+VLOOKUP(M1080,D.sign_Lista_Data[[RESPONSABLE]:[SOFTWARE 
VALOR HORA]],3,FALSE),"0")</f>
        <v>20263.424518743668</v>
      </c>
      <c r="P1080" s="3">
        <f t="shared" si="40"/>
        <v>20263.424518743668</v>
      </c>
      <c r="Q1080" s="11">
        <f>IFERROR(+VLOOKUP(M1080,D.sign_Lista_Data[[RESPONSABLE]:[SOFTWARE 
VALOR HORA]],5,FALSE)*D.sign_Data[[#This Row],[TIEMPO (HORAS)]],0)</f>
        <v>4221.5467747382636</v>
      </c>
      <c r="R1080" s="11">
        <f>IFERROR(+VLOOKUP(M1080,D.sign_Lista_Data[[RESPONSABLE]:[SOFTWARE 
VALOR HORA]],8,FALSE)*D.sign_Data[[#This Row],[TIEMPO (HORAS)]],0)</f>
        <v>3410.8548871439834</v>
      </c>
      <c r="S1080" s="99"/>
      <c r="T1080" s="99"/>
      <c r="U1080" s="3">
        <f t="shared" si="41"/>
        <v>27895.826180625918</v>
      </c>
      <c r="V1080" s="100">
        <f>D.sign_Data[[#This Row],[TIEMPO (HORAS)]]*Gastos_Operativos[[#Totals],[GASTOS HORA]]</f>
        <v>27789.477072310401</v>
      </c>
      <c r="W1080" s="3">
        <f>+D.sign_Data[[#This Row],[COSTO 
DIRECTO ($COP)]]+D.sign_Data[[#This Row],[PRORRATEO GASTOS ($COP)]]</f>
        <v>55685.303252936319</v>
      </c>
      <c r="X1080" s="101">
        <v>0.05</v>
      </c>
      <c r="Y1080" s="15">
        <f>+D.sign_Data[[#This Row],[COSTOS OPERACIONALES ($COP)]]*D.sign_Data[[#This Row],[DESFASE (%)]]</f>
        <v>2784.265162646816</v>
      </c>
      <c r="Z1080" s="101">
        <v>0.15</v>
      </c>
      <c r="AA1080" s="15">
        <f>+((D.sign_Data[[#This Row],[COSTOS OPERACIONALES ($COP)]]/(100%-D.sign_Data[[#This Row],[UTILIDAD (%)]])))-D.sign_Data[[#This Row],[COSTOS OPERACIONALES ($COP)]]</f>
        <v>9826.8182211064122</v>
      </c>
      <c r="AB1080" s="3">
        <f>+D.sign_Data[[#This Row],[COSTOS OPERACIONALES ($COP)]]+D.sign_Data[[#This Row],[DESFASE ($COP)]]+D.sign_Data[[#This Row],[UTILIDAD ($COP)]]</f>
        <v>68296.386636689538</v>
      </c>
      <c r="AC1080" s="101">
        <v>0.05</v>
      </c>
      <c r="AD1080" s="15">
        <f>+D.sign_Data[[#This Row],[VALOR NETO ($COP)]]/(100%-D.sign_Data[[#This Row],[MARGEN DE NEGOCIACIÓN (%)]])-D.sign_Data[[#This Row],[VALOR NETO ($COP)]]</f>
        <v>3594.5466650889284</v>
      </c>
      <c r="AE1080" s="15">
        <f>+(D.sign_Data[[#This Row],[VALOR NETO ($COP)]]+D.sign_Data[[#This Row],[NEGOCIACIÓN ($COP)]])*1%</f>
        <v>718.90933301778466</v>
      </c>
      <c r="AF1080" s="15">
        <f>+(D.sign_Data[[#This Row],[VALOR NETO ($COP)]]+D.sign_Data[[#This Row],[NEGOCIACIÓN ($COP)]])*1%</f>
        <v>718.90933301778466</v>
      </c>
      <c r="AG1080" s="3">
        <f>+D.sign_Data[[#This Row],[VALOR NETO ($COP)]]+D.sign_Data[[#This Row],[NEGOCIACIÓN ($COP)]]+D.sign_Data[[#This Row],[ICA ($COP)]]+D.sign_Data[[#This Row],[4 * 1000 ($COP)]]</f>
        <v>73328.751967814038</v>
      </c>
    </row>
    <row r="1081" spans="1:33" ht="60" hidden="1" customHeight="1" x14ac:dyDescent="0.25">
      <c r="A1081" s="14"/>
      <c r="B1081" s="87" t="s">
        <v>493</v>
      </c>
      <c r="C1081" s="182" t="s">
        <v>971</v>
      </c>
      <c r="D1081" s="189" t="str">
        <f>VLOOKUP(D.sign_Data[[#This Row],[CÓDIGO]],Descripciones[[CÓDIGO]:[NOMBRE DE SERVICIO]],3,FALSE)</f>
        <v>D3. Vivienda Campestre</v>
      </c>
      <c r="E1081" s="87" t="s">
        <v>497</v>
      </c>
      <c r="F1081" s="88" t="s">
        <v>918</v>
      </c>
      <c r="G1081" s="88" t="s">
        <v>597</v>
      </c>
      <c r="H1081" s="104" t="s">
        <v>552</v>
      </c>
      <c r="I1081" s="89">
        <v>1</v>
      </c>
      <c r="J1081" s="88" t="s">
        <v>617</v>
      </c>
      <c r="K1081" s="102"/>
      <c r="L1081" s="88" t="s">
        <v>625</v>
      </c>
      <c r="M1081" s="89" t="s">
        <v>381</v>
      </c>
      <c r="N1081" s="90">
        <v>1</v>
      </c>
      <c r="O1081" s="27">
        <f>IFERROR(+VLOOKUP(M1081,D.sign_Lista_Data[[RESPONSABLE]:[SOFTWARE 
VALOR HORA]],3,FALSE),"0")</f>
        <v>20263.424518743668</v>
      </c>
      <c r="P1081" s="3">
        <f t="shared" si="40"/>
        <v>20263.424518743668</v>
      </c>
      <c r="Q1081" s="11">
        <f>IFERROR(+VLOOKUP(M1081,D.sign_Lista_Data[[RESPONSABLE]:[SOFTWARE 
VALOR HORA]],5,FALSE)*D.sign_Data[[#This Row],[TIEMPO (HORAS)]],0)</f>
        <v>4221.5467747382636</v>
      </c>
      <c r="R1081" s="11">
        <f>IFERROR(+VLOOKUP(M1081,D.sign_Lista_Data[[RESPONSABLE]:[SOFTWARE 
VALOR HORA]],8,FALSE)*D.sign_Data[[#This Row],[TIEMPO (HORAS)]],0)</f>
        <v>3410.8548871439834</v>
      </c>
      <c r="S1081" s="99"/>
      <c r="T1081" s="99"/>
      <c r="U1081" s="3">
        <f t="shared" si="41"/>
        <v>27895.826180625918</v>
      </c>
      <c r="V1081" s="100">
        <f>D.sign_Data[[#This Row],[TIEMPO (HORAS)]]*Gastos_Operativos[[#Totals],[GASTOS HORA]]</f>
        <v>27789.477072310401</v>
      </c>
      <c r="W1081" s="3">
        <f>+D.sign_Data[[#This Row],[COSTO 
DIRECTO ($COP)]]+D.sign_Data[[#This Row],[PRORRATEO GASTOS ($COP)]]</f>
        <v>55685.303252936319</v>
      </c>
      <c r="X1081" s="101">
        <v>0.05</v>
      </c>
      <c r="Y1081" s="15">
        <f>+D.sign_Data[[#This Row],[COSTOS OPERACIONALES ($COP)]]*D.sign_Data[[#This Row],[DESFASE (%)]]</f>
        <v>2784.265162646816</v>
      </c>
      <c r="Z1081" s="101">
        <v>0.15</v>
      </c>
      <c r="AA1081" s="15">
        <f>+((D.sign_Data[[#This Row],[COSTOS OPERACIONALES ($COP)]]/(100%-D.sign_Data[[#This Row],[UTILIDAD (%)]])))-D.sign_Data[[#This Row],[COSTOS OPERACIONALES ($COP)]]</f>
        <v>9826.8182211064122</v>
      </c>
      <c r="AB1081" s="3">
        <f>+D.sign_Data[[#This Row],[COSTOS OPERACIONALES ($COP)]]+D.sign_Data[[#This Row],[DESFASE ($COP)]]+D.sign_Data[[#This Row],[UTILIDAD ($COP)]]</f>
        <v>68296.386636689538</v>
      </c>
      <c r="AC1081" s="101">
        <v>0.05</v>
      </c>
      <c r="AD1081" s="15">
        <f>+D.sign_Data[[#This Row],[VALOR NETO ($COP)]]/(100%-D.sign_Data[[#This Row],[MARGEN DE NEGOCIACIÓN (%)]])-D.sign_Data[[#This Row],[VALOR NETO ($COP)]]</f>
        <v>3594.5466650889284</v>
      </c>
      <c r="AE1081" s="15">
        <f>+(D.sign_Data[[#This Row],[VALOR NETO ($COP)]]+D.sign_Data[[#This Row],[NEGOCIACIÓN ($COP)]])*1%</f>
        <v>718.90933301778466</v>
      </c>
      <c r="AF1081" s="15">
        <f>+(D.sign_Data[[#This Row],[VALOR NETO ($COP)]]+D.sign_Data[[#This Row],[NEGOCIACIÓN ($COP)]])*1%</f>
        <v>718.90933301778466</v>
      </c>
      <c r="AG1081" s="3">
        <f>+D.sign_Data[[#This Row],[VALOR NETO ($COP)]]+D.sign_Data[[#This Row],[NEGOCIACIÓN ($COP)]]+D.sign_Data[[#This Row],[ICA ($COP)]]+D.sign_Data[[#This Row],[4 * 1000 ($COP)]]</f>
        <v>73328.751967814038</v>
      </c>
    </row>
    <row r="1082" spans="1:33" ht="60" hidden="1" customHeight="1" x14ac:dyDescent="0.25">
      <c r="A1082" s="14"/>
      <c r="B1082" s="87" t="s">
        <v>493</v>
      </c>
      <c r="C1082" s="182" t="s">
        <v>971</v>
      </c>
      <c r="D1082" s="189" t="str">
        <f>VLOOKUP(D.sign_Data[[#This Row],[CÓDIGO]],Descripciones[[CÓDIGO]:[NOMBRE DE SERVICIO]],3,FALSE)</f>
        <v>D3. Vivienda Campestre</v>
      </c>
      <c r="E1082" s="87" t="s">
        <v>497</v>
      </c>
      <c r="F1082" s="88" t="s">
        <v>918</v>
      </c>
      <c r="G1082" s="88" t="s">
        <v>597</v>
      </c>
      <c r="H1082" s="104" t="s">
        <v>552</v>
      </c>
      <c r="I1082" s="89">
        <v>1</v>
      </c>
      <c r="J1082" s="88" t="s">
        <v>617</v>
      </c>
      <c r="K1082" s="102"/>
      <c r="L1082" s="88" t="s">
        <v>572</v>
      </c>
      <c r="M1082" s="89" t="s">
        <v>381</v>
      </c>
      <c r="N1082" s="90">
        <v>0.1</v>
      </c>
      <c r="O1082" s="27">
        <f>IFERROR(+VLOOKUP(M1082,D.sign_Lista_Data[[RESPONSABLE]:[SOFTWARE 
VALOR HORA]],3,FALSE),"0")</f>
        <v>20263.424518743668</v>
      </c>
      <c r="P1082" s="3">
        <f t="shared" si="40"/>
        <v>2026.3424518743668</v>
      </c>
      <c r="Q1082" s="11">
        <f>IFERROR(+VLOOKUP(M1082,D.sign_Lista_Data[[RESPONSABLE]:[SOFTWARE 
VALOR HORA]],5,FALSE)*D.sign_Data[[#This Row],[TIEMPO (HORAS)]],0)</f>
        <v>422.15467747382638</v>
      </c>
      <c r="R1082" s="11">
        <f>IFERROR(+VLOOKUP(M1082,D.sign_Lista_Data[[RESPONSABLE]:[SOFTWARE 
VALOR HORA]],8,FALSE)*D.sign_Data[[#This Row],[TIEMPO (HORAS)]],0)</f>
        <v>341.08548871439837</v>
      </c>
      <c r="S1082" s="99"/>
      <c r="T1082" s="99"/>
      <c r="U1082" s="3">
        <f t="shared" si="41"/>
        <v>2789.5826180625913</v>
      </c>
      <c r="V1082" s="100">
        <f>D.sign_Data[[#This Row],[TIEMPO (HORAS)]]*Gastos_Operativos[[#Totals],[GASTOS HORA]]</f>
        <v>2778.9477072310401</v>
      </c>
      <c r="W1082" s="3">
        <f>+D.sign_Data[[#This Row],[COSTO 
DIRECTO ($COP)]]+D.sign_Data[[#This Row],[PRORRATEO GASTOS ($COP)]]</f>
        <v>5568.5303252936319</v>
      </c>
      <c r="X1082" s="101">
        <v>0.05</v>
      </c>
      <c r="Y1082" s="15">
        <f>+D.sign_Data[[#This Row],[COSTOS OPERACIONALES ($COP)]]*D.sign_Data[[#This Row],[DESFASE (%)]]</f>
        <v>278.4265162646816</v>
      </c>
      <c r="Z1082" s="101">
        <v>0.15</v>
      </c>
      <c r="AA1082" s="15">
        <f>+((D.sign_Data[[#This Row],[COSTOS OPERACIONALES ($COP)]]/(100%-D.sign_Data[[#This Row],[UTILIDAD (%)]])))-D.sign_Data[[#This Row],[COSTOS OPERACIONALES ($COP)]]</f>
        <v>982.68182211064141</v>
      </c>
      <c r="AB1082" s="3">
        <f>+D.sign_Data[[#This Row],[COSTOS OPERACIONALES ($COP)]]+D.sign_Data[[#This Row],[DESFASE ($COP)]]+D.sign_Data[[#This Row],[UTILIDAD ($COP)]]</f>
        <v>6829.6386636689549</v>
      </c>
      <c r="AC1082" s="101">
        <v>0.05</v>
      </c>
      <c r="AD1082" s="15">
        <f>+D.sign_Data[[#This Row],[VALOR NETO ($COP)]]/(100%-D.sign_Data[[#This Row],[MARGEN DE NEGOCIACIÓN (%)]])-D.sign_Data[[#This Row],[VALOR NETO ($COP)]]</f>
        <v>359.45466650889284</v>
      </c>
      <c r="AE1082" s="15">
        <f>+(D.sign_Data[[#This Row],[VALOR NETO ($COP)]]+D.sign_Data[[#This Row],[NEGOCIACIÓN ($COP)]])*1%</f>
        <v>71.890933301778475</v>
      </c>
      <c r="AF1082" s="15">
        <f>+(D.sign_Data[[#This Row],[VALOR NETO ($COP)]]+D.sign_Data[[#This Row],[NEGOCIACIÓN ($COP)]])*1%</f>
        <v>71.890933301778475</v>
      </c>
      <c r="AG1082" s="3">
        <f>+D.sign_Data[[#This Row],[VALOR NETO ($COP)]]+D.sign_Data[[#This Row],[NEGOCIACIÓN ($COP)]]+D.sign_Data[[#This Row],[ICA ($COP)]]+D.sign_Data[[#This Row],[4 * 1000 ($COP)]]</f>
        <v>7332.8751967814042</v>
      </c>
    </row>
    <row r="1083" spans="1:33" ht="60" hidden="1" customHeight="1" x14ac:dyDescent="0.25">
      <c r="A1083" s="14"/>
      <c r="B1083" s="87" t="s">
        <v>493</v>
      </c>
      <c r="C1083" s="182" t="s">
        <v>971</v>
      </c>
      <c r="D1083" s="189" t="str">
        <f>VLOOKUP(D.sign_Data[[#This Row],[CÓDIGO]],Descripciones[[CÓDIGO]:[NOMBRE DE SERVICIO]],3,FALSE)</f>
        <v>D3. Vivienda Campestre</v>
      </c>
      <c r="E1083" s="87" t="s">
        <v>497</v>
      </c>
      <c r="F1083" s="88" t="s">
        <v>918</v>
      </c>
      <c r="G1083" s="88" t="s">
        <v>626</v>
      </c>
      <c r="H1083" s="104" t="s">
        <v>552</v>
      </c>
      <c r="I1083" s="89">
        <v>1</v>
      </c>
      <c r="J1083" s="88" t="s">
        <v>627</v>
      </c>
      <c r="K1083" s="102"/>
      <c r="L1083" s="88" t="s">
        <v>628</v>
      </c>
      <c r="M1083" s="89" t="s">
        <v>381</v>
      </c>
      <c r="N1083" s="90">
        <v>1</v>
      </c>
      <c r="O1083" s="27">
        <f>IFERROR(+VLOOKUP(M1083,D.sign_Lista_Data[[RESPONSABLE]:[SOFTWARE 
VALOR HORA]],3,FALSE),"0")</f>
        <v>20263.424518743668</v>
      </c>
      <c r="P1083" s="3">
        <f t="shared" si="40"/>
        <v>20263.424518743668</v>
      </c>
      <c r="Q1083" s="11">
        <f>IFERROR(+VLOOKUP(M1083,D.sign_Lista_Data[[RESPONSABLE]:[SOFTWARE 
VALOR HORA]],5,FALSE)*D.sign_Data[[#This Row],[TIEMPO (HORAS)]],0)</f>
        <v>4221.5467747382636</v>
      </c>
      <c r="R1083" s="11">
        <f>IFERROR(+VLOOKUP(M1083,D.sign_Lista_Data[[RESPONSABLE]:[SOFTWARE 
VALOR HORA]],8,FALSE)*D.sign_Data[[#This Row],[TIEMPO (HORAS)]],0)</f>
        <v>3410.8548871439834</v>
      </c>
      <c r="S1083" s="99"/>
      <c r="T1083" s="99"/>
      <c r="U1083" s="3">
        <f t="shared" si="41"/>
        <v>27895.826180625918</v>
      </c>
      <c r="V1083" s="100">
        <f>D.sign_Data[[#This Row],[TIEMPO (HORAS)]]*Gastos_Operativos[[#Totals],[GASTOS HORA]]</f>
        <v>27789.477072310401</v>
      </c>
      <c r="W1083" s="3">
        <f>+D.sign_Data[[#This Row],[COSTO 
DIRECTO ($COP)]]+D.sign_Data[[#This Row],[PRORRATEO GASTOS ($COP)]]</f>
        <v>55685.303252936319</v>
      </c>
      <c r="X1083" s="101">
        <v>0.05</v>
      </c>
      <c r="Y1083" s="15">
        <f>+D.sign_Data[[#This Row],[COSTOS OPERACIONALES ($COP)]]*D.sign_Data[[#This Row],[DESFASE (%)]]</f>
        <v>2784.265162646816</v>
      </c>
      <c r="Z1083" s="101">
        <v>0.15</v>
      </c>
      <c r="AA1083" s="15">
        <f>+((D.sign_Data[[#This Row],[COSTOS OPERACIONALES ($COP)]]/(100%-D.sign_Data[[#This Row],[UTILIDAD (%)]])))-D.sign_Data[[#This Row],[COSTOS OPERACIONALES ($COP)]]</f>
        <v>9826.8182211064122</v>
      </c>
      <c r="AB1083" s="3">
        <f>+D.sign_Data[[#This Row],[COSTOS OPERACIONALES ($COP)]]+D.sign_Data[[#This Row],[DESFASE ($COP)]]+D.sign_Data[[#This Row],[UTILIDAD ($COP)]]</f>
        <v>68296.386636689538</v>
      </c>
      <c r="AC1083" s="101">
        <v>0.05</v>
      </c>
      <c r="AD1083" s="15">
        <f>+D.sign_Data[[#This Row],[VALOR NETO ($COP)]]/(100%-D.sign_Data[[#This Row],[MARGEN DE NEGOCIACIÓN (%)]])-D.sign_Data[[#This Row],[VALOR NETO ($COP)]]</f>
        <v>3594.5466650889284</v>
      </c>
      <c r="AE1083" s="15">
        <f>+(D.sign_Data[[#This Row],[VALOR NETO ($COP)]]+D.sign_Data[[#This Row],[NEGOCIACIÓN ($COP)]])*1%</f>
        <v>718.90933301778466</v>
      </c>
      <c r="AF1083" s="15">
        <f>+(D.sign_Data[[#This Row],[VALOR NETO ($COP)]]+D.sign_Data[[#This Row],[NEGOCIACIÓN ($COP)]])*1%</f>
        <v>718.90933301778466</v>
      </c>
      <c r="AG1083" s="3">
        <f>+D.sign_Data[[#This Row],[VALOR NETO ($COP)]]+D.sign_Data[[#This Row],[NEGOCIACIÓN ($COP)]]+D.sign_Data[[#This Row],[ICA ($COP)]]+D.sign_Data[[#This Row],[4 * 1000 ($COP)]]</f>
        <v>73328.751967814038</v>
      </c>
    </row>
    <row r="1084" spans="1:33" ht="60" hidden="1" customHeight="1" x14ac:dyDescent="0.25">
      <c r="A1084" s="14"/>
      <c r="B1084" s="87" t="s">
        <v>493</v>
      </c>
      <c r="C1084" s="182" t="s">
        <v>971</v>
      </c>
      <c r="D1084" s="189" t="str">
        <f>VLOOKUP(D.sign_Data[[#This Row],[CÓDIGO]],Descripciones[[CÓDIGO]:[NOMBRE DE SERVICIO]],3,FALSE)</f>
        <v>D3. Vivienda Campestre</v>
      </c>
      <c r="E1084" s="87" t="s">
        <v>497</v>
      </c>
      <c r="F1084" s="88" t="s">
        <v>918</v>
      </c>
      <c r="G1084" s="88" t="s">
        <v>626</v>
      </c>
      <c r="H1084" s="104" t="s">
        <v>552</v>
      </c>
      <c r="I1084" s="89">
        <v>1</v>
      </c>
      <c r="J1084" s="88" t="s">
        <v>627</v>
      </c>
      <c r="K1084" s="102"/>
      <c r="L1084" s="88" t="s">
        <v>629</v>
      </c>
      <c r="M1084" s="89" t="s">
        <v>381</v>
      </c>
      <c r="N1084" s="90">
        <v>1</v>
      </c>
      <c r="O1084" s="27">
        <f>IFERROR(+VLOOKUP(M1084,D.sign_Lista_Data[[RESPONSABLE]:[SOFTWARE 
VALOR HORA]],3,FALSE),"0")</f>
        <v>20263.424518743668</v>
      </c>
      <c r="P1084" s="3">
        <f t="shared" si="40"/>
        <v>20263.424518743668</v>
      </c>
      <c r="Q1084" s="11">
        <f>IFERROR(+VLOOKUP(M1084,D.sign_Lista_Data[[RESPONSABLE]:[SOFTWARE 
VALOR HORA]],5,FALSE)*D.sign_Data[[#This Row],[TIEMPO (HORAS)]],0)</f>
        <v>4221.5467747382636</v>
      </c>
      <c r="R1084" s="11">
        <f>IFERROR(+VLOOKUP(M1084,D.sign_Lista_Data[[RESPONSABLE]:[SOFTWARE 
VALOR HORA]],8,FALSE)*D.sign_Data[[#This Row],[TIEMPO (HORAS)]],0)</f>
        <v>3410.8548871439834</v>
      </c>
      <c r="S1084" s="99"/>
      <c r="T1084" s="99"/>
      <c r="U1084" s="3">
        <f t="shared" si="41"/>
        <v>27895.826180625918</v>
      </c>
      <c r="V1084" s="100">
        <f>D.sign_Data[[#This Row],[TIEMPO (HORAS)]]*Gastos_Operativos[[#Totals],[GASTOS HORA]]</f>
        <v>27789.477072310401</v>
      </c>
      <c r="W1084" s="3">
        <f>+D.sign_Data[[#This Row],[COSTO 
DIRECTO ($COP)]]+D.sign_Data[[#This Row],[PRORRATEO GASTOS ($COP)]]</f>
        <v>55685.303252936319</v>
      </c>
      <c r="X1084" s="101">
        <v>0.05</v>
      </c>
      <c r="Y1084" s="15">
        <f>+D.sign_Data[[#This Row],[COSTOS OPERACIONALES ($COP)]]*D.sign_Data[[#This Row],[DESFASE (%)]]</f>
        <v>2784.265162646816</v>
      </c>
      <c r="Z1084" s="101">
        <v>0.15</v>
      </c>
      <c r="AA1084" s="15">
        <f>+((D.sign_Data[[#This Row],[COSTOS OPERACIONALES ($COP)]]/(100%-D.sign_Data[[#This Row],[UTILIDAD (%)]])))-D.sign_Data[[#This Row],[COSTOS OPERACIONALES ($COP)]]</f>
        <v>9826.8182211064122</v>
      </c>
      <c r="AB1084" s="3">
        <f>+D.sign_Data[[#This Row],[COSTOS OPERACIONALES ($COP)]]+D.sign_Data[[#This Row],[DESFASE ($COP)]]+D.sign_Data[[#This Row],[UTILIDAD ($COP)]]</f>
        <v>68296.386636689538</v>
      </c>
      <c r="AC1084" s="101">
        <v>0.05</v>
      </c>
      <c r="AD1084" s="15">
        <f>+D.sign_Data[[#This Row],[VALOR NETO ($COP)]]/(100%-D.sign_Data[[#This Row],[MARGEN DE NEGOCIACIÓN (%)]])-D.sign_Data[[#This Row],[VALOR NETO ($COP)]]</f>
        <v>3594.5466650889284</v>
      </c>
      <c r="AE1084" s="15">
        <f>+(D.sign_Data[[#This Row],[VALOR NETO ($COP)]]+D.sign_Data[[#This Row],[NEGOCIACIÓN ($COP)]])*1%</f>
        <v>718.90933301778466</v>
      </c>
      <c r="AF1084" s="15">
        <f>+(D.sign_Data[[#This Row],[VALOR NETO ($COP)]]+D.sign_Data[[#This Row],[NEGOCIACIÓN ($COP)]])*1%</f>
        <v>718.90933301778466</v>
      </c>
      <c r="AG1084" s="3">
        <f>+D.sign_Data[[#This Row],[VALOR NETO ($COP)]]+D.sign_Data[[#This Row],[NEGOCIACIÓN ($COP)]]+D.sign_Data[[#This Row],[ICA ($COP)]]+D.sign_Data[[#This Row],[4 * 1000 ($COP)]]</f>
        <v>73328.751967814038</v>
      </c>
    </row>
    <row r="1085" spans="1:33" ht="60" hidden="1" customHeight="1" x14ac:dyDescent="0.25">
      <c r="A1085" s="14"/>
      <c r="B1085" s="87" t="s">
        <v>493</v>
      </c>
      <c r="C1085" s="182" t="s">
        <v>971</v>
      </c>
      <c r="D1085" s="189" t="str">
        <f>VLOOKUP(D.sign_Data[[#This Row],[CÓDIGO]],Descripciones[[CÓDIGO]:[NOMBRE DE SERVICIO]],3,FALSE)</f>
        <v>D3. Vivienda Campestre</v>
      </c>
      <c r="E1085" s="87" t="s">
        <v>497</v>
      </c>
      <c r="F1085" s="88" t="s">
        <v>918</v>
      </c>
      <c r="G1085" s="88" t="s">
        <v>626</v>
      </c>
      <c r="H1085" s="104" t="s">
        <v>552</v>
      </c>
      <c r="I1085" s="89">
        <v>1</v>
      </c>
      <c r="J1085" s="88" t="s">
        <v>627</v>
      </c>
      <c r="K1085" s="102"/>
      <c r="L1085" s="88" t="s">
        <v>630</v>
      </c>
      <c r="M1085" s="89" t="s">
        <v>381</v>
      </c>
      <c r="N1085" s="90">
        <v>2</v>
      </c>
      <c r="O1085" s="27">
        <f>IFERROR(+VLOOKUP(M1085,D.sign_Lista_Data[[RESPONSABLE]:[SOFTWARE 
VALOR HORA]],3,FALSE),"0")</f>
        <v>20263.424518743668</v>
      </c>
      <c r="P1085" s="3">
        <f t="shared" si="40"/>
        <v>40526.849037487336</v>
      </c>
      <c r="Q1085" s="11">
        <f>IFERROR(+VLOOKUP(M1085,D.sign_Lista_Data[[RESPONSABLE]:[SOFTWARE 
VALOR HORA]],5,FALSE)*D.sign_Data[[#This Row],[TIEMPO (HORAS)]],0)</f>
        <v>8443.0935494765272</v>
      </c>
      <c r="R1085" s="11">
        <f>IFERROR(+VLOOKUP(M1085,D.sign_Lista_Data[[RESPONSABLE]:[SOFTWARE 
VALOR HORA]],8,FALSE)*D.sign_Data[[#This Row],[TIEMPO (HORAS)]],0)</f>
        <v>6821.7097742879669</v>
      </c>
      <c r="S1085" s="99"/>
      <c r="T1085" s="99"/>
      <c r="U1085" s="3">
        <f t="shared" si="41"/>
        <v>55791.652361251836</v>
      </c>
      <c r="V1085" s="100">
        <f>D.sign_Data[[#This Row],[TIEMPO (HORAS)]]*Gastos_Operativos[[#Totals],[GASTOS HORA]]</f>
        <v>55578.954144620802</v>
      </c>
      <c r="W1085" s="3">
        <f>+D.sign_Data[[#This Row],[COSTO 
DIRECTO ($COP)]]+D.sign_Data[[#This Row],[PRORRATEO GASTOS ($COP)]]</f>
        <v>111370.60650587264</v>
      </c>
      <c r="X1085" s="101">
        <v>0.05</v>
      </c>
      <c r="Y1085" s="15">
        <f>+D.sign_Data[[#This Row],[COSTOS OPERACIONALES ($COP)]]*D.sign_Data[[#This Row],[DESFASE (%)]]</f>
        <v>5568.5303252936319</v>
      </c>
      <c r="Z1085" s="101">
        <v>0.15</v>
      </c>
      <c r="AA1085" s="15">
        <f>+((D.sign_Data[[#This Row],[COSTOS OPERACIONALES ($COP)]]/(100%-D.sign_Data[[#This Row],[UTILIDAD (%)]])))-D.sign_Data[[#This Row],[COSTOS OPERACIONALES ($COP)]]</f>
        <v>19653.636442212824</v>
      </c>
      <c r="AB1085" s="3">
        <f>+D.sign_Data[[#This Row],[COSTOS OPERACIONALES ($COP)]]+D.sign_Data[[#This Row],[DESFASE ($COP)]]+D.sign_Data[[#This Row],[UTILIDAD ($COP)]]</f>
        <v>136592.77327337908</v>
      </c>
      <c r="AC1085" s="101">
        <v>0.05</v>
      </c>
      <c r="AD1085" s="15">
        <f>+D.sign_Data[[#This Row],[VALOR NETO ($COP)]]/(100%-D.sign_Data[[#This Row],[MARGEN DE NEGOCIACIÓN (%)]])-D.sign_Data[[#This Row],[VALOR NETO ($COP)]]</f>
        <v>7189.0933301778568</v>
      </c>
      <c r="AE1085" s="15">
        <f>+(D.sign_Data[[#This Row],[VALOR NETO ($COP)]]+D.sign_Data[[#This Row],[NEGOCIACIÓN ($COP)]])*1%</f>
        <v>1437.8186660355693</v>
      </c>
      <c r="AF1085" s="15">
        <f>+(D.sign_Data[[#This Row],[VALOR NETO ($COP)]]+D.sign_Data[[#This Row],[NEGOCIACIÓN ($COP)]])*1%</f>
        <v>1437.8186660355693</v>
      </c>
      <c r="AG1085" s="3">
        <f>+D.sign_Data[[#This Row],[VALOR NETO ($COP)]]+D.sign_Data[[#This Row],[NEGOCIACIÓN ($COP)]]+D.sign_Data[[#This Row],[ICA ($COP)]]+D.sign_Data[[#This Row],[4 * 1000 ($COP)]]</f>
        <v>146657.50393562808</v>
      </c>
    </row>
    <row r="1086" spans="1:33" ht="60" hidden="1" customHeight="1" x14ac:dyDescent="0.25">
      <c r="A1086" s="14"/>
      <c r="B1086" s="87" t="s">
        <v>493</v>
      </c>
      <c r="C1086" s="182" t="s">
        <v>971</v>
      </c>
      <c r="D1086" s="189" t="str">
        <f>VLOOKUP(D.sign_Data[[#This Row],[CÓDIGO]],Descripciones[[CÓDIGO]:[NOMBRE DE SERVICIO]],3,FALSE)</f>
        <v>D3. Vivienda Campestre</v>
      </c>
      <c r="E1086" s="87" t="s">
        <v>497</v>
      </c>
      <c r="F1086" s="88" t="s">
        <v>918</v>
      </c>
      <c r="G1086" s="88" t="s">
        <v>626</v>
      </c>
      <c r="H1086" s="104" t="s">
        <v>552</v>
      </c>
      <c r="I1086" s="89">
        <v>1</v>
      </c>
      <c r="J1086" s="88" t="s">
        <v>627</v>
      </c>
      <c r="K1086" s="102"/>
      <c r="L1086" s="88" t="s">
        <v>483</v>
      </c>
      <c r="M1086" s="89" t="s">
        <v>381</v>
      </c>
      <c r="N1086" s="90">
        <v>1</v>
      </c>
      <c r="O1086" s="27">
        <f>IFERROR(+VLOOKUP(M1086,D.sign_Lista_Data[[RESPONSABLE]:[SOFTWARE 
VALOR HORA]],3,FALSE),"0")</f>
        <v>20263.424518743668</v>
      </c>
      <c r="P1086" s="3">
        <f t="shared" si="40"/>
        <v>20263.424518743668</v>
      </c>
      <c r="Q1086" s="11">
        <f>IFERROR(+VLOOKUP(M1086,D.sign_Lista_Data[[RESPONSABLE]:[SOFTWARE 
VALOR HORA]],5,FALSE)*D.sign_Data[[#This Row],[TIEMPO (HORAS)]],0)</f>
        <v>4221.5467747382636</v>
      </c>
      <c r="R1086" s="11">
        <f>IFERROR(+VLOOKUP(M1086,D.sign_Lista_Data[[RESPONSABLE]:[SOFTWARE 
VALOR HORA]],8,FALSE)*D.sign_Data[[#This Row],[TIEMPO (HORAS)]],0)</f>
        <v>3410.8548871439834</v>
      </c>
      <c r="S1086" s="99"/>
      <c r="T1086" s="99"/>
      <c r="U1086" s="3">
        <f t="shared" si="41"/>
        <v>27895.826180625918</v>
      </c>
      <c r="V1086" s="100">
        <f>D.sign_Data[[#This Row],[TIEMPO (HORAS)]]*Gastos_Operativos[[#Totals],[GASTOS HORA]]</f>
        <v>27789.477072310401</v>
      </c>
      <c r="W1086" s="3">
        <f>+D.sign_Data[[#This Row],[COSTO 
DIRECTO ($COP)]]+D.sign_Data[[#This Row],[PRORRATEO GASTOS ($COP)]]</f>
        <v>55685.303252936319</v>
      </c>
      <c r="X1086" s="101">
        <v>0.05</v>
      </c>
      <c r="Y1086" s="15">
        <f>+D.sign_Data[[#This Row],[COSTOS OPERACIONALES ($COP)]]*D.sign_Data[[#This Row],[DESFASE (%)]]</f>
        <v>2784.265162646816</v>
      </c>
      <c r="Z1086" s="101">
        <v>0.15</v>
      </c>
      <c r="AA1086" s="15">
        <f>+((D.sign_Data[[#This Row],[COSTOS OPERACIONALES ($COP)]]/(100%-D.sign_Data[[#This Row],[UTILIDAD (%)]])))-D.sign_Data[[#This Row],[COSTOS OPERACIONALES ($COP)]]</f>
        <v>9826.8182211064122</v>
      </c>
      <c r="AB1086" s="3">
        <f>+D.sign_Data[[#This Row],[COSTOS OPERACIONALES ($COP)]]+D.sign_Data[[#This Row],[DESFASE ($COP)]]+D.sign_Data[[#This Row],[UTILIDAD ($COP)]]</f>
        <v>68296.386636689538</v>
      </c>
      <c r="AC1086" s="101">
        <v>0.05</v>
      </c>
      <c r="AD1086" s="15">
        <f>+D.sign_Data[[#This Row],[VALOR NETO ($COP)]]/(100%-D.sign_Data[[#This Row],[MARGEN DE NEGOCIACIÓN (%)]])-D.sign_Data[[#This Row],[VALOR NETO ($COP)]]</f>
        <v>3594.5466650889284</v>
      </c>
      <c r="AE1086" s="15">
        <f>+(D.sign_Data[[#This Row],[VALOR NETO ($COP)]]+D.sign_Data[[#This Row],[NEGOCIACIÓN ($COP)]])*1%</f>
        <v>718.90933301778466</v>
      </c>
      <c r="AF1086" s="15">
        <f>+(D.sign_Data[[#This Row],[VALOR NETO ($COP)]]+D.sign_Data[[#This Row],[NEGOCIACIÓN ($COP)]])*1%</f>
        <v>718.90933301778466</v>
      </c>
      <c r="AG1086" s="3">
        <f>+D.sign_Data[[#This Row],[VALOR NETO ($COP)]]+D.sign_Data[[#This Row],[NEGOCIACIÓN ($COP)]]+D.sign_Data[[#This Row],[ICA ($COP)]]+D.sign_Data[[#This Row],[4 * 1000 ($COP)]]</f>
        <v>73328.751967814038</v>
      </c>
    </row>
    <row r="1087" spans="1:33" ht="60" hidden="1" customHeight="1" x14ac:dyDescent="0.25">
      <c r="A1087" s="14"/>
      <c r="B1087" s="87" t="s">
        <v>493</v>
      </c>
      <c r="C1087" s="182" t="s">
        <v>971</v>
      </c>
      <c r="D1087" s="189" t="str">
        <f>VLOOKUP(D.sign_Data[[#This Row],[CÓDIGO]],Descripciones[[CÓDIGO]:[NOMBRE DE SERVICIO]],3,FALSE)</f>
        <v>D3. Vivienda Campestre</v>
      </c>
      <c r="E1087" s="87" t="s">
        <v>497</v>
      </c>
      <c r="F1087" s="88" t="s">
        <v>918</v>
      </c>
      <c r="G1087" s="88" t="s">
        <v>626</v>
      </c>
      <c r="H1087" s="104" t="s">
        <v>552</v>
      </c>
      <c r="I1087" s="89">
        <v>1</v>
      </c>
      <c r="J1087" s="88" t="s">
        <v>627</v>
      </c>
      <c r="K1087" s="102"/>
      <c r="L1087" s="88" t="s">
        <v>624</v>
      </c>
      <c r="M1087" s="89" t="s">
        <v>381</v>
      </c>
      <c r="N1087" s="90">
        <v>1</v>
      </c>
      <c r="O1087" s="27">
        <f>IFERROR(+VLOOKUP(M1087,D.sign_Lista_Data[[RESPONSABLE]:[SOFTWARE 
VALOR HORA]],3,FALSE),"0")</f>
        <v>20263.424518743668</v>
      </c>
      <c r="P1087" s="3">
        <f t="shared" si="40"/>
        <v>20263.424518743668</v>
      </c>
      <c r="Q1087" s="11">
        <f>IFERROR(+VLOOKUP(M1087,D.sign_Lista_Data[[RESPONSABLE]:[SOFTWARE 
VALOR HORA]],5,FALSE)*D.sign_Data[[#This Row],[TIEMPO (HORAS)]],0)</f>
        <v>4221.5467747382636</v>
      </c>
      <c r="R1087" s="11">
        <f>IFERROR(+VLOOKUP(M1087,D.sign_Lista_Data[[RESPONSABLE]:[SOFTWARE 
VALOR HORA]],8,FALSE)*D.sign_Data[[#This Row],[TIEMPO (HORAS)]],0)</f>
        <v>3410.8548871439834</v>
      </c>
      <c r="S1087" s="99"/>
      <c r="T1087" s="99"/>
      <c r="U1087" s="3">
        <f t="shared" si="41"/>
        <v>27895.826180625918</v>
      </c>
      <c r="V1087" s="100">
        <f>D.sign_Data[[#This Row],[TIEMPO (HORAS)]]*Gastos_Operativos[[#Totals],[GASTOS HORA]]</f>
        <v>27789.477072310401</v>
      </c>
      <c r="W1087" s="3">
        <f>+D.sign_Data[[#This Row],[COSTO 
DIRECTO ($COP)]]+D.sign_Data[[#This Row],[PRORRATEO GASTOS ($COP)]]</f>
        <v>55685.303252936319</v>
      </c>
      <c r="X1087" s="101">
        <v>0.05</v>
      </c>
      <c r="Y1087" s="15">
        <f>+D.sign_Data[[#This Row],[COSTOS OPERACIONALES ($COP)]]*D.sign_Data[[#This Row],[DESFASE (%)]]</f>
        <v>2784.265162646816</v>
      </c>
      <c r="Z1087" s="101">
        <v>0.15</v>
      </c>
      <c r="AA1087" s="15">
        <f>+((D.sign_Data[[#This Row],[COSTOS OPERACIONALES ($COP)]]/(100%-D.sign_Data[[#This Row],[UTILIDAD (%)]])))-D.sign_Data[[#This Row],[COSTOS OPERACIONALES ($COP)]]</f>
        <v>9826.8182211064122</v>
      </c>
      <c r="AB1087" s="3">
        <f>+D.sign_Data[[#This Row],[COSTOS OPERACIONALES ($COP)]]+D.sign_Data[[#This Row],[DESFASE ($COP)]]+D.sign_Data[[#This Row],[UTILIDAD ($COP)]]</f>
        <v>68296.386636689538</v>
      </c>
      <c r="AC1087" s="101">
        <v>0.05</v>
      </c>
      <c r="AD1087" s="15">
        <f>+D.sign_Data[[#This Row],[VALOR NETO ($COP)]]/(100%-D.sign_Data[[#This Row],[MARGEN DE NEGOCIACIÓN (%)]])-D.sign_Data[[#This Row],[VALOR NETO ($COP)]]</f>
        <v>3594.5466650889284</v>
      </c>
      <c r="AE1087" s="15">
        <f>+(D.sign_Data[[#This Row],[VALOR NETO ($COP)]]+D.sign_Data[[#This Row],[NEGOCIACIÓN ($COP)]])*1%</f>
        <v>718.90933301778466</v>
      </c>
      <c r="AF1087" s="15">
        <f>+(D.sign_Data[[#This Row],[VALOR NETO ($COP)]]+D.sign_Data[[#This Row],[NEGOCIACIÓN ($COP)]])*1%</f>
        <v>718.90933301778466</v>
      </c>
      <c r="AG1087" s="3">
        <f>+D.sign_Data[[#This Row],[VALOR NETO ($COP)]]+D.sign_Data[[#This Row],[NEGOCIACIÓN ($COP)]]+D.sign_Data[[#This Row],[ICA ($COP)]]+D.sign_Data[[#This Row],[4 * 1000 ($COP)]]</f>
        <v>73328.751967814038</v>
      </c>
    </row>
    <row r="1088" spans="1:33" ht="60" hidden="1" customHeight="1" x14ac:dyDescent="0.25">
      <c r="A1088" s="14"/>
      <c r="B1088" s="87" t="s">
        <v>493</v>
      </c>
      <c r="C1088" s="182" t="s">
        <v>971</v>
      </c>
      <c r="D1088" s="189" t="str">
        <f>VLOOKUP(D.sign_Data[[#This Row],[CÓDIGO]],Descripciones[[CÓDIGO]:[NOMBRE DE SERVICIO]],3,FALSE)</f>
        <v>D3. Vivienda Campestre</v>
      </c>
      <c r="E1088" s="87" t="s">
        <v>497</v>
      </c>
      <c r="F1088" s="88" t="s">
        <v>918</v>
      </c>
      <c r="G1088" s="88" t="s">
        <v>626</v>
      </c>
      <c r="H1088" s="104" t="s">
        <v>552</v>
      </c>
      <c r="I1088" s="89">
        <v>1</v>
      </c>
      <c r="J1088" s="88" t="s">
        <v>627</v>
      </c>
      <c r="K1088" s="102"/>
      <c r="L1088" s="88" t="s">
        <v>579</v>
      </c>
      <c r="M1088" s="89" t="s">
        <v>381</v>
      </c>
      <c r="N1088" s="90">
        <v>2</v>
      </c>
      <c r="O1088" s="27">
        <f>IFERROR(+VLOOKUP(M1088,D.sign_Lista_Data[[RESPONSABLE]:[SOFTWARE 
VALOR HORA]],3,FALSE),"0")</f>
        <v>20263.424518743668</v>
      </c>
      <c r="P1088" s="3">
        <f t="shared" si="40"/>
        <v>40526.849037487336</v>
      </c>
      <c r="Q1088" s="11">
        <f>IFERROR(+VLOOKUP(M1088,D.sign_Lista_Data[[RESPONSABLE]:[SOFTWARE 
VALOR HORA]],5,FALSE)*D.sign_Data[[#This Row],[TIEMPO (HORAS)]],0)</f>
        <v>8443.0935494765272</v>
      </c>
      <c r="R1088" s="11">
        <f>IFERROR(+VLOOKUP(M1088,D.sign_Lista_Data[[RESPONSABLE]:[SOFTWARE 
VALOR HORA]],8,FALSE)*D.sign_Data[[#This Row],[TIEMPO (HORAS)]],0)</f>
        <v>6821.7097742879669</v>
      </c>
      <c r="S1088" s="99"/>
      <c r="T1088" s="99"/>
      <c r="U1088" s="3">
        <f t="shared" si="41"/>
        <v>55791.652361251836</v>
      </c>
      <c r="V1088" s="100">
        <f>D.sign_Data[[#This Row],[TIEMPO (HORAS)]]*Gastos_Operativos[[#Totals],[GASTOS HORA]]</f>
        <v>55578.954144620802</v>
      </c>
      <c r="W1088" s="3">
        <f>+D.sign_Data[[#This Row],[COSTO 
DIRECTO ($COP)]]+D.sign_Data[[#This Row],[PRORRATEO GASTOS ($COP)]]</f>
        <v>111370.60650587264</v>
      </c>
      <c r="X1088" s="101">
        <v>0.05</v>
      </c>
      <c r="Y1088" s="15">
        <f>+D.sign_Data[[#This Row],[COSTOS OPERACIONALES ($COP)]]*D.sign_Data[[#This Row],[DESFASE (%)]]</f>
        <v>5568.5303252936319</v>
      </c>
      <c r="Z1088" s="101">
        <v>0.15</v>
      </c>
      <c r="AA1088" s="15">
        <f>+((D.sign_Data[[#This Row],[COSTOS OPERACIONALES ($COP)]]/(100%-D.sign_Data[[#This Row],[UTILIDAD (%)]])))-D.sign_Data[[#This Row],[COSTOS OPERACIONALES ($COP)]]</f>
        <v>19653.636442212824</v>
      </c>
      <c r="AB1088" s="3">
        <f>+D.sign_Data[[#This Row],[COSTOS OPERACIONALES ($COP)]]+D.sign_Data[[#This Row],[DESFASE ($COP)]]+D.sign_Data[[#This Row],[UTILIDAD ($COP)]]</f>
        <v>136592.77327337908</v>
      </c>
      <c r="AC1088" s="101">
        <v>0.05</v>
      </c>
      <c r="AD1088" s="15">
        <f>+D.sign_Data[[#This Row],[VALOR NETO ($COP)]]/(100%-D.sign_Data[[#This Row],[MARGEN DE NEGOCIACIÓN (%)]])-D.sign_Data[[#This Row],[VALOR NETO ($COP)]]</f>
        <v>7189.0933301778568</v>
      </c>
      <c r="AE1088" s="15">
        <f>+(D.sign_Data[[#This Row],[VALOR NETO ($COP)]]+D.sign_Data[[#This Row],[NEGOCIACIÓN ($COP)]])*1%</f>
        <v>1437.8186660355693</v>
      </c>
      <c r="AF1088" s="15">
        <f>+(D.sign_Data[[#This Row],[VALOR NETO ($COP)]]+D.sign_Data[[#This Row],[NEGOCIACIÓN ($COP)]])*1%</f>
        <v>1437.8186660355693</v>
      </c>
      <c r="AG1088" s="3">
        <f>+D.sign_Data[[#This Row],[VALOR NETO ($COP)]]+D.sign_Data[[#This Row],[NEGOCIACIÓN ($COP)]]+D.sign_Data[[#This Row],[ICA ($COP)]]+D.sign_Data[[#This Row],[4 * 1000 ($COP)]]</f>
        <v>146657.50393562808</v>
      </c>
    </row>
    <row r="1089" spans="1:33" ht="60" hidden="1" customHeight="1" x14ac:dyDescent="0.25">
      <c r="A1089" s="14"/>
      <c r="B1089" s="87" t="s">
        <v>493</v>
      </c>
      <c r="C1089" s="182" t="s">
        <v>971</v>
      </c>
      <c r="D1089" s="189" t="str">
        <f>VLOOKUP(D.sign_Data[[#This Row],[CÓDIGO]],Descripciones[[CÓDIGO]:[NOMBRE DE SERVICIO]],3,FALSE)</f>
        <v>D3. Vivienda Campestre</v>
      </c>
      <c r="E1089" s="87" t="s">
        <v>497</v>
      </c>
      <c r="F1089" s="88" t="s">
        <v>918</v>
      </c>
      <c r="G1089" s="88" t="s">
        <v>626</v>
      </c>
      <c r="H1089" s="104" t="s">
        <v>552</v>
      </c>
      <c r="I1089" s="89">
        <v>1</v>
      </c>
      <c r="J1089" s="88" t="s">
        <v>627</v>
      </c>
      <c r="K1089" s="102"/>
      <c r="L1089" s="88" t="s">
        <v>625</v>
      </c>
      <c r="M1089" s="89" t="s">
        <v>381</v>
      </c>
      <c r="N1089" s="90">
        <v>1</v>
      </c>
      <c r="O1089" s="27">
        <f>IFERROR(+VLOOKUP(M1089,D.sign_Lista_Data[[RESPONSABLE]:[SOFTWARE 
VALOR HORA]],3,FALSE),"0")</f>
        <v>20263.424518743668</v>
      </c>
      <c r="P1089" s="3">
        <f t="shared" si="40"/>
        <v>20263.424518743668</v>
      </c>
      <c r="Q1089" s="11">
        <f>IFERROR(+VLOOKUP(M1089,D.sign_Lista_Data[[RESPONSABLE]:[SOFTWARE 
VALOR HORA]],5,FALSE)*D.sign_Data[[#This Row],[TIEMPO (HORAS)]],0)</f>
        <v>4221.5467747382636</v>
      </c>
      <c r="R1089" s="11">
        <f>IFERROR(+VLOOKUP(M1089,D.sign_Lista_Data[[RESPONSABLE]:[SOFTWARE 
VALOR HORA]],8,FALSE)*D.sign_Data[[#This Row],[TIEMPO (HORAS)]],0)</f>
        <v>3410.8548871439834</v>
      </c>
      <c r="S1089" s="99"/>
      <c r="T1089" s="99"/>
      <c r="U1089" s="3">
        <f t="shared" si="41"/>
        <v>27895.826180625918</v>
      </c>
      <c r="V1089" s="100">
        <f>D.sign_Data[[#This Row],[TIEMPO (HORAS)]]*Gastos_Operativos[[#Totals],[GASTOS HORA]]</f>
        <v>27789.477072310401</v>
      </c>
      <c r="W1089" s="3">
        <f>+D.sign_Data[[#This Row],[COSTO 
DIRECTO ($COP)]]+D.sign_Data[[#This Row],[PRORRATEO GASTOS ($COP)]]</f>
        <v>55685.303252936319</v>
      </c>
      <c r="X1089" s="101">
        <v>0.05</v>
      </c>
      <c r="Y1089" s="15">
        <f>+D.sign_Data[[#This Row],[COSTOS OPERACIONALES ($COP)]]*D.sign_Data[[#This Row],[DESFASE (%)]]</f>
        <v>2784.265162646816</v>
      </c>
      <c r="Z1089" s="101">
        <v>0.15</v>
      </c>
      <c r="AA1089" s="15">
        <f>+((D.sign_Data[[#This Row],[COSTOS OPERACIONALES ($COP)]]/(100%-D.sign_Data[[#This Row],[UTILIDAD (%)]])))-D.sign_Data[[#This Row],[COSTOS OPERACIONALES ($COP)]]</f>
        <v>9826.8182211064122</v>
      </c>
      <c r="AB1089" s="3">
        <f>+D.sign_Data[[#This Row],[COSTOS OPERACIONALES ($COP)]]+D.sign_Data[[#This Row],[DESFASE ($COP)]]+D.sign_Data[[#This Row],[UTILIDAD ($COP)]]</f>
        <v>68296.386636689538</v>
      </c>
      <c r="AC1089" s="101">
        <v>0.05</v>
      </c>
      <c r="AD1089" s="15">
        <f>+D.sign_Data[[#This Row],[VALOR NETO ($COP)]]/(100%-D.sign_Data[[#This Row],[MARGEN DE NEGOCIACIÓN (%)]])-D.sign_Data[[#This Row],[VALOR NETO ($COP)]]</f>
        <v>3594.5466650889284</v>
      </c>
      <c r="AE1089" s="15">
        <f>+(D.sign_Data[[#This Row],[VALOR NETO ($COP)]]+D.sign_Data[[#This Row],[NEGOCIACIÓN ($COP)]])*1%</f>
        <v>718.90933301778466</v>
      </c>
      <c r="AF1089" s="15">
        <f>+(D.sign_Data[[#This Row],[VALOR NETO ($COP)]]+D.sign_Data[[#This Row],[NEGOCIACIÓN ($COP)]])*1%</f>
        <v>718.90933301778466</v>
      </c>
      <c r="AG1089" s="3">
        <f>+D.sign_Data[[#This Row],[VALOR NETO ($COP)]]+D.sign_Data[[#This Row],[NEGOCIACIÓN ($COP)]]+D.sign_Data[[#This Row],[ICA ($COP)]]+D.sign_Data[[#This Row],[4 * 1000 ($COP)]]</f>
        <v>73328.751967814038</v>
      </c>
    </row>
    <row r="1090" spans="1:33" ht="60" hidden="1" customHeight="1" x14ac:dyDescent="0.25">
      <c r="A1090" s="14"/>
      <c r="B1090" s="87" t="s">
        <v>493</v>
      </c>
      <c r="C1090" s="182" t="s">
        <v>971</v>
      </c>
      <c r="D1090" s="189" t="str">
        <f>VLOOKUP(D.sign_Data[[#This Row],[CÓDIGO]],Descripciones[[CÓDIGO]:[NOMBRE DE SERVICIO]],3,FALSE)</f>
        <v>D3. Vivienda Campestre</v>
      </c>
      <c r="E1090" s="87" t="s">
        <v>497</v>
      </c>
      <c r="F1090" s="88" t="s">
        <v>918</v>
      </c>
      <c r="G1090" s="88" t="s">
        <v>626</v>
      </c>
      <c r="H1090" s="104" t="s">
        <v>552</v>
      </c>
      <c r="I1090" s="89">
        <v>1</v>
      </c>
      <c r="J1090" s="88" t="s">
        <v>627</v>
      </c>
      <c r="K1090" s="102"/>
      <c r="L1090" s="88" t="s">
        <v>572</v>
      </c>
      <c r="M1090" s="89" t="s">
        <v>381</v>
      </c>
      <c r="N1090" s="90">
        <v>0.1</v>
      </c>
      <c r="O1090" s="27">
        <f>IFERROR(+VLOOKUP(M1090,D.sign_Lista_Data[[RESPONSABLE]:[SOFTWARE 
VALOR HORA]],3,FALSE),"0")</f>
        <v>20263.424518743668</v>
      </c>
      <c r="P1090" s="3">
        <f t="shared" si="40"/>
        <v>2026.3424518743668</v>
      </c>
      <c r="Q1090" s="11">
        <f>IFERROR(+VLOOKUP(M1090,D.sign_Lista_Data[[RESPONSABLE]:[SOFTWARE 
VALOR HORA]],5,FALSE)*D.sign_Data[[#This Row],[TIEMPO (HORAS)]],0)</f>
        <v>422.15467747382638</v>
      </c>
      <c r="R1090" s="11">
        <f>IFERROR(+VLOOKUP(M1090,D.sign_Lista_Data[[RESPONSABLE]:[SOFTWARE 
VALOR HORA]],8,FALSE)*D.sign_Data[[#This Row],[TIEMPO (HORAS)]],0)</f>
        <v>341.08548871439837</v>
      </c>
      <c r="S1090" s="99"/>
      <c r="T1090" s="99"/>
      <c r="U1090" s="3">
        <f t="shared" si="41"/>
        <v>2789.5826180625913</v>
      </c>
      <c r="V1090" s="100">
        <f>D.sign_Data[[#This Row],[TIEMPO (HORAS)]]*Gastos_Operativos[[#Totals],[GASTOS HORA]]</f>
        <v>2778.9477072310401</v>
      </c>
      <c r="W1090" s="3">
        <f>+D.sign_Data[[#This Row],[COSTO 
DIRECTO ($COP)]]+D.sign_Data[[#This Row],[PRORRATEO GASTOS ($COP)]]</f>
        <v>5568.5303252936319</v>
      </c>
      <c r="X1090" s="101">
        <v>0.05</v>
      </c>
      <c r="Y1090" s="15">
        <f>+D.sign_Data[[#This Row],[COSTOS OPERACIONALES ($COP)]]*D.sign_Data[[#This Row],[DESFASE (%)]]</f>
        <v>278.4265162646816</v>
      </c>
      <c r="Z1090" s="101">
        <v>0.15</v>
      </c>
      <c r="AA1090" s="15">
        <f>+((D.sign_Data[[#This Row],[COSTOS OPERACIONALES ($COP)]]/(100%-D.sign_Data[[#This Row],[UTILIDAD (%)]])))-D.sign_Data[[#This Row],[COSTOS OPERACIONALES ($COP)]]</f>
        <v>982.68182211064141</v>
      </c>
      <c r="AB1090" s="3">
        <f>+D.sign_Data[[#This Row],[COSTOS OPERACIONALES ($COP)]]+D.sign_Data[[#This Row],[DESFASE ($COP)]]+D.sign_Data[[#This Row],[UTILIDAD ($COP)]]</f>
        <v>6829.6386636689549</v>
      </c>
      <c r="AC1090" s="101">
        <v>0.05</v>
      </c>
      <c r="AD1090" s="15">
        <f>+D.sign_Data[[#This Row],[VALOR NETO ($COP)]]/(100%-D.sign_Data[[#This Row],[MARGEN DE NEGOCIACIÓN (%)]])-D.sign_Data[[#This Row],[VALOR NETO ($COP)]]</f>
        <v>359.45466650889284</v>
      </c>
      <c r="AE1090" s="15">
        <f>+(D.sign_Data[[#This Row],[VALOR NETO ($COP)]]+D.sign_Data[[#This Row],[NEGOCIACIÓN ($COP)]])*1%</f>
        <v>71.890933301778475</v>
      </c>
      <c r="AF1090" s="15">
        <f>+(D.sign_Data[[#This Row],[VALOR NETO ($COP)]]+D.sign_Data[[#This Row],[NEGOCIACIÓN ($COP)]])*1%</f>
        <v>71.890933301778475</v>
      </c>
      <c r="AG1090" s="3">
        <f>+D.sign_Data[[#This Row],[VALOR NETO ($COP)]]+D.sign_Data[[#This Row],[NEGOCIACIÓN ($COP)]]+D.sign_Data[[#This Row],[ICA ($COP)]]+D.sign_Data[[#This Row],[4 * 1000 ($COP)]]</f>
        <v>7332.8751967814042</v>
      </c>
    </row>
    <row r="1091" spans="1:33" ht="60" hidden="1" customHeight="1" x14ac:dyDescent="0.25">
      <c r="A1091" s="14"/>
      <c r="B1091" s="87" t="s">
        <v>493</v>
      </c>
      <c r="C1091" s="182" t="s">
        <v>972</v>
      </c>
      <c r="D1091" s="189" t="str">
        <f>VLOOKUP(D.sign_Data[[#This Row],[CÓDIGO]],Descripciones[[CÓDIGO]:[NOMBRE DE SERVICIO]],3,FALSE)</f>
        <v>D3. Vivienda Campestre</v>
      </c>
      <c r="E1091" s="87" t="s">
        <v>497</v>
      </c>
      <c r="F1091" s="88" t="s">
        <v>666</v>
      </c>
      <c r="G1091" s="88" t="s">
        <v>667</v>
      </c>
      <c r="H1091" s="104" t="s">
        <v>552</v>
      </c>
      <c r="I1091" s="89">
        <v>1</v>
      </c>
      <c r="J1091" s="88" t="s">
        <v>511</v>
      </c>
      <c r="K1091" s="102"/>
      <c r="L1091" s="91" t="s">
        <v>512</v>
      </c>
      <c r="M1091" s="89" t="s">
        <v>381</v>
      </c>
      <c r="N1091" s="90">
        <v>9.6</v>
      </c>
      <c r="O1091" s="27">
        <f>IFERROR(+VLOOKUP(M1091,D.sign_Lista_Data[[RESPONSABLE]:[SOFTWARE 
VALOR HORA]],3,FALSE),"0")</f>
        <v>20263.424518743668</v>
      </c>
      <c r="P1091" s="3">
        <f t="shared" si="40"/>
        <v>194528.87537993921</v>
      </c>
      <c r="Q1091" s="11">
        <f>IFERROR(+VLOOKUP(M1091,D.sign_Lista_Data[[RESPONSABLE]:[SOFTWARE 
VALOR HORA]],5,FALSE)*D.sign_Data[[#This Row],[TIEMPO (HORAS)]],0)</f>
        <v>40526.849037487329</v>
      </c>
      <c r="R1091" s="11">
        <f>IFERROR(+VLOOKUP(M1091,D.sign_Lista_Data[[RESPONSABLE]:[SOFTWARE 
VALOR HORA]],8,FALSE)*D.sign_Data[[#This Row],[TIEMPO (HORAS)]],0)</f>
        <v>32744.20691658224</v>
      </c>
      <c r="S1091" s="99"/>
      <c r="T1091" s="99"/>
      <c r="U1091" s="3">
        <f t="shared" si="41"/>
        <v>267799.93133400875</v>
      </c>
      <c r="V1091" s="100">
        <f>D.sign_Data[[#This Row],[TIEMPO (HORAS)]]*Gastos_Operativos[[#Totals],[GASTOS HORA]]</f>
        <v>266778.97989417985</v>
      </c>
      <c r="W1091" s="3">
        <f>+D.sign_Data[[#This Row],[COSTO 
DIRECTO ($COP)]]+D.sign_Data[[#This Row],[PRORRATEO GASTOS ($COP)]]</f>
        <v>534578.91122818855</v>
      </c>
      <c r="X1091" s="101">
        <v>0.05</v>
      </c>
      <c r="Y1091" s="15">
        <f>+D.sign_Data[[#This Row],[COSTOS OPERACIONALES ($COP)]]*D.sign_Data[[#This Row],[DESFASE (%)]]</f>
        <v>26728.94556140943</v>
      </c>
      <c r="Z1091" s="101">
        <v>0.2</v>
      </c>
      <c r="AA1091" s="15">
        <f>+((D.sign_Data[[#This Row],[COSTOS OPERACIONALES ($COP)]]/(100%-D.sign_Data[[#This Row],[UTILIDAD (%)]])))-D.sign_Data[[#This Row],[COSTOS OPERACIONALES ($COP)]]</f>
        <v>133644.72780704708</v>
      </c>
      <c r="AB1091" s="3">
        <f>+D.sign_Data[[#This Row],[COSTOS OPERACIONALES ($COP)]]+D.sign_Data[[#This Row],[DESFASE ($COP)]]+D.sign_Data[[#This Row],[UTILIDAD ($COP)]]</f>
        <v>694952.58459664509</v>
      </c>
      <c r="AC1091" s="101">
        <v>0.05</v>
      </c>
      <c r="AD1091" s="15">
        <f>+D.sign_Data[[#This Row],[VALOR NETO ($COP)]]/(100%-D.sign_Data[[#This Row],[MARGEN DE NEGOCIACIÓN (%)]])-D.sign_Data[[#This Row],[VALOR NETO ($COP)]]</f>
        <v>36576.4518208761</v>
      </c>
      <c r="AE1091" s="15">
        <f>+(D.sign_Data[[#This Row],[VALOR NETO ($COP)]]+D.sign_Data[[#This Row],[NEGOCIACIÓN ($COP)]])*1%</f>
        <v>7315.2903641752118</v>
      </c>
      <c r="AF1091" s="15">
        <f>+(D.sign_Data[[#This Row],[VALOR NETO ($COP)]]+D.sign_Data[[#This Row],[NEGOCIACIÓN ($COP)]])*1%</f>
        <v>7315.2903641752118</v>
      </c>
      <c r="AG1091" s="3">
        <f>+D.sign_Data[[#This Row],[VALOR NETO ($COP)]]+D.sign_Data[[#This Row],[NEGOCIACIÓN ($COP)]]+D.sign_Data[[#This Row],[ICA ($COP)]]+D.sign_Data[[#This Row],[4 * 1000 ($COP)]]</f>
        <v>746159.61714587163</v>
      </c>
    </row>
    <row r="1092" spans="1:33" ht="60" hidden="1" customHeight="1" x14ac:dyDescent="0.25">
      <c r="A1092" s="14"/>
      <c r="B1092" s="87" t="s">
        <v>493</v>
      </c>
      <c r="C1092" s="182" t="s">
        <v>972</v>
      </c>
      <c r="D1092" s="189" t="str">
        <f>VLOOKUP(D.sign_Data[[#This Row],[CÓDIGO]],Descripciones[[CÓDIGO]:[NOMBRE DE SERVICIO]],3,FALSE)</f>
        <v>D3. Vivienda Campestre</v>
      </c>
      <c r="E1092" s="87" t="s">
        <v>497</v>
      </c>
      <c r="F1092" s="88" t="s">
        <v>666</v>
      </c>
      <c r="G1092" s="88" t="s">
        <v>667</v>
      </c>
      <c r="H1092" s="104" t="s">
        <v>552</v>
      </c>
      <c r="I1092" s="89">
        <v>1</v>
      </c>
      <c r="J1092" s="88" t="s">
        <v>511</v>
      </c>
      <c r="K1092" s="102"/>
      <c r="L1092" s="91" t="s">
        <v>661</v>
      </c>
      <c r="M1092" s="89" t="s">
        <v>381</v>
      </c>
      <c r="N1092" s="90">
        <v>4</v>
      </c>
      <c r="O1092" s="27">
        <f>IFERROR(+VLOOKUP(M1092,D.sign_Lista_Data[[RESPONSABLE]:[SOFTWARE 
VALOR HORA]],3,FALSE),"0")</f>
        <v>20263.424518743668</v>
      </c>
      <c r="P1092" s="3">
        <f t="shared" si="40"/>
        <v>81053.698074974673</v>
      </c>
      <c r="Q1092" s="11">
        <f>IFERROR(+VLOOKUP(M1092,D.sign_Lista_Data[[RESPONSABLE]:[SOFTWARE 
VALOR HORA]],5,FALSE)*D.sign_Data[[#This Row],[TIEMPO (HORAS)]],0)</f>
        <v>16886.187098953054</v>
      </c>
      <c r="R1092" s="11">
        <f>IFERROR(+VLOOKUP(M1092,D.sign_Lista_Data[[RESPONSABLE]:[SOFTWARE 
VALOR HORA]],8,FALSE)*D.sign_Data[[#This Row],[TIEMPO (HORAS)]],0)</f>
        <v>13643.419548575934</v>
      </c>
      <c r="S1092" s="99"/>
      <c r="T1092" s="99"/>
      <c r="U1092" s="3">
        <f t="shared" si="41"/>
        <v>111583.30472250367</v>
      </c>
      <c r="V1092" s="100">
        <f>D.sign_Data[[#This Row],[TIEMPO (HORAS)]]*Gastos_Operativos[[#Totals],[GASTOS HORA]]</f>
        <v>111157.9082892416</v>
      </c>
      <c r="W1092" s="3">
        <f>+D.sign_Data[[#This Row],[COSTO 
DIRECTO ($COP)]]+D.sign_Data[[#This Row],[PRORRATEO GASTOS ($COP)]]</f>
        <v>222741.21301174528</v>
      </c>
      <c r="X1092" s="101">
        <v>0.05</v>
      </c>
      <c r="Y1092" s="15">
        <f>+D.sign_Data[[#This Row],[COSTOS OPERACIONALES ($COP)]]*D.sign_Data[[#This Row],[DESFASE (%)]]</f>
        <v>11137.060650587264</v>
      </c>
      <c r="Z1092" s="101">
        <v>0.2</v>
      </c>
      <c r="AA1092" s="15">
        <f>+((D.sign_Data[[#This Row],[COSTOS OPERACIONALES ($COP)]]/(100%-D.sign_Data[[#This Row],[UTILIDAD (%)]])))-D.sign_Data[[#This Row],[COSTOS OPERACIONALES ($COP)]]</f>
        <v>55685.303252936312</v>
      </c>
      <c r="AB1092" s="3">
        <f>+D.sign_Data[[#This Row],[COSTOS OPERACIONALES ($COP)]]+D.sign_Data[[#This Row],[DESFASE ($COP)]]+D.sign_Data[[#This Row],[UTILIDAD ($COP)]]</f>
        <v>289563.57691526884</v>
      </c>
      <c r="AC1092" s="101">
        <v>0.05</v>
      </c>
      <c r="AD1092" s="15">
        <f>+D.sign_Data[[#This Row],[VALOR NETO ($COP)]]/(100%-D.sign_Data[[#This Row],[MARGEN DE NEGOCIACIÓN (%)]])-D.sign_Data[[#This Row],[VALOR NETO ($COP)]]</f>
        <v>15240.188258698385</v>
      </c>
      <c r="AE1092" s="15">
        <f>+(D.sign_Data[[#This Row],[VALOR NETO ($COP)]]+D.sign_Data[[#This Row],[NEGOCIACIÓN ($COP)]])*1%</f>
        <v>3048.0376517396721</v>
      </c>
      <c r="AF1092" s="15">
        <f>+(D.sign_Data[[#This Row],[VALOR NETO ($COP)]]+D.sign_Data[[#This Row],[NEGOCIACIÓN ($COP)]])*1%</f>
        <v>3048.0376517396721</v>
      </c>
      <c r="AG1092" s="3">
        <f>+D.sign_Data[[#This Row],[VALOR NETO ($COP)]]+D.sign_Data[[#This Row],[NEGOCIACIÓN ($COP)]]+D.sign_Data[[#This Row],[ICA ($COP)]]+D.sign_Data[[#This Row],[4 * 1000 ($COP)]]</f>
        <v>310899.84047744656</v>
      </c>
    </row>
    <row r="1093" spans="1:33" ht="60" hidden="1" customHeight="1" x14ac:dyDescent="0.25">
      <c r="A1093" s="14"/>
      <c r="B1093" s="87" t="s">
        <v>493</v>
      </c>
      <c r="C1093" s="182" t="s">
        <v>972</v>
      </c>
      <c r="D1093" s="189" t="str">
        <f>VLOOKUP(D.sign_Data[[#This Row],[CÓDIGO]],Descripciones[[CÓDIGO]:[NOMBRE DE SERVICIO]],3,FALSE)</f>
        <v>D3. Vivienda Campestre</v>
      </c>
      <c r="E1093" s="87" t="s">
        <v>497</v>
      </c>
      <c r="F1093" s="88" t="s">
        <v>666</v>
      </c>
      <c r="G1093" s="88" t="s">
        <v>667</v>
      </c>
      <c r="H1093" s="104" t="s">
        <v>552</v>
      </c>
      <c r="I1093" s="89">
        <v>1</v>
      </c>
      <c r="J1093" s="88" t="s">
        <v>511</v>
      </c>
      <c r="K1093" s="102"/>
      <c r="L1093" s="91" t="s">
        <v>662</v>
      </c>
      <c r="M1093" s="89" t="s">
        <v>381</v>
      </c>
      <c r="N1093" s="90">
        <v>5</v>
      </c>
      <c r="O1093" s="27">
        <f>IFERROR(+VLOOKUP(M1093,D.sign_Lista_Data[[RESPONSABLE]:[SOFTWARE 
VALOR HORA]],3,FALSE),"0")</f>
        <v>20263.424518743668</v>
      </c>
      <c r="P1093" s="3">
        <f t="shared" si="40"/>
        <v>101317.12259371835</v>
      </c>
      <c r="Q1093" s="11">
        <f>IFERROR(+VLOOKUP(M1093,D.sign_Lista_Data[[RESPONSABLE]:[SOFTWARE 
VALOR HORA]],5,FALSE)*D.sign_Data[[#This Row],[TIEMPO (HORAS)]],0)</f>
        <v>21107.733873691319</v>
      </c>
      <c r="R1093" s="11">
        <f>IFERROR(+VLOOKUP(M1093,D.sign_Lista_Data[[RESPONSABLE]:[SOFTWARE 
VALOR HORA]],8,FALSE)*D.sign_Data[[#This Row],[TIEMPO (HORAS)]],0)</f>
        <v>17054.274435719919</v>
      </c>
      <c r="S1093" s="99"/>
      <c r="T1093" s="99"/>
      <c r="U1093" s="3">
        <f t="shared" si="41"/>
        <v>139479.13090312958</v>
      </c>
      <c r="V1093" s="100">
        <f>D.sign_Data[[#This Row],[TIEMPO (HORAS)]]*Gastos_Operativos[[#Totals],[GASTOS HORA]]</f>
        <v>138947.38536155201</v>
      </c>
      <c r="W1093" s="3">
        <f>+D.sign_Data[[#This Row],[COSTO 
DIRECTO ($COP)]]+D.sign_Data[[#This Row],[PRORRATEO GASTOS ($COP)]]</f>
        <v>278426.51626468159</v>
      </c>
      <c r="X1093" s="101">
        <v>0.05</v>
      </c>
      <c r="Y1093" s="15">
        <f>+D.sign_Data[[#This Row],[COSTOS OPERACIONALES ($COP)]]*D.sign_Data[[#This Row],[DESFASE (%)]]</f>
        <v>13921.32581323408</v>
      </c>
      <c r="Z1093" s="101">
        <v>0.2</v>
      </c>
      <c r="AA1093" s="15">
        <f>+((D.sign_Data[[#This Row],[COSTOS OPERACIONALES ($COP)]]/(100%-D.sign_Data[[#This Row],[UTILIDAD (%)]])))-D.sign_Data[[#This Row],[COSTOS OPERACIONALES ($COP)]]</f>
        <v>69606.629066170368</v>
      </c>
      <c r="AB1093" s="3">
        <f>+D.sign_Data[[#This Row],[COSTOS OPERACIONALES ($COP)]]+D.sign_Data[[#This Row],[DESFASE ($COP)]]+D.sign_Data[[#This Row],[UTILIDAD ($COP)]]</f>
        <v>361954.47114408604</v>
      </c>
      <c r="AC1093" s="101">
        <v>0.05</v>
      </c>
      <c r="AD1093" s="15">
        <f>+D.sign_Data[[#This Row],[VALOR NETO ($COP)]]/(100%-D.sign_Data[[#This Row],[MARGEN DE NEGOCIACIÓN (%)]])-D.sign_Data[[#This Row],[VALOR NETO ($COP)]]</f>
        <v>19050.235323372995</v>
      </c>
      <c r="AE1093" s="15">
        <f>+(D.sign_Data[[#This Row],[VALOR NETO ($COP)]]+D.sign_Data[[#This Row],[NEGOCIACIÓN ($COP)]])*1%</f>
        <v>3810.0470646745903</v>
      </c>
      <c r="AF1093" s="15">
        <f>+(D.sign_Data[[#This Row],[VALOR NETO ($COP)]]+D.sign_Data[[#This Row],[NEGOCIACIÓN ($COP)]])*1%</f>
        <v>3810.0470646745903</v>
      </c>
      <c r="AG1093" s="3">
        <f>+D.sign_Data[[#This Row],[VALOR NETO ($COP)]]+D.sign_Data[[#This Row],[NEGOCIACIÓN ($COP)]]+D.sign_Data[[#This Row],[ICA ($COP)]]+D.sign_Data[[#This Row],[4 * 1000 ($COP)]]</f>
        <v>388624.80059680826</v>
      </c>
    </row>
    <row r="1094" spans="1:33" ht="60" hidden="1" customHeight="1" x14ac:dyDescent="0.25">
      <c r="A1094" s="14"/>
      <c r="B1094" s="87" t="s">
        <v>493</v>
      </c>
      <c r="C1094" s="182" t="s">
        <v>972</v>
      </c>
      <c r="D1094" s="189" t="str">
        <f>VLOOKUP(D.sign_Data[[#This Row],[CÓDIGO]],Descripciones[[CÓDIGO]:[NOMBRE DE SERVICIO]],3,FALSE)</f>
        <v>D3. Vivienda Campestre</v>
      </c>
      <c r="E1094" s="87" t="s">
        <v>497</v>
      </c>
      <c r="F1094" s="88" t="s">
        <v>666</v>
      </c>
      <c r="G1094" s="88" t="s">
        <v>667</v>
      </c>
      <c r="H1094" s="104" t="s">
        <v>552</v>
      </c>
      <c r="I1094" s="89">
        <v>1</v>
      </c>
      <c r="J1094" s="88" t="s">
        <v>511</v>
      </c>
      <c r="K1094" s="102"/>
      <c r="L1094" s="91" t="s">
        <v>920</v>
      </c>
      <c r="M1094" s="89" t="s">
        <v>381</v>
      </c>
      <c r="N1094" s="90">
        <v>6</v>
      </c>
      <c r="O1094" s="27">
        <f>IFERROR(+VLOOKUP(M1094,D.sign_Lista_Data[[RESPONSABLE]:[SOFTWARE 
VALOR HORA]],3,FALSE),"0")</f>
        <v>20263.424518743668</v>
      </c>
      <c r="P1094" s="3">
        <f t="shared" si="40"/>
        <v>121580.54711246201</v>
      </c>
      <c r="Q1094" s="11">
        <f>IFERROR(+VLOOKUP(M1094,D.sign_Lista_Data[[RESPONSABLE]:[SOFTWARE 
VALOR HORA]],5,FALSE)*D.sign_Data[[#This Row],[TIEMPO (HORAS)]],0)</f>
        <v>25329.28064842958</v>
      </c>
      <c r="R1094" s="11">
        <f>IFERROR(+VLOOKUP(M1094,D.sign_Lista_Data[[RESPONSABLE]:[SOFTWARE 
VALOR HORA]],8,FALSE)*D.sign_Data[[#This Row],[TIEMPO (HORAS)]],0)</f>
        <v>20465.129322863901</v>
      </c>
      <c r="S1094" s="99"/>
      <c r="T1094" s="99"/>
      <c r="U1094" s="3">
        <f t="shared" si="41"/>
        <v>167374.95708375549</v>
      </c>
      <c r="V1094" s="100">
        <f>D.sign_Data[[#This Row],[TIEMPO (HORAS)]]*Gastos_Operativos[[#Totals],[GASTOS HORA]]</f>
        <v>166736.86243386241</v>
      </c>
      <c r="W1094" s="3">
        <f>+D.sign_Data[[#This Row],[COSTO 
DIRECTO ($COP)]]+D.sign_Data[[#This Row],[PRORRATEO GASTOS ($COP)]]</f>
        <v>334111.81951761793</v>
      </c>
      <c r="X1094" s="101">
        <v>0.05</v>
      </c>
      <c r="Y1094" s="15">
        <f>+D.sign_Data[[#This Row],[COSTOS OPERACIONALES ($COP)]]*D.sign_Data[[#This Row],[DESFASE (%)]]</f>
        <v>16705.590975880896</v>
      </c>
      <c r="Z1094" s="101">
        <v>0.2</v>
      </c>
      <c r="AA1094" s="15">
        <f>+((D.sign_Data[[#This Row],[COSTOS OPERACIONALES ($COP)]]/(100%-D.sign_Data[[#This Row],[UTILIDAD (%)]])))-D.sign_Data[[#This Row],[COSTOS OPERACIONALES ($COP)]]</f>
        <v>83527.954879404453</v>
      </c>
      <c r="AB1094" s="3">
        <f>+D.sign_Data[[#This Row],[COSTOS OPERACIONALES ($COP)]]+D.sign_Data[[#This Row],[DESFASE ($COP)]]+D.sign_Data[[#This Row],[UTILIDAD ($COP)]]</f>
        <v>434345.3653729033</v>
      </c>
      <c r="AC1094" s="101">
        <v>0.05</v>
      </c>
      <c r="AD1094" s="15">
        <f>+D.sign_Data[[#This Row],[VALOR NETO ($COP)]]/(100%-D.sign_Data[[#This Row],[MARGEN DE NEGOCIACIÓN (%)]])-D.sign_Data[[#This Row],[VALOR NETO ($COP)]]</f>
        <v>22860.282388047548</v>
      </c>
      <c r="AE1094" s="15">
        <f>+(D.sign_Data[[#This Row],[VALOR NETO ($COP)]]+D.sign_Data[[#This Row],[NEGOCIACIÓN ($COP)]])*1%</f>
        <v>4572.0564776095089</v>
      </c>
      <c r="AF1094" s="15">
        <f>+(D.sign_Data[[#This Row],[VALOR NETO ($COP)]]+D.sign_Data[[#This Row],[NEGOCIACIÓN ($COP)]])*1%</f>
        <v>4572.0564776095089</v>
      </c>
      <c r="AG1094" s="3">
        <f>+D.sign_Data[[#This Row],[VALOR NETO ($COP)]]+D.sign_Data[[#This Row],[NEGOCIACIÓN ($COP)]]+D.sign_Data[[#This Row],[ICA ($COP)]]+D.sign_Data[[#This Row],[4 * 1000 ($COP)]]</f>
        <v>466349.76071616984</v>
      </c>
    </row>
    <row r="1095" spans="1:33" ht="60" hidden="1" customHeight="1" x14ac:dyDescent="0.25">
      <c r="A1095" s="14"/>
      <c r="B1095" s="87" t="s">
        <v>493</v>
      </c>
      <c r="C1095" s="182" t="s">
        <v>972</v>
      </c>
      <c r="D1095" s="189" t="str">
        <f>VLOOKUP(D.sign_Data[[#This Row],[CÓDIGO]],Descripciones[[CÓDIGO]:[NOMBRE DE SERVICIO]],3,FALSE)</f>
        <v>D3. Vivienda Campestre</v>
      </c>
      <c r="E1095" s="87" t="s">
        <v>497</v>
      </c>
      <c r="F1095" s="88" t="s">
        <v>666</v>
      </c>
      <c r="G1095" s="88" t="s">
        <v>667</v>
      </c>
      <c r="H1095" s="104" t="s">
        <v>552</v>
      </c>
      <c r="I1095" s="89">
        <v>1</v>
      </c>
      <c r="J1095" s="88" t="s">
        <v>511</v>
      </c>
      <c r="K1095" s="102"/>
      <c r="L1095" s="88" t="s">
        <v>664</v>
      </c>
      <c r="M1095" s="89" t="s">
        <v>381</v>
      </c>
      <c r="N1095" s="90">
        <v>1</v>
      </c>
      <c r="O1095" s="27">
        <f>IFERROR(+VLOOKUP(M1095,D.sign_Lista_Data[[RESPONSABLE]:[SOFTWARE 
VALOR HORA]],3,FALSE),"0")</f>
        <v>20263.424518743668</v>
      </c>
      <c r="P1095" s="3">
        <f t="shared" si="40"/>
        <v>20263.424518743668</v>
      </c>
      <c r="Q1095" s="11">
        <f>IFERROR(+VLOOKUP(M1095,D.sign_Lista_Data[[RESPONSABLE]:[SOFTWARE 
VALOR HORA]],5,FALSE)*D.sign_Data[[#This Row],[TIEMPO (HORAS)]],0)</f>
        <v>4221.5467747382636</v>
      </c>
      <c r="R1095" s="11">
        <f>IFERROR(+VLOOKUP(M1095,D.sign_Lista_Data[[RESPONSABLE]:[SOFTWARE 
VALOR HORA]],8,FALSE)*D.sign_Data[[#This Row],[TIEMPO (HORAS)]],0)</f>
        <v>3410.8548871439834</v>
      </c>
      <c r="S1095" s="99"/>
      <c r="T1095" s="99"/>
      <c r="U1095" s="3">
        <f t="shared" si="41"/>
        <v>27895.826180625918</v>
      </c>
      <c r="V1095" s="100">
        <f>D.sign_Data[[#This Row],[TIEMPO (HORAS)]]*Gastos_Operativos[[#Totals],[GASTOS HORA]]</f>
        <v>27789.477072310401</v>
      </c>
      <c r="W1095" s="3">
        <f>+D.sign_Data[[#This Row],[COSTO 
DIRECTO ($COP)]]+D.sign_Data[[#This Row],[PRORRATEO GASTOS ($COP)]]</f>
        <v>55685.303252936319</v>
      </c>
      <c r="X1095" s="101">
        <v>0.05</v>
      </c>
      <c r="Y1095" s="15">
        <f>+D.sign_Data[[#This Row],[COSTOS OPERACIONALES ($COP)]]*D.sign_Data[[#This Row],[DESFASE (%)]]</f>
        <v>2784.265162646816</v>
      </c>
      <c r="Z1095" s="101">
        <v>0.2</v>
      </c>
      <c r="AA1095" s="15">
        <f>+((D.sign_Data[[#This Row],[COSTOS OPERACIONALES ($COP)]]/(100%-D.sign_Data[[#This Row],[UTILIDAD (%)]])))-D.sign_Data[[#This Row],[COSTOS OPERACIONALES ($COP)]]</f>
        <v>13921.325813234078</v>
      </c>
      <c r="AB1095" s="3">
        <f>+D.sign_Data[[#This Row],[COSTOS OPERACIONALES ($COP)]]+D.sign_Data[[#This Row],[DESFASE ($COP)]]+D.sign_Data[[#This Row],[UTILIDAD ($COP)]]</f>
        <v>72390.894228817211</v>
      </c>
      <c r="AC1095" s="101">
        <v>0.05</v>
      </c>
      <c r="AD1095" s="15">
        <f>+D.sign_Data[[#This Row],[VALOR NETO ($COP)]]/(100%-D.sign_Data[[#This Row],[MARGEN DE NEGOCIACIÓN (%)]])-D.sign_Data[[#This Row],[VALOR NETO ($COP)]]</f>
        <v>3810.0470646745962</v>
      </c>
      <c r="AE1095" s="15">
        <f>+(D.sign_Data[[#This Row],[VALOR NETO ($COP)]]+D.sign_Data[[#This Row],[NEGOCIACIÓN ($COP)]])*1%</f>
        <v>762.00941293491803</v>
      </c>
      <c r="AF1095" s="15">
        <f>+(D.sign_Data[[#This Row],[VALOR NETO ($COP)]]+D.sign_Data[[#This Row],[NEGOCIACIÓN ($COP)]])*1%</f>
        <v>762.00941293491803</v>
      </c>
      <c r="AG1095" s="3">
        <f>+D.sign_Data[[#This Row],[VALOR NETO ($COP)]]+D.sign_Data[[#This Row],[NEGOCIACIÓN ($COP)]]+D.sign_Data[[#This Row],[ICA ($COP)]]+D.sign_Data[[#This Row],[4 * 1000 ($COP)]]</f>
        <v>77724.96011936164</v>
      </c>
    </row>
    <row r="1096" spans="1:33" ht="60" hidden="1" customHeight="1" x14ac:dyDescent="0.25">
      <c r="A1096" s="14"/>
      <c r="B1096" s="87" t="s">
        <v>493</v>
      </c>
      <c r="C1096" s="182" t="s">
        <v>972</v>
      </c>
      <c r="D1096" s="189" t="str">
        <f>VLOOKUP(D.sign_Data[[#This Row],[CÓDIGO]],Descripciones[[CÓDIGO]:[NOMBRE DE SERVICIO]],3,FALSE)</f>
        <v>D3. Vivienda Campestre</v>
      </c>
      <c r="E1096" s="87" t="s">
        <v>497</v>
      </c>
      <c r="F1096" s="88" t="s">
        <v>666</v>
      </c>
      <c r="G1096" s="88" t="s">
        <v>667</v>
      </c>
      <c r="H1096" s="104" t="s">
        <v>552</v>
      </c>
      <c r="I1096" s="89">
        <v>1</v>
      </c>
      <c r="J1096" s="88" t="s">
        <v>511</v>
      </c>
      <c r="K1096" s="102"/>
      <c r="L1096" s="88" t="s">
        <v>518</v>
      </c>
      <c r="M1096" s="89" t="s">
        <v>381</v>
      </c>
      <c r="N1096" s="90">
        <v>4</v>
      </c>
      <c r="O1096" s="27">
        <f>IFERROR(+VLOOKUP(M1096,D.sign_Lista_Data[[RESPONSABLE]:[SOFTWARE 
VALOR HORA]],3,FALSE),"0")</f>
        <v>20263.424518743668</v>
      </c>
      <c r="P1096" s="3">
        <f t="shared" si="40"/>
        <v>81053.698074974673</v>
      </c>
      <c r="Q1096" s="11">
        <f>IFERROR(+VLOOKUP(M1096,D.sign_Lista_Data[[RESPONSABLE]:[SOFTWARE 
VALOR HORA]],5,FALSE)*D.sign_Data[[#This Row],[TIEMPO (HORAS)]],0)</f>
        <v>16886.187098953054</v>
      </c>
      <c r="R1096" s="11">
        <f>IFERROR(+VLOOKUP(M1096,D.sign_Lista_Data[[RESPONSABLE]:[SOFTWARE 
VALOR HORA]],8,FALSE)*D.sign_Data[[#This Row],[TIEMPO (HORAS)]],0)</f>
        <v>13643.419548575934</v>
      </c>
      <c r="S1096" s="99"/>
      <c r="T1096" s="99"/>
      <c r="U1096" s="3">
        <f t="shared" si="41"/>
        <v>111583.30472250367</v>
      </c>
      <c r="V1096" s="100">
        <f>D.sign_Data[[#This Row],[TIEMPO (HORAS)]]*Gastos_Operativos[[#Totals],[GASTOS HORA]]</f>
        <v>111157.9082892416</v>
      </c>
      <c r="W1096" s="3">
        <f>+D.sign_Data[[#This Row],[COSTO 
DIRECTO ($COP)]]+D.sign_Data[[#This Row],[PRORRATEO GASTOS ($COP)]]</f>
        <v>222741.21301174528</v>
      </c>
      <c r="X1096" s="101">
        <v>0.05</v>
      </c>
      <c r="Y1096" s="15">
        <f>+D.sign_Data[[#This Row],[COSTOS OPERACIONALES ($COP)]]*D.sign_Data[[#This Row],[DESFASE (%)]]</f>
        <v>11137.060650587264</v>
      </c>
      <c r="Z1096" s="101">
        <v>0.2</v>
      </c>
      <c r="AA1096" s="15">
        <f>+((D.sign_Data[[#This Row],[COSTOS OPERACIONALES ($COP)]]/(100%-D.sign_Data[[#This Row],[UTILIDAD (%)]])))-D.sign_Data[[#This Row],[COSTOS OPERACIONALES ($COP)]]</f>
        <v>55685.303252936312</v>
      </c>
      <c r="AB1096" s="3">
        <f>+D.sign_Data[[#This Row],[COSTOS OPERACIONALES ($COP)]]+D.sign_Data[[#This Row],[DESFASE ($COP)]]+D.sign_Data[[#This Row],[UTILIDAD ($COP)]]</f>
        <v>289563.57691526884</v>
      </c>
      <c r="AC1096" s="101">
        <v>0.05</v>
      </c>
      <c r="AD1096" s="15">
        <f>+D.sign_Data[[#This Row],[VALOR NETO ($COP)]]/(100%-D.sign_Data[[#This Row],[MARGEN DE NEGOCIACIÓN (%)]])-D.sign_Data[[#This Row],[VALOR NETO ($COP)]]</f>
        <v>15240.188258698385</v>
      </c>
      <c r="AE1096" s="15">
        <f>+(D.sign_Data[[#This Row],[VALOR NETO ($COP)]]+D.sign_Data[[#This Row],[NEGOCIACIÓN ($COP)]])*1%</f>
        <v>3048.0376517396721</v>
      </c>
      <c r="AF1096" s="15">
        <f>+(D.sign_Data[[#This Row],[VALOR NETO ($COP)]]+D.sign_Data[[#This Row],[NEGOCIACIÓN ($COP)]])*1%</f>
        <v>3048.0376517396721</v>
      </c>
      <c r="AG1096" s="3">
        <f>+D.sign_Data[[#This Row],[VALOR NETO ($COP)]]+D.sign_Data[[#This Row],[NEGOCIACIÓN ($COP)]]+D.sign_Data[[#This Row],[ICA ($COP)]]+D.sign_Data[[#This Row],[4 * 1000 ($COP)]]</f>
        <v>310899.84047744656</v>
      </c>
    </row>
    <row r="1097" spans="1:33" ht="60" hidden="1" customHeight="1" x14ac:dyDescent="0.25">
      <c r="A1097" s="14"/>
      <c r="B1097" s="87" t="s">
        <v>493</v>
      </c>
      <c r="C1097" s="182" t="s">
        <v>972</v>
      </c>
      <c r="D1097" s="189" t="str">
        <f>VLOOKUP(D.sign_Data[[#This Row],[CÓDIGO]],Descripciones[[CÓDIGO]:[NOMBRE DE SERVICIO]],3,FALSE)</f>
        <v>D3. Vivienda Campestre</v>
      </c>
      <c r="E1097" s="87" t="s">
        <v>497</v>
      </c>
      <c r="F1097" s="88" t="s">
        <v>666</v>
      </c>
      <c r="G1097" s="88" t="s">
        <v>667</v>
      </c>
      <c r="H1097" s="104" t="s">
        <v>552</v>
      </c>
      <c r="I1097" s="89">
        <v>1</v>
      </c>
      <c r="J1097" s="88" t="s">
        <v>511</v>
      </c>
      <c r="K1097" s="102"/>
      <c r="L1097" s="88" t="s">
        <v>519</v>
      </c>
      <c r="M1097" s="89" t="s">
        <v>381</v>
      </c>
      <c r="N1097" s="90">
        <v>0.5</v>
      </c>
      <c r="O1097" s="27">
        <f>IFERROR(+VLOOKUP(M1097,D.sign_Lista_Data[[RESPONSABLE]:[SOFTWARE 
VALOR HORA]],3,FALSE),"0")</f>
        <v>20263.424518743668</v>
      </c>
      <c r="P1097" s="3">
        <f t="shared" si="40"/>
        <v>10131.712259371834</v>
      </c>
      <c r="Q1097" s="11">
        <f>IFERROR(+VLOOKUP(M1097,D.sign_Lista_Data[[RESPONSABLE]:[SOFTWARE 
VALOR HORA]],5,FALSE)*D.sign_Data[[#This Row],[TIEMPO (HORAS)]],0)</f>
        <v>2110.7733873691318</v>
      </c>
      <c r="R1097" s="11">
        <f>IFERROR(+VLOOKUP(M1097,D.sign_Lista_Data[[RESPONSABLE]:[SOFTWARE 
VALOR HORA]],8,FALSE)*D.sign_Data[[#This Row],[TIEMPO (HORAS)]],0)</f>
        <v>1705.4274435719917</v>
      </c>
      <c r="S1097" s="99"/>
      <c r="T1097" s="99"/>
      <c r="U1097" s="3">
        <f t="shared" si="41"/>
        <v>13947.913090312959</v>
      </c>
      <c r="V1097" s="100">
        <f>D.sign_Data[[#This Row],[TIEMPO (HORAS)]]*Gastos_Operativos[[#Totals],[GASTOS HORA]]</f>
        <v>13894.738536155201</v>
      </c>
      <c r="W1097" s="3">
        <f>+D.sign_Data[[#This Row],[COSTO 
DIRECTO ($COP)]]+D.sign_Data[[#This Row],[PRORRATEO GASTOS ($COP)]]</f>
        <v>27842.65162646816</v>
      </c>
      <c r="X1097" s="101">
        <v>0.05</v>
      </c>
      <c r="Y1097" s="15">
        <f>+D.sign_Data[[#This Row],[COSTOS OPERACIONALES ($COP)]]*D.sign_Data[[#This Row],[DESFASE (%)]]</f>
        <v>1392.132581323408</v>
      </c>
      <c r="Z1097" s="101">
        <v>0.2</v>
      </c>
      <c r="AA1097" s="15">
        <f>+((D.sign_Data[[#This Row],[COSTOS OPERACIONALES ($COP)]]/(100%-D.sign_Data[[#This Row],[UTILIDAD (%)]])))-D.sign_Data[[#This Row],[COSTOS OPERACIONALES ($COP)]]</f>
        <v>6960.662906617039</v>
      </c>
      <c r="AB1097" s="3">
        <f>+D.sign_Data[[#This Row],[COSTOS OPERACIONALES ($COP)]]+D.sign_Data[[#This Row],[DESFASE ($COP)]]+D.sign_Data[[#This Row],[UTILIDAD ($COP)]]</f>
        <v>36195.447114408606</v>
      </c>
      <c r="AC1097" s="101">
        <v>0.05</v>
      </c>
      <c r="AD1097" s="15">
        <f>+D.sign_Data[[#This Row],[VALOR NETO ($COP)]]/(100%-D.sign_Data[[#This Row],[MARGEN DE NEGOCIACIÓN (%)]])-D.sign_Data[[#This Row],[VALOR NETO ($COP)]]</f>
        <v>1905.0235323372981</v>
      </c>
      <c r="AE1097" s="15">
        <f>+(D.sign_Data[[#This Row],[VALOR NETO ($COP)]]+D.sign_Data[[#This Row],[NEGOCIACIÓN ($COP)]])*1%</f>
        <v>381.00470646745902</v>
      </c>
      <c r="AF1097" s="15">
        <f>+(D.sign_Data[[#This Row],[VALOR NETO ($COP)]]+D.sign_Data[[#This Row],[NEGOCIACIÓN ($COP)]])*1%</f>
        <v>381.00470646745902</v>
      </c>
      <c r="AG1097" s="3">
        <f>+D.sign_Data[[#This Row],[VALOR NETO ($COP)]]+D.sign_Data[[#This Row],[NEGOCIACIÓN ($COP)]]+D.sign_Data[[#This Row],[ICA ($COP)]]+D.sign_Data[[#This Row],[4 * 1000 ($COP)]]</f>
        <v>38862.48005968082</v>
      </c>
    </row>
    <row r="1098" spans="1:33" ht="60" hidden="1" customHeight="1" x14ac:dyDescent="0.25">
      <c r="A1098" s="14"/>
      <c r="B1098" s="87" t="s">
        <v>418</v>
      </c>
      <c r="C1098" s="182" t="s">
        <v>973</v>
      </c>
      <c r="D1098" s="189" t="str">
        <f>VLOOKUP(D.sign_Data[[#This Row],[CÓDIGO]],Descripciones[[CÓDIGO]:[NOMBRE DE SERVICIO]],3,FALSE)</f>
        <v>D4. Comercial</v>
      </c>
      <c r="E1098" s="87" t="s">
        <v>467</v>
      </c>
      <c r="F1098" s="88" t="s">
        <v>974</v>
      </c>
      <c r="G1098" s="93" t="s">
        <v>975</v>
      </c>
      <c r="H1098" s="97" t="s">
        <v>423</v>
      </c>
      <c r="I1098" s="94">
        <v>1</v>
      </c>
      <c r="J1098" s="93" t="s">
        <v>976</v>
      </c>
      <c r="K1098" s="103"/>
      <c r="L1098" s="93" t="s">
        <v>977</v>
      </c>
      <c r="M1098" s="95" t="s">
        <v>381</v>
      </c>
      <c r="N1098" s="96">
        <v>1</v>
      </c>
      <c r="O1098" s="27">
        <f>IFERROR(+VLOOKUP(M1098,D.sign_Lista_Data[[RESPONSABLE]:[SOFTWARE 
VALOR HORA]],3,FALSE),"0")</f>
        <v>20263.424518743668</v>
      </c>
      <c r="P1098" s="3">
        <f t="shared" si="40"/>
        <v>20263.424518743668</v>
      </c>
      <c r="Q1098" s="11">
        <f>IFERROR(+VLOOKUP(M1098,D.sign_Lista_Data[[RESPONSABLE]:[SOFTWARE 
VALOR HORA]],5,FALSE)*D.sign_Data[[#This Row],[TIEMPO (HORAS)]],0)</f>
        <v>4221.5467747382636</v>
      </c>
      <c r="R1098" s="11">
        <f>IFERROR(+VLOOKUP(M1098,D.sign_Lista_Data[[RESPONSABLE]:[SOFTWARE 
VALOR HORA]],8,FALSE)*D.sign_Data[[#This Row],[TIEMPO (HORAS)]],0)</f>
        <v>3410.8548871439834</v>
      </c>
      <c r="S1098" s="99"/>
      <c r="T1098" s="99"/>
      <c r="U1098" s="3">
        <f t="shared" si="41"/>
        <v>27895.826180625918</v>
      </c>
      <c r="V1098" s="100">
        <f>D.sign_Data[[#This Row],[TIEMPO (HORAS)]]*Gastos_Operativos[[#Totals],[GASTOS HORA]]</f>
        <v>27789.477072310401</v>
      </c>
      <c r="W1098" s="3">
        <f>+D.sign_Data[[#This Row],[COSTO 
DIRECTO ($COP)]]+D.sign_Data[[#This Row],[PRORRATEO GASTOS ($COP)]]</f>
        <v>55685.303252936319</v>
      </c>
      <c r="X1098" s="101">
        <v>0.1</v>
      </c>
      <c r="Y1098" s="15">
        <f>+D.sign_Data[[#This Row],[COSTOS OPERACIONALES ($COP)]]*D.sign_Data[[#This Row],[DESFASE (%)]]</f>
        <v>5568.5303252936319</v>
      </c>
      <c r="Z1098" s="101">
        <v>0.3</v>
      </c>
      <c r="AA1098" s="15">
        <f>+((D.sign_Data[[#This Row],[COSTOS OPERACIONALES ($COP)]]/(100%-D.sign_Data[[#This Row],[UTILIDAD (%)]])))-D.sign_Data[[#This Row],[COSTOS OPERACIONALES ($COP)]]</f>
        <v>23865.129965544147</v>
      </c>
      <c r="AB1098" s="3">
        <f>+D.sign_Data[[#This Row],[COSTOS OPERACIONALES ($COP)]]+D.sign_Data[[#This Row],[DESFASE ($COP)]]+D.sign_Data[[#This Row],[UTILIDAD ($COP)]]</f>
        <v>85118.963543774094</v>
      </c>
      <c r="AC1098" s="101">
        <v>0.05</v>
      </c>
      <c r="AD1098" s="15">
        <f>+D.sign_Data[[#This Row],[VALOR NETO ($COP)]]/(100%-D.sign_Data[[#This Row],[MARGEN DE NEGOCIACIÓN (%)]])-D.sign_Data[[#This Row],[VALOR NETO ($COP)]]</f>
        <v>4479.9454496723192</v>
      </c>
      <c r="AE1098" s="15">
        <f>+(D.sign_Data[[#This Row],[VALOR NETO ($COP)]]+D.sign_Data[[#This Row],[NEGOCIACIÓN ($COP)]])*1%</f>
        <v>895.98908993446412</v>
      </c>
      <c r="AF1098" s="15">
        <f>+(D.sign_Data[[#This Row],[VALOR NETO ($COP)]]+D.sign_Data[[#This Row],[NEGOCIACIÓN ($COP)]])*1%</f>
        <v>895.98908993446412</v>
      </c>
      <c r="AG1098" s="3">
        <f>+D.sign_Data[[#This Row],[VALOR NETO ($COP)]]+D.sign_Data[[#This Row],[NEGOCIACIÓN ($COP)]]+D.sign_Data[[#This Row],[ICA ($COP)]]+D.sign_Data[[#This Row],[4 * 1000 ($COP)]]</f>
        <v>91390.887173315336</v>
      </c>
    </row>
    <row r="1099" spans="1:33" ht="60" hidden="1" customHeight="1" x14ac:dyDescent="0.25">
      <c r="A1099" s="14"/>
      <c r="B1099" s="87" t="s">
        <v>418</v>
      </c>
      <c r="C1099" s="182" t="s">
        <v>973</v>
      </c>
      <c r="D1099" s="189" t="str">
        <f>VLOOKUP(D.sign_Data[[#This Row],[CÓDIGO]],Descripciones[[CÓDIGO]:[NOMBRE DE SERVICIO]],3,FALSE)</f>
        <v>D4. Comercial</v>
      </c>
      <c r="E1099" s="87" t="s">
        <v>467</v>
      </c>
      <c r="F1099" s="88" t="s">
        <v>974</v>
      </c>
      <c r="G1099" s="88" t="s">
        <v>978</v>
      </c>
      <c r="H1099" s="97" t="s">
        <v>423</v>
      </c>
      <c r="I1099" s="89">
        <v>1</v>
      </c>
      <c r="J1099" s="88" t="s">
        <v>979</v>
      </c>
      <c r="K1099" s="102"/>
      <c r="L1099" s="88" t="s">
        <v>980</v>
      </c>
      <c r="M1099" s="89" t="s">
        <v>381</v>
      </c>
      <c r="N1099" s="90">
        <v>1</v>
      </c>
      <c r="O1099" s="27">
        <f>IFERROR(+VLOOKUP(M1099,D.sign_Lista_Data[[RESPONSABLE]:[SOFTWARE 
VALOR HORA]],3,FALSE),"0")</f>
        <v>20263.424518743668</v>
      </c>
      <c r="P1099" s="3">
        <f t="shared" si="40"/>
        <v>20263.424518743668</v>
      </c>
      <c r="Q1099" s="11">
        <f>IFERROR(+VLOOKUP(M1099,D.sign_Lista_Data[[RESPONSABLE]:[SOFTWARE 
VALOR HORA]],5,FALSE)*D.sign_Data[[#This Row],[TIEMPO (HORAS)]],0)</f>
        <v>4221.5467747382636</v>
      </c>
      <c r="R1099" s="11">
        <f>IFERROR(+VLOOKUP(M1099,D.sign_Lista_Data[[RESPONSABLE]:[SOFTWARE 
VALOR HORA]],8,FALSE)*D.sign_Data[[#This Row],[TIEMPO (HORAS)]],0)</f>
        <v>3410.8548871439834</v>
      </c>
      <c r="S1099" s="99"/>
      <c r="T1099" s="99"/>
      <c r="U1099" s="3">
        <f t="shared" si="41"/>
        <v>27895.826180625918</v>
      </c>
      <c r="V1099" s="100">
        <f>D.sign_Data[[#This Row],[TIEMPO (HORAS)]]*Gastos_Operativos[[#Totals],[GASTOS HORA]]</f>
        <v>27789.477072310401</v>
      </c>
      <c r="W1099" s="3">
        <f>+D.sign_Data[[#This Row],[COSTO 
DIRECTO ($COP)]]+D.sign_Data[[#This Row],[PRORRATEO GASTOS ($COP)]]</f>
        <v>55685.303252936319</v>
      </c>
      <c r="X1099" s="101">
        <v>0.1</v>
      </c>
      <c r="Y1099" s="15">
        <f>+D.sign_Data[[#This Row],[COSTOS OPERACIONALES ($COP)]]*D.sign_Data[[#This Row],[DESFASE (%)]]</f>
        <v>5568.5303252936319</v>
      </c>
      <c r="Z1099" s="101">
        <v>0.3</v>
      </c>
      <c r="AA1099" s="15">
        <f>+((D.sign_Data[[#This Row],[COSTOS OPERACIONALES ($COP)]]/(100%-D.sign_Data[[#This Row],[UTILIDAD (%)]])))-D.sign_Data[[#This Row],[COSTOS OPERACIONALES ($COP)]]</f>
        <v>23865.129965544147</v>
      </c>
      <c r="AB1099" s="3">
        <f>+D.sign_Data[[#This Row],[COSTOS OPERACIONALES ($COP)]]+D.sign_Data[[#This Row],[DESFASE ($COP)]]+D.sign_Data[[#This Row],[UTILIDAD ($COP)]]</f>
        <v>85118.963543774094</v>
      </c>
      <c r="AC1099" s="101">
        <v>0.05</v>
      </c>
      <c r="AD1099" s="15">
        <f>+D.sign_Data[[#This Row],[VALOR NETO ($COP)]]/(100%-D.sign_Data[[#This Row],[MARGEN DE NEGOCIACIÓN (%)]])-D.sign_Data[[#This Row],[VALOR NETO ($COP)]]</f>
        <v>4479.9454496723192</v>
      </c>
      <c r="AE1099" s="15">
        <f>+(D.sign_Data[[#This Row],[VALOR NETO ($COP)]]+D.sign_Data[[#This Row],[NEGOCIACIÓN ($COP)]])*1%</f>
        <v>895.98908993446412</v>
      </c>
      <c r="AF1099" s="15">
        <f>+(D.sign_Data[[#This Row],[VALOR NETO ($COP)]]+D.sign_Data[[#This Row],[NEGOCIACIÓN ($COP)]])*1%</f>
        <v>895.98908993446412</v>
      </c>
      <c r="AG1099" s="3">
        <f>+D.sign_Data[[#This Row],[VALOR NETO ($COP)]]+D.sign_Data[[#This Row],[NEGOCIACIÓN ($COP)]]+D.sign_Data[[#This Row],[ICA ($COP)]]+D.sign_Data[[#This Row],[4 * 1000 ($COP)]]</f>
        <v>91390.887173315336</v>
      </c>
    </row>
    <row r="1100" spans="1:33" ht="60" hidden="1" customHeight="1" x14ac:dyDescent="0.25">
      <c r="A1100" s="14"/>
      <c r="B1100" s="87" t="s">
        <v>418</v>
      </c>
      <c r="C1100" s="182" t="s">
        <v>973</v>
      </c>
      <c r="D1100" s="189" t="str">
        <f>VLOOKUP(D.sign_Data[[#This Row],[CÓDIGO]],Descripciones[[CÓDIGO]:[NOMBRE DE SERVICIO]],3,FALSE)</f>
        <v>D4. Comercial</v>
      </c>
      <c r="E1100" s="87" t="s">
        <v>467</v>
      </c>
      <c r="F1100" s="88" t="s">
        <v>974</v>
      </c>
      <c r="G1100" s="88" t="s">
        <v>978</v>
      </c>
      <c r="H1100" s="97" t="s">
        <v>423</v>
      </c>
      <c r="I1100" s="89">
        <v>1</v>
      </c>
      <c r="J1100" s="88" t="s">
        <v>979</v>
      </c>
      <c r="K1100" s="102"/>
      <c r="L1100" s="88" t="s">
        <v>981</v>
      </c>
      <c r="M1100" s="89" t="s">
        <v>381</v>
      </c>
      <c r="N1100" s="90">
        <v>2</v>
      </c>
      <c r="O1100" s="27">
        <f>IFERROR(+VLOOKUP(M1100,D.sign_Lista_Data[[RESPONSABLE]:[SOFTWARE 
VALOR HORA]],3,FALSE),"0")</f>
        <v>20263.424518743668</v>
      </c>
      <c r="P1100" s="3">
        <f t="shared" si="40"/>
        <v>40526.849037487336</v>
      </c>
      <c r="Q1100" s="11">
        <f>IFERROR(+VLOOKUP(M1100,D.sign_Lista_Data[[RESPONSABLE]:[SOFTWARE 
VALOR HORA]],5,FALSE)*D.sign_Data[[#This Row],[TIEMPO (HORAS)]],0)</f>
        <v>8443.0935494765272</v>
      </c>
      <c r="R1100" s="11">
        <f>IFERROR(+VLOOKUP(M1100,D.sign_Lista_Data[[RESPONSABLE]:[SOFTWARE 
VALOR HORA]],8,FALSE)*D.sign_Data[[#This Row],[TIEMPO (HORAS)]],0)</f>
        <v>6821.7097742879669</v>
      </c>
      <c r="S1100" s="99"/>
      <c r="T1100" s="99"/>
      <c r="U1100" s="3">
        <f t="shared" si="41"/>
        <v>55791.652361251836</v>
      </c>
      <c r="V1100" s="100">
        <f>D.sign_Data[[#This Row],[TIEMPO (HORAS)]]*Gastos_Operativos[[#Totals],[GASTOS HORA]]</f>
        <v>55578.954144620802</v>
      </c>
      <c r="W1100" s="3">
        <f>+D.sign_Data[[#This Row],[COSTO 
DIRECTO ($COP)]]+D.sign_Data[[#This Row],[PRORRATEO GASTOS ($COP)]]</f>
        <v>111370.60650587264</v>
      </c>
      <c r="X1100" s="101">
        <v>0.1</v>
      </c>
      <c r="Y1100" s="15">
        <f>+D.sign_Data[[#This Row],[COSTOS OPERACIONALES ($COP)]]*D.sign_Data[[#This Row],[DESFASE (%)]]</f>
        <v>11137.060650587264</v>
      </c>
      <c r="Z1100" s="101">
        <v>0.3</v>
      </c>
      <c r="AA1100" s="15">
        <f>+((D.sign_Data[[#This Row],[COSTOS OPERACIONALES ($COP)]]/(100%-D.sign_Data[[#This Row],[UTILIDAD (%)]])))-D.sign_Data[[#This Row],[COSTOS OPERACIONALES ($COP)]]</f>
        <v>47730.259931088294</v>
      </c>
      <c r="AB1100" s="3">
        <f>+D.sign_Data[[#This Row],[COSTOS OPERACIONALES ($COP)]]+D.sign_Data[[#This Row],[DESFASE ($COP)]]+D.sign_Data[[#This Row],[UTILIDAD ($COP)]]</f>
        <v>170237.92708754819</v>
      </c>
      <c r="AC1100" s="101">
        <v>0.05</v>
      </c>
      <c r="AD1100" s="15">
        <f>+D.sign_Data[[#This Row],[VALOR NETO ($COP)]]/(100%-D.sign_Data[[#This Row],[MARGEN DE NEGOCIACIÓN (%)]])-D.sign_Data[[#This Row],[VALOR NETO ($COP)]]</f>
        <v>8959.8908993446385</v>
      </c>
      <c r="AE1100" s="15">
        <f>+(D.sign_Data[[#This Row],[VALOR NETO ($COP)]]+D.sign_Data[[#This Row],[NEGOCIACIÓN ($COP)]])*1%</f>
        <v>1791.9781798689282</v>
      </c>
      <c r="AF1100" s="15">
        <f>+(D.sign_Data[[#This Row],[VALOR NETO ($COP)]]+D.sign_Data[[#This Row],[NEGOCIACIÓN ($COP)]])*1%</f>
        <v>1791.9781798689282</v>
      </c>
      <c r="AG1100" s="3">
        <f>+D.sign_Data[[#This Row],[VALOR NETO ($COP)]]+D.sign_Data[[#This Row],[NEGOCIACIÓN ($COP)]]+D.sign_Data[[#This Row],[ICA ($COP)]]+D.sign_Data[[#This Row],[4 * 1000 ($COP)]]</f>
        <v>182781.77434663067</v>
      </c>
    </row>
    <row r="1101" spans="1:33" ht="60" hidden="1" customHeight="1" x14ac:dyDescent="0.25">
      <c r="A1101" s="14"/>
      <c r="B1101" s="87" t="s">
        <v>418</v>
      </c>
      <c r="C1101" s="182" t="s">
        <v>973</v>
      </c>
      <c r="D1101" s="189" t="str">
        <f>VLOOKUP(D.sign_Data[[#This Row],[CÓDIGO]],Descripciones[[CÓDIGO]:[NOMBRE DE SERVICIO]],3,FALSE)</f>
        <v>D4. Comercial</v>
      </c>
      <c r="E1101" s="87" t="s">
        <v>467</v>
      </c>
      <c r="F1101" s="88" t="s">
        <v>974</v>
      </c>
      <c r="G1101" s="88" t="s">
        <v>978</v>
      </c>
      <c r="H1101" s="97" t="s">
        <v>423</v>
      </c>
      <c r="I1101" s="89">
        <v>1</v>
      </c>
      <c r="J1101" s="88" t="s">
        <v>979</v>
      </c>
      <c r="K1101" s="102"/>
      <c r="L1101" s="93" t="s">
        <v>982</v>
      </c>
      <c r="M1101" s="89" t="s">
        <v>381</v>
      </c>
      <c r="N1101" s="90">
        <v>4</v>
      </c>
      <c r="O1101" s="27">
        <f>IFERROR(+VLOOKUP(M1101,D.sign_Lista_Data[[RESPONSABLE]:[SOFTWARE 
VALOR HORA]],3,FALSE),"0")</f>
        <v>20263.424518743668</v>
      </c>
      <c r="P1101" s="3">
        <f t="shared" si="40"/>
        <v>81053.698074974673</v>
      </c>
      <c r="Q1101" s="11">
        <f>IFERROR(+VLOOKUP(M1101,D.sign_Lista_Data[[RESPONSABLE]:[SOFTWARE 
VALOR HORA]],5,FALSE)*D.sign_Data[[#This Row],[TIEMPO (HORAS)]],0)</f>
        <v>16886.187098953054</v>
      </c>
      <c r="R1101" s="11">
        <f>IFERROR(+VLOOKUP(M1101,D.sign_Lista_Data[[RESPONSABLE]:[SOFTWARE 
VALOR HORA]],8,FALSE)*D.sign_Data[[#This Row],[TIEMPO (HORAS)]],0)</f>
        <v>13643.419548575934</v>
      </c>
      <c r="S1101" s="99"/>
      <c r="T1101" s="99"/>
      <c r="U1101" s="3">
        <f t="shared" si="41"/>
        <v>111583.30472250367</v>
      </c>
      <c r="V1101" s="100">
        <f>D.sign_Data[[#This Row],[TIEMPO (HORAS)]]*Gastos_Operativos[[#Totals],[GASTOS HORA]]</f>
        <v>111157.9082892416</v>
      </c>
      <c r="W1101" s="3">
        <f>+D.sign_Data[[#This Row],[COSTO 
DIRECTO ($COP)]]+D.sign_Data[[#This Row],[PRORRATEO GASTOS ($COP)]]</f>
        <v>222741.21301174528</v>
      </c>
      <c r="X1101" s="101">
        <v>0.1</v>
      </c>
      <c r="Y1101" s="15">
        <f>+D.sign_Data[[#This Row],[COSTOS OPERACIONALES ($COP)]]*D.sign_Data[[#This Row],[DESFASE (%)]]</f>
        <v>22274.121301174528</v>
      </c>
      <c r="Z1101" s="101">
        <v>0.3</v>
      </c>
      <c r="AA1101" s="15">
        <f>+((D.sign_Data[[#This Row],[COSTOS OPERACIONALES ($COP)]]/(100%-D.sign_Data[[#This Row],[UTILIDAD (%)]])))-D.sign_Data[[#This Row],[COSTOS OPERACIONALES ($COP)]]</f>
        <v>95460.519862176589</v>
      </c>
      <c r="AB1101" s="3">
        <f>+D.sign_Data[[#This Row],[COSTOS OPERACIONALES ($COP)]]+D.sign_Data[[#This Row],[DESFASE ($COP)]]+D.sign_Data[[#This Row],[UTILIDAD ($COP)]]</f>
        <v>340475.85417509638</v>
      </c>
      <c r="AC1101" s="101">
        <v>0.05</v>
      </c>
      <c r="AD1101" s="15">
        <f>+D.sign_Data[[#This Row],[VALOR NETO ($COP)]]/(100%-D.sign_Data[[#This Row],[MARGEN DE NEGOCIACIÓN (%)]])-D.sign_Data[[#This Row],[VALOR NETO ($COP)]]</f>
        <v>17919.781798689277</v>
      </c>
      <c r="AE1101" s="15">
        <f>+(D.sign_Data[[#This Row],[VALOR NETO ($COP)]]+D.sign_Data[[#This Row],[NEGOCIACIÓN ($COP)]])*1%</f>
        <v>3583.9563597378565</v>
      </c>
      <c r="AF1101" s="15">
        <f>+(D.sign_Data[[#This Row],[VALOR NETO ($COP)]]+D.sign_Data[[#This Row],[NEGOCIACIÓN ($COP)]])*1%</f>
        <v>3583.9563597378565</v>
      </c>
      <c r="AG1101" s="3">
        <f>+D.sign_Data[[#This Row],[VALOR NETO ($COP)]]+D.sign_Data[[#This Row],[NEGOCIACIÓN ($COP)]]+D.sign_Data[[#This Row],[ICA ($COP)]]+D.sign_Data[[#This Row],[4 * 1000 ($COP)]]</f>
        <v>365563.54869326134</v>
      </c>
    </row>
    <row r="1102" spans="1:33" ht="60" hidden="1" customHeight="1" x14ac:dyDescent="0.25">
      <c r="A1102" s="14"/>
      <c r="B1102" s="87" t="s">
        <v>418</v>
      </c>
      <c r="C1102" s="182" t="s">
        <v>973</v>
      </c>
      <c r="D1102" s="189" t="str">
        <f>VLOOKUP(D.sign_Data[[#This Row],[CÓDIGO]],Descripciones[[CÓDIGO]:[NOMBRE DE SERVICIO]],3,FALSE)</f>
        <v>D4. Comercial</v>
      </c>
      <c r="E1102" s="87" t="s">
        <v>467</v>
      </c>
      <c r="F1102" s="88" t="s">
        <v>974</v>
      </c>
      <c r="G1102" s="88" t="s">
        <v>978</v>
      </c>
      <c r="H1102" s="97" t="s">
        <v>423</v>
      </c>
      <c r="I1102" s="94">
        <v>1</v>
      </c>
      <c r="J1102" s="93" t="s">
        <v>983</v>
      </c>
      <c r="K1102" s="103"/>
      <c r="L1102" s="93" t="s">
        <v>984</v>
      </c>
      <c r="M1102" s="89" t="s">
        <v>381</v>
      </c>
      <c r="N1102" s="98">
        <v>9.6</v>
      </c>
      <c r="O1102" s="27">
        <f>IFERROR(+VLOOKUP(M1102,D.sign_Lista_Data[[RESPONSABLE]:[SOFTWARE 
VALOR HORA]],3,FALSE),"0")</f>
        <v>20263.424518743668</v>
      </c>
      <c r="P1102" s="3">
        <f t="shared" si="40"/>
        <v>194528.87537993921</v>
      </c>
      <c r="Q1102" s="11">
        <f>IFERROR(+VLOOKUP(M1102,D.sign_Lista_Data[[RESPONSABLE]:[SOFTWARE 
VALOR HORA]],5,FALSE)*D.sign_Data[[#This Row],[TIEMPO (HORAS)]],0)</f>
        <v>40526.849037487329</v>
      </c>
      <c r="R1102" s="11">
        <f>IFERROR(+VLOOKUP(M1102,D.sign_Lista_Data[[RESPONSABLE]:[SOFTWARE 
VALOR HORA]],8,FALSE)*D.sign_Data[[#This Row],[TIEMPO (HORAS)]],0)</f>
        <v>32744.20691658224</v>
      </c>
      <c r="S1102" s="99"/>
      <c r="T1102" s="99"/>
      <c r="U1102" s="3">
        <f t="shared" si="41"/>
        <v>267799.93133400875</v>
      </c>
      <c r="V1102" s="100">
        <f>D.sign_Data[[#This Row],[TIEMPO (HORAS)]]*Gastos_Operativos[[#Totals],[GASTOS HORA]]</f>
        <v>266778.97989417985</v>
      </c>
      <c r="W1102" s="3">
        <f>+D.sign_Data[[#This Row],[COSTO 
DIRECTO ($COP)]]+D.sign_Data[[#This Row],[PRORRATEO GASTOS ($COP)]]</f>
        <v>534578.91122818855</v>
      </c>
      <c r="X1102" s="101">
        <v>0.1</v>
      </c>
      <c r="Y1102" s="15">
        <f>+D.sign_Data[[#This Row],[COSTOS OPERACIONALES ($COP)]]*D.sign_Data[[#This Row],[DESFASE (%)]]</f>
        <v>53457.891122818859</v>
      </c>
      <c r="Z1102" s="101">
        <v>0.3</v>
      </c>
      <c r="AA1102" s="15">
        <f>+((D.sign_Data[[#This Row],[COSTOS OPERACIONALES ($COP)]]/(100%-D.sign_Data[[#This Row],[UTILIDAD (%)]])))-D.sign_Data[[#This Row],[COSTOS OPERACIONALES ($COP)]]</f>
        <v>229105.2476692237</v>
      </c>
      <c r="AB1102" s="3">
        <f>+D.sign_Data[[#This Row],[COSTOS OPERACIONALES ($COP)]]+D.sign_Data[[#This Row],[DESFASE ($COP)]]+D.sign_Data[[#This Row],[UTILIDAD ($COP)]]</f>
        <v>817142.05002023105</v>
      </c>
      <c r="AC1102" s="101">
        <v>0.05</v>
      </c>
      <c r="AD1102" s="15">
        <f>+D.sign_Data[[#This Row],[VALOR NETO ($COP)]]/(100%-D.sign_Data[[#This Row],[MARGEN DE NEGOCIACIÓN (%)]])-D.sign_Data[[#This Row],[VALOR NETO ($COP)]]</f>
        <v>43007.476316854358</v>
      </c>
      <c r="AE1102" s="15">
        <f>+(D.sign_Data[[#This Row],[VALOR NETO ($COP)]]+D.sign_Data[[#This Row],[NEGOCIACIÓN ($COP)]])*1%</f>
        <v>8601.4952633708544</v>
      </c>
      <c r="AF1102" s="15">
        <f>+(D.sign_Data[[#This Row],[VALOR NETO ($COP)]]+D.sign_Data[[#This Row],[NEGOCIACIÓN ($COP)]])*1%</f>
        <v>8601.4952633708544</v>
      </c>
      <c r="AG1102" s="3">
        <f>+D.sign_Data[[#This Row],[VALOR NETO ($COP)]]+D.sign_Data[[#This Row],[NEGOCIACIÓN ($COP)]]+D.sign_Data[[#This Row],[ICA ($COP)]]+D.sign_Data[[#This Row],[4 * 1000 ($COP)]]</f>
        <v>877352.51686382701</v>
      </c>
    </row>
    <row r="1103" spans="1:33" ht="60" hidden="1" customHeight="1" x14ac:dyDescent="0.25">
      <c r="A1103" s="14"/>
      <c r="B1103" s="87" t="s">
        <v>418</v>
      </c>
      <c r="C1103" s="182" t="s">
        <v>973</v>
      </c>
      <c r="D1103" s="189" t="str">
        <f>VLOOKUP(D.sign_Data[[#This Row],[CÓDIGO]],Descripciones[[CÓDIGO]:[NOMBRE DE SERVICIO]],3,FALSE)</f>
        <v>D4. Comercial</v>
      </c>
      <c r="E1103" s="87" t="s">
        <v>467</v>
      </c>
      <c r="F1103" s="88" t="s">
        <v>974</v>
      </c>
      <c r="G1103" s="93" t="s">
        <v>985</v>
      </c>
      <c r="H1103" s="97" t="s">
        <v>423</v>
      </c>
      <c r="I1103" s="94">
        <v>1</v>
      </c>
      <c r="J1103" s="93" t="s">
        <v>983</v>
      </c>
      <c r="K1103" s="103"/>
      <c r="L1103" s="93" t="s">
        <v>986</v>
      </c>
      <c r="M1103" s="89" t="s">
        <v>381</v>
      </c>
      <c r="N1103" s="96">
        <v>2</v>
      </c>
      <c r="O1103" s="27">
        <f>IFERROR(+VLOOKUP(M1103,D.sign_Lista_Data[[RESPONSABLE]:[SOFTWARE 
VALOR HORA]],3,FALSE),"0")</f>
        <v>20263.424518743668</v>
      </c>
      <c r="P1103" s="3">
        <f t="shared" si="40"/>
        <v>40526.849037487336</v>
      </c>
      <c r="Q1103" s="11">
        <f>IFERROR(+VLOOKUP(M1103,D.sign_Lista_Data[[RESPONSABLE]:[SOFTWARE 
VALOR HORA]],5,FALSE)*D.sign_Data[[#This Row],[TIEMPO (HORAS)]],0)</f>
        <v>8443.0935494765272</v>
      </c>
      <c r="R1103" s="11">
        <f>IFERROR(+VLOOKUP(M1103,D.sign_Lista_Data[[RESPONSABLE]:[SOFTWARE 
VALOR HORA]],8,FALSE)*D.sign_Data[[#This Row],[TIEMPO (HORAS)]],0)</f>
        <v>6821.7097742879669</v>
      </c>
      <c r="S1103" s="99"/>
      <c r="T1103" s="99"/>
      <c r="U1103" s="3">
        <f t="shared" si="41"/>
        <v>55791.652361251836</v>
      </c>
      <c r="V1103" s="100">
        <f>D.sign_Data[[#This Row],[TIEMPO (HORAS)]]*Gastos_Operativos[[#Totals],[GASTOS HORA]]</f>
        <v>55578.954144620802</v>
      </c>
      <c r="W1103" s="3">
        <f>+D.sign_Data[[#This Row],[COSTO 
DIRECTO ($COP)]]+D.sign_Data[[#This Row],[PRORRATEO GASTOS ($COP)]]</f>
        <v>111370.60650587264</v>
      </c>
      <c r="X1103" s="101">
        <v>0.1</v>
      </c>
      <c r="Y1103" s="15">
        <f>+D.sign_Data[[#This Row],[COSTOS OPERACIONALES ($COP)]]*D.sign_Data[[#This Row],[DESFASE (%)]]</f>
        <v>11137.060650587264</v>
      </c>
      <c r="Z1103" s="101">
        <v>0.3</v>
      </c>
      <c r="AA1103" s="15">
        <f>+((D.sign_Data[[#This Row],[COSTOS OPERACIONALES ($COP)]]/(100%-D.sign_Data[[#This Row],[UTILIDAD (%)]])))-D.sign_Data[[#This Row],[COSTOS OPERACIONALES ($COP)]]</f>
        <v>47730.259931088294</v>
      </c>
      <c r="AB1103" s="3">
        <f>+D.sign_Data[[#This Row],[COSTOS OPERACIONALES ($COP)]]+D.sign_Data[[#This Row],[DESFASE ($COP)]]+D.sign_Data[[#This Row],[UTILIDAD ($COP)]]</f>
        <v>170237.92708754819</v>
      </c>
      <c r="AC1103" s="101">
        <v>0.05</v>
      </c>
      <c r="AD1103" s="15">
        <f>+D.sign_Data[[#This Row],[VALOR NETO ($COP)]]/(100%-D.sign_Data[[#This Row],[MARGEN DE NEGOCIACIÓN (%)]])-D.sign_Data[[#This Row],[VALOR NETO ($COP)]]</f>
        <v>8959.8908993446385</v>
      </c>
      <c r="AE1103" s="15">
        <f>+(D.sign_Data[[#This Row],[VALOR NETO ($COP)]]+D.sign_Data[[#This Row],[NEGOCIACIÓN ($COP)]])*1%</f>
        <v>1791.9781798689282</v>
      </c>
      <c r="AF1103" s="15">
        <f>+(D.sign_Data[[#This Row],[VALOR NETO ($COP)]]+D.sign_Data[[#This Row],[NEGOCIACIÓN ($COP)]])*1%</f>
        <v>1791.9781798689282</v>
      </c>
      <c r="AG1103" s="3">
        <f>+D.sign_Data[[#This Row],[VALOR NETO ($COP)]]+D.sign_Data[[#This Row],[NEGOCIACIÓN ($COP)]]+D.sign_Data[[#This Row],[ICA ($COP)]]+D.sign_Data[[#This Row],[4 * 1000 ($COP)]]</f>
        <v>182781.77434663067</v>
      </c>
    </row>
    <row r="1104" spans="1:33" ht="60" hidden="1" customHeight="1" x14ac:dyDescent="0.25">
      <c r="A1104" s="14"/>
      <c r="B1104" s="87" t="s">
        <v>418</v>
      </c>
      <c r="C1104" s="182" t="s">
        <v>973</v>
      </c>
      <c r="D1104" s="189" t="str">
        <f>VLOOKUP(D.sign_Data[[#This Row],[CÓDIGO]],Descripciones[[CÓDIGO]:[NOMBRE DE SERVICIO]],3,FALSE)</f>
        <v>D4. Comercial</v>
      </c>
      <c r="E1104" s="87" t="s">
        <v>467</v>
      </c>
      <c r="F1104" s="88" t="s">
        <v>974</v>
      </c>
      <c r="G1104" s="93" t="s">
        <v>987</v>
      </c>
      <c r="H1104" s="97" t="s">
        <v>423</v>
      </c>
      <c r="I1104" s="94">
        <v>1</v>
      </c>
      <c r="J1104" s="93" t="s">
        <v>988</v>
      </c>
      <c r="K1104" s="103"/>
      <c r="L1104" s="93" t="s">
        <v>989</v>
      </c>
      <c r="M1104" s="89" t="s">
        <v>381</v>
      </c>
      <c r="N1104" s="96">
        <v>1</v>
      </c>
      <c r="O1104" s="27">
        <f>IFERROR(+VLOOKUP(M1104,D.sign_Lista_Data[[RESPONSABLE]:[SOFTWARE 
VALOR HORA]],3,FALSE),"0")</f>
        <v>20263.424518743668</v>
      </c>
      <c r="P1104" s="3">
        <f t="shared" si="40"/>
        <v>20263.424518743668</v>
      </c>
      <c r="Q1104" s="11">
        <f>IFERROR(+VLOOKUP(M1104,D.sign_Lista_Data[[RESPONSABLE]:[SOFTWARE 
VALOR HORA]],5,FALSE)*D.sign_Data[[#This Row],[TIEMPO (HORAS)]],0)</f>
        <v>4221.5467747382636</v>
      </c>
      <c r="R1104" s="11">
        <f>IFERROR(+VLOOKUP(M1104,D.sign_Lista_Data[[RESPONSABLE]:[SOFTWARE 
VALOR HORA]],8,FALSE)*D.sign_Data[[#This Row],[TIEMPO (HORAS)]],0)</f>
        <v>3410.8548871439834</v>
      </c>
      <c r="S1104" s="99"/>
      <c r="T1104" s="99"/>
      <c r="U1104" s="3">
        <f t="shared" si="41"/>
        <v>27895.826180625918</v>
      </c>
      <c r="V1104" s="100">
        <f>D.sign_Data[[#This Row],[TIEMPO (HORAS)]]*Gastos_Operativos[[#Totals],[GASTOS HORA]]</f>
        <v>27789.477072310401</v>
      </c>
      <c r="W1104" s="3">
        <f>+D.sign_Data[[#This Row],[COSTO 
DIRECTO ($COP)]]+D.sign_Data[[#This Row],[PRORRATEO GASTOS ($COP)]]</f>
        <v>55685.303252936319</v>
      </c>
      <c r="X1104" s="101">
        <v>0.1</v>
      </c>
      <c r="Y1104" s="15">
        <f>+D.sign_Data[[#This Row],[COSTOS OPERACIONALES ($COP)]]*D.sign_Data[[#This Row],[DESFASE (%)]]</f>
        <v>5568.5303252936319</v>
      </c>
      <c r="Z1104" s="101">
        <v>0.3</v>
      </c>
      <c r="AA1104" s="15">
        <f>+((D.sign_Data[[#This Row],[COSTOS OPERACIONALES ($COP)]]/(100%-D.sign_Data[[#This Row],[UTILIDAD (%)]])))-D.sign_Data[[#This Row],[COSTOS OPERACIONALES ($COP)]]</f>
        <v>23865.129965544147</v>
      </c>
      <c r="AB1104" s="3">
        <f>+D.sign_Data[[#This Row],[COSTOS OPERACIONALES ($COP)]]+D.sign_Data[[#This Row],[DESFASE ($COP)]]+D.sign_Data[[#This Row],[UTILIDAD ($COP)]]</f>
        <v>85118.963543774094</v>
      </c>
      <c r="AC1104" s="101">
        <v>0.05</v>
      </c>
      <c r="AD1104" s="15">
        <f>+D.sign_Data[[#This Row],[VALOR NETO ($COP)]]/(100%-D.sign_Data[[#This Row],[MARGEN DE NEGOCIACIÓN (%)]])-D.sign_Data[[#This Row],[VALOR NETO ($COP)]]</f>
        <v>4479.9454496723192</v>
      </c>
      <c r="AE1104" s="15">
        <f>+(D.sign_Data[[#This Row],[VALOR NETO ($COP)]]+D.sign_Data[[#This Row],[NEGOCIACIÓN ($COP)]])*1%</f>
        <v>895.98908993446412</v>
      </c>
      <c r="AF1104" s="15">
        <f>+(D.sign_Data[[#This Row],[VALOR NETO ($COP)]]+D.sign_Data[[#This Row],[NEGOCIACIÓN ($COP)]])*1%</f>
        <v>895.98908993446412</v>
      </c>
      <c r="AG1104" s="3">
        <f>+D.sign_Data[[#This Row],[VALOR NETO ($COP)]]+D.sign_Data[[#This Row],[NEGOCIACIÓN ($COP)]]+D.sign_Data[[#This Row],[ICA ($COP)]]+D.sign_Data[[#This Row],[4 * 1000 ($COP)]]</f>
        <v>91390.887173315336</v>
      </c>
    </row>
    <row r="1105" spans="1:33" ht="60" hidden="1" customHeight="1" x14ac:dyDescent="0.25">
      <c r="A1105" s="14"/>
      <c r="B1105" s="87" t="s">
        <v>418</v>
      </c>
      <c r="C1105" s="182" t="s">
        <v>973</v>
      </c>
      <c r="D1105" s="189" t="str">
        <f>VLOOKUP(D.sign_Data[[#This Row],[CÓDIGO]],Descripciones[[CÓDIGO]:[NOMBRE DE SERVICIO]],3,FALSE)</f>
        <v>D4. Comercial</v>
      </c>
      <c r="E1105" s="87" t="s">
        <v>467</v>
      </c>
      <c r="F1105" s="88" t="s">
        <v>974</v>
      </c>
      <c r="G1105" s="93" t="s">
        <v>987</v>
      </c>
      <c r="H1105" s="97" t="s">
        <v>423</v>
      </c>
      <c r="I1105" s="94">
        <v>1</v>
      </c>
      <c r="J1105" s="93" t="s">
        <v>684</v>
      </c>
      <c r="K1105" s="103"/>
      <c r="L1105" s="93" t="s">
        <v>990</v>
      </c>
      <c r="M1105" s="95" t="s">
        <v>381</v>
      </c>
      <c r="N1105" s="96">
        <v>0.5</v>
      </c>
      <c r="O1105" s="27">
        <f>IFERROR(+VLOOKUP(M1105,D.sign_Lista_Data[[RESPONSABLE]:[SOFTWARE 
VALOR HORA]],3,FALSE),"0")</f>
        <v>20263.424518743668</v>
      </c>
      <c r="P1105" s="3">
        <f t="shared" si="40"/>
        <v>10131.712259371834</v>
      </c>
      <c r="Q1105" s="11">
        <f>IFERROR(+VLOOKUP(M1105,D.sign_Lista_Data[[RESPONSABLE]:[SOFTWARE 
VALOR HORA]],5,FALSE)*D.sign_Data[[#This Row],[TIEMPO (HORAS)]],0)</f>
        <v>2110.7733873691318</v>
      </c>
      <c r="R1105" s="11">
        <f>IFERROR(+VLOOKUP(M1105,D.sign_Lista_Data[[RESPONSABLE]:[SOFTWARE 
VALOR HORA]],8,FALSE)*D.sign_Data[[#This Row],[TIEMPO (HORAS)]],0)</f>
        <v>1705.4274435719917</v>
      </c>
      <c r="S1105" s="99"/>
      <c r="T1105" s="99"/>
      <c r="U1105" s="3">
        <f t="shared" si="41"/>
        <v>13947.913090312959</v>
      </c>
      <c r="V1105" s="100">
        <f>D.sign_Data[[#This Row],[TIEMPO (HORAS)]]*Gastos_Operativos[[#Totals],[GASTOS HORA]]</f>
        <v>13894.738536155201</v>
      </c>
      <c r="W1105" s="3">
        <f>+D.sign_Data[[#This Row],[COSTO 
DIRECTO ($COP)]]+D.sign_Data[[#This Row],[PRORRATEO GASTOS ($COP)]]</f>
        <v>27842.65162646816</v>
      </c>
      <c r="X1105" s="101">
        <v>0.1</v>
      </c>
      <c r="Y1105" s="15">
        <f>+D.sign_Data[[#This Row],[COSTOS OPERACIONALES ($COP)]]*D.sign_Data[[#This Row],[DESFASE (%)]]</f>
        <v>2784.265162646816</v>
      </c>
      <c r="Z1105" s="101">
        <v>0.3</v>
      </c>
      <c r="AA1105" s="15">
        <f>+((D.sign_Data[[#This Row],[COSTOS OPERACIONALES ($COP)]]/(100%-D.sign_Data[[#This Row],[UTILIDAD (%)]])))-D.sign_Data[[#This Row],[COSTOS OPERACIONALES ($COP)]]</f>
        <v>11932.564982772074</v>
      </c>
      <c r="AB1105" s="3">
        <f>+D.sign_Data[[#This Row],[COSTOS OPERACIONALES ($COP)]]+D.sign_Data[[#This Row],[DESFASE ($COP)]]+D.sign_Data[[#This Row],[UTILIDAD ($COP)]]</f>
        <v>42559.481771887047</v>
      </c>
      <c r="AC1105" s="101">
        <v>0.05</v>
      </c>
      <c r="AD1105" s="15">
        <f>+D.sign_Data[[#This Row],[VALOR NETO ($COP)]]/(100%-D.sign_Data[[#This Row],[MARGEN DE NEGOCIACIÓN (%)]])-D.sign_Data[[#This Row],[VALOR NETO ($COP)]]</f>
        <v>2239.9727248361596</v>
      </c>
      <c r="AE1105" s="15">
        <f>+(D.sign_Data[[#This Row],[VALOR NETO ($COP)]]+D.sign_Data[[#This Row],[NEGOCIACIÓN ($COP)]])*1%</f>
        <v>447.99454496723206</v>
      </c>
      <c r="AF1105" s="15">
        <f>+(D.sign_Data[[#This Row],[VALOR NETO ($COP)]]+D.sign_Data[[#This Row],[NEGOCIACIÓN ($COP)]])*1%</f>
        <v>447.99454496723206</v>
      </c>
      <c r="AG1105" s="3">
        <f>+D.sign_Data[[#This Row],[VALOR NETO ($COP)]]+D.sign_Data[[#This Row],[NEGOCIACIÓN ($COP)]]+D.sign_Data[[#This Row],[ICA ($COP)]]+D.sign_Data[[#This Row],[4 * 1000 ($COP)]]</f>
        <v>45695.443586657668</v>
      </c>
    </row>
    <row r="1106" spans="1:33" ht="60" hidden="1" customHeight="1" x14ac:dyDescent="0.25">
      <c r="A1106" s="14"/>
      <c r="B1106" s="87" t="s">
        <v>418</v>
      </c>
      <c r="C1106" s="182" t="s">
        <v>973</v>
      </c>
      <c r="D1106" s="189" t="str">
        <f>VLOOKUP(D.sign_Data[[#This Row],[CÓDIGO]],Descripciones[[CÓDIGO]:[NOMBRE DE SERVICIO]],3,FALSE)</f>
        <v>D4. Comercial</v>
      </c>
      <c r="E1106" s="87" t="s">
        <v>467</v>
      </c>
      <c r="F1106" s="88" t="s">
        <v>974</v>
      </c>
      <c r="G1106" s="93" t="s">
        <v>991</v>
      </c>
      <c r="H1106" s="97" t="s">
        <v>423</v>
      </c>
      <c r="I1106" s="94">
        <v>1</v>
      </c>
      <c r="J1106" s="93" t="s">
        <v>992</v>
      </c>
      <c r="K1106" s="103"/>
      <c r="L1106" s="93" t="s">
        <v>993</v>
      </c>
      <c r="M1106" s="89" t="s">
        <v>381</v>
      </c>
      <c r="N1106" s="90">
        <v>0.5</v>
      </c>
      <c r="O1106" s="27">
        <f>IFERROR(+VLOOKUP(M1106,D.sign_Lista_Data[[RESPONSABLE]:[SOFTWARE 
VALOR HORA]],3,FALSE),"0")</f>
        <v>20263.424518743668</v>
      </c>
      <c r="P1106" s="3">
        <f t="shared" si="40"/>
        <v>10131.712259371834</v>
      </c>
      <c r="Q1106" s="11">
        <f>IFERROR(+VLOOKUP(M1106,D.sign_Lista_Data[[RESPONSABLE]:[SOFTWARE 
VALOR HORA]],5,FALSE)*D.sign_Data[[#This Row],[TIEMPO (HORAS)]],0)</f>
        <v>2110.7733873691318</v>
      </c>
      <c r="R1106" s="11">
        <f>IFERROR(+VLOOKUP(M1106,D.sign_Lista_Data[[RESPONSABLE]:[SOFTWARE 
VALOR HORA]],8,FALSE)*D.sign_Data[[#This Row],[TIEMPO (HORAS)]],0)</f>
        <v>1705.4274435719917</v>
      </c>
      <c r="S1106" s="99"/>
      <c r="T1106" s="99"/>
      <c r="U1106" s="3">
        <f t="shared" si="41"/>
        <v>13947.913090312959</v>
      </c>
      <c r="V1106" s="100">
        <f>D.sign_Data[[#This Row],[TIEMPO (HORAS)]]*Gastos_Operativos[[#Totals],[GASTOS HORA]]</f>
        <v>13894.738536155201</v>
      </c>
      <c r="W1106" s="3">
        <f>+D.sign_Data[[#This Row],[COSTO 
DIRECTO ($COP)]]+D.sign_Data[[#This Row],[PRORRATEO GASTOS ($COP)]]</f>
        <v>27842.65162646816</v>
      </c>
      <c r="X1106" s="101">
        <v>0.1</v>
      </c>
      <c r="Y1106" s="15">
        <f>+D.sign_Data[[#This Row],[COSTOS OPERACIONALES ($COP)]]*D.sign_Data[[#This Row],[DESFASE (%)]]</f>
        <v>2784.265162646816</v>
      </c>
      <c r="Z1106" s="101">
        <v>0.3</v>
      </c>
      <c r="AA1106" s="15">
        <f>+((D.sign_Data[[#This Row],[COSTOS OPERACIONALES ($COP)]]/(100%-D.sign_Data[[#This Row],[UTILIDAD (%)]])))-D.sign_Data[[#This Row],[COSTOS OPERACIONALES ($COP)]]</f>
        <v>11932.564982772074</v>
      </c>
      <c r="AB1106" s="3">
        <f>+D.sign_Data[[#This Row],[COSTOS OPERACIONALES ($COP)]]+D.sign_Data[[#This Row],[DESFASE ($COP)]]+D.sign_Data[[#This Row],[UTILIDAD ($COP)]]</f>
        <v>42559.481771887047</v>
      </c>
      <c r="AC1106" s="101">
        <v>0.05</v>
      </c>
      <c r="AD1106" s="15">
        <f>+D.sign_Data[[#This Row],[VALOR NETO ($COP)]]/(100%-D.sign_Data[[#This Row],[MARGEN DE NEGOCIACIÓN (%)]])-D.sign_Data[[#This Row],[VALOR NETO ($COP)]]</f>
        <v>2239.9727248361596</v>
      </c>
      <c r="AE1106" s="15">
        <f>+(D.sign_Data[[#This Row],[VALOR NETO ($COP)]]+D.sign_Data[[#This Row],[NEGOCIACIÓN ($COP)]])*1%</f>
        <v>447.99454496723206</v>
      </c>
      <c r="AF1106" s="15">
        <f>+(D.sign_Data[[#This Row],[VALOR NETO ($COP)]]+D.sign_Data[[#This Row],[NEGOCIACIÓN ($COP)]])*1%</f>
        <v>447.99454496723206</v>
      </c>
      <c r="AG1106" s="3">
        <f>+D.sign_Data[[#This Row],[VALOR NETO ($COP)]]+D.sign_Data[[#This Row],[NEGOCIACIÓN ($COP)]]+D.sign_Data[[#This Row],[ICA ($COP)]]+D.sign_Data[[#This Row],[4 * 1000 ($COP)]]</f>
        <v>45695.443586657668</v>
      </c>
    </row>
    <row r="1107" spans="1:33" ht="60" hidden="1" customHeight="1" x14ac:dyDescent="0.25">
      <c r="A1107" s="14"/>
      <c r="B1107" s="87" t="s">
        <v>418</v>
      </c>
      <c r="C1107" s="182" t="s">
        <v>973</v>
      </c>
      <c r="D1107" s="189" t="str">
        <f>VLOOKUP(D.sign_Data[[#This Row],[CÓDIGO]],Descripciones[[CÓDIGO]:[NOMBRE DE SERVICIO]],3,FALSE)</f>
        <v>D4. Comercial</v>
      </c>
      <c r="E1107" s="87" t="s">
        <v>467</v>
      </c>
      <c r="F1107" s="88" t="s">
        <v>974</v>
      </c>
      <c r="G1107" s="93" t="s">
        <v>991</v>
      </c>
      <c r="H1107" s="97" t="s">
        <v>423</v>
      </c>
      <c r="I1107" s="94">
        <v>1</v>
      </c>
      <c r="J1107" s="93" t="s">
        <v>992</v>
      </c>
      <c r="K1107" s="103"/>
      <c r="L1107" s="93" t="s">
        <v>994</v>
      </c>
      <c r="M1107" s="89" t="s">
        <v>381</v>
      </c>
      <c r="N1107" s="90">
        <v>1</v>
      </c>
      <c r="O1107" s="27">
        <f>IFERROR(+VLOOKUP(M1107,D.sign_Lista_Data[[RESPONSABLE]:[SOFTWARE 
VALOR HORA]],3,FALSE),"0")</f>
        <v>20263.424518743668</v>
      </c>
      <c r="P1107" s="3">
        <f t="shared" si="40"/>
        <v>20263.424518743668</v>
      </c>
      <c r="Q1107" s="11">
        <f>IFERROR(+VLOOKUP(M1107,D.sign_Lista_Data[[RESPONSABLE]:[SOFTWARE 
VALOR HORA]],5,FALSE)*D.sign_Data[[#This Row],[TIEMPO (HORAS)]],0)</f>
        <v>4221.5467747382636</v>
      </c>
      <c r="R1107" s="11">
        <f>IFERROR(+VLOOKUP(M1107,D.sign_Lista_Data[[RESPONSABLE]:[SOFTWARE 
VALOR HORA]],8,FALSE)*D.sign_Data[[#This Row],[TIEMPO (HORAS)]],0)</f>
        <v>3410.8548871439834</v>
      </c>
      <c r="S1107" s="99"/>
      <c r="T1107" s="99"/>
      <c r="U1107" s="3">
        <f t="shared" si="41"/>
        <v>27895.826180625918</v>
      </c>
      <c r="V1107" s="100">
        <f>D.sign_Data[[#This Row],[TIEMPO (HORAS)]]*Gastos_Operativos[[#Totals],[GASTOS HORA]]</f>
        <v>27789.477072310401</v>
      </c>
      <c r="W1107" s="3">
        <f>+D.sign_Data[[#This Row],[COSTO 
DIRECTO ($COP)]]+D.sign_Data[[#This Row],[PRORRATEO GASTOS ($COP)]]</f>
        <v>55685.303252936319</v>
      </c>
      <c r="X1107" s="101">
        <v>0.1</v>
      </c>
      <c r="Y1107" s="15">
        <f>+D.sign_Data[[#This Row],[COSTOS OPERACIONALES ($COP)]]*D.sign_Data[[#This Row],[DESFASE (%)]]</f>
        <v>5568.5303252936319</v>
      </c>
      <c r="Z1107" s="101">
        <v>0.3</v>
      </c>
      <c r="AA1107" s="15">
        <f>+((D.sign_Data[[#This Row],[COSTOS OPERACIONALES ($COP)]]/(100%-D.sign_Data[[#This Row],[UTILIDAD (%)]])))-D.sign_Data[[#This Row],[COSTOS OPERACIONALES ($COP)]]</f>
        <v>23865.129965544147</v>
      </c>
      <c r="AB1107" s="3">
        <f>+D.sign_Data[[#This Row],[COSTOS OPERACIONALES ($COP)]]+D.sign_Data[[#This Row],[DESFASE ($COP)]]+D.sign_Data[[#This Row],[UTILIDAD ($COP)]]</f>
        <v>85118.963543774094</v>
      </c>
      <c r="AC1107" s="101">
        <v>0.05</v>
      </c>
      <c r="AD1107" s="15">
        <f>+D.sign_Data[[#This Row],[VALOR NETO ($COP)]]/(100%-D.sign_Data[[#This Row],[MARGEN DE NEGOCIACIÓN (%)]])-D.sign_Data[[#This Row],[VALOR NETO ($COP)]]</f>
        <v>4479.9454496723192</v>
      </c>
      <c r="AE1107" s="15">
        <f>+(D.sign_Data[[#This Row],[VALOR NETO ($COP)]]+D.sign_Data[[#This Row],[NEGOCIACIÓN ($COP)]])*1%</f>
        <v>895.98908993446412</v>
      </c>
      <c r="AF1107" s="15">
        <f>+(D.sign_Data[[#This Row],[VALOR NETO ($COP)]]+D.sign_Data[[#This Row],[NEGOCIACIÓN ($COP)]])*1%</f>
        <v>895.98908993446412</v>
      </c>
      <c r="AG1107" s="3">
        <f>+D.sign_Data[[#This Row],[VALOR NETO ($COP)]]+D.sign_Data[[#This Row],[NEGOCIACIÓN ($COP)]]+D.sign_Data[[#This Row],[ICA ($COP)]]+D.sign_Data[[#This Row],[4 * 1000 ($COP)]]</f>
        <v>91390.887173315336</v>
      </c>
    </row>
    <row r="1108" spans="1:33" ht="60" hidden="1" customHeight="1" x14ac:dyDescent="0.25">
      <c r="A1108" s="14"/>
      <c r="B1108" s="87" t="s">
        <v>418</v>
      </c>
      <c r="C1108" s="182" t="s">
        <v>973</v>
      </c>
      <c r="D1108" s="189" t="str">
        <f>VLOOKUP(D.sign_Data[[#This Row],[CÓDIGO]],Descripciones[[CÓDIGO]:[NOMBRE DE SERVICIO]],3,FALSE)</f>
        <v>D4. Comercial</v>
      </c>
      <c r="E1108" s="87" t="s">
        <v>467</v>
      </c>
      <c r="F1108" s="88" t="s">
        <v>974</v>
      </c>
      <c r="G1108" s="93" t="s">
        <v>991</v>
      </c>
      <c r="H1108" s="97" t="s">
        <v>423</v>
      </c>
      <c r="I1108" s="94">
        <v>1</v>
      </c>
      <c r="J1108" s="93" t="s">
        <v>992</v>
      </c>
      <c r="K1108" s="103"/>
      <c r="L1108" s="93" t="s">
        <v>995</v>
      </c>
      <c r="M1108" s="89" t="s">
        <v>381</v>
      </c>
      <c r="N1108" s="90">
        <v>1</v>
      </c>
      <c r="O1108" s="27">
        <f>IFERROR(+VLOOKUP(M1108,D.sign_Lista_Data[[RESPONSABLE]:[SOFTWARE 
VALOR HORA]],3,FALSE),"0")</f>
        <v>20263.424518743668</v>
      </c>
      <c r="P1108" s="3">
        <f t="shared" si="40"/>
        <v>20263.424518743668</v>
      </c>
      <c r="Q1108" s="11">
        <f>IFERROR(+VLOOKUP(M1108,D.sign_Lista_Data[[RESPONSABLE]:[SOFTWARE 
VALOR HORA]],5,FALSE)*D.sign_Data[[#This Row],[TIEMPO (HORAS)]],0)</f>
        <v>4221.5467747382636</v>
      </c>
      <c r="R1108" s="11">
        <f>IFERROR(+VLOOKUP(M1108,D.sign_Lista_Data[[RESPONSABLE]:[SOFTWARE 
VALOR HORA]],8,FALSE)*D.sign_Data[[#This Row],[TIEMPO (HORAS)]],0)</f>
        <v>3410.8548871439834</v>
      </c>
      <c r="S1108" s="99"/>
      <c r="T1108" s="99"/>
      <c r="U1108" s="3">
        <f t="shared" si="41"/>
        <v>27895.826180625918</v>
      </c>
      <c r="V1108" s="100">
        <f>D.sign_Data[[#This Row],[TIEMPO (HORAS)]]*Gastos_Operativos[[#Totals],[GASTOS HORA]]</f>
        <v>27789.477072310401</v>
      </c>
      <c r="W1108" s="3">
        <f>+D.sign_Data[[#This Row],[COSTO 
DIRECTO ($COP)]]+D.sign_Data[[#This Row],[PRORRATEO GASTOS ($COP)]]</f>
        <v>55685.303252936319</v>
      </c>
      <c r="X1108" s="101">
        <v>0.1</v>
      </c>
      <c r="Y1108" s="15">
        <f>+D.sign_Data[[#This Row],[COSTOS OPERACIONALES ($COP)]]*D.sign_Data[[#This Row],[DESFASE (%)]]</f>
        <v>5568.5303252936319</v>
      </c>
      <c r="Z1108" s="101">
        <v>0.3</v>
      </c>
      <c r="AA1108" s="15">
        <f>+((D.sign_Data[[#This Row],[COSTOS OPERACIONALES ($COP)]]/(100%-D.sign_Data[[#This Row],[UTILIDAD (%)]])))-D.sign_Data[[#This Row],[COSTOS OPERACIONALES ($COP)]]</f>
        <v>23865.129965544147</v>
      </c>
      <c r="AB1108" s="3">
        <f>+D.sign_Data[[#This Row],[COSTOS OPERACIONALES ($COP)]]+D.sign_Data[[#This Row],[DESFASE ($COP)]]+D.sign_Data[[#This Row],[UTILIDAD ($COP)]]</f>
        <v>85118.963543774094</v>
      </c>
      <c r="AC1108" s="101">
        <v>0.05</v>
      </c>
      <c r="AD1108" s="15">
        <f>+D.sign_Data[[#This Row],[VALOR NETO ($COP)]]/(100%-D.sign_Data[[#This Row],[MARGEN DE NEGOCIACIÓN (%)]])-D.sign_Data[[#This Row],[VALOR NETO ($COP)]]</f>
        <v>4479.9454496723192</v>
      </c>
      <c r="AE1108" s="15">
        <f>+(D.sign_Data[[#This Row],[VALOR NETO ($COP)]]+D.sign_Data[[#This Row],[NEGOCIACIÓN ($COP)]])*1%</f>
        <v>895.98908993446412</v>
      </c>
      <c r="AF1108" s="15">
        <f>+(D.sign_Data[[#This Row],[VALOR NETO ($COP)]]+D.sign_Data[[#This Row],[NEGOCIACIÓN ($COP)]])*1%</f>
        <v>895.98908993446412</v>
      </c>
      <c r="AG1108" s="3">
        <f>+D.sign_Data[[#This Row],[VALOR NETO ($COP)]]+D.sign_Data[[#This Row],[NEGOCIACIÓN ($COP)]]+D.sign_Data[[#This Row],[ICA ($COP)]]+D.sign_Data[[#This Row],[4 * 1000 ($COP)]]</f>
        <v>91390.887173315336</v>
      </c>
    </row>
    <row r="1109" spans="1:33" ht="60" hidden="1" customHeight="1" x14ac:dyDescent="0.25">
      <c r="A1109" s="14"/>
      <c r="B1109" s="87" t="s">
        <v>418</v>
      </c>
      <c r="C1109" s="182" t="s">
        <v>973</v>
      </c>
      <c r="D1109" s="189" t="str">
        <f>VLOOKUP(D.sign_Data[[#This Row],[CÓDIGO]],Descripciones[[CÓDIGO]:[NOMBRE DE SERVICIO]],3,FALSE)</f>
        <v>D4. Comercial</v>
      </c>
      <c r="E1109" s="87" t="s">
        <v>467</v>
      </c>
      <c r="F1109" s="88" t="s">
        <v>974</v>
      </c>
      <c r="G1109" s="93" t="s">
        <v>991</v>
      </c>
      <c r="H1109" s="97" t="s">
        <v>423</v>
      </c>
      <c r="I1109" s="94">
        <v>1</v>
      </c>
      <c r="J1109" s="93" t="s">
        <v>992</v>
      </c>
      <c r="K1109" s="103"/>
      <c r="L1109" s="93" t="s">
        <v>996</v>
      </c>
      <c r="M1109" s="89" t="s">
        <v>381</v>
      </c>
      <c r="N1109" s="90">
        <v>1</v>
      </c>
      <c r="O1109" s="27">
        <f>IFERROR(+VLOOKUP(M1109,D.sign_Lista_Data[[RESPONSABLE]:[SOFTWARE 
VALOR HORA]],3,FALSE),"0")</f>
        <v>20263.424518743668</v>
      </c>
      <c r="P1109" s="3">
        <f t="shared" si="40"/>
        <v>20263.424518743668</v>
      </c>
      <c r="Q1109" s="11">
        <f>IFERROR(+VLOOKUP(M1109,D.sign_Lista_Data[[RESPONSABLE]:[SOFTWARE 
VALOR HORA]],5,FALSE)*D.sign_Data[[#This Row],[TIEMPO (HORAS)]],0)</f>
        <v>4221.5467747382636</v>
      </c>
      <c r="R1109" s="11">
        <f>IFERROR(+VLOOKUP(M1109,D.sign_Lista_Data[[RESPONSABLE]:[SOFTWARE 
VALOR HORA]],8,FALSE)*D.sign_Data[[#This Row],[TIEMPO (HORAS)]],0)</f>
        <v>3410.8548871439834</v>
      </c>
      <c r="S1109" s="99"/>
      <c r="T1109" s="99"/>
      <c r="U1109" s="3">
        <f t="shared" si="41"/>
        <v>27895.826180625918</v>
      </c>
      <c r="V1109" s="100">
        <f>D.sign_Data[[#This Row],[TIEMPO (HORAS)]]*Gastos_Operativos[[#Totals],[GASTOS HORA]]</f>
        <v>27789.477072310401</v>
      </c>
      <c r="W1109" s="3">
        <f>+D.sign_Data[[#This Row],[COSTO 
DIRECTO ($COP)]]+D.sign_Data[[#This Row],[PRORRATEO GASTOS ($COP)]]</f>
        <v>55685.303252936319</v>
      </c>
      <c r="X1109" s="101">
        <v>0.1</v>
      </c>
      <c r="Y1109" s="15">
        <f>+D.sign_Data[[#This Row],[COSTOS OPERACIONALES ($COP)]]*D.sign_Data[[#This Row],[DESFASE (%)]]</f>
        <v>5568.5303252936319</v>
      </c>
      <c r="Z1109" s="101">
        <v>0.3</v>
      </c>
      <c r="AA1109" s="15">
        <f>+((D.sign_Data[[#This Row],[COSTOS OPERACIONALES ($COP)]]/(100%-D.sign_Data[[#This Row],[UTILIDAD (%)]])))-D.sign_Data[[#This Row],[COSTOS OPERACIONALES ($COP)]]</f>
        <v>23865.129965544147</v>
      </c>
      <c r="AB1109" s="3">
        <f>+D.sign_Data[[#This Row],[COSTOS OPERACIONALES ($COP)]]+D.sign_Data[[#This Row],[DESFASE ($COP)]]+D.sign_Data[[#This Row],[UTILIDAD ($COP)]]</f>
        <v>85118.963543774094</v>
      </c>
      <c r="AC1109" s="101">
        <v>0.05</v>
      </c>
      <c r="AD1109" s="15">
        <f>+D.sign_Data[[#This Row],[VALOR NETO ($COP)]]/(100%-D.sign_Data[[#This Row],[MARGEN DE NEGOCIACIÓN (%)]])-D.sign_Data[[#This Row],[VALOR NETO ($COP)]]</f>
        <v>4479.9454496723192</v>
      </c>
      <c r="AE1109" s="15">
        <f>+(D.sign_Data[[#This Row],[VALOR NETO ($COP)]]+D.sign_Data[[#This Row],[NEGOCIACIÓN ($COP)]])*1%</f>
        <v>895.98908993446412</v>
      </c>
      <c r="AF1109" s="15">
        <f>+(D.sign_Data[[#This Row],[VALOR NETO ($COP)]]+D.sign_Data[[#This Row],[NEGOCIACIÓN ($COP)]])*1%</f>
        <v>895.98908993446412</v>
      </c>
      <c r="AG1109" s="3">
        <f>+D.sign_Data[[#This Row],[VALOR NETO ($COP)]]+D.sign_Data[[#This Row],[NEGOCIACIÓN ($COP)]]+D.sign_Data[[#This Row],[ICA ($COP)]]+D.sign_Data[[#This Row],[4 * 1000 ($COP)]]</f>
        <v>91390.887173315336</v>
      </c>
    </row>
    <row r="1110" spans="1:33" ht="60" hidden="1" customHeight="1" x14ac:dyDescent="0.25">
      <c r="A1110" s="14"/>
      <c r="B1110" s="87" t="s">
        <v>418</v>
      </c>
      <c r="C1110" s="182" t="s">
        <v>973</v>
      </c>
      <c r="D1110" s="189" t="str">
        <f>VLOOKUP(D.sign_Data[[#This Row],[CÓDIGO]],Descripciones[[CÓDIGO]:[NOMBRE DE SERVICIO]],3,FALSE)</f>
        <v>D4. Comercial</v>
      </c>
      <c r="E1110" s="87" t="s">
        <v>467</v>
      </c>
      <c r="F1110" s="88" t="s">
        <v>974</v>
      </c>
      <c r="G1110" s="93" t="s">
        <v>991</v>
      </c>
      <c r="H1110" s="97" t="s">
        <v>423</v>
      </c>
      <c r="I1110" s="94">
        <v>1</v>
      </c>
      <c r="J1110" s="93" t="s">
        <v>983</v>
      </c>
      <c r="K1110" s="103"/>
      <c r="L1110" s="93" t="s">
        <v>997</v>
      </c>
      <c r="M1110" s="89" t="s">
        <v>381</v>
      </c>
      <c r="N1110" s="90">
        <v>1</v>
      </c>
      <c r="O1110" s="27">
        <f>IFERROR(+VLOOKUP(M1110,D.sign_Lista_Data[[RESPONSABLE]:[SOFTWARE 
VALOR HORA]],3,FALSE),"0")</f>
        <v>20263.424518743668</v>
      </c>
      <c r="P1110" s="3">
        <f t="shared" si="40"/>
        <v>20263.424518743668</v>
      </c>
      <c r="Q1110" s="11">
        <f>IFERROR(+VLOOKUP(M1110,D.sign_Lista_Data[[RESPONSABLE]:[SOFTWARE 
VALOR HORA]],5,FALSE)*D.sign_Data[[#This Row],[TIEMPO (HORAS)]],0)</f>
        <v>4221.5467747382636</v>
      </c>
      <c r="R1110" s="11">
        <f>IFERROR(+VLOOKUP(M1110,D.sign_Lista_Data[[RESPONSABLE]:[SOFTWARE 
VALOR HORA]],8,FALSE)*D.sign_Data[[#This Row],[TIEMPO (HORAS)]],0)</f>
        <v>3410.8548871439834</v>
      </c>
      <c r="S1110" s="99"/>
      <c r="T1110" s="99"/>
      <c r="U1110" s="3">
        <f t="shared" si="41"/>
        <v>27895.826180625918</v>
      </c>
      <c r="V1110" s="100">
        <f>D.sign_Data[[#This Row],[TIEMPO (HORAS)]]*Gastos_Operativos[[#Totals],[GASTOS HORA]]</f>
        <v>27789.477072310401</v>
      </c>
      <c r="W1110" s="3">
        <f>+D.sign_Data[[#This Row],[COSTO 
DIRECTO ($COP)]]+D.sign_Data[[#This Row],[PRORRATEO GASTOS ($COP)]]</f>
        <v>55685.303252936319</v>
      </c>
      <c r="X1110" s="101">
        <v>0.1</v>
      </c>
      <c r="Y1110" s="15">
        <f>+D.sign_Data[[#This Row],[COSTOS OPERACIONALES ($COP)]]*D.sign_Data[[#This Row],[DESFASE (%)]]</f>
        <v>5568.5303252936319</v>
      </c>
      <c r="Z1110" s="101">
        <v>0.3</v>
      </c>
      <c r="AA1110" s="15">
        <f>+((D.sign_Data[[#This Row],[COSTOS OPERACIONALES ($COP)]]/(100%-D.sign_Data[[#This Row],[UTILIDAD (%)]])))-D.sign_Data[[#This Row],[COSTOS OPERACIONALES ($COP)]]</f>
        <v>23865.129965544147</v>
      </c>
      <c r="AB1110" s="3">
        <f>+D.sign_Data[[#This Row],[COSTOS OPERACIONALES ($COP)]]+D.sign_Data[[#This Row],[DESFASE ($COP)]]+D.sign_Data[[#This Row],[UTILIDAD ($COP)]]</f>
        <v>85118.963543774094</v>
      </c>
      <c r="AC1110" s="101">
        <v>0.05</v>
      </c>
      <c r="AD1110" s="15">
        <f>+D.sign_Data[[#This Row],[VALOR NETO ($COP)]]/(100%-D.sign_Data[[#This Row],[MARGEN DE NEGOCIACIÓN (%)]])-D.sign_Data[[#This Row],[VALOR NETO ($COP)]]</f>
        <v>4479.9454496723192</v>
      </c>
      <c r="AE1110" s="15">
        <f>+(D.sign_Data[[#This Row],[VALOR NETO ($COP)]]+D.sign_Data[[#This Row],[NEGOCIACIÓN ($COP)]])*1%</f>
        <v>895.98908993446412</v>
      </c>
      <c r="AF1110" s="15">
        <f>+(D.sign_Data[[#This Row],[VALOR NETO ($COP)]]+D.sign_Data[[#This Row],[NEGOCIACIÓN ($COP)]])*1%</f>
        <v>895.98908993446412</v>
      </c>
      <c r="AG1110" s="3">
        <f>+D.sign_Data[[#This Row],[VALOR NETO ($COP)]]+D.sign_Data[[#This Row],[NEGOCIACIÓN ($COP)]]+D.sign_Data[[#This Row],[ICA ($COP)]]+D.sign_Data[[#This Row],[4 * 1000 ($COP)]]</f>
        <v>91390.887173315336</v>
      </c>
    </row>
    <row r="1111" spans="1:33" ht="60" hidden="1" customHeight="1" x14ac:dyDescent="0.25">
      <c r="A1111" s="14"/>
      <c r="B1111" s="87" t="s">
        <v>418</v>
      </c>
      <c r="C1111" s="182" t="s">
        <v>973</v>
      </c>
      <c r="D1111" s="189" t="str">
        <f>VLOOKUP(D.sign_Data[[#This Row],[CÓDIGO]],Descripciones[[CÓDIGO]:[NOMBRE DE SERVICIO]],3,FALSE)</f>
        <v>D4. Comercial</v>
      </c>
      <c r="E1111" s="87" t="s">
        <v>467</v>
      </c>
      <c r="F1111" s="88" t="s">
        <v>974</v>
      </c>
      <c r="G1111" s="93" t="s">
        <v>991</v>
      </c>
      <c r="H1111" s="97" t="s">
        <v>423</v>
      </c>
      <c r="I1111" s="94">
        <v>1</v>
      </c>
      <c r="J1111" s="93" t="s">
        <v>983</v>
      </c>
      <c r="K1111" s="103"/>
      <c r="L1111" s="93" t="s">
        <v>998</v>
      </c>
      <c r="M1111" s="89" t="s">
        <v>381</v>
      </c>
      <c r="N1111" s="90">
        <v>2.5</v>
      </c>
      <c r="O1111" s="27">
        <f>IFERROR(+VLOOKUP(M1111,D.sign_Lista_Data[[RESPONSABLE]:[SOFTWARE 
VALOR HORA]],3,FALSE),"0")</f>
        <v>20263.424518743668</v>
      </c>
      <c r="P1111" s="3">
        <f t="shared" si="40"/>
        <v>50658.561296859174</v>
      </c>
      <c r="Q1111" s="11">
        <f>IFERROR(+VLOOKUP(M1111,D.sign_Lista_Data[[RESPONSABLE]:[SOFTWARE 
VALOR HORA]],5,FALSE)*D.sign_Data[[#This Row],[TIEMPO (HORAS)]],0)</f>
        <v>10553.866936845659</v>
      </c>
      <c r="R1111" s="11">
        <f>IFERROR(+VLOOKUP(M1111,D.sign_Lista_Data[[RESPONSABLE]:[SOFTWARE 
VALOR HORA]],8,FALSE)*D.sign_Data[[#This Row],[TIEMPO (HORAS)]],0)</f>
        <v>8527.1372178599595</v>
      </c>
      <c r="S1111" s="99"/>
      <c r="T1111" s="99"/>
      <c r="U1111" s="3">
        <f t="shared" si="41"/>
        <v>69739.565451564791</v>
      </c>
      <c r="V1111" s="100">
        <f>D.sign_Data[[#This Row],[TIEMPO (HORAS)]]*Gastos_Operativos[[#Totals],[GASTOS HORA]]</f>
        <v>69473.692680776003</v>
      </c>
      <c r="W1111" s="3">
        <f>+D.sign_Data[[#This Row],[COSTO 
DIRECTO ($COP)]]+D.sign_Data[[#This Row],[PRORRATEO GASTOS ($COP)]]</f>
        <v>139213.25813234079</v>
      </c>
      <c r="X1111" s="101">
        <v>0.1</v>
      </c>
      <c r="Y1111" s="15">
        <f>+D.sign_Data[[#This Row],[COSTOS OPERACIONALES ($COP)]]*D.sign_Data[[#This Row],[DESFASE (%)]]</f>
        <v>13921.32581323408</v>
      </c>
      <c r="Z1111" s="101">
        <v>0.3</v>
      </c>
      <c r="AA1111" s="15">
        <f>+((D.sign_Data[[#This Row],[COSTOS OPERACIONALES ($COP)]]/(100%-D.sign_Data[[#This Row],[UTILIDAD (%)]])))-D.sign_Data[[#This Row],[COSTOS OPERACIONALES ($COP)]]</f>
        <v>59662.824913860357</v>
      </c>
      <c r="AB1111" s="3">
        <f>+D.sign_Data[[#This Row],[COSTOS OPERACIONALES ($COP)]]+D.sign_Data[[#This Row],[DESFASE ($COP)]]+D.sign_Data[[#This Row],[UTILIDAD ($COP)]]</f>
        <v>212797.40885943524</v>
      </c>
      <c r="AC1111" s="101">
        <v>0.05</v>
      </c>
      <c r="AD1111" s="15">
        <f>+D.sign_Data[[#This Row],[VALOR NETO ($COP)]]/(100%-D.sign_Data[[#This Row],[MARGEN DE NEGOCIACIÓN (%)]])-D.sign_Data[[#This Row],[VALOR NETO ($COP)]]</f>
        <v>11199.863624180813</v>
      </c>
      <c r="AE1111" s="15">
        <f>+(D.sign_Data[[#This Row],[VALOR NETO ($COP)]]+D.sign_Data[[#This Row],[NEGOCIACIÓN ($COP)]])*1%</f>
        <v>2239.9727248361605</v>
      </c>
      <c r="AF1111" s="15">
        <f>+(D.sign_Data[[#This Row],[VALOR NETO ($COP)]]+D.sign_Data[[#This Row],[NEGOCIACIÓN ($COP)]])*1%</f>
        <v>2239.9727248361605</v>
      </c>
      <c r="AG1111" s="3">
        <f>+D.sign_Data[[#This Row],[VALOR NETO ($COP)]]+D.sign_Data[[#This Row],[NEGOCIACIÓN ($COP)]]+D.sign_Data[[#This Row],[ICA ($COP)]]+D.sign_Data[[#This Row],[4 * 1000 ($COP)]]</f>
        <v>228477.2179332884</v>
      </c>
    </row>
    <row r="1112" spans="1:33" ht="60" hidden="1" customHeight="1" x14ac:dyDescent="0.25">
      <c r="A1112" s="14"/>
      <c r="B1112" s="87" t="s">
        <v>418</v>
      </c>
      <c r="C1112" s="182" t="s">
        <v>973</v>
      </c>
      <c r="D1112" s="189" t="str">
        <f>VLOOKUP(D.sign_Data[[#This Row],[CÓDIGO]],Descripciones[[CÓDIGO]:[NOMBRE DE SERVICIO]],3,FALSE)</f>
        <v>D4. Comercial</v>
      </c>
      <c r="E1112" s="87" t="s">
        <v>467</v>
      </c>
      <c r="F1112" s="88" t="s">
        <v>974</v>
      </c>
      <c r="G1112" s="93" t="s">
        <v>991</v>
      </c>
      <c r="H1112" s="97" t="s">
        <v>423</v>
      </c>
      <c r="I1112" s="94">
        <v>1</v>
      </c>
      <c r="J1112" s="93" t="s">
        <v>983</v>
      </c>
      <c r="K1112" s="103"/>
      <c r="L1112" s="93" t="s">
        <v>999</v>
      </c>
      <c r="M1112" s="89" t="s">
        <v>381</v>
      </c>
      <c r="N1112" s="90">
        <v>3</v>
      </c>
      <c r="O1112" s="27">
        <f>IFERROR(+VLOOKUP(M1112,D.sign_Lista_Data[[RESPONSABLE]:[SOFTWARE 
VALOR HORA]],3,FALSE),"0")</f>
        <v>20263.424518743668</v>
      </c>
      <c r="P1112" s="3">
        <f t="shared" si="40"/>
        <v>60790.273556231004</v>
      </c>
      <c r="Q1112" s="11">
        <f>IFERROR(+VLOOKUP(M1112,D.sign_Lista_Data[[RESPONSABLE]:[SOFTWARE 
VALOR HORA]],5,FALSE)*D.sign_Data[[#This Row],[TIEMPO (HORAS)]],0)</f>
        <v>12664.64032421479</v>
      </c>
      <c r="R1112" s="11">
        <f>IFERROR(+VLOOKUP(M1112,D.sign_Lista_Data[[RESPONSABLE]:[SOFTWARE 
VALOR HORA]],8,FALSE)*D.sign_Data[[#This Row],[TIEMPO (HORAS)]],0)</f>
        <v>10232.56466143195</v>
      </c>
      <c r="S1112" s="99"/>
      <c r="T1112" s="99"/>
      <c r="U1112" s="3">
        <f t="shared" si="41"/>
        <v>83687.478541877746</v>
      </c>
      <c r="V1112" s="100">
        <f>D.sign_Data[[#This Row],[TIEMPO (HORAS)]]*Gastos_Operativos[[#Totals],[GASTOS HORA]]</f>
        <v>83368.431216931203</v>
      </c>
      <c r="W1112" s="3">
        <f>+D.sign_Data[[#This Row],[COSTO 
DIRECTO ($COP)]]+D.sign_Data[[#This Row],[PRORRATEO GASTOS ($COP)]]</f>
        <v>167055.90975880896</v>
      </c>
      <c r="X1112" s="101">
        <v>0.1</v>
      </c>
      <c r="Y1112" s="15">
        <f>+D.sign_Data[[#This Row],[COSTOS OPERACIONALES ($COP)]]*D.sign_Data[[#This Row],[DESFASE (%)]]</f>
        <v>16705.590975880896</v>
      </c>
      <c r="Z1112" s="101">
        <v>0.3</v>
      </c>
      <c r="AA1112" s="15">
        <f>+((D.sign_Data[[#This Row],[COSTOS OPERACIONALES ($COP)]]/(100%-D.sign_Data[[#This Row],[UTILIDAD (%)]])))-D.sign_Data[[#This Row],[COSTOS OPERACIONALES ($COP)]]</f>
        <v>71595.389896632434</v>
      </c>
      <c r="AB1112" s="3">
        <f>+D.sign_Data[[#This Row],[COSTOS OPERACIONALES ($COP)]]+D.sign_Data[[#This Row],[DESFASE ($COP)]]+D.sign_Data[[#This Row],[UTILIDAD ($COP)]]</f>
        <v>255356.89063132228</v>
      </c>
      <c r="AC1112" s="101">
        <v>0.05</v>
      </c>
      <c r="AD1112" s="15">
        <f>+D.sign_Data[[#This Row],[VALOR NETO ($COP)]]/(100%-D.sign_Data[[#This Row],[MARGEN DE NEGOCIACIÓN (%)]])-D.sign_Data[[#This Row],[VALOR NETO ($COP)]]</f>
        <v>13439.836349016987</v>
      </c>
      <c r="AE1112" s="15">
        <f>+(D.sign_Data[[#This Row],[VALOR NETO ($COP)]]+D.sign_Data[[#This Row],[NEGOCIACIÓN ($COP)]])*1%</f>
        <v>2687.9672698033928</v>
      </c>
      <c r="AF1112" s="15">
        <f>+(D.sign_Data[[#This Row],[VALOR NETO ($COP)]]+D.sign_Data[[#This Row],[NEGOCIACIÓN ($COP)]])*1%</f>
        <v>2687.9672698033928</v>
      </c>
      <c r="AG1112" s="3">
        <f>+D.sign_Data[[#This Row],[VALOR NETO ($COP)]]+D.sign_Data[[#This Row],[NEGOCIACIÓN ($COP)]]+D.sign_Data[[#This Row],[ICA ($COP)]]+D.sign_Data[[#This Row],[4 * 1000 ($COP)]]</f>
        <v>274172.66151994606</v>
      </c>
    </row>
    <row r="1113" spans="1:33" ht="60" hidden="1" customHeight="1" x14ac:dyDescent="0.25">
      <c r="A1113" s="14"/>
      <c r="B1113" s="87" t="s">
        <v>418</v>
      </c>
      <c r="C1113" s="182" t="s">
        <v>973</v>
      </c>
      <c r="D1113" s="189" t="str">
        <f>VLOOKUP(D.sign_Data[[#This Row],[CÓDIGO]],Descripciones[[CÓDIGO]:[NOMBRE DE SERVICIO]],3,FALSE)</f>
        <v>D4. Comercial</v>
      </c>
      <c r="E1113" s="87" t="s">
        <v>467</v>
      </c>
      <c r="F1113" s="88" t="s">
        <v>974</v>
      </c>
      <c r="G1113" s="93" t="s">
        <v>991</v>
      </c>
      <c r="H1113" s="97" t="s">
        <v>423</v>
      </c>
      <c r="I1113" s="94">
        <v>1</v>
      </c>
      <c r="J1113" s="93" t="s">
        <v>983</v>
      </c>
      <c r="K1113" s="103"/>
      <c r="L1113" s="93" t="s">
        <v>1000</v>
      </c>
      <c r="M1113" s="89" t="s">
        <v>381</v>
      </c>
      <c r="N1113" s="90">
        <v>4</v>
      </c>
      <c r="O1113" s="27">
        <f>IFERROR(+VLOOKUP(M1113,D.sign_Lista_Data[[RESPONSABLE]:[SOFTWARE 
VALOR HORA]],3,FALSE),"0")</f>
        <v>20263.424518743668</v>
      </c>
      <c r="P1113" s="3">
        <f t="shared" si="40"/>
        <v>81053.698074974673</v>
      </c>
      <c r="Q1113" s="11">
        <f>IFERROR(+VLOOKUP(M1113,D.sign_Lista_Data[[RESPONSABLE]:[SOFTWARE 
VALOR HORA]],5,FALSE)*D.sign_Data[[#This Row],[TIEMPO (HORAS)]],0)</f>
        <v>16886.187098953054</v>
      </c>
      <c r="R1113" s="11">
        <f>IFERROR(+VLOOKUP(M1113,D.sign_Lista_Data[[RESPONSABLE]:[SOFTWARE 
VALOR HORA]],8,FALSE)*D.sign_Data[[#This Row],[TIEMPO (HORAS)]],0)</f>
        <v>13643.419548575934</v>
      </c>
      <c r="S1113" s="99"/>
      <c r="T1113" s="99"/>
      <c r="U1113" s="3">
        <f t="shared" si="41"/>
        <v>111583.30472250367</v>
      </c>
      <c r="V1113" s="100">
        <f>D.sign_Data[[#This Row],[TIEMPO (HORAS)]]*Gastos_Operativos[[#Totals],[GASTOS HORA]]</f>
        <v>111157.9082892416</v>
      </c>
      <c r="W1113" s="3">
        <f>+D.sign_Data[[#This Row],[COSTO 
DIRECTO ($COP)]]+D.sign_Data[[#This Row],[PRORRATEO GASTOS ($COP)]]</f>
        <v>222741.21301174528</v>
      </c>
      <c r="X1113" s="101">
        <v>0.1</v>
      </c>
      <c r="Y1113" s="15">
        <f>+D.sign_Data[[#This Row],[COSTOS OPERACIONALES ($COP)]]*D.sign_Data[[#This Row],[DESFASE (%)]]</f>
        <v>22274.121301174528</v>
      </c>
      <c r="Z1113" s="101">
        <v>0.3</v>
      </c>
      <c r="AA1113" s="15">
        <f>+((D.sign_Data[[#This Row],[COSTOS OPERACIONALES ($COP)]]/(100%-D.sign_Data[[#This Row],[UTILIDAD (%)]])))-D.sign_Data[[#This Row],[COSTOS OPERACIONALES ($COP)]]</f>
        <v>95460.519862176589</v>
      </c>
      <c r="AB1113" s="3">
        <f>+D.sign_Data[[#This Row],[COSTOS OPERACIONALES ($COP)]]+D.sign_Data[[#This Row],[DESFASE ($COP)]]+D.sign_Data[[#This Row],[UTILIDAD ($COP)]]</f>
        <v>340475.85417509638</v>
      </c>
      <c r="AC1113" s="101">
        <v>0.05</v>
      </c>
      <c r="AD1113" s="15">
        <f>+D.sign_Data[[#This Row],[VALOR NETO ($COP)]]/(100%-D.sign_Data[[#This Row],[MARGEN DE NEGOCIACIÓN (%)]])-D.sign_Data[[#This Row],[VALOR NETO ($COP)]]</f>
        <v>17919.781798689277</v>
      </c>
      <c r="AE1113" s="15">
        <f>+(D.sign_Data[[#This Row],[VALOR NETO ($COP)]]+D.sign_Data[[#This Row],[NEGOCIACIÓN ($COP)]])*1%</f>
        <v>3583.9563597378565</v>
      </c>
      <c r="AF1113" s="15">
        <f>+(D.sign_Data[[#This Row],[VALOR NETO ($COP)]]+D.sign_Data[[#This Row],[NEGOCIACIÓN ($COP)]])*1%</f>
        <v>3583.9563597378565</v>
      </c>
      <c r="AG1113" s="3">
        <f>+D.sign_Data[[#This Row],[VALOR NETO ($COP)]]+D.sign_Data[[#This Row],[NEGOCIACIÓN ($COP)]]+D.sign_Data[[#This Row],[ICA ($COP)]]+D.sign_Data[[#This Row],[4 * 1000 ($COP)]]</f>
        <v>365563.54869326134</v>
      </c>
    </row>
    <row r="1114" spans="1:33" ht="60" hidden="1" customHeight="1" x14ac:dyDescent="0.25">
      <c r="A1114" s="14"/>
      <c r="B1114" s="87" t="s">
        <v>418</v>
      </c>
      <c r="C1114" s="182" t="s">
        <v>973</v>
      </c>
      <c r="D1114" s="189" t="str">
        <f>VLOOKUP(D.sign_Data[[#This Row],[CÓDIGO]],Descripciones[[CÓDIGO]:[NOMBRE DE SERVICIO]],3,FALSE)</f>
        <v>D4. Comercial</v>
      </c>
      <c r="E1114" s="87" t="s">
        <v>467</v>
      </c>
      <c r="F1114" s="88" t="s">
        <v>974</v>
      </c>
      <c r="G1114" s="93" t="s">
        <v>991</v>
      </c>
      <c r="H1114" s="97" t="s">
        <v>423</v>
      </c>
      <c r="I1114" s="94">
        <v>1</v>
      </c>
      <c r="J1114" s="93" t="s">
        <v>992</v>
      </c>
      <c r="K1114" s="103"/>
      <c r="L1114" s="93" t="s">
        <v>1001</v>
      </c>
      <c r="M1114" s="89" t="s">
        <v>381</v>
      </c>
      <c r="N1114" s="90">
        <v>1</v>
      </c>
      <c r="O1114" s="27">
        <f>IFERROR(+VLOOKUP(M1114,D.sign_Lista_Data[[RESPONSABLE]:[SOFTWARE 
VALOR HORA]],3,FALSE),"0")</f>
        <v>20263.424518743668</v>
      </c>
      <c r="P1114" s="3">
        <f t="shared" si="40"/>
        <v>20263.424518743668</v>
      </c>
      <c r="Q1114" s="11">
        <f>IFERROR(+VLOOKUP(M1114,D.sign_Lista_Data[[RESPONSABLE]:[SOFTWARE 
VALOR HORA]],5,FALSE)*D.sign_Data[[#This Row],[TIEMPO (HORAS)]],0)</f>
        <v>4221.5467747382636</v>
      </c>
      <c r="R1114" s="11">
        <f>IFERROR(+VLOOKUP(M1114,D.sign_Lista_Data[[RESPONSABLE]:[SOFTWARE 
VALOR HORA]],8,FALSE)*D.sign_Data[[#This Row],[TIEMPO (HORAS)]],0)</f>
        <v>3410.8548871439834</v>
      </c>
      <c r="S1114" s="99"/>
      <c r="T1114" s="99"/>
      <c r="U1114" s="3">
        <f t="shared" si="41"/>
        <v>27895.826180625918</v>
      </c>
      <c r="V1114" s="100">
        <f>D.sign_Data[[#This Row],[TIEMPO (HORAS)]]*Gastos_Operativos[[#Totals],[GASTOS HORA]]</f>
        <v>27789.477072310401</v>
      </c>
      <c r="W1114" s="3">
        <f>+D.sign_Data[[#This Row],[COSTO 
DIRECTO ($COP)]]+D.sign_Data[[#This Row],[PRORRATEO GASTOS ($COP)]]</f>
        <v>55685.303252936319</v>
      </c>
      <c r="X1114" s="101">
        <v>0.1</v>
      </c>
      <c r="Y1114" s="15">
        <f>+D.sign_Data[[#This Row],[COSTOS OPERACIONALES ($COP)]]*D.sign_Data[[#This Row],[DESFASE (%)]]</f>
        <v>5568.5303252936319</v>
      </c>
      <c r="Z1114" s="101">
        <v>0.3</v>
      </c>
      <c r="AA1114" s="15">
        <f>+((D.sign_Data[[#This Row],[COSTOS OPERACIONALES ($COP)]]/(100%-D.sign_Data[[#This Row],[UTILIDAD (%)]])))-D.sign_Data[[#This Row],[COSTOS OPERACIONALES ($COP)]]</f>
        <v>23865.129965544147</v>
      </c>
      <c r="AB1114" s="3">
        <f>+D.sign_Data[[#This Row],[COSTOS OPERACIONALES ($COP)]]+D.sign_Data[[#This Row],[DESFASE ($COP)]]+D.sign_Data[[#This Row],[UTILIDAD ($COP)]]</f>
        <v>85118.963543774094</v>
      </c>
      <c r="AC1114" s="101">
        <v>0.05</v>
      </c>
      <c r="AD1114" s="15">
        <f>+D.sign_Data[[#This Row],[VALOR NETO ($COP)]]/(100%-D.sign_Data[[#This Row],[MARGEN DE NEGOCIACIÓN (%)]])-D.sign_Data[[#This Row],[VALOR NETO ($COP)]]</f>
        <v>4479.9454496723192</v>
      </c>
      <c r="AE1114" s="15">
        <f>+(D.sign_Data[[#This Row],[VALOR NETO ($COP)]]+D.sign_Data[[#This Row],[NEGOCIACIÓN ($COP)]])*1%</f>
        <v>895.98908993446412</v>
      </c>
      <c r="AF1114" s="15">
        <f>+(D.sign_Data[[#This Row],[VALOR NETO ($COP)]]+D.sign_Data[[#This Row],[NEGOCIACIÓN ($COP)]])*1%</f>
        <v>895.98908993446412</v>
      </c>
      <c r="AG1114" s="3">
        <f>+D.sign_Data[[#This Row],[VALOR NETO ($COP)]]+D.sign_Data[[#This Row],[NEGOCIACIÓN ($COP)]]+D.sign_Data[[#This Row],[ICA ($COP)]]+D.sign_Data[[#This Row],[4 * 1000 ($COP)]]</f>
        <v>91390.887173315336</v>
      </c>
    </row>
    <row r="1115" spans="1:33" ht="60" hidden="1" customHeight="1" x14ac:dyDescent="0.25">
      <c r="A1115" s="14"/>
      <c r="B1115" s="87" t="s">
        <v>418</v>
      </c>
      <c r="C1115" s="182" t="s">
        <v>973</v>
      </c>
      <c r="D1115" s="189" t="str">
        <f>VLOOKUP(D.sign_Data[[#This Row],[CÓDIGO]],Descripciones[[CÓDIGO]:[NOMBRE DE SERVICIO]],3,FALSE)</f>
        <v>D4. Comercial</v>
      </c>
      <c r="E1115" s="87" t="s">
        <v>467</v>
      </c>
      <c r="F1115" s="88" t="s">
        <v>974</v>
      </c>
      <c r="G1115" s="93" t="s">
        <v>991</v>
      </c>
      <c r="H1115" s="97" t="s">
        <v>423</v>
      </c>
      <c r="I1115" s="94">
        <v>1</v>
      </c>
      <c r="J1115" s="93" t="s">
        <v>992</v>
      </c>
      <c r="K1115" s="103"/>
      <c r="L1115" s="93" t="s">
        <v>1002</v>
      </c>
      <c r="M1115" s="89" t="s">
        <v>381</v>
      </c>
      <c r="N1115" s="90">
        <v>0.1</v>
      </c>
      <c r="O1115" s="27">
        <f>IFERROR(+VLOOKUP(M1115,D.sign_Lista_Data[[RESPONSABLE]:[SOFTWARE 
VALOR HORA]],3,FALSE),"0")</f>
        <v>20263.424518743668</v>
      </c>
      <c r="P1115" s="3">
        <f t="shared" si="40"/>
        <v>2026.3424518743668</v>
      </c>
      <c r="Q1115" s="11">
        <f>IFERROR(+VLOOKUP(M1115,D.sign_Lista_Data[[RESPONSABLE]:[SOFTWARE 
VALOR HORA]],5,FALSE)*D.sign_Data[[#This Row],[TIEMPO (HORAS)]],0)</f>
        <v>422.15467747382638</v>
      </c>
      <c r="R1115" s="11">
        <f>IFERROR(+VLOOKUP(M1115,D.sign_Lista_Data[[RESPONSABLE]:[SOFTWARE 
VALOR HORA]],8,FALSE)*D.sign_Data[[#This Row],[TIEMPO (HORAS)]],0)</f>
        <v>341.08548871439837</v>
      </c>
      <c r="S1115" s="99"/>
      <c r="T1115" s="99"/>
      <c r="U1115" s="3">
        <f t="shared" si="41"/>
        <v>2789.5826180625913</v>
      </c>
      <c r="V1115" s="100">
        <f>D.sign_Data[[#This Row],[TIEMPO (HORAS)]]*Gastos_Operativos[[#Totals],[GASTOS HORA]]</f>
        <v>2778.9477072310401</v>
      </c>
      <c r="W1115" s="3">
        <f>+D.sign_Data[[#This Row],[COSTO 
DIRECTO ($COP)]]+D.sign_Data[[#This Row],[PRORRATEO GASTOS ($COP)]]</f>
        <v>5568.5303252936319</v>
      </c>
      <c r="X1115" s="101">
        <v>0.1</v>
      </c>
      <c r="Y1115" s="15">
        <f>+D.sign_Data[[#This Row],[COSTOS OPERACIONALES ($COP)]]*D.sign_Data[[#This Row],[DESFASE (%)]]</f>
        <v>556.85303252936319</v>
      </c>
      <c r="Z1115" s="101">
        <v>0.3</v>
      </c>
      <c r="AA1115" s="15">
        <f>+((D.sign_Data[[#This Row],[COSTOS OPERACIONALES ($COP)]]/(100%-D.sign_Data[[#This Row],[UTILIDAD (%)]])))-D.sign_Data[[#This Row],[COSTOS OPERACIONALES ($COP)]]</f>
        <v>2386.5129965544138</v>
      </c>
      <c r="AB1115" s="3">
        <f>+D.sign_Data[[#This Row],[COSTOS OPERACIONALES ($COP)]]+D.sign_Data[[#This Row],[DESFASE ($COP)]]+D.sign_Data[[#This Row],[UTILIDAD ($COP)]]</f>
        <v>8511.896354377408</v>
      </c>
      <c r="AC1115" s="101">
        <v>0.05</v>
      </c>
      <c r="AD1115" s="15">
        <f>+D.sign_Data[[#This Row],[VALOR NETO ($COP)]]/(100%-D.sign_Data[[#This Row],[MARGEN DE NEGOCIACIÓN (%)]])-D.sign_Data[[#This Row],[VALOR NETO ($COP)]]</f>
        <v>447.99454496723229</v>
      </c>
      <c r="AE1115" s="15">
        <f>+(D.sign_Data[[#This Row],[VALOR NETO ($COP)]]+D.sign_Data[[#This Row],[NEGOCIACIÓN ($COP)]])*1%</f>
        <v>89.5989089934464</v>
      </c>
      <c r="AF1115" s="15">
        <f>+(D.sign_Data[[#This Row],[VALOR NETO ($COP)]]+D.sign_Data[[#This Row],[NEGOCIACIÓN ($COP)]])*1%</f>
        <v>89.5989089934464</v>
      </c>
      <c r="AG1115" s="3">
        <f>+D.sign_Data[[#This Row],[VALOR NETO ($COP)]]+D.sign_Data[[#This Row],[NEGOCIACIÓN ($COP)]]+D.sign_Data[[#This Row],[ICA ($COP)]]+D.sign_Data[[#This Row],[4 * 1000 ($COP)]]</f>
        <v>9139.0887173315332</v>
      </c>
    </row>
    <row r="1116" spans="1:33" ht="60" hidden="1" customHeight="1" x14ac:dyDescent="0.25">
      <c r="A1116" s="14"/>
      <c r="B1116" s="87" t="s">
        <v>418</v>
      </c>
      <c r="C1116" s="182" t="s">
        <v>973</v>
      </c>
      <c r="D1116" s="189" t="str">
        <f>VLOOKUP(D.sign_Data[[#This Row],[CÓDIGO]],Descripciones[[CÓDIGO]:[NOMBRE DE SERVICIO]],3,FALSE)</f>
        <v>D4. Comercial</v>
      </c>
      <c r="E1116" s="87" t="s">
        <v>467</v>
      </c>
      <c r="F1116" s="88" t="s">
        <v>974</v>
      </c>
      <c r="G1116" s="93" t="s">
        <v>991</v>
      </c>
      <c r="H1116" s="97" t="s">
        <v>423</v>
      </c>
      <c r="I1116" s="94">
        <v>1</v>
      </c>
      <c r="J1116" s="93" t="s">
        <v>992</v>
      </c>
      <c r="K1116" s="103"/>
      <c r="L1116" s="93" t="s">
        <v>1003</v>
      </c>
      <c r="M1116" s="89" t="s">
        <v>381</v>
      </c>
      <c r="N1116" s="90">
        <v>1</v>
      </c>
      <c r="O1116" s="27">
        <f>IFERROR(+VLOOKUP(M1116,D.sign_Lista_Data[[RESPONSABLE]:[SOFTWARE 
VALOR HORA]],3,FALSE),"0")</f>
        <v>20263.424518743668</v>
      </c>
      <c r="P1116" s="3">
        <f t="shared" si="40"/>
        <v>20263.424518743668</v>
      </c>
      <c r="Q1116" s="11">
        <f>IFERROR(+VLOOKUP(M1116,D.sign_Lista_Data[[RESPONSABLE]:[SOFTWARE 
VALOR HORA]],5,FALSE)*D.sign_Data[[#This Row],[TIEMPO (HORAS)]],0)</f>
        <v>4221.5467747382636</v>
      </c>
      <c r="R1116" s="11">
        <f>IFERROR(+VLOOKUP(M1116,D.sign_Lista_Data[[RESPONSABLE]:[SOFTWARE 
VALOR HORA]],8,FALSE)*D.sign_Data[[#This Row],[TIEMPO (HORAS)]],0)</f>
        <v>3410.8548871439834</v>
      </c>
      <c r="S1116" s="99">
        <v>100000</v>
      </c>
      <c r="T1116" s="99"/>
      <c r="U1116" s="3">
        <f t="shared" si="41"/>
        <v>127895.82618062591</v>
      </c>
      <c r="V1116" s="100">
        <f>D.sign_Data[[#This Row],[TIEMPO (HORAS)]]*Gastos_Operativos[[#Totals],[GASTOS HORA]]</f>
        <v>27789.477072310401</v>
      </c>
      <c r="W1116" s="3">
        <f>+D.sign_Data[[#This Row],[COSTO 
DIRECTO ($COP)]]+D.sign_Data[[#This Row],[PRORRATEO GASTOS ($COP)]]</f>
        <v>155685.30325293631</v>
      </c>
      <c r="X1116" s="101">
        <v>0.1</v>
      </c>
      <c r="Y1116" s="15">
        <f>+D.sign_Data[[#This Row],[COSTOS OPERACIONALES ($COP)]]*D.sign_Data[[#This Row],[DESFASE (%)]]</f>
        <v>15568.530325293632</v>
      </c>
      <c r="Z1116" s="101">
        <v>0.3</v>
      </c>
      <c r="AA1116" s="15">
        <f>+((D.sign_Data[[#This Row],[COSTOS OPERACIONALES ($COP)]]/(100%-D.sign_Data[[#This Row],[UTILIDAD (%)]])))-D.sign_Data[[#This Row],[COSTOS OPERACIONALES ($COP)]]</f>
        <v>66722.272822686995</v>
      </c>
      <c r="AB1116" s="3">
        <f>+D.sign_Data[[#This Row],[COSTOS OPERACIONALES ($COP)]]+D.sign_Data[[#This Row],[DESFASE ($COP)]]+D.sign_Data[[#This Row],[UTILIDAD ($COP)]]</f>
        <v>237976.10640091693</v>
      </c>
      <c r="AC1116" s="101">
        <v>0.05</v>
      </c>
      <c r="AD1116" s="15">
        <f>+D.sign_Data[[#This Row],[VALOR NETO ($COP)]]/(100%-D.sign_Data[[#This Row],[MARGEN DE NEGOCIACIÓN (%)]])-D.sign_Data[[#This Row],[VALOR NETO ($COP)]]</f>
        <v>12525.058231627219</v>
      </c>
      <c r="AE1116" s="15">
        <f>+(D.sign_Data[[#This Row],[VALOR NETO ($COP)]]+D.sign_Data[[#This Row],[NEGOCIACIÓN ($COP)]])*1%</f>
        <v>2505.0116463254417</v>
      </c>
      <c r="AF1116" s="15">
        <f>+(D.sign_Data[[#This Row],[VALOR NETO ($COP)]]+D.sign_Data[[#This Row],[NEGOCIACIÓN ($COP)]])*1%</f>
        <v>2505.0116463254417</v>
      </c>
      <c r="AG1116" s="3">
        <f>+D.sign_Data[[#This Row],[VALOR NETO ($COP)]]+D.sign_Data[[#This Row],[NEGOCIACIÓN ($COP)]]+D.sign_Data[[#This Row],[ICA ($COP)]]+D.sign_Data[[#This Row],[4 * 1000 ($COP)]]</f>
        <v>255511.18792519503</v>
      </c>
    </row>
    <row r="1117" spans="1:33" ht="60" hidden="1" customHeight="1" x14ac:dyDescent="0.25">
      <c r="A1117" s="14"/>
      <c r="B1117" s="87" t="s">
        <v>418</v>
      </c>
      <c r="C1117" s="182" t="s">
        <v>973</v>
      </c>
      <c r="D1117" s="189" t="str">
        <f>VLOOKUP(D.sign_Data[[#This Row],[CÓDIGO]],Descripciones[[CÓDIGO]:[NOMBRE DE SERVICIO]],3,FALSE)</f>
        <v>D4. Comercial</v>
      </c>
      <c r="E1117" s="87" t="s">
        <v>467</v>
      </c>
      <c r="F1117" s="88" t="s">
        <v>974</v>
      </c>
      <c r="G1117" s="93" t="s">
        <v>991</v>
      </c>
      <c r="H1117" s="97" t="s">
        <v>423</v>
      </c>
      <c r="I1117" s="94">
        <v>1</v>
      </c>
      <c r="J1117" s="93" t="s">
        <v>992</v>
      </c>
      <c r="K1117" s="102"/>
      <c r="L1117" s="88" t="s">
        <v>1004</v>
      </c>
      <c r="M1117" s="89" t="s">
        <v>381</v>
      </c>
      <c r="N1117" s="90">
        <v>19.2</v>
      </c>
      <c r="O1117" s="27">
        <f>IFERROR(+VLOOKUP(M1117,D.sign_Lista_Data[[RESPONSABLE]:[SOFTWARE 
VALOR HORA]],3,FALSE),"0")</f>
        <v>20263.424518743668</v>
      </c>
      <c r="P1117" s="3">
        <f t="shared" si="40"/>
        <v>389057.75075987843</v>
      </c>
      <c r="Q1117" s="11">
        <f>IFERROR(+VLOOKUP(M1117,D.sign_Lista_Data[[RESPONSABLE]:[SOFTWARE 
VALOR HORA]],5,FALSE)*D.sign_Data[[#This Row],[TIEMPO (HORAS)]],0)</f>
        <v>81053.698074974658</v>
      </c>
      <c r="R1117" s="11">
        <f>IFERROR(+VLOOKUP(M1117,D.sign_Lista_Data[[RESPONSABLE]:[SOFTWARE 
VALOR HORA]],8,FALSE)*D.sign_Data[[#This Row],[TIEMPO (HORAS)]],0)</f>
        <v>65488.413833164479</v>
      </c>
      <c r="S1117" s="99"/>
      <c r="T1117" s="99"/>
      <c r="U1117" s="3">
        <f t="shared" si="41"/>
        <v>535599.86266801751</v>
      </c>
      <c r="V1117" s="100">
        <f>D.sign_Data[[#This Row],[TIEMPO (HORAS)]]*Gastos_Operativos[[#Totals],[GASTOS HORA]]</f>
        <v>533557.9597883597</v>
      </c>
      <c r="W1117" s="3">
        <f>+D.sign_Data[[#This Row],[COSTO 
DIRECTO ($COP)]]+D.sign_Data[[#This Row],[PRORRATEO GASTOS ($COP)]]</f>
        <v>1069157.8224563771</v>
      </c>
      <c r="X1117" s="101">
        <v>0.1</v>
      </c>
      <c r="Y1117" s="15">
        <f>+D.sign_Data[[#This Row],[COSTOS OPERACIONALES ($COP)]]*D.sign_Data[[#This Row],[DESFASE (%)]]</f>
        <v>106915.78224563772</v>
      </c>
      <c r="Z1117" s="101">
        <v>0.3</v>
      </c>
      <c r="AA1117" s="15">
        <f>+((D.sign_Data[[#This Row],[COSTOS OPERACIONALES ($COP)]]/(100%-D.sign_Data[[#This Row],[UTILIDAD (%)]])))-D.sign_Data[[#This Row],[COSTOS OPERACIONALES ($COP)]]</f>
        <v>458210.49533844739</v>
      </c>
      <c r="AB1117" s="3">
        <f>+D.sign_Data[[#This Row],[COSTOS OPERACIONALES ($COP)]]+D.sign_Data[[#This Row],[DESFASE ($COP)]]+D.sign_Data[[#This Row],[UTILIDAD ($COP)]]</f>
        <v>1634284.1000404621</v>
      </c>
      <c r="AC1117" s="101">
        <v>0.05</v>
      </c>
      <c r="AD1117" s="15">
        <f>+D.sign_Data[[#This Row],[VALOR NETO ($COP)]]/(100%-D.sign_Data[[#This Row],[MARGEN DE NEGOCIACIÓN (%)]])-D.sign_Data[[#This Row],[VALOR NETO ($COP)]]</f>
        <v>86014.952633708715</v>
      </c>
      <c r="AE1117" s="15">
        <f>+(D.sign_Data[[#This Row],[VALOR NETO ($COP)]]+D.sign_Data[[#This Row],[NEGOCIACIÓN ($COP)]])*1%</f>
        <v>17202.990526741709</v>
      </c>
      <c r="AF1117" s="15">
        <f>+(D.sign_Data[[#This Row],[VALOR NETO ($COP)]]+D.sign_Data[[#This Row],[NEGOCIACIÓN ($COP)]])*1%</f>
        <v>17202.990526741709</v>
      </c>
      <c r="AG1117" s="3">
        <f>+D.sign_Data[[#This Row],[VALOR NETO ($COP)]]+D.sign_Data[[#This Row],[NEGOCIACIÓN ($COP)]]+D.sign_Data[[#This Row],[ICA ($COP)]]+D.sign_Data[[#This Row],[4 * 1000 ($COP)]]</f>
        <v>1754705.033727654</v>
      </c>
    </row>
    <row r="1118" spans="1:33" ht="60" hidden="1" customHeight="1" x14ac:dyDescent="0.25">
      <c r="A1118" s="14"/>
      <c r="B1118" s="87" t="s">
        <v>442</v>
      </c>
      <c r="C1118" s="182" t="s">
        <v>1005</v>
      </c>
      <c r="D1118" s="189" t="str">
        <f>VLOOKUP(D.sign_Data[[#This Row],[CÓDIGO]],Descripciones[[CÓDIGO]:[NOMBRE DE SERVICIO]],3,FALSE)</f>
        <v>D4. Comercial</v>
      </c>
      <c r="E1118" s="87" t="s">
        <v>467</v>
      </c>
      <c r="F1118" s="88" t="s">
        <v>1006</v>
      </c>
      <c r="G1118" s="88" t="s">
        <v>1007</v>
      </c>
      <c r="H1118" s="87" t="s">
        <v>423</v>
      </c>
      <c r="I1118" s="92">
        <v>1</v>
      </c>
      <c r="J1118" s="88" t="s">
        <v>1008</v>
      </c>
      <c r="K1118" s="102"/>
      <c r="L1118" s="88" t="s">
        <v>1009</v>
      </c>
      <c r="M1118" s="89" t="s">
        <v>381</v>
      </c>
      <c r="N1118" s="90">
        <v>4</v>
      </c>
      <c r="O1118" s="27">
        <f>IFERROR(+VLOOKUP(M1118,D.sign_Lista_Data[[RESPONSABLE]:[SOFTWARE 
VALOR HORA]],3,FALSE),"0")</f>
        <v>20263.424518743668</v>
      </c>
      <c r="P1118" s="3">
        <f t="shared" si="40"/>
        <v>81053.698074974673</v>
      </c>
      <c r="Q1118" s="11">
        <f>IFERROR(+VLOOKUP(M1118,D.sign_Lista_Data[[RESPONSABLE]:[SOFTWARE 
VALOR HORA]],5,FALSE)*D.sign_Data[[#This Row],[TIEMPO (HORAS)]],0)</f>
        <v>16886.187098953054</v>
      </c>
      <c r="R1118" s="11">
        <f>IFERROR(+VLOOKUP(M1118,D.sign_Lista_Data[[RESPONSABLE]:[SOFTWARE 
VALOR HORA]],8,FALSE)*D.sign_Data[[#This Row],[TIEMPO (HORAS)]],0)</f>
        <v>13643.419548575934</v>
      </c>
      <c r="S1118" s="99"/>
      <c r="T1118" s="99"/>
      <c r="U1118" s="3">
        <f t="shared" si="41"/>
        <v>111583.30472250367</v>
      </c>
      <c r="V1118" s="100">
        <f>D.sign_Data[[#This Row],[TIEMPO (HORAS)]]*Gastos_Operativos[[#Totals],[GASTOS HORA]]</f>
        <v>111157.9082892416</v>
      </c>
      <c r="W1118" s="3">
        <f>+D.sign_Data[[#This Row],[COSTO 
DIRECTO ($COP)]]+D.sign_Data[[#This Row],[PRORRATEO GASTOS ($COP)]]</f>
        <v>222741.21301174528</v>
      </c>
      <c r="X1118" s="101">
        <v>0.15</v>
      </c>
      <c r="Y1118" s="15">
        <f>+D.sign_Data[[#This Row],[COSTOS OPERACIONALES ($COP)]]*D.sign_Data[[#This Row],[DESFASE (%)]]</f>
        <v>33411.181951761791</v>
      </c>
      <c r="Z1118" s="101">
        <v>0.3</v>
      </c>
      <c r="AA1118" s="15">
        <f>+((D.sign_Data[[#This Row],[COSTOS OPERACIONALES ($COP)]]/(100%-D.sign_Data[[#This Row],[UTILIDAD (%)]])))-D.sign_Data[[#This Row],[COSTOS OPERACIONALES ($COP)]]</f>
        <v>95460.519862176589</v>
      </c>
      <c r="AB1118" s="3">
        <f>+D.sign_Data[[#This Row],[COSTOS OPERACIONALES ($COP)]]+D.sign_Data[[#This Row],[DESFASE ($COP)]]+D.sign_Data[[#This Row],[UTILIDAD ($COP)]]</f>
        <v>351612.91482568369</v>
      </c>
      <c r="AC1118" s="101">
        <v>0.05</v>
      </c>
      <c r="AD1118" s="15">
        <f>+D.sign_Data[[#This Row],[VALOR NETO ($COP)]]/(100%-D.sign_Data[[#This Row],[MARGEN DE NEGOCIACIÓN (%)]])-D.sign_Data[[#This Row],[VALOR NETO ($COP)]]</f>
        <v>18505.942885562312</v>
      </c>
      <c r="AE1118" s="15">
        <f>+(D.sign_Data[[#This Row],[VALOR NETO ($COP)]]+D.sign_Data[[#This Row],[NEGOCIACIÓN ($COP)]])*1%</f>
        <v>3701.1885771124603</v>
      </c>
      <c r="AF1118" s="15">
        <f>+(D.sign_Data[[#This Row],[VALOR NETO ($COP)]]+D.sign_Data[[#This Row],[NEGOCIACIÓN ($COP)]])*1%</f>
        <v>3701.1885771124603</v>
      </c>
      <c r="AG1118" s="3">
        <f>+D.sign_Data[[#This Row],[VALOR NETO ($COP)]]+D.sign_Data[[#This Row],[NEGOCIACIÓN ($COP)]]+D.sign_Data[[#This Row],[ICA ($COP)]]+D.sign_Data[[#This Row],[4 * 1000 ($COP)]]</f>
        <v>377521.23486547091</v>
      </c>
    </row>
    <row r="1119" spans="1:33" ht="60" hidden="1" customHeight="1" x14ac:dyDescent="0.25">
      <c r="A1119" s="14"/>
      <c r="B1119" s="87" t="s">
        <v>442</v>
      </c>
      <c r="C1119" s="182" t="s">
        <v>1005</v>
      </c>
      <c r="D1119" s="189" t="str">
        <f>VLOOKUP(D.sign_Data[[#This Row],[CÓDIGO]],Descripciones[[CÓDIGO]:[NOMBRE DE SERVICIO]],3,FALSE)</f>
        <v>D4. Comercial</v>
      </c>
      <c r="E1119" s="87" t="s">
        <v>467</v>
      </c>
      <c r="F1119" s="88" t="s">
        <v>1006</v>
      </c>
      <c r="G1119" s="88" t="s">
        <v>1007</v>
      </c>
      <c r="H1119" s="87" t="s">
        <v>423</v>
      </c>
      <c r="I1119" s="92">
        <v>1</v>
      </c>
      <c r="J1119" s="88" t="s">
        <v>1010</v>
      </c>
      <c r="K1119" s="102"/>
      <c r="L1119" s="88" t="s">
        <v>1011</v>
      </c>
      <c r="M1119" s="89" t="s">
        <v>381</v>
      </c>
      <c r="N1119" s="90">
        <v>9.6</v>
      </c>
      <c r="O1119" s="27">
        <f>IFERROR(+VLOOKUP(M1119,D.sign_Lista_Data[[RESPONSABLE]:[SOFTWARE 
VALOR HORA]],3,FALSE),"0")</f>
        <v>20263.424518743668</v>
      </c>
      <c r="P1119" s="3">
        <f t="shared" si="40"/>
        <v>194528.87537993921</v>
      </c>
      <c r="Q1119" s="11">
        <f>IFERROR(+VLOOKUP(M1119,D.sign_Lista_Data[[RESPONSABLE]:[SOFTWARE 
VALOR HORA]],5,FALSE)*D.sign_Data[[#This Row],[TIEMPO (HORAS)]],0)</f>
        <v>40526.849037487329</v>
      </c>
      <c r="R1119" s="11">
        <f>IFERROR(+VLOOKUP(M1119,D.sign_Lista_Data[[RESPONSABLE]:[SOFTWARE 
VALOR HORA]],8,FALSE)*D.sign_Data[[#This Row],[TIEMPO (HORAS)]],0)</f>
        <v>32744.20691658224</v>
      </c>
      <c r="S1119" s="99"/>
      <c r="T1119" s="99"/>
      <c r="U1119" s="3">
        <f t="shared" si="41"/>
        <v>267799.93133400875</v>
      </c>
      <c r="V1119" s="100">
        <f>D.sign_Data[[#This Row],[TIEMPO (HORAS)]]*Gastos_Operativos[[#Totals],[GASTOS HORA]]</f>
        <v>266778.97989417985</v>
      </c>
      <c r="W1119" s="3">
        <f>+D.sign_Data[[#This Row],[COSTO 
DIRECTO ($COP)]]+D.sign_Data[[#This Row],[PRORRATEO GASTOS ($COP)]]</f>
        <v>534578.91122818855</v>
      </c>
      <c r="X1119" s="101">
        <v>0.15</v>
      </c>
      <c r="Y1119" s="15">
        <f>+D.sign_Data[[#This Row],[COSTOS OPERACIONALES ($COP)]]*D.sign_Data[[#This Row],[DESFASE (%)]]</f>
        <v>80186.836684228285</v>
      </c>
      <c r="Z1119" s="101">
        <v>0.3</v>
      </c>
      <c r="AA1119" s="15">
        <f>+((D.sign_Data[[#This Row],[COSTOS OPERACIONALES ($COP)]]/(100%-D.sign_Data[[#This Row],[UTILIDAD (%)]])))-D.sign_Data[[#This Row],[COSTOS OPERACIONALES ($COP)]]</f>
        <v>229105.2476692237</v>
      </c>
      <c r="AB1119" s="3">
        <f>+D.sign_Data[[#This Row],[COSTOS OPERACIONALES ($COP)]]+D.sign_Data[[#This Row],[DESFASE ($COP)]]+D.sign_Data[[#This Row],[UTILIDAD ($COP)]]</f>
        <v>843870.99558164051</v>
      </c>
      <c r="AC1119" s="101">
        <v>0.05</v>
      </c>
      <c r="AD1119" s="15">
        <f>+D.sign_Data[[#This Row],[VALOR NETO ($COP)]]/(100%-D.sign_Data[[#This Row],[MARGEN DE NEGOCIACIÓN (%)]])-D.sign_Data[[#This Row],[VALOR NETO ($COP)]]</f>
        <v>44414.262925349525</v>
      </c>
      <c r="AE1119" s="15">
        <f>+(D.sign_Data[[#This Row],[VALOR NETO ($COP)]]+D.sign_Data[[#This Row],[NEGOCIACIÓN ($COP)]])*1%</f>
        <v>8882.8525850699007</v>
      </c>
      <c r="AF1119" s="15">
        <f>+(D.sign_Data[[#This Row],[VALOR NETO ($COP)]]+D.sign_Data[[#This Row],[NEGOCIACIÓN ($COP)]])*1%</f>
        <v>8882.8525850699007</v>
      </c>
      <c r="AG1119" s="3">
        <f>+D.sign_Data[[#This Row],[VALOR NETO ($COP)]]+D.sign_Data[[#This Row],[NEGOCIACIÓN ($COP)]]+D.sign_Data[[#This Row],[ICA ($COP)]]+D.sign_Data[[#This Row],[4 * 1000 ($COP)]]</f>
        <v>906050.96367712994</v>
      </c>
    </row>
    <row r="1120" spans="1:33" ht="60" hidden="1" customHeight="1" x14ac:dyDescent="0.25">
      <c r="A1120" s="14"/>
      <c r="B1120" s="87" t="s">
        <v>442</v>
      </c>
      <c r="C1120" s="182" t="s">
        <v>1005</v>
      </c>
      <c r="D1120" s="189" t="str">
        <f>VLOOKUP(D.sign_Data[[#This Row],[CÓDIGO]],Descripciones[[CÓDIGO]:[NOMBRE DE SERVICIO]],3,FALSE)</f>
        <v>D4. Comercial</v>
      </c>
      <c r="E1120" s="87" t="s">
        <v>467</v>
      </c>
      <c r="F1120" s="88" t="s">
        <v>1006</v>
      </c>
      <c r="G1120" s="88" t="s">
        <v>1007</v>
      </c>
      <c r="H1120" s="87" t="s">
        <v>423</v>
      </c>
      <c r="I1120" s="92">
        <v>1</v>
      </c>
      <c r="J1120" s="88" t="s">
        <v>1010</v>
      </c>
      <c r="K1120" s="102"/>
      <c r="L1120" s="88" t="s">
        <v>1012</v>
      </c>
      <c r="M1120" s="89" t="s">
        <v>381</v>
      </c>
      <c r="N1120" s="90">
        <v>18</v>
      </c>
      <c r="O1120" s="27">
        <f>IFERROR(+VLOOKUP(M1120,D.sign_Lista_Data[[RESPONSABLE]:[SOFTWARE 
VALOR HORA]],3,FALSE),"0")</f>
        <v>20263.424518743668</v>
      </c>
      <c r="P1120" s="3">
        <f t="shared" si="40"/>
        <v>364741.64133738604</v>
      </c>
      <c r="Q1120" s="11">
        <f>IFERROR(+VLOOKUP(M1120,D.sign_Lista_Data[[RESPONSABLE]:[SOFTWARE 
VALOR HORA]],5,FALSE)*D.sign_Data[[#This Row],[TIEMPO (HORAS)]],0)</f>
        <v>75987.841945288747</v>
      </c>
      <c r="R1120" s="11">
        <f>IFERROR(+VLOOKUP(M1120,D.sign_Lista_Data[[RESPONSABLE]:[SOFTWARE 
VALOR HORA]],8,FALSE)*D.sign_Data[[#This Row],[TIEMPO (HORAS)]],0)</f>
        <v>61395.387968591705</v>
      </c>
      <c r="S1120" s="99"/>
      <c r="T1120" s="99"/>
      <c r="U1120" s="3">
        <f t="shared" si="41"/>
        <v>502124.87125126651</v>
      </c>
      <c r="V1120" s="100">
        <f>D.sign_Data[[#This Row],[TIEMPO (HORAS)]]*Gastos_Operativos[[#Totals],[GASTOS HORA]]</f>
        <v>500210.58730158722</v>
      </c>
      <c r="W1120" s="3">
        <f>+D.sign_Data[[#This Row],[COSTO 
DIRECTO ($COP)]]+D.sign_Data[[#This Row],[PRORRATEO GASTOS ($COP)]]</f>
        <v>1002335.4585528537</v>
      </c>
      <c r="X1120" s="101">
        <v>0.15</v>
      </c>
      <c r="Y1120" s="15">
        <f>+D.sign_Data[[#This Row],[COSTOS OPERACIONALES ($COP)]]*D.sign_Data[[#This Row],[DESFASE (%)]]</f>
        <v>150350.31878292805</v>
      </c>
      <c r="Z1120" s="101">
        <v>0.3</v>
      </c>
      <c r="AA1120" s="15">
        <f>+((D.sign_Data[[#This Row],[COSTOS OPERACIONALES ($COP)]]/(100%-D.sign_Data[[#This Row],[UTILIDAD (%)]])))-D.sign_Data[[#This Row],[COSTOS OPERACIONALES ($COP)]]</f>
        <v>429572.33937979443</v>
      </c>
      <c r="AB1120" s="3">
        <f>+D.sign_Data[[#This Row],[COSTOS OPERACIONALES ($COP)]]+D.sign_Data[[#This Row],[DESFASE ($COP)]]+D.sign_Data[[#This Row],[UTILIDAD ($COP)]]</f>
        <v>1582258.116715576</v>
      </c>
      <c r="AC1120" s="101">
        <v>0.05</v>
      </c>
      <c r="AD1120" s="15">
        <f>+D.sign_Data[[#This Row],[VALOR NETO ($COP)]]/(100%-D.sign_Data[[#This Row],[MARGEN DE NEGOCIACIÓN (%)]])-D.sign_Data[[#This Row],[VALOR NETO ($COP)]]</f>
        <v>83276.742985030403</v>
      </c>
      <c r="AE1120" s="15">
        <f>+(D.sign_Data[[#This Row],[VALOR NETO ($COP)]]+D.sign_Data[[#This Row],[NEGOCIACIÓN ($COP)]])*1%</f>
        <v>16655.348597006065</v>
      </c>
      <c r="AF1120" s="15">
        <f>+(D.sign_Data[[#This Row],[VALOR NETO ($COP)]]+D.sign_Data[[#This Row],[NEGOCIACIÓN ($COP)]])*1%</f>
        <v>16655.348597006065</v>
      </c>
      <c r="AG1120" s="3">
        <f>+D.sign_Data[[#This Row],[VALOR NETO ($COP)]]+D.sign_Data[[#This Row],[NEGOCIACIÓN ($COP)]]+D.sign_Data[[#This Row],[ICA ($COP)]]+D.sign_Data[[#This Row],[4 * 1000 ($COP)]]</f>
        <v>1698845.5568946188</v>
      </c>
    </row>
    <row r="1121" spans="1:33" ht="60" hidden="1" customHeight="1" x14ac:dyDescent="0.25">
      <c r="A1121" s="14"/>
      <c r="B1121" s="87" t="s">
        <v>442</v>
      </c>
      <c r="C1121" s="182" t="s">
        <v>1005</v>
      </c>
      <c r="D1121" s="189" t="str">
        <f>VLOOKUP(D.sign_Data[[#This Row],[CÓDIGO]],Descripciones[[CÓDIGO]:[NOMBRE DE SERVICIO]],3,FALSE)</f>
        <v>D4. Comercial</v>
      </c>
      <c r="E1121" s="87" t="s">
        <v>467</v>
      </c>
      <c r="F1121" s="88" t="s">
        <v>1006</v>
      </c>
      <c r="G1121" s="88" t="s">
        <v>1007</v>
      </c>
      <c r="H1121" s="87" t="s">
        <v>423</v>
      </c>
      <c r="I1121" s="92">
        <v>1</v>
      </c>
      <c r="J1121" s="88" t="s">
        <v>1013</v>
      </c>
      <c r="K1121" s="102"/>
      <c r="L1121" s="88" t="s">
        <v>1014</v>
      </c>
      <c r="M1121" s="89" t="s">
        <v>381</v>
      </c>
      <c r="N1121" s="90">
        <v>2</v>
      </c>
      <c r="O1121" s="27">
        <f>IFERROR(+VLOOKUP(M1121,D.sign_Lista_Data[[RESPONSABLE]:[SOFTWARE 
VALOR HORA]],3,FALSE),"0")</f>
        <v>20263.424518743668</v>
      </c>
      <c r="P1121" s="3">
        <f t="shared" si="40"/>
        <v>40526.849037487336</v>
      </c>
      <c r="Q1121" s="11">
        <f>IFERROR(+VLOOKUP(M1121,D.sign_Lista_Data[[RESPONSABLE]:[SOFTWARE 
VALOR HORA]],5,FALSE)*D.sign_Data[[#This Row],[TIEMPO (HORAS)]],0)</f>
        <v>8443.0935494765272</v>
      </c>
      <c r="R1121" s="11">
        <f>IFERROR(+VLOOKUP(M1121,D.sign_Lista_Data[[RESPONSABLE]:[SOFTWARE 
VALOR HORA]],8,FALSE)*D.sign_Data[[#This Row],[TIEMPO (HORAS)]],0)</f>
        <v>6821.7097742879669</v>
      </c>
      <c r="S1121" s="99"/>
      <c r="T1121" s="99"/>
      <c r="U1121" s="3">
        <f t="shared" si="41"/>
        <v>55791.652361251836</v>
      </c>
      <c r="V1121" s="100">
        <f>D.sign_Data[[#This Row],[TIEMPO (HORAS)]]*Gastos_Operativos[[#Totals],[GASTOS HORA]]</f>
        <v>55578.954144620802</v>
      </c>
      <c r="W1121" s="3">
        <f>+D.sign_Data[[#This Row],[COSTO 
DIRECTO ($COP)]]+D.sign_Data[[#This Row],[PRORRATEO GASTOS ($COP)]]</f>
        <v>111370.60650587264</v>
      </c>
      <c r="X1121" s="101">
        <v>0.15</v>
      </c>
      <c r="Y1121" s="15">
        <f>+D.sign_Data[[#This Row],[COSTOS OPERACIONALES ($COP)]]*D.sign_Data[[#This Row],[DESFASE (%)]]</f>
        <v>16705.590975880896</v>
      </c>
      <c r="Z1121" s="101">
        <v>0.3</v>
      </c>
      <c r="AA1121" s="15">
        <f>+((D.sign_Data[[#This Row],[COSTOS OPERACIONALES ($COP)]]/(100%-D.sign_Data[[#This Row],[UTILIDAD (%)]])))-D.sign_Data[[#This Row],[COSTOS OPERACIONALES ($COP)]]</f>
        <v>47730.259931088294</v>
      </c>
      <c r="AB1121" s="3">
        <f>+D.sign_Data[[#This Row],[COSTOS OPERACIONALES ($COP)]]+D.sign_Data[[#This Row],[DESFASE ($COP)]]+D.sign_Data[[#This Row],[UTILIDAD ($COP)]]</f>
        <v>175806.45741284185</v>
      </c>
      <c r="AC1121" s="101">
        <v>0.05</v>
      </c>
      <c r="AD1121" s="15">
        <f>+D.sign_Data[[#This Row],[VALOR NETO ($COP)]]/(100%-D.sign_Data[[#This Row],[MARGEN DE NEGOCIACIÓN (%)]])-D.sign_Data[[#This Row],[VALOR NETO ($COP)]]</f>
        <v>9252.9714427811559</v>
      </c>
      <c r="AE1121" s="15">
        <f>+(D.sign_Data[[#This Row],[VALOR NETO ($COP)]]+D.sign_Data[[#This Row],[NEGOCIACIÓN ($COP)]])*1%</f>
        <v>1850.5942885562301</v>
      </c>
      <c r="AF1121" s="15">
        <f>+(D.sign_Data[[#This Row],[VALOR NETO ($COP)]]+D.sign_Data[[#This Row],[NEGOCIACIÓN ($COP)]])*1%</f>
        <v>1850.5942885562301</v>
      </c>
      <c r="AG1121" s="3">
        <f>+D.sign_Data[[#This Row],[VALOR NETO ($COP)]]+D.sign_Data[[#This Row],[NEGOCIACIÓN ($COP)]]+D.sign_Data[[#This Row],[ICA ($COP)]]+D.sign_Data[[#This Row],[4 * 1000 ($COP)]]</f>
        <v>188760.61743273545</v>
      </c>
    </row>
    <row r="1122" spans="1:33" ht="60" hidden="1" customHeight="1" x14ac:dyDescent="0.25">
      <c r="A1122" s="14"/>
      <c r="B1122" s="87" t="s">
        <v>442</v>
      </c>
      <c r="C1122" s="182" t="s">
        <v>1005</v>
      </c>
      <c r="D1122" s="189" t="str">
        <f>VLOOKUP(D.sign_Data[[#This Row],[CÓDIGO]],Descripciones[[CÓDIGO]:[NOMBRE DE SERVICIO]],3,FALSE)</f>
        <v>D4. Comercial</v>
      </c>
      <c r="E1122" s="87" t="s">
        <v>467</v>
      </c>
      <c r="F1122" s="88" t="s">
        <v>1006</v>
      </c>
      <c r="G1122" s="88" t="s">
        <v>1007</v>
      </c>
      <c r="H1122" s="87" t="s">
        <v>423</v>
      </c>
      <c r="I1122" s="92">
        <v>1</v>
      </c>
      <c r="J1122" s="88" t="s">
        <v>1015</v>
      </c>
      <c r="K1122" s="102"/>
      <c r="L1122" s="88" t="s">
        <v>1016</v>
      </c>
      <c r="M1122" s="89" t="s">
        <v>381</v>
      </c>
      <c r="N1122" s="90">
        <v>4</v>
      </c>
      <c r="O1122" s="27">
        <f>IFERROR(+VLOOKUP(M1122,D.sign_Lista_Data[[RESPONSABLE]:[SOFTWARE 
VALOR HORA]],3,FALSE),"0")</f>
        <v>20263.424518743668</v>
      </c>
      <c r="P1122" s="3">
        <f t="shared" si="40"/>
        <v>81053.698074974673</v>
      </c>
      <c r="Q1122" s="11">
        <f>IFERROR(+VLOOKUP(M1122,D.sign_Lista_Data[[RESPONSABLE]:[SOFTWARE 
VALOR HORA]],5,FALSE)*D.sign_Data[[#This Row],[TIEMPO (HORAS)]],0)</f>
        <v>16886.187098953054</v>
      </c>
      <c r="R1122" s="11">
        <f>IFERROR(+VLOOKUP(M1122,D.sign_Lista_Data[[RESPONSABLE]:[SOFTWARE 
VALOR HORA]],8,FALSE)*D.sign_Data[[#This Row],[TIEMPO (HORAS)]],0)</f>
        <v>13643.419548575934</v>
      </c>
      <c r="S1122" s="99"/>
      <c r="T1122" s="99"/>
      <c r="U1122" s="3">
        <f t="shared" si="41"/>
        <v>111583.30472250367</v>
      </c>
      <c r="V1122" s="100">
        <f>D.sign_Data[[#This Row],[TIEMPO (HORAS)]]*Gastos_Operativos[[#Totals],[GASTOS HORA]]</f>
        <v>111157.9082892416</v>
      </c>
      <c r="W1122" s="3">
        <f>+D.sign_Data[[#This Row],[COSTO 
DIRECTO ($COP)]]+D.sign_Data[[#This Row],[PRORRATEO GASTOS ($COP)]]</f>
        <v>222741.21301174528</v>
      </c>
      <c r="X1122" s="101">
        <v>0.15</v>
      </c>
      <c r="Y1122" s="15">
        <f>+D.sign_Data[[#This Row],[COSTOS OPERACIONALES ($COP)]]*D.sign_Data[[#This Row],[DESFASE (%)]]</f>
        <v>33411.181951761791</v>
      </c>
      <c r="Z1122" s="101">
        <v>0.3</v>
      </c>
      <c r="AA1122" s="15">
        <f>+((D.sign_Data[[#This Row],[COSTOS OPERACIONALES ($COP)]]/(100%-D.sign_Data[[#This Row],[UTILIDAD (%)]])))-D.sign_Data[[#This Row],[COSTOS OPERACIONALES ($COP)]]</f>
        <v>95460.519862176589</v>
      </c>
      <c r="AB1122" s="3">
        <f>+D.sign_Data[[#This Row],[COSTOS OPERACIONALES ($COP)]]+D.sign_Data[[#This Row],[DESFASE ($COP)]]+D.sign_Data[[#This Row],[UTILIDAD ($COP)]]</f>
        <v>351612.91482568369</v>
      </c>
      <c r="AC1122" s="101">
        <v>0.05</v>
      </c>
      <c r="AD1122" s="15">
        <f>+D.sign_Data[[#This Row],[VALOR NETO ($COP)]]/(100%-D.sign_Data[[#This Row],[MARGEN DE NEGOCIACIÓN (%)]])-D.sign_Data[[#This Row],[VALOR NETO ($COP)]]</f>
        <v>18505.942885562312</v>
      </c>
      <c r="AE1122" s="15">
        <f>+(D.sign_Data[[#This Row],[VALOR NETO ($COP)]]+D.sign_Data[[#This Row],[NEGOCIACIÓN ($COP)]])*1%</f>
        <v>3701.1885771124603</v>
      </c>
      <c r="AF1122" s="15">
        <f>+(D.sign_Data[[#This Row],[VALOR NETO ($COP)]]+D.sign_Data[[#This Row],[NEGOCIACIÓN ($COP)]])*1%</f>
        <v>3701.1885771124603</v>
      </c>
      <c r="AG1122" s="3">
        <f>+D.sign_Data[[#This Row],[VALOR NETO ($COP)]]+D.sign_Data[[#This Row],[NEGOCIACIÓN ($COP)]]+D.sign_Data[[#This Row],[ICA ($COP)]]+D.sign_Data[[#This Row],[4 * 1000 ($COP)]]</f>
        <v>377521.23486547091</v>
      </c>
    </row>
    <row r="1123" spans="1:33" ht="60" hidden="1" customHeight="1" x14ac:dyDescent="0.25">
      <c r="A1123" s="14"/>
      <c r="B1123" s="87" t="s">
        <v>442</v>
      </c>
      <c r="C1123" s="182" t="s">
        <v>1005</v>
      </c>
      <c r="D1123" s="189" t="str">
        <f>VLOOKUP(D.sign_Data[[#This Row],[CÓDIGO]],Descripciones[[CÓDIGO]:[NOMBRE DE SERVICIO]],3,FALSE)</f>
        <v>D4. Comercial</v>
      </c>
      <c r="E1123" s="87" t="s">
        <v>467</v>
      </c>
      <c r="F1123" s="88" t="s">
        <v>1006</v>
      </c>
      <c r="G1123" s="88" t="s">
        <v>1007</v>
      </c>
      <c r="H1123" s="87" t="s">
        <v>423</v>
      </c>
      <c r="I1123" s="92">
        <v>1</v>
      </c>
      <c r="J1123" s="88" t="s">
        <v>1017</v>
      </c>
      <c r="K1123" s="102"/>
      <c r="L1123" s="88" t="s">
        <v>1018</v>
      </c>
      <c r="M1123" s="89" t="s">
        <v>381</v>
      </c>
      <c r="N1123" s="90">
        <v>9</v>
      </c>
      <c r="O1123" s="27">
        <f>IFERROR(+VLOOKUP(M1123,D.sign_Lista_Data[[RESPONSABLE]:[SOFTWARE 
VALOR HORA]],3,FALSE),"0")</f>
        <v>20263.424518743668</v>
      </c>
      <c r="P1123" s="3">
        <f t="shared" si="40"/>
        <v>182370.82066869302</v>
      </c>
      <c r="Q1123" s="11">
        <f>IFERROR(+VLOOKUP(M1123,D.sign_Lista_Data[[RESPONSABLE]:[SOFTWARE 
VALOR HORA]],5,FALSE)*D.sign_Data[[#This Row],[TIEMPO (HORAS)]],0)</f>
        <v>37993.920972644373</v>
      </c>
      <c r="R1123" s="11">
        <f>IFERROR(+VLOOKUP(M1123,D.sign_Lista_Data[[RESPONSABLE]:[SOFTWARE 
VALOR HORA]],8,FALSE)*D.sign_Data[[#This Row],[TIEMPO (HORAS)]],0)</f>
        <v>30697.693984295853</v>
      </c>
      <c r="S1123" s="99"/>
      <c r="T1123" s="99"/>
      <c r="U1123" s="3">
        <f t="shared" si="41"/>
        <v>251062.43562563325</v>
      </c>
      <c r="V1123" s="100">
        <f>D.sign_Data[[#This Row],[TIEMPO (HORAS)]]*Gastos_Operativos[[#Totals],[GASTOS HORA]]</f>
        <v>250105.29365079361</v>
      </c>
      <c r="W1123" s="3">
        <f>+D.sign_Data[[#This Row],[COSTO 
DIRECTO ($COP)]]+D.sign_Data[[#This Row],[PRORRATEO GASTOS ($COP)]]</f>
        <v>501167.72927642683</v>
      </c>
      <c r="X1123" s="101">
        <v>0.15</v>
      </c>
      <c r="Y1123" s="15">
        <f>+D.sign_Data[[#This Row],[COSTOS OPERACIONALES ($COP)]]*D.sign_Data[[#This Row],[DESFASE (%)]]</f>
        <v>75175.159391464025</v>
      </c>
      <c r="Z1123" s="101">
        <v>0.3</v>
      </c>
      <c r="AA1123" s="15">
        <f>+((D.sign_Data[[#This Row],[COSTOS OPERACIONALES ($COP)]]/(100%-D.sign_Data[[#This Row],[UTILIDAD (%)]])))-D.sign_Data[[#This Row],[COSTOS OPERACIONALES ($COP)]]</f>
        <v>214786.16968989721</v>
      </c>
      <c r="AB1123" s="3">
        <f>+D.sign_Data[[#This Row],[COSTOS OPERACIONALES ($COP)]]+D.sign_Data[[#This Row],[DESFASE ($COP)]]+D.sign_Data[[#This Row],[UTILIDAD ($COP)]]</f>
        <v>791129.05835778802</v>
      </c>
      <c r="AC1123" s="101">
        <v>0.05</v>
      </c>
      <c r="AD1123" s="15">
        <f>+D.sign_Data[[#This Row],[VALOR NETO ($COP)]]/(100%-D.sign_Data[[#This Row],[MARGEN DE NEGOCIACIÓN (%)]])-D.sign_Data[[#This Row],[VALOR NETO ($COP)]]</f>
        <v>41638.371492515202</v>
      </c>
      <c r="AE1123" s="15">
        <f>+(D.sign_Data[[#This Row],[VALOR NETO ($COP)]]+D.sign_Data[[#This Row],[NEGOCIACIÓN ($COP)]])*1%</f>
        <v>8327.6742985030323</v>
      </c>
      <c r="AF1123" s="15">
        <f>+(D.sign_Data[[#This Row],[VALOR NETO ($COP)]]+D.sign_Data[[#This Row],[NEGOCIACIÓN ($COP)]])*1%</f>
        <v>8327.6742985030323</v>
      </c>
      <c r="AG1123" s="3">
        <f>+D.sign_Data[[#This Row],[VALOR NETO ($COP)]]+D.sign_Data[[#This Row],[NEGOCIACIÓN ($COP)]]+D.sign_Data[[#This Row],[ICA ($COP)]]+D.sign_Data[[#This Row],[4 * 1000 ($COP)]]</f>
        <v>849422.77844730939</v>
      </c>
    </row>
    <row r="1124" spans="1:33" ht="60" hidden="1" customHeight="1" x14ac:dyDescent="0.25">
      <c r="A1124" s="14"/>
      <c r="B1124" s="87" t="s">
        <v>442</v>
      </c>
      <c r="C1124" s="182" t="s">
        <v>1005</v>
      </c>
      <c r="D1124" s="189" t="str">
        <f>VLOOKUP(D.sign_Data[[#This Row],[CÓDIGO]],Descripciones[[CÓDIGO]:[NOMBRE DE SERVICIO]],3,FALSE)</f>
        <v>D4. Comercial</v>
      </c>
      <c r="E1124" s="87" t="s">
        <v>467</v>
      </c>
      <c r="F1124" s="88" t="s">
        <v>1006</v>
      </c>
      <c r="G1124" s="88" t="s">
        <v>1007</v>
      </c>
      <c r="H1124" s="87" t="s">
        <v>423</v>
      </c>
      <c r="I1124" s="92">
        <v>1</v>
      </c>
      <c r="J1124" s="88" t="s">
        <v>1019</v>
      </c>
      <c r="K1124" s="102"/>
      <c r="L1124" s="88" t="s">
        <v>1020</v>
      </c>
      <c r="M1124" s="89" t="s">
        <v>381</v>
      </c>
      <c r="N1124" s="90">
        <v>5</v>
      </c>
      <c r="O1124" s="27">
        <f>IFERROR(+VLOOKUP(M1124,D.sign_Lista_Data[[RESPONSABLE]:[SOFTWARE 
VALOR HORA]],3,FALSE),"0")</f>
        <v>20263.424518743668</v>
      </c>
      <c r="P1124" s="3">
        <f t="shared" si="40"/>
        <v>101317.12259371835</v>
      </c>
      <c r="Q1124" s="11">
        <f>IFERROR(+VLOOKUP(M1124,D.sign_Lista_Data[[RESPONSABLE]:[SOFTWARE 
VALOR HORA]],5,FALSE)*D.sign_Data[[#This Row],[TIEMPO (HORAS)]],0)</f>
        <v>21107.733873691319</v>
      </c>
      <c r="R1124" s="11">
        <f>IFERROR(+VLOOKUP(M1124,D.sign_Lista_Data[[RESPONSABLE]:[SOFTWARE 
VALOR HORA]],8,FALSE)*D.sign_Data[[#This Row],[TIEMPO (HORAS)]],0)</f>
        <v>17054.274435719919</v>
      </c>
      <c r="S1124" s="99"/>
      <c r="T1124" s="99"/>
      <c r="U1124" s="3">
        <f t="shared" si="41"/>
        <v>139479.13090312958</v>
      </c>
      <c r="V1124" s="100">
        <f>D.sign_Data[[#This Row],[TIEMPO (HORAS)]]*Gastos_Operativos[[#Totals],[GASTOS HORA]]</f>
        <v>138947.38536155201</v>
      </c>
      <c r="W1124" s="3">
        <f>+D.sign_Data[[#This Row],[COSTO 
DIRECTO ($COP)]]+D.sign_Data[[#This Row],[PRORRATEO GASTOS ($COP)]]</f>
        <v>278426.51626468159</v>
      </c>
      <c r="X1124" s="101">
        <v>0.15</v>
      </c>
      <c r="Y1124" s="15">
        <f>+D.sign_Data[[#This Row],[COSTOS OPERACIONALES ($COP)]]*D.sign_Data[[#This Row],[DESFASE (%)]]</f>
        <v>41763.977439702234</v>
      </c>
      <c r="Z1124" s="101">
        <v>0.3</v>
      </c>
      <c r="AA1124" s="15">
        <f>+((D.sign_Data[[#This Row],[COSTOS OPERACIONALES ($COP)]]/(100%-D.sign_Data[[#This Row],[UTILIDAD (%)]])))-D.sign_Data[[#This Row],[COSTOS OPERACIONALES ($COP)]]</f>
        <v>119325.64982772071</v>
      </c>
      <c r="AB1124" s="3">
        <f>+D.sign_Data[[#This Row],[COSTOS OPERACIONALES ($COP)]]+D.sign_Data[[#This Row],[DESFASE ($COP)]]+D.sign_Data[[#This Row],[UTILIDAD ($COP)]]</f>
        <v>439516.14353210456</v>
      </c>
      <c r="AC1124" s="101">
        <v>0.05</v>
      </c>
      <c r="AD1124" s="15">
        <f>+D.sign_Data[[#This Row],[VALOR NETO ($COP)]]/(100%-D.sign_Data[[#This Row],[MARGEN DE NEGOCIACIÓN (%)]])-D.sign_Data[[#This Row],[VALOR NETO ($COP)]]</f>
        <v>23132.42860695289</v>
      </c>
      <c r="AE1124" s="15">
        <f>+(D.sign_Data[[#This Row],[VALOR NETO ($COP)]]+D.sign_Data[[#This Row],[NEGOCIACIÓN ($COP)]])*1%</f>
        <v>4626.4857213905743</v>
      </c>
      <c r="AF1124" s="15">
        <f>+(D.sign_Data[[#This Row],[VALOR NETO ($COP)]]+D.sign_Data[[#This Row],[NEGOCIACIÓN ($COP)]])*1%</f>
        <v>4626.4857213905743</v>
      </c>
      <c r="AG1124" s="3">
        <f>+D.sign_Data[[#This Row],[VALOR NETO ($COP)]]+D.sign_Data[[#This Row],[NEGOCIACIÓN ($COP)]]+D.sign_Data[[#This Row],[ICA ($COP)]]+D.sign_Data[[#This Row],[4 * 1000 ($COP)]]</f>
        <v>471901.5435818386</v>
      </c>
    </row>
    <row r="1125" spans="1:33" ht="60" hidden="1" customHeight="1" x14ac:dyDescent="0.25">
      <c r="A1125" s="14"/>
      <c r="B1125" s="87" t="s">
        <v>442</v>
      </c>
      <c r="C1125" s="182" t="s">
        <v>1005</v>
      </c>
      <c r="D1125" s="189" t="str">
        <f>VLOOKUP(D.sign_Data[[#This Row],[CÓDIGO]],Descripciones[[CÓDIGO]:[NOMBRE DE SERVICIO]],3,FALSE)</f>
        <v>D4. Comercial</v>
      </c>
      <c r="E1125" s="87" t="s">
        <v>467</v>
      </c>
      <c r="F1125" s="88" t="s">
        <v>1006</v>
      </c>
      <c r="G1125" s="88" t="s">
        <v>1007</v>
      </c>
      <c r="H1125" s="87" t="s">
        <v>423</v>
      </c>
      <c r="I1125" s="92">
        <v>1</v>
      </c>
      <c r="J1125" s="88" t="s">
        <v>1021</v>
      </c>
      <c r="K1125" s="102"/>
      <c r="L1125" s="88" t="s">
        <v>1022</v>
      </c>
      <c r="M1125" s="89" t="s">
        <v>381</v>
      </c>
      <c r="N1125" s="90">
        <v>2</v>
      </c>
      <c r="O1125" s="27">
        <f>IFERROR(+VLOOKUP(M1125,D.sign_Lista_Data[[RESPONSABLE]:[SOFTWARE 
VALOR HORA]],3,FALSE),"0")</f>
        <v>20263.424518743668</v>
      </c>
      <c r="P1125" s="3">
        <f t="shared" si="40"/>
        <v>40526.849037487336</v>
      </c>
      <c r="Q1125" s="11">
        <f>IFERROR(+VLOOKUP(M1125,D.sign_Lista_Data[[RESPONSABLE]:[SOFTWARE 
VALOR HORA]],5,FALSE)*D.sign_Data[[#This Row],[TIEMPO (HORAS)]],0)</f>
        <v>8443.0935494765272</v>
      </c>
      <c r="R1125" s="11">
        <f>IFERROR(+VLOOKUP(M1125,D.sign_Lista_Data[[RESPONSABLE]:[SOFTWARE 
VALOR HORA]],8,FALSE)*D.sign_Data[[#This Row],[TIEMPO (HORAS)]],0)</f>
        <v>6821.7097742879669</v>
      </c>
      <c r="S1125" s="99"/>
      <c r="T1125" s="99"/>
      <c r="U1125" s="3">
        <f t="shared" si="41"/>
        <v>55791.652361251836</v>
      </c>
      <c r="V1125" s="100">
        <f>D.sign_Data[[#This Row],[TIEMPO (HORAS)]]*Gastos_Operativos[[#Totals],[GASTOS HORA]]</f>
        <v>55578.954144620802</v>
      </c>
      <c r="W1125" s="3">
        <f>+D.sign_Data[[#This Row],[COSTO 
DIRECTO ($COP)]]+D.sign_Data[[#This Row],[PRORRATEO GASTOS ($COP)]]</f>
        <v>111370.60650587264</v>
      </c>
      <c r="X1125" s="101">
        <v>0.15</v>
      </c>
      <c r="Y1125" s="15">
        <f>+D.sign_Data[[#This Row],[COSTOS OPERACIONALES ($COP)]]*D.sign_Data[[#This Row],[DESFASE (%)]]</f>
        <v>16705.590975880896</v>
      </c>
      <c r="Z1125" s="101">
        <v>0.3</v>
      </c>
      <c r="AA1125" s="15">
        <f>+((D.sign_Data[[#This Row],[COSTOS OPERACIONALES ($COP)]]/(100%-D.sign_Data[[#This Row],[UTILIDAD (%)]])))-D.sign_Data[[#This Row],[COSTOS OPERACIONALES ($COP)]]</f>
        <v>47730.259931088294</v>
      </c>
      <c r="AB1125" s="3">
        <f>+D.sign_Data[[#This Row],[COSTOS OPERACIONALES ($COP)]]+D.sign_Data[[#This Row],[DESFASE ($COP)]]+D.sign_Data[[#This Row],[UTILIDAD ($COP)]]</f>
        <v>175806.45741284185</v>
      </c>
      <c r="AC1125" s="101">
        <v>0.05</v>
      </c>
      <c r="AD1125" s="15">
        <f>+D.sign_Data[[#This Row],[VALOR NETO ($COP)]]/(100%-D.sign_Data[[#This Row],[MARGEN DE NEGOCIACIÓN (%)]])-D.sign_Data[[#This Row],[VALOR NETO ($COP)]]</f>
        <v>9252.9714427811559</v>
      </c>
      <c r="AE1125" s="15">
        <f>+(D.sign_Data[[#This Row],[VALOR NETO ($COP)]]+D.sign_Data[[#This Row],[NEGOCIACIÓN ($COP)]])*1%</f>
        <v>1850.5942885562301</v>
      </c>
      <c r="AF1125" s="15">
        <f>+(D.sign_Data[[#This Row],[VALOR NETO ($COP)]]+D.sign_Data[[#This Row],[NEGOCIACIÓN ($COP)]])*1%</f>
        <v>1850.5942885562301</v>
      </c>
      <c r="AG1125" s="3">
        <f>+D.sign_Data[[#This Row],[VALOR NETO ($COP)]]+D.sign_Data[[#This Row],[NEGOCIACIÓN ($COP)]]+D.sign_Data[[#This Row],[ICA ($COP)]]+D.sign_Data[[#This Row],[4 * 1000 ($COP)]]</f>
        <v>188760.61743273545</v>
      </c>
    </row>
    <row r="1126" spans="1:33" ht="60" hidden="1" customHeight="1" x14ac:dyDescent="0.25">
      <c r="A1126" s="14"/>
      <c r="B1126" s="87" t="s">
        <v>442</v>
      </c>
      <c r="C1126" s="182" t="s">
        <v>1005</v>
      </c>
      <c r="D1126" s="189" t="str">
        <f>VLOOKUP(D.sign_Data[[#This Row],[CÓDIGO]],Descripciones[[CÓDIGO]:[NOMBRE DE SERVICIO]],3,FALSE)</f>
        <v>D4. Comercial</v>
      </c>
      <c r="E1126" s="87" t="s">
        <v>467</v>
      </c>
      <c r="F1126" s="88" t="s">
        <v>1006</v>
      </c>
      <c r="G1126" s="88" t="s">
        <v>1007</v>
      </c>
      <c r="H1126" s="87" t="s">
        <v>423</v>
      </c>
      <c r="I1126" s="92">
        <v>1</v>
      </c>
      <c r="J1126" s="88" t="s">
        <v>1023</v>
      </c>
      <c r="K1126" s="102"/>
      <c r="L1126" s="88" t="s">
        <v>1024</v>
      </c>
      <c r="M1126" s="89" t="s">
        <v>381</v>
      </c>
      <c r="N1126" s="90">
        <v>9</v>
      </c>
      <c r="O1126" s="27">
        <f>IFERROR(+VLOOKUP(M1126,D.sign_Lista_Data[[RESPONSABLE]:[SOFTWARE 
VALOR HORA]],3,FALSE),"0")</f>
        <v>20263.424518743668</v>
      </c>
      <c r="P1126" s="3">
        <f>+O1126*N1126</f>
        <v>182370.82066869302</v>
      </c>
      <c r="Q1126" s="11">
        <f>IFERROR(+VLOOKUP(M1126,D.sign_Lista_Data[[RESPONSABLE]:[SOFTWARE 
VALOR HORA]],5,FALSE)*D.sign_Data[[#This Row],[TIEMPO (HORAS)]],0)</f>
        <v>37993.920972644373</v>
      </c>
      <c r="R1126" s="11">
        <f>IFERROR(+VLOOKUP(M1126,D.sign_Lista_Data[[RESPONSABLE]:[SOFTWARE 
VALOR HORA]],8,FALSE)*D.sign_Data[[#This Row],[TIEMPO (HORAS)]],0)</f>
        <v>30697.693984295853</v>
      </c>
      <c r="S1126" s="99"/>
      <c r="T1126" s="99"/>
      <c r="U1126" s="3">
        <f>SUM(P1126:T1126)</f>
        <v>251062.43562563325</v>
      </c>
      <c r="V1126" s="100">
        <f>D.sign_Data[[#This Row],[TIEMPO (HORAS)]]*Gastos_Operativos[[#Totals],[GASTOS HORA]]</f>
        <v>250105.29365079361</v>
      </c>
      <c r="W1126" s="3">
        <f>+D.sign_Data[[#This Row],[COSTO 
DIRECTO ($COP)]]+D.sign_Data[[#This Row],[PRORRATEO GASTOS ($COP)]]</f>
        <v>501167.72927642683</v>
      </c>
      <c r="X1126" s="101">
        <v>0.15</v>
      </c>
      <c r="Y1126" s="15">
        <f>+D.sign_Data[[#This Row],[COSTOS OPERACIONALES ($COP)]]*D.sign_Data[[#This Row],[DESFASE (%)]]</f>
        <v>75175.159391464025</v>
      </c>
      <c r="Z1126" s="101">
        <v>0.3</v>
      </c>
      <c r="AA1126" s="15">
        <f>+((D.sign_Data[[#This Row],[COSTOS OPERACIONALES ($COP)]]/(100%-D.sign_Data[[#This Row],[UTILIDAD (%)]])))-D.sign_Data[[#This Row],[COSTOS OPERACIONALES ($COP)]]</f>
        <v>214786.16968989721</v>
      </c>
      <c r="AB1126" s="3">
        <f>+D.sign_Data[[#This Row],[COSTOS OPERACIONALES ($COP)]]+D.sign_Data[[#This Row],[DESFASE ($COP)]]+D.sign_Data[[#This Row],[UTILIDAD ($COP)]]</f>
        <v>791129.05835778802</v>
      </c>
      <c r="AC1126" s="101">
        <v>0.05</v>
      </c>
      <c r="AD1126" s="15">
        <f>+D.sign_Data[[#This Row],[VALOR NETO ($COP)]]/(100%-D.sign_Data[[#This Row],[MARGEN DE NEGOCIACIÓN (%)]])-D.sign_Data[[#This Row],[VALOR NETO ($COP)]]</f>
        <v>41638.371492515202</v>
      </c>
      <c r="AE1126" s="15">
        <f>+(D.sign_Data[[#This Row],[VALOR NETO ($COP)]]+D.sign_Data[[#This Row],[NEGOCIACIÓN ($COP)]])*1%</f>
        <v>8327.6742985030323</v>
      </c>
      <c r="AF1126" s="15">
        <f>+(D.sign_Data[[#This Row],[VALOR NETO ($COP)]]+D.sign_Data[[#This Row],[NEGOCIACIÓN ($COP)]])*1%</f>
        <v>8327.6742985030323</v>
      </c>
      <c r="AG1126" s="3">
        <f>+D.sign_Data[[#This Row],[VALOR NETO ($COP)]]+D.sign_Data[[#This Row],[NEGOCIACIÓN ($COP)]]+D.sign_Data[[#This Row],[ICA ($COP)]]+D.sign_Data[[#This Row],[4 * 1000 ($COP)]]</f>
        <v>849422.77844730939</v>
      </c>
    </row>
    <row r="1127" spans="1:33" ht="60" hidden="1" customHeight="1" x14ac:dyDescent="0.25">
      <c r="A1127" s="14"/>
      <c r="B1127" s="87" t="s">
        <v>493</v>
      </c>
      <c r="C1127" s="182" t="s">
        <v>1025</v>
      </c>
      <c r="D1127" s="189" t="str">
        <f>VLOOKUP(D.sign_Data[[#This Row],[CÓDIGO]],Descripciones[[CÓDIGO]:[NOMBRE DE SERVICIO]],3,FALSE)</f>
        <v>D4. Comercial</v>
      </c>
      <c r="E1127" s="87" t="s">
        <v>467</v>
      </c>
      <c r="F1127" s="88" t="s">
        <v>1026</v>
      </c>
      <c r="G1127" s="88" t="s">
        <v>1027</v>
      </c>
      <c r="H1127" s="97" t="s">
        <v>423</v>
      </c>
      <c r="I1127" s="94">
        <v>1</v>
      </c>
      <c r="J1127" s="93" t="s">
        <v>1028</v>
      </c>
      <c r="K1127" s="103"/>
      <c r="L1127" s="93" t="s">
        <v>1029</v>
      </c>
      <c r="M1127" s="89" t="s">
        <v>381</v>
      </c>
      <c r="N1127" s="98">
        <v>5</v>
      </c>
      <c r="O1127" s="27">
        <f>IFERROR(+VLOOKUP(M1127,D.sign_Lista_Data[[RESPONSABLE]:[SOFTWARE 
VALOR HORA]],3,FALSE),"0")</f>
        <v>20263.424518743668</v>
      </c>
      <c r="P1127" s="3">
        <f t="shared" si="40"/>
        <v>101317.12259371835</v>
      </c>
      <c r="Q1127" s="11">
        <f>IFERROR(+VLOOKUP(M1127,D.sign_Lista_Data[[RESPONSABLE]:[SOFTWARE 
VALOR HORA]],5,FALSE)*D.sign_Data[[#This Row],[TIEMPO (HORAS)]],0)</f>
        <v>21107.733873691319</v>
      </c>
      <c r="R1127" s="11">
        <f>IFERROR(+VLOOKUP(M1127,D.sign_Lista_Data[[RESPONSABLE]:[SOFTWARE 
VALOR HORA]],8,FALSE)*D.sign_Data[[#This Row],[TIEMPO (HORAS)]],0)</f>
        <v>17054.274435719919</v>
      </c>
      <c r="S1127" s="99"/>
      <c r="T1127" s="99"/>
      <c r="U1127" s="3">
        <f t="shared" si="41"/>
        <v>139479.13090312958</v>
      </c>
      <c r="V1127" s="100">
        <f>D.sign_Data[[#This Row],[TIEMPO (HORAS)]]*Gastos_Operativos[[#Totals],[GASTOS HORA]]</f>
        <v>138947.38536155201</v>
      </c>
      <c r="W1127" s="3">
        <f>+D.sign_Data[[#This Row],[COSTO 
DIRECTO ($COP)]]+D.sign_Data[[#This Row],[PRORRATEO GASTOS ($COP)]]</f>
        <v>278426.51626468159</v>
      </c>
      <c r="X1127" s="101">
        <v>0.05</v>
      </c>
      <c r="Y1127" s="15">
        <f>+D.sign_Data[[#This Row],[COSTOS OPERACIONALES ($COP)]]*D.sign_Data[[#This Row],[DESFASE (%)]]</f>
        <v>13921.32581323408</v>
      </c>
      <c r="Z1127" s="101">
        <v>0.2</v>
      </c>
      <c r="AA1127" s="15">
        <f>+((D.sign_Data[[#This Row],[COSTOS OPERACIONALES ($COP)]]/(100%-D.sign_Data[[#This Row],[UTILIDAD (%)]])))-D.sign_Data[[#This Row],[COSTOS OPERACIONALES ($COP)]]</f>
        <v>69606.629066170368</v>
      </c>
      <c r="AB1127" s="3">
        <f>+D.sign_Data[[#This Row],[COSTOS OPERACIONALES ($COP)]]+D.sign_Data[[#This Row],[DESFASE ($COP)]]+D.sign_Data[[#This Row],[UTILIDAD ($COP)]]</f>
        <v>361954.47114408604</v>
      </c>
      <c r="AC1127" s="101">
        <v>0.05</v>
      </c>
      <c r="AD1127" s="15">
        <f>+D.sign_Data[[#This Row],[VALOR NETO ($COP)]]/(100%-D.sign_Data[[#This Row],[MARGEN DE NEGOCIACIÓN (%)]])-D.sign_Data[[#This Row],[VALOR NETO ($COP)]]</f>
        <v>19050.235323372995</v>
      </c>
      <c r="AE1127" s="15">
        <f>+(D.sign_Data[[#This Row],[VALOR NETO ($COP)]]+D.sign_Data[[#This Row],[NEGOCIACIÓN ($COP)]])*1%</f>
        <v>3810.0470646745903</v>
      </c>
      <c r="AF1127" s="15">
        <f>+(D.sign_Data[[#This Row],[VALOR NETO ($COP)]]+D.sign_Data[[#This Row],[NEGOCIACIÓN ($COP)]])*1%</f>
        <v>3810.0470646745903</v>
      </c>
      <c r="AG1127" s="3">
        <f>+D.sign_Data[[#This Row],[VALOR NETO ($COP)]]+D.sign_Data[[#This Row],[NEGOCIACIÓN ($COP)]]+D.sign_Data[[#This Row],[ICA ($COP)]]+D.sign_Data[[#This Row],[4 * 1000 ($COP)]]</f>
        <v>388624.80059680826</v>
      </c>
    </row>
    <row r="1128" spans="1:33" ht="60" hidden="1" customHeight="1" x14ac:dyDescent="0.25">
      <c r="A1128" s="14"/>
      <c r="B1128" s="87" t="s">
        <v>493</v>
      </c>
      <c r="C1128" s="182" t="s">
        <v>1025</v>
      </c>
      <c r="D1128" s="189" t="str">
        <f>VLOOKUP(D.sign_Data[[#This Row],[CÓDIGO]],Descripciones[[CÓDIGO]:[NOMBRE DE SERVICIO]],3,FALSE)</f>
        <v>D4. Comercial</v>
      </c>
      <c r="E1128" s="87" t="s">
        <v>467</v>
      </c>
      <c r="F1128" s="88" t="s">
        <v>1026</v>
      </c>
      <c r="G1128" s="88" t="s">
        <v>1027</v>
      </c>
      <c r="H1128" s="97" t="s">
        <v>423</v>
      </c>
      <c r="I1128" s="94">
        <v>1</v>
      </c>
      <c r="J1128" s="93" t="s">
        <v>1030</v>
      </c>
      <c r="K1128" s="103"/>
      <c r="L1128" s="88" t="s">
        <v>1031</v>
      </c>
      <c r="M1128" s="89" t="s">
        <v>381</v>
      </c>
      <c r="N1128" s="90">
        <v>1</v>
      </c>
      <c r="O1128" s="27">
        <f>IFERROR(+VLOOKUP(M1128,D.sign_Lista_Data[[RESPONSABLE]:[SOFTWARE 
VALOR HORA]],3,FALSE),"0")</f>
        <v>20263.424518743668</v>
      </c>
      <c r="P1128" s="3">
        <f t="shared" si="40"/>
        <v>20263.424518743668</v>
      </c>
      <c r="Q1128" s="11">
        <f>IFERROR(+VLOOKUP(M1128,D.sign_Lista_Data[[RESPONSABLE]:[SOFTWARE 
VALOR HORA]],5,FALSE)*D.sign_Data[[#This Row],[TIEMPO (HORAS)]],0)</f>
        <v>4221.5467747382636</v>
      </c>
      <c r="R1128" s="11">
        <f>IFERROR(+VLOOKUP(M1128,D.sign_Lista_Data[[RESPONSABLE]:[SOFTWARE 
VALOR HORA]],8,FALSE)*D.sign_Data[[#This Row],[TIEMPO (HORAS)]],0)</f>
        <v>3410.8548871439834</v>
      </c>
      <c r="S1128" s="99"/>
      <c r="T1128" s="99"/>
      <c r="U1128" s="3">
        <f t="shared" si="41"/>
        <v>27895.826180625918</v>
      </c>
      <c r="V1128" s="100">
        <f>D.sign_Data[[#This Row],[TIEMPO (HORAS)]]*Gastos_Operativos[[#Totals],[GASTOS HORA]]</f>
        <v>27789.477072310401</v>
      </c>
      <c r="W1128" s="3">
        <f>+D.sign_Data[[#This Row],[COSTO 
DIRECTO ($COP)]]+D.sign_Data[[#This Row],[PRORRATEO GASTOS ($COP)]]</f>
        <v>55685.303252936319</v>
      </c>
      <c r="X1128" s="101">
        <v>0.05</v>
      </c>
      <c r="Y1128" s="15">
        <f>+D.sign_Data[[#This Row],[COSTOS OPERACIONALES ($COP)]]*D.sign_Data[[#This Row],[DESFASE (%)]]</f>
        <v>2784.265162646816</v>
      </c>
      <c r="Z1128" s="101">
        <v>0.2</v>
      </c>
      <c r="AA1128" s="15">
        <f>+((D.sign_Data[[#This Row],[COSTOS OPERACIONALES ($COP)]]/(100%-D.sign_Data[[#This Row],[UTILIDAD (%)]])))-D.sign_Data[[#This Row],[COSTOS OPERACIONALES ($COP)]]</f>
        <v>13921.325813234078</v>
      </c>
      <c r="AB1128" s="3">
        <f>+D.sign_Data[[#This Row],[COSTOS OPERACIONALES ($COP)]]+D.sign_Data[[#This Row],[DESFASE ($COP)]]+D.sign_Data[[#This Row],[UTILIDAD ($COP)]]</f>
        <v>72390.894228817211</v>
      </c>
      <c r="AC1128" s="101">
        <v>0.05</v>
      </c>
      <c r="AD1128" s="15">
        <f>+D.sign_Data[[#This Row],[VALOR NETO ($COP)]]/(100%-D.sign_Data[[#This Row],[MARGEN DE NEGOCIACIÓN (%)]])-D.sign_Data[[#This Row],[VALOR NETO ($COP)]]</f>
        <v>3810.0470646745962</v>
      </c>
      <c r="AE1128" s="15">
        <f>+(D.sign_Data[[#This Row],[VALOR NETO ($COP)]]+D.sign_Data[[#This Row],[NEGOCIACIÓN ($COP)]])*1%</f>
        <v>762.00941293491803</v>
      </c>
      <c r="AF1128" s="15">
        <f>+(D.sign_Data[[#This Row],[VALOR NETO ($COP)]]+D.sign_Data[[#This Row],[NEGOCIACIÓN ($COP)]])*1%</f>
        <v>762.00941293491803</v>
      </c>
      <c r="AG1128" s="3">
        <f>+D.sign_Data[[#This Row],[VALOR NETO ($COP)]]+D.sign_Data[[#This Row],[NEGOCIACIÓN ($COP)]]+D.sign_Data[[#This Row],[ICA ($COP)]]+D.sign_Data[[#This Row],[4 * 1000 ($COP)]]</f>
        <v>77724.96011936164</v>
      </c>
    </row>
    <row r="1129" spans="1:33" ht="60" hidden="1" customHeight="1" x14ac:dyDescent="0.25">
      <c r="A1129" s="14"/>
      <c r="B1129" s="87" t="s">
        <v>493</v>
      </c>
      <c r="C1129" s="182" t="s">
        <v>1025</v>
      </c>
      <c r="D1129" s="189" t="str">
        <f>VLOOKUP(D.sign_Data[[#This Row],[CÓDIGO]],Descripciones[[CÓDIGO]:[NOMBRE DE SERVICIO]],3,FALSE)</f>
        <v>D4. Comercial</v>
      </c>
      <c r="E1129" s="87" t="s">
        <v>467</v>
      </c>
      <c r="F1129" s="88" t="s">
        <v>1026</v>
      </c>
      <c r="G1129" s="88" t="s">
        <v>1027</v>
      </c>
      <c r="H1129" s="97" t="s">
        <v>423</v>
      </c>
      <c r="I1129" s="94">
        <v>1</v>
      </c>
      <c r="J1129" s="93" t="s">
        <v>1030</v>
      </c>
      <c r="K1129" s="103"/>
      <c r="L1129" s="88" t="s">
        <v>1032</v>
      </c>
      <c r="M1129" s="89" t="s">
        <v>381</v>
      </c>
      <c r="N1129" s="90">
        <v>1</v>
      </c>
      <c r="O1129" s="27">
        <f>IFERROR(+VLOOKUP(M1129,D.sign_Lista_Data[[RESPONSABLE]:[SOFTWARE 
VALOR HORA]],3,FALSE),"0")</f>
        <v>20263.424518743668</v>
      </c>
      <c r="P1129" s="3">
        <f t="shared" si="40"/>
        <v>20263.424518743668</v>
      </c>
      <c r="Q1129" s="11">
        <f>IFERROR(+VLOOKUP(M1129,D.sign_Lista_Data[[RESPONSABLE]:[SOFTWARE 
VALOR HORA]],5,FALSE)*D.sign_Data[[#This Row],[TIEMPO (HORAS)]],0)</f>
        <v>4221.5467747382636</v>
      </c>
      <c r="R1129" s="11">
        <f>IFERROR(+VLOOKUP(M1129,D.sign_Lista_Data[[RESPONSABLE]:[SOFTWARE 
VALOR HORA]],8,FALSE)*D.sign_Data[[#This Row],[TIEMPO (HORAS)]],0)</f>
        <v>3410.8548871439834</v>
      </c>
      <c r="S1129" s="99"/>
      <c r="T1129" s="99"/>
      <c r="U1129" s="3">
        <f t="shared" si="41"/>
        <v>27895.826180625918</v>
      </c>
      <c r="V1129" s="100">
        <f>D.sign_Data[[#This Row],[TIEMPO (HORAS)]]*Gastos_Operativos[[#Totals],[GASTOS HORA]]</f>
        <v>27789.477072310401</v>
      </c>
      <c r="W1129" s="3">
        <f>+D.sign_Data[[#This Row],[COSTO 
DIRECTO ($COP)]]+D.sign_Data[[#This Row],[PRORRATEO GASTOS ($COP)]]</f>
        <v>55685.303252936319</v>
      </c>
      <c r="X1129" s="101">
        <v>0.05</v>
      </c>
      <c r="Y1129" s="15">
        <f>+D.sign_Data[[#This Row],[COSTOS OPERACIONALES ($COP)]]*D.sign_Data[[#This Row],[DESFASE (%)]]</f>
        <v>2784.265162646816</v>
      </c>
      <c r="Z1129" s="101">
        <v>0.2</v>
      </c>
      <c r="AA1129" s="15">
        <f>+((D.sign_Data[[#This Row],[COSTOS OPERACIONALES ($COP)]]/(100%-D.sign_Data[[#This Row],[UTILIDAD (%)]])))-D.sign_Data[[#This Row],[COSTOS OPERACIONALES ($COP)]]</f>
        <v>13921.325813234078</v>
      </c>
      <c r="AB1129" s="3">
        <f>+D.sign_Data[[#This Row],[COSTOS OPERACIONALES ($COP)]]+D.sign_Data[[#This Row],[DESFASE ($COP)]]+D.sign_Data[[#This Row],[UTILIDAD ($COP)]]</f>
        <v>72390.894228817211</v>
      </c>
      <c r="AC1129" s="101">
        <v>0.05</v>
      </c>
      <c r="AD1129" s="15">
        <f>+D.sign_Data[[#This Row],[VALOR NETO ($COP)]]/(100%-D.sign_Data[[#This Row],[MARGEN DE NEGOCIACIÓN (%)]])-D.sign_Data[[#This Row],[VALOR NETO ($COP)]]</f>
        <v>3810.0470646745962</v>
      </c>
      <c r="AE1129" s="15">
        <f>+(D.sign_Data[[#This Row],[VALOR NETO ($COP)]]+D.sign_Data[[#This Row],[NEGOCIACIÓN ($COP)]])*1%</f>
        <v>762.00941293491803</v>
      </c>
      <c r="AF1129" s="15">
        <f>+(D.sign_Data[[#This Row],[VALOR NETO ($COP)]]+D.sign_Data[[#This Row],[NEGOCIACIÓN ($COP)]])*1%</f>
        <v>762.00941293491803</v>
      </c>
      <c r="AG1129" s="3">
        <f>+D.sign_Data[[#This Row],[VALOR NETO ($COP)]]+D.sign_Data[[#This Row],[NEGOCIACIÓN ($COP)]]+D.sign_Data[[#This Row],[ICA ($COP)]]+D.sign_Data[[#This Row],[4 * 1000 ($COP)]]</f>
        <v>77724.96011936164</v>
      </c>
    </row>
    <row r="1130" spans="1:33" ht="60" hidden="1" customHeight="1" x14ac:dyDescent="0.25">
      <c r="A1130" s="14"/>
      <c r="B1130" s="87" t="s">
        <v>493</v>
      </c>
      <c r="C1130" s="182" t="s">
        <v>1025</v>
      </c>
      <c r="D1130" s="189" t="str">
        <f>VLOOKUP(D.sign_Data[[#This Row],[CÓDIGO]],Descripciones[[CÓDIGO]:[NOMBRE DE SERVICIO]],3,FALSE)</f>
        <v>D4. Comercial</v>
      </c>
      <c r="E1130" s="87" t="s">
        <v>467</v>
      </c>
      <c r="F1130" s="88" t="s">
        <v>1026</v>
      </c>
      <c r="G1130" s="88" t="s">
        <v>1027</v>
      </c>
      <c r="H1130" s="97" t="s">
        <v>423</v>
      </c>
      <c r="I1130" s="94">
        <v>1</v>
      </c>
      <c r="J1130" s="93" t="s">
        <v>1030</v>
      </c>
      <c r="K1130" s="103"/>
      <c r="L1130" s="88" t="s">
        <v>1033</v>
      </c>
      <c r="M1130" s="89" t="s">
        <v>381</v>
      </c>
      <c r="N1130" s="90">
        <v>2</v>
      </c>
      <c r="O1130" s="27">
        <f>IFERROR(+VLOOKUP(M1130,D.sign_Lista_Data[[RESPONSABLE]:[SOFTWARE 
VALOR HORA]],3,FALSE),"0")</f>
        <v>20263.424518743668</v>
      </c>
      <c r="P1130" s="3">
        <f t="shared" si="40"/>
        <v>40526.849037487336</v>
      </c>
      <c r="Q1130" s="11">
        <f>IFERROR(+VLOOKUP(M1130,D.sign_Lista_Data[[RESPONSABLE]:[SOFTWARE 
VALOR HORA]],5,FALSE)*D.sign_Data[[#This Row],[TIEMPO (HORAS)]],0)</f>
        <v>8443.0935494765272</v>
      </c>
      <c r="R1130" s="11">
        <f>IFERROR(+VLOOKUP(M1130,D.sign_Lista_Data[[RESPONSABLE]:[SOFTWARE 
VALOR HORA]],8,FALSE)*D.sign_Data[[#This Row],[TIEMPO (HORAS)]],0)</f>
        <v>6821.7097742879669</v>
      </c>
      <c r="S1130" s="99"/>
      <c r="T1130" s="99"/>
      <c r="U1130" s="3">
        <f t="shared" si="41"/>
        <v>55791.652361251836</v>
      </c>
      <c r="V1130" s="100">
        <f>D.sign_Data[[#This Row],[TIEMPO (HORAS)]]*Gastos_Operativos[[#Totals],[GASTOS HORA]]</f>
        <v>55578.954144620802</v>
      </c>
      <c r="W1130" s="3">
        <f>+D.sign_Data[[#This Row],[COSTO 
DIRECTO ($COP)]]+D.sign_Data[[#This Row],[PRORRATEO GASTOS ($COP)]]</f>
        <v>111370.60650587264</v>
      </c>
      <c r="X1130" s="101">
        <v>0.05</v>
      </c>
      <c r="Y1130" s="15">
        <f>+D.sign_Data[[#This Row],[COSTOS OPERACIONALES ($COP)]]*D.sign_Data[[#This Row],[DESFASE (%)]]</f>
        <v>5568.5303252936319</v>
      </c>
      <c r="Z1130" s="101">
        <v>0.2</v>
      </c>
      <c r="AA1130" s="15">
        <f>+((D.sign_Data[[#This Row],[COSTOS OPERACIONALES ($COP)]]/(100%-D.sign_Data[[#This Row],[UTILIDAD (%)]])))-D.sign_Data[[#This Row],[COSTOS OPERACIONALES ($COP)]]</f>
        <v>27842.651626468156</v>
      </c>
      <c r="AB1130" s="3">
        <f>+D.sign_Data[[#This Row],[COSTOS OPERACIONALES ($COP)]]+D.sign_Data[[#This Row],[DESFASE ($COP)]]+D.sign_Data[[#This Row],[UTILIDAD ($COP)]]</f>
        <v>144781.78845763442</v>
      </c>
      <c r="AC1130" s="101">
        <v>0.05</v>
      </c>
      <c r="AD1130" s="15">
        <f>+D.sign_Data[[#This Row],[VALOR NETO ($COP)]]/(100%-D.sign_Data[[#This Row],[MARGEN DE NEGOCIACIÓN (%)]])-D.sign_Data[[#This Row],[VALOR NETO ($COP)]]</f>
        <v>7620.0941293491924</v>
      </c>
      <c r="AE1130" s="15">
        <f>+(D.sign_Data[[#This Row],[VALOR NETO ($COP)]]+D.sign_Data[[#This Row],[NEGOCIACIÓN ($COP)]])*1%</f>
        <v>1524.0188258698361</v>
      </c>
      <c r="AF1130" s="15">
        <f>+(D.sign_Data[[#This Row],[VALOR NETO ($COP)]]+D.sign_Data[[#This Row],[NEGOCIACIÓN ($COP)]])*1%</f>
        <v>1524.0188258698361</v>
      </c>
      <c r="AG1130" s="3">
        <f>+D.sign_Data[[#This Row],[VALOR NETO ($COP)]]+D.sign_Data[[#This Row],[NEGOCIACIÓN ($COP)]]+D.sign_Data[[#This Row],[ICA ($COP)]]+D.sign_Data[[#This Row],[4 * 1000 ($COP)]]</f>
        <v>155449.92023872328</v>
      </c>
    </row>
    <row r="1131" spans="1:33" ht="60" hidden="1" customHeight="1" x14ac:dyDescent="0.25">
      <c r="A1131" s="14"/>
      <c r="B1131" s="87" t="s">
        <v>493</v>
      </c>
      <c r="C1131" s="182" t="s">
        <v>1025</v>
      </c>
      <c r="D1131" s="189" t="str">
        <f>VLOOKUP(D.sign_Data[[#This Row],[CÓDIGO]],Descripciones[[CÓDIGO]:[NOMBRE DE SERVICIO]],3,FALSE)</f>
        <v>D4. Comercial</v>
      </c>
      <c r="E1131" s="87" t="s">
        <v>467</v>
      </c>
      <c r="F1131" s="88" t="s">
        <v>1026</v>
      </c>
      <c r="G1131" s="88" t="s">
        <v>1027</v>
      </c>
      <c r="H1131" s="97" t="s">
        <v>423</v>
      </c>
      <c r="I1131" s="94">
        <v>1</v>
      </c>
      <c r="J1131" s="88" t="s">
        <v>1034</v>
      </c>
      <c r="K1131" s="102"/>
      <c r="L1131" s="88" t="s">
        <v>1035</v>
      </c>
      <c r="M1131" s="89" t="s">
        <v>381</v>
      </c>
      <c r="N1131" s="90">
        <v>1</v>
      </c>
      <c r="O1131" s="27">
        <f>IFERROR(+VLOOKUP(M1131,D.sign_Lista_Data[[RESPONSABLE]:[SOFTWARE 
VALOR HORA]],3,FALSE),"0")</f>
        <v>20263.424518743668</v>
      </c>
      <c r="P1131" s="3">
        <f t="shared" si="40"/>
        <v>20263.424518743668</v>
      </c>
      <c r="Q1131" s="11">
        <f>IFERROR(+VLOOKUP(M1131,D.sign_Lista_Data[[RESPONSABLE]:[SOFTWARE 
VALOR HORA]],5,FALSE)*D.sign_Data[[#This Row],[TIEMPO (HORAS)]],0)</f>
        <v>4221.5467747382636</v>
      </c>
      <c r="R1131" s="11">
        <f>IFERROR(+VLOOKUP(M1131,D.sign_Lista_Data[[RESPONSABLE]:[SOFTWARE 
VALOR HORA]],8,FALSE)*D.sign_Data[[#This Row],[TIEMPO (HORAS)]],0)</f>
        <v>3410.8548871439834</v>
      </c>
      <c r="S1131" s="99"/>
      <c r="T1131" s="99"/>
      <c r="U1131" s="3">
        <f t="shared" si="41"/>
        <v>27895.826180625918</v>
      </c>
      <c r="V1131" s="100">
        <f>D.sign_Data[[#This Row],[TIEMPO (HORAS)]]*Gastos_Operativos[[#Totals],[GASTOS HORA]]</f>
        <v>27789.477072310401</v>
      </c>
      <c r="W1131" s="3">
        <f>+D.sign_Data[[#This Row],[COSTO 
DIRECTO ($COP)]]+D.sign_Data[[#This Row],[PRORRATEO GASTOS ($COP)]]</f>
        <v>55685.303252936319</v>
      </c>
      <c r="X1131" s="101">
        <v>0.05</v>
      </c>
      <c r="Y1131" s="15">
        <f>+D.sign_Data[[#This Row],[COSTOS OPERACIONALES ($COP)]]*D.sign_Data[[#This Row],[DESFASE (%)]]</f>
        <v>2784.265162646816</v>
      </c>
      <c r="Z1131" s="101">
        <v>0.2</v>
      </c>
      <c r="AA1131" s="15">
        <f>+((D.sign_Data[[#This Row],[COSTOS OPERACIONALES ($COP)]]/(100%-D.sign_Data[[#This Row],[UTILIDAD (%)]])))-D.sign_Data[[#This Row],[COSTOS OPERACIONALES ($COP)]]</f>
        <v>13921.325813234078</v>
      </c>
      <c r="AB1131" s="3">
        <f>+D.sign_Data[[#This Row],[COSTOS OPERACIONALES ($COP)]]+D.sign_Data[[#This Row],[DESFASE ($COP)]]+D.sign_Data[[#This Row],[UTILIDAD ($COP)]]</f>
        <v>72390.894228817211</v>
      </c>
      <c r="AC1131" s="101">
        <v>0.05</v>
      </c>
      <c r="AD1131" s="15">
        <f>+D.sign_Data[[#This Row],[VALOR NETO ($COP)]]/(100%-D.sign_Data[[#This Row],[MARGEN DE NEGOCIACIÓN (%)]])-D.sign_Data[[#This Row],[VALOR NETO ($COP)]]</f>
        <v>3810.0470646745962</v>
      </c>
      <c r="AE1131" s="15">
        <f>+(D.sign_Data[[#This Row],[VALOR NETO ($COP)]]+D.sign_Data[[#This Row],[NEGOCIACIÓN ($COP)]])*1%</f>
        <v>762.00941293491803</v>
      </c>
      <c r="AF1131" s="15">
        <f>+(D.sign_Data[[#This Row],[VALOR NETO ($COP)]]+D.sign_Data[[#This Row],[NEGOCIACIÓN ($COP)]])*1%</f>
        <v>762.00941293491803</v>
      </c>
      <c r="AG1131" s="3">
        <f>+D.sign_Data[[#This Row],[VALOR NETO ($COP)]]+D.sign_Data[[#This Row],[NEGOCIACIÓN ($COP)]]+D.sign_Data[[#This Row],[ICA ($COP)]]+D.sign_Data[[#This Row],[4 * 1000 ($COP)]]</f>
        <v>77724.96011936164</v>
      </c>
    </row>
    <row r="1132" spans="1:33" ht="60" hidden="1" customHeight="1" x14ac:dyDescent="0.25">
      <c r="A1132" s="14"/>
      <c r="B1132" s="87" t="s">
        <v>493</v>
      </c>
      <c r="C1132" s="182" t="s">
        <v>1025</v>
      </c>
      <c r="D1132" s="189" t="str">
        <f>VLOOKUP(D.sign_Data[[#This Row],[CÓDIGO]],Descripciones[[CÓDIGO]:[NOMBRE DE SERVICIO]],3,FALSE)</f>
        <v>D4. Comercial</v>
      </c>
      <c r="E1132" s="87" t="s">
        <v>467</v>
      </c>
      <c r="F1132" s="88" t="s">
        <v>1026</v>
      </c>
      <c r="G1132" s="88" t="s">
        <v>1027</v>
      </c>
      <c r="H1132" s="97" t="s">
        <v>423</v>
      </c>
      <c r="I1132" s="94">
        <v>1</v>
      </c>
      <c r="J1132" s="88" t="s">
        <v>1034</v>
      </c>
      <c r="K1132" s="102"/>
      <c r="L1132" s="88" t="s">
        <v>1036</v>
      </c>
      <c r="M1132" s="89" t="s">
        <v>381</v>
      </c>
      <c r="N1132" s="90">
        <v>1</v>
      </c>
      <c r="O1132" s="27">
        <f>IFERROR(+VLOOKUP(M1132,D.sign_Lista_Data[[RESPONSABLE]:[SOFTWARE 
VALOR HORA]],3,FALSE),"0")</f>
        <v>20263.424518743668</v>
      </c>
      <c r="P1132" s="3">
        <f t="shared" si="40"/>
        <v>20263.424518743668</v>
      </c>
      <c r="Q1132" s="11">
        <f>IFERROR(+VLOOKUP(M1132,D.sign_Lista_Data[[RESPONSABLE]:[SOFTWARE 
VALOR HORA]],5,FALSE)*D.sign_Data[[#This Row],[TIEMPO (HORAS)]],0)</f>
        <v>4221.5467747382636</v>
      </c>
      <c r="R1132" s="11">
        <f>IFERROR(+VLOOKUP(M1132,D.sign_Lista_Data[[RESPONSABLE]:[SOFTWARE 
VALOR HORA]],8,FALSE)*D.sign_Data[[#This Row],[TIEMPO (HORAS)]],0)</f>
        <v>3410.8548871439834</v>
      </c>
      <c r="S1132" s="99"/>
      <c r="T1132" s="99"/>
      <c r="U1132" s="3">
        <f t="shared" si="41"/>
        <v>27895.826180625918</v>
      </c>
      <c r="V1132" s="100">
        <f>D.sign_Data[[#This Row],[TIEMPO (HORAS)]]*Gastos_Operativos[[#Totals],[GASTOS HORA]]</f>
        <v>27789.477072310401</v>
      </c>
      <c r="W1132" s="3">
        <f>+D.sign_Data[[#This Row],[COSTO 
DIRECTO ($COP)]]+D.sign_Data[[#This Row],[PRORRATEO GASTOS ($COP)]]</f>
        <v>55685.303252936319</v>
      </c>
      <c r="X1132" s="101">
        <v>0.05</v>
      </c>
      <c r="Y1132" s="15">
        <f>+D.sign_Data[[#This Row],[COSTOS OPERACIONALES ($COP)]]*D.sign_Data[[#This Row],[DESFASE (%)]]</f>
        <v>2784.265162646816</v>
      </c>
      <c r="Z1132" s="101">
        <v>0.2</v>
      </c>
      <c r="AA1132" s="15">
        <f>+((D.sign_Data[[#This Row],[COSTOS OPERACIONALES ($COP)]]/(100%-D.sign_Data[[#This Row],[UTILIDAD (%)]])))-D.sign_Data[[#This Row],[COSTOS OPERACIONALES ($COP)]]</f>
        <v>13921.325813234078</v>
      </c>
      <c r="AB1132" s="3">
        <f>+D.sign_Data[[#This Row],[COSTOS OPERACIONALES ($COP)]]+D.sign_Data[[#This Row],[DESFASE ($COP)]]+D.sign_Data[[#This Row],[UTILIDAD ($COP)]]</f>
        <v>72390.894228817211</v>
      </c>
      <c r="AC1132" s="101">
        <v>0.05</v>
      </c>
      <c r="AD1132" s="15">
        <f>+D.sign_Data[[#This Row],[VALOR NETO ($COP)]]/(100%-D.sign_Data[[#This Row],[MARGEN DE NEGOCIACIÓN (%)]])-D.sign_Data[[#This Row],[VALOR NETO ($COP)]]</f>
        <v>3810.0470646745962</v>
      </c>
      <c r="AE1132" s="15">
        <f>+(D.sign_Data[[#This Row],[VALOR NETO ($COP)]]+D.sign_Data[[#This Row],[NEGOCIACIÓN ($COP)]])*1%</f>
        <v>762.00941293491803</v>
      </c>
      <c r="AF1132" s="15">
        <f>+(D.sign_Data[[#This Row],[VALOR NETO ($COP)]]+D.sign_Data[[#This Row],[NEGOCIACIÓN ($COP)]])*1%</f>
        <v>762.00941293491803</v>
      </c>
      <c r="AG1132" s="3">
        <f>+D.sign_Data[[#This Row],[VALOR NETO ($COP)]]+D.sign_Data[[#This Row],[NEGOCIACIÓN ($COP)]]+D.sign_Data[[#This Row],[ICA ($COP)]]+D.sign_Data[[#This Row],[4 * 1000 ($COP)]]</f>
        <v>77724.96011936164</v>
      </c>
    </row>
    <row r="1133" spans="1:33" ht="60" hidden="1" customHeight="1" x14ac:dyDescent="0.25">
      <c r="A1133" s="14"/>
      <c r="B1133" s="87" t="s">
        <v>493</v>
      </c>
      <c r="C1133" s="182" t="s">
        <v>1025</v>
      </c>
      <c r="D1133" s="189" t="str">
        <f>VLOOKUP(D.sign_Data[[#This Row],[CÓDIGO]],Descripciones[[CÓDIGO]:[NOMBRE DE SERVICIO]],3,FALSE)</f>
        <v>D4. Comercial</v>
      </c>
      <c r="E1133" s="87" t="s">
        <v>467</v>
      </c>
      <c r="F1133" s="88" t="s">
        <v>1026</v>
      </c>
      <c r="G1133" s="88" t="s">
        <v>1027</v>
      </c>
      <c r="H1133" s="97" t="s">
        <v>423</v>
      </c>
      <c r="I1133" s="94">
        <v>1</v>
      </c>
      <c r="J1133" s="88" t="s">
        <v>1037</v>
      </c>
      <c r="K1133" s="102"/>
      <c r="L1133" s="88" t="s">
        <v>1038</v>
      </c>
      <c r="M1133" s="89" t="s">
        <v>381</v>
      </c>
      <c r="N1133" s="90">
        <v>5</v>
      </c>
      <c r="O1133" s="27">
        <f>IFERROR(+VLOOKUP(M1133,D.sign_Lista_Data[[RESPONSABLE]:[SOFTWARE 
VALOR HORA]],3,FALSE),"0")</f>
        <v>20263.424518743668</v>
      </c>
      <c r="P1133" s="3">
        <f t="shared" si="40"/>
        <v>101317.12259371835</v>
      </c>
      <c r="Q1133" s="11">
        <f>IFERROR(+VLOOKUP(M1133,D.sign_Lista_Data[[RESPONSABLE]:[SOFTWARE 
VALOR HORA]],5,FALSE)*D.sign_Data[[#This Row],[TIEMPO (HORAS)]],0)</f>
        <v>21107.733873691319</v>
      </c>
      <c r="R1133" s="11">
        <f>IFERROR(+VLOOKUP(M1133,D.sign_Lista_Data[[RESPONSABLE]:[SOFTWARE 
VALOR HORA]],8,FALSE)*D.sign_Data[[#This Row],[TIEMPO (HORAS)]],0)</f>
        <v>17054.274435719919</v>
      </c>
      <c r="S1133" s="99"/>
      <c r="T1133" s="99"/>
      <c r="U1133" s="3">
        <f t="shared" si="41"/>
        <v>139479.13090312958</v>
      </c>
      <c r="V1133" s="100">
        <f>D.sign_Data[[#This Row],[TIEMPO (HORAS)]]*Gastos_Operativos[[#Totals],[GASTOS HORA]]</f>
        <v>138947.38536155201</v>
      </c>
      <c r="W1133" s="3">
        <f>+D.sign_Data[[#This Row],[COSTO 
DIRECTO ($COP)]]+D.sign_Data[[#This Row],[PRORRATEO GASTOS ($COP)]]</f>
        <v>278426.51626468159</v>
      </c>
      <c r="X1133" s="101">
        <v>0.05</v>
      </c>
      <c r="Y1133" s="15">
        <f>+D.sign_Data[[#This Row],[COSTOS OPERACIONALES ($COP)]]*D.sign_Data[[#This Row],[DESFASE (%)]]</f>
        <v>13921.32581323408</v>
      </c>
      <c r="Z1133" s="101">
        <v>0.2</v>
      </c>
      <c r="AA1133" s="15">
        <f>+((D.sign_Data[[#This Row],[COSTOS OPERACIONALES ($COP)]]/(100%-D.sign_Data[[#This Row],[UTILIDAD (%)]])))-D.sign_Data[[#This Row],[COSTOS OPERACIONALES ($COP)]]</f>
        <v>69606.629066170368</v>
      </c>
      <c r="AB1133" s="3">
        <f>+D.sign_Data[[#This Row],[COSTOS OPERACIONALES ($COP)]]+D.sign_Data[[#This Row],[DESFASE ($COP)]]+D.sign_Data[[#This Row],[UTILIDAD ($COP)]]</f>
        <v>361954.47114408604</v>
      </c>
      <c r="AC1133" s="101">
        <v>0.05</v>
      </c>
      <c r="AD1133" s="15">
        <f>+D.sign_Data[[#This Row],[VALOR NETO ($COP)]]/(100%-D.sign_Data[[#This Row],[MARGEN DE NEGOCIACIÓN (%)]])-D.sign_Data[[#This Row],[VALOR NETO ($COP)]]</f>
        <v>19050.235323372995</v>
      </c>
      <c r="AE1133" s="15">
        <f>+(D.sign_Data[[#This Row],[VALOR NETO ($COP)]]+D.sign_Data[[#This Row],[NEGOCIACIÓN ($COP)]])*1%</f>
        <v>3810.0470646745903</v>
      </c>
      <c r="AF1133" s="15">
        <f>+(D.sign_Data[[#This Row],[VALOR NETO ($COP)]]+D.sign_Data[[#This Row],[NEGOCIACIÓN ($COP)]])*1%</f>
        <v>3810.0470646745903</v>
      </c>
      <c r="AG1133" s="3">
        <f>+D.sign_Data[[#This Row],[VALOR NETO ($COP)]]+D.sign_Data[[#This Row],[NEGOCIACIÓN ($COP)]]+D.sign_Data[[#This Row],[ICA ($COP)]]+D.sign_Data[[#This Row],[4 * 1000 ($COP)]]</f>
        <v>388624.80059680826</v>
      </c>
    </row>
    <row r="1134" spans="1:33" ht="60" hidden="1" customHeight="1" x14ac:dyDescent="0.25">
      <c r="A1134" s="14"/>
      <c r="B1134" s="87" t="s">
        <v>493</v>
      </c>
      <c r="C1134" s="182" t="s">
        <v>1025</v>
      </c>
      <c r="D1134" s="189" t="str">
        <f>VLOOKUP(D.sign_Data[[#This Row],[CÓDIGO]],Descripciones[[CÓDIGO]:[NOMBRE DE SERVICIO]],3,FALSE)</f>
        <v>D4. Comercial</v>
      </c>
      <c r="E1134" s="87" t="s">
        <v>467</v>
      </c>
      <c r="F1134" s="88" t="s">
        <v>1026</v>
      </c>
      <c r="G1134" s="88" t="s">
        <v>1027</v>
      </c>
      <c r="H1134" s="97" t="s">
        <v>423</v>
      </c>
      <c r="I1134" s="89">
        <v>1</v>
      </c>
      <c r="J1134" s="93" t="s">
        <v>1028</v>
      </c>
      <c r="K1134" s="102"/>
      <c r="L1134" s="88" t="s">
        <v>1039</v>
      </c>
      <c r="M1134" s="89" t="s">
        <v>381</v>
      </c>
      <c r="N1134" s="90">
        <v>9.6</v>
      </c>
      <c r="O1134" s="27">
        <f>IFERROR(+VLOOKUP(M1134,D.sign_Lista_Data[[RESPONSABLE]:[SOFTWARE 
VALOR HORA]],3,FALSE),"0")</f>
        <v>20263.424518743668</v>
      </c>
      <c r="P1134" s="3">
        <f t="shared" ref="P1134:P1197" si="42">+O1134*N1134</f>
        <v>194528.87537993921</v>
      </c>
      <c r="Q1134" s="11">
        <f>IFERROR(+VLOOKUP(M1134,D.sign_Lista_Data[[RESPONSABLE]:[SOFTWARE 
VALOR HORA]],5,FALSE)*D.sign_Data[[#This Row],[TIEMPO (HORAS)]],0)</f>
        <v>40526.849037487329</v>
      </c>
      <c r="R1134" s="11">
        <f>IFERROR(+VLOOKUP(M1134,D.sign_Lista_Data[[RESPONSABLE]:[SOFTWARE 
VALOR HORA]],8,FALSE)*D.sign_Data[[#This Row],[TIEMPO (HORAS)]],0)</f>
        <v>32744.20691658224</v>
      </c>
      <c r="S1134" s="99"/>
      <c r="T1134" s="99"/>
      <c r="U1134" s="3">
        <f t="shared" ref="U1134:U1197" si="43">SUM(P1134:T1134)</f>
        <v>267799.93133400875</v>
      </c>
      <c r="V1134" s="100">
        <f>D.sign_Data[[#This Row],[TIEMPO (HORAS)]]*Gastos_Operativos[[#Totals],[GASTOS HORA]]</f>
        <v>266778.97989417985</v>
      </c>
      <c r="W1134" s="3">
        <f>+D.sign_Data[[#This Row],[COSTO 
DIRECTO ($COP)]]+D.sign_Data[[#This Row],[PRORRATEO GASTOS ($COP)]]</f>
        <v>534578.91122818855</v>
      </c>
      <c r="X1134" s="101">
        <v>0.05</v>
      </c>
      <c r="Y1134" s="15">
        <f>+D.sign_Data[[#This Row],[COSTOS OPERACIONALES ($COP)]]*D.sign_Data[[#This Row],[DESFASE (%)]]</f>
        <v>26728.94556140943</v>
      </c>
      <c r="Z1134" s="101">
        <v>0.2</v>
      </c>
      <c r="AA1134" s="15">
        <f>+((D.sign_Data[[#This Row],[COSTOS OPERACIONALES ($COP)]]/(100%-D.sign_Data[[#This Row],[UTILIDAD (%)]])))-D.sign_Data[[#This Row],[COSTOS OPERACIONALES ($COP)]]</f>
        <v>133644.72780704708</v>
      </c>
      <c r="AB1134" s="3">
        <f>+D.sign_Data[[#This Row],[COSTOS OPERACIONALES ($COP)]]+D.sign_Data[[#This Row],[DESFASE ($COP)]]+D.sign_Data[[#This Row],[UTILIDAD ($COP)]]</f>
        <v>694952.58459664509</v>
      </c>
      <c r="AC1134" s="101">
        <v>0.05</v>
      </c>
      <c r="AD1134" s="15">
        <f>+D.sign_Data[[#This Row],[VALOR NETO ($COP)]]/(100%-D.sign_Data[[#This Row],[MARGEN DE NEGOCIACIÓN (%)]])-D.sign_Data[[#This Row],[VALOR NETO ($COP)]]</f>
        <v>36576.4518208761</v>
      </c>
      <c r="AE1134" s="15">
        <f>+(D.sign_Data[[#This Row],[VALOR NETO ($COP)]]+D.sign_Data[[#This Row],[NEGOCIACIÓN ($COP)]])*1%</f>
        <v>7315.2903641752118</v>
      </c>
      <c r="AF1134" s="15">
        <f>+(D.sign_Data[[#This Row],[VALOR NETO ($COP)]]+D.sign_Data[[#This Row],[NEGOCIACIÓN ($COP)]])*1%</f>
        <v>7315.2903641752118</v>
      </c>
      <c r="AG1134" s="3">
        <f>+D.sign_Data[[#This Row],[VALOR NETO ($COP)]]+D.sign_Data[[#This Row],[NEGOCIACIÓN ($COP)]]+D.sign_Data[[#This Row],[ICA ($COP)]]+D.sign_Data[[#This Row],[4 * 1000 ($COP)]]</f>
        <v>746159.61714587163</v>
      </c>
    </row>
    <row r="1135" spans="1:33" ht="60" hidden="1" customHeight="1" x14ac:dyDescent="0.25">
      <c r="A1135" s="14"/>
      <c r="B1135" s="87" t="s">
        <v>493</v>
      </c>
      <c r="C1135" s="182" t="s">
        <v>1025</v>
      </c>
      <c r="D1135" s="189" t="str">
        <f>VLOOKUP(D.sign_Data[[#This Row],[CÓDIGO]],Descripciones[[CÓDIGO]:[NOMBRE DE SERVICIO]],3,FALSE)</f>
        <v>D4. Comercial</v>
      </c>
      <c r="E1135" s="87" t="s">
        <v>467</v>
      </c>
      <c r="F1135" s="88" t="s">
        <v>1040</v>
      </c>
      <c r="G1135" s="88" t="s">
        <v>1041</v>
      </c>
      <c r="H1135" s="97" t="s">
        <v>423</v>
      </c>
      <c r="I1135" s="89">
        <v>1</v>
      </c>
      <c r="J1135" s="88" t="s">
        <v>1042</v>
      </c>
      <c r="K1135" s="102"/>
      <c r="L1135" s="88" t="s">
        <v>1043</v>
      </c>
      <c r="M1135" s="89" t="s">
        <v>381</v>
      </c>
      <c r="N1135" s="90">
        <v>18.8</v>
      </c>
      <c r="O1135" s="27">
        <f>IFERROR(+VLOOKUP(M1135,D.sign_Lista_Data[[RESPONSABLE]:[SOFTWARE 
VALOR HORA]],3,FALSE),"0")</f>
        <v>20263.424518743668</v>
      </c>
      <c r="P1135" s="3">
        <f t="shared" si="42"/>
        <v>380952.38095238095</v>
      </c>
      <c r="Q1135" s="11">
        <f>IFERROR(+VLOOKUP(M1135,D.sign_Lista_Data[[RESPONSABLE]:[SOFTWARE 
VALOR HORA]],5,FALSE)*D.sign_Data[[#This Row],[TIEMPO (HORAS)]],0)</f>
        <v>79365.079365079364</v>
      </c>
      <c r="R1135" s="11">
        <f>IFERROR(+VLOOKUP(M1135,D.sign_Lista_Data[[RESPONSABLE]:[SOFTWARE 
VALOR HORA]],8,FALSE)*D.sign_Data[[#This Row],[TIEMPO (HORAS)]],0)</f>
        <v>64124.071878306888</v>
      </c>
      <c r="S1135" s="99"/>
      <c r="T1135" s="99"/>
      <c r="U1135" s="3">
        <f t="shared" si="43"/>
        <v>524441.53219576715</v>
      </c>
      <c r="V1135" s="100">
        <f>D.sign_Data[[#This Row],[TIEMPO (HORAS)]]*Gastos_Operativos[[#Totals],[GASTOS HORA]]</f>
        <v>522442.16895943554</v>
      </c>
      <c r="W1135" s="3">
        <f>+D.sign_Data[[#This Row],[COSTO 
DIRECTO ($COP)]]+D.sign_Data[[#This Row],[PRORRATEO GASTOS ($COP)]]</f>
        <v>1046883.7011552027</v>
      </c>
      <c r="X1135" s="101">
        <v>0.05</v>
      </c>
      <c r="Y1135" s="15">
        <f>+D.sign_Data[[#This Row],[COSTOS OPERACIONALES ($COP)]]*D.sign_Data[[#This Row],[DESFASE (%)]]</f>
        <v>52344.185057760136</v>
      </c>
      <c r="Z1135" s="101">
        <v>0.2</v>
      </c>
      <c r="AA1135" s="15">
        <f>+((D.sign_Data[[#This Row],[COSTOS OPERACIONALES ($COP)]]/(100%-D.sign_Data[[#This Row],[UTILIDAD (%)]])))-D.sign_Data[[#This Row],[COSTOS OPERACIONALES ($COP)]]</f>
        <v>261720.92528880062</v>
      </c>
      <c r="AB1135" s="3">
        <f>+D.sign_Data[[#This Row],[COSTOS OPERACIONALES ($COP)]]+D.sign_Data[[#This Row],[DESFASE ($COP)]]+D.sign_Data[[#This Row],[UTILIDAD ($COP)]]</f>
        <v>1360948.8115017635</v>
      </c>
      <c r="AC1135" s="101">
        <v>0.05</v>
      </c>
      <c r="AD1135" s="15">
        <f>+D.sign_Data[[#This Row],[VALOR NETO ($COP)]]/(100%-D.sign_Data[[#This Row],[MARGEN DE NEGOCIACIÓN (%)]])-D.sign_Data[[#This Row],[VALOR NETO ($COP)]]</f>
        <v>71628.884815882426</v>
      </c>
      <c r="AE1135" s="15">
        <f>+(D.sign_Data[[#This Row],[VALOR NETO ($COP)]]+D.sign_Data[[#This Row],[NEGOCIACIÓN ($COP)]])*1%</f>
        <v>14325.77696317646</v>
      </c>
      <c r="AF1135" s="15">
        <f>+(D.sign_Data[[#This Row],[VALOR NETO ($COP)]]+D.sign_Data[[#This Row],[NEGOCIACIÓN ($COP)]])*1%</f>
        <v>14325.77696317646</v>
      </c>
      <c r="AG1135" s="3">
        <f>+D.sign_Data[[#This Row],[VALOR NETO ($COP)]]+D.sign_Data[[#This Row],[NEGOCIACIÓN ($COP)]]+D.sign_Data[[#This Row],[ICA ($COP)]]+D.sign_Data[[#This Row],[4 * 1000 ($COP)]]</f>
        <v>1461229.2502439988</v>
      </c>
    </row>
    <row r="1136" spans="1:33" ht="60" hidden="1" customHeight="1" x14ac:dyDescent="0.25">
      <c r="A1136" s="14"/>
      <c r="B1136" s="87" t="s">
        <v>493</v>
      </c>
      <c r="C1136" s="182" t="s">
        <v>1025</v>
      </c>
      <c r="D1136" s="189" t="str">
        <f>VLOOKUP(D.sign_Data[[#This Row],[CÓDIGO]],Descripciones[[CÓDIGO]:[NOMBRE DE SERVICIO]],3,FALSE)</f>
        <v>D4. Comercial</v>
      </c>
      <c r="E1136" s="87" t="s">
        <v>467</v>
      </c>
      <c r="F1136" s="88" t="s">
        <v>1026</v>
      </c>
      <c r="G1136" s="88" t="s">
        <v>1027</v>
      </c>
      <c r="H1136" s="97" t="s">
        <v>423</v>
      </c>
      <c r="I1136" s="89">
        <v>1</v>
      </c>
      <c r="J1136" s="88" t="s">
        <v>1044</v>
      </c>
      <c r="K1136" s="102"/>
      <c r="L1136" s="88" t="s">
        <v>1045</v>
      </c>
      <c r="M1136" s="89" t="s">
        <v>381</v>
      </c>
      <c r="N1136" s="90">
        <v>9.4</v>
      </c>
      <c r="O1136" s="27">
        <f>IFERROR(+VLOOKUP(M1136,D.sign_Lista_Data[[RESPONSABLE]:[SOFTWARE 
VALOR HORA]],3,FALSE),"0")</f>
        <v>20263.424518743668</v>
      </c>
      <c r="P1136" s="3">
        <f t="shared" si="42"/>
        <v>190476.19047619047</v>
      </c>
      <c r="Q1136" s="11">
        <f>IFERROR(+VLOOKUP(M1136,D.sign_Lista_Data[[RESPONSABLE]:[SOFTWARE 
VALOR HORA]],5,FALSE)*D.sign_Data[[#This Row],[TIEMPO (HORAS)]],0)</f>
        <v>39682.539682539682</v>
      </c>
      <c r="R1136" s="11">
        <f>IFERROR(+VLOOKUP(M1136,D.sign_Lista_Data[[RESPONSABLE]:[SOFTWARE 
VALOR HORA]],8,FALSE)*D.sign_Data[[#This Row],[TIEMPO (HORAS)]],0)</f>
        <v>32062.035939153444</v>
      </c>
      <c r="S1136" s="99"/>
      <c r="T1136" s="99"/>
      <c r="U1136" s="3">
        <f t="shared" si="43"/>
        <v>262220.76609788358</v>
      </c>
      <c r="V1136" s="100">
        <f>D.sign_Data[[#This Row],[TIEMPO (HORAS)]]*Gastos_Operativos[[#Totals],[GASTOS HORA]]</f>
        <v>261221.08447971777</v>
      </c>
      <c r="W1136" s="3">
        <f>+D.sign_Data[[#This Row],[COSTO 
DIRECTO ($COP)]]+D.sign_Data[[#This Row],[PRORRATEO GASTOS ($COP)]]</f>
        <v>523441.85057760135</v>
      </c>
      <c r="X1136" s="101">
        <v>0.05</v>
      </c>
      <c r="Y1136" s="15">
        <f>+D.sign_Data[[#This Row],[COSTOS OPERACIONALES ($COP)]]*D.sign_Data[[#This Row],[DESFASE (%)]]</f>
        <v>26172.092528880068</v>
      </c>
      <c r="Z1136" s="101">
        <v>0.2</v>
      </c>
      <c r="AA1136" s="15">
        <f>+((D.sign_Data[[#This Row],[COSTOS OPERACIONALES ($COP)]]/(100%-D.sign_Data[[#This Row],[UTILIDAD (%)]])))-D.sign_Data[[#This Row],[COSTOS OPERACIONALES ($COP)]]</f>
        <v>130860.46264440031</v>
      </c>
      <c r="AB1136" s="3">
        <f>+D.sign_Data[[#This Row],[COSTOS OPERACIONALES ($COP)]]+D.sign_Data[[#This Row],[DESFASE ($COP)]]+D.sign_Data[[#This Row],[UTILIDAD ($COP)]]</f>
        <v>680474.40575088176</v>
      </c>
      <c r="AC1136" s="101">
        <v>0.05</v>
      </c>
      <c r="AD1136" s="15">
        <f>+D.sign_Data[[#This Row],[VALOR NETO ($COP)]]/(100%-D.sign_Data[[#This Row],[MARGEN DE NEGOCIACIÓN (%)]])-D.sign_Data[[#This Row],[VALOR NETO ($COP)]]</f>
        <v>35814.442407941213</v>
      </c>
      <c r="AE1136" s="15">
        <f>+(D.sign_Data[[#This Row],[VALOR NETO ($COP)]]+D.sign_Data[[#This Row],[NEGOCIACIÓN ($COP)]])*1%</f>
        <v>7162.8884815882302</v>
      </c>
      <c r="AF1136" s="15">
        <f>+(D.sign_Data[[#This Row],[VALOR NETO ($COP)]]+D.sign_Data[[#This Row],[NEGOCIACIÓN ($COP)]])*1%</f>
        <v>7162.8884815882302</v>
      </c>
      <c r="AG1136" s="3">
        <f>+D.sign_Data[[#This Row],[VALOR NETO ($COP)]]+D.sign_Data[[#This Row],[NEGOCIACIÓN ($COP)]]+D.sign_Data[[#This Row],[ICA ($COP)]]+D.sign_Data[[#This Row],[4 * 1000 ($COP)]]</f>
        <v>730614.62512199942</v>
      </c>
    </row>
    <row r="1137" spans="1:33" ht="60" hidden="1" customHeight="1" x14ac:dyDescent="0.25">
      <c r="A1137" s="14"/>
      <c r="B1137" s="87" t="s">
        <v>418</v>
      </c>
      <c r="C1137" s="182" t="s">
        <v>385</v>
      </c>
      <c r="D1137" s="189" t="str">
        <f>VLOOKUP(D.sign_Data[[#This Row],[CÓDIGO]],Descripciones[[CÓDIGO]:[NOMBRE DE SERVICIO]],3,FALSE)</f>
        <v>D0. Proyecto</v>
      </c>
      <c r="E1137" s="87" t="s">
        <v>1046</v>
      </c>
      <c r="F1137" s="88" t="s">
        <v>390</v>
      </c>
      <c r="G1137" s="88" t="s">
        <v>391</v>
      </c>
      <c r="H1137" s="87" t="s">
        <v>423</v>
      </c>
      <c r="I1137" s="89">
        <v>1</v>
      </c>
      <c r="J1137" s="88" t="s">
        <v>392</v>
      </c>
      <c r="K1137" s="153" t="s">
        <v>1047</v>
      </c>
      <c r="L1137" s="88" t="s">
        <v>396</v>
      </c>
      <c r="M1137" s="89" t="s">
        <v>384</v>
      </c>
      <c r="N1137" s="90">
        <v>0.1</v>
      </c>
      <c r="O1137" s="42">
        <f>IFERROR(+VLOOKUP(M1137,D.sign_Lista_Data[[RESPONSABLE]:[SOFTWARE 
VALOR HORA]],3,FALSE),"0")</f>
        <v>22796.352583586624</v>
      </c>
      <c r="P1137" s="3">
        <f t="shared" si="42"/>
        <v>2279.6352583586627</v>
      </c>
      <c r="Q1137" s="42">
        <f>IFERROR(+VLOOKUP(M1137,D.sign_Lista_Data[[RESPONSABLE]:[SOFTWARE 
VALOR HORA]],5,FALSE)*D.sign_Data[[#This Row],[TIEMPO (HORAS)]],0)</f>
        <v>253.29280648429585</v>
      </c>
      <c r="R1137" s="42">
        <f>IFERROR(+VLOOKUP(M1137,D.sign_Lista_Data[[RESPONSABLE]:[SOFTWARE 
VALOR HORA]],8,FALSE)*D.sign_Data[[#This Row],[TIEMPO (HORAS)]],0)</f>
        <v>341.08548871439837</v>
      </c>
      <c r="S1137" s="99">
        <v>0</v>
      </c>
      <c r="T1137" s="99">
        <v>0</v>
      </c>
      <c r="U1137" s="3">
        <f t="shared" si="43"/>
        <v>2874.0135535573568</v>
      </c>
      <c r="V1137" s="100">
        <f>D.sign_Data[[#This Row],[TIEMPO (HORAS)]]*Gastos_Operativos[[#Totals],[GASTOS HORA]]</f>
        <v>2778.9477072310401</v>
      </c>
      <c r="W1137" s="3">
        <f>+D.sign_Data[[#This Row],[COSTO 
DIRECTO ($COP)]]+D.sign_Data[[#This Row],[PRORRATEO GASTOS ($COP)]]</f>
        <v>5652.9612607883973</v>
      </c>
      <c r="X1137" s="101">
        <v>0.1</v>
      </c>
      <c r="Y1137" s="15">
        <f>+D.sign_Data[[#This Row],[COSTOS OPERACIONALES ($COP)]]*D.sign_Data[[#This Row],[DESFASE (%)]]</f>
        <v>565.29612607883973</v>
      </c>
      <c r="Z1137" s="101">
        <v>0.3</v>
      </c>
      <c r="AA1137" s="15">
        <f>+((D.sign_Data[[#This Row],[COSTOS OPERACIONALES ($COP)]]/(100%-D.sign_Data[[#This Row],[UTILIDAD (%)]])))-D.sign_Data[[#This Row],[COSTOS OPERACIONALES ($COP)]]</f>
        <v>2422.6976831950278</v>
      </c>
      <c r="AB1137" s="3">
        <f>+D.sign_Data[[#This Row],[COSTOS OPERACIONALES ($COP)]]+D.sign_Data[[#This Row],[DESFASE ($COP)]]+D.sign_Data[[#This Row],[UTILIDAD ($COP)]]</f>
        <v>8640.955070062264</v>
      </c>
      <c r="AC1137" s="101">
        <v>0.05</v>
      </c>
      <c r="AD1137" s="15">
        <f>+D.sign_Data[[#This Row],[VALOR NETO ($COP)]]/(100%-D.sign_Data[[#This Row],[MARGEN DE NEGOCIACIÓN (%)]])-D.sign_Data[[#This Row],[VALOR NETO ($COP)]]</f>
        <v>454.78710895064614</v>
      </c>
      <c r="AE1137" s="15">
        <f>+(D.sign_Data[[#This Row],[VALOR NETO ($COP)]]+D.sign_Data[[#This Row],[NEGOCIACIÓN ($COP)]])*1%</f>
        <v>90.957421790129104</v>
      </c>
      <c r="AF1137" s="15">
        <f>+(D.sign_Data[[#This Row],[VALOR NETO ($COP)]]+D.sign_Data[[#This Row],[NEGOCIACIÓN ($COP)]])*1%</f>
        <v>90.957421790129104</v>
      </c>
      <c r="AG1137" s="3">
        <f>+D.sign_Data[[#This Row],[VALOR NETO ($COP)]]+D.sign_Data[[#This Row],[NEGOCIACIÓN ($COP)]]+D.sign_Data[[#This Row],[ICA ($COP)]]+D.sign_Data[[#This Row],[4 * 1000 ($COP)]]</f>
        <v>9277.65702259317</v>
      </c>
    </row>
    <row r="1138" spans="1:33" ht="60" hidden="1" customHeight="1" x14ac:dyDescent="0.25">
      <c r="A1138" s="14"/>
      <c r="B1138" s="87" t="s">
        <v>418</v>
      </c>
      <c r="C1138" s="182" t="s">
        <v>385</v>
      </c>
      <c r="D1138" s="189" t="str">
        <f>VLOOKUP(D.sign_Data[[#This Row],[CÓDIGO]],Descripciones[[CÓDIGO]:[NOMBRE DE SERVICIO]],3,FALSE)</f>
        <v>D0. Proyecto</v>
      </c>
      <c r="E1138" s="87" t="s">
        <v>1046</v>
      </c>
      <c r="F1138" s="88" t="s">
        <v>390</v>
      </c>
      <c r="G1138" s="88" t="s">
        <v>391</v>
      </c>
      <c r="H1138" s="87" t="s">
        <v>423</v>
      </c>
      <c r="I1138" s="89">
        <v>1</v>
      </c>
      <c r="J1138" s="88" t="s">
        <v>392</v>
      </c>
      <c r="K1138" s="102"/>
      <c r="L1138" s="88" t="s">
        <v>397</v>
      </c>
      <c r="M1138" s="89" t="s">
        <v>384</v>
      </c>
      <c r="N1138" s="90">
        <v>0.1</v>
      </c>
      <c r="O1138" s="27">
        <f>IFERROR(+VLOOKUP(M1138,D.sign_Lista_Data[[RESPONSABLE]:[SOFTWARE 
VALOR HORA]],3,FALSE),"0")</f>
        <v>22796.352583586624</v>
      </c>
      <c r="P1138" s="3">
        <f t="shared" si="42"/>
        <v>2279.6352583586627</v>
      </c>
      <c r="Q1138" s="11">
        <f>IFERROR(+VLOOKUP(M1138,D.sign_Lista_Data[[RESPONSABLE]:[SOFTWARE 
VALOR HORA]],5,FALSE)*D.sign_Data[[#This Row],[TIEMPO (HORAS)]],0)</f>
        <v>253.29280648429585</v>
      </c>
      <c r="R1138" s="42">
        <f>IFERROR(+VLOOKUP(M1138,D.sign_Lista_Data[[RESPONSABLE]:[SOFTWARE 
VALOR HORA]],8,FALSE)*D.sign_Data[[#This Row],[TIEMPO (HORAS)]],0)</f>
        <v>341.08548871439837</v>
      </c>
      <c r="S1138" s="99">
        <v>0</v>
      </c>
      <c r="T1138" s="99">
        <v>0</v>
      </c>
      <c r="U1138" s="3">
        <f t="shared" si="43"/>
        <v>2874.0135535573568</v>
      </c>
      <c r="V1138" s="100">
        <f>D.sign_Data[[#This Row],[TIEMPO (HORAS)]]*Gastos_Operativos[[#Totals],[GASTOS HORA]]</f>
        <v>2778.9477072310401</v>
      </c>
      <c r="W1138" s="3">
        <f>+D.sign_Data[[#This Row],[COSTO 
DIRECTO ($COP)]]+D.sign_Data[[#This Row],[PRORRATEO GASTOS ($COP)]]</f>
        <v>5652.9612607883973</v>
      </c>
      <c r="X1138" s="101">
        <v>0.1</v>
      </c>
      <c r="Y1138" s="15">
        <f>+D.sign_Data[[#This Row],[COSTOS OPERACIONALES ($COP)]]*D.sign_Data[[#This Row],[DESFASE (%)]]</f>
        <v>565.29612607883973</v>
      </c>
      <c r="Z1138" s="101">
        <v>0.3</v>
      </c>
      <c r="AA1138" s="15">
        <f>+((D.sign_Data[[#This Row],[COSTOS OPERACIONALES ($COP)]]/(100%-D.sign_Data[[#This Row],[UTILIDAD (%)]])))-D.sign_Data[[#This Row],[COSTOS OPERACIONALES ($COP)]]</f>
        <v>2422.6976831950278</v>
      </c>
      <c r="AB1138" s="3">
        <f>+D.sign_Data[[#This Row],[COSTOS OPERACIONALES ($COP)]]+D.sign_Data[[#This Row],[DESFASE ($COP)]]+D.sign_Data[[#This Row],[UTILIDAD ($COP)]]</f>
        <v>8640.955070062264</v>
      </c>
      <c r="AC1138" s="101">
        <v>0.05</v>
      </c>
      <c r="AD1138" s="15">
        <f>+D.sign_Data[[#This Row],[VALOR NETO ($COP)]]/(100%-D.sign_Data[[#This Row],[MARGEN DE NEGOCIACIÓN (%)]])-D.sign_Data[[#This Row],[VALOR NETO ($COP)]]</f>
        <v>454.78710895064614</v>
      </c>
      <c r="AE1138" s="15">
        <f>+(D.sign_Data[[#This Row],[VALOR NETO ($COP)]]+D.sign_Data[[#This Row],[NEGOCIACIÓN ($COP)]])*1%</f>
        <v>90.957421790129104</v>
      </c>
      <c r="AF1138" s="15">
        <f>+(D.sign_Data[[#This Row],[VALOR NETO ($COP)]]+D.sign_Data[[#This Row],[NEGOCIACIÓN ($COP)]])*1%</f>
        <v>90.957421790129104</v>
      </c>
      <c r="AG1138" s="3">
        <f>+D.sign_Data[[#This Row],[VALOR NETO ($COP)]]+D.sign_Data[[#This Row],[NEGOCIACIÓN ($COP)]]+D.sign_Data[[#This Row],[ICA ($COP)]]+D.sign_Data[[#This Row],[4 * 1000 ($COP)]]</f>
        <v>9277.65702259317</v>
      </c>
    </row>
    <row r="1139" spans="1:33" ht="60" hidden="1" customHeight="1" x14ac:dyDescent="0.25">
      <c r="A1139" s="14"/>
      <c r="B1139" s="87" t="s">
        <v>418</v>
      </c>
      <c r="C1139" s="182" t="s">
        <v>385</v>
      </c>
      <c r="D1139" s="189" t="str">
        <f>VLOOKUP(D.sign_Data[[#This Row],[CÓDIGO]],Descripciones[[CÓDIGO]:[NOMBRE DE SERVICIO]],3,FALSE)</f>
        <v>D0. Proyecto</v>
      </c>
      <c r="E1139" s="87" t="s">
        <v>1046</v>
      </c>
      <c r="F1139" s="88" t="s">
        <v>390</v>
      </c>
      <c r="G1139" s="88" t="s">
        <v>391</v>
      </c>
      <c r="H1139" s="87" t="s">
        <v>423</v>
      </c>
      <c r="I1139" s="89">
        <v>1</v>
      </c>
      <c r="J1139" s="88" t="s">
        <v>392</v>
      </c>
      <c r="K1139" s="102"/>
      <c r="L1139" s="88" t="s">
        <v>399</v>
      </c>
      <c r="M1139" s="89" t="s">
        <v>381</v>
      </c>
      <c r="N1139" s="90">
        <v>0.1</v>
      </c>
      <c r="O1139" s="27">
        <f>IFERROR(+VLOOKUP(M1139,D.sign_Lista_Data[[RESPONSABLE]:[SOFTWARE 
VALOR HORA]],3,FALSE),"0")</f>
        <v>20263.424518743668</v>
      </c>
      <c r="P1139" s="3">
        <f t="shared" si="42"/>
        <v>2026.3424518743668</v>
      </c>
      <c r="Q1139" s="11">
        <f>IFERROR(+VLOOKUP(M1139,D.sign_Lista_Data[[RESPONSABLE]:[SOFTWARE 
VALOR HORA]],5,FALSE)*D.sign_Data[[#This Row],[TIEMPO (HORAS)]],0)</f>
        <v>422.15467747382638</v>
      </c>
      <c r="R1139" s="42">
        <f>IFERROR(+VLOOKUP(M1139,D.sign_Lista_Data[[RESPONSABLE]:[SOFTWARE 
VALOR HORA]],8,FALSE)*D.sign_Data[[#This Row],[TIEMPO (HORAS)]],0)</f>
        <v>341.08548871439837</v>
      </c>
      <c r="S1139" s="99">
        <v>0</v>
      </c>
      <c r="T1139" s="99">
        <v>0</v>
      </c>
      <c r="U1139" s="3">
        <f t="shared" si="43"/>
        <v>2789.5826180625913</v>
      </c>
      <c r="V1139" s="100">
        <f>D.sign_Data[[#This Row],[TIEMPO (HORAS)]]*Gastos_Operativos[[#Totals],[GASTOS HORA]]</f>
        <v>2778.9477072310401</v>
      </c>
      <c r="W1139" s="3">
        <f>+D.sign_Data[[#This Row],[COSTO 
DIRECTO ($COP)]]+D.sign_Data[[#This Row],[PRORRATEO GASTOS ($COP)]]</f>
        <v>5568.5303252936319</v>
      </c>
      <c r="X1139" s="101">
        <v>0.1</v>
      </c>
      <c r="Y1139" s="15">
        <f>+D.sign_Data[[#This Row],[COSTOS OPERACIONALES ($COP)]]*D.sign_Data[[#This Row],[DESFASE (%)]]</f>
        <v>556.85303252936319</v>
      </c>
      <c r="Z1139" s="101">
        <v>0.3</v>
      </c>
      <c r="AA1139" s="15">
        <f>+((D.sign_Data[[#This Row],[COSTOS OPERACIONALES ($COP)]]/(100%-D.sign_Data[[#This Row],[UTILIDAD (%)]])))-D.sign_Data[[#This Row],[COSTOS OPERACIONALES ($COP)]]</f>
        <v>2386.5129965544138</v>
      </c>
      <c r="AB1139" s="3">
        <f>+D.sign_Data[[#This Row],[COSTOS OPERACIONALES ($COP)]]+D.sign_Data[[#This Row],[DESFASE ($COP)]]+D.sign_Data[[#This Row],[UTILIDAD ($COP)]]</f>
        <v>8511.896354377408</v>
      </c>
      <c r="AC1139" s="101">
        <v>0.05</v>
      </c>
      <c r="AD1139" s="15">
        <f>+D.sign_Data[[#This Row],[VALOR NETO ($COP)]]/(100%-D.sign_Data[[#This Row],[MARGEN DE NEGOCIACIÓN (%)]])-D.sign_Data[[#This Row],[VALOR NETO ($COP)]]</f>
        <v>447.99454496723229</v>
      </c>
      <c r="AE1139" s="15">
        <f>+(D.sign_Data[[#This Row],[VALOR NETO ($COP)]]+D.sign_Data[[#This Row],[NEGOCIACIÓN ($COP)]])*1%</f>
        <v>89.5989089934464</v>
      </c>
      <c r="AF1139" s="15">
        <f>+(D.sign_Data[[#This Row],[VALOR NETO ($COP)]]+D.sign_Data[[#This Row],[NEGOCIACIÓN ($COP)]])*1%</f>
        <v>89.5989089934464</v>
      </c>
      <c r="AG1139" s="3">
        <f>+D.sign_Data[[#This Row],[VALOR NETO ($COP)]]+D.sign_Data[[#This Row],[NEGOCIACIÓN ($COP)]]+D.sign_Data[[#This Row],[ICA ($COP)]]+D.sign_Data[[#This Row],[4 * 1000 ($COP)]]</f>
        <v>9139.0887173315332</v>
      </c>
    </row>
    <row r="1140" spans="1:33" ht="60" hidden="1" customHeight="1" x14ac:dyDescent="0.25">
      <c r="A1140" s="14"/>
      <c r="B1140" s="87" t="s">
        <v>418</v>
      </c>
      <c r="C1140" s="182" t="s">
        <v>385</v>
      </c>
      <c r="D1140" s="189" t="str">
        <f>VLOOKUP(D.sign_Data[[#This Row],[CÓDIGO]],Descripciones[[CÓDIGO]:[NOMBRE DE SERVICIO]],3,FALSE)</f>
        <v>D0. Proyecto</v>
      </c>
      <c r="E1140" s="87" t="s">
        <v>1046</v>
      </c>
      <c r="F1140" s="88" t="s">
        <v>390</v>
      </c>
      <c r="G1140" s="88" t="s">
        <v>391</v>
      </c>
      <c r="H1140" s="87" t="s">
        <v>423</v>
      </c>
      <c r="I1140" s="89">
        <v>1</v>
      </c>
      <c r="J1140" s="88" t="s">
        <v>392</v>
      </c>
      <c r="K1140" s="102"/>
      <c r="L1140" s="88" t="s">
        <v>394</v>
      </c>
      <c r="M1140" s="89" t="s">
        <v>384</v>
      </c>
      <c r="N1140" s="90">
        <v>0.2</v>
      </c>
      <c r="O1140" s="27">
        <f>IFERROR(+VLOOKUP(M1140,D.sign_Lista_Data[[RESPONSABLE]:[SOFTWARE 
VALOR HORA]],3,FALSE),"0")</f>
        <v>22796.352583586624</v>
      </c>
      <c r="P1140" s="3">
        <f t="shared" si="42"/>
        <v>4559.2705167173253</v>
      </c>
      <c r="Q1140" s="11">
        <f>IFERROR(+VLOOKUP(M1140,D.sign_Lista_Data[[RESPONSABLE]:[SOFTWARE 
VALOR HORA]],5,FALSE)*D.sign_Data[[#This Row],[TIEMPO (HORAS)]],0)</f>
        <v>506.5856129685917</v>
      </c>
      <c r="R1140" s="42">
        <f>IFERROR(+VLOOKUP(M1140,D.sign_Lista_Data[[RESPONSABLE]:[SOFTWARE 
VALOR HORA]],8,FALSE)*D.sign_Data[[#This Row],[TIEMPO (HORAS)]],0)</f>
        <v>682.17097742879673</v>
      </c>
      <c r="S1140" s="99">
        <v>0</v>
      </c>
      <c r="T1140" s="99">
        <v>0</v>
      </c>
      <c r="U1140" s="3">
        <f t="shared" si="43"/>
        <v>5748.0271071147135</v>
      </c>
      <c r="V1140" s="100">
        <f>D.sign_Data[[#This Row],[TIEMPO (HORAS)]]*Gastos_Operativos[[#Totals],[GASTOS HORA]]</f>
        <v>5557.8954144620802</v>
      </c>
      <c r="W1140" s="3">
        <f>+D.sign_Data[[#This Row],[COSTO 
DIRECTO ($COP)]]+D.sign_Data[[#This Row],[PRORRATEO GASTOS ($COP)]]</f>
        <v>11305.922521576795</v>
      </c>
      <c r="X1140" s="101">
        <v>0.1</v>
      </c>
      <c r="Y1140" s="15">
        <f>+D.sign_Data[[#This Row],[COSTOS OPERACIONALES ($COP)]]*D.sign_Data[[#This Row],[DESFASE (%)]]</f>
        <v>1130.5922521576795</v>
      </c>
      <c r="Z1140" s="101">
        <v>0.3</v>
      </c>
      <c r="AA1140" s="15">
        <f>+((D.sign_Data[[#This Row],[COSTOS OPERACIONALES ($COP)]]/(100%-D.sign_Data[[#This Row],[UTILIDAD (%)]])))-D.sign_Data[[#This Row],[COSTOS OPERACIONALES ($COP)]]</f>
        <v>4845.3953663900556</v>
      </c>
      <c r="AB1140" s="3">
        <f>+D.sign_Data[[#This Row],[COSTOS OPERACIONALES ($COP)]]+D.sign_Data[[#This Row],[DESFASE ($COP)]]+D.sign_Data[[#This Row],[UTILIDAD ($COP)]]</f>
        <v>17281.910140124528</v>
      </c>
      <c r="AC1140" s="101">
        <v>0.05</v>
      </c>
      <c r="AD1140" s="15">
        <f>+D.sign_Data[[#This Row],[VALOR NETO ($COP)]]/(100%-D.sign_Data[[#This Row],[MARGEN DE NEGOCIACIÓN (%)]])-D.sign_Data[[#This Row],[VALOR NETO ($COP)]]</f>
        <v>909.57421790129229</v>
      </c>
      <c r="AE1140" s="15">
        <f>+(D.sign_Data[[#This Row],[VALOR NETO ($COP)]]+D.sign_Data[[#This Row],[NEGOCIACIÓN ($COP)]])*1%</f>
        <v>181.91484358025821</v>
      </c>
      <c r="AF1140" s="15">
        <f>+(D.sign_Data[[#This Row],[VALOR NETO ($COP)]]+D.sign_Data[[#This Row],[NEGOCIACIÓN ($COP)]])*1%</f>
        <v>181.91484358025821</v>
      </c>
      <c r="AG1140" s="3">
        <f>+D.sign_Data[[#This Row],[VALOR NETO ($COP)]]+D.sign_Data[[#This Row],[NEGOCIACIÓN ($COP)]]+D.sign_Data[[#This Row],[ICA ($COP)]]+D.sign_Data[[#This Row],[4 * 1000 ($COP)]]</f>
        <v>18555.31404518634</v>
      </c>
    </row>
    <row r="1141" spans="1:33" ht="60" hidden="1" customHeight="1" x14ac:dyDescent="0.25">
      <c r="A1141" s="14"/>
      <c r="B1141" s="87" t="s">
        <v>418</v>
      </c>
      <c r="C1141" s="182" t="s">
        <v>385</v>
      </c>
      <c r="D1141" s="189" t="str">
        <f>VLOOKUP(D.sign_Data[[#This Row],[CÓDIGO]],Descripciones[[CÓDIGO]:[NOMBRE DE SERVICIO]],3,FALSE)</f>
        <v>D0. Proyecto</v>
      </c>
      <c r="E1141" s="87" t="s">
        <v>1046</v>
      </c>
      <c r="F1141" s="88" t="s">
        <v>390</v>
      </c>
      <c r="G1141" s="88" t="s">
        <v>391</v>
      </c>
      <c r="H1141" s="87" t="s">
        <v>423</v>
      </c>
      <c r="I1141" s="89">
        <v>1</v>
      </c>
      <c r="J1141" s="88" t="s">
        <v>392</v>
      </c>
      <c r="K1141" s="102"/>
      <c r="L1141" s="88" t="s">
        <v>395</v>
      </c>
      <c r="M1141" s="89" t="s">
        <v>384</v>
      </c>
      <c r="N1141" s="90">
        <v>0.2</v>
      </c>
      <c r="O1141" s="27">
        <f>IFERROR(+VLOOKUP(M1141,D.sign_Lista_Data[[RESPONSABLE]:[SOFTWARE 
VALOR HORA]],3,FALSE),"0")</f>
        <v>22796.352583586624</v>
      </c>
      <c r="P1141" s="3">
        <f t="shared" si="42"/>
        <v>4559.2705167173253</v>
      </c>
      <c r="Q1141" s="11">
        <f>IFERROR(+VLOOKUP(M1141,D.sign_Lista_Data[[RESPONSABLE]:[SOFTWARE 
VALOR HORA]],5,FALSE)*D.sign_Data[[#This Row],[TIEMPO (HORAS)]],0)</f>
        <v>506.5856129685917</v>
      </c>
      <c r="R1141" s="42">
        <f>IFERROR(+VLOOKUP(M1141,D.sign_Lista_Data[[RESPONSABLE]:[SOFTWARE 
VALOR HORA]],8,FALSE)*D.sign_Data[[#This Row],[TIEMPO (HORAS)]],0)</f>
        <v>682.17097742879673</v>
      </c>
      <c r="S1141" s="99">
        <v>0</v>
      </c>
      <c r="T1141" s="99">
        <v>0</v>
      </c>
      <c r="U1141" s="3">
        <f t="shared" si="43"/>
        <v>5748.0271071147135</v>
      </c>
      <c r="V1141" s="100">
        <f>D.sign_Data[[#This Row],[TIEMPO (HORAS)]]*Gastos_Operativos[[#Totals],[GASTOS HORA]]</f>
        <v>5557.8954144620802</v>
      </c>
      <c r="W1141" s="3">
        <f>+D.sign_Data[[#This Row],[COSTO 
DIRECTO ($COP)]]+D.sign_Data[[#This Row],[PRORRATEO GASTOS ($COP)]]</f>
        <v>11305.922521576795</v>
      </c>
      <c r="X1141" s="101">
        <v>0.1</v>
      </c>
      <c r="Y1141" s="15">
        <f>+D.sign_Data[[#This Row],[COSTOS OPERACIONALES ($COP)]]*D.sign_Data[[#This Row],[DESFASE (%)]]</f>
        <v>1130.5922521576795</v>
      </c>
      <c r="Z1141" s="101">
        <v>0.3</v>
      </c>
      <c r="AA1141" s="15">
        <f>+((D.sign_Data[[#This Row],[COSTOS OPERACIONALES ($COP)]]/(100%-D.sign_Data[[#This Row],[UTILIDAD (%)]])))-D.sign_Data[[#This Row],[COSTOS OPERACIONALES ($COP)]]</f>
        <v>4845.3953663900556</v>
      </c>
      <c r="AB1141" s="3">
        <f>+D.sign_Data[[#This Row],[COSTOS OPERACIONALES ($COP)]]+D.sign_Data[[#This Row],[DESFASE ($COP)]]+D.sign_Data[[#This Row],[UTILIDAD ($COP)]]</f>
        <v>17281.910140124528</v>
      </c>
      <c r="AC1141" s="101">
        <v>0.05</v>
      </c>
      <c r="AD1141" s="15">
        <f>+D.sign_Data[[#This Row],[VALOR NETO ($COP)]]/(100%-D.sign_Data[[#This Row],[MARGEN DE NEGOCIACIÓN (%)]])-D.sign_Data[[#This Row],[VALOR NETO ($COP)]]</f>
        <v>909.57421790129229</v>
      </c>
      <c r="AE1141" s="15">
        <f>+(D.sign_Data[[#This Row],[VALOR NETO ($COP)]]+D.sign_Data[[#This Row],[NEGOCIACIÓN ($COP)]])*1%</f>
        <v>181.91484358025821</v>
      </c>
      <c r="AF1141" s="15">
        <f>+(D.sign_Data[[#This Row],[VALOR NETO ($COP)]]+D.sign_Data[[#This Row],[NEGOCIACIÓN ($COP)]])*1%</f>
        <v>181.91484358025821</v>
      </c>
      <c r="AG1141" s="3">
        <f>+D.sign_Data[[#This Row],[VALOR NETO ($COP)]]+D.sign_Data[[#This Row],[NEGOCIACIÓN ($COP)]]+D.sign_Data[[#This Row],[ICA ($COP)]]+D.sign_Data[[#This Row],[4 * 1000 ($COP)]]</f>
        <v>18555.31404518634</v>
      </c>
    </row>
    <row r="1142" spans="1:33" ht="60" hidden="1" customHeight="1" x14ac:dyDescent="0.25">
      <c r="A1142" s="14"/>
      <c r="B1142" s="87" t="s">
        <v>418</v>
      </c>
      <c r="C1142" s="182" t="s">
        <v>385</v>
      </c>
      <c r="D1142" s="189" t="str">
        <f>VLOOKUP(D.sign_Data[[#This Row],[CÓDIGO]],Descripciones[[CÓDIGO]:[NOMBRE DE SERVICIO]],3,FALSE)</f>
        <v>D0. Proyecto</v>
      </c>
      <c r="E1142" s="87" t="s">
        <v>1046</v>
      </c>
      <c r="F1142" s="88" t="s">
        <v>390</v>
      </c>
      <c r="G1142" s="88" t="s">
        <v>391</v>
      </c>
      <c r="H1142" s="87" t="s">
        <v>423</v>
      </c>
      <c r="I1142" s="89">
        <v>1</v>
      </c>
      <c r="J1142" s="88" t="s">
        <v>392</v>
      </c>
      <c r="K1142" s="102"/>
      <c r="L1142" s="88" t="s">
        <v>398</v>
      </c>
      <c r="M1142" s="89" t="s">
        <v>381</v>
      </c>
      <c r="N1142" s="90">
        <v>0.1</v>
      </c>
      <c r="O1142" s="27">
        <f>IFERROR(+VLOOKUP(M1142,D.sign_Lista_Data[[RESPONSABLE]:[SOFTWARE 
VALOR HORA]],3,FALSE),"0")</f>
        <v>20263.424518743668</v>
      </c>
      <c r="P1142" s="3">
        <f t="shared" si="42"/>
        <v>2026.3424518743668</v>
      </c>
      <c r="Q1142" s="11">
        <f>IFERROR(+VLOOKUP(M1142,D.sign_Lista_Data[[RESPONSABLE]:[SOFTWARE 
VALOR HORA]],5,FALSE)*D.sign_Data[[#This Row],[TIEMPO (HORAS)]],0)</f>
        <v>422.15467747382638</v>
      </c>
      <c r="R1142" s="42">
        <f>IFERROR(+VLOOKUP(M1142,D.sign_Lista_Data[[RESPONSABLE]:[SOFTWARE 
VALOR HORA]],8,FALSE)*D.sign_Data[[#This Row],[TIEMPO (HORAS)]],0)</f>
        <v>341.08548871439837</v>
      </c>
      <c r="S1142" s="99">
        <v>0</v>
      </c>
      <c r="T1142" s="99">
        <v>0</v>
      </c>
      <c r="U1142" s="3">
        <f t="shared" si="43"/>
        <v>2789.5826180625913</v>
      </c>
      <c r="V1142" s="100">
        <f>D.sign_Data[[#This Row],[TIEMPO (HORAS)]]*Gastos_Operativos[[#Totals],[GASTOS HORA]]</f>
        <v>2778.9477072310401</v>
      </c>
      <c r="W1142" s="3">
        <f>+D.sign_Data[[#This Row],[COSTO 
DIRECTO ($COP)]]+D.sign_Data[[#This Row],[PRORRATEO GASTOS ($COP)]]</f>
        <v>5568.5303252936319</v>
      </c>
      <c r="X1142" s="101">
        <v>0.1</v>
      </c>
      <c r="Y1142" s="15">
        <f>+D.sign_Data[[#This Row],[COSTOS OPERACIONALES ($COP)]]*D.sign_Data[[#This Row],[DESFASE (%)]]</f>
        <v>556.85303252936319</v>
      </c>
      <c r="Z1142" s="101">
        <v>0.3</v>
      </c>
      <c r="AA1142" s="15">
        <f>+((D.sign_Data[[#This Row],[COSTOS OPERACIONALES ($COP)]]/(100%-D.sign_Data[[#This Row],[UTILIDAD (%)]])))-D.sign_Data[[#This Row],[COSTOS OPERACIONALES ($COP)]]</f>
        <v>2386.5129965544138</v>
      </c>
      <c r="AB1142" s="3">
        <f>+D.sign_Data[[#This Row],[COSTOS OPERACIONALES ($COP)]]+D.sign_Data[[#This Row],[DESFASE ($COP)]]+D.sign_Data[[#This Row],[UTILIDAD ($COP)]]</f>
        <v>8511.896354377408</v>
      </c>
      <c r="AC1142" s="101">
        <v>0.05</v>
      </c>
      <c r="AD1142" s="15">
        <f>+D.sign_Data[[#This Row],[VALOR NETO ($COP)]]/(100%-D.sign_Data[[#This Row],[MARGEN DE NEGOCIACIÓN (%)]])-D.sign_Data[[#This Row],[VALOR NETO ($COP)]]</f>
        <v>447.99454496723229</v>
      </c>
      <c r="AE1142" s="15">
        <f>+(D.sign_Data[[#This Row],[VALOR NETO ($COP)]]+D.sign_Data[[#This Row],[NEGOCIACIÓN ($COP)]])*1%</f>
        <v>89.5989089934464</v>
      </c>
      <c r="AF1142" s="15">
        <f>+(D.sign_Data[[#This Row],[VALOR NETO ($COP)]]+D.sign_Data[[#This Row],[NEGOCIACIÓN ($COP)]])*1%</f>
        <v>89.5989089934464</v>
      </c>
      <c r="AG1142" s="3">
        <f>+D.sign_Data[[#This Row],[VALOR NETO ($COP)]]+D.sign_Data[[#This Row],[NEGOCIACIÓN ($COP)]]+D.sign_Data[[#This Row],[ICA ($COP)]]+D.sign_Data[[#This Row],[4 * 1000 ($COP)]]</f>
        <v>9139.0887173315332</v>
      </c>
    </row>
    <row r="1143" spans="1:33" ht="60" hidden="1" customHeight="1" x14ac:dyDescent="0.25">
      <c r="A1143" s="14"/>
      <c r="B1143" s="87" t="s">
        <v>418</v>
      </c>
      <c r="C1143" s="182" t="s">
        <v>385</v>
      </c>
      <c r="D1143" s="189" t="str">
        <f>VLOOKUP(D.sign_Data[[#This Row],[CÓDIGO]],Descripciones[[CÓDIGO]:[NOMBRE DE SERVICIO]],3,FALSE)</f>
        <v>D0. Proyecto</v>
      </c>
      <c r="E1143" s="87" t="s">
        <v>1046</v>
      </c>
      <c r="F1143" s="88" t="s">
        <v>390</v>
      </c>
      <c r="G1143" s="88" t="s">
        <v>391</v>
      </c>
      <c r="H1143" s="87" t="s">
        <v>423</v>
      </c>
      <c r="I1143" s="89">
        <v>1</v>
      </c>
      <c r="J1143" s="88" t="s">
        <v>392</v>
      </c>
      <c r="K1143" s="102"/>
      <c r="L1143" s="88" t="s">
        <v>393</v>
      </c>
      <c r="M1143" s="89" t="s">
        <v>381</v>
      </c>
      <c r="N1143" s="90">
        <v>0.5</v>
      </c>
      <c r="O1143" s="27">
        <f>IFERROR(+VLOOKUP(M1143,D.sign_Lista_Data[[RESPONSABLE]:[SOFTWARE 
VALOR HORA]],3,FALSE),"0")</f>
        <v>20263.424518743668</v>
      </c>
      <c r="P1143" s="3">
        <f t="shared" si="42"/>
        <v>10131.712259371834</v>
      </c>
      <c r="Q1143" s="11">
        <f>IFERROR(+VLOOKUP(M1143,D.sign_Lista_Data[[RESPONSABLE]:[SOFTWARE 
VALOR HORA]],5,FALSE)*D.sign_Data[[#This Row],[TIEMPO (HORAS)]],0)</f>
        <v>2110.7733873691318</v>
      </c>
      <c r="R1143" s="42">
        <f>IFERROR(+VLOOKUP(M1143,D.sign_Lista_Data[[RESPONSABLE]:[SOFTWARE 
VALOR HORA]],8,FALSE)*D.sign_Data[[#This Row],[TIEMPO (HORAS)]],0)</f>
        <v>1705.4274435719917</v>
      </c>
      <c r="S1143" s="99">
        <v>0</v>
      </c>
      <c r="T1143" s="99">
        <v>0</v>
      </c>
      <c r="U1143" s="3">
        <f t="shared" si="43"/>
        <v>13947.913090312959</v>
      </c>
      <c r="V1143" s="100">
        <f>D.sign_Data[[#This Row],[TIEMPO (HORAS)]]*Gastos_Operativos[[#Totals],[GASTOS HORA]]</f>
        <v>13894.738536155201</v>
      </c>
      <c r="W1143" s="3">
        <f>+D.sign_Data[[#This Row],[COSTO 
DIRECTO ($COP)]]+D.sign_Data[[#This Row],[PRORRATEO GASTOS ($COP)]]</f>
        <v>27842.65162646816</v>
      </c>
      <c r="X1143" s="101">
        <v>0.1</v>
      </c>
      <c r="Y1143" s="15">
        <f>+D.sign_Data[[#This Row],[COSTOS OPERACIONALES ($COP)]]*D.sign_Data[[#This Row],[DESFASE (%)]]</f>
        <v>2784.265162646816</v>
      </c>
      <c r="Z1143" s="101">
        <v>0.3</v>
      </c>
      <c r="AA1143" s="15">
        <f>+((D.sign_Data[[#This Row],[COSTOS OPERACIONALES ($COP)]]/(100%-D.sign_Data[[#This Row],[UTILIDAD (%)]])))-D.sign_Data[[#This Row],[COSTOS OPERACIONALES ($COP)]]</f>
        <v>11932.564982772074</v>
      </c>
      <c r="AB1143" s="3">
        <f>+D.sign_Data[[#This Row],[COSTOS OPERACIONALES ($COP)]]+D.sign_Data[[#This Row],[DESFASE ($COP)]]+D.sign_Data[[#This Row],[UTILIDAD ($COP)]]</f>
        <v>42559.481771887047</v>
      </c>
      <c r="AC1143" s="101">
        <v>0.05</v>
      </c>
      <c r="AD1143" s="15">
        <f>+D.sign_Data[[#This Row],[VALOR NETO ($COP)]]/(100%-D.sign_Data[[#This Row],[MARGEN DE NEGOCIACIÓN (%)]])-D.sign_Data[[#This Row],[VALOR NETO ($COP)]]</f>
        <v>2239.9727248361596</v>
      </c>
      <c r="AE1143" s="15">
        <f>+(D.sign_Data[[#This Row],[VALOR NETO ($COP)]]+D.sign_Data[[#This Row],[NEGOCIACIÓN ($COP)]])*1%</f>
        <v>447.99454496723206</v>
      </c>
      <c r="AF1143" s="15">
        <f>+(D.sign_Data[[#This Row],[VALOR NETO ($COP)]]+D.sign_Data[[#This Row],[NEGOCIACIÓN ($COP)]])*1%</f>
        <v>447.99454496723206</v>
      </c>
      <c r="AG1143" s="3">
        <f>+D.sign_Data[[#This Row],[VALOR NETO ($COP)]]+D.sign_Data[[#This Row],[NEGOCIACIÓN ($COP)]]+D.sign_Data[[#This Row],[ICA ($COP)]]+D.sign_Data[[#This Row],[4 * 1000 ($COP)]]</f>
        <v>45695.443586657668</v>
      </c>
    </row>
    <row r="1144" spans="1:33" ht="60" hidden="1" customHeight="1" x14ac:dyDescent="0.25">
      <c r="A1144" s="14"/>
      <c r="B1144" s="87" t="s">
        <v>418</v>
      </c>
      <c r="C1144" s="182" t="s">
        <v>385</v>
      </c>
      <c r="D1144" s="189" t="str">
        <f>VLOOKUP(D.sign_Data[[#This Row],[CÓDIGO]],Descripciones[[CÓDIGO]:[NOMBRE DE SERVICIO]],3,FALSE)</f>
        <v>D0. Proyecto</v>
      </c>
      <c r="E1144" s="87" t="s">
        <v>1046</v>
      </c>
      <c r="F1144" s="88" t="s">
        <v>390</v>
      </c>
      <c r="G1144" s="88" t="s">
        <v>391</v>
      </c>
      <c r="H1144" s="87" t="s">
        <v>423</v>
      </c>
      <c r="I1144" s="89">
        <v>1</v>
      </c>
      <c r="J1144" s="88" t="s">
        <v>392</v>
      </c>
      <c r="K1144" s="102"/>
      <c r="L1144" s="88" t="s">
        <v>400</v>
      </c>
      <c r="M1144" s="89" t="s">
        <v>381</v>
      </c>
      <c r="N1144" s="90">
        <v>0.1</v>
      </c>
      <c r="O1144" s="27">
        <f>IFERROR(+VLOOKUP(M1144,D.sign_Lista_Data[[RESPONSABLE]:[SOFTWARE 
VALOR HORA]],3,FALSE),"0")</f>
        <v>20263.424518743668</v>
      </c>
      <c r="P1144" s="3">
        <f t="shared" si="42"/>
        <v>2026.3424518743668</v>
      </c>
      <c r="Q1144" s="11">
        <f>IFERROR(+VLOOKUP(M1144,D.sign_Lista_Data[[RESPONSABLE]:[SOFTWARE 
VALOR HORA]],5,FALSE)*D.sign_Data[[#This Row],[TIEMPO (HORAS)]],0)</f>
        <v>422.15467747382638</v>
      </c>
      <c r="R1144" s="42">
        <f>IFERROR(+VLOOKUP(M1144,D.sign_Lista_Data[[RESPONSABLE]:[SOFTWARE 
VALOR HORA]],8,FALSE)*D.sign_Data[[#This Row],[TIEMPO (HORAS)]],0)</f>
        <v>341.08548871439837</v>
      </c>
      <c r="S1144" s="99">
        <v>0</v>
      </c>
      <c r="T1144" s="99">
        <v>0</v>
      </c>
      <c r="U1144" s="3">
        <f t="shared" si="43"/>
        <v>2789.5826180625913</v>
      </c>
      <c r="V1144" s="100">
        <f>D.sign_Data[[#This Row],[TIEMPO (HORAS)]]*Gastos_Operativos[[#Totals],[GASTOS HORA]]</f>
        <v>2778.9477072310401</v>
      </c>
      <c r="W1144" s="3">
        <f>+D.sign_Data[[#This Row],[COSTO 
DIRECTO ($COP)]]+D.sign_Data[[#This Row],[PRORRATEO GASTOS ($COP)]]</f>
        <v>5568.5303252936319</v>
      </c>
      <c r="X1144" s="101">
        <v>0.1</v>
      </c>
      <c r="Y1144" s="15">
        <f>+D.sign_Data[[#This Row],[COSTOS OPERACIONALES ($COP)]]*D.sign_Data[[#This Row],[DESFASE (%)]]</f>
        <v>556.85303252936319</v>
      </c>
      <c r="Z1144" s="101">
        <v>0.3</v>
      </c>
      <c r="AA1144" s="15">
        <f>+((D.sign_Data[[#This Row],[COSTOS OPERACIONALES ($COP)]]/(100%-D.sign_Data[[#This Row],[UTILIDAD (%)]])))-D.sign_Data[[#This Row],[COSTOS OPERACIONALES ($COP)]]</f>
        <v>2386.5129965544138</v>
      </c>
      <c r="AB1144" s="3">
        <f>+D.sign_Data[[#This Row],[COSTOS OPERACIONALES ($COP)]]+D.sign_Data[[#This Row],[DESFASE ($COP)]]+D.sign_Data[[#This Row],[UTILIDAD ($COP)]]</f>
        <v>8511.896354377408</v>
      </c>
      <c r="AC1144" s="101">
        <v>0.05</v>
      </c>
      <c r="AD1144" s="15">
        <f>+D.sign_Data[[#This Row],[VALOR NETO ($COP)]]/(100%-D.sign_Data[[#This Row],[MARGEN DE NEGOCIACIÓN (%)]])-D.sign_Data[[#This Row],[VALOR NETO ($COP)]]</f>
        <v>447.99454496723229</v>
      </c>
      <c r="AE1144" s="15">
        <f>+(D.sign_Data[[#This Row],[VALOR NETO ($COP)]]+D.sign_Data[[#This Row],[NEGOCIACIÓN ($COP)]])*1%</f>
        <v>89.5989089934464</v>
      </c>
      <c r="AF1144" s="15">
        <f>+(D.sign_Data[[#This Row],[VALOR NETO ($COP)]]+D.sign_Data[[#This Row],[NEGOCIACIÓN ($COP)]])*1%</f>
        <v>89.5989089934464</v>
      </c>
      <c r="AG1144" s="3">
        <f>+D.sign_Data[[#This Row],[VALOR NETO ($COP)]]+D.sign_Data[[#This Row],[NEGOCIACIÓN ($COP)]]+D.sign_Data[[#This Row],[ICA ($COP)]]+D.sign_Data[[#This Row],[4 * 1000 ($COP)]]</f>
        <v>9139.0887173315332</v>
      </c>
    </row>
    <row r="1145" spans="1:33" ht="60" hidden="1" customHeight="1" x14ac:dyDescent="0.25">
      <c r="A1145" s="14"/>
      <c r="B1145" s="87" t="s">
        <v>418</v>
      </c>
      <c r="C1145" s="182" t="s">
        <v>385</v>
      </c>
      <c r="D1145" s="189" t="str">
        <f>VLOOKUP(D.sign_Data[[#This Row],[CÓDIGO]],Descripciones[[CÓDIGO]:[NOMBRE DE SERVICIO]],3,FALSE)</f>
        <v>D0. Proyecto</v>
      </c>
      <c r="E1145" s="87" t="s">
        <v>1046</v>
      </c>
      <c r="F1145" s="88" t="s">
        <v>390</v>
      </c>
      <c r="G1145" s="88" t="s">
        <v>413</v>
      </c>
      <c r="H1145" s="87" t="s">
        <v>423</v>
      </c>
      <c r="I1145" s="89">
        <v>1</v>
      </c>
      <c r="J1145" s="88" t="s">
        <v>392</v>
      </c>
      <c r="K1145" s="102"/>
      <c r="L1145" s="88" t="s">
        <v>414</v>
      </c>
      <c r="M1145" s="89" t="s">
        <v>384</v>
      </c>
      <c r="N1145" s="90">
        <v>1</v>
      </c>
      <c r="O1145" s="27">
        <f>IFERROR(+VLOOKUP(M1145,D.sign_Lista_Data[[RESPONSABLE]:[SOFTWARE 
VALOR HORA]],3,FALSE),"0")</f>
        <v>22796.352583586624</v>
      </c>
      <c r="P1145" s="3">
        <f t="shared" si="42"/>
        <v>22796.352583586624</v>
      </c>
      <c r="Q1145" s="11">
        <f>IFERROR(+VLOOKUP(M1145,D.sign_Lista_Data[[RESPONSABLE]:[SOFTWARE 
VALOR HORA]],5,FALSE)*D.sign_Data[[#This Row],[TIEMPO (HORAS)]],0)</f>
        <v>2532.9280648429585</v>
      </c>
      <c r="R1145" s="42">
        <f>IFERROR(+VLOOKUP(M1145,D.sign_Lista_Data[[RESPONSABLE]:[SOFTWARE 
VALOR HORA]],8,FALSE)*D.sign_Data[[#This Row],[TIEMPO (HORAS)]],0)</f>
        <v>3410.8548871439834</v>
      </c>
      <c r="S1145" s="99">
        <v>0</v>
      </c>
      <c r="T1145" s="99">
        <v>0</v>
      </c>
      <c r="U1145" s="3">
        <f t="shared" si="43"/>
        <v>28740.135535573565</v>
      </c>
      <c r="V1145" s="100">
        <f>D.sign_Data[[#This Row],[TIEMPO (HORAS)]]*Gastos_Operativos[[#Totals],[GASTOS HORA]]</f>
        <v>27789.477072310401</v>
      </c>
      <c r="W1145" s="3">
        <f>+D.sign_Data[[#This Row],[COSTO 
DIRECTO ($COP)]]+D.sign_Data[[#This Row],[PRORRATEO GASTOS ($COP)]]</f>
        <v>56529.612607883966</v>
      </c>
      <c r="X1145" s="101">
        <v>0.1</v>
      </c>
      <c r="Y1145" s="15">
        <f>+D.sign_Data[[#This Row],[COSTOS OPERACIONALES ($COP)]]*D.sign_Data[[#This Row],[DESFASE (%)]]</f>
        <v>5652.9612607883973</v>
      </c>
      <c r="Z1145" s="101">
        <v>0.3</v>
      </c>
      <c r="AA1145" s="15">
        <f>+((D.sign_Data[[#This Row],[COSTOS OPERACIONALES ($COP)]]/(100%-D.sign_Data[[#This Row],[UTILIDAD (%)]])))-D.sign_Data[[#This Row],[COSTOS OPERACIONALES ($COP)]]</f>
        <v>24226.976831950269</v>
      </c>
      <c r="AB1145" s="3">
        <f>+D.sign_Data[[#This Row],[COSTOS OPERACIONALES ($COP)]]+D.sign_Data[[#This Row],[DESFASE ($COP)]]+D.sign_Data[[#This Row],[UTILIDAD ($COP)]]</f>
        <v>86409.55070062264</v>
      </c>
      <c r="AC1145" s="101">
        <v>0.05</v>
      </c>
      <c r="AD1145" s="15">
        <f>+D.sign_Data[[#This Row],[VALOR NETO ($COP)]]/(100%-D.sign_Data[[#This Row],[MARGEN DE NEGOCIACIÓN (%)]])-D.sign_Data[[#This Row],[VALOR NETO ($COP)]]</f>
        <v>4547.8710895064578</v>
      </c>
      <c r="AE1145" s="15">
        <f>+(D.sign_Data[[#This Row],[VALOR NETO ($COP)]]+D.sign_Data[[#This Row],[NEGOCIACIÓN ($COP)]])*1%</f>
        <v>909.57421790129104</v>
      </c>
      <c r="AF1145" s="15">
        <f>+(D.sign_Data[[#This Row],[VALOR NETO ($COP)]]+D.sign_Data[[#This Row],[NEGOCIACIÓN ($COP)]])*1%</f>
        <v>909.57421790129104</v>
      </c>
      <c r="AG1145" s="3">
        <f>+D.sign_Data[[#This Row],[VALOR NETO ($COP)]]+D.sign_Data[[#This Row],[NEGOCIACIÓN ($COP)]]+D.sign_Data[[#This Row],[ICA ($COP)]]+D.sign_Data[[#This Row],[4 * 1000 ($COP)]]</f>
        <v>92776.570225931675</v>
      </c>
    </row>
    <row r="1146" spans="1:33" ht="60" hidden="1" customHeight="1" x14ac:dyDescent="0.25">
      <c r="A1146" s="14"/>
      <c r="B1146" s="87" t="s">
        <v>418</v>
      </c>
      <c r="C1146" s="182" t="s">
        <v>385</v>
      </c>
      <c r="D1146" s="189" t="str">
        <f>VLOOKUP(D.sign_Data[[#This Row],[CÓDIGO]],Descripciones[[CÓDIGO]:[NOMBRE DE SERVICIO]],3,FALSE)</f>
        <v>D0. Proyecto</v>
      </c>
      <c r="E1146" s="87" t="s">
        <v>1046</v>
      </c>
      <c r="F1146" s="88" t="s">
        <v>390</v>
      </c>
      <c r="G1146" s="88" t="s">
        <v>403</v>
      </c>
      <c r="H1146" s="87" t="s">
        <v>423</v>
      </c>
      <c r="I1146" s="89">
        <v>1</v>
      </c>
      <c r="J1146" s="88" t="s">
        <v>404</v>
      </c>
      <c r="K1146" s="102"/>
      <c r="L1146" s="88" t="s">
        <v>408</v>
      </c>
      <c r="M1146" s="89" t="s">
        <v>381</v>
      </c>
      <c r="N1146" s="90">
        <v>0.2</v>
      </c>
      <c r="O1146" s="27">
        <f>IFERROR(+VLOOKUP(M1146,D.sign_Lista_Data[[RESPONSABLE]:[SOFTWARE 
VALOR HORA]],3,FALSE),"0")</f>
        <v>20263.424518743668</v>
      </c>
      <c r="P1146" s="3">
        <f t="shared" si="42"/>
        <v>4052.6849037487336</v>
      </c>
      <c r="Q1146" s="11">
        <f>IFERROR(+VLOOKUP(M1146,D.sign_Lista_Data[[RESPONSABLE]:[SOFTWARE 
VALOR HORA]],5,FALSE)*D.sign_Data[[#This Row],[TIEMPO (HORAS)]],0)</f>
        <v>844.30935494765276</v>
      </c>
      <c r="R1146" s="42">
        <f>IFERROR(+VLOOKUP(M1146,D.sign_Lista_Data[[RESPONSABLE]:[SOFTWARE 
VALOR HORA]],8,FALSE)*D.sign_Data[[#This Row],[TIEMPO (HORAS)]],0)</f>
        <v>682.17097742879673</v>
      </c>
      <c r="S1146" s="99">
        <v>0</v>
      </c>
      <c r="T1146" s="99">
        <v>0</v>
      </c>
      <c r="U1146" s="3">
        <f t="shared" si="43"/>
        <v>5579.1652361251827</v>
      </c>
      <c r="V1146" s="100">
        <f>D.sign_Data[[#This Row],[TIEMPO (HORAS)]]*Gastos_Operativos[[#Totals],[GASTOS HORA]]</f>
        <v>5557.8954144620802</v>
      </c>
      <c r="W1146" s="3">
        <f>+D.sign_Data[[#This Row],[COSTO 
DIRECTO ($COP)]]+D.sign_Data[[#This Row],[PRORRATEO GASTOS ($COP)]]</f>
        <v>11137.060650587264</v>
      </c>
      <c r="X1146" s="101">
        <v>0.1</v>
      </c>
      <c r="Y1146" s="15">
        <f>+D.sign_Data[[#This Row],[COSTOS OPERACIONALES ($COP)]]*D.sign_Data[[#This Row],[DESFASE (%)]]</f>
        <v>1113.7060650587264</v>
      </c>
      <c r="Z1146" s="101">
        <v>0.3</v>
      </c>
      <c r="AA1146" s="15">
        <f>+((D.sign_Data[[#This Row],[COSTOS OPERACIONALES ($COP)]]/(100%-D.sign_Data[[#This Row],[UTILIDAD (%)]])))-D.sign_Data[[#This Row],[COSTOS OPERACIONALES ($COP)]]</f>
        <v>4773.0259931088276</v>
      </c>
      <c r="AB1146" s="3">
        <f>+D.sign_Data[[#This Row],[COSTOS OPERACIONALES ($COP)]]+D.sign_Data[[#This Row],[DESFASE ($COP)]]+D.sign_Data[[#This Row],[UTILIDAD ($COP)]]</f>
        <v>17023.792708754816</v>
      </c>
      <c r="AC1146" s="101">
        <v>0.05</v>
      </c>
      <c r="AD1146" s="15">
        <f>+D.sign_Data[[#This Row],[VALOR NETO ($COP)]]/(100%-D.sign_Data[[#This Row],[MARGEN DE NEGOCIACIÓN (%)]])-D.sign_Data[[#This Row],[VALOR NETO ($COP)]]</f>
        <v>895.98908993446457</v>
      </c>
      <c r="AE1146" s="15">
        <f>+(D.sign_Data[[#This Row],[VALOR NETO ($COP)]]+D.sign_Data[[#This Row],[NEGOCIACIÓN ($COP)]])*1%</f>
        <v>179.1978179868928</v>
      </c>
      <c r="AF1146" s="15">
        <f>+(D.sign_Data[[#This Row],[VALOR NETO ($COP)]]+D.sign_Data[[#This Row],[NEGOCIACIÓN ($COP)]])*1%</f>
        <v>179.1978179868928</v>
      </c>
      <c r="AG1146" s="3">
        <f>+D.sign_Data[[#This Row],[VALOR NETO ($COP)]]+D.sign_Data[[#This Row],[NEGOCIACIÓN ($COP)]]+D.sign_Data[[#This Row],[ICA ($COP)]]+D.sign_Data[[#This Row],[4 * 1000 ($COP)]]</f>
        <v>18278.177434663066</v>
      </c>
    </row>
    <row r="1147" spans="1:33" ht="60" hidden="1" customHeight="1" x14ac:dyDescent="0.25">
      <c r="A1147" s="14"/>
      <c r="B1147" s="87" t="s">
        <v>418</v>
      </c>
      <c r="C1147" s="182" t="s">
        <v>385</v>
      </c>
      <c r="D1147" s="189" t="str">
        <f>VLOOKUP(D.sign_Data[[#This Row],[CÓDIGO]],Descripciones[[CÓDIGO]:[NOMBRE DE SERVICIO]],3,FALSE)</f>
        <v>D0. Proyecto</v>
      </c>
      <c r="E1147" s="87" t="s">
        <v>1046</v>
      </c>
      <c r="F1147" s="88" t="s">
        <v>390</v>
      </c>
      <c r="G1147" s="88" t="s">
        <v>411</v>
      </c>
      <c r="H1147" s="87" t="s">
        <v>423</v>
      </c>
      <c r="I1147" s="89">
        <v>1</v>
      </c>
      <c r="J1147" s="88" t="s">
        <v>404</v>
      </c>
      <c r="K1147" s="102"/>
      <c r="L1147" s="88" t="s">
        <v>412</v>
      </c>
      <c r="M1147" s="89" t="s">
        <v>381</v>
      </c>
      <c r="N1147" s="90">
        <v>0.5</v>
      </c>
      <c r="O1147" s="27">
        <f>IFERROR(+VLOOKUP(M1147,D.sign_Lista_Data[[RESPONSABLE]:[SOFTWARE 
VALOR HORA]],3,FALSE),"0")</f>
        <v>20263.424518743668</v>
      </c>
      <c r="P1147" s="3">
        <f t="shared" si="42"/>
        <v>10131.712259371834</v>
      </c>
      <c r="Q1147" s="11">
        <f>IFERROR(+VLOOKUP(M1147,D.sign_Lista_Data[[RESPONSABLE]:[SOFTWARE 
VALOR HORA]],5,FALSE)*D.sign_Data[[#This Row],[TIEMPO (HORAS)]],0)</f>
        <v>2110.7733873691318</v>
      </c>
      <c r="R1147" s="42">
        <f>IFERROR(+VLOOKUP(M1147,D.sign_Lista_Data[[RESPONSABLE]:[SOFTWARE 
VALOR HORA]],8,FALSE)*D.sign_Data[[#This Row],[TIEMPO (HORAS)]],0)</f>
        <v>1705.4274435719917</v>
      </c>
      <c r="S1147" s="99">
        <v>0</v>
      </c>
      <c r="T1147" s="99">
        <v>0</v>
      </c>
      <c r="U1147" s="3">
        <f t="shared" si="43"/>
        <v>13947.913090312959</v>
      </c>
      <c r="V1147" s="100">
        <f>D.sign_Data[[#This Row],[TIEMPO (HORAS)]]*Gastos_Operativos[[#Totals],[GASTOS HORA]]</f>
        <v>13894.738536155201</v>
      </c>
      <c r="W1147" s="3">
        <f>+D.sign_Data[[#This Row],[COSTO 
DIRECTO ($COP)]]+D.sign_Data[[#This Row],[PRORRATEO GASTOS ($COP)]]</f>
        <v>27842.65162646816</v>
      </c>
      <c r="X1147" s="101">
        <v>0.1</v>
      </c>
      <c r="Y1147" s="15">
        <f>+D.sign_Data[[#This Row],[COSTOS OPERACIONALES ($COP)]]*D.sign_Data[[#This Row],[DESFASE (%)]]</f>
        <v>2784.265162646816</v>
      </c>
      <c r="Z1147" s="101">
        <v>0.3</v>
      </c>
      <c r="AA1147" s="15">
        <f>+((D.sign_Data[[#This Row],[COSTOS OPERACIONALES ($COP)]]/(100%-D.sign_Data[[#This Row],[UTILIDAD (%)]])))-D.sign_Data[[#This Row],[COSTOS OPERACIONALES ($COP)]]</f>
        <v>11932.564982772074</v>
      </c>
      <c r="AB1147" s="3">
        <f>+D.sign_Data[[#This Row],[COSTOS OPERACIONALES ($COP)]]+D.sign_Data[[#This Row],[DESFASE ($COP)]]+D.sign_Data[[#This Row],[UTILIDAD ($COP)]]</f>
        <v>42559.481771887047</v>
      </c>
      <c r="AC1147" s="101">
        <v>0.05</v>
      </c>
      <c r="AD1147" s="15">
        <f>+D.sign_Data[[#This Row],[VALOR NETO ($COP)]]/(100%-D.sign_Data[[#This Row],[MARGEN DE NEGOCIACIÓN (%)]])-D.sign_Data[[#This Row],[VALOR NETO ($COP)]]</f>
        <v>2239.9727248361596</v>
      </c>
      <c r="AE1147" s="15">
        <f>+(D.sign_Data[[#This Row],[VALOR NETO ($COP)]]+D.sign_Data[[#This Row],[NEGOCIACIÓN ($COP)]])*1%</f>
        <v>447.99454496723206</v>
      </c>
      <c r="AF1147" s="15">
        <f>+(D.sign_Data[[#This Row],[VALOR NETO ($COP)]]+D.sign_Data[[#This Row],[NEGOCIACIÓN ($COP)]])*1%</f>
        <v>447.99454496723206</v>
      </c>
      <c r="AG1147" s="3">
        <f>+D.sign_Data[[#This Row],[VALOR NETO ($COP)]]+D.sign_Data[[#This Row],[NEGOCIACIÓN ($COP)]]+D.sign_Data[[#This Row],[ICA ($COP)]]+D.sign_Data[[#This Row],[4 * 1000 ($COP)]]</f>
        <v>45695.443586657668</v>
      </c>
    </row>
    <row r="1148" spans="1:33" ht="60" hidden="1" customHeight="1" x14ac:dyDescent="0.25">
      <c r="A1148" s="14"/>
      <c r="B1148" s="87" t="s">
        <v>418</v>
      </c>
      <c r="C1148" s="182" t="s">
        <v>385</v>
      </c>
      <c r="D1148" s="189" t="str">
        <f>VLOOKUP(D.sign_Data[[#This Row],[CÓDIGO]],Descripciones[[CÓDIGO]:[NOMBRE DE SERVICIO]],3,FALSE)</f>
        <v>D0. Proyecto</v>
      </c>
      <c r="E1148" s="87" t="s">
        <v>1046</v>
      </c>
      <c r="F1148" s="88" t="s">
        <v>390</v>
      </c>
      <c r="G1148" s="88" t="s">
        <v>403</v>
      </c>
      <c r="H1148" s="87" t="s">
        <v>423</v>
      </c>
      <c r="I1148" s="89">
        <v>1</v>
      </c>
      <c r="J1148" s="88" t="s">
        <v>404</v>
      </c>
      <c r="K1148" s="102"/>
      <c r="L1148" s="88" t="s">
        <v>405</v>
      </c>
      <c r="M1148" s="89" t="s">
        <v>381</v>
      </c>
      <c r="N1148" s="90">
        <v>0.5</v>
      </c>
      <c r="O1148" s="27">
        <f>IFERROR(+VLOOKUP(M1148,D.sign_Lista_Data[[RESPONSABLE]:[SOFTWARE 
VALOR HORA]],3,FALSE),"0")</f>
        <v>20263.424518743668</v>
      </c>
      <c r="P1148" s="3">
        <f t="shared" si="42"/>
        <v>10131.712259371834</v>
      </c>
      <c r="Q1148" s="11">
        <f>IFERROR(+VLOOKUP(M1148,D.sign_Lista_Data[[RESPONSABLE]:[SOFTWARE 
VALOR HORA]],5,FALSE)*D.sign_Data[[#This Row],[TIEMPO (HORAS)]],0)</f>
        <v>2110.7733873691318</v>
      </c>
      <c r="R1148" s="42">
        <f>IFERROR(+VLOOKUP(M1148,D.sign_Lista_Data[[RESPONSABLE]:[SOFTWARE 
VALOR HORA]],8,FALSE)*D.sign_Data[[#This Row],[TIEMPO (HORAS)]],0)</f>
        <v>1705.4274435719917</v>
      </c>
      <c r="S1148" s="99">
        <v>0</v>
      </c>
      <c r="T1148" s="99">
        <v>0</v>
      </c>
      <c r="U1148" s="3">
        <f t="shared" si="43"/>
        <v>13947.913090312959</v>
      </c>
      <c r="V1148" s="100">
        <f>D.sign_Data[[#This Row],[TIEMPO (HORAS)]]*Gastos_Operativos[[#Totals],[GASTOS HORA]]</f>
        <v>13894.738536155201</v>
      </c>
      <c r="W1148" s="3">
        <f>+D.sign_Data[[#This Row],[COSTO 
DIRECTO ($COP)]]+D.sign_Data[[#This Row],[PRORRATEO GASTOS ($COP)]]</f>
        <v>27842.65162646816</v>
      </c>
      <c r="X1148" s="101">
        <v>0.1</v>
      </c>
      <c r="Y1148" s="15">
        <f>+D.sign_Data[[#This Row],[COSTOS OPERACIONALES ($COP)]]*D.sign_Data[[#This Row],[DESFASE (%)]]</f>
        <v>2784.265162646816</v>
      </c>
      <c r="Z1148" s="101">
        <v>0.3</v>
      </c>
      <c r="AA1148" s="15">
        <f>+((D.sign_Data[[#This Row],[COSTOS OPERACIONALES ($COP)]]/(100%-D.sign_Data[[#This Row],[UTILIDAD (%)]])))-D.sign_Data[[#This Row],[COSTOS OPERACIONALES ($COP)]]</f>
        <v>11932.564982772074</v>
      </c>
      <c r="AB1148" s="3">
        <f>+D.sign_Data[[#This Row],[COSTOS OPERACIONALES ($COP)]]+D.sign_Data[[#This Row],[DESFASE ($COP)]]+D.sign_Data[[#This Row],[UTILIDAD ($COP)]]</f>
        <v>42559.481771887047</v>
      </c>
      <c r="AC1148" s="101">
        <v>0.05</v>
      </c>
      <c r="AD1148" s="15">
        <f>+D.sign_Data[[#This Row],[VALOR NETO ($COP)]]/(100%-D.sign_Data[[#This Row],[MARGEN DE NEGOCIACIÓN (%)]])-D.sign_Data[[#This Row],[VALOR NETO ($COP)]]</f>
        <v>2239.9727248361596</v>
      </c>
      <c r="AE1148" s="15">
        <f>+(D.sign_Data[[#This Row],[VALOR NETO ($COP)]]+D.sign_Data[[#This Row],[NEGOCIACIÓN ($COP)]])*1%</f>
        <v>447.99454496723206</v>
      </c>
      <c r="AF1148" s="15">
        <f>+(D.sign_Data[[#This Row],[VALOR NETO ($COP)]]+D.sign_Data[[#This Row],[NEGOCIACIÓN ($COP)]])*1%</f>
        <v>447.99454496723206</v>
      </c>
      <c r="AG1148" s="3">
        <f>+D.sign_Data[[#This Row],[VALOR NETO ($COP)]]+D.sign_Data[[#This Row],[NEGOCIACIÓN ($COP)]]+D.sign_Data[[#This Row],[ICA ($COP)]]+D.sign_Data[[#This Row],[4 * 1000 ($COP)]]</f>
        <v>45695.443586657668</v>
      </c>
    </row>
    <row r="1149" spans="1:33" ht="60" hidden="1" customHeight="1" x14ac:dyDescent="0.25">
      <c r="A1149" s="14"/>
      <c r="B1149" s="87" t="s">
        <v>418</v>
      </c>
      <c r="C1149" s="182" t="s">
        <v>385</v>
      </c>
      <c r="D1149" s="189" t="str">
        <f>VLOOKUP(D.sign_Data[[#This Row],[CÓDIGO]],Descripciones[[CÓDIGO]:[NOMBRE DE SERVICIO]],3,FALSE)</f>
        <v>D0. Proyecto</v>
      </c>
      <c r="E1149" s="87" t="s">
        <v>1046</v>
      </c>
      <c r="F1149" s="88" t="s">
        <v>390</v>
      </c>
      <c r="G1149" s="88" t="s">
        <v>403</v>
      </c>
      <c r="H1149" s="87" t="s">
        <v>423</v>
      </c>
      <c r="I1149" s="89">
        <v>1</v>
      </c>
      <c r="J1149" s="88" t="s">
        <v>409</v>
      </c>
      <c r="K1149" s="102"/>
      <c r="L1149" s="88" t="s">
        <v>410</v>
      </c>
      <c r="M1149" s="89" t="s">
        <v>381</v>
      </c>
      <c r="N1149" s="90">
        <v>4</v>
      </c>
      <c r="O1149" s="27">
        <f>IFERROR(+VLOOKUP(M1149,D.sign_Lista_Data[[RESPONSABLE]:[SOFTWARE 
VALOR HORA]],3,FALSE),"0")</f>
        <v>20263.424518743668</v>
      </c>
      <c r="P1149" s="3">
        <f t="shared" si="42"/>
        <v>81053.698074974673</v>
      </c>
      <c r="Q1149" s="11">
        <f>IFERROR(+VLOOKUP(M1149,D.sign_Lista_Data[[RESPONSABLE]:[SOFTWARE 
VALOR HORA]],5,FALSE)*D.sign_Data[[#This Row],[TIEMPO (HORAS)]],0)</f>
        <v>16886.187098953054</v>
      </c>
      <c r="R1149" s="42">
        <f>IFERROR(+VLOOKUP(M1149,D.sign_Lista_Data[[RESPONSABLE]:[SOFTWARE 
VALOR HORA]],8,FALSE)*D.sign_Data[[#This Row],[TIEMPO (HORAS)]],0)</f>
        <v>13643.419548575934</v>
      </c>
      <c r="S1149" s="99">
        <v>0</v>
      </c>
      <c r="T1149" s="99">
        <v>0</v>
      </c>
      <c r="U1149" s="3">
        <f t="shared" si="43"/>
        <v>111583.30472250367</v>
      </c>
      <c r="V1149" s="100">
        <f>D.sign_Data[[#This Row],[TIEMPO (HORAS)]]*Gastos_Operativos[[#Totals],[GASTOS HORA]]</f>
        <v>111157.9082892416</v>
      </c>
      <c r="W1149" s="3">
        <f>+D.sign_Data[[#This Row],[COSTO 
DIRECTO ($COP)]]+D.sign_Data[[#This Row],[PRORRATEO GASTOS ($COP)]]</f>
        <v>222741.21301174528</v>
      </c>
      <c r="X1149" s="101">
        <v>0.1</v>
      </c>
      <c r="Y1149" s="15">
        <f>+D.sign_Data[[#This Row],[COSTOS OPERACIONALES ($COP)]]*D.sign_Data[[#This Row],[DESFASE (%)]]</f>
        <v>22274.121301174528</v>
      </c>
      <c r="Z1149" s="101">
        <v>0.3</v>
      </c>
      <c r="AA1149" s="15">
        <f>+((D.sign_Data[[#This Row],[COSTOS OPERACIONALES ($COP)]]/(100%-D.sign_Data[[#This Row],[UTILIDAD (%)]])))-D.sign_Data[[#This Row],[COSTOS OPERACIONALES ($COP)]]</f>
        <v>95460.519862176589</v>
      </c>
      <c r="AB1149" s="3">
        <f>+D.sign_Data[[#This Row],[COSTOS OPERACIONALES ($COP)]]+D.sign_Data[[#This Row],[DESFASE ($COP)]]+D.sign_Data[[#This Row],[UTILIDAD ($COP)]]</f>
        <v>340475.85417509638</v>
      </c>
      <c r="AC1149" s="101">
        <v>0.05</v>
      </c>
      <c r="AD1149" s="15">
        <f>+D.sign_Data[[#This Row],[VALOR NETO ($COP)]]/(100%-D.sign_Data[[#This Row],[MARGEN DE NEGOCIACIÓN (%)]])-D.sign_Data[[#This Row],[VALOR NETO ($COP)]]</f>
        <v>17919.781798689277</v>
      </c>
      <c r="AE1149" s="15">
        <f>+(D.sign_Data[[#This Row],[VALOR NETO ($COP)]]+D.sign_Data[[#This Row],[NEGOCIACIÓN ($COP)]])*1%</f>
        <v>3583.9563597378565</v>
      </c>
      <c r="AF1149" s="15">
        <f>+(D.sign_Data[[#This Row],[VALOR NETO ($COP)]]+D.sign_Data[[#This Row],[NEGOCIACIÓN ($COP)]])*1%</f>
        <v>3583.9563597378565</v>
      </c>
      <c r="AG1149" s="3">
        <f>+D.sign_Data[[#This Row],[VALOR NETO ($COP)]]+D.sign_Data[[#This Row],[NEGOCIACIÓN ($COP)]]+D.sign_Data[[#This Row],[ICA ($COP)]]+D.sign_Data[[#This Row],[4 * 1000 ($COP)]]</f>
        <v>365563.54869326134</v>
      </c>
    </row>
    <row r="1150" spans="1:33" ht="60" hidden="1" customHeight="1" x14ac:dyDescent="0.25">
      <c r="A1150" s="14"/>
      <c r="B1150" s="87" t="s">
        <v>418</v>
      </c>
      <c r="C1150" s="182" t="s">
        <v>1048</v>
      </c>
      <c r="D1150" s="189" t="str">
        <f>VLOOKUP(D.sign_Data[[#This Row],[CÓDIGO]],Descripciones[[CÓDIGO]:[NOMBRE DE SERVICIO]],3,FALSE)</f>
        <v>D0. Proyecto</v>
      </c>
      <c r="E1150" s="87" t="s">
        <v>1046</v>
      </c>
      <c r="F1150" s="88" t="s">
        <v>1049</v>
      </c>
      <c r="G1150" s="88" t="s">
        <v>403</v>
      </c>
      <c r="H1150" s="87" t="s">
        <v>1050</v>
      </c>
      <c r="I1150" s="89">
        <v>1</v>
      </c>
      <c r="J1150" s="88" t="s">
        <v>981</v>
      </c>
      <c r="K1150" s="102"/>
      <c r="L1150" s="88" t="s">
        <v>1051</v>
      </c>
      <c r="M1150" s="89" t="s">
        <v>381</v>
      </c>
      <c r="N1150" s="90">
        <v>0.2</v>
      </c>
      <c r="O1150" s="27">
        <f>IFERROR(+VLOOKUP(M1150,D.sign_Lista_Data[[RESPONSABLE]:[SOFTWARE 
VALOR HORA]],3,FALSE),"0")</f>
        <v>20263.424518743668</v>
      </c>
      <c r="P1150" s="3">
        <f t="shared" si="42"/>
        <v>4052.6849037487336</v>
      </c>
      <c r="Q1150" s="11">
        <f>IFERROR(+VLOOKUP(M1150,D.sign_Lista_Data[[RESPONSABLE]:[SOFTWARE 
VALOR HORA]],5,FALSE)*D.sign_Data[[#This Row],[TIEMPO (HORAS)]],0)</f>
        <v>844.30935494765276</v>
      </c>
      <c r="R1150" s="42">
        <f>IFERROR(+VLOOKUP(M1150,D.sign_Lista_Data[[RESPONSABLE]:[SOFTWARE 
VALOR HORA]],8,FALSE)*D.sign_Data[[#This Row],[TIEMPO (HORAS)]],0)</f>
        <v>682.17097742879673</v>
      </c>
      <c r="S1150" s="99">
        <v>0</v>
      </c>
      <c r="T1150" s="99">
        <v>0</v>
      </c>
      <c r="U1150" s="3">
        <f t="shared" si="43"/>
        <v>5579.1652361251827</v>
      </c>
      <c r="V1150" s="100">
        <f>D.sign_Data[[#This Row],[TIEMPO (HORAS)]]*Gastos_Operativos[[#Totals],[GASTOS HORA]]</f>
        <v>5557.8954144620802</v>
      </c>
      <c r="W1150" s="3">
        <f>+D.sign_Data[[#This Row],[COSTO 
DIRECTO ($COP)]]+D.sign_Data[[#This Row],[PRORRATEO GASTOS ($COP)]]</f>
        <v>11137.060650587264</v>
      </c>
      <c r="X1150" s="101">
        <v>0.1</v>
      </c>
      <c r="Y1150" s="15">
        <f>+D.sign_Data[[#This Row],[COSTOS OPERACIONALES ($COP)]]*D.sign_Data[[#This Row],[DESFASE (%)]]</f>
        <v>1113.7060650587264</v>
      </c>
      <c r="Z1150" s="101">
        <v>0.3</v>
      </c>
      <c r="AA1150" s="15">
        <f>+((D.sign_Data[[#This Row],[COSTOS OPERACIONALES ($COP)]]/(100%-D.sign_Data[[#This Row],[UTILIDAD (%)]])))-D.sign_Data[[#This Row],[COSTOS OPERACIONALES ($COP)]]</f>
        <v>4773.0259931088276</v>
      </c>
      <c r="AB1150" s="3">
        <f>+D.sign_Data[[#This Row],[COSTOS OPERACIONALES ($COP)]]+D.sign_Data[[#This Row],[DESFASE ($COP)]]+D.sign_Data[[#This Row],[UTILIDAD ($COP)]]</f>
        <v>17023.792708754816</v>
      </c>
      <c r="AC1150" s="101">
        <v>0.05</v>
      </c>
      <c r="AD1150" s="15">
        <f>+D.sign_Data[[#This Row],[VALOR NETO ($COP)]]/(100%-D.sign_Data[[#This Row],[MARGEN DE NEGOCIACIÓN (%)]])-D.sign_Data[[#This Row],[VALOR NETO ($COP)]]</f>
        <v>895.98908993446457</v>
      </c>
      <c r="AE1150" s="15">
        <f>+(D.sign_Data[[#This Row],[VALOR NETO ($COP)]]+D.sign_Data[[#This Row],[NEGOCIACIÓN ($COP)]])*1%</f>
        <v>179.1978179868928</v>
      </c>
      <c r="AF1150" s="15">
        <f>+(D.sign_Data[[#This Row],[VALOR NETO ($COP)]]+D.sign_Data[[#This Row],[NEGOCIACIÓN ($COP)]])*1%</f>
        <v>179.1978179868928</v>
      </c>
      <c r="AG1150" s="3">
        <f>+D.sign_Data[[#This Row],[VALOR NETO ($COP)]]+D.sign_Data[[#This Row],[NEGOCIACIÓN ($COP)]]+D.sign_Data[[#This Row],[ICA ($COP)]]+D.sign_Data[[#This Row],[4 * 1000 ($COP)]]</f>
        <v>18278.177434663066</v>
      </c>
    </row>
    <row r="1151" spans="1:33" ht="60" hidden="1" customHeight="1" x14ac:dyDescent="0.25">
      <c r="A1151" s="14"/>
      <c r="B1151" s="87" t="s">
        <v>418</v>
      </c>
      <c r="C1151" s="182" t="s">
        <v>1048</v>
      </c>
      <c r="D1151" s="189" t="str">
        <f>VLOOKUP(D.sign_Data[[#This Row],[CÓDIGO]],Descripciones[[CÓDIGO]:[NOMBRE DE SERVICIO]],3,FALSE)</f>
        <v>D0. Proyecto</v>
      </c>
      <c r="E1151" s="87" t="s">
        <v>1046</v>
      </c>
      <c r="F1151" s="88" t="s">
        <v>1049</v>
      </c>
      <c r="G1151" s="88" t="s">
        <v>403</v>
      </c>
      <c r="H1151" s="87" t="s">
        <v>1050</v>
      </c>
      <c r="I1151" s="89">
        <v>1</v>
      </c>
      <c r="J1151" s="88" t="s">
        <v>981</v>
      </c>
      <c r="K1151" s="102"/>
      <c r="L1151" s="88" t="s">
        <v>1052</v>
      </c>
      <c r="M1151" s="89" t="s">
        <v>381</v>
      </c>
      <c r="N1151" s="90">
        <v>1</v>
      </c>
      <c r="O1151" s="27">
        <f>IFERROR(+VLOOKUP(M1151,D.sign_Lista_Data[[RESPONSABLE]:[SOFTWARE 
VALOR HORA]],3,FALSE),"0")</f>
        <v>20263.424518743668</v>
      </c>
      <c r="P1151" s="3">
        <f t="shared" si="42"/>
        <v>20263.424518743668</v>
      </c>
      <c r="Q1151" s="11">
        <f>IFERROR(+VLOOKUP(M1151,D.sign_Lista_Data[[RESPONSABLE]:[SOFTWARE 
VALOR HORA]],5,FALSE)*D.sign_Data[[#This Row],[TIEMPO (HORAS)]],0)</f>
        <v>4221.5467747382636</v>
      </c>
      <c r="R1151" s="42">
        <f>IFERROR(+VLOOKUP(M1151,D.sign_Lista_Data[[RESPONSABLE]:[SOFTWARE 
VALOR HORA]],8,FALSE)*D.sign_Data[[#This Row],[TIEMPO (HORAS)]],0)</f>
        <v>3410.8548871439834</v>
      </c>
      <c r="S1151" s="99">
        <v>0</v>
      </c>
      <c r="T1151" s="99">
        <v>0</v>
      </c>
      <c r="U1151" s="3">
        <f t="shared" si="43"/>
        <v>27895.826180625918</v>
      </c>
      <c r="V1151" s="100">
        <f>D.sign_Data[[#This Row],[TIEMPO (HORAS)]]*Gastos_Operativos[[#Totals],[GASTOS HORA]]</f>
        <v>27789.477072310401</v>
      </c>
      <c r="W1151" s="3">
        <f>+D.sign_Data[[#This Row],[COSTO 
DIRECTO ($COP)]]+D.sign_Data[[#This Row],[PRORRATEO GASTOS ($COP)]]</f>
        <v>55685.303252936319</v>
      </c>
      <c r="X1151" s="101">
        <v>0.1</v>
      </c>
      <c r="Y1151" s="15">
        <f>+D.sign_Data[[#This Row],[COSTOS OPERACIONALES ($COP)]]*D.sign_Data[[#This Row],[DESFASE (%)]]</f>
        <v>5568.5303252936319</v>
      </c>
      <c r="Z1151" s="101">
        <v>0.3</v>
      </c>
      <c r="AA1151" s="15">
        <f>+((D.sign_Data[[#This Row],[COSTOS OPERACIONALES ($COP)]]/(100%-D.sign_Data[[#This Row],[UTILIDAD (%)]])))-D.sign_Data[[#This Row],[COSTOS OPERACIONALES ($COP)]]</f>
        <v>23865.129965544147</v>
      </c>
      <c r="AB1151" s="3">
        <f>+D.sign_Data[[#This Row],[COSTOS OPERACIONALES ($COP)]]+D.sign_Data[[#This Row],[DESFASE ($COP)]]+D.sign_Data[[#This Row],[UTILIDAD ($COP)]]</f>
        <v>85118.963543774094</v>
      </c>
      <c r="AC1151" s="101">
        <v>0.05</v>
      </c>
      <c r="AD1151" s="15">
        <f>+D.sign_Data[[#This Row],[VALOR NETO ($COP)]]/(100%-D.sign_Data[[#This Row],[MARGEN DE NEGOCIACIÓN (%)]])-D.sign_Data[[#This Row],[VALOR NETO ($COP)]]</f>
        <v>4479.9454496723192</v>
      </c>
      <c r="AE1151" s="15">
        <f>+(D.sign_Data[[#This Row],[VALOR NETO ($COP)]]+D.sign_Data[[#This Row],[NEGOCIACIÓN ($COP)]])*1%</f>
        <v>895.98908993446412</v>
      </c>
      <c r="AF1151" s="15">
        <f>+(D.sign_Data[[#This Row],[VALOR NETO ($COP)]]+D.sign_Data[[#This Row],[NEGOCIACIÓN ($COP)]])*1%</f>
        <v>895.98908993446412</v>
      </c>
      <c r="AG1151" s="3">
        <f>+D.sign_Data[[#This Row],[VALOR NETO ($COP)]]+D.sign_Data[[#This Row],[NEGOCIACIÓN ($COP)]]+D.sign_Data[[#This Row],[ICA ($COP)]]+D.sign_Data[[#This Row],[4 * 1000 ($COP)]]</f>
        <v>91390.887173315336</v>
      </c>
    </row>
    <row r="1152" spans="1:33" ht="60" hidden="1" customHeight="1" x14ac:dyDescent="0.25">
      <c r="A1152" s="14"/>
      <c r="B1152" s="87" t="s">
        <v>418</v>
      </c>
      <c r="C1152" s="182" t="s">
        <v>1048</v>
      </c>
      <c r="D1152" s="189" t="str">
        <f>VLOOKUP(D.sign_Data[[#This Row],[CÓDIGO]],Descripciones[[CÓDIGO]:[NOMBRE DE SERVICIO]],3,FALSE)</f>
        <v>D0. Proyecto</v>
      </c>
      <c r="E1152" s="87" t="s">
        <v>1046</v>
      </c>
      <c r="F1152" s="88" t="s">
        <v>1049</v>
      </c>
      <c r="G1152" s="88" t="s">
        <v>403</v>
      </c>
      <c r="H1152" s="87" t="s">
        <v>1050</v>
      </c>
      <c r="I1152" s="89">
        <v>1</v>
      </c>
      <c r="J1152" s="88" t="s">
        <v>1053</v>
      </c>
      <c r="K1152" s="102"/>
      <c r="L1152" s="88" t="s">
        <v>1054</v>
      </c>
      <c r="M1152" s="89" t="s">
        <v>381</v>
      </c>
      <c r="N1152" s="90">
        <v>2</v>
      </c>
      <c r="O1152" s="27">
        <f>IFERROR(+VLOOKUP(M1152,D.sign_Lista_Data[[RESPONSABLE]:[SOFTWARE 
VALOR HORA]],3,FALSE),"0")</f>
        <v>20263.424518743668</v>
      </c>
      <c r="P1152" s="3">
        <f t="shared" si="42"/>
        <v>40526.849037487336</v>
      </c>
      <c r="Q1152" s="11">
        <f>IFERROR(+VLOOKUP(M1152,D.sign_Lista_Data[[RESPONSABLE]:[SOFTWARE 
VALOR HORA]],5,FALSE)*D.sign_Data[[#This Row],[TIEMPO (HORAS)]],0)</f>
        <v>8443.0935494765272</v>
      </c>
      <c r="R1152" s="42">
        <f>IFERROR(+VLOOKUP(M1152,D.sign_Lista_Data[[RESPONSABLE]:[SOFTWARE 
VALOR HORA]],8,FALSE)*D.sign_Data[[#This Row],[TIEMPO (HORAS)]],0)</f>
        <v>6821.7097742879669</v>
      </c>
      <c r="S1152" s="99">
        <v>0</v>
      </c>
      <c r="T1152" s="99">
        <v>0</v>
      </c>
      <c r="U1152" s="3">
        <f t="shared" si="43"/>
        <v>55791.652361251836</v>
      </c>
      <c r="V1152" s="100">
        <f>D.sign_Data[[#This Row],[TIEMPO (HORAS)]]*Gastos_Operativos[[#Totals],[GASTOS HORA]]</f>
        <v>55578.954144620802</v>
      </c>
      <c r="W1152" s="3">
        <f>+D.sign_Data[[#This Row],[COSTO 
DIRECTO ($COP)]]+D.sign_Data[[#This Row],[PRORRATEO GASTOS ($COP)]]</f>
        <v>111370.60650587264</v>
      </c>
      <c r="X1152" s="101">
        <v>0.1</v>
      </c>
      <c r="Y1152" s="15">
        <f>+D.sign_Data[[#This Row],[COSTOS OPERACIONALES ($COP)]]*D.sign_Data[[#This Row],[DESFASE (%)]]</f>
        <v>11137.060650587264</v>
      </c>
      <c r="Z1152" s="101">
        <v>0.3</v>
      </c>
      <c r="AA1152" s="15">
        <f>+((D.sign_Data[[#This Row],[COSTOS OPERACIONALES ($COP)]]/(100%-D.sign_Data[[#This Row],[UTILIDAD (%)]])))-D.sign_Data[[#This Row],[COSTOS OPERACIONALES ($COP)]]</f>
        <v>47730.259931088294</v>
      </c>
      <c r="AB1152" s="3">
        <f>+D.sign_Data[[#This Row],[COSTOS OPERACIONALES ($COP)]]+D.sign_Data[[#This Row],[DESFASE ($COP)]]+D.sign_Data[[#This Row],[UTILIDAD ($COP)]]</f>
        <v>170237.92708754819</v>
      </c>
      <c r="AC1152" s="101">
        <v>0.05</v>
      </c>
      <c r="AD1152" s="15">
        <f>+D.sign_Data[[#This Row],[VALOR NETO ($COP)]]/(100%-D.sign_Data[[#This Row],[MARGEN DE NEGOCIACIÓN (%)]])-D.sign_Data[[#This Row],[VALOR NETO ($COP)]]</f>
        <v>8959.8908993446385</v>
      </c>
      <c r="AE1152" s="15">
        <f>+(D.sign_Data[[#This Row],[VALOR NETO ($COP)]]+D.sign_Data[[#This Row],[NEGOCIACIÓN ($COP)]])*1%</f>
        <v>1791.9781798689282</v>
      </c>
      <c r="AF1152" s="15">
        <f>+(D.sign_Data[[#This Row],[VALOR NETO ($COP)]]+D.sign_Data[[#This Row],[NEGOCIACIÓN ($COP)]])*1%</f>
        <v>1791.9781798689282</v>
      </c>
      <c r="AG1152" s="3">
        <f>+D.sign_Data[[#This Row],[VALOR NETO ($COP)]]+D.sign_Data[[#This Row],[NEGOCIACIÓN ($COP)]]+D.sign_Data[[#This Row],[ICA ($COP)]]+D.sign_Data[[#This Row],[4 * 1000 ($COP)]]</f>
        <v>182781.77434663067</v>
      </c>
    </row>
    <row r="1153" spans="1:33" ht="60" hidden="1" customHeight="1" x14ac:dyDescent="0.25">
      <c r="A1153" s="14"/>
      <c r="B1153" s="87" t="s">
        <v>418</v>
      </c>
      <c r="C1153" s="182" t="s">
        <v>1048</v>
      </c>
      <c r="D1153" s="189" t="str">
        <f>VLOOKUP(D.sign_Data[[#This Row],[CÓDIGO]],Descripciones[[CÓDIGO]:[NOMBRE DE SERVICIO]],3,FALSE)</f>
        <v>D0. Proyecto</v>
      </c>
      <c r="E1153" s="87" t="s">
        <v>1046</v>
      </c>
      <c r="F1153" s="88" t="s">
        <v>1049</v>
      </c>
      <c r="G1153" s="88" t="s">
        <v>1055</v>
      </c>
      <c r="H1153" s="87" t="s">
        <v>1056</v>
      </c>
      <c r="I1153" s="89">
        <v>1</v>
      </c>
      <c r="J1153" s="88" t="s">
        <v>1057</v>
      </c>
      <c r="K1153" s="102"/>
      <c r="L1153" s="88" t="s">
        <v>1058</v>
      </c>
      <c r="M1153" s="89" t="s">
        <v>381</v>
      </c>
      <c r="N1153" s="90">
        <v>1</v>
      </c>
      <c r="O1153" s="27">
        <f>IFERROR(+VLOOKUP(M1153,D.sign_Lista_Data[[RESPONSABLE]:[SOFTWARE 
VALOR HORA]],3,FALSE),"0")</f>
        <v>20263.424518743668</v>
      </c>
      <c r="P1153" s="3">
        <f t="shared" si="42"/>
        <v>20263.424518743668</v>
      </c>
      <c r="Q1153" s="11">
        <f>IFERROR(+VLOOKUP(M1153,D.sign_Lista_Data[[RESPONSABLE]:[SOFTWARE 
VALOR HORA]],5,FALSE)*D.sign_Data[[#This Row],[TIEMPO (HORAS)]],0)</f>
        <v>4221.5467747382636</v>
      </c>
      <c r="R1153" s="42">
        <f>IFERROR(+VLOOKUP(M1153,D.sign_Lista_Data[[RESPONSABLE]:[SOFTWARE 
VALOR HORA]],8,FALSE)*D.sign_Data[[#This Row],[TIEMPO (HORAS)]],0)</f>
        <v>3410.8548871439834</v>
      </c>
      <c r="S1153" s="99">
        <v>0</v>
      </c>
      <c r="T1153" s="99">
        <v>0</v>
      </c>
      <c r="U1153" s="3">
        <f t="shared" si="43"/>
        <v>27895.826180625918</v>
      </c>
      <c r="V1153" s="100">
        <f>D.sign_Data[[#This Row],[TIEMPO (HORAS)]]*Gastos_Operativos[[#Totals],[GASTOS HORA]]</f>
        <v>27789.477072310401</v>
      </c>
      <c r="W1153" s="3">
        <f>+D.sign_Data[[#This Row],[COSTO 
DIRECTO ($COP)]]+D.sign_Data[[#This Row],[PRORRATEO GASTOS ($COP)]]</f>
        <v>55685.303252936319</v>
      </c>
      <c r="X1153" s="101">
        <v>0.1</v>
      </c>
      <c r="Y1153" s="15">
        <f>+D.sign_Data[[#This Row],[COSTOS OPERACIONALES ($COP)]]*D.sign_Data[[#This Row],[DESFASE (%)]]</f>
        <v>5568.5303252936319</v>
      </c>
      <c r="Z1153" s="101">
        <v>0.3</v>
      </c>
      <c r="AA1153" s="15">
        <f>+((D.sign_Data[[#This Row],[COSTOS OPERACIONALES ($COP)]]/(100%-D.sign_Data[[#This Row],[UTILIDAD (%)]])))-D.sign_Data[[#This Row],[COSTOS OPERACIONALES ($COP)]]</f>
        <v>23865.129965544147</v>
      </c>
      <c r="AB1153" s="3">
        <f>+D.sign_Data[[#This Row],[COSTOS OPERACIONALES ($COP)]]+D.sign_Data[[#This Row],[DESFASE ($COP)]]+D.sign_Data[[#This Row],[UTILIDAD ($COP)]]</f>
        <v>85118.963543774094</v>
      </c>
      <c r="AC1153" s="101">
        <v>0.05</v>
      </c>
      <c r="AD1153" s="15">
        <f>+D.sign_Data[[#This Row],[VALOR NETO ($COP)]]/(100%-D.sign_Data[[#This Row],[MARGEN DE NEGOCIACIÓN (%)]])-D.sign_Data[[#This Row],[VALOR NETO ($COP)]]</f>
        <v>4479.9454496723192</v>
      </c>
      <c r="AE1153" s="15">
        <f>+(D.sign_Data[[#This Row],[VALOR NETO ($COP)]]+D.sign_Data[[#This Row],[NEGOCIACIÓN ($COP)]])*1%</f>
        <v>895.98908993446412</v>
      </c>
      <c r="AF1153" s="15">
        <f>+(D.sign_Data[[#This Row],[VALOR NETO ($COP)]]+D.sign_Data[[#This Row],[NEGOCIACIÓN ($COP)]])*1%</f>
        <v>895.98908993446412</v>
      </c>
      <c r="AG1153" s="3">
        <f>+D.sign_Data[[#This Row],[VALOR NETO ($COP)]]+D.sign_Data[[#This Row],[NEGOCIACIÓN ($COP)]]+D.sign_Data[[#This Row],[ICA ($COP)]]+D.sign_Data[[#This Row],[4 * 1000 ($COP)]]</f>
        <v>91390.887173315336</v>
      </c>
    </row>
    <row r="1154" spans="1:33" ht="60" hidden="1" customHeight="1" x14ac:dyDescent="0.25">
      <c r="A1154" s="14"/>
      <c r="B1154" s="87" t="s">
        <v>418</v>
      </c>
      <c r="C1154" s="182" t="s">
        <v>1048</v>
      </c>
      <c r="D1154" s="189" t="str">
        <f>VLOOKUP(D.sign_Data[[#This Row],[CÓDIGO]],Descripciones[[CÓDIGO]:[NOMBRE DE SERVICIO]],3,FALSE)</f>
        <v>D0. Proyecto</v>
      </c>
      <c r="E1154" s="87" t="s">
        <v>1046</v>
      </c>
      <c r="F1154" s="88" t="s">
        <v>1049</v>
      </c>
      <c r="G1154" s="88" t="s">
        <v>1055</v>
      </c>
      <c r="H1154" s="87" t="s">
        <v>1056</v>
      </c>
      <c r="I1154" s="89">
        <v>1</v>
      </c>
      <c r="J1154" s="88" t="s">
        <v>1057</v>
      </c>
      <c r="K1154" s="102"/>
      <c r="L1154" s="88" t="s">
        <v>1059</v>
      </c>
      <c r="M1154" s="89" t="s">
        <v>381</v>
      </c>
      <c r="N1154" s="90">
        <v>1</v>
      </c>
      <c r="O1154" s="27">
        <f>IFERROR(+VLOOKUP(M1154,D.sign_Lista_Data[[RESPONSABLE]:[SOFTWARE 
VALOR HORA]],3,FALSE),"0")</f>
        <v>20263.424518743668</v>
      </c>
      <c r="P1154" s="3">
        <f t="shared" si="42"/>
        <v>20263.424518743668</v>
      </c>
      <c r="Q1154" s="11">
        <f>IFERROR(+VLOOKUP(M1154,D.sign_Lista_Data[[RESPONSABLE]:[SOFTWARE 
VALOR HORA]],5,FALSE)*D.sign_Data[[#This Row],[TIEMPO (HORAS)]],0)</f>
        <v>4221.5467747382636</v>
      </c>
      <c r="R1154" s="42">
        <f>IFERROR(+VLOOKUP(M1154,D.sign_Lista_Data[[RESPONSABLE]:[SOFTWARE 
VALOR HORA]],8,FALSE)*D.sign_Data[[#This Row],[TIEMPO (HORAS)]],0)</f>
        <v>3410.8548871439834</v>
      </c>
      <c r="S1154" s="99">
        <v>0</v>
      </c>
      <c r="T1154" s="99">
        <v>0</v>
      </c>
      <c r="U1154" s="3">
        <f t="shared" si="43"/>
        <v>27895.826180625918</v>
      </c>
      <c r="V1154" s="100">
        <f>D.sign_Data[[#This Row],[TIEMPO (HORAS)]]*Gastos_Operativos[[#Totals],[GASTOS HORA]]</f>
        <v>27789.477072310401</v>
      </c>
      <c r="W1154" s="3">
        <f>+D.sign_Data[[#This Row],[COSTO 
DIRECTO ($COP)]]+D.sign_Data[[#This Row],[PRORRATEO GASTOS ($COP)]]</f>
        <v>55685.303252936319</v>
      </c>
      <c r="X1154" s="101">
        <v>0.1</v>
      </c>
      <c r="Y1154" s="15">
        <f>+D.sign_Data[[#This Row],[COSTOS OPERACIONALES ($COP)]]*D.sign_Data[[#This Row],[DESFASE (%)]]</f>
        <v>5568.5303252936319</v>
      </c>
      <c r="Z1154" s="101">
        <v>0.3</v>
      </c>
      <c r="AA1154" s="15">
        <f>+((D.sign_Data[[#This Row],[COSTOS OPERACIONALES ($COP)]]/(100%-D.sign_Data[[#This Row],[UTILIDAD (%)]])))-D.sign_Data[[#This Row],[COSTOS OPERACIONALES ($COP)]]</f>
        <v>23865.129965544147</v>
      </c>
      <c r="AB1154" s="3">
        <f>+D.sign_Data[[#This Row],[COSTOS OPERACIONALES ($COP)]]+D.sign_Data[[#This Row],[DESFASE ($COP)]]+D.sign_Data[[#This Row],[UTILIDAD ($COP)]]</f>
        <v>85118.963543774094</v>
      </c>
      <c r="AC1154" s="101">
        <v>0.05</v>
      </c>
      <c r="AD1154" s="15">
        <f>+D.sign_Data[[#This Row],[VALOR NETO ($COP)]]/(100%-D.sign_Data[[#This Row],[MARGEN DE NEGOCIACIÓN (%)]])-D.sign_Data[[#This Row],[VALOR NETO ($COP)]]</f>
        <v>4479.9454496723192</v>
      </c>
      <c r="AE1154" s="15">
        <f>+(D.sign_Data[[#This Row],[VALOR NETO ($COP)]]+D.sign_Data[[#This Row],[NEGOCIACIÓN ($COP)]])*1%</f>
        <v>895.98908993446412</v>
      </c>
      <c r="AF1154" s="15">
        <f>+(D.sign_Data[[#This Row],[VALOR NETO ($COP)]]+D.sign_Data[[#This Row],[NEGOCIACIÓN ($COP)]])*1%</f>
        <v>895.98908993446412</v>
      </c>
      <c r="AG1154" s="3">
        <f>+D.sign_Data[[#This Row],[VALOR NETO ($COP)]]+D.sign_Data[[#This Row],[NEGOCIACIÓN ($COP)]]+D.sign_Data[[#This Row],[ICA ($COP)]]+D.sign_Data[[#This Row],[4 * 1000 ($COP)]]</f>
        <v>91390.887173315336</v>
      </c>
    </row>
    <row r="1155" spans="1:33" ht="60" hidden="1" customHeight="1" x14ac:dyDescent="0.25">
      <c r="A1155" s="14"/>
      <c r="B1155" s="87" t="s">
        <v>418</v>
      </c>
      <c r="C1155" s="182" t="s">
        <v>1048</v>
      </c>
      <c r="D1155" s="189" t="str">
        <f>VLOOKUP(D.sign_Data[[#This Row],[CÓDIGO]],Descripciones[[CÓDIGO]:[NOMBRE DE SERVICIO]],3,FALSE)</f>
        <v>D0. Proyecto</v>
      </c>
      <c r="E1155" s="87" t="s">
        <v>1046</v>
      </c>
      <c r="F1155" s="88" t="s">
        <v>1049</v>
      </c>
      <c r="G1155" s="88" t="s">
        <v>1055</v>
      </c>
      <c r="H1155" s="87" t="s">
        <v>1056</v>
      </c>
      <c r="I1155" s="89">
        <v>1</v>
      </c>
      <c r="J1155" s="88" t="s">
        <v>1057</v>
      </c>
      <c r="K1155" s="102"/>
      <c r="L1155" s="88" t="s">
        <v>1060</v>
      </c>
      <c r="M1155" s="89" t="s">
        <v>381</v>
      </c>
      <c r="N1155" s="90">
        <v>0.1</v>
      </c>
      <c r="O1155" s="27">
        <f>IFERROR(+VLOOKUP(M1155,D.sign_Lista_Data[[RESPONSABLE]:[SOFTWARE 
VALOR HORA]],3,FALSE),"0")</f>
        <v>20263.424518743668</v>
      </c>
      <c r="P1155" s="3">
        <f t="shared" si="42"/>
        <v>2026.3424518743668</v>
      </c>
      <c r="Q1155" s="11">
        <f>IFERROR(+VLOOKUP(M1155,D.sign_Lista_Data[[RESPONSABLE]:[SOFTWARE 
VALOR HORA]],5,FALSE)*D.sign_Data[[#This Row],[TIEMPO (HORAS)]],0)</f>
        <v>422.15467747382638</v>
      </c>
      <c r="R1155" s="42">
        <f>IFERROR(+VLOOKUP(M1155,D.sign_Lista_Data[[RESPONSABLE]:[SOFTWARE 
VALOR HORA]],8,FALSE)*D.sign_Data[[#This Row],[TIEMPO (HORAS)]],0)</f>
        <v>341.08548871439837</v>
      </c>
      <c r="S1155" s="99">
        <v>0</v>
      </c>
      <c r="T1155" s="99">
        <v>0</v>
      </c>
      <c r="U1155" s="3">
        <f t="shared" si="43"/>
        <v>2789.5826180625913</v>
      </c>
      <c r="V1155" s="100">
        <f>D.sign_Data[[#This Row],[TIEMPO (HORAS)]]*Gastos_Operativos[[#Totals],[GASTOS HORA]]</f>
        <v>2778.9477072310401</v>
      </c>
      <c r="W1155" s="3">
        <f>+D.sign_Data[[#This Row],[COSTO 
DIRECTO ($COP)]]+D.sign_Data[[#This Row],[PRORRATEO GASTOS ($COP)]]</f>
        <v>5568.5303252936319</v>
      </c>
      <c r="X1155" s="101">
        <v>0.1</v>
      </c>
      <c r="Y1155" s="15">
        <f>+D.sign_Data[[#This Row],[COSTOS OPERACIONALES ($COP)]]*D.sign_Data[[#This Row],[DESFASE (%)]]</f>
        <v>556.85303252936319</v>
      </c>
      <c r="Z1155" s="101">
        <v>0.3</v>
      </c>
      <c r="AA1155" s="15">
        <f>+((D.sign_Data[[#This Row],[COSTOS OPERACIONALES ($COP)]]/(100%-D.sign_Data[[#This Row],[UTILIDAD (%)]])))-D.sign_Data[[#This Row],[COSTOS OPERACIONALES ($COP)]]</f>
        <v>2386.5129965544138</v>
      </c>
      <c r="AB1155" s="3">
        <f>+D.sign_Data[[#This Row],[COSTOS OPERACIONALES ($COP)]]+D.sign_Data[[#This Row],[DESFASE ($COP)]]+D.sign_Data[[#This Row],[UTILIDAD ($COP)]]</f>
        <v>8511.896354377408</v>
      </c>
      <c r="AC1155" s="101">
        <v>0.05</v>
      </c>
      <c r="AD1155" s="15">
        <f>+D.sign_Data[[#This Row],[VALOR NETO ($COP)]]/(100%-D.sign_Data[[#This Row],[MARGEN DE NEGOCIACIÓN (%)]])-D.sign_Data[[#This Row],[VALOR NETO ($COP)]]</f>
        <v>447.99454496723229</v>
      </c>
      <c r="AE1155" s="15">
        <f>+(D.sign_Data[[#This Row],[VALOR NETO ($COP)]]+D.sign_Data[[#This Row],[NEGOCIACIÓN ($COP)]])*1%</f>
        <v>89.5989089934464</v>
      </c>
      <c r="AF1155" s="15">
        <f>+(D.sign_Data[[#This Row],[VALOR NETO ($COP)]]+D.sign_Data[[#This Row],[NEGOCIACIÓN ($COP)]])*1%</f>
        <v>89.5989089934464</v>
      </c>
      <c r="AG1155" s="3">
        <f>+D.sign_Data[[#This Row],[VALOR NETO ($COP)]]+D.sign_Data[[#This Row],[NEGOCIACIÓN ($COP)]]+D.sign_Data[[#This Row],[ICA ($COP)]]+D.sign_Data[[#This Row],[4 * 1000 ($COP)]]</f>
        <v>9139.0887173315332</v>
      </c>
    </row>
    <row r="1156" spans="1:33" ht="60" hidden="1" customHeight="1" x14ac:dyDescent="0.25">
      <c r="A1156" s="14"/>
      <c r="B1156" s="87" t="s">
        <v>418</v>
      </c>
      <c r="C1156" s="182" t="s">
        <v>1048</v>
      </c>
      <c r="D1156" s="189" t="str">
        <f>VLOOKUP(D.sign_Data[[#This Row],[CÓDIGO]],Descripciones[[CÓDIGO]:[NOMBRE DE SERVICIO]],3,FALSE)</f>
        <v>D0. Proyecto</v>
      </c>
      <c r="E1156" s="87" t="s">
        <v>1046</v>
      </c>
      <c r="F1156" s="88" t="s">
        <v>1049</v>
      </c>
      <c r="G1156" s="88" t="s">
        <v>1061</v>
      </c>
      <c r="H1156" s="87" t="s">
        <v>423</v>
      </c>
      <c r="I1156" s="89">
        <v>1</v>
      </c>
      <c r="J1156" s="88" t="s">
        <v>1062</v>
      </c>
      <c r="K1156" s="102"/>
      <c r="L1156" s="88" t="s">
        <v>1063</v>
      </c>
      <c r="M1156" s="89" t="s">
        <v>381</v>
      </c>
      <c r="N1156" s="90">
        <v>9.4</v>
      </c>
      <c r="O1156" s="27">
        <f>IFERROR(+VLOOKUP(M1156,D.sign_Lista_Data[[RESPONSABLE]:[SOFTWARE 
VALOR HORA]],3,FALSE),"0")</f>
        <v>20263.424518743668</v>
      </c>
      <c r="P1156" s="3">
        <f t="shared" si="42"/>
        <v>190476.19047619047</v>
      </c>
      <c r="Q1156" s="11">
        <f>IFERROR(+VLOOKUP(M1156,D.sign_Lista_Data[[RESPONSABLE]:[SOFTWARE 
VALOR HORA]],5,FALSE)*D.sign_Data[[#This Row],[TIEMPO (HORAS)]],0)</f>
        <v>39682.539682539682</v>
      </c>
      <c r="R1156" s="42">
        <f>IFERROR(+VLOOKUP(M1156,D.sign_Lista_Data[[RESPONSABLE]:[SOFTWARE 
VALOR HORA]],8,FALSE)*D.sign_Data[[#This Row],[TIEMPO (HORAS)]],0)</f>
        <v>32062.035939153444</v>
      </c>
      <c r="S1156" s="99">
        <v>0</v>
      </c>
      <c r="T1156" s="99">
        <v>0</v>
      </c>
      <c r="U1156" s="3">
        <f t="shared" si="43"/>
        <v>262220.76609788358</v>
      </c>
      <c r="V1156" s="100">
        <f>D.sign_Data[[#This Row],[TIEMPO (HORAS)]]*Gastos_Operativos[[#Totals],[GASTOS HORA]]</f>
        <v>261221.08447971777</v>
      </c>
      <c r="W1156" s="3">
        <f>+D.sign_Data[[#This Row],[COSTO 
DIRECTO ($COP)]]+D.sign_Data[[#This Row],[PRORRATEO GASTOS ($COP)]]</f>
        <v>523441.85057760135</v>
      </c>
      <c r="X1156" s="101">
        <v>0.1</v>
      </c>
      <c r="Y1156" s="15">
        <f>+D.sign_Data[[#This Row],[COSTOS OPERACIONALES ($COP)]]*D.sign_Data[[#This Row],[DESFASE (%)]]</f>
        <v>52344.185057760136</v>
      </c>
      <c r="Z1156" s="101">
        <v>0.3</v>
      </c>
      <c r="AA1156" s="15">
        <f>+((D.sign_Data[[#This Row],[COSTOS OPERACIONALES ($COP)]]/(100%-D.sign_Data[[#This Row],[UTILIDAD (%)]])))-D.sign_Data[[#This Row],[COSTOS OPERACIONALES ($COP)]]</f>
        <v>224332.22167611495</v>
      </c>
      <c r="AB1156" s="3">
        <f>+D.sign_Data[[#This Row],[COSTOS OPERACIONALES ($COP)]]+D.sign_Data[[#This Row],[DESFASE ($COP)]]+D.sign_Data[[#This Row],[UTILIDAD ($COP)]]</f>
        <v>800118.25731147639</v>
      </c>
      <c r="AC1156" s="101">
        <v>0.05</v>
      </c>
      <c r="AD1156" s="15">
        <f>+D.sign_Data[[#This Row],[VALOR NETO ($COP)]]/(100%-D.sign_Data[[#This Row],[MARGEN DE NEGOCIACIÓN (%)]])-D.sign_Data[[#This Row],[VALOR NETO ($COP)]]</f>
        <v>42111.487226919853</v>
      </c>
      <c r="AE1156" s="15">
        <f>+(D.sign_Data[[#This Row],[VALOR NETO ($COP)]]+D.sign_Data[[#This Row],[NEGOCIACIÓN ($COP)]])*1%</f>
        <v>8422.2974453839633</v>
      </c>
      <c r="AF1156" s="15">
        <f>+(D.sign_Data[[#This Row],[VALOR NETO ($COP)]]+D.sign_Data[[#This Row],[NEGOCIACIÓN ($COP)]])*1%</f>
        <v>8422.2974453839633</v>
      </c>
      <c r="AG1156" s="3">
        <f>+D.sign_Data[[#This Row],[VALOR NETO ($COP)]]+D.sign_Data[[#This Row],[NEGOCIACIÓN ($COP)]]+D.sign_Data[[#This Row],[ICA ($COP)]]+D.sign_Data[[#This Row],[4 * 1000 ($COP)]]</f>
        <v>859074.33942916419</v>
      </c>
    </row>
    <row r="1157" spans="1:33" ht="60" hidden="1" customHeight="1" x14ac:dyDescent="0.25">
      <c r="A1157" s="14"/>
      <c r="B1157" s="87" t="s">
        <v>418</v>
      </c>
      <c r="C1157" s="182" t="s">
        <v>1048</v>
      </c>
      <c r="D1157" s="189" t="str">
        <f>VLOOKUP(D.sign_Data[[#This Row],[CÓDIGO]],Descripciones[[CÓDIGO]:[NOMBRE DE SERVICIO]],3,FALSE)</f>
        <v>D0. Proyecto</v>
      </c>
      <c r="E1157" s="87" t="s">
        <v>1046</v>
      </c>
      <c r="F1157" s="88" t="s">
        <v>1049</v>
      </c>
      <c r="G1157" s="88" t="s">
        <v>1061</v>
      </c>
      <c r="H1157" s="87" t="s">
        <v>423</v>
      </c>
      <c r="I1157" s="89">
        <v>1</v>
      </c>
      <c r="J1157" s="88" t="s">
        <v>1062</v>
      </c>
      <c r="K1157" s="102"/>
      <c r="L1157" s="88" t="s">
        <v>1064</v>
      </c>
      <c r="M1157" s="89" t="s">
        <v>381</v>
      </c>
      <c r="N1157" s="90">
        <v>0.2</v>
      </c>
      <c r="O1157" s="27">
        <f>IFERROR(+VLOOKUP(M1157,D.sign_Lista_Data[[RESPONSABLE]:[SOFTWARE 
VALOR HORA]],3,FALSE),"0")</f>
        <v>20263.424518743668</v>
      </c>
      <c r="P1157" s="3">
        <f t="shared" si="42"/>
        <v>4052.6849037487336</v>
      </c>
      <c r="Q1157" s="11">
        <f>IFERROR(+VLOOKUP(M1157,D.sign_Lista_Data[[RESPONSABLE]:[SOFTWARE 
VALOR HORA]],5,FALSE)*D.sign_Data[[#This Row],[TIEMPO (HORAS)]],0)</f>
        <v>844.30935494765276</v>
      </c>
      <c r="R1157" s="42">
        <f>IFERROR(+VLOOKUP(M1157,D.sign_Lista_Data[[RESPONSABLE]:[SOFTWARE 
VALOR HORA]],8,FALSE)*D.sign_Data[[#This Row],[TIEMPO (HORAS)]],0)</f>
        <v>682.17097742879673</v>
      </c>
      <c r="S1157" s="99">
        <v>0</v>
      </c>
      <c r="T1157" s="99">
        <v>0</v>
      </c>
      <c r="U1157" s="3">
        <f t="shared" si="43"/>
        <v>5579.1652361251827</v>
      </c>
      <c r="V1157" s="100">
        <f>D.sign_Data[[#This Row],[TIEMPO (HORAS)]]*Gastos_Operativos[[#Totals],[GASTOS HORA]]</f>
        <v>5557.8954144620802</v>
      </c>
      <c r="W1157" s="3">
        <f>+D.sign_Data[[#This Row],[COSTO 
DIRECTO ($COP)]]+D.sign_Data[[#This Row],[PRORRATEO GASTOS ($COP)]]</f>
        <v>11137.060650587264</v>
      </c>
      <c r="X1157" s="101">
        <v>0.1</v>
      </c>
      <c r="Y1157" s="15">
        <f>+D.sign_Data[[#This Row],[COSTOS OPERACIONALES ($COP)]]*D.sign_Data[[#This Row],[DESFASE (%)]]</f>
        <v>1113.7060650587264</v>
      </c>
      <c r="Z1157" s="101">
        <v>0.3</v>
      </c>
      <c r="AA1157" s="15">
        <f>+((D.sign_Data[[#This Row],[COSTOS OPERACIONALES ($COP)]]/(100%-D.sign_Data[[#This Row],[UTILIDAD (%)]])))-D.sign_Data[[#This Row],[COSTOS OPERACIONALES ($COP)]]</f>
        <v>4773.0259931088276</v>
      </c>
      <c r="AB1157" s="3">
        <f>+D.sign_Data[[#This Row],[COSTOS OPERACIONALES ($COP)]]+D.sign_Data[[#This Row],[DESFASE ($COP)]]+D.sign_Data[[#This Row],[UTILIDAD ($COP)]]</f>
        <v>17023.792708754816</v>
      </c>
      <c r="AC1157" s="101">
        <v>0.05</v>
      </c>
      <c r="AD1157" s="15">
        <f>+D.sign_Data[[#This Row],[VALOR NETO ($COP)]]/(100%-D.sign_Data[[#This Row],[MARGEN DE NEGOCIACIÓN (%)]])-D.sign_Data[[#This Row],[VALOR NETO ($COP)]]</f>
        <v>895.98908993446457</v>
      </c>
      <c r="AE1157" s="15">
        <f>+(D.sign_Data[[#This Row],[VALOR NETO ($COP)]]+D.sign_Data[[#This Row],[NEGOCIACIÓN ($COP)]])*1%</f>
        <v>179.1978179868928</v>
      </c>
      <c r="AF1157" s="15">
        <f>+(D.sign_Data[[#This Row],[VALOR NETO ($COP)]]+D.sign_Data[[#This Row],[NEGOCIACIÓN ($COP)]])*1%</f>
        <v>179.1978179868928</v>
      </c>
      <c r="AG1157" s="3">
        <f>+D.sign_Data[[#This Row],[VALOR NETO ($COP)]]+D.sign_Data[[#This Row],[NEGOCIACIÓN ($COP)]]+D.sign_Data[[#This Row],[ICA ($COP)]]+D.sign_Data[[#This Row],[4 * 1000 ($COP)]]</f>
        <v>18278.177434663066</v>
      </c>
    </row>
    <row r="1158" spans="1:33" ht="60" hidden="1" customHeight="1" x14ac:dyDescent="0.25">
      <c r="A1158" s="14"/>
      <c r="B1158" s="87" t="s">
        <v>418</v>
      </c>
      <c r="C1158" s="182" t="s">
        <v>1048</v>
      </c>
      <c r="D1158" s="189" t="str">
        <f>VLOOKUP(D.sign_Data[[#This Row],[CÓDIGO]],Descripciones[[CÓDIGO]:[NOMBRE DE SERVICIO]],3,FALSE)</f>
        <v>D0. Proyecto</v>
      </c>
      <c r="E1158" s="87" t="s">
        <v>1046</v>
      </c>
      <c r="F1158" s="88" t="s">
        <v>1049</v>
      </c>
      <c r="G1158" s="88" t="s">
        <v>1061</v>
      </c>
      <c r="H1158" s="87" t="s">
        <v>423</v>
      </c>
      <c r="I1158" s="89">
        <v>1</v>
      </c>
      <c r="J1158" s="88" t="s">
        <v>1065</v>
      </c>
      <c r="K1158" s="102"/>
      <c r="L1158" s="88" t="s">
        <v>1066</v>
      </c>
      <c r="M1158" s="89" t="s">
        <v>381</v>
      </c>
      <c r="N1158" s="90">
        <v>0.1</v>
      </c>
      <c r="O1158" s="27">
        <f>IFERROR(+VLOOKUP(M1158,D.sign_Lista_Data[[RESPONSABLE]:[SOFTWARE 
VALOR HORA]],3,FALSE),"0")</f>
        <v>20263.424518743668</v>
      </c>
      <c r="P1158" s="3">
        <f t="shared" si="42"/>
        <v>2026.3424518743668</v>
      </c>
      <c r="Q1158" s="11">
        <f>IFERROR(+VLOOKUP(M1158,D.sign_Lista_Data[[RESPONSABLE]:[SOFTWARE 
VALOR HORA]],5,FALSE)*D.sign_Data[[#This Row],[TIEMPO (HORAS)]],0)</f>
        <v>422.15467747382638</v>
      </c>
      <c r="R1158" s="42">
        <f>IFERROR(+VLOOKUP(M1158,D.sign_Lista_Data[[RESPONSABLE]:[SOFTWARE 
VALOR HORA]],8,FALSE)*D.sign_Data[[#This Row],[TIEMPO (HORAS)]],0)</f>
        <v>341.08548871439837</v>
      </c>
      <c r="S1158" s="99">
        <v>0</v>
      </c>
      <c r="T1158" s="99">
        <v>0</v>
      </c>
      <c r="U1158" s="3">
        <f t="shared" si="43"/>
        <v>2789.5826180625913</v>
      </c>
      <c r="V1158" s="100">
        <f>D.sign_Data[[#This Row],[TIEMPO (HORAS)]]*Gastos_Operativos[[#Totals],[GASTOS HORA]]</f>
        <v>2778.9477072310401</v>
      </c>
      <c r="W1158" s="3">
        <f>+D.sign_Data[[#This Row],[COSTO 
DIRECTO ($COP)]]+D.sign_Data[[#This Row],[PRORRATEO GASTOS ($COP)]]</f>
        <v>5568.5303252936319</v>
      </c>
      <c r="X1158" s="101">
        <v>0.1</v>
      </c>
      <c r="Y1158" s="15">
        <f>+D.sign_Data[[#This Row],[COSTOS OPERACIONALES ($COP)]]*D.sign_Data[[#This Row],[DESFASE (%)]]</f>
        <v>556.85303252936319</v>
      </c>
      <c r="Z1158" s="101">
        <v>0.3</v>
      </c>
      <c r="AA1158" s="15">
        <f>+((D.sign_Data[[#This Row],[COSTOS OPERACIONALES ($COP)]]/(100%-D.sign_Data[[#This Row],[UTILIDAD (%)]])))-D.sign_Data[[#This Row],[COSTOS OPERACIONALES ($COP)]]</f>
        <v>2386.5129965544138</v>
      </c>
      <c r="AB1158" s="3">
        <f>+D.sign_Data[[#This Row],[COSTOS OPERACIONALES ($COP)]]+D.sign_Data[[#This Row],[DESFASE ($COP)]]+D.sign_Data[[#This Row],[UTILIDAD ($COP)]]</f>
        <v>8511.896354377408</v>
      </c>
      <c r="AC1158" s="101">
        <v>0.05</v>
      </c>
      <c r="AD1158" s="15">
        <f>+D.sign_Data[[#This Row],[VALOR NETO ($COP)]]/(100%-D.sign_Data[[#This Row],[MARGEN DE NEGOCIACIÓN (%)]])-D.sign_Data[[#This Row],[VALOR NETO ($COP)]]</f>
        <v>447.99454496723229</v>
      </c>
      <c r="AE1158" s="15">
        <f>+(D.sign_Data[[#This Row],[VALOR NETO ($COP)]]+D.sign_Data[[#This Row],[NEGOCIACIÓN ($COP)]])*1%</f>
        <v>89.5989089934464</v>
      </c>
      <c r="AF1158" s="15">
        <f>+(D.sign_Data[[#This Row],[VALOR NETO ($COP)]]+D.sign_Data[[#This Row],[NEGOCIACIÓN ($COP)]])*1%</f>
        <v>89.5989089934464</v>
      </c>
      <c r="AG1158" s="3">
        <f>+D.sign_Data[[#This Row],[VALOR NETO ($COP)]]+D.sign_Data[[#This Row],[NEGOCIACIÓN ($COP)]]+D.sign_Data[[#This Row],[ICA ($COP)]]+D.sign_Data[[#This Row],[4 * 1000 ($COP)]]</f>
        <v>9139.0887173315332</v>
      </c>
    </row>
    <row r="1159" spans="1:33" ht="60" hidden="1" customHeight="1" x14ac:dyDescent="0.25">
      <c r="A1159" s="14"/>
      <c r="B1159" s="87" t="s">
        <v>418</v>
      </c>
      <c r="C1159" s="182" t="s">
        <v>1048</v>
      </c>
      <c r="D1159" s="189" t="str">
        <f>VLOOKUP(D.sign_Data[[#This Row],[CÓDIGO]],Descripciones[[CÓDIGO]:[NOMBRE DE SERVICIO]],3,FALSE)</f>
        <v>D0. Proyecto</v>
      </c>
      <c r="E1159" s="87" t="s">
        <v>1046</v>
      </c>
      <c r="F1159" s="88" t="s">
        <v>1049</v>
      </c>
      <c r="G1159" s="88" t="s">
        <v>1061</v>
      </c>
      <c r="H1159" s="87" t="s">
        <v>423</v>
      </c>
      <c r="I1159" s="89">
        <v>1</v>
      </c>
      <c r="J1159" s="88" t="s">
        <v>1065</v>
      </c>
      <c r="K1159" s="102"/>
      <c r="L1159" s="88" t="s">
        <v>1067</v>
      </c>
      <c r="M1159" s="89" t="s">
        <v>381</v>
      </c>
      <c r="N1159" s="90">
        <v>0.2</v>
      </c>
      <c r="O1159" s="27">
        <f>IFERROR(+VLOOKUP(M1159,D.sign_Lista_Data[[RESPONSABLE]:[SOFTWARE 
VALOR HORA]],3,FALSE),"0")</f>
        <v>20263.424518743668</v>
      </c>
      <c r="P1159" s="3">
        <f t="shared" si="42"/>
        <v>4052.6849037487336</v>
      </c>
      <c r="Q1159" s="11">
        <f>IFERROR(+VLOOKUP(M1159,D.sign_Lista_Data[[RESPONSABLE]:[SOFTWARE 
VALOR HORA]],5,FALSE)*D.sign_Data[[#This Row],[TIEMPO (HORAS)]],0)</f>
        <v>844.30935494765276</v>
      </c>
      <c r="R1159" s="42">
        <f>IFERROR(+VLOOKUP(M1159,D.sign_Lista_Data[[RESPONSABLE]:[SOFTWARE 
VALOR HORA]],8,FALSE)*D.sign_Data[[#This Row],[TIEMPO (HORAS)]],0)</f>
        <v>682.17097742879673</v>
      </c>
      <c r="S1159" s="99">
        <v>0</v>
      </c>
      <c r="T1159" s="99">
        <v>0</v>
      </c>
      <c r="U1159" s="3">
        <f t="shared" si="43"/>
        <v>5579.1652361251827</v>
      </c>
      <c r="V1159" s="100">
        <f>D.sign_Data[[#This Row],[TIEMPO (HORAS)]]*Gastos_Operativos[[#Totals],[GASTOS HORA]]</f>
        <v>5557.8954144620802</v>
      </c>
      <c r="W1159" s="3">
        <f>+D.sign_Data[[#This Row],[COSTO 
DIRECTO ($COP)]]+D.sign_Data[[#This Row],[PRORRATEO GASTOS ($COP)]]</f>
        <v>11137.060650587264</v>
      </c>
      <c r="X1159" s="101">
        <v>0.1</v>
      </c>
      <c r="Y1159" s="15">
        <f>+D.sign_Data[[#This Row],[COSTOS OPERACIONALES ($COP)]]*D.sign_Data[[#This Row],[DESFASE (%)]]</f>
        <v>1113.7060650587264</v>
      </c>
      <c r="Z1159" s="101">
        <v>0.3</v>
      </c>
      <c r="AA1159" s="15">
        <f>+((D.sign_Data[[#This Row],[COSTOS OPERACIONALES ($COP)]]/(100%-D.sign_Data[[#This Row],[UTILIDAD (%)]])))-D.sign_Data[[#This Row],[COSTOS OPERACIONALES ($COP)]]</f>
        <v>4773.0259931088276</v>
      </c>
      <c r="AB1159" s="3">
        <f>+D.sign_Data[[#This Row],[COSTOS OPERACIONALES ($COP)]]+D.sign_Data[[#This Row],[DESFASE ($COP)]]+D.sign_Data[[#This Row],[UTILIDAD ($COP)]]</f>
        <v>17023.792708754816</v>
      </c>
      <c r="AC1159" s="101">
        <v>0.05</v>
      </c>
      <c r="AD1159" s="15">
        <f>+D.sign_Data[[#This Row],[VALOR NETO ($COP)]]/(100%-D.sign_Data[[#This Row],[MARGEN DE NEGOCIACIÓN (%)]])-D.sign_Data[[#This Row],[VALOR NETO ($COP)]]</f>
        <v>895.98908993446457</v>
      </c>
      <c r="AE1159" s="15">
        <f>+(D.sign_Data[[#This Row],[VALOR NETO ($COP)]]+D.sign_Data[[#This Row],[NEGOCIACIÓN ($COP)]])*1%</f>
        <v>179.1978179868928</v>
      </c>
      <c r="AF1159" s="15">
        <f>+(D.sign_Data[[#This Row],[VALOR NETO ($COP)]]+D.sign_Data[[#This Row],[NEGOCIACIÓN ($COP)]])*1%</f>
        <v>179.1978179868928</v>
      </c>
      <c r="AG1159" s="3">
        <f>+D.sign_Data[[#This Row],[VALOR NETO ($COP)]]+D.sign_Data[[#This Row],[NEGOCIACIÓN ($COP)]]+D.sign_Data[[#This Row],[ICA ($COP)]]+D.sign_Data[[#This Row],[4 * 1000 ($COP)]]</f>
        <v>18278.177434663066</v>
      </c>
    </row>
    <row r="1160" spans="1:33" ht="60" hidden="1" customHeight="1" x14ac:dyDescent="0.25">
      <c r="A1160" s="14"/>
      <c r="B1160" s="87" t="s">
        <v>418</v>
      </c>
      <c r="C1160" s="182" t="s">
        <v>1048</v>
      </c>
      <c r="D1160" s="189" t="str">
        <f>VLOOKUP(D.sign_Data[[#This Row],[CÓDIGO]],Descripciones[[CÓDIGO]:[NOMBRE DE SERVICIO]],3,FALSE)</f>
        <v>D0. Proyecto</v>
      </c>
      <c r="E1160" s="87" t="s">
        <v>1046</v>
      </c>
      <c r="F1160" s="88" t="s">
        <v>1049</v>
      </c>
      <c r="G1160" s="88" t="s">
        <v>1061</v>
      </c>
      <c r="H1160" s="87" t="s">
        <v>423</v>
      </c>
      <c r="I1160" s="89">
        <v>1</v>
      </c>
      <c r="J1160" s="88" t="s">
        <v>1065</v>
      </c>
      <c r="K1160" s="102"/>
      <c r="L1160" s="88" t="s">
        <v>1068</v>
      </c>
      <c r="M1160" s="89" t="s">
        <v>381</v>
      </c>
      <c r="N1160" s="90">
        <v>0.2</v>
      </c>
      <c r="O1160" s="27">
        <f>IFERROR(+VLOOKUP(M1160,D.sign_Lista_Data[[RESPONSABLE]:[SOFTWARE 
VALOR HORA]],3,FALSE),"0")</f>
        <v>20263.424518743668</v>
      </c>
      <c r="P1160" s="3">
        <f t="shared" si="42"/>
        <v>4052.6849037487336</v>
      </c>
      <c r="Q1160" s="11">
        <f>IFERROR(+VLOOKUP(M1160,D.sign_Lista_Data[[RESPONSABLE]:[SOFTWARE 
VALOR HORA]],5,FALSE)*D.sign_Data[[#This Row],[TIEMPO (HORAS)]],0)</f>
        <v>844.30935494765276</v>
      </c>
      <c r="R1160" s="42">
        <f>IFERROR(+VLOOKUP(M1160,D.sign_Lista_Data[[RESPONSABLE]:[SOFTWARE 
VALOR HORA]],8,FALSE)*D.sign_Data[[#This Row],[TIEMPO (HORAS)]],0)</f>
        <v>682.17097742879673</v>
      </c>
      <c r="S1160" s="99">
        <v>0</v>
      </c>
      <c r="T1160" s="99">
        <v>0</v>
      </c>
      <c r="U1160" s="3">
        <f t="shared" si="43"/>
        <v>5579.1652361251827</v>
      </c>
      <c r="V1160" s="100">
        <f>D.sign_Data[[#This Row],[TIEMPO (HORAS)]]*Gastos_Operativos[[#Totals],[GASTOS HORA]]</f>
        <v>5557.8954144620802</v>
      </c>
      <c r="W1160" s="3">
        <f>+D.sign_Data[[#This Row],[COSTO 
DIRECTO ($COP)]]+D.sign_Data[[#This Row],[PRORRATEO GASTOS ($COP)]]</f>
        <v>11137.060650587264</v>
      </c>
      <c r="X1160" s="101">
        <v>0.1</v>
      </c>
      <c r="Y1160" s="15">
        <f>+D.sign_Data[[#This Row],[COSTOS OPERACIONALES ($COP)]]*D.sign_Data[[#This Row],[DESFASE (%)]]</f>
        <v>1113.7060650587264</v>
      </c>
      <c r="Z1160" s="101">
        <v>0.3</v>
      </c>
      <c r="AA1160" s="15">
        <f>+((D.sign_Data[[#This Row],[COSTOS OPERACIONALES ($COP)]]/(100%-D.sign_Data[[#This Row],[UTILIDAD (%)]])))-D.sign_Data[[#This Row],[COSTOS OPERACIONALES ($COP)]]</f>
        <v>4773.0259931088276</v>
      </c>
      <c r="AB1160" s="3">
        <f>+D.sign_Data[[#This Row],[COSTOS OPERACIONALES ($COP)]]+D.sign_Data[[#This Row],[DESFASE ($COP)]]+D.sign_Data[[#This Row],[UTILIDAD ($COP)]]</f>
        <v>17023.792708754816</v>
      </c>
      <c r="AC1160" s="101">
        <v>0.05</v>
      </c>
      <c r="AD1160" s="15">
        <f>+D.sign_Data[[#This Row],[VALOR NETO ($COP)]]/(100%-D.sign_Data[[#This Row],[MARGEN DE NEGOCIACIÓN (%)]])-D.sign_Data[[#This Row],[VALOR NETO ($COP)]]</f>
        <v>895.98908993446457</v>
      </c>
      <c r="AE1160" s="15">
        <f>+(D.sign_Data[[#This Row],[VALOR NETO ($COP)]]+D.sign_Data[[#This Row],[NEGOCIACIÓN ($COP)]])*1%</f>
        <v>179.1978179868928</v>
      </c>
      <c r="AF1160" s="15">
        <f>+(D.sign_Data[[#This Row],[VALOR NETO ($COP)]]+D.sign_Data[[#This Row],[NEGOCIACIÓN ($COP)]])*1%</f>
        <v>179.1978179868928</v>
      </c>
      <c r="AG1160" s="3">
        <f>+D.sign_Data[[#This Row],[VALOR NETO ($COP)]]+D.sign_Data[[#This Row],[NEGOCIACIÓN ($COP)]]+D.sign_Data[[#This Row],[ICA ($COP)]]+D.sign_Data[[#This Row],[4 * 1000 ($COP)]]</f>
        <v>18278.177434663066</v>
      </c>
    </row>
    <row r="1161" spans="1:33" ht="60" hidden="1" customHeight="1" x14ac:dyDescent="0.25">
      <c r="A1161" s="14"/>
      <c r="B1161" s="87" t="s">
        <v>418</v>
      </c>
      <c r="C1161" s="182" t="s">
        <v>1048</v>
      </c>
      <c r="D1161" s="189" t="str">
        <f>VLOOKUP(D.sign_Data[[#This Row],[CÓDIGO]],Descripciones[[CÓDIGO]:[NOMBRE DE SERVICIO]],3,FALSE)</f>
        <v>D0. Proyecto</v>
      </c>
      <c r="E1161" s="87" t="s">
        <v>1046</v>
      </c>
      <c r="F1161" s="88" t="s">
        <v>1049</v>
      </c>
      <c r="G1161" s="88" t="s">
        <v>1061</v>
      </c>
      <c r="H1161" s="87" t="s">
        <v>423</v>
      </c>
      <c r="I1161" s="89">
        <v>1</v>
      </c>
      <c r="J1161" s="88" t="s">
        <v>1065</v>
      </c>
      <c r="K1161" s="102"/>
      <c r="L1161" s="88" t="s">
        <v>1069</v>
      </c>
      <c r="M1161" s="89" t="s">
        <v>381</v>
      </c>
      <c r="N1161" s="90">
        <v>0.2</v>
      </c>
      <c r="O1161" s="27">
        <f>IFERROR(+VLOOKUP(M1161,D.sign_Lista_Data[[RESPONSABLE]:[SOFTWARE 
VALOR HORA]],3,FALSE),"0")</f>
        <v>20263.424518743668</v>
      </c>
      <c r="P1161" s="3">
        <f t="shared" si="42"/>
        <v>4052.6849037487336</v>
      </c>
      <c r="Q1161" s="11">
        <f>IFERROR(+VLOOKUP(M1161,D.sign_Lista_Data[[RESPONSABLE]:[SOFTWARE 
VALOR HORA]],5,FALSE)*D.sign_Data[[#This Row],[TIEMPO (HORAS)]],0)</f>
        <v>844.30935494765276</v>
      </c>
      <c r="R1161" s="42">
        <f>IFERROR(+VLOOKUP(M1161,D.sign_Lista_Data[[RESPONSABLE]:[SOFTWARE 
VALOR HORA]],8,FALSE)*D.sign_Data[[#This Row],[TIEMPO (HORAS)]],0)</f>
        <v>682.17097742879673</v>
      </c>
      <c r="S1161" s="99">
        <v>0</v>
      </c>
      <c r="T1161" s="99">
        <v>0</v>
      </c>
      <c r="U1161" s="3">
        <f t="shared" si="43"/>
        <v>5579.1652361251827</v>
      </c>
      <c r="V1161" s="100">
        <f>D.sign_Data[[#This Row],[TIEMPO (HORAS)]]*Gastos_Operativos[[#Totals],[GASTOS HORA]]</f>
        <v>5557.8954144620802</v>
      </c>
      <c r="W1161" s="3">
        <f>+D.sign_Data[[#This Row],[COSTO 
DIRECTO ($COP)]]+D.sign_Data[[#This Row],[PRORRATEO GASTOS ($COP)]]</f>
        <v>11137.060650587264</v>
      </c>
      <c r="X1161" s="101">
        <v>0.1</v>
      </c>
      <c r="Y1161" s="15">
        <f>+D.sign_Data[[#This Row],[COSTOS OPERACIONALES ($COP)]]*D.sign_Data[[#This Row],[DESFASE (%)]]</f>
        <v>1113.7060650587264</v>
      </c>
      <c r="Z1161" s="101">
        <v>0.3</v>
      </c>
      <c r="AA1161" s="15">
        <f>+((D.sign_Data[[#This Row],[COSTOS OPERACIONALES ($COP)]]/(100%-D.sign_Data[[#This Row],[UTILIDAD (%)]])))-D.sign_Data[[#This Row],[COSTOS OPERACIONALES ($COP)]]</f>
        <v>4773.0259931088276</v>
      </c>
      <c r="AB1161" s="3">
        <f>+D.sign_Data[[#This Row],[COSTOS OPERACIONALES ($COP)]]+D.sign_Data[[#This Row],[DESFASE ($COP)]]+D.sign_Data[[#This Row],[UTILIDAD ($COP)]]</f>
        <v>17023.792708754816</v>
      </c>
      <c r="AC1161" s="101">
        <v>0.05</v>
      </c>
      <c r="AD1161" s="15">
        <f>+D.sign_Data[[#This Row],[VALOR NETO ($COP)]]/(100%-D.sign_Data[[#This Row],[MARGEN DE NEGOCIACIÓN (%)]])-D.sign_Data[[#This Row],[VALOR NETO ($COP)]]</f>
        <v>895.98908993446457</v>
      </c>
      <c r="AE1161" s="15">
        <f>+(D.sign_Data[[#This Row],[VALOR NETO ($COP)]]+D.sign_Data[[#This Row],[NEGOCIACIÓN ($COP)]])*1%</f>
        <v>179.1978179868928</v>
      </c>
      <c r="AF1161" s="15">
        <f>+(D.sign_Data[[#This Row],[VALOR NETO ($COP)]]+D.sign_Data[[#This Row],[NEGOCIACIÓN ($COP)]])*1%</f>
        <v>179.1978179868928</v>
      </c>
      <c r="AG1161" s="3">
        <f>+D.sign_Data[[#This Row],[VALOR NETO ($COP)]]+D.sign_Data[[#This Row],[NEGOCIACIÓN ($COP)]]+D.sign_Data[[#This Row],[ICA ($COP)]]+D.sign_Data[[#This Row],[4 * 1000 ($COP)]]</f>
        <v>18278.177434663066</v>
      </c>
    </row>
    <row r="1162" spans="1:33" ht="60" hidden="1" customHeight="1" x14ac:dyDescent="0.25">
      <c r="A1162" s="14"/>
      <c r="B1162" s="87" t="s">
        <v>418</v>
      </c>
      <c r="C1162" s="182" t="s">
        <v>1048</v>
      </c>
      <c r="D1162" s="189" t="str">
        <f>VLOOKUP(D.sign_Data[[#This Row],[CÓDIGO]],Descripciones[[CÓDIGO]:[NOMBRE DE SERVICIO]],3,FALSE)</f>
        <v>D0. Proyecto</v>
      </c>
      <c r="E1162" s="87" t="s">
        <v>1046</v>
      </c>
      <c r="F1162" s="88" t="s">
        <v>1049</v>
      </c>
      <c r="G1162" s="88" t="s">
        <v>1061</v>
      </c>
      <c r="H1162" s="87" t="s">
        <v>423</v>
      </c>
      <c r="I1162" s="89">
        <v>1</v>
      </c>
      <c r="J1162" s="88" t="s">
        <v>1065</v>
      </c>
      <c r="K1162" s="102"/>
      <c r="L1162" s="88" t="s">
        <v>1070</v>
      </c>
      <c r="M1162" s="89" t="s">
        <v>381</v>
      </c>
      <c r="N1162" s="90">
        <v>0.2</v>
      </c>
      <c r="O1162" s="27">
        <f>IFERROR(+VLOOKUP(M1162,D.sign_Lista_Data[[RESPONSABLE]:[SOFTWARE 
VALOR HORA]],3,FALSE),"0")</f>
        <v>20263.424518743668</v>
      </c>
      <c r="P1162" s="3">
        <f t="shared" si="42"/>
        <v>4052.6849037487336</v>
      </c>
      <c r="Q1162" s="11">
        <f>IFERROR(+VLOOKUP(M1162,D.sign_Lista_Data[[RESPONSABLE]:[SOFTWARE 
VALOR HORA]],5,FALSE)*D.sign_Data[[#This Row],[TIEMPO (HORAS)]],0)</f>
        <v>844.30935494765276</v>
      </c>
      <c r="R1162" s="42">
        <f>IFERROR(+VLOOKUP(M1162,D.sign_Lista_Data[[RESPONSABLE]:[SOFTWARE 
VALOR HORA]],8,FALSE)*D.sign_Data[[#This Row],[TIEMPO (HORAS)]],0)</f>
        <v>682.17097742879673</v>
      </c>
      <c r="S1162" s="99">
        <v>0</v>
      </c>
      <c r="T1162" s="99">
        <v>0</v>
      </c>
      <c r="U1162" s="3">
        <f t="shared" si="43"/>
        <v>5579.1652361251827</v>
      </c>
      <c r="V1162" s="100">
        <f>D.sign_Data[[#This Row],[TIEMPO (HORAS)]]*Gastos_Operativos[[#Totals],[GASTOS HORA]]</f>
        <v>5557.8954144620802</v>
      </c>
      <c r="W1162" s="3">
        <f>+D.sign_Data[[#This Row],[COSTO 
DIRECTO ($COP)]]+D.sign_Data[[#This Row],[PRORRATEO GASTOS ($COP)]]</f>
        <v>11137.060650587264</v>
      </c>
      <c r="X1162" s="101">
        <v>0.1</v>
      </c>
      <c r="Y1162" s="15">
        <f>+D.sign_Data[[#This Row],[COSTOS OPERACIONALES ($COP)]]*D.sign_Data[[#This Row],[DESFASE (%)]]</f>
        <v>1113.7060650587264</v>
      </c>
      <c r="Z1162" s="101">
        <v>0.3</v>
      </c>
      <c r="AA1162" s="15">
        <f>+((D.sign_Data[[#This Row],[COSTOS OPERACIONALES ($COP)]]/(100%-D.sign_Data[[#This Row],[UTILIDAD (%)]])))-D.sign_Data[[#This Row],[COSTOS OPERACIONALES ($COP)]]</f>
        <v>4773.0259931088276</v>
      </c>
      <c r="AB1162" s="3">
        <f>+D.sign_Data[[#This Row],[COSTOS OPERACIONALES ($COP)]]+D.sign_Data[[#This Row],[DESFASE ($COP)]]+D.sign_Data[[#This Row],[UTILIDAD ($COP)]]</f>
        <v>17023.792708754816</v>
      </c>
      <c r="AC1162" s="101">
        <v>0.05</v>
      </c>
      <c r="AD1162" s="15">
        <f>+D.sign_Data[[#This Row],[VALOR NETO ($COP)]]/(100%-D.sign_Data[[#This Row],[MARGEN DE NEGOCIACIÓN (%)]])-D.sign_Data[[#This Row],[VALOR NETO ($COP)]]</f>
        <v>895.98908993446457</v>
      </c>
      <c r="AE1162" s="15">
        <f>+(D.sign_Data[[#This Row],[VALOR NETO ($COP)]]+D.sign_Data[[#This Row],[NEGOCIACIÓN ($COP)]])*1%</f>
        <v>179.1978179868928</v>
      </c>
      <c r="AF1162" s="15">
        <f>+(D.sign_Data[[#This Row],[VALOR NETO ($COP)]]+D.sign_Data[[#This Row],[NEGOCIACIÓN ($COP)]])*1%</f>
        <v>179.1978179868928</v>
      </c>
      <c r="AG1162" s="3">
        <f>+D.sign_Data[[#This Row],[VALOR NETO ($COP)]]+D.sign_Data[[#This Row],[NEGOCIACIÓN ($COP)]]+D.sign_Data[[#This Row],[ICA ($COP)]]+D.sign_Data[[#This Row],[4 * 1000 ($COP)]]</f>
        <v>18278.177434663066</v>
      </c>
    </row>
    <row r="1163" spans="1:33" ht="60" hidden="1" customHeight="1" x14ac:dyDescent="0.25">
      <c r="A1163" s="14"/>
      <c r="B1163" s="87" t="s">
        <v>418</v>
      </c>
      <c r="C1163" s="182" t="s">
        <v>1048</v>
      </c>
      <c r="D1163" s="189" t="str">
        <f>VLOOKUP(D.sign_Data[[#This Row],[CÓDIGO]],Descripciones[[CÓDIGO]:[NOMBRE DE SERVICIO]],3,FALSE)</f>
        <v>D0. Proyecto</v>
      </c>
      <c r="E1163" s="87" t="s">
        <v>1046</v>
      </c>
      <c r="F1163" s="88" t="s">
        <v>1049</v>
      </c>
      <c r="G1163" s="88" t="s">
        <v>1061</v>
      </c>
      <c r="H1163" s="87" t="s">
        <v>423</v>
      </c>
      <c r="I1163" s="89">
        <v>1</v>
      </c>
      <c r="J1163" s="88" t="s">
        <v>1065</v>
      </c>
      <c r="K1163" s="102"/>
      <c r="L1163" s="88" t="s">
        <v>1071</v>
      </c>
      <c r="M1163" s="89" t="s">
        <v>381</v>
      </c>
      <c r="N1163" s="90">
        <v>0.2</v>
      </c>
      <c r="O1163" s="27">
        <f>IFERROR(+VLOOKUP(M1163,D.sign_Lista_Data[[RESPONSABLE]:[SOFTWARE 
VALOR HORA]],3,FALSE),"0")</f>
        <v>20263.424518743668</v>
      </c>
      <c r="P1163" s="3">
        <f t="shared" si="42"/>
        <v>4052.6849037487336</v>
      </c>
      <c r="Q1163" s="11">
        <f>IFERROR(+VLOOKUP(M1163,D.sign_Lista_Data[[RESPONSABLE]:[SOFTWARE 
VALOR HORA]],5,FALSE)*D.sign_Data[[#This Row],[TIEMPO (HORAS)]],0)</f>
        <v>844.30935494765276</v>
      </c>
      <c r="R1163" s="42">
        <f>IFERROR(+VLOOKUP(M1163,D.sign_Lista_Data[[RESPONSABLE]:[SOFTWARE 
VALOR HORA]],8,FALSE)*D.sign_Data[[#This Row],[TIEMPO (HORAS)]],0)</f>
        <v>682.17097742879673</v>
      </c>
      <c r="S1163" s="99">
        <v>0</v>
      </c>
      <c r="T1163" s="99">
        <v>0</v>
      </c>
      <c r="U1163" s="3">
        <f t="shared" si="43"/>
        <v>5579.1652361251827</v>
      </c>
      <c r="V1163" s="100">
        <f>D.sign_Data[[#This Row],[TIEMPO (HORAS)]]*Gastos_Operativos[[#Totals],[GASTOS HORA]]</f>
        <v>5557.8954144620802</v>
      </c>
      <c r="W1163" s="3">
        <f>+D.sign_Data[[#This Row],[COSTO 
DIRECTO ($COP)]]+D.sign_Data[[#This Row],[PRORRATEO GASTOS ($COP)]]</f>
        <v>11137.060650587264</v>
      </c>
      <c r="X1163" s="101">
        <v>0.1</v>
      </c>
      <c r="Y1163" s="15">
        <f>+D.sign_Data[[#This Row],[COSTOS OPERACIONALES ($COP)]]*D.sign_Data[[#This Row],[DESFASE (%)]]</f>
        <v>1113.7060650587264</v>
      </c>
      <c r="Z1163" s="101">
        <v>0.3</v>
      </c>
      <c r="AA1163" s="15">
        <f>+((D.sign_Data[[#This Row],[COSTOS OPERACIONALES ($COP)]]/(100%-D.sign_Data[[#This Row],[UTILIDAD (%)]])))-D.sign_Data[[#This Row],[COSTOS OPERACIONALES ($COP)]]</f>
        <v>4773.0259931088276</v>
      </c>
      <c r="AB1163" s="3">
        <f>+D.sign_Data[[#This Row],[COSTOS OPERACIONALES ($COP)]]+D.sign_Data[[#This Row],[DESFASE ($COP)]]+D.sign_Data[[#This Row],[UTILIDAD ($COP)]]</f>
        <v>17023.792708754816</v>
      </c>
      <c r="AC1163" s="101">
        <v>0.05</v>
      </c>
      <c r="AD1163" s="15">
        <f>+D.sign_Data[[#This Row],[VALOR NETO ($COP)]]/(100%-D.sign_Data[[#This Row],[MARGEN DE NEGOCIACIÓN (%)]])-D.sign_Data[[#This Row],[VALOR NETO ($COP)]]</f>
        <v>895.98908993446457</v>
      </c>
      <c r="AE1163" s="15">
        <f>+(D.sign_Data[[#This Row],[VALOR NETO ($COP)]]+D.sign_Data[[#This Row],[NEGOCIACIÓN ($COP)]])*1%</f>
        <v>179.1978179868928</v>
      </c>
      <c r="AF1163" s="15">
        <f>+(D.sign_Data[[#This Row],[VALOR NETO ($COP)]]+D.sign_Data[[#This Row],[NEGOCIACIÓN ($COP)]])*1%</f>
        <v>179.1978179868928</v>
      </c>
      <c r="AG1163" s="3">
        <f>+D.sign_Data[[#This Row],[VALOR NETO ($COP)]]+D.sign_Data[[#This Row],[NEGOCIACIÓN ($COP)]]+D.sign_Data[[#This Row],[ICA ($COP)]]+D.sign_Data[[#This Row],[4 * 1000 ($COP)]]</f>
        <v>18278.177434663066</v>
      </c>
    </row>
    <row r="1164" spans="1:33" ht="60" hidden="1" customHeight="1" x14ac:dyDescent="0.25">
      <c r="A1164" s="14"/>
      <c r="B1164" s="87" t="s">
        <v>418</v>
      </c>
      <c r="C1164" s="182" t="s">
        <v>1048</v>
      </c>
      <c r="D1164" s="189" t="str">
        <f>VLOOKUP(D.sign_Data[[#This Row],[CÓDIGO]],Descripciones[[CÓDIGO]:[NOMBRE DE SERVICIO]],3,FALSE)</f>
        <v>D0. Proyecto</v>
      </c>
      <c r="E1164" s="87" t="s">
        <v>1046</v>
      </c>
      <c r="F1164" s="88" t="s">
        <v>1049</v>
      </c>
      <c r="G1164" s="88" t="s">
        <v>1061</v>
      </c>
      <c r="H1164" s="87" t="s">
        <v>423</v>
      </c>
      <c r="I1164" s="89">
        <v>1</v>
      </c>
      <c r="J1164" s="88" t="s">
        <v>1065</v>
      </c>
      <c r="K1164" s="102"/>
      <c r="L1164" s="88" t="s">
        <v>1072</v>
      </c>
      <c r="M1164" s="89" t="s">
        <v>381</v>
      </c>
      <c r="N1164" s="90">
        <v>2</v>
      </c>
      <c r="O1164" s="27">
        <f>IFERROR(+VLOOKUP(M1164,D.sign_Lista_Data[[RESPONSABLE]:[SOFTWARE 
VALOR HORA]],3,FALSE),"0")</f>
        <v>20263.424518743668</v>
      </c>
      <c r="P1164" s="3">
        <f t="shared" si="42"/>
        <v>40526.849037487336</v>
      </c>
      <c r="Q1164" s="11">
        <f>IFERROR(+VLOOKUP(M1164,D.sign_Lista_Data[[RESPONSABLE]:[SOFTWARE 
VALOR HORA]],5,FALSE)*D.sign_Data[[#This Row],[TIEMPO (HORAS)]],0)</f>
        <v>8443.0935494765272</v>
      </c>
      <c r="R1164" s="42">
        <f>IFERROR(+VLOOKUP(M1164,D.sign_Lista_Data[[RESPONSABLE]:[SOFTWARE 
VALOR HORA]],8,FALSE)*D.sign_Data[[#This Row],[TIEMPO (HORAS)]],0)</f>
        <v>6821.7097742879669</v>
      </c>
      <c r="S1164" s="99">
        <v>0</v>
      </c>
      <c r="T1164" s="99">
        <v>0</v>
      </c>
      <c r="U1164" s="3">
        <f t="shared" si="43"/>
        <v>55791.652361251836</v>
      </c>
      <c r="V1164" s="100">
        <f>D.sign_Data[[#This Row],[TIEMPO (HORAS)]]*Gastos_Operativos[[#Totals],[GASTOS HORA]]</f>
        <v>55578.954144620802</v>
      </c>
      <c r="W1164" s="3">
        <f>+D.sign_Data[[#This Row],[COSTO 
DIRECTO ($COP)]]+D.sign_Data[[#This Row],[PRORRATEO GASTOS ($COP)]]</f>
        <v>111370.60650587264</v>
      </c>
      <c r="X1164" s="101">
        <v>0.1</v>
      </c>
      <c r="Y1164" s="15">
        <f>+D.sign_Data[[#This Row],[COSTOS OPERACIONALES ($COP)]]*D.sign_Data[[#This Row],[DESFASE (%)]]</f>
        <v>11137.060650587264</v>
      </c>
      <c r="Z1164" s="101">
        <v>0.3</v>
      </c>
      <c r="AA1164" s="15">
        <f>+((D.sign_Data[[#This Row],[COSTOS OPERACIONALES ($COP)]]/(100%-D.sign_Data[[#This Row],[UTILIDAD (%)]])))-D.sign_Data[[#This Row],[COSTOS OPERACIONALES ($COP)]]</f>
        <v>47730.259931088294</v>
      </c>
      <c r="AB1164" s="3">
        <f>+D.sign_Data[[#This Row],[COSTOS OPERACIONALES ($COP)]]+D.sign_Data[[#This Row],[DESFASE ($COP)]]+D.sign_Data[[#This Row],[UTILIDAD ($COP)]]</f>
        <v>170237.92708754819</v>
      </c>
      <c r="AC1164" s="101">
        <v>0.05</v>
      </c>
      <c r="AD1164" s="15">
        <f>+D.sign_Data[[#This Row],[VALOR NETO ($COP)]]/(100%-D.sign_Data[[#This Row],[MARGEN DE NEGOCIACIÓN (%)]])-D.sign_Data[[#This Row],[VALOR NETO ($COP)]]</f>
        <v>8959.8908993446385</v>
      </c>
      <c r="AE1164" s="15">
        <f>+(D.sign_Data[[#This Row],[VALOR NETO ($COP)]]+D.sign_Data[[#This Row],[NEGOCIACIÓN ($COP)]])*1%</f>
        <v>1791.9781798689282</v>
      </c>
      <c r="AF1164" s="15">
        <f>+(D.sign_Data[[#This Row],[VALOR NETO ($COP)]]+D.sign_Data[[#This Row],[NEGOCIACIÓN ($COP)]])*1%</f>
        <v>1791.9781798689282</v>
      </c>
      <c r="AG1164" s="3">
        <f>+D.sign_Data[[#This Row],[VALOR NETO ($COP)]]+D.sign_Data[[#This Row],[NEGOCIACIÓN ($COP)]]+D.sign_Data[[#This Row],[ICA ($COP)]]+D.sign_Data[[#This Row],[4 * 1000 ($COP)]]</f>
        <v>182781.77434663067</v>
      </c>
    </row>
    <row r="1165" spans="1:33" ht="60" hidden="1" customHeight="1" x14ac:dyDescent="0.25">
      <c r="A1165" s="14"/>
      <c r="B1165" s="87" t="s">
        <v>418</v>
      </c>
      <c r="C1165" s="182" t="s">
        <v>1048</v>
      </c>
      <c r="D1165" s="189" t="str">
        <f>VLOOKUP(D.sign_Data[[#This Row],[CÓDIGO]],Descripciones[[CÓDIGO]:[NOMBRE DE SERVICIO]],3,FALSE)</f>
        <v>D0. Proyecto</v>
      </c>
      <c r="E1165" s="87" t="s">
        <v>1046</v>
      </c>
      <c r="F1165" s="88" t="s">
        <v>1049</v>
      </c>
      <c r="G1165" s="88" t="s">
        <v>1061</v>
      </c>
      <c r="H1165" s="87" t="s">
        <v>423</v>
      </c>
      <c r="I1165" s="89">
        <v>1</v>
      </c>
      <c r="J1165" s="88" t="s">
        <v>1065</v>
      </c>
      <c r="K1165" s="102"/>
      <c r="L1165" s="88" t="s">
        <v>1073</v>
      </c>
      <c r="M1165" s="89" t="s">
        <v>381</v>
      </c>
      <c r="N1165" s="90">
        <v>4</v>
      </c>
      <c r="O1165" s="27">
        <f>IFERROR(+VLOOKUP(M1165,D.sign_Lista_Data[[RESPONSABLE]:[SOFTWARE 
VALOR HORA]],3,FALSE),"0")</f>
        <v>20263.424518743668</v>
      </c>
      <c r="P1165" s="3">
        <f t="shared" si="42"/>
        <v>81053.698074974673</v>
      </c>
      <c r="Q1165" s="11">
        <f>IFERROR(+VLOOKUP(M1165,D.sign_Lista_Data[[RESPONSABLE]:[SOFTWARE 
VALOR HORA]],5,FALSE)*D.sign_Data[[#This Row],[TIEMPO (HORAS)]],0)</f>
        <v>16886.187098953054</v>
      </c>
      <c r="R1165" s="42">
        <f>IFERROR(+VLOOKUP(M1165,D.sign_Lista_Data[[RESPONSABLE]:[SOFTWARE 
VALOR HORA]],8,FALSE)*D.sign_Data[[#This Row],[TIEMPO (HORAS)]],0)</f>
        <v>13643.419548575934</v>
      </c>
      <c r="S1165" s="99">
        <v>0</v>
      </c>
      <c r="T1165" s="99">
        <v>0</v>
      </c>
      <c r="U1165" s="3">
        <f t="shared" si="43"/>
        <v>111583.30472250367</v>
      </c>
      <c r="V1165" s="100">
        <f>D.sign_Data[[#This Row],[TIEMPO (HORAS)]]*Gastos_Operativos[[#Totals],[GASTOS HORA]]</f>
        <v>111157.9082892416</v>
      </c>
      <c r="W1165" s="3">
        <f>+D.sign_Data[[#This Row],[COSTO 
DIRECTO ($COP)]]+D.sign_Data[[#This Row],[PRORRATEO GASTOS ($COP)]]</f>
        <v>222741.21301174528</v>
      </c>
      <c r="X1165" s="101">
        <v>0.1</v>
      </c>
      <c r="Y1165" s="15">
        <f>+D.sign_Data[[#This Row],[COSTOS OPERACIONALES ($COP)]]*D.sign_Data[[#This Row],[DESFASE (%)]]</f>
        <v>22274.121301174528</v>
      </c>
      <c r="Z1165" s="101">
        <v>0.3</v>
      </c>
      <c r="AA1165" s="15">
        <f>+((D.sign_Data[[#This Row],[COSTOS OPERACIONALES ($COP)]]/(100%-D.sign_Data[[#This Row],[UTILIDAD (%)]])))-D.sign_Data[[#This Row],[COSTOS OPERACIONALES ($COP)]]</f>
        <v>95460.519862176589</v>
      </c>
      <c r="AB1165" s="3">
        <f>+D.sign_Data[[#This Row],[COSTOS OPERACIONALES ($COP)]]+D.sign_Data[[#This Row],[DESFASE ($COP)]]+D.sign_Data[[#This Row],[UTILIDAD ($COP)]]</f>
        <v>340475.85417509638</v>
      </c>
      <c r="AC1165" s="101">
        <v>0.05</v>
      </c>
      <c r="AD1165" s="15">
        <f>+D.sign_Data[[#This Row],[VALOR NETO ($COP)]]/(100%-D.sign_Data[[#This Row],[MARGEN DE NEGOCIACIÓN (%)]])-D.sign_Data[[#This Row],[VALOR NETO ($COP)]]</f>
        <v>17919.781798689277</v>
      </c>
      <c r="AE1165" s="15">
        <f>+(D.sign_Data[[#This Row],[VALOR NETO ($COP)]]+D.sign_Data[[#This Row],[NEGOCIACIÓN ($COP)]])*1%</f>
        <v>3583.9563597378565</v>
      </c>
      <c r="AF1165" s="15">
        <f>+(D.sign_Data[[#This Row],[VALOR NETO ($COP)]]+D.sign_Data[[#This Row],[NEGOCIACIÓN ($COP)]])*1%</f>
        <v>3583.9563597378565</v>
      </c>
      <c r="AG1165" s="3">
        <f>+D.sign_Data[[#This Row],[VALOR NETO ($COP)]]+D.sign_Data[[#This Row],[NEGOCIACIÓN ($COP)]]+D.sign_Data[[#This Row],[ICA ($COP)]]+D.sign_Data[[#This Row],[4 * 1000 ($COP)]]</f>
        <v>365563.54869326134</v>
      </c>
    </row>
    <row r="1166" spans="1:33" ht="60" hidden="1" customHeight="1" x14ac:dyDescent="0.25">
      <c r="A1166" s="14"/>
      <c r="B1166" s="87" t="s">
        <v>418</v>
      </c>
      <c r="C1166" s="182" t="s">
        <v>1048</v>
      </c>
      <c r="D1166" s="189" t="str">
        <f>VLOOKUP(D.sign_Data[[#This Row],[CÓDIGO]],Descripciones[[CÓDIGO]:[NOMBRE DE SERVICIO]],3,FALSE)</f>
        <v>D0. Proyecto</v>
      </c>
      <c r="E1166" s="87" t="s">
        <v>1046</v>
      </c>
      <c r="F1166" s="88" t="s">
        <v>1049</v>
      </c>
      <c r="G1166" s="88" t="s">
        <v>1061</v>
      </c>
      <c r="H1166" s="87" t="s">
        <v>423</v>
      </c>
      <c r="I1166" s="89">
        <v>1</v>
      </c>
      <c r="J1166" s="88" t="s">
        <v>1065</v>
      </c>
      <c r="K1166" s="102"/>
      <c r="L1166" s="88" t="s">
        <v>1074</v>
      </c>
      <c r="M1166" s="89" t="s">
        <v>381</v>
      </c>
      <c r="N1166" s="90">
        <v>0.2</v>
      </c>
      <c r="O1166" s="27">
        <f>IFERROR(+VLOOKUP(M1166,D.sign_Lista_Data[[RESPONSABLE]:[SOFTWARE 
VALOR HORA]],3,FALSE),"0")</f>
        <v>20263.424518743668</v>
      </c>
      <c r="P1166" s="3">
        <f t="shared" si="42"/>
        <v>4052.6849037487336</v>
      </c>
      <c r="Q1166" s="11">
        <f>IFERROR(+VLOOKUP(M1166,D.sign_Lista_Data[[RESPONSABLE]:[SOFTWARE 
VALOR HORA]],5,FALSE)*D.sign_Data[[#This Row],[TIEMPO (HORAS)]],0)</f>
        <v>844.30935494765276</v>
      </c>
      <c r="R1166" s="42">
        <f>IFERROR(+VLOOKUP(M1166,D.sign_Lista_Data[[RESPONSABLE]:[SOFTWARE 
VALOR HORA]],8,FALSE)*D.sign_Data[[#This Row],[TIEMPO (HORAS)]],0)</f>
        <v>682.17097742879673</v>
      </c>
      <c r="S1166" s="99">
        <v>0</v>
      </c>
      <c r="T1166" s="99">
        <v>0</v>
      </c>
      <c r="U1166" s="3">
        <f t="shared" si="43"/>
        <v>5579.1652361251827</v>
      </c>
      <c r="V1166" s="100">
        <f>D.sign_Data[[#This Row],[TIEMPO (HORAS)]]*Gastos_Operativos[[#Totals],[GASTOS HORA]]</f>
        <v>5557.8954144620802</v>
      </c>
      <c r="W1166" s="3">
        <f>+D.sign_Data[[#This Row],[COSTO 
DIRECTO ($COP)]]+D.sign_Data[[#This Row],[PRORRATEO GASTOS ($COP)]]</f>
        <v>11137.060650587264</v>
      </c>
      <c r="X1166" s="101">
        <v>0.1</v>
      </c>
      <c r="Y1166" s="15">
        <f>+D.sign_Data[[#This Row],[COSTOS OPERACIONALES ($COP)]]*D.sign_Data[[#This Row],[DESFASE (%)]]</f>
        <v>1113.7060650587264</v>
      </c>
      <c r="Z1166" s="101">
        <v>0.3</v>
      </c>
      <c r="AA1166" s="15">
        <f>+((D.sign_Data[[#This Row],[COSTOS OPERACIONALES ($COP)]]/(100%-D.sign_Data[[#This Row],[UTILIDAD (%)]])))-D.sign_Data[[#This Row],[COSTOS OPERACIONALES ($COP)]]</f>
        <v>4773.0259931088276</v>
      </c>
      <c r="AB1166" s="3">
        <f>+D.sign_Data[[#This Row],[COSTOS OPERACIONALES ($COP)]]+D.sign_Data[[#This Row],[DESFASE ($COP)]]+D.sign_Data[[#This Row],[UTILIDAD ($COP)]]</f>
        <v>17023.792708754816</v>
      </c>
      <c r="AC1166" s="101">
        <v>0.05</v>
      </c>
      <c r="AD1166" s="15">
        <f>+D.sign_Data[[#This Row],[VALOR NETO ($COP)]]/(100%-D.sign_Data[[#This Row],[MARGEN DE NEGOCIACIÓN (%)]])-D.sign_Data[[#This Row],[VALOR NETO ($COP)]]</f>
        <v>895.98908993446457</v>
      </c>
      <c r="AE1166" s="15">
        <f>+(D.sign_Data[[#This Row],[VALOR NETO ($COP)]]+D.sign_Data[[#This Row],[NEGOCIACIÓN ($COP)]])*1%</f>
        <v>179.1978179868928</v>
      </c>
      <c r="AF1166" s="15">
        <f>+(D.sign_Data[[#This Row],[VALOR NETO ($COP)]]+D.sign_Data[[#This Row],[NEGOCIACIÓN ($COP)]])*1%</f>
        <v>179.1978179868928</v>
      </c>
      <c r="AG1166" s="3">
        <f>+D.sign_Data[[#This Row],[VALOR NETO ($COP)]]+D.sign_Data[[#This Row],[NEGOCIACIÓN ($COP)]]+D.sign_Data[[#This Row],[ICA ($COP)]]+D.sign_Data[[#This Row],[4 * 1000 ($COP)]]</f>
        <v>18278.177434663066</v>
      </c>
    </row>
    <row r="1167" spans="1:33" ht="60" hidden="1" customHeight="1" x14ac:dyDescent="0.25">
      <c r="A1167" s="14"/>
      <c r="B1167" s="87" t="s">
        <v>418</v>
      </c>
      <c r="C1167" s="182" t="s">
        <v>1048</v>
      </c>
      <c r="D1167" s="189" t="str">
        <f>VLOOKUP(D.sign_Data[[#This Row],[CÓDIGO]],Descripciones[[CÓDIGO]:[NOMBRE DE SERVICIO]],3,FALSE)</f>
        <v>D0. Proyecto</v>
      </c>
      <c r="E1167" s="87" t="s">
        <v>1046</v>
      </c>
      <c r="F1167" s="88" t="s">
        <v>1049</v>
      </c>
      <c r="G1167" s="88" t="s">
        <v>1061</v>
      </c>
      <c r="H1167" s="87" t="s">
        <v>423</v>
      </c>
      <c r="I1167" s="89">
        <v>1</v>
      </c>
      <c r="J1167" s="88" t="s">
        <v>1075</v>
      </c>
      <c r="K1167" s="102"/>
      <c r="L1167" s="88" t="s">
        <v>1076</v>
      </c>
      <c r="M1167" s="89" t="s">
        <v>381</v>
      </c>
      <c r="N1167" s="90">
        <v>4</v>
      </c>
      <c r="O1167" s="27">
        <f>IFERROR(+VLOOKUP(M1167,D.sign_Lista_Data[[RESPONSABLE]:[SOFTWARE 
VALOR HORA]],3,FALSE),"0")</f>
        <v>20263.424518743668</v>
      </c>
      <c r="P1167" s="3">
        <f t="shared" si="42"/>
        <v>81053.698074974673</v>
      </c>
      <c r="Q1167" s="11">
        <f>IFERROR(+VLOOKUP(M1167,D.sign_Lista_Data[[RESPONSABLE]:[SOFTWARE 
VALOR HORA]],5,FALSE)*D.sign_Data[[#This Row],[TIEMPO (HORAS)]],0)</f>
        <v>16886.187098953054</v>
      </c>
      <c r="R1167" s="42">
        <f>IFERROR(+VLOOKUP(M1167,D.sign_Lista_Data[[RESPONSABLE]:[SOFTWARE 
VALOR HORA]],8,FALSE)*D.sign_Data[[#This Row],[TIEMPO (HORAS)]],0)</f>
        <v>13643.419548575934</v>
      </c>
      <c r="S1167" s="99">
        <v>0</v>
      </c>
      <c r="T1167" s="99">
        <v>0</v>
      </c>
      <c r="U1167" s="3">
        <f t="shared" si="43"/>
        <v>111583.30472250367</v>
      </c>
      <c r="V1167" s="100">
        <f>D.sign_Data[[#This Row],[TIEMPO (HORAS)]]*Gastos_Operativos[[#Totals],[GASTOS HORA]]</f>
        <v>111157.9082892416</v>
      </c>
      <c r="W1167" s="3">
        <f>+D.sign_Data[[#This Row],[COSTO 
DIRECTO ($COP)]]+D.sign_Data[[#This Row],[PRORRATEO GASTOS ($COP)]]</f>
        <v>222741.21301174528</v>
      </c>
      <c r="X1167" s="101">
        <v>0.1</v>
      </c>
      <c r="Y1167" s="15">
        <f>+D.sign_Data[[#This Row],[COSTOS OPERACIONALES ($COP)]]*D.sign_Data[[#This Row],[DESFASE (%)]]</f>
        <v>22274.121301174528</v>
      </c>
      <c r="Z1167" s="101">
        <v>0.3</v>
      </c>
      <c r="AA1167" s="15">
        <f>+((D.sign_Data[[#This Row],[COSTOS OPERACIONALES ($COP)]]/(100%-D.sign_Data[[#This Row],[UTILIDAD (%)]])))-D.sign_Data[[#This Row],[COSTOS OPERACIONALES ($COP)]]</f>
        <v>95460.519862176589</v>
      </c>
      <c r="AB1167" s="3">
        <f>+D.sign_Data[[#This Row],[COSTOS OPERACIONALES ($COP)]]+D.sign_Data[[#This Row],[DESFASE ($COP)]]+D.sign_Data[[#This Row],[UTILIDAD ($COP)]]</f>
        <v>340475.85417509638</v>
      </c>
      <c r="AC1167" s="101">
        <v>0.05</v>
      </c>
      <c r="AD1167" s="15">
        <f>+D.sign_Data[[#This Row],[VALOR NETO ($COP)]]/(100%-D.sign_Data[[#This Row],[MARGEN DE NEGOCIACIÓN (%)]])-D.sign_Data[[#This Row],[VALOR NETO ($COP)]]</f>
        <v>17919.781798689277</v>
      </c>
      <c r="AE1167" s="15">
        <f>+(D.sign_Data[[#This Row],[VALOR NETO ($COP)]]+D.sign_Data[[#This Row],[NEGOCIACIÓN ($COP)]])*1%</f>
        <v>3583.9563597378565</v>
      </c>
      <c r="AF1167" s="15">
        <f>+(D.sign_Data[[#This Row],[VALOR NETO ($COP)]]+D.sign_Data[[#This Row],[NEGOCIACIÓN ($COP)]])*1%</f>
        <v>3583.9563597378565</v>
      </c>
      <c r="AG1167" s="3">
        <f>+D.sign_Data[[#This Row],[VALOR NETO ($COP)]]+D.sign_Data[[#This Row],[NEGOCIACIÓN ($COP)]]+D.sign_Data[[#This Row],[ICA ($COP)]]+D.sign_Data[[#This Row],[4 * 1000 ($COP)]]</f>
        <v>365563.54869326134</v>
      </c>
    </row>
    <row r="1168" spans="1:33" ht="60" hidden="1" customHeight="1" x14ac:dyDescent="0.25">
      <c r="A1168" s="14"/>
      <c r="B1168" s="87" t="s">
        <v>418</v>
      </c>
      <c r="C1168" s="182" t="s">
        <v>1048</v>
      </c>
      <c r="D1168" s="189" t="str">
        <f>VLOOKUP(D.sign_Data[[#This Row],[CÓDIGO]],Descripciones[[CÓDIGO]:[NOMBRE DE SERVICIO]],3,FALSE)</f>
        <v>D0. Proyecto</v>
      </c>
      <c r="E1168" s="87" t="s">
        <v>1046</v>
      </c>
      <c r="F1168" s="88" t="s">
        <v>1049</v>
      </c>
      <c r="G1168" s="88" t="s">
        <v>1061</v>
      </c>
      <c r="H1168" s="87" t="s">
        <v>423</v>
      </c>
      <c r="I1168" s="89">
        <v>1</v>
      </c>
      <c r="J1168" s="88" t="s">
        <v>1075</v>
      </c>
      <c r="K1168" s="102"/>
      <c r="L1168" s="88" t="s">
        <v>1077</v>
      </c>
      <c r="M1168" s="89" t="s">
        <v>381</v>
      </c>
      <c r="N1168" s="90">
        <v>4</v>
      </c>
      <c r="O1168" s="27">
        <f>IFERROR(+VLOOKUP(M1168,D.sign_Lista_Data[[RESPONSABLE]:[SOFTWARE 
VALOR HORA]],3,FALSE),"0")</f>
        <v>20263.424518743668</v>
      </c>
      <c r="P1168" s="3">
        <f t="shared" si="42"/>
        <v>81053.698074974673</v>
      </c>
      <c r="Q1168" s="11">
        <f>IFERROR(+VLOOKUP(M1168,D.sign_Lista_Data[[RESPONSABLE]:[SOFTWARE 
VALOR HORA]],5,FALSE)*D.sign_Data[[#This Row],[TIEMPO (HORAS)]],0)</f>
        <v>16886.187098953054</v>
      </c>
      <c r="R1168" s="42">
        <f>IFERROR(+VLOOKUP(M1168,D.sign_Lista_Data[[RESPONSABLE]:[SOFTWARE 
VALOR HORA]],8,FALSE)*D.sign_Data[[#This Row],[TIEMPO (HORAS)]],0)</f>
        <v>13643.419548575934</v>
      </c>
      <c r="S1168" s="99">
        <v>0</v>
      </c>
      <c r="T1168" s="99">
        <v>0</v>
      </c>
      <c r="U1168" s="3">
        <f t="shared" si="43"/>
        <v>111583.30472250367</v>
      </c>
      <c r="V1168" s="100">
        <f>D.sign_Data[[#This Row],[TIEMPO (HORAS)]]*Gastos_Operativos[[#Totals],[GASTOS HORA]]</f>
        <v>111157.9082892416</v>
      </c>
      <c r="W1168" s="3">
        <f>+D.sign_Data[[#This Row],[COSTO 
DIRECTO ($COP)]]+D.sign_Data[[#This Row],[PRORRATEO GASTOS ($COP)]]</f>
        <v>222741.21301174528</v>
      </c>
      <c r="X1168" s="101">
        <v>0.1</v>
      </c>
      <c r="Y1168" s="15">
        <f>+D.sign_Data[[#This Row],[COSTOS OPERACIONALES ($COP)]]*D.sign_Data[[#This Row],[DESFASE (%)]]</f>
        <v>22274.121301174528</v>
      </c>
      <c r="Z1168" s="101">
        <v>0.3</v>
      </c>
      <c r="AA1168" s="15">
        <f>+((D.sign_Data[[#This Row],[COSTOS OPERACIONALES ($COP)]]/(100%-D.sign_Data[[#This Row],[UTILIDAD (%)]])))-D.sign_Data[[#This Row],[COSTOS OPERACIONALES ($COP)]]</f>
        <v>95460.519862176589</v>
      </c>
      <c r="AB1168" s="3">
        <f>+D.sign_Data[[#This Row],[COSTOS OPERACIONALES ($COP)]]+D.sign_Data[[#This Row],[DESFASE ($COP)]]+D.sign_Data[[#This Row],[UTILIDAD ($COP)]]</f>
        <v>340475.85417509638</v>
      </c>
      <c r="AC1168" s="101">
        <v>0.05</v>
      </c>
      <c r="AD1168" s="15">
        <f>+D.sign_Data[[#This Row],[VALOR NETO ($COP)]]/(100%-D.sign_Data[[#This Row],[MARGEN DE NEGOCIACIÓN (%)]])-D.sign_Data[[#This Row],[VALOR NETO ($COP)]]</f>
        <v>17919.781798689277</v>
      </c>
      <c r="AE1168" s="15">
        <f>+(D.sign_Data[[#This Row],[VALOR NETO ($COP)]]+D.sign_Data[[#This Row],[NEGOCIACIÓN ($COP)]])*1%</f>
        <v>3583.9563597378565</v>
      </c>
      <c r="AF1168" s="15">
        <f>+(D.sign_Data[[#This Row],[VALOR NETO ($COP)]]+D.sign_Data[[#This Row],[NEGOCIACIÓN ($COP)]])*1%</f>
        <v>3583.9563597378565</v>
      </c>
      <c r="AG1168" s="3">
        <f>+D.sign_Data[[#This Row],[VALOR NETO ($COP)]]+D.sign_Data[[#This Row],[NEGOCIACIÓN ($COP)]]+D.sign_Data[[#This Row],[ICA ($COP)]]+D.sign_Data[[#This Row],[4 * 1000 ($COP)]]</f>
        <v>365563.54869326134</v>
      </c>
    </row>
    <row r="1169" spans="1:33" ht="60" hidden="1" customHeight="1" x14ac:dyDescent="0.25">
      <c r="A1169" s="14"/>
      <c r="B1169" s="87" t="s">
        <v>418</v>
      </c>
      <c r="C1169" s="182" t="s">
        <v>1048</v>
      </c>
      <c r="D1169" s="189" t="str">
        <f>VLOOKUP(D.sign_Data[[#This Row],[CÓDIGO]],Descripciones[[CÓDIGO]:[NOMBRE DE SERVICIO]],3,FALSE)</f>
        <v>D0. Proyecto</v>
      </c>
      <c r="E1169" s="87" t="s">
        <v>1046</v>
      </c>
      <c r="F1169" s="88" t="s">
        <v>1049</v>
      </c>
      <c r="G1169" s="88" t="s">
        <v>1061</v>
      </c>
      <c r="H1169" s="87" t="s">
        <v>423</v>
      </c>
      <c r="I1169" s="89">
        <v>1</v>
      </c>
      <c r="J1169" s="88" t="s">
        <v>1075</v>
      </c>
      <c r="K1169" s="102"/>
      <c r="L1169" s="88" t="s">
        <v>1078</v>
      </c>
      <c r="M1169" s="89" t="s">
        <v>381</v>
      </c>
      <c r="N1169" s="90">
        <v>1</v>
      </c>
      <c r="O1169" s="27">
        <f>IFERROR(+VLOOKUP(M1169,D.sign_Lista_Data[[RESPONSABLE]:[SOFTWARE 
VALOR HORA]],3,FALSE),"0")</f>
        <v>20263.424518743668</v>
      </c>
      <c r="P1169" s="3">
        <f t="shared" si="42"/>
        <v>20263.424518743668</v>
      </c>
      <c r="Q1169" s="11">
        <f>IFERROR(+VLOOKUP(M1169,D.sign_Lista_Data[[RESPONSABLE]:[SOFTWARE 
VALOR HORA]],5,FALSE)*D.sign_Data[[#This Row],[TIEMPO (HORAS)]],0)</f>
        <v>4221.5467747382636</v>
      </c>
      <c r="R1169" s="42">
        <f>IFERROR(+VLOOKUP(M1169,D.sign_Lista_Data[[RESPONSABLE]:[SOFTWARE 
VALOR HORA]],8,FALSE)*D.sign_Data[[#This Row],[TIEMPO (HORAS)]],0)</f>
        <v>3410.8548871439834</v>
      </c>
      <c r="S1169" s="99">
        <v>0</v>
      </c>
      <c r="T1169" s="99">
        <v>0</v>
      </c>
      <c r="U1169" s="3">
        <f t="shared" si="43"/>
        <v>27895.826180625918</v>
      </c>
      <c r="V1169" s="100">
        <f>D.sign_Data[[#This Row],[TIEMPO (HORAS)]]*Gastos_Operativos[[#Totals],[GASTOS HORA]]</f>
        <v>27789.477072310401</v>
      </c>
      <c r="W1169" s="3">
        <f>+D.sign_Data[[#This Row],[COSTO 
DIRECTO ($COP)]]+D.sign_Data[[#This Row],[PRORRATEO GASTOS ($COP)]]</f>
        <v>55685.303252936319</v>
      </c>
      <c r="X1169" s="101">
        <v>0.1</v>
      </c>
      <c r="Y1169" s="15">
        <f>+D.sign_Data[[#This Row],[COSTOS OPERACIONALES ($COP)]]*D.sign_Data[[#This Row],[DESFASE (%)]]</f>
        <v>5568.5303252936319</v>
      </c>
      <c r="Z1169" s="101">
        <v>0.3</v>
      </c>
      <c r="AA1169" s="15">
        <f>+((D.sign_Data[[#This Row],[COSTOS OPERACIONALES ($COP)]]/(100%-D.sign_Data[[#This Row],[UTILIDAD (%)]])))-D.sign_Data[[#This Row],[COSTOS OPERACIONALES ($COP)]]</f>
        <v>23865.129965544147</v>
      </c>
      <c r="AB1169" s="3">
        <f>+D.sign_Data[[#This Row],[COSTOS OPERACIONALES ($COP)]]+D.sign_Data[[#This Row],[DESFASE ($COP)]]+D.sign_Data[[#This Row],[UTILIDAD ($COP)]]</f>
        <v>85118.963543774094</v>
      </c>
      <c r="AC1169" s="101">
        <v>0.05</v>
      </c>
      <c r="AD1169" s="15">
        <f>+D.sign_Data[[#This Row],[VALOR NETO ($COP)]]/(100%-D.sign_Data[[#This Row],[MARGEN DE NEGOCIACIÓN (%)]])-D.sign_Data[[#This Row],[VALOR NETO ($COP)]]</f>
        <v>4479.9454496723192</v>
      </c>
      <c r="AE1169" s="15">
        <f>+(D.sign_Data[[#This Row],[VALOR NETO ($COP)]]+D.sign_Data[[#This Row],[NEGOCIACIÓN ($COP)]])*1%</f>
        <v>895.98908993446412</v>
      </c>
      <c r="AF1169" s="15">
        <f>+(D.sign_Data[[#This Row],[VALOR NETO ($COP)]]+D.sign_Data[[#This Row],[NEGOCIACIÓN ($COP)]])*1%</f>
        <v>895.98908993446412</v>
      </c>
      <c r="AG1169" s="3">
        <f>+D.sign_Data[[#This Row],[VALOR NETO ($COP)]]+D.sign_Data[[#This Row],[NEGOCIACIÓN ($COP)]]+D.sign_Data[[#This Row],[ICA ($COP)]]+D.sign_Data[[#This Row],[4 * 1000 ($COP)]]</f>
        <v>91390.887173315336</v>
      </c>
    </row>
    <row r="1170" spans="1:33" ht="60" hidden="1" customHeight="1" x14ac:dyDescent="0.25">
      <c r="A1170" s="14"/>
      <c r="B1170" s="87" t="s">
        <v>418</v>
      </c>
      <c r="C1170" s="182" t="s">
        <v>1079</v>
      </c>
      <c r="D1170" s="189" t="str">
        <f>VLOOKUP(D.sign_Data[[#This Row],[CÓDIGO]],Descripciones[[CÓDIGO]:[NOMBRE DE SERVICIO]],3,FALSE)</f>
        <v>D0. Proyecto</v>
      </c>
      <c r="E1170" s="87" t="s">
        <v>1046</v>
      </c>
      <c r="F1170" s="88" t="s">
        <v>1080</v>
      </c>
      <c r="G1170" s="88" t="s">
        <v>1080</v>
      </c>
      <c r="H1170" s="87" t="s">
        <v>423</v>
      </c>
      <c r="I1170" s="89">
        <v>1</v>
      </c>
      <c r="J1170" s="88" t="s">
        <v>1081</v>
      </c>
      <c r="K1170" s="102"/>
      <c r="L1170" s="88" t="s">
        <v>1082</v>
      </c>
      <c r="M1170" s="89" t="s">
        <v>381</v>
      </c>
      <c r="N1170" s="90">
        <v>0.1</v>
      </c>
      <c r="O1170" s="27">
        <f>IFERROR(+VLOOKUP(M1170,D.sign_Lista_Data[[RESPONSABLE]:[SOFTWARE 
VALOR HORA]],3,FALSE),"0")</f>
        <v>20263.424518743668</v>
      </c>
      <c r="P1170" s="3">
        <f t="shared" si="42"/>
        <v>2026.3424518743668</v>
      </c>
      <c r="Q1170" s="11">
        <f>IFERROR(+VLOOKUP(M1170,D.sign_Lista_Data[[RESPONSABLE]:[SOFTWARE 
VALOR HORA]],5,FALSE)*D.sign_Data[[#This Row],[TIEMPO (HORAS)]],0)</f>
        <v>422.15467747382638</v>
      </c>
      <c r="R1170" s="42">
        <f>IFERROR(+VLOOKUP(M1170,D.sign_Lista_Data[[RESPONSABLE]:[SOFTWARE 
VALOR HORA]],8,FALSE)*D.sign_Data[[#This Row],[TIEMPO (HORAS)]],0)</f>
        <v>341.08548871439837</v>
      </c>
      <c r="S1170" s="99">
        <v>0</v>
      </c>
      <c r="T1170" s="99">
        <v>0</v>
      </c>
      <c r="U1170" s="3">
        <f t="shared" si="43"/>
        <v>2789.5826180625913</v>
      </c>
      <c r="V1170" s="100">
        <f>D.sign_Data[[#This Row],[TIEMPO (HORAS)]]*Gastos_Operativos[[#Totals],[GASTOS HORA]]</f>
        <v>2778.9477072310401</v>
      </c>
      <c r="W1170" s="3">
        <f>+D.sign_Data[[#This Row],[COSTO 
DIRECTO ($COP)]]+D.sign_Data[[#This Row],[PRORRATEO GASTOS ($COP)]]</f>
        <v>5568.5303252936319</v>
      </c>
      <c r="X1170" s="101">
        <v>0.1</v>
      </c>
      <c r="Y1170" s="15">
        <f>+D.sign_Data[[#This Row],[COSTOS OPERACIONALES ($COP)]]*D.sign_Data[[#This Row],[DESFASE (%)]]</f>
        <v>556.85303252936319</v>
      </c>
      <c r="Z1170" s="101">
        <v>0.3</v>
      </c>
      <c r="AA1170" s="15">
        <f>+((D.sign_Data[[#This Row],[COSTOS OPERACIONALES ($COP)]]/(100%-D.sign_Data[[#This Row],[UTILIDAD (%)]])))-D.sign_Data[[#This Row],[COSTOS OPERACIONALES ($COP)]]</f>
        <v>2386.5129965544138</v>
      </c>
      <c r="AB1170" s="3">
        <f>+D.sign_Data[[#This Row],[COSTOS OPERACIONALES ($COP)]]+D.sign_Data[[#This Row],[DESFASE ($COP)]]+D.sign_Data[[#This Row],[UTILIDAD ($COP)]]</f>
        <v>8511.896354377408</v>
      </c>
      <c r="AC1170" s="101">
        <v>0.05</v>
      </c>
      <c r="AD1170" s="15">
        <f>+D.sign_Data[[#This Row],[VALOR NETO ($COP)]]/(100%-D.sign_Data[[#This Row],[MARGEN DE NEGOCIACIÓN (%)]])-D.sign_Data[[#This Row],[VALOR NETO ($COP)]]</f>
        <v>447.99454496723229</v>
      </c>
      <c r="AE1170" s="15">
        <f>+(D.sign_Data[[#This Row],[VALOR NETO ($COP)]]+D.sign_Data[[#This Row],[NEGOCIACIÓN ($COP)]])*1%</f>
        <v>89.5989089934464</v>
      </c>
      <c r="AF1170" s="15">
        <f>+(D.sign_Data[[#This Row],[VALOR NETO ($COP)]]+D.sign_Data[[#This Row],[NEGOCIACIÓN ($COP)]])*1%</f>
        <v>89.5989089934464</v>
      </c>
      <c r="AG1170" s="3">
        <f>+D.sign_Data[[#This Row],[VALOR NETO ($COP)]]+D.sign_Data[[#This Row],[NEGOCIACIÓN ($COP)]]+D.sign_Data[[#This Row],[ICA ($COP)]]+D.sign_Data[[#This Row],[4 * 1000 ($COP)]]</f>
        <v>9139.0887173315332</v>
      </c>
    </row>
    <row r="1171" spans="1:33" ht="60" hidden="1" customHeight="1" x14ac:dyDescent="0.25">
      <c r="A1171" s="14"/>
      <c r="B1171" s="87" t="s">
        <v>418</v>
      </c>
      <c r="C1171" s="182" t="s">
        <v>1079</v>
      </c>
      <c r="D1171" s="189" t="str">
        <f>VLOOKUP(D.sign_Data[[#This Row],[CÓDIGO]],Descripciones[[CÓDIGO]:[NOMBRE DE SERVICIO]],3,FALSE)</f>
        <v>D0. Proyecto</v>
      </c>
      <c r="E1171" s="87" t="s">
        <v>1046</v>
      </c>
      <c r="F1171" s="88" t="s">
        <v>1080</v>
      </c>
      <c r="G1171" s="88" t="s">
        <v>1080</v>
      </c>
      <c r="H1171" s="87" t="s">
        <v>423</v>
      </c>
      <c r="I1171" s="89">
        <v>1</v>
      </c>
      <c r="J1171" s="88" t="s">
        <v>1081</v>
      </c>
      <c r="K1171" s="102"/>
      <c r="L1171" s="88" t="s">
        <v>1083</v>
      </c>
      <c r="M1171" s="89" t="s">
        <v>381</v>
      </c>
      <c r="N1171" s="90">
        <v>0.1</v>
      </c>
      <c r="O1171" s="27">
        <f>IFERROR(+VLOOKUP(M1171,D.sign_Lista_Data[[RESPONSABLE]:[SOFTWARE 
VALOR HORA]],3,FALSE),"0")</f>
        <v>20263.424518743668</v>
      </c>
      <c r="P1171" s="3">
        <f t="shared" si="42"/>
        <v>2026.3424518743668</v>
      </c>
      <c r="Q1171" s="11">
        <f>IFERROR(+VLOOKUP(M1171,D.sign_Lista_Data[[RESPONSABLE]:[SOFTWARE 
VALOR HORA]],5,FALSE)*D.sign_Data[[#This Row],[TIEMPO (HORAS)]],0)</f>
        <v>422.15467747382638</v>
      </c>
      <c r="R1171" s="42">
        <f>IFERROR(+VLOOKUP(M1171,D.sign_Lista_Data[[RESPONSABLE]:[SOFTWARE 
VALOR HORA]],8,FALSE)*D.sign_Data[[#This Row],[TIEMPO (HORAS)]],0)</f>
        <v>341.08548871439837</v>
      </c>
      <c r="S1171" s="99">
        <v>0</v>
      </c>
      <c r="T1171" s="99">
        <v>0</v>
      </c>
      <c r="U1171" s="3">
        <f t="shared" si="43"/>
        <v>2789.5826180625913</v>
      </c>
      <c r="V1171" s="100">
        <f>D.sign_Data[[#This Row],[TIEMPO (HORAS)]]*Gastos_Operativos[[#Totals],[GASTOS HORA]]</f>
        <v>2778.9477072310401</v>
      </c>
      <c r="W1171" s="3">
        <f>+D.sign_Data[[#This Row],[COSTO 
DIRECTO ($COP)]]+D.sign_Data[[#This Row],[PRORRATEO GASTOS ($COP)]]</f>
        <v>5568.5303252936319</v>
      </c>
      <c r="X1171" s="101">
        <v>0.1</v>
      </c>
      <c r="Y1171" s="15">
        <f>+D.sign_Data[[#This Row],[COSTOS OPERACIONALES ($COP)]]*D.sign_Data[[#This Row],[DESFASE (%)]]</f>
        <v>556.85303252936319</v>
      </c>
      <c r="Z1171" s="101">
        <v>0.3</v>
      </c>
      <c r="AA1171" s="15">
        <f>+((D.sign_Data[[#This Row],[COSTOS OPERACIONALES ($COP)]]/(100%-D.sign_Data[[#This Row],[UTILIDAD (%)]])))-D.sign_Data[[#This Row],[COSTOS OPERACIONALES ($COP)]]</f>
        <v>2386.5129965544138</v>
      </c>
      <c r="AB1171" s="3">
        <f>+D.sign_Data[[#This Row],[COSTOS OPERACIONALES ($COP)]]+D.sign_Data[[#This Row],[DESFASE ($COP)]]+D.sign_Data[[#This Row],[UTILIDAD ($COP)]]</f>
        <v>8511.896354377408</v>
      </c>
      <c r="AC1171" s="101">
        <v>0.05</v>
      </c>
      <c r="AD1171" s="15">
        <f>+D.sign_Data[[#This Row],[VALOR NETO ($COP)]]/(100%-D.sign_Data[[#This Row],[MARGEN DE NEGOCIACIÓN (%)]])-D.sign_Data[[#This Row],[VALOR NETO ($COP)]]</f>
        <v>447.99454496723229</v>
      </c>
      <c r="AE1171" s="15">
        <f>+(D.sign_Data[[#This Row],[VALOR NETO ($COP)]]+D.sign_Data[[#This Row],[NEGOCIACIÓN ($COP)]])*1%</f>
        <v>89.5989089934464</v>
      </c>
      <c r="AF1171" s="15">
        <f>+(D.sign_Data[[#This Row],[VALOR NETO ($COP)]]+D.sign_Data[[#This Row],[NEGOCIACIÓN ($COP)]])*1%</f>
        <v>89.5989089934464</v>
      </c>
      <c r="AG1171" s="3">
        <f>+D.sign_Data[[#This Row],[VALOR NETO ($COP)]]+D.sign_Data[[#This Row],[NEGOCIACIÓN ($COP)]]+D.sign_Data[[#This Row],[ICA ($COP)]]+D.sign_Data[[#This Row],[4 * 1000 ($COP)]]</f>
        <v>9139.0887173315332</v>
      </c>
    </row>
    <row r="1172" spans="1:33" ht="60" hidden="1" customHeight="1" x14ac:dyDescent="0.25">
      <c r="A1172" s="14"/>
      <c r="B1172" s="87" t="s">
        <v>418</v>
      </c>
      <c r="C1172" s="182" t="s">
        <v>1079</v>
      </c>
      <c r="D1172" s="189" t="str">
        <f>VLOOKUP(D.sign_Data[[#This Row],[CÓDIGO]],Descripciones[[CÓDIGO]:[NOMBRE DE SERVICIO]],3,FALSE)</f>
        <v>D0. Proyecto</v>
      </c>
      <c r="E1172" s="87" t="s">
        <v>1046</v>
      </c>
      <c r="F1172" s="88" t="s">
        <v>1080</v>
      </c>
      <c r="G1172" s="88" t="s">
        <v>1080</v>
      </c>
      <c r="H1172" s="87" t="s">
        <v>423</v>
      </c>
      <c r="I1172" s="89">
        <v>1</v>
      </c>
      <c r="J1172" s="88" t="s">
        <v>1081</v>
      </c>
      <c r="K1172" s="102"/>
      <c r="L1172" s="88" t="s">
        <v>1084</v>
      </c>
      <c r="M1172" s="89" t="s">
        <v>381</v>
      </c>
      <c r="N1172" s="90">
        <v>0.2</v>
      </c>
      <c r="O1172" s="27">
        <f>IFERROR(+VLOOKUP(M1172,D.sign_Lista_Data[[RESPONSABLE]:[SOFTWARE 
VALOR HORA]],3,FALSE),"0")</f>
        <v>20263.424518743668</v>
      </c>
      <c r="P1172" s="3">
        <f t="shared" si="42"/>
        <v>4052.6849037487336</v>
      </c>
      <c r="Q1172" s="11">
        <f>IFERROR(+VLOOKUP(M1172,D.sign_Lista_Data[[RESPONSABLE]:[SOFTWARE 
VALOR HORA]],5,FALSE)*D.sign_Data[[#This Row],[TIEMPO (HORAS)]],0)</f>
        <v>844.30935494765276</v>
      </c>
      <c r="R1172" s="42">
        <f>IFERROR(+VLOOKUP(M1172,D.sign_Lista_Data[[RESPONSABLE]:[SOFTWARE 
VALOR HORA]],8,FALSE)*D.sign_Data[[#This Row],[TIEMPO (HORAS)]],0)</f>
        <v>682.17097742879673</v>
      </c>
      <c r="S1172" s="99">
        <v>0</v>
      </c>
      <c r="T1172" s="99">
        <v>0</v>
      </c>
      <c r="U1172" s="3">
        <f t="shared" si="43"/>
        <v>5579.1652361251827</v>
      </c>
      <c r="V1172" s="100">
        <f>D.sign_Data[[#This Row],[TIEMPO (HORAS)]]*Gastos_Operativos[[#Totals],[GASTOS HORA]]</f>
        <v>5557.8954144620802</v>
      </c>
      <c r="W1172" s="3">
        <f>+D.sign_Data[[#This Row],[COSTO 
DIRECTO ($COP)]]+D.sign_Data[[#This Row],[PRORRATEO GASTOS ($COP)]]</f>
        <v>11137.060650587264</v>
      </c>
      <c r="X1172" s="101">
        <v>0.1</v>
      </c>
      <c r="Y1172" s="15">
        <f>+D.sign_Data[[#This Row],[COSTOS OPERACIONALES ($COP)]]*D.sign_Data[[#This Row],[DESFASE (%)]]</f>
        <v>1113.7060650587264</v>
      </c>
      <c r="Z1172" s="101">
        <v>0.3</v>
      </c>
      <c r="AA1172" s="15">
        <f>+((D.sign_Data[[#This Row],[COSTOS OPERACIONALES ($COP)]]/(100%-D.sign_Data[[#This Row],[UTILIDAD (%)]])))-D.sign_Data[[#This Row],[COSTOS OPERACIONALES ($COP)]]</f>
        <v>4773.0259931088276</v>
      </c>
      <c r="AB1172" s="3">
        <f>+D.sign_Data[[#This Row],[COSTOS OPERACIONALES ($COP)]]+D.sign_Data[[#This Row],[DESFASE ($COP)]]+D.sign_Data[[#This Row],[UTILIDAD ($COP)]]</f>
        <v>17023.792708754816</v>
      </c>
      <c r="AC1172" s="101">
        <v>0.05</v>
      </c>
      <c r="AD1172" s="15">
        <f>+D.sign_Data[[#This Row],[VALOR NETO ($COP)]]/(100%-D.sign_Data[[#This Row],[MARGEN DE NEGOCIACIÓN (%)]])-D.sign_Data[[#This Row],[VALOR NETO ($COP)]]</f>
        <v>895.98908993446457</v>
      </c>
      <c r="AE1172" s="15">
        <f>+(D.sign_Data[[#This Row],[VALOR NETO ($COP)]]+D.sign_Data[[#This Row],[NEGOCIACIÓN ($COP)]])*1%</f>
        <v>179.1978179868928</v>
      </c>
      <c r="AF1172" s="15">
        <f>+(D.sign_Data[[#This Row],[VALOR NETO ($COP)]]+D.sign_Data[[#This Row],[NEGOCIACIÓN ($COP)]])*1%</f>
        <v>179.1978179868928</v>
      </c>
      <c r="AG1172" s="3">
        <f>+D.sign_Data[[#This Row],[VALOR NETO ($COP)]]+D.sign_Data[[#This Row],[NEGOCIACIÓN ($COP)]]+D.sign_Data[[#This Row],[ICA ($COP)]]+D.sign_Data[[#This Row],[4 * 1000 ($COP)]]</f>
        <v>18278.177434663066</v>
      </c>
    </row>
    <row r="1173" spans="1:33" ht="60" hidden="1" customHeight="1" x14ac:dyDescent="0.25">
      <c r="A1173" s="14"/>
      <c r="B1173" s="87" t="s">
        <v>418</v>
      </c>
      <c r="C1173" s="182" t="s">
        <v>1079</v>
      </c>
      <c r="D1173" s="189" t="str">
        <f>VLOOKUP(D.sign_Data[[#This Row],[CÓDIGO]],Descripciones[[CÓDIGO]:[NOMBRE DE SERVICIO]],3,FALSE)</f>
        <v>D0. Proyecto</v>
      </c>
      <c r="E1173" s="87" t="s">
        <v>1046</v>
      </c>
      <c r="F1173" s="88" t="s">
        <v>1080</v>
      </c>
      <c r="G1173" s="88" t="s">
        <v>1080</v>
      </c>
      <c r="H1173" s="87" t="s">
        <v>423</v>
      </c>
      <c r="I1173" s="89">
        <v>1</v>
      </c>
      <c r="J1173" s="88" t="s">
        <v>1081</v>
      </c>
      <c r="K1173" s="102"/>
      <c r="L1173" s="88" t="s">
        <v>1085</v>
      </c>
      <c r="M1173" s="89" t="s">
        <v>381</v>
      </c>
      <c r="N1173" s="90">
        <v>0.5</v>
      </c>
      <c r="O1173" s="27">
        <f>IFERROR(+VLOOKUP(M1173,D.sign_Lista_Data[[RESPONSABLE]:[SOFTWARE 
VALOR HORA]],3,FALSE),"0")</f>
        <v>20263.424518743668</v>
      </c>
      <c r="P1173" s="3">
        <f t="shared" si="42"/>
        <v>10131.712259371834</v>
      </c>
      <c r="Q1173" s="11">
        <f>IFERROR(+VLOOKUP(M1173,D.sign_Lista_Data[[RESPONSABLE]:[SOFTWARE 
VALOR HORA]],5,FALSE)*D.sign_Data[[#This Row],[TIEMPO (HORAS)]],0)</f>
        <v>2110.7733873691318</v>
      </c>
      <c r="R1173" s="42">
        <f>IFERROR(+VLOOKUP(M1173,D.sign_Lista_Data[[RESPONSABLE]:[SOFTWARE 
VALOR HORA]],8,FALSE)*D.sign_Data[[#This Row],[TIEMPO (HORAS)]],0)</f>
        <v>1705.4274435719917</v>
      </c>
      <c r="S1173" s="99">
        <v>0</v>
      </c>
      <c r="T1173" s="99">
        <v>0</v>
      </c>
      <c r="U1173" s="3">
        <f t="shared" si="43"/>
        <v>13947.913090312959</v>
      </c>
      <c r="V1173" s="100">
        <f>D.sign_Data[[#This Row],[TIEMPO (HORAS)]]*Gastos_Operativos[[#Totals],[GASTOS HORA]]</f>
        <v>13894.738536155201</v>
      </c>
      <c r="W1173" s="3">
        <f>+D.sign_Data[[#This Row],[COSTO 
DIRECTO ($COP)]]+D.sign_Data[[#This Row],[PRORRATEO GASTOS ($COP)]]</f>
        <v>27842.65162646816</v>
      </c>
      <c r="X1173" s="101">
        <v>0.1</v>
      </c>
      <c r="Y1173" s="15">
        <f>+D.sign_Data[[#This Row],[COSTOS OPERACIONALES ($COP)]]*D.sign_Data[[#This Row],[DESFASE (%)]]</f>
        <v>2784.265162646816</v>
      </c>
      <c r="Z1173" s="101">
        <v>0.3</v>
      </c>
      <c r="AA1173" s="15">
        <f>+((D.sign_Data[[#This Row],[COSTOS OPERACIONALES ($COP)]]/(100%-D.sign_Data[[#This Row],[UTILIDAD (%)]])))-D.sign_Data[[#This Row],[COSTOS OPERACIONALES ($COP)]]</f>
        <v>11932.564982772074</v>
      </c>
      <c r="AB1173" s="3">
        <f>+D.sign_Data[[#This Row],[COSTOS OPERACIONALES ($COP)]]+D.sign_Data[[#This Row],[DESFASE ($COP)]]+D.sign_Data[[#This Row],[UTILIDAD ($COP)]]</f>
        <v>42559.481771887047</v>
      </c>
      <c r="AC1173" s="101">
        <v>0.05</v>
      </c>
      <c r="AD1173" s="15">
        <f>+D.sign_Data[[#This Row],[VALOR NETO ($COP)]]/(100%-D.sign_Data[[#This Row],[MARGEN DE NEGOCIACIÓN (%)]])-D.sign_Data[[#This Row],[VALOR NETO ($COP)]]</f>
        <v>2239.9727248361596</v>
      </c>
      <c r="AE1173" s="15">
        <f>+(D.sign_Data[[#This Row],[VALOR NETO ($COP)]]+D.sign_Data[[#This Row],[NEGOCIACIÓN ($COP)]])*1%</f>
        <v>447.99454496723206</v>
      </c>
      <c r="AF1173" s="15">
        <f>+(D.sign_Data[[#This Row],[VALOR NETO ($COP)]]+D.sign_Data[[#This Row],[NEGOCIACIÓN ($COP)]])*1%</f>
        <v>447.99454496723206</v>
      </c>
      <c r="AG1173" s="3">
        <f>+D.sign_Data[[#This Row],[VALOR NETO ($COP)]]+D.sign_Data[[#This Row],[NEGOCIACIÓN ($COP)]]+D.sign_Data[[#This Row],[ICA ($COP)]]+D.sign_Data[[#This Row],[4 * 1000 ($COP)]]</f>
        <v>45695.443586657668</v>
      </c>
    </row>
    <row r="1174" spans="1:33" ht="60" hidden="1" customHeight="1" x14ac:dyDescent="0.25">
      <c r="A1174" s="14"/>
      <c r="B1174" s="87" t="s">
        <v>418</v>
      </c>
      <c r="C1174" s="182" t="s">
        <v>1079</v>
      </c>
      <c r="D1174" s="189" t="str">
        <f>VLOOKUP(D.sign_Data[[#This Row],[CÓDIGO]],Descripciones[[CÓDIGO]:[NOMBRE DE SERVICIO]],3,FALSE)</f>
        <v>D0. Proyecto</v>
      </c>
      <c r="E1174" s="87" t="s">
        <v>1046</v>
      </c>
      <c r="F1174" s="88" t="s">
        <v>1080</v>
      </c>
      <c r="G1174" s="88" t="s">
        <v>1080</v>
      </c>
      <c r="H1174" s="87" t="s">
        <v>423</v>
      </c>
      <c r="I1174" s="89">
        <v>1</v>
      </c>
      <c r="J1174" s="88" t="s">
        <v>979</v>
      </c>
      <c r="K1174" s="102"/>
      <c r="L1174" s="88" t="s">
        <v>1086</v>
      </c>
      <c r="M1174" s="89" t="s">
        <v>381</v>
      </c>
      <c r="N1174" s="90">
        <v>1</v>
      </c>
      <c r="O1174" s="27">
        <f>IFERROR(+VLOOKUP(M1174,D.sign_Lista_Data[[RESPONSABLE]:[SOFTWARE 
VALOR HORA]],3,FALSE),"0")</f>
        <v>20263.424518743668</v>
      </c>
      <c r="P1174" s="3">
        <f t="shared" si="42"/>
        <v>20263.424518743668</v>
      </c>
      <c r="Q1174" s="11">
        <f>IFERROR(+VLOOKUP(M1174,D.sign_Lista_Data[[RESPONSABLE]:[SOFTWARE 
VALOR HORA]],5,FALSE)*D.sign_Data[[#This Row],[TIEMPO (HORAS)]],0)</f>
        <v>4221.5467747382636</v>
      </c>
      <c r="R1174" s="42">
        <f>IFERROR(+VLOOKUP(M1174,D.sign_Lista_Data[[RESPONSABLE]:[SOFTWARE 
VALOR HORA]],8,FALSE)*D.sign_Data[[#This Row],[TIEMPO (HORAS)]],0)</f>
        <v>3410.8548871439834</v>
      </c>
      <c r="S1174" s="99">
        <v>0</v>
      </c>
      <c r="T1174" s="99">
        <v>0</v>
      </c>
      <c r="U1174" s="3">
        <f t="shared" si="43"/>
        <v>27895.826180625918</v>
      </c>
      <c r="V1174" s="100">
        <f>D.sign_Data[[#This Row],[TIEMPO (HORAS)]]*Gastos_Operativos[[#Totals],[GASTOS HORA]]</f>
        <v>27789.477072310401</v>
      </c>
      <c r="W1174" s="3">
        <f>+D.sign_Data[[#This Row],[COSTO 
DIRECTO ($COP)]]+D.sign_Data[[#This Row],[PRORRATEO GASTOS ($COP)]]</f>
        <v>55685.303252936319</v>
      </c>
      <c r="X1174" s="101">
        <v>0.1</v>
      </c>
      <c r="Y1174" s="15">
        <f>+D.sign_Data[[#This Row],[COSTOS OPERACIONALES ($COP)]]*D.sign_Data[[#This Row],[DESFASE (%)]]</f>
        <v>5568.5303252936319</v>
      </c>
      <c r="Z1174" s="101">
        <v>0.3</v>
      </c>
      <c r="AA1174" s="15">
        <f>+((D.sign_Data[[#This Row],[COSTOS OPERACIONALES ($COP)]]/(100%-D.sign_Data[[#This Row],[UTILIDAD (%)]])))-D.sign_Data[[#This Row],[COSTOS OPERACIONALES ($COP)]]</f>
        <v>23865.129965544147</v>
      </c>
      <c r="AB1174" s="3">
        <f>+D.sign_Data[[#This Row],[COSTOS OPERACIONALES ($COP)]]+D.sign_Data[[#This Row],[DESFASE ($COP)]]+D.sign_Data[[#This Row],[UTILIDAD ($COP)]]</f>
        <v>85118.963543774094</v>
      </c>
      <c r="AC1174" s="101">
        <v>0.05</v>
      </c>
      <c r="AD1174" s="15">
        <f>+D.sign_Data[[#This Row],[VALOR NETO ($COP)]]/(100%-D.sign_Data[[#This Row],[MARGEN DE NEGOCIACIÓN (%)]])-D.sign_Data[[#This Row],[VALOR NETO ($COP)]]</f>
        <v>4479.9454496723192</v>
      </c>
      <c r="AE1174" s="15">
        <f>+(D.sign_Data[[#This Row],[VALOR NETO ($COP)]]+D.sign_Data[[#This Row],[NEGOCIACIÓN ($COP)]])*1%</f>
        <v>895.98908993446412</v>
      </c>
      <c r="AF1174" s="15">
        <f>+(D.sign_Data[[#This Row],[VALOR NETO ($COP)]]+D.sign_Data[[#This Row],[NEGOCIACIÓN ($COP)]])*1%</f>
        <v>895.98908993446412</v>
      </c>
      <c r="AG1174" s="3">
        <f>+D.sign_Data[[#This Row],[VALOR NETO ($COP)]]+D.sign_Data[[#This Row],[NEGOCIACIÓN ($COP)]]+D.sign_Data[[#This Row],[ICA ($COP)]]+D.sign_Data[[#This Row],[4 * 1000 ($COP)]]</f>
        <v>91390.887173315336</v>
      </c>
    </row>
    <row r="1175" spans="1:33" ht="60" hidden="1" customHeight="1" x14ac:dyDescent="0.25">
      <c r="A1175" s="14"/>
      <c r="B1175" s="87" t="s">
        <v>418</v>
      </c>
      <c r="C1175" s="182" t="s">
        <v>1079</v>
      </c>
      <c r="D1175" s="189" t="str">
        <f>VLOOKUP(D.sign_Data[[#This Row],[CÓDIGO]],Descripciones[[CÓDIGO]:[NOMBRE DE SERVICIO]],3,FALSE)</f>
        <v>D0. Proyecto</v>
      </c>
      <c r="E1175" s="87" t="s">
        <v>1046</v>
      </c>
      <c r="F1175" s="88" t="s">
        <v>1080</v>
      </c>
      <c r="G1175" s="88" t="s">
        <v>1080</v>
      </c>
      <c r="H1175" s="87" t="s">
        <v>423</v>
      </c>
      <c r="I1175" s="89">
        <v>1</v>
      </c>
      <c r="J1175" s="88" t="s">
        <v>979</v>
      </c>
      <c r="K1175" s="102"/>
      <c r="L1175" s="88" t="s">
        <v>1087</v>
      </c>
      <c r="M1175" s="89" t="s">
        <v>381</v>
      </c>
      <c r="N1175" s="90">
        <v>2</v>
      </c>
      <c r="O1175" s="27">
        <f>IFERROR(+VLOOKUP(M1175,D.sign_Lista_Data[[RESPONSABLE]:[SOFTWARE 
VALOR HORA]],3,FALSE),"0")</f>
        <v>20263.424518743668</v>
      </c>
      <c r="P1175" s="3">
        <f t="shared" si="42"/>
        <v>40526.849037487336</v>
      </c>
      <c r="Q1175" s="11">
        <f>IFERROR(+VLOOKUP(M1175,D.sign_Lista_Data[[RESPONSABLE]:[SOFTWARE 
VALOR HORA]],5,FALSE)*D.sign_Data[[#This Row],[TIEMPO (HORAS)]],0)</f>
        <v>8443.0935494765272</v>
      </c>
      <c r="R1175" s="42">
        <f>IFERROR(+VLOOKUP(M1175,D.sign_Lista_Data[[RESPONSABLE]:[SOFTWARE 
VALOR HORA]],8,FALSE)*D.sign_Data[[#This Row],[TIEMPO (HORAS)]],0)</f>
        <v>6821.7097742879669</v>
      </c>
      <c r="S1175" s="99">
        <v>0</v>
      </c>
      <c r="T1175" s="99">
        <v>0</v>
      </c>
      <c r="U1175" s="3">
        <f t="shared" si="43"/>
        <v>55791.652361251836</v>
      </c>
      <c r="V1175" s="100">
        <f>D.sign_Data[[#This Row],[TIEMPO (HORAS)]]*Gastos_Operativos[[#Totals],[GASTOS HORA]]</f>
        <v>55578.954144620802</v>
      </c>
      <c r="W1175" s="3">
        <f>+D.sign_Data[[#This Row],[COSTO 
DIRECTO ($COP)]]+D.sign_Data[[#This Row],[PRORRATEO GASTOS ($COP)]]</f>
        <v>111370.60650587264</v>
      </c>
      <c r="X1175" s="101">
        <v>0.1</v>
      </c>
      <c r="Y1175" s="15">
        <f>+D.sign_Data[[#This Row],[COSTOS OPERACIONALES ($COP)]]*D.sign_Data[[#This Row],[DESFASE (%)]]</f>
        <v>11137.060650587264</v>
      </c>
      <c r="Z1175" s="101">
        <v>0.3</v>
      </c>
      <c r="AA1175" s="15">
        <f>+((D.sign_Data[[#This Row],[COSTOS OPERACIONALES ($COP)]]/(100%-D.sign_Data[[#This Row],[UTILIDAD (%)]])))-D.sign_Data[[#This Row],[COSTOS OPERACIONALES ($COP)]]</f>
        <v>47730.259931088294</v>
      </c>
      <c r="AB1175" s="3">
        <f>+D.sign_Data[[#This Row],[COSTOS OPERACIONALES ($COP)]]+D.sign_Data[[#This Row],[DESFASE ($COP)]]+D.sign_Data[[#This Row],[UTILIDAD ($COP)]]</f>
        <v>170237.92708754819</v>
      </c>
      <c r="AC1175" s="101">
        <v>0.05</v>
      </c>
      <c r="AD1175" s="15">
        <f>+D.sign_Data[[#This Row],[VALOR NETO ($COP)]]/(100%-D.sign_Data[[#This Row],[MARGEN DE NEGOCIACIÓN (%)]])-D.sign_Data[[#This Row],[VALOR NETO ($COP)]]</f>
        <v>8959.8908993446385</v>
      </c>
      <c r="AE1175" s="15">
        <f>+(D.sign_Data[[#This Row],[VALOR NETO ($COP)]]+D.sign_Data[[#This Row],[NEGOCIACIÓN ($COP)]])*1%</f>
        <v>1791.9781798689282</v>
      </c>
      <c r="AF1175" s="15">
        <f>+(D.sign_Data[[#This Row],[VALOR NETO ($COP)]]+D.sign_Data[[#This Row],[NEGOCIACIÓN ($COP)]])*1%</f>
        <v>1791.9781798689282</v>
      </c>
      <c r="AG1175" s="3">
        <f>+D.sign_Data[[#This Row],[VALOR NETO ($COP)]]+D.sign_Data[[#This Row],[NEGOCIACIÓN ($COP)]]+D.sign_Data[[#This Row],[ICA ($COP)]]+D.sign_Data[[#This Row],[4 * 1000 ($COP)]]</f>
        <v>182781.77434663067</v>
      </c>
    </row>
    <row r="1176" spans="1:33" ht="60" hidden="1" customHeight="1" x14ac:dyDescent="0.25">
      <c r="A1176" s="14"/>
      <c r="B1176" s="87" t="s">
        <v>418</v>
      </c>
      <c r="C1176" s="182" t="s">
        <v>1079</v>
      </c>
      <c r="D1176" s="189" t="str">
        <f>VLOOKUP(D.sign_Data[[#This Row],[CÓDIGO]],Descripciones[[CÓDIGO]:[NOMBRE DE SERVICIO]],3,FALSE)</f>
        <v>D0. Proyecto</v>
      </c>
      <c r="E1176" s="87" t="s">
        <v>1046</v>
      </c>
      <c r="F1176" s="88" t="s">
        <v>1080</v>
      </c>
      <c r="G1176" s="88" t="s">
        <v>1080</v>
      </c>
      <c r="H1176" s="87" t="s">
        <v>423</v>
      </c>
      <c r="I1176" s="89">
        <v>1</v>
      </c>
      <c r="J1176" s="88" t="s">
        <v>979</v>
      </c>
      <c r="K1176" s="102"/>
      <c r="L1176" s="88" t="s">
        <v>1088</v>
      </c>
      <c r="M1176" s="89" t="s">
        <v>381</v>
      </c>
      <c r="N1176" s="90">
        <v>0.1</v>
      </c>
      <c r="O1176" s="27">
        <f>IFERROR(+VLOOKUP(M1176,D.sign_Lista_Data[[RESPONSABLE]:[SOFTWARE 
VALOR HORA]],3,FALSE),"0")</f>
        <v>20263.424518743668</v>
      </c>
      <c r="P1176" s="3">
        <f t="shared" si="42"/>
        <v>2026.3424518743668</v>
      </c>
      <c r="Q1176" s="11">
        <f>IFERROR(+VLOOKUP(M1176,D.sign_Lista_Data[[RESPONSABLE]:[SOFTWARE 
VALOR HORA]],5,FALSE)*D.sign_Data[[#This Row],[TIEMPO (HORAS)]],0)</f>
        <v>422.15467747382638</v>
      </c>
      <c r="R1176" s="42">
        <f>IFERROR(+VLOOKUP(M1176,D.sign_Lista_Data[[RESPONSABLE]:[SOFTWARE 
VALOR HORA]],8,FALSE)*D.sign_Data[[#This Row],[TIEMPO (HORAS)]],0)</f>
        <v>341.08548871439837</v>
      </c>
      <c r="S1176" s="99">
        <v>0</v>
      </c>
      <c r="T1176" s="99">
        <v>0</v>
      </c>
      <c r="U1176" s="3">
        <f t="shared" si="43"/>
        <v>2789.5826180625913</v>
      </c>
      <c r="V1176" s="100">
        <f>D.sign_Data[[#This Row],[TIEMPO (HORAS)]]*Gastos_Operativos[[#Totals],[GASTOS HORA]]</f>
        <v>2778.9477072310401</v>
      </c>
      <c r="W1176" s="3">
        <f>+D.sign_Data[[#This Row],[COSTO 
DIRECTO ($COP)]]+D.sign_Data[[#This Row],[PRORRATEO GASTOS ($COP)]]</f>
        <v>5568.5303252936319</v>
      </c>
      <c r="X1176" s="101">
        <v>0.1</v>
      </c>
      <c r="Y1176" s="15">
        <f>+D.sign_Data[[#This Row],[COSTOS OPERACIONALES ($COP)]]*D.sign_Data[[#This Row],[DESFASE (%)]]</f>
        <v>556.85303252936319</v>
      </c>
      <c r="Z1176" s="101">
        <v>0.3</v>
      </c>
      <c r="AA1176" s="15">
        <f>+((D.sign_Data[[#This Row],[COSTOS OPERACIONALES ($COP)]]/(100%-D.sign_Data[[#This Row],[UTILIDAD (%)]])))-D.sign_Data[[#This Row],[COSTOS OPERACIONALES ($COP)]]</f>
        <v>2386.5129965544138</v>
      </c>
      <c r="AB1176" s="3">
        <f>+D.sign_Data[[#This Row],[COSTOS OPERACIONALES ($COP)]]+D.sign_Data[[#This Row],[DESFASE ($COP)]]+D.sign_Data[[#This Row],[UTILIDAD ($COP)]]</f>
        <v>8511.896354377408</v>
      </c>
      <c r="AC1176" s="101">
        <v>0.05</v>
      </c>
      <c r="AD1176" s="15">
        <f>+D.sign_Data[[#This Row],[VALOR NETO ($COP)]]/(100%-D.sign_Data[[#This Row],[MARGEN DE NEGOCIACIÓN (%)]])-D.sign_Data[[#This Row],[VALOR NETO ($COP)]]</f>
        <v>447.99454496723229</v>
      </c>
      <c r="AE1176" s="15">
        <f>+(D.sign_Data[[#This Row],[VALOR NETO ($COP)]]+D.sign_Data[[#This Row],[NEGOCIACIÓN ($COP)]])*1%</f>
        <v>89.5989089934464</v>
      </c>
      <c r="AF1176" s="15">
        <f>+(D.sign_Data[[#This Row],[VALOR NETO ($COP)]]+D.sign_Data[[#This Row],[NEGOCIACIÓN ($COP)]])*1%</f>
        <v>89.5989089934464</v>
      </c>
      <c r="AG1176" s="3">
        <f>+D.sign_Data[[#This Row],[VALOR NETO ($COP)]]+D.sign_Data[[#This Row],[NEGOCIACIÓN ($COP)]]+D.sign_Data[[#This Row],[ICA ($COP)]]+D.sign_Data[[#This Row],[4 * 1000 ($COP)]]</f>
        <v>9139.0887173315332</v>
      </c>
    </row>
    <row r="1177" spans="1:33" ht="60" hidden="1" customHeight="1" x14ac:dyDescent="0.25">
      <c r="A1177" s="14"/>
      <c r="B1177" s="87" t="s">
        <v>418</v>
      </c>
      <c r="C1177" s="182" t="s">
        <v>1079</v>
      </c>
      <c r="D1177" s="189" t="str">
        <f>VLOOKUP(D.sign_Data[[#This Row],[CÓDIGO]],Descripciones[[CÓDIGO]:[NOMBRE DE SERVICIO]],3,FALSE)</f>
        <v>D0. Proyecto</v>
      </c>
      <c r="E1177" s="87" t="s">
        <v>1046</v>
      </c>
      <c r="F1177" s="88" t="s">
        <v>1080</v>
      </c>
      <c r="G1177" s="88" t="s">
        <v>1080</v>
      </c>
      <c r="H1177" s="87" t="s">
        <v>423</v>
      </c>
      <c r="I1177" s="89">
        <v>1</v>
      </c>
      <c r="J1177" s="88" t="s">
        <v>1089</v>
      </c>
      <c r="K1177" s="102"/>
      <c r="L1177" s="88" t="s">
        <v>1090</v>
      </c>
      <c r="M1177" s="89" t="s">
        <v>381</v>
      </c>
      <c r="N1177" s="90">
        <v>0.1</v>
      </c>
      <c r="O1177" s="27">
        <f>IFERROR(+VLOOKUP(M1177,D.sign_Lista_Data[[RESPONSABLE]:[SOFTWARE 
VALOR HORA]],3,FALSE),"0")</f>
        <v>20263.424518743668</v>
      </c>
      <c r="P1177" s="3">
        <f t="shared" si="42"/>
        <v>2026.3424518743668</v>
      </c>
      <c r="Q1177" s="11">
        <f>IFERROR(+VLOOKUP(M1177,D.sign_Lista_Data[[RESPONSABLE]:[SOFTWARE 
VALOR HORA]],5,FALSE)*D.sign_Data[[#This Row],[TIEMPO (HORAS)]],0)</f>
        <v>422.15467747382638</v>
      </c>
      <c r="R1177" s="42">
        <f>IFERROR(+VLOOKUP(M1177,D.sign_Lista_Data[[RESPONSABLE]:[SOFTWARE 
VALOR HORA]],8,FALSE)*D.sign_Data[[#This Row],[TIEMPO (HORAS)]],0)</f>
        <v>341.08548871439837</v>
      </c>
      <c r="S1177" s="99">
        <v>0</v>
      </c>
      <c r="T1177" s="99">
        <v>0</v>
      </c>
      <c r="U1177" s="3">
        <f t="shared" si="43"/>
        <v>2789.5826180625913</v>
      </c>
      <c r="V1177" s="100">
        <f>D.sign_Data[[#This Row],[TIEMPO (HORAS)]]*Gastos_Operativos[[#Totals],[GASTOS HORA]]</f>
        <v>2778.9477072310401</v>
      </c>
      <c r="W1177" s="3">
        <f>+D.sign_Data[[#This Row],[COSTO 
DIRECTO ($COP)]]+D.sign_Data[[#This Row],[PRORRATEO GASTOS ($COP)]]</f>
        <v>5568.5303252936319</v>
      </c>
      <c r="X1177" s="101">
        <v>0.1</v>
      </c>
      <c r="Y1177" s="15">
        <f>+D.sign_Data[[#This Row],[COSTOS OPERACIONALES ($COP)]]*D.sign_Data[[#This Row],[DESFASE (%)]]</f>
        <v>556.85303252936319</v>
      </c>
      <c r="Z1177" s="101">
        <v>0.3</v>
      </c>
      <c r="AA1177" s="15">
        <f>+((D.sign_Data[[#This Row],[COSTOS OPERACIONALES ($COP)]]/(100%-D.sign_Data[[#This Row],[UTILIDAD (%)]])))-D.sign_Data[[#This Row],[COSTOS OPERACIONALES ($COP)]]</f>
        <v>2386.5129965544138</v>
      </c>
      <c r="AB1177" s="3">
        <f>+D.sign_Data[[#This Row],[COSTOS OPERACIONALES ($COP)]]+D.sign_Data[[#This Row],[DESFASE ($COP)]]+D.sign_Data[[#This Row],[UTILIDAD ($COP)]]</f>
        <v>8511.896354377408</v>
      </c>
      <c r="AC1177" s="101">
        <v>0.05</v>
      </c>
      <c r="AD1177" s="15">
        <f>+D.sign_Data[[#This Row],[VALOR NETO ($COP)]]/(100%-D.sign_Data[[#This Row],[MARGEN DE NEGOCIACIÓN (%)]])-D.sign_Data[[#This Row],[VALOR NETO ($COP)]]</f>
        <v>447.99454496723229</v>
      </c>
      <c r="AE1177" s="15">
        <f>+(D.sign_Data[[#This Row],[VALOR NETO ($COP)]]+D.sign_Data[[#This Row],[NEGOCIACIÓN ($COP)]])*1%</f>
        <v>89.5989089934464</v>
      </c>
      <c r="AF1177" s="15">
        <f>+(D.sign_Data[[#This Row],[VALOR NETO ($COP)]]+D.sign_Data[[#This Row],[NEGOCIACIÓN ($COP)]])*1%</f>
        <v>89.5989089934464</v>
      </c>
      <c r="AG1177" s="3">
        <f>+D.sign_Data[[#This Row],[VALOR NETO ($COP)]]+D.sign_Data[[#This Row],[NEGOCIACIÓN ($COP)]]+D.sign_Data[[#This Row],[ICA ($COP)]]+D.sign_Data[[#This Row],[4 * 1000 ($COP)]]</f>
        <v>9139.0887173315332</v>
      </c>
    </row>
    <row r="1178" spans="1:33" ht="60" hidden="1" customHeight="1" x14ac:dyDescent="0.25">
      <c r="A1178" s="14"/>
      <c r="B1178" s="87" t="s">
        <v>418</v>
      </c>
      <c r="C1178" s="182" t="s">
        <v>1079</v>
      </c>
      <c r="D1178" s="189" t="str">
        <f>VLOOKUP(D.sign_Data[[#This Row],[CÓDIGO]],Descripciones[[CÓDIGO]:[NOMBRE DE SERVICIO]],3,FALSE)</f>
        <v>D0. Proyecto</v>
      </c>
      <c r="E1178" s="87" t="s">
        <v>1046</v>
      </c>
      <c r="F1178" s="88" t="s">
        <v>1080</v>
      </c>
      <c r="G1178" s="93" t="s">
        <v>1091</v>
      </c>
      <c r="H1178" s="87" t="s">
        <v>423</v>
      </c>
      <c r="I1178" s="89">
        <v>1</v>
      </c>
      <c r="J1178" s="88" t="s">
        <v>1092</v>
      </c>
      <c r="K1178" s="102"/>
      <c r="L1178" s="88" t="s">
        <v>1093</v>
      </c>
      <c r="M1178" s="89" t="s">
        <v>381</v>
      </c>
      <c r="N1178" s="90">
        <v>0.1</v>
      </c>
      <c r="O1178" s="27">
        <f>IFERROR(+VLOOKUP(M1178,D.sign_Lista_Data[[RESPONSABLE]:[SOFTWARE 
VALOR HORA]],3,FALSE),"0")</f>
        <v>20263.424518743668</v>
      </c>
      <c r="P1178" s="3">
        <f t="shared" si="42"/>
        <v>2026.3424518743668</v>
      </c>
      <c r="Q1178" s="11">
        <f>IFERROR(+VLOOKUP(M1178,D.sign_Lista_Data[[RESPONSABLE]:[SOFTWARE 
VALOR HORA]],5,FALSE)*D.sign_Data[[#This Row],[TIEMPO (HORAS)]],0)</f>
        <v>422.15467747382638</v>
      </c>
      <c r="R1178" s="42">
        <f>IFERROR(+VLOOKUP(M1178,D.sign_Lista_Data[[RESPONSABLE]:[SOFTWARE 
VALOR HORA]],8,FALSE)*D.sign_Data[[#This Row],[TIEMPO (HORAS)]],0)</f>
        <v>341.08548871439837</v>
      </c>
      <c r="S1178" s="99">
        <v>0</v>
      </c>
      <c r="T1178" s="99">
        <v>0</v>
      </c>
      <c r="U1178" s="3">
        <f t="shared" si="43"/>
        <v>2789.5826180625913</v>
      </c>
      <c r="V1178" s="100">
        <f>D.sign_Data[[#This Row],[TIEMPO (HORAS)]]*Gastos_Operativos[[#Totals],[GASTOS HORA]]</f>
        <v>2778.9477072310401</v>
      </c>
      <c r="W1178" s="3">
        <f>+D.sign_Data[[#This Row],[COSTO 
DIRECTO ($COP)]]+D.sign_Data[[#This Row],[PRORRATEO GASTOS ($COP)]]</f>
        <v>5568.5303252936319</v>
      </c>
      <c r="X1178" s="101">
        <v>0.1</v>
      </c>
      <c r="Y1178" s="15">
        <f>+D.sign_Data[[#This Row],[COSTOS OPERACIONALES ($COP)]]*D.sign_Data[[#This Row],[DESFASE (%)]]</f>
        <v>556.85303252936319</v>
      </c>
      <c r="Z1178" s="101">
        <v>0.3</v>
      </c>
      <c r="AA1178" s="15">
        <f>+((D.sign_Data[[#This Row],[COSTOS OPERACIONALES ($COP)]]/(100%-D.sign_Data[[#This Row],[UTILIDAD (%)]])))-D.sign_Data[[#This Row],[COSTOS OPERACIONALES ($COP)]]</f>
        <v>2386.5129965544138</v>
      </c>
      <c r="AB1178" s="3">
        <f>+D.sign_Data[[#This Row],[COSTOS OPERACIONALES ($COP)]]+D.sign_Data[[#This Row],[DESFASE ($COP)]]+D.sign_Data[[#This Row],[UTILIDAD ($COP)]]</f>
        <v>8511.896354377408</v>
      </c>
      <c r="AC1178" s="101">
        <v>0.05</v>
      </c>
      <c r="AD1178" s="15">
        <f>+D.sign_Data[[#This Row],[VALOR NETO ($COP)]]/(100%-D.sign_Data[[#This Row],[MARGEN DE NEGOCIACIÓN (%)]])-D.sign_Data[[#This Row],[VALOR NETO ($COP)]]</f>
        <v>447.99454496723229</v>
      </c>
      <c r="AE1178" s="15">
        <f>+(D.sign_Data[[#This Row],[VALOR NETO ($COP)]]+D.sign_Data[[#This Row],[NEGOCIACIÓN ($COP)]])*1%</f>
        <v>89.5989089934464</v>
      </c>
      <c r="AF1178" s="15">
        <f>+(D.sign_Data[[#This Row],[VALOR NETO ($COP)]]+D.sign_Data[[#This Row],[NEGOCIACIÓN ($COP)]])*1%</f>
        <v>89.5989089934464</v>
      </c>
      <c r="AG1178" s="3">
        <f>+D.sign_Data[[#This Row],[VALOR NETO ($COP)]]+D.sign_Data[[#This Row],[NEGOCIACIÓN ($COP)]]+D.sign_Data[[#This Row],[ICA ($COP)]]+D.sign_Data[[#This Row],[4 * 1000 ($COP)]]</f>
        <v>9139.0887173315332</v>
      </c>
    </row>
    <row r="1179" spans="1:33" ht="60" hidden="1" customHeight="1" x14ac:dyDescent="0.25">
      <c r="A1179" s="14"/>
      <c r="B1179" s="87" t="s">
        <v>418</v>
      </c>
      <c r="C1179" s="182" t="s">
        <v>1079</v>
      </c>
      <c r="D1179" s="189" t="str">
        <f>VLOOKUP(D.sign_Data[[#This Row],[CÓDIGO]],Descripciones[[CÓDIGO]:[NOMBRE DE SERVICIO]],3,FALSE)</f>
        <v>D0. Proyecto</v>
      </c>
      <c r="E1179" s="87" t="s">
        <v>1046</v>
      </c>
      <c r="F1179" s="88" t="s">
        <v>1080</v>
      </c>
      <c r="G1179" s="93" t="s">
        <v>1091</v>
      </c>
      <c r="H1179" s="87" t="s">
        <v>423</v>
      </c>
      <c r="I1179" s="89">
        <v>1</v>
      </c>
      <c r="J1179" s="88" t="s">
        <v>1092</v>
      </c>
      <c r="K1179" s="102"/>
      <c r="L1179" s="88" t="s">
        <v>1094</v>
      </c>
      <c r="M1179" s="89" t="s">
        <v>381</v>
      </c>
      <c r="N1179" s="90">
        <v>0.1</v>
      </c>
      <c r="O1179" s="27">
        <f>IFERROR(+VLOOKUP(M1179,D.sign_Lista_Data[[RESPONSABLE]:[SOFTWARE 
VALOR HORA]],3,FALSE),"0")</f>
        <v>20263.424518743668</v>
      </c>
      <c r="P1179" s="3">
        <f t="shared" si="42"/>
        <v>2026.3424518743668</v>
      </c>
      <c r="Q1179" s="11">
        <f>IFERROR(+VLOOKUP(M1179,D.sign_Lista_Data[[RESPONSABLE]:[SOFTWARE 
VALOR HORA]],5,FALSE)*D.sign_Data[[#This Row],[TIEMPO (HORAS)]],0)</f>
        <v>422.15467747382638</v>
      </c>
      <c r="R1179" s="42">
        <f>IFERROR(+VLOOKUP(M1179,D.sign_Lista_Data[[RESPONSABLE]:[SOFTWARE 
VALOR HORA]],8,FALSE)*D.sign_Data[[#This Row],[TIEMPO (HORAS)]],0)</f>
        <v>341.08548871439837</v>
      </c>
      <c r="S1179" s="99">
        <v>0</v>
      </c>
      <c r="T1179" s="99">
        <v>0</v>
      </c>
      <c r="U1179" s="3">
        <f t="shared" si="43"/>
        <v>2789.5826180625913</v>
      </c>
      <c r="V1179" s="100">
        <f>D.sign_Data[[#This Row],[TIEMPO (HORAS)]]*Gastos_Operativos[[#Totals],[GASTOS HORA]]</f>
        <v>2778.9477072310401</v>
      </c>
      <c r="W1179" s="3">
        <f>+D.sign_Data[[#This Row],[COSTO 
DIRECTO ($COP)]]+D.sign_Data[[#This Row],[PRORRATEO GASTOS ($COP)]]</f>
        <v>5568.5303252936319</v>
      </c>
      <c r="X1179" s="101">
        <v>0.1</v>
      </c>
      <c r="Y1179" s="15">
        <f>+D.sign_Data[[#This Row],[COSTOS OPERACIONALES ($COP)]]*D.sign_Data[[#This Row],[DESFASE (%)]]</f>
        <v>556.85303252936319</v>
      </c>
      <c r="Z1179" s="101">
        <v>0.3</v>
      </c>
      <c r="AA1179" s="15">
        <f>+((D.sign_Data[[#This Row],[COSTOS OPERACIONALES ($COP)]]/(100%-D.sign_Data[[#This Row],[UTILIDAD (%)]])))-D.sign_Data[[#This Row],[COSTOS OPERACIONALES ($COP)]]</f>
        <v>2386.5129965544138</v>
      </c>
      <c r="AB1179" s="3">
        <f>+D.sign_Data[[#This Row],[COSTOS OPERACIONALES ($COP)]]+D.sign_Data[[#This Row],[DESFASE ($COP)]]+D.sign_Data[[#This Row],[UTILIDAD ($COP)]]</f>
        <v>8511.896354377408</v>
      </c>
      <c r="AC1179" s="101">
        <v>0.05</v>
      </c>
      <c r="AD1179" s="15">
        <f>+D.sign_Data[[#This Row],[VALOR NETO ($COP)]]/(100%-D.sign_Data[[#This Row],[MARGEN DE NEGOCIACIÓN (%)]])-D.sign_Data[[#This Row],[VALOR NETO ($COP)]]</f>
        <v>447.99454496723229</v>
      </c>
      <c r="AE1179" s="15">
        <f>+(D.sign_Data[[#This Row],[VALOR NETO ($COP)]]+D.sign_Data[[#This Row],[NEGOCIACIÓN ($COP)]])*1%</f>
        <v>89.5989089934464</v>
      </c>
      <c r="AF1179" s="15">
        <f>+(D.sign_Data[[#This Row],[VALOR NETO ($COP)]]+D.sign_Data[[#This Row],[NEGOCIACIÓN ($COP)]])*1%</f>
        <v>89.5989089934464</v>
      </c>
      <c r="AG1179" s="3">
        <f>+D.sign_Data[[#This Row],[VALOR NETO ($COP)]]+D.sign_Data[[#This Row],[NEGOCIACIÓN ($COP)]]+D.sign_Data[[#This Row],[ICA ($COP)]]+D.sign_Data[[#This Row],[4 * 1000 ($COP)]]</f>
        <v>9139.0887173315332</v>
      </c>
    </row>
    <row r="1180" spans="1:33" ht="60" hidden="1" customHeight="1" x14ac:dyDescent="0.25">
      <c r="A1180" s="14"/>
      <c r="B1180" s="87" t="s">
        <v>418</v>
      </c>
      <c r="C1180" s="182" t="s">
        <v>1079</v>
      </c>
      <c r="D1180" s="189" t="str">
        <f>VLOOKUP(D.sign_Data[[#This Row],[CÓDIGO]],Descripciones[[CÓDIGO]:[NOMBRE DE SERVICIO]],3,FALSE)</f>
        <v>D0. Proyecto</v>
      </c>
      <c r="E1180" s="87" t="s">
        <v>1046</v>
      </c>
      <c r="F1180" s="88" t="s">
        <v>1080</v>
      </c>
      <c r="G1180" s="93" t="s">
        <v>1091</v>
      </c>
      <c r="H1180" s="87" t="s">
        <v>423</v>
      </c>
      <c r="I1180" s="89">
        <v>1</v>
      </c>
      <c r="J1180" s="88" t="s">
        <v>1092</v>
      </c>
      <c r="K1180" s="102"/>
      <c r="L1180" s="88" t="s">
        <v>1095</v>
      </c>
      <c r="M1180" s="89" t="s">
        <v>381</v>
      </c>
      <c r="N1180" s="90">
        <v>1</v>
      </c>
      <c r="O1180" s="27">
        <f>IFERROR(+VLOOKUP(M1180,D.sign_Lista_Data[[RESPONSABLE]:[SOFTWARE 
VALOR HORA]],3,FALSE),"0")</f>
        <v>20263.424518743668</v>
      </c>
      <c r="P1180" s="3">
        <f t="shared" si="42"/>
        <v>20263.424518743668</v>
      </c>
      <c r="Q1180" s="11">
        <f>IFERROR(+VLOOKUP(M1180,D.sign_Lista_Data[[RESPONSABLE]:[SOFTWARE 
VALOR HORA]],5,FALSE)*D.sign_Data[[#This Row],[TIEMPO (HORAS)]],0)</f>
        <v>4221.5467747382636</v>
      </c>
      <c r="R1180" s="42">
        <f>IFERROR(+VLOOKUP(M1180,D.sign_Lista_Data[[RESPONSABLE]:[SOFTWARE 
VALOR HORA]],8,FALSE)*D.sign_Data[[#This Row],[TIEMPO (HORAS)]],0)</f>
        <v>3410.8548871439834</v>
      </c>
      <c r="S1180" s="99">
        <v>0</v>
      </c>
      <c r="T1180" s="99">
        <v>0</v>
      </c>
      <c r="U1180" s="3">
        <f t="shared" si="43"/>
        <v>27895.826180625918</v>
      </c>
      <c r="V1180" s="100">
        <f>D.sign_Data[[#This Row],[TIEMPO (HORAS)]]*Gastos_Operativos[[#Totals],[GASTOS HORA]]</f>
        <v>27789.477072310401</v>
      </c>
      <c r="W1180" s="3">
        <f>+D.sign_Data[[#This Row],[COSTO 
DIRECTO ($COP)]]+D.sign_Data[[#This Row],[PRORRATEO GASTOS ($COP)]]</f>
        <v>55685.303252936319</v>
      </c>
      <c r="X1180" s="101">
        <v>0.1</v>
      </c>
      <c r="Y1180" s="15">
        <f>+D.sign_Data[[#This Row],[COSTOS OPERACIONALES ($COP)]]*D.sign_Data[[#This Row],[DESFASE (%)]]</f>
        <v>5568.5303252936319</v>
      </c>
      <c r="Z1180" s="101">
        <v>0.3</v>
      </c>
      <c r="AA1180" s="15">
        <f>+((D.sign_Data[[#This Row],[COSTOS OPERACIONALES ($COP)]]/(100%-D.sign_Data[[#This Row],[UTILIDAD (%)]])))-D.sign_Data[[#This Row],[COSTOS OPERACIONALES ($COP)]]</f>
        <v>23865.129965544147</v>
      </c>
      <c r="AB1180" s="3">
        <f>+D.sign_Data[[#This Row],[COSTOS OPERACIONALES ($COP)]]+D.sign_Data[[#This Row],[DESFASE ($COP)]]+D.sign_Data[[#This Row],[UTILIDAD ($COP)]]</f>
        <v>85118.963543774094</v>
      </c>
      <c r="AC1180" s="101">
        <v>0.05</v>
      </c>
      <c r="AD1180" s="15">
        <f>+D.sign_Data[[#This Row],[VALOR NETO ($COP)]]/(100%-D.sign_Data[[#This Row],[MARGEN DE NEGOCIACIÓN (%)]])-D.sign_Data[[#This Row],[VALOR NETO ($COP)]]</f>
        <v>4479.9454496723192</v>
      </c>
      <c r="AE1180" s="15">
        <f>+(D.sign_Data[[#This Row],[VALOR NETO ($COP)]]+D.sign_Data[[#This Row],[NEGOCIACIÓN ($COP)]])*1%</f>
        <v>895.98908993446412</v>
      </c>
      <c r="AF1180" s="15">
        <f>+(D.sign_Data[[#This Row],[VALOR NETO ($COP)]]+D.sign_Data[[#This Row],[NEGOCIACIÓN ($COP)]])*1%</f>
        <v>895.98908993446412</v>
      </c>
      <c r="AG1180" s="3">
        <f>+D.sign_Data[[#This Row],[VALOR NETO ($COP)]]+D.sign_Data[[#This Row],[NEGOCIACIÓN ($COP)]]+D.sign_Data[[#This Row],[ICA ($COP)]]+D.sign_Data[[#This Row],[4 * 1000 ($COP)]]</f>
        <v>91390.887173315336</v>
      </c>
    </row>
    <row r="1181" spans="1:33" ht="60" hidden="1" customHeight="1" x14ac:dyDescent="0.25">
      <c r="A1181" s="14"/>
      <c r="B1181" s="87" t="s">
        <v>418</v>
      </c>
      <c r="C1181" s="182" t="s">
        <v>1079</v>
      </c>
      <c r="D1181" s="189" t="str">
        <f>VLOOKUP(D.sign_Data[[#This Row],[CÓDIGO]],Descripciones[[CÓDIGO]:[NOMBRE DE SERVICIO]],3,FALSE)</f>
        <v>D0. Proyecto</v>
      </c>
      <c r="E1181" s="87" t="s">
        <v>1046</v>
      </c>
      <c r="F1181" s="88" t="s">
        <v>1080</v>
      </c>
      <c r="G1181" s="93" t="s">
        <v>1091</v>
      </c>
      <c r="H1181" s="87" t="s">
        <v>423</v>
      </c>
      <c r="I1181" s="89">
        <v>1</v>
      </c>
      <c r="J1181" s="88" t="s">
        <v>1092</v>
      </c>
      <c r="K1181" s="102"/>
      <c r="L1181" s="88" t="s">
        <v>1096</v>
      </c>
      <c r="M1181" s="89" t="s">
        <v>381</v>
      </c>
      <c r="N1181" s="90">
        <v>0.1</v>
      </c>
      <c r="O1181" s="27">
        <f>IFERROR(+VLOOKUP(M1181,D.sign_Lista_Data[[RESPONSABLE]:[SOFTWARE 
VALOR HORA]],3,FALSE),"0")</f>
        <v>20263.424518743668</v>
      </c>
      <c r="P1181" s="3">
        <f t="shared" si="42"/>
        <v>2026.3424518743668</v>
      </c>
      <c r="Q1181" s="11">
        <f>IFERROR(+VLOOKUP(M1181,D.sign_Lista_Data[[RESPONSABLE]:[SOFTWARE 
VALOR HORA]],5,FALSE)*D.sign_Data[[#This Row],[TIEMPO (HORAS)]],0)</f>
        <v>422.15467747382638</v>
      </c>
      <c r="R1181" s="42">
        <f>IFERROR(+VLOOKUP(M1181,D.sign_Lista_Data[[RESPONSABLE]:[SOFTWARE 
VALOR HORA]],8,FALSE)*D.sign_Data[[#This Row],[TIEMPO (HORAS)]],0)</f>
        <v>341.08548871439837</v>
      </c>
      <c r="S1181" s="99">
        <v>0</v>
      </c>
      <c r="T1181" s="99">
        <v>0</v>
      </c>
      <c r="U1181" s="3">
        <f t="shared" si="43"/>
        <v>2789.5826180625913</v>
      </c>
      <c r="V1181" s="100">
        <f>D.sign_Data[[#This Row],[TIEMPO (HORAS)]]*Gastos_Operativos[[#Totals],[GASTOS HORA]]</f>
        <v>2778.9477072310401</v>
      </c>
      <c r="W1181" s="3">
        <f>+D.sign_Data[[#This Row],[COSTO 
DIRECTO ($COP)]]+D.sign_Data[[#This Row],[PRORRATEO GASTOS ($COP)]]</f>
        <v>5568.5303252936319</v>
      </c>
      <c r="X1181" s="101">
        <v>0.1</v>
      </c>
      <c r="Y1181" s="15">
        <f>+D.sign_Data[[#This Row],[COSTOS OPERACIONALES ($COP)]]*D.sign_Data[[#This Row],[DESFASE (%)]]</f>
        <v>556.85303252936319</v>
      </c>
      <c r="Z1181" s="101">
        <v>0.3</v>
      </c>
      <c r="AA1181" s="15">
        <f>+((D.sign_Data[[#This Row],[COSTOS OPERACIONALES ($COP)]]/(100%-D.sign_Data[[#This Row],[UTILIDAD (%)]])))-D.sign_Data[[#This Row],[COSTOS OPERACIONALES ($COP)]]</f>
        <v>2386.5129965544138</v>
      </c>
      <c r="AB1181" s="3">
        <f>+D.sign_Data[[#This Row],[COSTOS OPERACIONALES ($COP)]]+D.sign_Data[[#This Row],[DESFASE ($COP)]]+D.sign_Data[[#This Row],[UTILIDAD ($COP)]]</f>
        <v>8511.896354377408</v>
      </c>
      <c r="AC1181" s="101">
        <v>0.05</v>
      </c>
      <c r="AD1181" s="15">
        <f>+D.sign_Data[[#This Row],[VALOR NETO ($COP)]]/(100%-D.sign_Data[[#This Row],[MARGEN DE NEGOCIACIÓN (%)]])-D.sign_Data[[#This Row],[VALOR NETO ($COP)]]</f>
        <v>447.99454496723229</v>
      </c>
      <c r="AE1181" s="15">
        <f>+(D.sign_Data[[#This Row],[VALOR NETO ($COP)]]+D.sign_Data[[#This Row],[NEGOCIACIÓN ($COP)]])*1%</f>
        <v>89.5989089934464</v>
      </c>
      <c r="AF1181" s="15">
        <f>+(D.sign_Data[[#This Row],[VALOR NETO ($COP)]]+D.sign_Data[[#This Row],[NEGOCIACIÓN ($COP)]])*1%</f>
        <v>89.5989089934464</v>
      </c>
      <c r="AG1181" s="3">
        <f>+D.sign_Data[[#This Row],[VALOR NETO ($COP)]]+D.sign_Data[[#This Row],[NEGOCIACIÓN ($COP)]]+D.sign_Data[[#This Row],[ICA ($COP)]]+D.sign_Data[[#This Row],[4 * 1000 ($COP)]]</f>
        <v>9139.0887173315332</v>
      </c>
    </row>
    <row r="1182" spans="1:33" ht="60" hidden="1" customHeight="1" x14ac:dyDescent="0.25">
      <c r="A1182" s="14"/>
      <c r="B1182" s="87" t="s">
        <v>418</v>
      </c>
      <c r="C1182" s="182" t="s">
        <v>1079</v>
      </c>
      <c r="D1182" s="189" t="str">
        <f>VLOOKUP(D.sign_Data[[#This Row],[CÓDIGO]],Descripciones[[CÓDIGO]:[NOMBRE DE SERVICIO]],3,FALSE)</f>
        <v>D0. Proyecto</v>
      </c>
      <c r="E1182" s="87" t="s">
        <v>1046</v>
      </c>
      <c r="F1182" s="88" t="s">
        <v>1080</v>
      </c>
      <c r="G1182" s="93" t="s">
        <v>1091</v>
      </c>
      <c r="H1182" s="87" t="s">
        <v>423</v>
      </c>
      <c r="I1182" s="89">
        <v>1</v>
      </c>
      <c r="J1182" s="88" t="s">
        <v>1092</v>
      </c>
      <c r="K1182" s="102"/>
      <c r="L1182" s="88" t="s">
        <v>1097</v>
      </c>
      <c r="M1182" s="89" t="s">
        <v>381</v>
      </c>
      <c r="N1182" s="90">
        <v>0.2</v>
      </c>
      <c r="O1182" s="27">
        <f>IFERROR(+VLOOKUP(M1182,D.sign_Lista_Data[[RESPONSABLE]:[SOFTWARE 
VALOR HORA]],3,FALSE),"0")</f>
        <v>20263.424518743668</v>
      </c>
      <c r="P1182" s="3">
        <f t="shared" si="42"/>
        <v>4052.6849037487336</v>
      </c>
      <c r="Q1182" s="11">
        <f>IFERROR(+VLOOKUP(M1182,D.sign_Lista_Data[[RESPONSABLE]:[SOFTWARE 
VALOR HORA]],5,FALSE)*D.sign_Data[[#This Row],[TIEMPO (HORAS)]],0)</f>
        <v>844.30935494765276</v>
      </c>
      <c r="R1182" s="42">
        <f>IFERROR(+VLOOKUP(M1182,D.sign_Lista_Data[[RESPONSABLE]:[SOFTWARE 
VALOR HORA]],8,FALSE)*D.sign_Data[[#This Row],[TIEMPO (HORAS)]],0)</f>
        <v>682.17097742879673</v>
      </c>
      <c r="S1182" s="99">
        <v>0</v>
      </c>
      <c r="T1182" s="99">
        <v>0</v>
      </c>
      <c r="U1182" s="3">
        <f t="shared" si="43"/>
        <v>5579.1652361251827</v>
      </c>
      <c r="V1182" s="100">
        <f>D.sign_Data[[#This Row],[TIEMPO (HORAS)]]*Gastos_Operativos[[#Totals],[GASTOS HORA]]</f>
        <v>5557.8954144620802</v>
      </c>
      <c r="W1182" s="3">
        <f>+D.sign_Data[[#This Row],[COSTO 
DIRECTO ($COP)]]+D.sign_Data[[#This Row],[PRORRATEO GASTOS ($COP)]]</f>
        <v>11137.060650587264</v>
      </c>
      <c r="X1182" s="101">
        <v>0.1</v>
      </c>
      <c r="Y1182" s="15">
        <f>+D.sign_Data[[#This Row],[COSTOS OPERACIONALES ($COP)]]*D.sign_Data[[#This Row],[DESFASE (%)]]</f>
        <v>1113.7060650587264</v>
      </c>
      <c r="Z1182" s="101">
        <v>0.3</v>
      </c>
      <c r="AA1182" s="15">
        <f>+((D.sign_Data[[#This Row],[COSTOS OPERACIONALES ($COP)]]/(100%-D.sign_Data[[#This Row],[UTILIDAD (%)]])))-D.sign_Data[[#This Row],[COSTOS OPERACIONALES ($COP)]]</f>
        <v>4773.0259931088276</v>
      </c>
      <c r="AB1182" s="3">
        <f>+D.sign_Data[[#This Row],[COSTOS OPERACIONALES ($COP)]]+D.sign_Data[[#This Row],[DESFASE ($COP)]]+D.sign_Data[[#This Row],[UTILIDAD ($COP)]]</f>
        <v>17023.792708754816</v>
      </c>
      <c r="AC1182" s="101">
        <v>0.05</v>
      </c>
      <c r="AD1182" s="15">
        <f>+D.sign_Data[[#This Row],[VALOR NETO ($COP)]]/(100%-D.sign_Data[[#This Row],[MARGEN DE NEGOCIACIÓN (%)]])-D.sign_Data[[#This Row],[VALOR NETO ($COP)]]</f>
        <v>895.98908993446457</v>
      </c>
      <c r="AE1182" s="15">
        <f>+(D.sign_Data[[#This Row],[VALOR NETO ($COP)]]+D.sign_Data[[#This Row],[NEGOCIACIÓN ($COP)]])*1%</f>
        <v>179.1978179868928</v>
      </c>
      <c r="AF1182" s="15">
        <f>+(D.sign_Data[[#This Row],[VALOR NETO ($COP)]]+D.sign_Data[[#This Row],[NEGOCIACIÓN ($COP)]])*1%</f>
        <v>179.1978179868928</v>
      </c>
      <c r="AG1182" s="3">
        <f>+D.sign_Data[[#This Row],[VALOR NETO ($COP)]]+D.sign_Data[[#This Row],[NEGOCIACIÓN ($COP)]]+D.sign_Data[[#This Row],[ICA ($COP)]]+D.sign_Data[[#This Row],[4 * 1000 ($COP)]]</f>
        <v>18278.177434663066</v>
      </c>
    </row>
    <row r="1183" spans="1:33" ht="60" hidden="1" customHeight="1" x14ac:dyDescent="0.25">
      <c r="A1183" s="14"/>
      <c r="B1183" s="87" t="s">
        <v>418</v>
      </c>
      <c r="C1183" s="182" t="s">
        <v>1079</v>
      </c>
      <c r="D1183" s="189" t="str">
        <f>VLOOKUP(D.sign_Data[[#This Row],[CÓDIGO]],Descripciones[[CÓDIGO]:[NOMBRE DE SERVICIO]],3,FALSE)</f>
        <v>D0. Proyecto</v>
      </c>
      <c r="E1183" s="87" t="s">
        <v>1046</v>
      </c>
      <c r="F1183" s="88" t="s">
        <v>1080</v>
      </c>
      <c r="G1183" s="93" t="s">
        <v>1091</v>
      </c>
      <c r="H1183" s="87" t="s">
        <v>423</v>
      </c>
      <c r="I1183" s="89">
        <v>1</v>
      </c>
      <c r="J1183" s="88" t="s">
        <v>1092</v>
      </c>
      <c r="K1183" s="102"/>
      <c r="L1183" s="88" t="s">
        <v>1098</v>
      </c>
      <c r="M1183" s="89" t="s">
        <v>381</v>
      </c>
      <c r="N1183" s="90">
        <v>0.1</v>
      </c>
      <c r="O1183" s="27">
        <f>IFERROR(+VLOOKUP(M1183,D.sign_Lista_Data[[RESPONSABLE]:[SOFTWARE 
VALOR HORA]],3,FALSE),"0")</f>
        <v>20263.424518743668</v>
      </c>
      <c r="P1183" s="3">
        <f t="shared" si="42"/>
        <v>2026.3424518743668</v>
      </c>
      <c r="Q1183" s="11">
        <f>IFERROR(+VLOOKUP(M1183,D.sign_Lista_Data[[RESPONSABLE]:[SOFTWARE 
VALOR HORA]],5,FALSE)*D.sign_Data[[#This Row],[TIEMPO (HORAS)]],0)</f>
        <v>422.15467747382638</v>
      </c>
      <c r="R1183" s="42">
        <f>IFERROR(+VLOOKUP(M1183,D.sign_Lista_Data[[RESPONSABLE]:[SOFTWARE 
VALOR HORA]],8,FALSE)*D.sign_Data[[#This Row],[TIEMPO (HORAS)]],0)</f>
        <v>341.08548871439837</v>
      </c>
      <c r="S1183" s="99">
        <v>0</v>
      </c>
      <c r="T1183" s="99">
        <v>0</v>
      </c>
      <c r="U1183" s="3">
        <f t="shared" si="43"/>
        <v>2789.5826180625913</v>
      </c>
      <c r="V1183" s="100">
        <f>D.sign_Data[[#This Row],[TIEMPO (HORAS)]]*Gastos_Operativos[[#Totals],[GASTOS HORA]]</f>
        <v>2778.9477072310401</v>
      </c>
      <c r="W1183" s="3">
        <f>+D.sign_Data[[#This Row],[COSTO 
DIRECTO ($COP)]]+D.sign_Data[[#This Row],[PRORRATEO GASTOS ($COP)]]</f>
        <v>5568.5303252936319</v>
      </c>
      <c r="X1183" s="101">
        <v>0.1</v>
      </c>
      <c r="Y1183" s="15">
        <f>+D.sign_Data[[#This Row],[COSTOS OPERACIONALES ($COP)]]*D.sign_Data[[#This Row],[DESFASE (%)]]</f>
        <v>556.85303252936319</v>
      </c>
      <c r="Z1183" s="101">
        <v>0.3</v>
      </c>
      <c r="AA1183" s="15">
        <f>+((D.sign_Data[[#This Row],[COSTOS OPERACIONALES ($COP)]]/(100%-D.sign_Data[[#This Row],[UTILIDAD (%)]])))-D.sign_Data[[#This Row],[COSTOS OPERACIONALES ($COP)]]</f>
        <v>2386.5129965544138</v>
      </c>
      <c r="AB1183" s="3">
        <f>+D.sign_Data[[#This Row],[COSTOS OPERACIONALES ($COP)]]+D.sign_Data[[#This Row],[DESFASE ($COP)]]+D.sign_Data[[#This Row],[UTILIDAD ($COP)]]</f>
        <v>8511.896354377408</v>
      </c>
      <c r="AC1183" s="101">
        <v>0.05</v>
      </c>
      <c r="AD1183" s="15">
        <f>+D.sign_Data[[#This Row],[VALOR NETO ($COP)]]/(100%-D.sign_Data[[#This Row],[MARGEN DE NEGOCIACIÓN (%)]])-D.sign_Data[[#This Row],[VALOR NETO ($COP)]]</f>
        <v>447.99454496723229</v>
      </c>
      <c r="AE1183" s="15">
        <f>+(D.sign_Data[[#This Row],[VALOR NETO ($COP)]]+D.sign_Data[[#This Row],[NEGOCIACIÓN ($COP)]])*1%</f>
        <v>89.5989089934464</v>
      </c>
      <c r="AF1183" s="15">
        <f>+(D.sign_Data[[#This Row],[VALOR NETO ($COP)]]+D.sign_Data[[#This Row],[NEGOCIACIÓN ($COP)]])*1%</f>
        <v>89.5989089934464</v>
      </c>
      <c r="AG1183" s="3">
        <f>+D.sign_Data[[#This Row],[VALOR NETO ($COP)]]+D.sign_Data[[#This Row],[NEGOCIACIÓN ($COP)]]+D.sign_Data[[#This Row],[ICA ($COP)]]+D.sign_Data[[#This Row],[4 * 1000 ($COP)]]</f>
        <v>9139.0887173315332</v>
      </c>
    </row>
    <row r="1184" spans="1:33" ht="60" hidden="1" customHeight="1" x14ac:dyDescent="0.25">
      <c r="A1184" s="14"/>
      <c r="B1184" s="87" t="s">
        <v>418</v>
      </c>
      <c r="C1184" s="182" t="s">
        <v>1079</v>
      </c>
      <c r="D1184" s="189" t="str">
        <f>VLOOKUP(D.sign_Data[[#This Row],[CÓDIGO]],Descripciones[[CÓDIGO]:[NOMBRE DE SERVICIO]],3,FALSE)</f>
        <v>D0. Proyecto</v>
      </c>
      <c r="E1184" s="87" t="s">
        <v>1046</v>
      </c>
      <c r="F1184" s="88" t="s">
        <v>1080</v>
      </c>
      <c r="G1184" s="93" t="s">
        <v>1091</v>
      </c>
      <c r="H1184" s="87" t="s">
        <v>423</v>
      </c>
      <c r="I1184" s="89">
        <v>1</v>
      </c>
      <c r="J1184" s="88" t="s">
        <v>1092</v>
      </c>
      <c r="K1184" s="102"/>
      <c r="L1184" s="88" t="s">
        <v>1099</v>
      </c>
      <c r="M1184" s="89" t="s">
        <v>381</v>
      </c>
      <c r="N1184" s="90">
        <v>1</v>
      </c>
      <c r="O1184" s="27">
        <f>IFERROR(+VLOOKUP(M1184,D.sign_Lista_Data[[RESPONSABLE]:[SOFTWARE 
VALOR HORA]],3,FALSE),"0")</f>
        <v>20263.424518743668</v>
      </c>
      <c r="P1184" s="3">
        <f t="shared" si="42"/>
        <v>20263.424518743668</v>
      </c>
      <c r="Q1184" s="11">
        <f>IFERROR(+VLOOKUP(M1184,D.sign_Lista_Data[[RESPONSABLE]:[SOFTWARE 
VALOR HORA]],5,FALSE)*D.sign_Data[[#This Row],[TIEMPO (HORAS)]],0)</f>
        <v>4221.5467747382636</v>
      </c>
      <c r="R1184" s="42">
        <f>IFERROR(+VLOOKUP(M1184,D.sign_Lista_Data[[RESPONSABLE]:[SOFTWARE 
VALOR HORA]],8,FALSE)*D.sign_Data[[#This Row],[TIEMPO (HORAS)]],0)</f>
        <v>3410.8548871439834</v>
      </c>
      <c r="S1184" s="99">
        <v>0</v>
      </c>
      <c r="T1184" s="99">
        <v>0</v>
      </c>
      <c r="U1184" s="3">
        <f t="shared" si="43"/>
        <v>27895.826180625918</v>
      </c>
      <c r="V1184" s="100">
        <f>D.sign_Data[[#This Row],[TIEMPO (HORAS)]]*Gastos_Operativos[[#Totals],[GASTOS HORA]]</f>
        <v>27789.477072310401</v>
      </c>
      <c r="W1184" s="3">
        <f>+D.sign_Data[[#This Row],[COSTO 
DIRECTO ($COP)]]+D.sign_Data[[#This Row],[PRORRATEO GASTOS ($COP)]]</f>
        <v>55685.303252936319</v>
      </c>
      <c r="X1184" s="101">
        <v>0.1</v>
      </c>
      <c r="Y1184" s="15">
        <f>+D.sign_Data[[#This Row],[COSTOS OPERACIONALES ($COP)]]*D.sign_Data[[#This Row],[DESFASE (%)]]</f>
        <v>5568.5303252936319</v>
      </c>
      <c r="Z1184" s="101">
        <v>0.3</v>
      </c>
      <c r="AA1184" s="15">
        <f>+((D.sign_Data[[#This Row],[COSTOS OPERACIONALES ($COP)]]/(100%-D.sign_Data[[#This Row],[UTILIDAD (%)]])))-D.sign_Data[[#This Row],[COSTOS OPERACIONALES ($COP)]]</f>
        <v>23865.129965544147</v>
      </c>
      <c r="AB1184" s="3">
        <f>+D.sign_Data[[#This Row],[COSTOS OPERACIONALES ($COP)]]+D.sign_Data[[#This Row],[DESFASE ($COP)]]+D.sign_Data[[#This Row],[UTILIDAD ($COP)]]</f>
        <v>85118.963543774094</v>
      </c>
      <c r="AC1184" s="101">
        <v>0.05</v>
      </c>
      <c r="AD1184" s="15">
        <f>+D.sign_Data[[#This Row],[VALOR NETO ($COP)]]/(100%-D.sign_Data[[#This Row],[MARGEN DE NEGOCIACIÓN (%)]])-D.sign_Data[[#This Row],[VALOR NETO ($COP)]]</f>
        <v>4479.9454496723192</v>
      </c>
      <c r="AE1184" s="15">
        <f>+(D.sign_Data[[#This Row],[VALOR NETO ($COP)]]+D.sign_Data[[#This Row],[NEGOCIACIÓN ($COP)]])*1%</f>
        <v>895.98908993446412</v>
      </c>
      <c r="AF1184" s="15">
        <f>+(D.sign_Data[[#This Row],[VALOR NETO ($COP)]]+D.sign_Data[[#This Row],[NEGOCIACIÓN ($COP)]])*1%</f>
        <v>895.98908993446412</v>
      </c>
      <c r="AG1184" s="3">
        <f>+D.sign_Data[[#This Row],[VALOR NETO ($COP)]]+D.sign_Data[[#This Row],[NEGOCIACIÓN ($COP)]]+D.sign_Data[[#This Row],[ICA ($COP)]]+D.sign_Data[[#This Row],[4 * 1000 ($COP)]]</f>
        <v>91390.887173315336</v>
      </c>
    </row>
    <row r="1185" spans="1:33" ht="60" hidden="1" customHeight="1" x14ac:dyDescent="0.25">
      <c r="A1185" s="14"/>
      <c r="B1185" s="87" t="s">
        <v>418</v>
      </c>
      <c r="C1185" s="182" t="s">
        <v>1079</v>
      </c>
      <c r="D1185" s="189" t="str">
        <f>VLOOKUP(D.sign_Data[[#This Row],[CÓDIGO]],Descripciones[[CÓDIGO]:[NOMBRE DE SERVICIO]],3,FALSE)</f>
        <v>D0. Proyecto</v>
      </c>
      <c r="E1185" s="87" t="s">
        <v>1046</v>
      </c>
      <c r="F1185" s="88" t="s">
        <v>1080</v>
      </c>
      <c r="G1185" s="93" t="s">
        <v>1091</v>
      </c>
      <c r="H1185" s="87" t="s">
        <v>423</v>
      </c>
      <c r="I1185" s="89">
        <v>1</v>
      </c>
      <c r="J1185" s="88" t="s">
        <v>1092</v>
      </c>
      <c r="K1185" s="102"/>
      <c r="L1185" s="88" t="s">
        <v>1100</v>
      </c>
      <c r="M1185" s="89" t="s">
        <v>381</v>
      </c>
      <c r="N1185" s="90">
        <v>0.1</v>
      </c>
      <c r="O1185" s="27">
        <f>IFERROR(+VLOOKUP(M1185,D.sign_Lista_Data[[RESPONSABLE]:[SOFTWARE 
VALOR HORA]],3,FALSE),"0")</f>
        <v>20263.424518743668</v>
      </c>
      <c r="P1185" s="3">
        <f t="shared" si="42"/>
        <v>2026.3424518743668</v>
      </c>
      <c r="Q1185" s="11">
        <f>IFERROR(+VLOOKUP(M1185,D.sign_Lista_Data[[RESPONSABLE]:[SOFTWARE 
VALOR HORA]],5,FALSE)*D.sign_Data[[#This Row],[TIEMPO (HORAS)]],0)</f>
        <v>422.15467747382638</v>
      </c>
      <c r="R1185" s="42">
        <f>IFERROR(+VLOOKUP(M1185,D.sign_Lista_Data[[RESPONSABLE]:[SOFTWARE 
VALOR HORA]],8,FALSE)*D.sign_Data[[#This Row],[TIEMPO (HORAS)]],0)</f>
        <v>341.08548871439837</v>
      </c>
      <c r="S1185" s="99">
        <v>0</v>
      </c>
      <c r="T1185" s="99">
        <v>0</v>
      </c>
      <c r="U1185" s="3">
        <f t="shared" si="43"/>
        <v>2789.5826180625913</v>
      </c>
      <c r="V1185" s="100">
        <f>D.sign_Data[[#This Row],[TIEMPO (HORAS)]]*Gastos_Operativos[[#Totals],[GASTOS HORA]]</f>
        <v>2778.9477072310401</v>
      </c>
      <c r="W1185" s="3">
        <f>+D.sign_Data[[#This Row],[COSTO 
DIRECTO ($COP)]]+D.sign_Data[[#This Row],[PRORRATEO GASTOS ($COP)]]</f>
        <v>5568.5303252936319</v>
      </c>
      <c r="X1185" s="101">
        <v>0.1</v>
      </c>
      <c r="Y1185" s="15">
        <f>+D.sign_Data[[#This Row],[COSTOS OPERACIONALES ($COP)]]*D.sign_Data[[#This Row],[DESFASE (%)]]</f>
        <v>556.85303252936319</v>
      </c>
      <c r="Z1185" s="101">
        <v>0.3</v>
      </c>
      <c r="AA1185" s="15">
        <f>+((D.sign_Data[[#This Row],[COSTOS OPERACIONALES ($COP)]]/(100%-D.sign_Data[[#This Row],[UTILIDAD (%)]])))-D.sign_Data[[#This Row],[COSTOS OPERACIONALES ($COP)]]</f>
        <v>2386.5129965544138</v>
      </c>
      <c r="AB1185" s="3">
        <f>+D.sign_Data[[#This Row],[COSTOS OPERACIONALES ($COP)]]+D.sign_Data[[#This Row],[DESFASE ($COP)]]+D.sign_Data[[#This Row],[UTILIDAD ($COP)]]</f>
        <v>8511.896354377408</v>
      </c>
      <c r="AC1185" s="101">
        <v>0.05</v>
      </c>
      <c r="AD1185" s="15">
        <f>+D.sign_Data[[#This Row],[VALOR NETO ($COP)]]/(100%-D.sign_Data[[#This Row],[MARGEN DE NEGOCIACIÓN (%)]])-D.sign_Data[[#This Row],[VALOR NETO ($COP)]]</f>
        <v>447.99454496723229</v>
      </c>
      <c r="AE1185" s="15">
        <f>+(D.sign_Data[[#This Row],[VALOR NETO ($COP)]]+D.sign_Data[[#This Row],[NEGOCIACIÓN ($COP)]])*1%</f>
        <v>89.5989089934464</v>
      </c>
      <c r="AF1185" s="15">
        <f>+(D.sign_Data[[#This Row],[VALOR NETO ($COP)]]+D.sign_Data[[#This Row],[NEGOCIACIÓN ($COP)]])*1%</f>
        <v>89.5989089934464</v>
      </c>
      <c r="AG1185" s="3">
        <f>+D.sign_Data[[#This Row],[VALOR NETO ($COP)]]+D.sign_Data[[#This Row],[NEGOCIACIÓN ($COP)]]+D.sign_Data[[#This Row],[ICA ($COP)]]+D.sign_Data[[#This Row],[4 * 1000 ($COP)]]</f>
        <v>9139.0887173315332</v>
      </c>
    </row>
    <row r="1186" spans="1:33" ht="60" hidden="1" customHeight="1" x14ac:dyDescent="0.25">
      <c r="A1186" s="14"/>
      <c r="B1186" s="87" t="s">
        <v>418</v>
      </c>
      <c r="C1186" s="182" t="s">
        <v>1079</v>
      </c>
      <c r="D1186" s="189" t="str">
        <f>VLOOKUP(D.sign_Data[[#This Row],[CÓDIGO]],Descripciones[[CÓDIGO]:[NOMBRE DE SERVICIO]],3,FALSE)</f>
        <v>D0. Proyecto</v>
      </c>
      <c r="E1186" s="87" t="s">
        <v>1046</v>
      </c>
      <c r="F1186" s="88" t="s">
        <v>1080</v>
      </c>
      <c r="G1186" s="93" t="s">
        <v>1091</v>
      </c>
      <c r="H1186" s="87" t="s">
        <v>423</v>
      </c>
      <c r="I1186" s="89">
        <v>1</v>
      </c>
      <c r="J1186" s="88" t="s">
        <v>1092</v>
      </c>
      <c r="K1186" s="102"/>
      <c r="L1186" s="88" t="s">
        <v>1101</v>
      </c>
      <c r="M1186" s="89" t="s">
        <v>381</v>
      </c>
      <c r="N1186" s="90">
        <v>2</v>
      </c>
      <c r="O1186" s="27">
        <f>IFERROR(+VLOOKUP(M1186,D.sign_Lista_Data[[RESPONSABLE]:[SOFTWARE 
VALOR HORA]],3,FALSE),"0")</f>
        <v>20263.424518743668</v>
      </c>
      <c r="P1186" s="3">
        <f t="shared" si="42"/>
        <v>40526.849037487336</v>
      </c>
      <c r="Q1186" s="11">
        <f>IFERROR(+VLOOKUP(M1186,D.sign_Lista_Data[[RESPONSABLE]:[SOFTWARE 
VALOR HORA]],5,FALSE)*D.sign_Data[[#This Row],[TIEMPO (HORAS)]],0)</f>
        <v>8443.0935494765272</v>
      </c>
      <c r="R1186" s="42">
        <f>IFERROR(+VLOOKUP(M1186,D.sign_Lista_Data[[RESPONSABLE]:[SOFTWARE 
VALOR HORA]],8,FALSE)*D.sign_Data[[#This Row],[TIEMPO (HORAS)]],0)</f>
        <v>6821.7097742879669</v>
      </c>
      <c r="S1186" s="99">
        <v>50000</v>
      </c>
      <c r="T1186" s="99">
        <v>0</v>
      </c>
      <c r="U1186" s="3">
        <f t="shared" si="43"/>
        <v>105791.65236125184</v>
      </c>
      <c r="V1186" s="100">
        <f>D.sign_Data[[#This Row],[TIEMPO (HORAS)]]*Gastos_Operativos[[#Totals],[GASTOS HORA]]</f>
        <v>55578.954144620802</v>
      </c>
      <c r="W1186" s="3">
        <f>+D.sign_Data[[#This Row],[COSTO 
DIRECTO ($COP)]]+D.sign_Data[[#This Row],[PRORRATEO GASTOS ($COP)]]</f>
        <v>161370.60650587262</v>
      </c>
      <c r="X1186" s="101">
        <v>0.1</v>
      </c>
      <c r="Y1186" s="15">
        <f>+D.sign_Data[[#This Row],[COSTOS OPERACIONALES ($COP)]]*D.sign_Data[[#This Row],[DESFASE (%)]]</f>
        <v>16137.060650587264</v>
      </c>
      <c r="Z1186" s="101">
        <v>0.3</v>
      </c>
      <c r="AA1186" s="15">
        <f>+((D.sign_Data[[#This Row],[COSTOS OPERACIONALES ($COP)]]/(100%-D.sign_Data[[#This Row],[UTILIDAD (%)]])))-D.sign_Data[[#This Row],[COSTOS OPERACIONALES ($COP)]]</f>
        <v>69158.8313596597</v>
      </c>
      <c r="AB1186" s="3">
        <f>+D.sign_Data[[#This Row],[COSTOS OPERACIONALES ($COP)]]+D.sign_Data[[#This Row],[DESFASE ($COP)]]+D.sign_Data[[#This Row],[UTILIDAD ($COP)]]</f>
        <v>246666.49851611958</v>
      </c>
      <c r="AC1186" s="101">
        <v>0.05</v>
      </c>
      <c r="AD1186" s="15">
        <f>+D.sign_Data[[#This Row],[VALOR NETO ($COP)]]/(100%-D.sign_Data[[#This Row],[MARGEN DE NEGOCIACIÓN (%)]])-D.sign_Data[[#This Row],[VALOR NETO ($COP)]]</f>
        <v>12982.447290322103</v>
      </c>
      <c r="AE1186" s="15">
        <f>+(D.sign_Data[[#This Row],[VALOR NETO ($COP)]]+D.sign_Data[[#This Row],[NEGOCIACIÓN ($COP)]])*1%</f>
        <v>2596.4894580644168</v>
      </c>
      <c r="AF1186" s="15">
        <f>+(D.sign_Data[[#This Row],[VALOR NETO ($COP)]]+D.sign_Data[[#This Row],[NEGOCIACIÓN ($COP)]])*1%</f>
        <v>2596.4894580644168</v>
      </c>
      <c r="AG1186" s="3">
        <f>+D.sign_Data[[#This Row],[VALOR NETO ($COP)]]+D.sign_Data[[#This Row],[NEGOCIACIÓN ($COP)]]+D.sign_Data[[#This Row],[ICA ($COP)]]+D.sign_Data[[#This Row],[4 * 1000 ($COP)]]</f>
        <v>264841.92472257052</v>
      </c>
    </row>
    <row r="1187" spans="1:33" ht="60" hidden="1" customHeight="1" x14ac:dyDescent="0.25">
      <c r="A1187" s="14"/>
      <c r="B1187" s="87" t="s">
        <v>418</v>
      </c>
      <c r="C1187" s="182" t="s">
        <v>1079</v>
      </c>
      <c r="D1187" s="189" t="str">
        <f>VLOOKUP(D.sign_Data[[#This Row],[CÓDIGO]],Descripciones[[CÓDIGO]:[NOMBRE DE SERVICIO]],3,FALSE)</f>
        <v>D0. Proyecto</v>
      </c>
      <c r="E1187" s="87" t="s">
        <v>1046</v>
      </c>
      <c r="F1187" s="88" t="s">
        <v>1080</v>
      </c>
      <c r="G1187" s="88" t="s">
        <v>1080</v>
      </c>
      <c r="H1187" s="87" t="s">
        <v>423</v>
      </c>
      <c r="I1187" s="89">
        <v>1</v>
      </c>
      <c r="J1187" s="88" t="s">
        <v>1081</v>
      </c>
      <c r="K1187" s="102"/>
      <c r="L1187" s="88" t="s">
        <v>1082</v>
      </c>
      <c r="M1187" s="89" t="s">
        <v>381</v>
      </c>
      <c r="N1187" s="90">
        <v>0.1</v>
      </c>
      <c r="O1187" s="27">
        <f>IFERROR(+VLOOKUP(M1187,D.sign_Lista_Data[[RESPONSABLE]:[SOFTWARE 
VALOR HORA]],3,FALSE),"0")</f>
        <v>20263.424518743668</v>
      </c>
      <c r="P1187" s="3">
        <f t="shared" si="42"/>
        <v>2026.3424518743668</v>
      </c>
      <c r="Q1187" s="11">
        <f>IFERROR(+VLOOKUP(M1187,D.sign_Lista_Data[[RESPONSABLE]:[SOFTWARE 
VALOR HORA]],5,FALSE)*D.sign_Data[[#This Row],[TIEMPO (HORAS)]],0)</f>
        <v>422.15467747382638</v>
      </c>
      <c r="R1187" s="42">
        <f>IFERROR(+VLOOKUP(M1187,D.sign_Lista_Data[[RESPONSABLE]:[SOFTWARE 
VALOR HORA]],8,FALSE)*D.sign_Data[[#This Row],[TIEMPO (HORAS)]],0)</f>
        <v>341.08548871439837</v>
      </c>
      <c r="S1187" s="99">
        <v>0</v>
      </c>
      <c r="T1187" s="99">
        <v>0</v>
      </c>
      <c r="U1187" s="3">
        <f t="shared" si="43"/>
        <v>2789.5826180625913</v>
      </c>
      <c r="V1187" s="100">
        <f>D.sign_Data[[#This Row],[TIEMPO (HORAS)]]*Gastos_Operativos[[#Totals],[GASTOS HORA]]</f>
        <v>2778.9477072310401</v>
      </c>
      <c r="W1187" s="3">
        <f>+D.sign_Data[[#This Row],[COSTO 
DIRECTO ($COP)]]+D.sign_Data[[#This Row],[PRORRATEO GASTOS ($COP)]]</f>
        <v>5568.5303252936319</v>
      </c>
      <c r="X1187" s="101">
        <v>0.1</v>
      </c>
      <c r="Y1187" s="15">
        <f>+D.sign_Data[[#This Row],[COSTOS OPERACIONALES ($COP)]]*D.sign_Data[[#This Row],[DESFASE (%)]]</f>
        <v>556.85303252936319</v>
      </c>
      <c r="Z1187" s="101">
        <v>0.3</v>
      </c>
      <c r="AA1187" s="15">
        <f>+((D.sign_Data[[#This Row],[COSTOS OPERACIONALES ($COP)]]/(100%-D.sign_Data[[#This Row],[UTILIDAD (%)]])))-D.sign_Data[[#This Row],[COSTOS OPERACIONALES ($COP)]]</f>
        <v>2386.5129965544138</v>
      </c>
      <c r="AB1187" s="3">
        <f>+D.sign_Data[[#This Row],[COSTOS OPERACIONALES ($COP)]]+D.sign_Data[[#This Row],[DESFASE ($COP)]]+D.sign_Data[[#This Row],[UTILIDAD ($COP)]]</f>
        <v>8511.896354377408</v>
      </c>
      <c r="AC1187" s="101">
        <v>0.05</v>
      </c>
      <c r="AD1187" s="15">
        <f>+D.sign_Data[[#This Row],[VALOR NETO ($COP)]]/(100%-D.sign_Data[[#This Row],[MARGEN DE NEGOCIACIÓN (%)]])-D.sign_Data[[#This Row],[VALOR NETO ($COP)]]</f>
        <v>447.99454496723229</v>
      </c>
      <c r="AE1187" s="15">
        <f>+(D.sign_Data[[#This Row],[VALOR NETO ($COP)]]+D.sign_Data[[#This Row],[NEGOCIACIÓN ($COP)]])*1%</f>
        <v>89.5989089934464</v>
      </c>
      <c r="AF1187" s="15">
        <f>+(D.sign_Data[[#This Row],[VALOR NETO ($COP)]]+D.sign_Data[[#This Row],[NEGOCIACIÓN ($COP)]])*1%</f>
        <v>89.5989089934464</v>
      </c>
      <c r="AG1187" s="3">
        <f>+D.sign_Data[[#This Row],[VALOR NETO ($COP)]]+D.sign_Data[[#This Row],[NEGOCIACIÓN ($COP)]]+D.sign_Data[[#This Row],[ICA ($COP)]]+D.sign_Data[[#This Row],[4 * 1000 ($COP)]]</f>
        <v>9139.0887173315332</v>
      </c>
    </row>
    <row r="1188" spans="1:33" ht="60" hidden="1" customHeight="1" x14ac:dyDescent="0.25">
      <c r="A1188" s="14"/>
      <c r="B1188" s="87" t="s">
        <v>418</v>
      </c>
      <c r="C1188" s="182" t="s">
        <v>1079</v>
      </c>
      <c r="D1188" s="189" t="str">
        <f>VLOOKUP(D.sign_Data[[#This Row],[CÓDIGO]],Descripciones[[CÓDIGO]:[NOMBRE DE SERVICIO]],3,FALSE)</f>
        <v>D0. Proyecto</v>
      </c>
      <c r="E1188" s="87" t="s">
        <v>1046</v>
      </c>
      <c r="F1188" s="88" t="s">
        <v>1080</v>
      </c>
      <c r="G1188" s="88" t="s">
        <v>1080</v>
      </c>
      <c r="H1188" s="87" t="s">
        <v>423</v>
      </c>
      <c r="I1188" s="89">
        <v>1</v>
      </c>
      <c r="J1188" s="88" t="s">
        <v>1081</v>
      </c>
      <c r="K1188" s="102"/>
      <c r="L1188" s="88" t="s">
        <v>1083</v>
      </c>
      <c r="M1188" s="89" t="s">
        <v>381</v>
      </c>
      <c r="N1188" s="90">
        <v>0.1</v>
      </c>
      <c r="O1188" s="27">
        <f>IFERROR(+VLOOKUP(M1188,D.sign_Lista_Data[[RESPONSABLE]:[SOFTWARE 
VALOR HORA]],3,FALSE),"0")</f>
        <v>20263.424518743668</v>
      </c>
      <c r="P1188" s="3">
        <f t="shared" si="42"/>
        <v>2026.3424518743668</v>
      </c>
      <c r="Q1188" s="11">
        <f>IFERROR(+VLOOKUP(M1188,D.sign_Lista_Data[[RESPONSABLE]:[SOFTWARE 
VALOR HORA]],5,FALSE)*D.sign_Data[[#This Row],[TIEMPO (HORAS)]],0)</f>
        <v>422.15467747382638</v>
      </c>
      <c r="R1188" s="42">
        <f>IFERROR(+VLOOKUP(M1188,D.sign_Lista_Data[[RESPONSABLE]:[SOFTWARE 
VALOR HORA]],8,FALSE)*D.sign_Data[[#This Row],[TIEMPO (HORAS)]],0)</f>
        <v>341.08548871439837</v>
      </c>
      <c r="S1188" s="99">
        <v>0</v>
      </c>
      <c r="T1188" s="99">
        <v>0</v>
      </c>
      <c r="U1188" s="3">
        <f t="shared" si="43"/>
        <v>2789.5826180625913</v>
      </c>
      <c r="V1188" s="100">
        <f>D.sign_Data[[#This Row],[TIEMPO (HORAS)]]*Gastos_Operativos[[#Totals],[GASTOS HORA]]</f>
        <v>2778.9477072310401</v>
      </c>
      <c r="W1188" s="3">
        <f>+D.sign_Data[[#This Row],[COSTO 
DIRECTO ($COP)]]+D.sign_Data[[#This Row],[PRORRATEO GASTOS ($COP)]]</f>
        <v>5568.5303252936319</v>
      </c>
      <c r="X1188" s="101">
        <v>0.1</v>
      </c>
      <c r="Y1188" s="15">
        <f>+D.sign_Data[[#This Row],[COSTOS OPERACIONALES ($COP)]]*D.sign_Data[[#This Row],[DESFASE (%)]]</f>
        <v>556.85303252936319</v>
      </c>
      <c r="Z1188" s="101">
        <v>0.3</v>
      </c>
      <c r="AA1188" s="15">
        <f>+((D.sign_Data[[#This Row],[COSTOS OPERACIONALES ($COP)]]/(100%-D.sign_Data[[#This Row],[UTILIDAD (%)]])))-D.sign_Data[[#This Row],[COSTOS OPERACIONALES ($COP)]]</f>
        <v>2386.5129965544138</v>
      </c>
      <c r="AB1188" s="3">
        <f>+D.sign_Data[[#This Row],[COSTOS OPERACIONALES ($COP)]]+D.sign_Data[[#This Row],[DESFASE ($COP)]]+D.sign_Data[[#This Row],[UTILIDAD ($COP)]]</f>
        <v>8511.896354377408</v>
      </c>
      <c r="AC1188" s="101">
        <v>0.05</v>
      </c>
      <c r="AD1188" s="15">
        <f>+D.sign_Data[[#This Row],[VALOR NETO ($COP)]]/(100%-D.sign_Data[[#This Row],[MARGEN DE NEGOCIACIÓN (%)]])-D.sign_Data[[#This Row],[VALOR NETO ($COP)]]</f>
        <v>447.99454496723229</v>
      </c>
      <c r="AE1188" s="15">
        <f>+(D.sign_Data[[#This Row],[VALOR NETO ($COP)]]+D.sign_Data[[#This Row],[NEGOCIACIÓN ($COP)]])*1%</f>
        <v>89.5989089934464</v>
      </c>
      <c r="AF1188" s="15">
        <f>+(D.sign_Data[[#This Row],[VALOR NETO ($COP)]]+D.sign_Data[[#This Row],[NEGOCIACIÓN ($COP)]])*1%</f>
        <v>89.5989089934464</v>
      </c>
      <c r="AG1188" s="3">
        <f>+D.sign_Data[[#This Row],[VALOR NETO ($COP)]]+D.sign_Data[[#This Row],[NEGOCIACIÓN ($COP)]]+D.sign_Data[[#This Row],[ICA ($COP)]]+D.sign_Data[[#This Row],[4 * 1000 ($COP)]]</f>
        <v>9139.0887173315332</v>
      </c>
    </row>
    <row r="1189" spans="1:33" ht="60" hidden="1" customHeight="1" x14ac:dyDescent="0.25">
      <c r="A1189" s="14"/>
      <c r="B1189" s="87" t="s">
        <v>418</v>
      </c>
      <c r="C1189" s="182" t="s">
        <v>1079</v>
      </c>
      <c r="D1189" s="189" t="str">
        <f>VLOOKUP(D.sign_Data[[#This Row],[CÓDIGO]],Descripciones[[CÓDIGO]:[NOMBRE DE SERVICIO]],3,FALSE)</f>
        <v>D0. Proyecto</v>
      </c>
      <c r="E1189" s="87" t="s">
        <v>1046</v>
      </c>
      <c r="F1189" s="88" t="s">
        <v>1080</v>
      </c>
      <c r="G1189" s="88" t="s">
        <v>1080</v>
      </c>
      <c r="H1189" s="87" t="s">
        <v>423</v>
      </c>
      <c r="I1189" s="89">
        <v>1</v>
      </c>
      <c r="J1189" s="88" t="s">
        <v>1081</v>
      </c>
      <c r="K1189" s="102"/>
      <c r="L1189" s="88" t="s">
        <v>1084</v>
      </c>
      <c r="M1189" s="89" t="s">
        <v>381</v>
      </c>
      <c r="N1189" s="90">
        <v>0.2</v>
      </c>
      <c r="O1189" s="27">
        <f>IFERROR(+VLOOKUP(M1189,D.sign_Lista_Data[[RESPONSABLE]:[SOFTWARE 
VALOR HORA]],3,FALSE),"0")</f>
        <v>20263.424518743668</v>
      </c>
      <c r="P1189" s="3">
        <f t="shared" si="42"/>
        <v>4052.6849037487336</v>
      </c>
      <c r="Q1189" s="11">
        <f>IFERROR(+VLOOKUP(M1189,D.sign_Lista_Data[[RESPONSABLE]:[SOFTWARE 
VALOR HORA]],5,FALSE)*D.sign_Data[[#This Row],[TIEMPO (HORAS)]],0)</f>
        <v>844.30935494765276</v>
      </c>
      <c r="R1189" s="42">
        <f>IFERROR(+VLOOKUP(M1189,D.sign_Lista_Data[[RESPONSABLE]:[SOFTWARE 
VALOR HORA]],8,FALSE)*D.sign_Data[[#This Row],[TIEMPO (HORAS)]],0)</f>
        <v>682.17097742879673</v>
      </c>
      <c r="S1189" s="99">
        <v>0</v>
      </c>
      <c r="T1189" s="99">
        <v>0</v>
      </c>
      <c r="U1189" s="3">
        <f t="shared" si="43"/>
        <v>5579.1652361251827</v>
      </c>
      <c r="V1189" s="100">
        <f>D.sign_Data[[#This Row],[TIEMPO (HORAS)]]*Gastos_Operativos[[#Totals],[GASTOS HORA]]</f>
        <v>5557.8954144620802</v>
      </c>
      <c r="W1189" s="3">
        <f>+D.sign_Data[[#This Row],[COSTO 
DIRECTO ($COP)]]+D.sign_Data[[#This Row],[PRORRATEO GASTOS ($COP)]]</f>
        <v>11137.060650587264</v>
      </c>
      <c r="X1189" s="101">
        <v>0.1</v>
      </c>
      <c r="Y1189" s="15">
        <f>+D.sign_Data[[#This Row],[COSTOS OPERACIONALES ($COP)]]*D.sign_Data[[#This Row],[DESFASE (%)]]</f>
        <v>1113.7060650587264</v>
      </c>
      <c r="Z1189" s="101">
        <v>0.3</v>
      </c>
      <c r="AA1189" s="15">
        <f>+((D.sign_Data[[#This Row],[COSTOS OPERACIONALES ($COP)]]/(100%-D.sign_Data[[#This Row],[UTILIDAD (%)]])))-D.sign_Data[[#This Row],[COSTOS OPERACIONALES ($COP)]]</f>
        <v>4773.0259931088276</v>
      </c>
      <c r="AB1189" s="3">
        <f>+D.sign_Data[[#This Row],[COSTOS OPERACIONALES ($COP)]]+D.sign_Data[[#This Row],[DESFASE ($COP)]]+D.sign_Data[[#This Row],[UTILIDAD ($COP)]]</f>
        <v>17023.792708754816</v>
      </c>
      <c r="AC1189" s="101">
        <v>0.05</v>
      </c>
      <c r="AD1189" s="15">
        <f>+D.sign_Data[[#This Row],[VALOR NETO ($COP)]]/(100%-D.sign_Data[[#This Row],[MARGEN DE NEGOCIACIÓN (%)]])-D.sign_Data[[#This Row],[VALOR NETO ($COP)]]</f>
        <v>895.98908993446457</v>
      </c>
      <c r="AE1189" s="15">
        <f>+(D.sign_Data[[#This Row],[VALOR NETO ($COP)]]+D.sign_Data[[#This Row],[NEGOCIACIÓN ($COP)]])*1%</f>
        <v>179.1978179868928</v>
      </c>
      <c r="AF1189" s="15">
        <f>+(D.sign_Data[[#This Row],[VALOR NETO ($COP)]]+D.sign_Data[[#This Row],[NEGOCIACIÓN ($COP)]])*1%</f>
        <v>179.1978179868928</v>
      </c>
      <c r="AG1189" s="3">
        <f>+D.sign_Data[[#This Row],[VALOR NETO ($COP)]]+D.sign_Data[[#This Row],[NEGOCIACIÓN ($COP)]]+D.sign_Data[[#This Row],[ICA ($COP)]]+D.sign_Data[[#This Row],[4 * 1000 ($COP)]]</f>
        <v>18278.177434663066</v>
      </c>
    </row>
    <row r="1190" spans="1:33" ht="60" hidden="1" customHeight="1" x14ac:dyDescent="0.25">
      <c r="A1190" s="14"/>
      <c r="B1190" s="87" t="s">
        <v>418</v>
      </c>
      <c r="C1190" s="182" t="s">
        <v>1079</v>
      </c>
      <c r="D1190" s="189" t="str">
        <f>VLOOKUP(D.sign_Data[[#This Row],[CÓDIGO]],Descripciones[[CÓDIGO]:[NOMBRE DE SERVICIO]],3,FALSE)</f>
        <v>D0. Proyecto</v>
      </c>
      <c r="E1190" s="87" t="s">
        <v>1046</v>
      </c>
      <c r="F1190" s="88" t="s">
        <v>1080</v>
      </c>
      <c r="G1190" s="88" t="s">
        <v>1080</v>
      </c>
      <c r="H1190" s="87" t="s">
        <v>423</v>
      </c>
      <c r="I1190" s="89">
        <v>1</v>
      </c>
      <c r="J1190" s="88" t="s">
        <v>1081</v>
      </c>
      <c r="K1190" s="102"/>
      <c r="L1190" s="88" t="s">
        <v>1085</v>
      </c>
      <c r="M1190" s="89" t="s">
        <v>381</v>
      </c>
      <c r="N1190" s="90">
        <v>0.5</v>
      </c>
      <c r="O1190" s="27">
        <f>IFERROR(+VLOOKUP(M1190,D.sign_Lista_Data[[RESPONSABLE]:[SOFTWARE 
VALOR HORA]],3,FALSE),"0")</f>
        <v>20263.424518743668</v>
      </c>
      <c r="P1190" s="3">
        <f t="shared" si="42"/>
        <v>10131.712259371834</v>
      </c>
      <c r="Q1190" s="11">
        <f>IFERROR(+VLOOKUP(M1190,D.sign_Lista_Data[[RESPONSABLE]:[SOFTWARE 
VALOR HORA]],5,FALSE)*D.sign_Data[[#This Row],[TIEMPO (HORAS)]],0)</f>
        <v>2110.7733873691318</v>
      </c>
      <c r="R1190" s="42">
        <f>IFERROR(+VLOOKUP(M1190,D.sign_Lista_Data[[RESPONSABLE]:[SOFTWARE 
VALOR HORA]],8,FALSE)*D.sign_Data[[#This Row],[TIEMPO (HORAS)]],0)</f>
        <v>1705.4274435719917</v>
      </c>
      <c r="S1190" s="99">
        <v>0</v>
      </c>
      <c r="T1190" s="99">
        <v>0</v>
      </c>
      <c r="U1190" s="3">
        <f t="shared" si="43"/>
        <v>13947.913090312959</v>
      </c>
      <c r="V1190" s="100">
        <f>D.sign_Data[[#This Row],[TIEMPO (HORAS)]]*Gastos_Operativos[[#Totals],[GASTOS HORA]]</f>
        <v>13894.738536155201</v>
      </c>
      <c r="W1190" s="3">
        <f>+D.sign_Data[[#This Row],[COSTO 
DIRECTO ($COP)]]+D.sign_Data[[#This Row],[PRORRATEO GASTOS ($COP)]]</f>
        <v>27842.65162646816</v>
      </c>
      <c r="X1190" s="101">
        <v>0.1</v>
      </c>
      <c r="Y1190" s="15">
        <f>+D.sign_Data[[#This Row],[COSTOS OPERACIONALES ($COP)]]*D.sign_Data[[#This Row],[DESFASE (%)]]</f>
        <v>2784.265162646816</v>
      </c>
      <c r="Z1190" s="101">
        <v>0.3</v>
      </c>
      <c r="AA1190" s="15">
        <f>+((D.sign_Data[[#This Row],[COSTOS OPERACIONALES ($COP)]]/(100%-D.sign_Data[[#This Row],[UTILIDAD (%)]])))-D.sign_Data[[#This Row],[COSTOS OPERACIONALES ($COP)]]</f>
        <v>11932.564982772074</v>
      </c>
      <c r="AB1190" s="3">
        <f>+D.sign_Data[[#This Row],[COSTOS OPERACIONALES ($COP)]]+D.sign_Data[[#This Row],[DESFASE ($COP)]]+D.sign_Data[[#This Row],[UTILIDAD ($COP)]]</f>
        <v>42559.481771887047</v>
      </c>
      <c r="AC1190" s="101">
        <v>0.05</v>
      </c>
      <c r="AD1190" s="15">
        <f>+D.sign_Data[[#This Row],[VALOR NETO ($COP)]]/(100%-D.sign_Data[[#This Row],[MARGEN DE NEGOCIACIÓN (%)]])-D.sign_Data[[#This Row],[VALOR NETO ($COP)]]</f>
        <v>2239.9727248361596</v>
      </c>
      <c r="AE1190" s="15">
        <f>+(D.sign_Data[[#This Row],[VALOR NETO ($COP)]]+D.sign_Data[[#This Row],[NEGOCIACIÓN ($COP)]])*1%</f>
        <v>447.99454496723206</v>
      </c>
      <c r="AF1190" s="15">
        <f>+(D.sign_Data[[#This Row],[VALOR NETO ($COP)]]+D.sign_Data[[#This Row],[NEGOCIACIÓN ($COP)]])*1%</f>
        <v>447.99454496723206</v>
      </c>
      <c r="AG1190" s="3">
        <f>+D.sign_Data[[#This Row],[VALOR NETO ($COP)]]+D.sign_Data[[#This Row],[NEGOCIACIÓN ($COP)]]+D.sign_Data[[#This Row],[ICA ($COP)]]+D.sign_Data[[#This Row],[4 * 1000 ($COP)]]</f>
        <v>45695.443586657668</v>
      </c>
    </row>
    <row r="1191" spans="1:33" ht="60" hidden="1" customHeight="1" x14ac:dyDescent="0.25">
      <c r="A1191" s="14"/>
      <c r="B1191" s="87" t="s">
        <v>418</v>
      </c>
      <c r="C1191" s="182" t="s">
        <v>1079</v>
      </c>
      <c r="D1191" s="189" t="str">
        <f>VLOOKUP(D.sign_Data[[#This Row],[CÓDIGO]],Descripciones[[CÓDIGO]:[NOMBRE DE SERVICIO]],3,FALSE)</f>
        <v>D0. Proyecto</v>
      </c>
      <c r="E1191" s="87" t="s">
        <v>1046</v>
      </c>
      <c r="F1191" s="88" t="s">
        <v>1080</v>
      </c>
      <c r="G1191" s="88" t="s">
        <v>1080</v>
      </c>
      <c r="H1191" s="87" t="s">
        <v>423</v>
      </c>
      <c r="I1191" s="89">
        <v>1</v>
      </c>
      <c r="J1191" s="88" t="s">
        <v>979</v>
      </c>
      <c r="K1191" s="102"/>
      <c r="L1191" s="88" t="s">
        <v>1086</v>
      </c>
      <c r="M1191" s="89" t="s">
        <v>381</v>
      </c>
      <c r="N1191" s="90">
        <v>1</v>
      </c>
      <c r="O1191" s="27">
        <f>IFERROR(+VLOOKUP(M1191,D.sign_Lista_Data[[RESPONSABLE]:[SOFTWARE 
VALOR HORA]],3,FALSE),"0")</f>
        <v>20263.424518743668</v>
      </c>
      <c r="P1191" s="3">
        <f t="shared" si="42"/>
        <v>20263.424518743668</v>
      </c>
      <c r="Q1191" s="11">
        <f>IFERROR(+VLOOKUP(M1191,D.sign_Lista_Data[[RESPONSABLE]:[SOFTWARE 
VALOR HORA]],5,FALSE)*D.sign_Data[[#This Row],[TIEMPO (HORAS)]],0)</f>
        <v>4221.5467747382636</v>
      </c>
      <c r="R1191" s="42">
        <f>IFERROR(+VLOOKUP(M1191,D.sign_Lista_Data[[RESPONSABLE]:[SOFTWARE 
VALOR HORA]],8,FALSE)*D.sign_Data[[#This Row],[TIEMPO (HORAS)]],0)</f>
        <v>3410.8548871439834</v>
      </c>
      <c r="S1191" s="99">
        <v>0</v>
      </c>
      <c r="T1191" s="99">
        <v>0</v>
      </c>
      <c r="U1191" s="3">
        <f t="shared" si="43"/>
        <v>27895.826180625918</v>
      </c>
      <c r="V1191" s="100">
        <f>D.sign_Data[[#This Row],[TIEMPO (HORAS)]]*Gastos_Operativos[[#Totals],[GASTOS HORA]]</f>
        <v>27789.477072310401</v>
      </c>
      <c r="W1191" s="3">
        <f>+D.sign_Data[[#This Row],[COSTO 
DIRECTO ($COP)]]+D.sign_Data[[#This Row],[PRORRATEO GASTOS ($COP)]]</f>
        <v>55685.303252936319</v>
      </c>
      <c r="X1191" s="101">
        <v>0.1</v>
      </c>
      <c r="Y1191" s="15">
        <f>+D.sign_Data[[#This Row],[COSTOS OPERACIONALES ($COP)]]*D.sign_Data[[#This Row],[DESFASE (%)]]</f>
        <v>5568.5303252936319</v>
      </c>
      <c r="Z1191" s="101">
        <v>0.3</v>
      </c>
      <c r="AA1191" s="15">
        <f>+((D.sign_Data[[#This Row],[COSTOS OPERACIONALES ($COP)]]/(100%-D.sign_Data[[#This Row],[UTILIDAD (%)]])))-D.sign_Data[[#This Row],[COSTOS OPERACIONALES ($COP)]]</f>
        <v>23865.129965544147</v>
      </c>
      <c r="AB1191" s="3">
        <f>+D.sign_Data[[#This Row],[COSTOS OPERACIONALES ($COP)]]+D.sign_Data[[#This Row],[DESFASE ($COP)]]+D.sign_Data[[#This Row],[UTILIDAD ($COP)]]</f>
        <v>85118.963543774094</v>
      </c>
      <c r="AC1191" s="101">
        <v>0.05</v>
      </c>
      <c r="AD1191" s="15">
        <f>+D.sign_Data[[#This Row],[VALOR NETO ($COP)]]/(100%-D.sign_Data[[#This Row],[MARGEN DE NEGOCIACIÓN (%)]])-D.sign_Data[[#This Row],[VALOR NETO ($COP)]]</f>
        <v>4479.9454496723192</v>
      </c>
      <c r="AE1191" s="15">
        <f>+(D.sign_Data[[#This Row],[VALOR NETO ($COP)]]+D.sign_Data[[#This Row],[NEGOCIACIÓN ($COP)]])*1%</f>
        <v>895.98908993446412</v>
      </c>
      <c r="AF1191" s="15">
        <f>+(D.sign_Data[[#This Row],[VALOR NETO ($COP)]]+D.sign_Data[[#This Row],[NEGOCIACIÓN ($COP)]])*1%</f>
        <v>895.98908993446412</v>
      </c>
      <c r="AG1191" s="3">
        <f>+D.sign_Data[[#This Row],[VALOR NETO ($COP)]]+D.sign_Data[[#This Row],[NEGOCIACIÓN ($COP)]]+D.sign_Data[[#This Row],[ICA ($COP)]]+D.sign_Data[[#This Row],[4 * 1000 ($COP)]]</f>
        <v>91390.887173315336</v>
      </c>
    </row>
    <row r="1192" spans="1:33" ht="60" hidden="1" customHeight="1" x14ac:dyDescent="0.25">
      <c r="A1192" s="14"/>
      <c r="B1192" s="87" t="s">
        <v>418</v>
      </c>
      <c r="C1192" s="182" t="s">
        <v>1079</v>
      </c>
      <c r="D1192" s="189" t="str">
        <f>VLOOKUP(D.sign_Data[[#This Row],[CÓDIGO]],Descripciones[[CÓDIGO]:[NOMBRE DE SERVICIO]],3,FALSE)</f>
        <v>D0. Proyecto</v>
      </c>
      <c r="E1192" s="87" t="s">
        <v>1046</v>
      </c>
      <c r="F1192" s="88" t="s">
        <v>1080</v>
      </c>
      <c r="G1192" s="88" t="s">
        <v>1080</v>
      </c>
      <c r="H1192" s="87" t="s">
        <v>423</v>
      </c>
      <c r="I1192" s="89">
        <v>1</v>
      </c>
      <c r="J1192" s="88" t="s">
        <v>979</v>
      </c>
      <c r="K1192" s="102"/>
      <c r="L1192" s="88" t="s">
        <v>1087</v>
      </c>
      <c r="M1192" s="89" t="s">
        <v>381</v>
      </c>
      <c r="N1192" s="90">
        <v>4</v>
      </c>
      <c r="O1192" s="27">
        <f>IFERROR(+VLOOKUP(M1192,D.sign_Lista_Data[[RESPONSABLE]:[SOFTWARE 
VALOR HORA]],3,FALSE),"0")</f>
        <v>20263.424518743668</v>
      </c>
      <c r="P1192" s="3">
        <f t="shared" si="42"/>
        <v>81053.698074974673</v>
      </c>
      <c r="Q1192" s="11">
        <f>IFERROR(+VLOOKUP(M1192,D.sign_Lista_Data[[RESPONSABLE]:[SOFTWARE 
VALOR HORA]],5,FALSE)*D.sign_Data[[#This Row],[TIEMPO (HORAS)]],0)</f>
        <v>16886.187098953054</v>
      </c>
      <c r="R1192" s="42">
        <f>IFERROR(+VLOOKUP(M1192,D.sign_Lista_Data[[RESPONSABLE]:[SOFTWARE 
VALOR HORA]],8,FALSE)*D.sign_Data[[#This Row],[TIEMPO (HORAS)]],0)</f>
        <v>13643.419548575934</v>
      </c>
      <c r="S1192" s="99">
        <v>0</v>
      </c>
      <c r="T1192" s="99">
        <v>0</v>
      </c>
      <c r="U1192" s="3">
        <f t="shared" si="43"/>
        <v>111583.30472250367</v>
      </c>
      <c r="V1192" s="100">
        <f>D.sign_Data[[#This Row],[TIEMPO (HORAS)]]*Gastos_Operativos[[#Totals],[GASTOS HORA]]</f>
        <v>111157.9082892416</v>
      </c>
      <c r="W1192" s="3">
        <f>+D.sign_Data[[#This Row],[COSTO 
DIRECTO ($COP)]]+D.sign_Data[[#This Row],[PRORRATEO GASTOS ($COP)]]</f>
        <v>222741.21301174528</v>
      </c>
      <c r="X1192" s="101">
        <v>0.1</v>
      </c>
      <c r="Y1192" s="15">
        <f>+D.sign_Data[[#This Row],[COSTOS OPERACIONALES ($COP)]]*D.sign_Data[[#This Row],[DESFASE (%)]]</f>
        <v>22274.121301174528</v>
      </c>
      <c r="Z1192" s="101">
        <v>0.3</v>
      </c>
      <c r="AA1192" s="15">
        <f>+((D.sign_Data[[#This Row],[COSTOS OPERACIONALES ($COP)]]/(100%-D.sign_Data[[#This Row],[UTILIDAD (%)]])))-D.sign_Data[[#This Row],[COSTOS OPERACIONALES ($COP)]]</f>
        <v>95460.519862176589</v>
      </c>
      <c r="AB1192" s="3">
        <f>+D.sign_Data[[#This Row],[COSTOS OPERACIONALES ($COP)]]+D.sign_Data[[#This Row],[DESFASE ($COP)]]+D.sign_Data[[#This Row],[UTILIDAD ($COP)]]</f>
        <v>340475.85417509638</v>
      </c>
      <c r="AC1192" s="101">
        <v>0.05</v>
      </c>
      <c r="AD1192" s="15">
        <f>+D.sign_Data[[#This Row],[VALOR NETO ($COP)]]/(100%-D.sign_Data[[#This Row],[MARGEN DE NEGOCIACIÓN (%)]])-D.sign_Data[[#This Row],[VALOR NETO ($COP)]]</f>
        <v>17919.781798689277</v>
      </c>
      <c r="AE1192" s="15">
        <f>+(D.sign_Data[[#This Row],[VALOR NETO ($COP)]]+D.sign_Data[[#This Row],[NEGOCIACIÓN ($COP)]])*1%</f>
        <v>3583.9563597378565</v>
      </c>
      <c r="AF1192" s="15">
        <f>+(D.sign_Data[[#This Row],[VALOR NETO ($COP)]]+D.sign_Data[[#This Row],[NEGOCIACIÓN ($COP)]])*1%</f>
        <v>3583.9563597378565</v>
      </c>
      <c r="AG1192" s="3">
        <f>+D.sign_Data[[#This Row],[VALOR NETO ($COP)]]+D.sign_Data[[#This Row],[NEGOCIACIÓN ($COP)]]+D.sign_Data[[#This Row],[ICA ($COP)]]+D.sign_Data[[#This Row],[4 * 1000 ($COP)]]</f>
        <v>365563.54869326134</v>
      </c>
    </row>
    <row r="1193" spans="1:33" ht="60" hidden="1" customHeight="1" x14ac:dyDescent="0.25">
      <c r="A1193" s="14"/>
      <c r="B1193" s="87" t="s">
        <v>418</v>
      </c>
      <c r="C1193" s="182" t="s">
        <v>1079</v>
      </c>
      <c r="D1193" s="189" t="str">
        <f>VLOOKUP(D.sign_Data[[#This Row],[CÓDIGO]],Descripciones[[CÓDIGO]:[NOMBRE DE SERVICIO]],3,FALSE)</f>
        <v>D0. Proyecto</v>
      </c>
      <c r="E1193" s="87" t="s">
        <v>1046</v>
      </c>
      <c r="F1193" s="88" t="s">
        <v>1080</v>
      </c>
      <c r="G1193" s="88" t="s">
        <v>1080</v>
      </c>
      <c r="H1193" s="87" t="s">
        <v>423</v>
      </c>
      <c r="I1193" s="89">
        <v>1</v>
      </c>
      <c r="J1193" s="88" t="s">
        <v>979</v>
      </c>
      <c r="K1193" s="102"/>
      <c r="L1193" s="88" t="s">
        <v>1088</v>
      </c>
      <c r="M1193" s="89" t="s">
        <v>381</v>
      </c>
      <c r="N1193" s="90">
        <v>0.2</v>
      </c>
      <c r="O1193" s="27">
        <f>IFERROR(+VLOOKUP(M1193,D.sign_Lista_Data[[RESPONSABLE]:[SOFTWARE 
VALOR HORA]],3,FALSE),"0")</f>
        <v>20263.424518743668</v>
      </c>
      <c r="P1193" s="3">
        <f t="shared" si="42"/>
        <v>4052.6849037487336</v>
      </c>
      <c r="Q1193" s="11">
        <f>IFERROR(+VLOOKUP(M1193,D.sign_Lista_Data[[RESPONSABLE]:[SOFTWARE 
VALOR HORA]],5,FALSE)*D.sign_Data[[#This Row],[TIEMPO (HORAS)]],0)</f>
        <v>844.30935494765276</v>
      </c>
      <c r="R1193" s="42">
        <f>IFERROR(+VLOOKUP(M1193,D.sign_Lista_Data[[RESPONSABLE]:[SOFTWARE 
VALOR HORA]],8,FALSE)*D.sign_Data[[#This Row],[TIEMPO (HORAS)]],0)</f>
        <v>682.17097742879673</v>
      </c>
      <c r="S1193" s="99">
        <v>0</v>
      </c>
      <c r="T1193" s="99">
        <v>0</v>
      </c>
      <c r="U1193" s="3">
        <f t="shared" si="43"/>
        <v>5579.1652361251827</v>
      </c>
      <c r="V1193" s="100">
        <f>D.sign_Data[[#This Row],[TIEMPO (HORAS)]]*Gastos_Operativos[[#Totals],[GASTOS HORA]]</f>
        <v>5557.8954144620802</v>
      </c>
      <c r="W1193" s="3">
        <f>+D.sign_Data[[#This Row],[COSTO 
DIRECTO ($COP)]]+D.sign_Data[[#This Row],[PRORRATEO GASTOS ($COP)]]</f>
        <v>11137.060650587264</v>
      </c>
      <c r="X1193" s="101">
        <v>0.1</v>
      </c>
      <c r="Y1193" s="15">
        <f>+D.sign_Data[[#This Row],[COSTOS OPERACIONALES ($COP)]]*D.sign_Data[[#This Row],[DESFASE (%)]]</f>
        <v>1113.7060650587264</v>
      </c>
      <c r="Z1193" s="101">
        <v>0.3</v>
      </c>
      <c r="AA1193" s="15">
        <f>+((D.sign_Data[[#This Row],[COSTOS OPERACIONALES ($COP)]]/(100%-D.sign_Data[[#This Row],[UTILIDAD (%)]])))-D.sign_Data[[#This Row],[COSTOS OPERACIONALES ($COP)]]</f>
        <v>4773.0259931088276</v>
      </c>
      <c r="AB1193" s="3">
        <f>+D.sign_Data[[#This Row],[COSTOS OPERACIONALES ($COP)]]+D.sign_Data[[#This Row],[DESFASE ($COP)]]+D.sign_Data[[#This Row],[UTILIDAD ($COP)]]</f>
        <v>17023.792708754816</v>
      </c>
      <c r="AC1193" s="101">
        <v>0.05</v>
      </c>
      <c r="AD1193" s="15">
        <f>+D.sign_Data[[#This Row],[VALOR NETO ($COP)]]/(100%-D.sign_Data[[#This Row],[MARGEN DE NEGOCIACIÓN (%)]])-D.sign_Data[[#This Row],[VALOR NETO ($COP)]]</f>
        <v>895.98908993446457</v>
      </c>
      <c r="AE1193" s="15">
        <f>+(D.sign_Data[[#This Row],[VALOR NETO ($COP)]]+D.sign_Data[[#This Row],[NEGOCIACIÓN ($COP)]])*1%</f>
        <v>179.1978179868928</v>
      </c>
      <c r="AF1193" s="15">
        <f>+(D.sign_Data[[#This Row],[VALOR NETO ($COP)]]+D.sign_Data[[#This Row],[NEGOCIACIÓN ($COP)]])*1%</f>
        <v>179.1978179868928</v>
      </c>
      <c r="AG1193" s="3">
        <f>+D.sign_Data[[#This Row],[VALOR NETO ($COP)]]+D.sign_Data[[#This Row],[NEGOCIACIÓN ($COP)]]+D.sign_Data[[#This Row],[ICA ($COP)]]+D.sign_Data[[#This Row],[4 * 1000 ($COP)]]</f>
        <v>18278.177434663066</v>
      </c>
    </row>
    <row r="1194" spans="1:33" ht="60" hidden="1" customHeight="1" x14ac:dyDescent="0.25">
      <c r="A1194" s="14"/>
      <c r="B1194" s="87" t="s">
        <v>418</v>
      </c>
      <c r="C1194" s="182" t="s">
        <v>1079</v>
      </c>
      <c r="D1194" s="189" t="str">
        <f>VLOOKUP(D.sign_Data[[#This Row],[CÓDIGO]],Descripciones[[CÓDIGO]:[NOMBRE DE SERVICIO]],3,FALSE)</f>
        <v>D0. Proyecto</v>
      </c>
      <c r="E1194" s="87" t="s">
        <v>1046</v>
      </c>
      <c r="F1194" s="88" t="s">
        <v>1080</v>
      </c>
      <c r="G1194" s="88" t="s">
        <v>1080</v>
      </c>
      <c r="H1194" s="87" t="s">
        <v>423</v>
      </c>
      <c r="I1194" s="89">
        <v>1</v>
      </c>
      <c r="J1194" s="88" t="s">
        <v>1089</v>
      </c>
      <c r="K1194" s="102"/>
      <c r="L1194" s="88" t="s">
        <v>1102</v>
      </c>
      <c r="M1194" s="89" t="s">
        <v>381</v>
      </c>
      <c r="N1194" s="90">
        <v>0.2</v>
      </c>
      <c r="O1194" s="27">
        <f>IFERROR(+VLOOKUP(M1194,D.sign_Lista_Data[[RESPONSABLE]:[SOFTWARE 
VALOR HORA]],3,FALSE),"0")</f>
        <v>20263.424518743668</v>
      </c>
      <c r="P1194" s="3">
        <f t="shared" si="42"/>
        <v>4052.6849037487336</v>
      </c>
      <c r="Q1194" s="11">
        <f>IFERROR(+VLOOKUP(M1194,D.sign_Lista_Data[[RESPONSABLE]:[SOFTWARE 
VALOR HORA]],5,FALSE)*D.sign_Data[[#This Row],[TIEMPO (HORAS)]],0)</f>
        <v>844.30935494765276</v>
      </c>
      <c r="R1194" s="42">
        <f>IFERROR(+VLOOKUP(M1194,D.sign_Lista_Data[[RESPONSABLE]:[SOFTWARE 
VALOR HORA]],8,FALSE)*D.sign_Data[[#This Row],[TIEMPO (HORAS)]],0)</f>
        <v>682.17097742879673</v>
      </c>
      <c r="S1194" s="99">
        <v>0</v>
      </c>
      <c r="T1194" s="99">
        <v>0</v>
      </c>
      <c r="U1194" s="3">
        <f t="shared" si="43"/>
        <v>5579.1652361251827</v>
      </c>
      <c r="V1194" s="100">
        <f>D.sign_Data[[#This Row],[TIEMPO (HORAS)]]*Gastos_Operativos[[#Totals],[GASTOS HORA]]</f>
        <v>5557.8954144620802</v>
      </c>
      <c r="W1194" s="3">
        <f>+D.sign_Data[[#This Row],[COSTO 
DIRECTO ($COP)]]+D.sign_Data[[#This Row],[PRORRATEO GASTOS ($COP)]]</f>
        <v>11137.060650587264</v>
      </c>
      <c r="X1194" s="101">
        <v>0.1</v>
      </c>
      <c r="Y1194" s="15">
        <f>+D.sign_Data[[#This Row],[COSTOS OPERACIONALES ($COP)]]*D.sign_Data[[#This Row],[DESFASE (%)]]</f>
        <v>1113.7060650587264</v>
      </c>
      <c r="Z1194" s="101">
        <v>0.3</v>
      </c>
      <c r="AA1194" s="15">
        <f>+((D.sign_Data[[#This Row],[COSTOS OPERACIONALES ($COP)]]/(100%-D.sign_Data[[#This Row],[UTILIDAD (%)]])))-D.sign_Data[[#This Row],[COSTOS OPERACIONALES ($COP)]]</f>
        <v>4773.0259931088276</v>
      </c>
      <c r="AB1194" s="3">
        <f>+D.sign_Data[[#This Row],[COSTOS OPERACIONALES ($COP)]]+D.sign_Data[[#This Row],[DESFASE ($COP)]]+D.sign_Data[[#This Row],[UTILIDAD ($COP)]]</f>
        <v>17023.792708754816</v>
      </c>
      <c r="AC1194" s="101">
        <v>0.05</v>
      </c>
      <c r="AD1194" s="15">
        <f>+D.sign_Data[[#This Row],[VALOR NETO ($COP)]]/(100%-D.sign_Data[[#This Row],[MARGEN DE NEGOCIACIÓN (%)]])-D.sign_Data[[#This Row],[VALOR NETO ($COP)]]</f>
        <v>895.98908993446457</v>
      </c>
      <c r="AE1194" s="15">
        <f>+(D.sign_Data[[#This Row],[VALOR NETO ($COP)]]+D.sign_Data[[#This Row],[NEGOCIACIÓN ($COP)]])*1%</f>
        <v>179.1978179868928</v>
      </c>
      <c r="AF1194" s="15">
        <f>+(D.sign_Data[[#This Row],[VALOR NETO ($COP)]]+D.sign_Data[[#This Row],[NEGOCIACIÓN ($COP)]])*1%</f>
        <v>179.1978179868928</v>
      </c>
      <c r="AG1194" s="3">
        <f>+D.sign_Data[[#This Row],[VALOR NETO ($COP)]]+D.sign_Data[[#This Row],[NEGOCIACIÓN ($COP)]]+D.sign_Data[[#This Row],[ICA ($COP)]]+D.sign_Data[[#This Row],[4 * 1000 ($COP)]]</f>
        <v>18278.177434663066</v>
      </c>
    </row>
    <row r="1195" spans="1:33" ht="60" hidden="1" customHeight="1" x14ac:dyDescent="0.25">
      <c r="A1195" s="14"/>
      <c r="B1195" s="87" t="s">
        <v>418</v>
      </c>
      <c r="C1195" s="182" t="s">
        <v>1079</v>
      </c>
      <c r="D1195" s="189" t="str">
        <f>VLOOKUP(D.sign_Data[[#This Row],[CÓDIGO]],Descripciones[[CÓDIGO]:[NOMBRE DE SERVICIO]],3,FALSE)</f>
        <v>D0. Proyecto</v>
      </c>
      <c r="E1195" s="87" t="s">
        <v>1046</v>
      </c>
      <c r="F1195" s="88" t="s">
        <v>1080</v>
      </c>
      <c r="G1195" s="93" t="s">
        <v>1091</v>
      </c>
      <c r="H1195" s="87" t="s">
        <v>423</v>
      </c>
      <c r="I1195" s="89">
        <v>1</v>
      </c>
      <c r="J1195" s="88" t="s">
        <v>1092</v>
      </c>
      <c r="K1195" s="102"/>
      <c r="L1195" s="88" t="s">
        <v>1093</v>
      </c>
      <c r="M1195" s="89" t="s">
        <v>381</v>
      </c>
      <c r="N1195" s="90">
        <v>0.2</v>
      </c>
      <c r="O1195" s="27">
        <f>IFERROR(+VLOOKUP(M1195,D.sign_Lista_Data[[RESPONSABLE]:[SOFTWARE 
VALOR HORA]],3,FALSE),"0")</f>
        <v>20263.424518743668</v>
      </c>
      <c r="P1195" s="3">
        <f t="shared" si="42"/>
        <v>4052.6849037487336</v>
      </c>
      <c r="Q1195" s="11">
        <f>IFERROR(+VLOOKUP(M1195,D.sign_Lista_Data[[RESPONSABLE]:[SOFTWARE 
VALOR HORA]],5,FALSE)*D.sign_Data[[#This Row],[TIEMPO (HORAS)]],0)</f>
        <v>844.30935494765276</v>
      </c>
      <c r="R1195" s="42">
        <f>IFERROR(+VLOOKUP(M1195,D.sign_Lista_Data[[RESPONSABLE]:[SOFTWARE 
VALOR HORA]],8,FALSE)*D.sign_Data[[#This Row],[TIEMPO (HORAS)]],0)</f>
        <v>682.17097742879673</v>
      </c>
      <c r="S1195" s="99">
        <v>0</v>
      </c>
      <c r="T1195" s="99">
        <v>0</v>
      </c>
      <c r="U1195" s="3">
        <f t="shared" si="43"/>
        <v>5579.1652361251827</v>
      </c>
      <c r="V1195" s="100">
        <f>D.sign_Data[[#This Row],[TIEMPO (HORAS)]]*Gastos_Operativos[[#Totals],[GASTOS HORA]]</f>
        <v>5557.8954144620802</v>
      </c>
      <c r="W1195" s="3">
        <f>+D.sign_Data[[#This Row],[COSTO 
DIRECTO ($COP)]]+D.sign_Data[[#This Row],[PRORRATEO GASTOS ($COP)]]</f>
        <v>11137.060650587264</v>
      </c>
      <c r="X1195" s="101">
        <v>0.1</v>
      </c>
      <c r="Y1195" s="15">
        <f>+D.sign_Data[[#This Row],[COSTOS OPERACIONALES ($COP)]]*D.sign_Data[[#This Row],[DESFASE (%)]]</f>
        <v>1113.7060650587264</v>
      </c>
      <c r="Z1195" s="101">
        <v>0.3</v>
      </c>
      <c r="AA1195" s="15">
        <f>+((D.sign_Data[[#This Row],[COSTOS OPERACIONALES ($COP)]]/(100%-D.sign_Data[[#This Row],[UTILIDAD (%)]])))-D.sign_Data[[#This Row],[COSTOS OPERACIONALES ($COP)]]</f>
        <v>4773.0259931088276</v>
      </c>
      <c r="AB1195" s="3">
        <f>+D.sign_Data[[#This Row],[COSTOS OPERACIONALES ($COP)]]+D.sign_Data[[#This Row],[DESFASE ($COP)]]+D.sign_Data[[#This Row],[UTILIDAD ($COP)]]</f>
        <v>17023.792708754816</v>
      </c>
      <c r="AC1195" s="101">
        <v>0.05</v>
      </c>
      <c r="AD1195" s="15">
        <f>+D.sign_Data[[#This Row],[VALOR NETO ($COP)]]/(100%-D.sign_Data[[#This Row],[MARGEN DE NEGOCIACIÓN (%)]])-D.sign_Data[[#This Row],[VALOR NETO ($COP)]]</f>
        <v>895.98908993446457</v>
      </c>
      <c r="AE1195" s="15">
        <f>+(D.sign_Data[[#This Row],[VALOR NETO ($COP)]]+D.sign_Data[[#This Row],[NEGOCIACIÓN ($COP)]])*1%</f>
        <v>179.1978179868928</v>
      </c>
      <c r="AF1195" s="15">
        <f>+(D.sign_Data[[#This Row],[VALOR NETO ($COP)]]+D.sign_Data[[#This Row],[NEGOCIACIÓN ($COP)]])*1%</f>
        <v>179.1978179868928</v>
      </c>
      <c r="AG1195" s="3">
        <f>+D.sign_Data[[#This Row],[VALOR NETO ($COP)]]+D.sign_Data[[#This Row],[NEGOCIACIÓN ($COP)]]+D.sign_Data[[#This Row],[ICA ($COP)]]+D.sign_Data[[#This Row],[4 * 1000 ($COP)]]</f>
        <v>18278.177434663066</v>
      </c>
    </row>
    <row r="1196" spans="1:33" ht="60" hidden="1" customHeight="1" x14ac:dyDescent="0.25">
      <c r="A1196" s="14"/>
      <c r="B1196" s="87" t="s">
        <v>418</v>
      </c>
      <c r="C1196" s="182" t="s">
        <v>1079</v>
      </c>
      <c r="D1196" s="189" t="str">
        <f>VLOOKUP(D.sign_Data[[#This Row],[CÓDIGO]],Descripciones[[CÓDIGO]:[NOMBRE DE SERVICIO]],3,FALSE)</f>
        <v>D0. Proyecto</v>
      </c>
      <c r="E1196" s="87" t="s">
        <v>1046</v>
      </c>
      <c r="F1196" s="88" t="s">
        <v>1080</v>
      </c>
      <c r="G1196" s="93" t="s">
        <v>1091</v>
      </c>
      <c r="H1196" s="87" t="s">
        <v>423</v>
      </c>
      <c r="I1196" s="89">
        <v>1</v>
      </c>
      <c r="J1196" s="88" t="s">
        <v>1092</v>
      </c>
      <c r="K1196" s="102"/>
      <c r="L1196" s="88" t="s">
        <v>1094</v>
      </c>
      <c r="M1196" s="89" t="s">
        <v>381</v>
      </c>
      <c r="N1196" s="90">
        <v>0.5</v>
      </c>
      <c r="O1196" s="27">
        <f>IFERROR(+VLOOKUP(M1196,D.sign_Lista_Data[[RESPONSABLE]:[SOFTWARE 
VALOR HORA]],3,FALSE),"0")</f>
        <v>20263.424518743668</v>
      </c>
      <c r="P1196" s="3">
        <f t="shared" si="42"/>
        <v>10131.712259371834</v>
      </c>
      <c r="Q1196" s="11">
        <f>IFERROR(+VLOOKUP(M1196,D.sign_Lista_Data[[RESPONSABLE]:[SOFTWARE 
VALOR HORA]],5,FALSE)*D.sign_Data[[#This Row],[TIEMPO (HORAS)]],0)</f>
        <v>2110.7733873691318</v>
      </c>
      <c r="R1196" s="42">
        <f>IFERROR(+VLOOKUP(M1196,D.sign_Lista_Data[[RESPONSABLE]:[SOFTWARE 
VALOR HORA]],8,FALSE)*D.sign_Data[[#This Row],[TIEMPO (HORAS)]],0)</f>
        <v>1705.4274435719917</v>
      </c>
      <c r="S1196" s="99">
        <v>0</v>
      </c>
      <c r="T1196" s="99">
        <v>0</v>
      </c>
      <c r="U1196" s="3">
        <f t="shared" si="43"/>
        <v>13947.913090312959</v>
      </c>
      <c r="V1196" s="100">
        <f>D.sign_Data[[#This Row],[TIEMPO (HORAS)]]*Gastos_Operativos[[#Totals],[GASTOS HORA]]</f>
        <v>13894.738536155201</v>
      </c>
      <c r="W1196" s="3">
        <f>+D.sign_Data[[#This Row],[COSTO 
DIRECTO ($COP)]]+D.sign_Data[[#This Row],[PRORRATEO GASTOS ($COP)]]</f>
        <v>27842.65162646816</v>
      </c>
      <c r="X1196" s="101">
        <v>0.1</v>
      </c>
      <c r="Y1196" s="15">
        <f>+D.sign_Data[[#This Row],[COSTOS OPERACIONALES ($COP)]]*D.sign_Data[[#This Row],[DESFASE (%)]]</f>
        <v>2784.265162646816</v>
      </c>
      <c r="Z1196" s="101">
        <v>0.3</v>
      </c>
      <c r="AA1196" s="15">
        <f>+((D.sign_Data[[#This Row],[COSTOS OPERACIONALES ($COP)]]/(100%-D.sign_Data[[#This Row],[UTILIDAD (%)]])))-D.sign_Data[[#This Row],[COSTOS OPERACIONALES ($COP)]]</f>
        <v>11932.564982772074</v>
      </c>
      <c r="AB1196" s="3">
        <f>+D.sign_Data[[#This Row],[COSTOS OPERACIONALES ($COP)]]+D.sign_Data[[#This Row],[DESFASE ($COP)]]+D.sign_Data[[#This Row],[UTILIDAD ($COP)]]</f>
        <v>42559.481771887047</v>
      </c>
      <c r="AC1196" s="101">
        <v>0.05</v>
      </c>
      <c r="AD1196" s="15">
        <f>+D.sign_Data[[#This Row],[VALOR NETO ($COP)]]/(100%-D.sign_Data[[#This Row],[MARGEN DE NEGOCIACIÓN (%)]])-D.sign_Data[[#This Row],[VALOR NETO ($COP)]]</f>
        <v>2239.9727248361596</v>
      </c>
      <c r="AE1196" s="15">
        <f>+(D.sign_Data[[#This Row],[VALOR NETO ($COP)]]+D.sign_Data[[#This Row],[NEGOCIACIÓN ($COP)]])*1%</f>
        <v>447.99454496723206</v>
      </c>
      <c r="AF1196" s="15">
        <f>+(D.sign_Data[[#This Row],[VALOR NETO ($COP)]]+D.sign_Data[[#This Row],[NEGOCIACIÓN ($COP)]])*1%</f>
        <v>447.99454496723206</v>
      </c>
      <c r="AG1196" s="3">
        <f>+D.sign_Data[[#This Row],[VALOR NETO ($COP)]]+D.sign_Data[[#This Row],[NEGOCIACIÓN ($COP)]]+D.sign_Data[[#This Row],[ICA ($COP)]]+D.sign_Data[[#This Row],[4 * 1000 ($COP)]]</f>
        <v>45695.443586657668</v>
      </c>
    </row>
    <row r="1197" spans="1:33" ht="60" hidden="1" customHeight="1" x14ac:dyDescent="0.25">
      <c r="A1197" s="14"/>
      <c r="B1197" s="87" t="s">
        <v>418</v>
      </c>
      <c r="C1197" s="182" t="s">
        <v>1079</v>
      </c>
      <c r="D1197" s="189" t="str">
        <f>VLOOKUP(D.sign_Data[[#This Row],[CÓDIGO]],Descripciones[[CÓDIGO]:[NOMBRE DE SERVICIO]],3,FALSE)</f>
        <v>D0. Proyecto</v>
      </c>
      <c r="E1197" s="87" t="s">
        <v>1046</v>
      </c>
      <c r="F1197" s="88" t="s">
        <v>1080</v>
      </c>
      <c r="G1197" s="93" t="s">
        <v>1091</v>
      </c>
      <c r="H1197" s="87" t="s">
        <v>423</v>
      </c>
      <c r="I1197" s="89">
        <v>1</v>
      </c>
      <c r="J1197" s="88" t="s">
        <v>1092</v>
      </c>
      <c r="K1197" s="102"/>
      <c r="L1197" s="88" t="s">
        <v>1095</v>
      </c>
      <c r="M1197" s="89" t="s">
        <v>381</v>
      </c>
      <c r="N1197" s="90">
        <v>1</v>
      </c>
      <c r="O1197" s="27">
        <f>IFERROR(+VLOOKUP(M1197,D.sign_Lista_Data[[RESPONSABLE]:[SOFTWARE 
VALOR HORA]],3,FALSE),"0")</f>
        <v>20263.424518743668</v>
      </c>
      <c r="P1197" s="3">
        <f t="shared" si="42"/>
        <v>20263.424518743668</v>
      </c>
      <c r="Q1197" s="11">
        <f>IFERROR(+VLOOKUP(M1197,D.sign_Lista_Data[[RESPONSABLE]:[SOFTWARE 
VALOR HORA]],5,FALSE)*D.sign_Data[[#This Row],[TIEMPO (HORAS)]],0)</f>
        <v>4221.5467747382636</v>
      </c>
      <c r="R1197" s="42">
        <f>IFERROR(+VLOOKUP(M1197,D.sign_Lista_Data[[RESPONSABLE]:[SOFTWARE 
VALOR HORA]],8,FALSE)*D.sign_Data[[#This Row],[TIEMPO (HORAS)]],0)</f>
        <v>3410.8548871439834</v>
      </c>
      <c r="S1197" s="99">
        <v>0</v>
      </c>
      <c r="T1197" s="99">
        <v>0</v>
      </c>
      <c r="U1197" s="3">
        <f t="shared" si="43"/>
        <v>27895.826180625918</v>
      </c>
      <c r="V1197" s="100">
        <f>D.sign_Data[[#This Row],[TIEMPO (HORAS)]]*Gastos_Operativos[[#Totals],[GASTOS HORA]]</f>
        <v>27789.477072310401</v>
      </c>
      <c r="W1197" s="3">
        <f>+D.sign_Data[[#This Row],[COSTO 
DIRECTO ($COP)]]+D.sign_Data[[#This Row],[PRORRATEO GASTOS ($COP)]]</f>
        <v>55685.303252936319</v>
      </c>
      <c r="X1197" s="101">
        <v>0.1</v>
      </c>
      <c r="Y1197" s="15">
        <f>+D.sign_Data[[#This Row],[COSTOS OPERACIONALES ($COP)]]*D.sign_Data[[#This Row],[DESFASE (%)]]</f>
        <v>5568.5303252936319</v>
      </c>
      <c r="Z1197" s="101">
        <v>0.3</v>
      </c>
      <c r="AA1197" s="15">
        <f>+((D.sign_Data[[#This Row],[COSTOS OPERACIONALES ($COP)]]/(100%-D.sign_Data[[#This Row],[UTILIDAD (%)]])))-D.sign_Data[[#This Row],[COSTOS OPERACIONALES ($COP)]]</f>
        <v>23865.129965544147</v>
      </c>
      <c r="AB1197" s="3">
        <f>+D.sign_Data[[#This Row],[COSTOS OPERACIONALES ($COP)]]+D.sign_Data[[#This Row],[DESFASE ($COP)]]+D.sign_Data[[#This Row],[UTILIDAD ($COP)]]</f>
        <v>85118.963543774094</v>
      </c>
      <c r="AC1197" s="101">
        <v>0.05</v>
      </c>
      <c r="AD1197" s="15">
        <f>+D.sign_Data[[#This Row],[VALOR NETO ($COP)]]/(100%-D.sign_Data[[#This Row],[MARGEN DE NEGOCIACIÓN (%)]])-D.sign_Data[[#This Row],[VALOR NETO ($COP)]]</f>
        <v>4479.9454496723192</v>
      </c>
      <c r="AE1197" s="15">
        <f>+(D.sign_Data[[#This Row],[VALOR NETO ($COP)]]+D.sign_Data[[#This Row],[NEGOCIACIÓN ($COP)]])*1%</f>
        <v>895.98908993446412</v>
      </c>
      <c r="AF1197" s="15">
        <f>+(D.sign_Data[[#This Row],[VALOR NETO ($COP)]]+D.sign_Data[[#This Row],[NEGOCIACIÓN ($COP)]])*1%</f>
        <v>895.98908993446412</v>
      </c>
      <c r="AG1197" s="3">
        <f>+D.sign_Data[[#This Row],[VALOR NETO ($COP)]]+D.sign_Data[[#This Row],[NEGOCIACIÓN ($COP)]]+D.sign_Data[[#This Row],[ICA ($COP)]]+D.sign_Data[[#This Row],[4 * 1000 ($COP)]]</f>
        <v>91390.887173315336</v>
      </c>
    </row>
    <row r="1198" spans="1:33" ht="60" hidden="1" customHeight="1" x14ac:dyDescent="0.25">
      <c r="A1198" s="14"/>
      <c r="B1198" s="87" t="s">
        <v>418</v>
      </c>
      <c r="C1198" s="182" t="s">
        <v>1079</v>
      </c>
      <c r="D1198" s="189" t="str">
        <f>VLOOKUP(D.sign_Data[[#This Row],[CÓDIGO]],Descripciones[[CÓDIGO]:[NOMBRE DE SERVICIO]],3,FALSE)</f>
        <v>D0. Proyecto</v>
      </c>
      <c r="E1198" s="87" t="s">
        <v>1046</v>
      </c>
      <c r="F1198" s="88" t="s">
        <v>1080</v>
      </c>
      <c r="G1198" s="93" t="s">
        <v>1091</v>
      </c>
      <c r="H1198" s="87" t="s">
        <v>423</v>
      </c>
      <c r="I1198" s="89">
        <v>1</v>
      </c>
      <c r="J1198" s="88" t="s">
        <v>1092</v>
      </c>
      <c r="K1198" s="102"/>
      <c r="L1198" s="88" t="s">
        <v>1096</v>
      </c>
      <c r="M1198" s="89" t="s">
        <v>381</v>
      </c>
      <c r="N1198" s="90">
        <v>0.2</v>
      </c>
      <c r="O1198" s="27">
        <f>IFERROR(+VLOOKUP(M1198,D.sign_Lista_Data[[RESPONSABLE]:[SOFTWARE 
VALOR HORA]],3,FALSE),"0")</f>
        <v>20263.424518743668</v>
      </c>
      <c r="P1198" s="3">
        <f t="shared" ref="P1198:P1274" si="44">+O1198*N1198</f>
        <v>4052.6849037487336</v>
      </c>
      <c r="Q1198" s="11">
        <f>IFERROR(+VLOOKUP(M1198,D.sign_Lista_Data[[RESPONSABLE]:[SOFTWARE 
VALOR HORA]],5,FALSE)*D.sign_Data[[#This Row],[TIEMPO (HORAS)]],0)</f>
        <v>844.30935494765276</v>
      </c>
      <c r="R1198" s="42">
        <f>IFERROR(+VLOOKUP(M1198,D.sign_Lista_Data[[RESPONSABLE]:[SOFTWARE 
VALOR HORA]],8,FALSE)*D.sign_Data[[#This Row],[TIEMPO (HORAS)]],0)</f>
        <v>682.17097742879673</v>
      </c>
      <c r="S1198" s="99">
        <v>0</v>
      </c>
      <c r="T1198" s="99">
        <v>0</v>
      </c>
      <c r="U1198" s="3">
        <f t="shared" ref="U1198:U1274" si="45">SUM(P1198:T1198)</f>
        <v>5579.1652361251827</v>
      </c>
      <c r="V1198" s="100">
        <f>D.sign_Data[[#This Row],[TIEMPO (HORAS)]]*Gastos_Operativos[[#Totals],[GASTOS HORA]]</f>
        <v>5557.8954144620802</v>
      </c>
      <c r="W1198" s="3">
        <f>+D.sign_Data[[#This Row],[COSTO 
DIRECTO ($COP)]]+D.sign_Data[[#This Row],[PRORRATEO GASTOS ($COP)]]</f>
        <v>11137.060650587264</v>
      </c>
      <c r="X1198" s="101">
        <v>0.1</v>
      </c>
      <c r="Y1198" s="15">
        <f>+D.sign_Data[[#This Row],[COSTOS OPERACIONALES ($COP)]]*D.sign_Data[[#This Row],[DESFASE (%)]]</f>
        <v>1113.7060650587264</v>
      </c>
      <c r="Z1198" s="101">
        <v>0.3</v>
      </c>
      <c r="AA1198" s="15">
        <f>+((D.sign_Data[[#This Row],[COSTOS OPERACIONALES ($COP)]]/(100%-D.sign_Data[[#This Row],[UTILIDAD (%)]])))-D.sign_Data[[#This Row],[COSTOS OPERACIONALES ($COP)]]</f>
        <v>4773.0259931088276</v>
      </c>
      <c r="AB1198" s="3">
        <f>+D.sign_Data[[#This Row],[COSTOS OPERACIONALES ($COP)]]+D.sign_Data[[#This Row],[DESFASE ($COP)]]+D.sign_Data[[#This Row],[UTILIDAD ($COP)]]</f>
        <v>17023.792708754816</v>
      </c>
      <c r="AC1198" s="101">
        <v>0.05</v>
      </c>
      <c r="AD1198" s="15">
        <f>+D.sign_Data[[#This Row],[VALOR NETO ($COP)]]/(100%-D.sign_Data[[#This Row],[MARGEN DE NEGOCIACIÓN (%)]])-D.sign_Data[[#This Row],[VALOR NETO ($COP)]]</f>
        <v>895.98908993446457</v>
      </c>
      <c r="AE1198" s="15">
        <f>+(D.sign_Data[[#This Row],[VALOR NETO ($COP)]]+D.sign_Data[[#This Row],[NEGOCIACIÓN ($COP)]])*1%</f>
        <v>179.1978179868928</v>
      </c>
      <c r="AF1198" s="15">
        <f>+(D.sign_Data[[#This Row],[VALOR NETO ($COP)]]+D.sign_Data[[#This Row],[NEGOCIACIÓN ($COP)]])*1%</f>
        <v>179.1978179868928</v>
      </c>
      <c r="AG1198" s="3">
        <f>+D.sign_Data[[#This Row],[VALOR NETO ($COP)]]+D.sign_Data[[#This Row],[NEGOCIACIÓN ($COP)]]+D.sign_Data[[#This Row],[ICA ($COP)]]+D.sign_Data[[#This Row],[4 * 1000 ($COP)]]</f>
        <v>18278.177434663066</v>
      </c>
    </row>
    <row r="1199" spans="1:33" ht="60" hidden="1" customHeight="1" x14ac:dyDescent="0.25">
      <c r="A1199" s="14"/>
      <c r="B1199" s="87" t="s">
        <v>418</v>
      </c>
      <c r="C1199" s="182" t="s">
        <v>1079</v>
      </c>
      <c r="D1199" s="189" t="str">
        <f>VLOOKUP(D.sign_Data[[#This Row],[CÓDIGO]],Descripciones[[CÓDIGO]:[NOMBRE DE SERVICIO]],3,FALSE)</f>
        <v>D0. Proyecto</v>
      </c>
      <c r="E1199" s="87" t="s">
        <v>1046</v>
      </c>
      <c r="F1199" s="88" t="s">
        <v>1080</v>
      </c>
      <c r="G1199" s="93" t="s">
        <v>1091</v>
      </c>
      <c r="H1199" s="87" t="s">
        <v>423</v>
      </c>
      <c r="I1199" s="89">
        <v>1</v>
      </c>
      <c r="J1199" s="88" t="s">
        <v>1092</v>
      </c>
      <c r="K1199" s="102"/>
      <c r="L1199" s="88" t="s">
        <v>1097</v>
      </c>
      <c r="M1199" s="89" t="s">
        <v>381</v>
      </c>
      <c r="N1199" s="90">
        <v>0.5</v>
      </c>
      <c r="O1199" s="27">
        <f>IFERROR(+VLOOKUP(M1199,D.sign_Lista_Data[[RESPONSABLE]:[SOFTWARE 
VALOR HORA]],3,FALSE),"0")</f>
        <v>20263.424518743668</v>
      </c>
      <c r="P1199" s="3">
        <f t="shared" si="44"/>
        <v>10131.712259371834</v>
      </c>
      <c r="Q1199" s="11">
        <f>IFERROR(+VLOOKUP(M1199,D.sign_Lista_Data[[RESPONSABLE]:[SOFTWARE 
VALOR HORA]],5,FALSE)*D.sign_Data[[#This Row],[TIEMPO (HORAS)]],0)</f>
        <v>2110.7733873691318</v>
      </c>
      <c r="R1199" s="42">
        <f>IFERROR(+VLOOKUP(M1199,D.sign_Lista_Data[[RESPONSABLE]:[SOFTWARE 
VALOR HORA]],8,FALSE)*D.sign_Data[[#This Row],[TIEMPO (HORAS)]],0)</f>
        <v>1705.4274435719917</v>
      </c>
      <c r="S1199" s="99">
        <v>0</v>
      </c>
      <c r="T1199" s="99">
        <v>0</v>
      </c>
      <c r="U1199" s="3">
        <f t="shared" si="45"/>
        <v>13947.913090312959</v>
      </c>
      <c r="V1199" s="100">
        <f>D.sign_Data[[#This Row],[TIEMPO (HORAS)]]*Gastos_Operativos[[#Totals],[GASTOS HORA]]</f>
        <v>13894.738536155201</v>
      </c>
      <c r="W1199" s="3">
        <f>+D.sign_Data[[#This Row],[COSTO 
DIRECTO ($COP)]]+D.sign_Data[[#This Row],[PRORRATEO GASTOS ($COP)]]</f>
        <v>27842.65162646816</v>
      </c>
      <c r="X1199" s="101">
        <v>0.1</v>
      </c>
      <c r="Y1199" s="15">
        <f>+D.sign_Data[[#This Row],[COSTOS OPERACIONALES ($COP)]]*D.sign_Data[[#This Row],[DESFASE (%)]]</f>
        <v>2784.265162646816</v>
      </c>
      <c r="Z1199" s="101">
        <v>0.3</v>
      </c>
      <c r="AA1199" s="15">
        <f>+((D.sign_Data[[#This Row],[COSTOS OPERACIONALES ($COP)]]/(100%-D.sign_Data[[#This Row],[UTILIDAD (%)]])))-D.sign_Data[[#This Row],[COSTOS OPERACIONALES ($COP)]]</f>
        <v>11932.564982772074</v>
      </c>
      <c r="AB1199" s="3">
        <f>+D.sign_Data[[#This Row],[COSTOS OPERACIONALES ($COP)]]+D.sign_Data[[#This Row],[DESFASE ($COP)]]+D.sign_Data[[#This Row],[UTILIDAD ($COP)]]</f>
        <v>42559.481771887047</v>
      </c>
      <c r="AC1199" s="101">
        <v>0.05</v>
      </c>
      <c r="AD1199" s="15">
        <f>+D.sign_Data[[#This Row],[VALOR NETO ($COP)]]/(100%-D.sign_Data[[#This Row],[MARGEN DE NEGOCIACIÓN (%)]])-D.sign_Data[[#This Row],[VALOR NETO ($COP)]]</f>
        <v>2239.9727248361596</v>
      </c>
      <c r="AE1199" s="15">
        <f>+(D.sign_Data[[#This Row],[VALOR NETO ($COP)]]+D.sign_Data[[#This Row],[NEGOCIACIÓN ($COP)]])*1%</f>
        <v>447.99454496723206</v>
      </c>
      <c r="AF1199" s="15">
        <f>+(D.sign_Data[[#This Row],[VALOR NETO ($COP)]]+D.sign_Data[[#This Row],[NEGOCIACIÓN ($COP)]])*1%</f>
        <v>447.99454496723206</v>
      </c>
      <c r="AG1199" s="3">
        <f>+D.sign_Data[[#This Row],[VALOR NETO ($COP)]]+D.sign_Data[[#This Row],[NEGOCIACIÓN ($COP)]]+D.sign_Data[[#This Row],[ICA ($COP)]]+D.sign_Data[[#This Row],[4 * 1000 ($COP)]]</f>
        <v>45695.443586657668</v>
      </c>
    </row>
    <row r="1200" spans="1:33" ht="60" hidden="1" customHeight="1" x14ac:dyDescent="0.25">
      <c r="A1200" s="14"/>
      <c r="B1200" s="87" t="s">
        <v>418</v>
      </c>
      <c r="C1200" s="182" t="s">
        <v>1079</v>
      </c>
      <c r="D1200" s="189" t="str">
        <f>VLOOKUP(D.sign_Data[[#This Row],[CÓDIGO]],Descripciones[[CÓDIGO]:[NOMBRE DE SERVICIO]],3,FALSE)</f>
        <v>D0. Proyecto</v>
      </c>
      <c r="E1200" s="87" t="s">
        <v>1046</v>
      </c>
      <c r="F1200" s="88" t="s">
        <v>1080</v>
      </c>
      <c r="G1200" s="93" t="s">
        <v>1091</v>
      </c>
      <c r="H1200" s="87" t="s">
        <v>423</v>
      </c>
      <c r="I1200" s="89">
        <v>1</v>
      </c>
      <c r="J1200" s="88" t="s">
        <v>1092</v>
      </c>
      <c r="K1200" s="102"/>
      <c r="L1200" s="88" t="s">
        <v>1098</v>
      </c>
      <c r="M1200" s="89" t="s">
        <v>381</v>
      </c>
      <c r="N1200" s="90">
        <v>0.1</v>
      </c>
      <c r="O1200" s="27">
        <f>IFERROR(+VLOOKUP(M1200,D.sign_Lista_Data[[RESPONSABLE]:[SOFTWARE 
VALOR HORA]],3,FALSE),"0")</f>
        <v>20263.424518743668</v>
      </c>
      <c r="P1200" s="3">
        <f t="shared" si="44"/>
        <v>2026.3424518743668</v>
      </c>
      <c r="Q1200" s="11">
        <f>IFERROR(+VLOOKUP(M1200,D.sign_Lista_Data[[RESPONSABLE]:[SOFTWARE 
VALOR HORA]],5,FALSE)*D.sign_Data[[#This Row],[TIEMPO (HORAS)]],0)</f>
        <v>422.15467747382638</v>
      </c>
      <c r="R1200" s="42">
        <f>IFERROR(+VLOOKUP(M1200,D.sign_Lista_Data[[RESPONSABLE]:[SOFTWARE 
VALOR HORA]],8,FALSE)*D.sign_Data[[#This Row],[TIEMPO (HORAS)]],0)</f>
        <v>341.08548871439837</v>
      </c>
      <c r="S1200" s="99">
        <v>0</v>
      </c>
      <c r="T1200" s="99">
        <v>0</v>
      </c>
      <c r="U1200" s="3">
        <f t="shared" si="45"/>
        <v>2789.5826180625913</v>
      </c>
      <c r="V1200" s="100">
        <f>D.sign_Data[[#This Row],[TIEMPO (HORAS)]]*Gastos_Operativos[[#Totals],[GASTOS HORA]]</f>
        <v>2778.9477072310401</v>
      </c>
      <c r="W1200" s="3">
        <f>+D.sign_Data[[#This Row],[COSTO 
DIRECTO ($COP)]]+D.sign_Data[[#This Row],[PRORRATEO GASTOS ($COP)]]</f>
        <v>5568.5303252936319</v>
      </c>
      <c r="X1200" s="101">
        <v>0.1</v>
      </c>
      <c r="Y1200" s="15">
        <f>+D.sign_Data[[#This Row],[COSTOS OPERACIONALES ($COP)]]*D.sign_Data[[#This Row],[DESFASE (%)]]</f>
        <v>556.85303252936319</v>
      </c>
      <c r="Z1200" s="101">
        <v>0.3</v>
      </c>
      <c r="AA1200" s="15">
        <f>+((D.sign_Data[[#This Row],[COSTOS OPERACIONALES ($COP)]]/(100%-D.sign_Data[[#This Row],[UTILIDAD (%)]])))-D.sign_Data[[#This Row],[COSTOS OPERACIONALES ($COP)]]</f>
        <v>2386.5129965544138</v>
      </c>
      <c r="AB1200" s="3">
        <f>+D.sign_Data[[#This Row],[COSTOS OPERACIONALES ($COP)]]+D.sign_Data[[#This Row],[DESFASE ($COP)]]+D.sign_Data[[#This Row],[UTILIDAD ($COP)]]</f>
        <v>8511.896354377408</v>
      </c>
      <c r="AC1200" s="101">
        <v>0.05</v>
      </c>
      <c r="AD1200" s="15">
        <f>+D.sign_Data[[#This Row],[VALOR NETO ($COP)]]/(100%-D.sign_Data[[#This Row],[MARGEN DE NEGOCIACIÓN (%)]])-D.sign_Data[[#This Row],[VALOR NETO ($COP)]]</f>
        <v>447.99454496723229</v>
      </c>
      <c r="AE1200" s="15">
        <f>+(D.sign_Data[[#This Row],[VALOR NETO ($COP)]]+D.sign_Data[[#This Row],[NEGOCIACIÓN ($COP)]])*1%</f>
        <v>89.5989089934464</v>
      </c>
      <c r="AF1200" s="15">
        <f>+(D.sign_Data[[#This Row],[VALOR NETO ($COP)]]+D.sign_Data[[#This Row],[NEGOCIACIÓN ($COP)]])*1%</f>
        <v>89.5989089934464</v>
      </c>
      <c r="AG1200" s="3">
        <f>+D.sign_Data[[#This Row],[VALOR NETO ($COP)]]+D.sign_Data[[#This Row],[NEGOCIACIÓN ($COP)]]+D.sign_Data[[#This Row],[ICA ($COP)]]+D.sign_Data[[#This Row],[4 * 1000 ($COP)]]</f>
        <v>9139.0887173315332</v>
      </c>
    </row>
    <row r="1201" spans="1:33" ht="60" hidden="1" customHeight="1" x14ac:dyDescent="0.25">
      <c r="A1201" s="14"/>
      <c r="B1201" s="87" t="s">
        <v>418</v>
      </c>
      <c r="C1201" s="182" t="s">
        <v>1079</v>
      </c>
      <c r="D1201" s="189" t="str">
        <f>VLOOKUP(D.sign_Data[[#This Row],[CÓDIGO]],Descripciones[[CÓDIGO]:[NOMBRE DE SERVICIO]],3,FALSE)</f>
        <v>D0. Proyecto</v>
      </c>
      <c r="E1201" s="87" t="s">
        <v>1046</v>
      </c>
      <c r="F1201" s="88" t="s">
        <v>1080</v>
      </c>
      <c r="G1201" s="93" t="s">
        <v>1091</v>
      </c>
      <c r="H1201" s="87" t="s">
        <v>423</v>
      </c>
      <c r="I1201" s="89">
        <v>1</v>
      </c>
      <c r="J1201" s="88" t="s">
        <v>1092</v>
      </c>
      <c r="K1201" s="102"/>
      <c r="L1201" s="88" t="s">
        <v>1099</v>
      </c>
      <c r="M1201" s="89" t="s">
        <v>381</v>
      </c>
      <c r="N1201" s="90">
        <v>1</v>
      </c>
      <c r="O1201" s="27">
        <f>IFERROR(+VLOOKUP(M1201,D.sign_Lista_Data[[RESPONSABLE]:[SOFTWARE 
VALOR HORA]],3,FALSE),"0")</f>
        <v>20263.424518743668</v>
      </c>
      <c r="P1201" s="3">
        <f t="shared" si="44"/>
        <v>20263.424518743668</v>
      </c>
      <c r="Q1201" s="11">
        <f>IFERROR(+VLOOKUP(M1201,D.sign_Lista_Data[[RESPONSABLE]:[SOFTWARE 
VALOR HORA]],5,FALSE)*D.sign_Data[[#This Row],[TIEMPO (HORAS)]],0)</f>
        <v>4221.5467747382636</v>
      </c>
      <c r="R1201" s="42">
        <f>IFERROR(+VLOOKUP(M1201,D.sign_Lista_Data[[RESPONSABLE]:[SOFTWARE 
VALOR HORA]],8,FALSE)*D.sign_Data[[#This Row],[TIEMPO (HORAS)]],0)</f>
        <v>3410.8548871439834</v>
      </c>
      <c r="S1201" s="99">
        <v>0</v>
      </c>
      <c r="T1201" s="99">
        <v>0</v>
      </c>
      <c r="U1201" s="3">
        <f t="shared" si="45"/>
        <v>27895.826180625918</v>
      </c>
      <c r="V1201" s="100">
        <f>D.sign_Data[[#This Row],[TIEMPO (HORAS)]]*Gastos_Operativos[[#Totals],[GASTOS HORA]]</f>
        <v>27789.477072310401</v>
      </c>
      <c r="W1201" s="3">
        <f>+D.sign_Data[[#This Row],[COSTO 
DIRECTO ($COP)]]+D.sign_Data[[#This Row],[PRORRATEO GASTOS ($COP)]]</f>
        <v>55685.303252936319</v>
      </c>
      <c r="X1201" s="101">
        <v>0.1</v>
      </c>
      <c r="Y1201" s="15">
        <f>+D.sign_Data[[#This Row],[COSTOS OPERACIONALES ($COP)]]*D.sign_Data[[#This Row],[DESFASE (%)]]</f>
        <v>5568.5303252936319</v>
      </c>
      <c r="Z1201" s="101">
        <v>0.3</v>
      </c>
      <c r="AA1201" s="15">
        <f>+((D.sign_Data[[#This Row],[COSTOS OPERACIONALES ($COP)]]/(100%-D.sign_Data[[#This Row],[UTILIDAD (%)]])))-D.sign_Data[[#This Row],[COSTOS OPERACIONALES ($COP)]]</f>
        <v>23865.129965544147</v>
      </c>
      <c r="AB1201" s="3">
        <f>+D.sign_Data[[#This Row],[COSTOS OPERACIONALES ($COP)]]+D.sign_Data[[#This Row],[DESFASE ($COP)]]+D.sign_Data[[#This Row],[UTILIDAD ($COP)]]</f>
        <v>85118.963543774094</v>
      </c>
      <c r="AC1201" s="101">
        <v>0.05</v>
      </c>
      <c r="AD1201" s="15">
        <f>+D.sign_Data[[#This Row],[VALOR NETO ($COP)]]/(100%-D.sign_Data[[#This Row],[MARGEN DE NEGOCIACIÓN (%)]])-D.sign_Data[[#This Row],[VALOR NETO ($COP)]]</f>
        <v>4479.9454496723192</v>
      </c>
      <c r="AE1201" s="15">
        <f>+(D.sign_Data[[#This Row],[VALOR NETO ($COP)]]+D.sign_Data[[#This Row],[NEGOCIACIÓN ($COP)]])*1%</f>
        <v>895.98908993446412</v>
      </c>
      <c r="AF1201" s="15">
        <f>+(D.sign_Data[[#This Row],[VALOR NETO ($COP)]]+D.sign_Data[[#This Row],[NEGOCIACIÓN ($COP)]])*1%</f>
        <v>895.98908993446412</v>
      </c>
      <c r="AG1201" s="3">
        <f>+D.sign_Data[[#This Row],[VALOR NETO ($COP)]]+D.sign_Data[[#This Row],[NEGOCIACIÓN ($COP)]]+D.sign_Data[[#This Row],[ICA ($COP)]]+D.sign_Data[[#This Row],[4 * 1000 ($COP)]]</f>
        <v>91390.887173315336</v>
      </c>
    </row>
    <row r="1202" spans="1:33" ht="60" hidden="1" customHeight="1" x14ac:dyDescent="0.25">
      <c r="A1202" s="14"/>
      <c r="B1202" s="87" t="s">
        <v>418</v>
      </c>
      <c r="C1202" s="182" t="s">
        <v>1079</v>
      </c>
      <c r="D1202" s="189" t="str">
        <f>VLOOKUP(D.sign_Data[[#This Row],[CÓDIGO]],Descripciones[[CÓDIGO]:[NOMBRE DE SERVICIO]],3,FALSE)</f>
        <v>D0. Proyecto</v>
      </c>
      <c r="E1202" s="87" t="s">
        <v>1046</v>
      </c>
      <c r="F1202" s="88" t="s">
        <v>1080</v>
      </c>
      <c r="G1202" s="93" t="s">
        <v>1091</v>
      </c>
      <c r="H1202" s="87" t="s">
        <v>423</v>
      </c>
      <c r="I1202" s="89">
        <v>1</v>
      </c>
      <c r="J1202" s="88" t="s">
        <v>1092</v>
      </c>
      <c r="K1202" s="102"/>
      <c r="L1202" s="88" t="s">
        <v>1100</v>
      </c>
      <c r="M1202" s="89" t="s">
        <v>381</v>
      </c>
      <c r="N1202" s="90">
        <v>0.1</v>
      </c>
      <c r="O1202" s="27">
        <f>IFERROR(+VLOOKUP(M1202,D.sign_Lista_Data[[RESPONSABLE]:[SOFTWARE 
VALOR HORA]],3,FALSE),"0")</f>
        <v>20263.424518743668</v>
      </c>
      <c r="P1202" s="3">
        <f t="shared" si="44"/>
        <v>2026.3424518743668</v>
      </c>
      <c r="Q1202" s="11">
        <f>IFERROR(+VLOOKUP(M1202,D.sign_Lista_Data[[RESPONSABLE]:[SOFTWARE 
VALOR HORA]],5,FALSE)*D.sign_Data[[#This Row],[TIEMPO (HORAS)]],0)</f>
        <v>422.15467747382638</v>
      </c>
      <c r="R1202" s="42">
        <f>IFERROR(+VLOOKUP(M1202,D.sign_Lista_Data[[RESPONSABLE]:[SOFTWARE 
VALOR HORA]],8,FALSE)*D.sign_Data[[#This Row],[TIEMPO (HORAS)]],0)</f>
        <v>341.08548871439837</v>
      </c>
      <c r="S1202" s="99">
        <v>0</v>
      </c>
      <c r="T1202" s="99">
        <v>0</v>
      </c>
      <c r="U1202" s="3">
        <f t="shared" si="45"/>
        <v>2789.5826180625913</v>
      </c>
      <c r="V1202" s="100">
        <f>D.sign_Data[[#This Row],[TIEMPO (HORAS)]]*Gastos_Operativos[[#Totals],[GASTOS HORA]]</f>
        <v>2778.9477072310401</v>
      </c>
      <c r="W1202" s="3">
        <f>+D.sign_Data[[#This Row],[COSTO 
DIRECTO ($COP)]]+D.sign_Data[[#This Row],[PRORRATEO GASTOS ($COP)]]</f>
        <v>5568.5303252936319</v>
      </c>
      <c r="X1202" s="101">
        <v>0.1</v>
      </c>
      <c r="Y1202" s="15">
        <f>+D.sign_Data[[#This Row],[COSTOS OPERACIONALES ($COP)]]*D.sign_Data[[#This Row],[DESFASE (%)]]</f>
        <v>556.85303252936319</v>
      </c>
      <c r="Z1202" s="101">
        <v>0.3</v>
      </c>
      <c r="AA1202" s="15">
        <f>+((D.sign_Data[[#This Row],[COSTOS OPERACIONALES ($COP)]]/(100%-D.sign_Data[[#This Row],[UTILIDAD (%)]])))-D.sign_Data[[#This Row],[COSTOS OPERACIONALES ($COP)]]</f>
        <v>2386.5129965544138</v>
      </c>
      <c r="AB1202" s="3">
        <f>+D.sign_Data[[#This Row],[COSTOS OPERACIONALES ($COP)]]+D.sign_Data[[#This Row],[DESFASE ($COP)]]+D.sign_Data[[#This Row],[UTILIDAD ($COP)]]</f>
        <v>8511.896354377408</v>
      </c>
      <c r="AC1202" s="101">
        <v>0.05</v>
      </c>
      <c r="AD1202" s="15">
        <f>+D.sign_Data[[#This Row],[VALOR NETO ($COP)]]/(100%-D.sign_Data[[#This Row],[MARGEN DE NEGOCIACIÓN (%)]])-D.sign_Data[[#This Row],[VALOR NETO ($COP)]]</f>
        <v>447.99454496723229</v>
      </c>
      <c r="AE1202" s="15">
        <f>+(D.sign_Data[[#This Row],[VALOR NETO ($COP)]]+D.sign_Data[[#This Row],[NEGOCIACIÓN ($COP)]])*1%</f>
        <v>89.5989089934464</v>
      </c>
      <c r="AF1202" s="15">
        <f>+(D.sign_Data[[#This Row],[VALOR NETO ($COP)]]+D.sign_Data[[#This Row],[NEGOCIACIÓN ($COP)]])*1%</f>
        <v>89.5989089934464</v>
      </c>
      <c r="AG1202" s="3">
        <f>+D.sign_Data[[#This Row],[VALOR NETO ($COP)]]+D.sign_Data[[#This Row],[NEGOCIACIÓN ($COP)]]+D.sign_Data[[#This Row],[ICA ($COP)]]+D.sign_Data[[#This Row],[4 * 1000 ($COP)]]</f>
        <v>9139.0887173315332</v>
      </c>
    </row>
    <row r="1203" spans="1:33" ht="60" hidden="1" customHeight="1" x14ac:dyDescent="0.25">
      <c r="A1203" s="14"/>
      <c r="B1203" s="87" t="s">
        <v>418</v>
      </c>
      <c r="C1203" s="182" t="s">
        <v>1079</v>
      </c>
      <c r="D1203" s="189" t="str">
        <f>VLOOKUP(D.sign_Data[[#This Row],[CÓDIGO]],Descripciones[[CÓDIGO]:[NOMBRE DE SERVICIO]],3,FALSE)</f>
        <v>D0. Proyecto</v>
      </c>
      <c r="E1203" s="87" t="s">
        <v>1046</v>
      </c>
      <c r="F1203" s="88" t="s">
        <v>1080</v>
      </c>
      <c r="G1203" s="93" t="s">
        <v>1091</v>
      </c>
      <c r="H1203" s="87" t="s">
        <v>423</v>
      </c>
      <c r="I1203" s="89">
        <v>1</v>
      </c>
      <c r="J1203" s="88" t="s">
        <v>1092</v>
      </c>
      <c r="K1203" s="102"/>
      <c r="L1203" s="88" t="s">
        <v>1101</v>
      </c>
      <c r="M1203" s="89" t="s">
        <v>381</v>
      </c>
      <c r="N1203" s="90">
        <v>2</v>
      </c>
      <c r="O1203" s="27">
        <f>IFERROR(+VLOOKUP(M1203,D.sign_Lista_Data[[RESPONSABLE]:[SOFTWARE 
VALOR HORA]],3,FALSE),"0")</f>
        <v>20263.424518743668</v>
      </c>
      <c r="P1203" s="3">
        <f t="shared" si="44"/>
        <v>40526.849037487336</v>
      </c>
      <c r="Q1203" s="11">
        <f>IFERROR(+VLOOKUP(M1203,D.sign_Lista_Data[[RESPONSABLE]:[SOFTWARE 
VALOR HORA]],5,FALSE)*D.sign_Data[[#This Row],[TIEMPO (HORAS)]],0)</f>
        <v>8443.0935494765272</v>
      </c>
      <c r="R1203" s="42">
        <f>IFERROR(+VLOOKUP(M1203,D.sign_Lista_Data[[RESPONSABLE]:[SOFTWARE 
VALOR HORA]],8,FALSE)*D.sign_Data[[#This Row],[TIEMPO (HORAS)]],0)</f>
        <v>6821.7097742879669</v>
      </c>
      <c r="S1203" s="99">
        <v>0</v>
      </c>
      <c r="T1203" s="99">
        <v>0</v>
      </c>
      <c r="U1203" s="3">
        <f t="shared" si="45"/>
        <v>55791.652361251836</v>
      </c>
      <c r="V1203" s="100">
        <f>D.sign_Data[[#This Row],[TIEMPO (HORAS)]]*Gastos_Operativos[[#Totals],[GASTOS HORA]]</f>
        <v>55578.954144620802</v>
      </c>
      <c r="W1203" s="3">
        <f>+D.sign_Data[[#This Row],[COSTO 
DIRECTO ($COP)]]+D.sign_Data[[#This Row],[PRORRATEO GASTOS ($COP)]]</f>
        <v>111370.60650587264</v>
      </c>
      <c r="X1203" s="101">
        <v>0.1</v>
      </c>
      <c r="Y1203" s="15">
        <f>+D.sign_Data[[#This Row],[COSTOS OPERACIONALES ($COP)]]*D.sign_Data[[#This Row],[DESFASE (%)]]</f>
        <v>11137.060650587264</v>
      </c>
      <c r="Z1203" s="101">
        <v>0.3</v>
      </c>
      <c r="AA1203" s="15">
        <f>+((D.sign_Data[[#This Row],[COSTOS OPERACIONALES ($COP)]]/(100%-D.sign_Data[[#This Row],[UTILIDAD (%)]])))-D.sign_Data[[#This Row],[COSTOS OPERACIONALES ($COP)]]</f>
        <v>47730.259931088294</v>
      </c>
      <c r="AB1203" s="3">
        <f>+D.sign_Data[[#This Row],[COSTOS OPERACIONALES ($COP)]]+D.sign_Data[[#This Row],[DESFASE ($COP)]]+D.sign_Data[[#This Row],[UTILIDAD ($COP)]]</f>
        <v>170237.92708754819</v>
      </c>
      <c r="AC1203" s="101">
        <v>0.05</v>
      </c>
      <c r="AD1203" s="15">
        <f>+D.sign_Data[[#This Row],[VALOR NETO ($COP)]]/(100%-D.sign_Data[[#This Row],[MARGEN DE NEGOCIACIÓN (%)]])-D.sign_Data[[#This Row],[VALOR NETO ($COP)]]</f>
        <v>8959.8908993446385</v>
      </c>
      <c r="AE1203" s="15">
        <f>+(D.sign_Data[[#This Row],[VALOR NETO ($COP)]]+D.sign_Data[[#This Row],[NEGOCIACIÓN ($COP)]])*1%</f>
        <v>1791.9781798689282</v>
      </c>
      <c r="AF1203" s="15">
        <f>+(D.sign_Data[[#This Row],[VALOR NETO ($COP)]]+D.sign_Data[[#This Row],[NEGOCIACIÓN ($COP)]])*1%</f>
        <v>1791.9781798689282</v>
      </c>
      <c r="AG1203" s="3">
        <f>+D.sign_Data[[#This Row],[VALOR NETO ($COP)]]+D.sign_Data[[#This Row],[NEGOCIACIÓN ($COP)]]+D.sign_Data[[#This Row],[ICA ($COP)]]+D.sign_Data[[#This Row],[4 * 1000 ($COP)]]</f>
        <v>182781.77434663067</v>
      </c>
    </row>
    <row r="1204" spans="1:33" ht="60" customHeight="1" x14ac:dyDescent="0.25">
      <c r="A1204" s="14"/>
      <c r="B1204" s="87" t="s">
        <v>418</v>
      </c>
      <c r="C1204" s="182" t="s">
        <v>1103</v>
      </c>
      <c r="D1204" s="189" t="str">
        <f>VLOOKUP(D.sign_Data[[#This Row],[CÓDIGO]],Descripciones[[CÓDIGO]:[NOMBRE DE SERVICIO]],3,FALSE)</f>
        <v>D6. Diseño Interior</v>
      </c>
      <c r="E1204" s="87" t="s">
        <v>1104</v>
      </c>
      <c r="F1204" s="88" t="s">
        <v>1105</v>
      </c>
      <c r="G1204" s="93" t="s">
        <v>975</v>
      </c>
      <c r="H1204" s="97" t="s">
        <v>423</v>
      </c>
      <c r="I1204" s="94">
        <v>1</v>
      </c>
      <c r="J1204" s="93" t="s">
        <v>976</v>
      </c>
      <c r="K1204" s="103"/>
      <c r="L1204" s="93" t="s">
        <v>1106</v>
      </c>
      <c r="M1204" s="95" t="s">
        <v>381</v>
      </c>
      <c r="N1204" s="96">
        <v>0.5</v>
      </c>
      <c r="O1204" s="27">
        <f>IFERROR(+VLOOKUP(M1204,D.sign_Lista_Data[[RESPONSABLE]:[SOFTWARE 
VALOR HORA]],3,FALSE),"0")</f>
        <v>20263.424518743668</v>
      </c>
      <c r="P1204" s="3">
        <f t="shared" si="44"/>
        <v>10131.712259371834</v>
      </c>
      <c r="Q1204" s="11">
        <f>IFERROR(+VLOOKUP(M1204,D.sign_Lista_Data[[RESPONSABLE]:[SOFTWARE 
VALOR HORA]],5,FALSE)*D.sign_Data[[#This Row],[TIEMPO (HORAS)]],0)</f>
        <v>2110.7733873691318</v>
      </c>
      <c r="R1204" s="11">
        <f>IFERROR(+VLOOKUP(M1204,D.sign_Lista_Data[[RESPONSABLE]:[SOFTWARE 
VALOR HORA]],8,FALSE)*D.sign_Data[[#This Row],[TIEMPO (HORAS)]],0)</f>
        <v>1705.4274435719917</v>
      </c>
      <c r="S1204" s="99"/>
      <c r="T1204" s="99"/>
      <c r="U1204" s="3">
        <f t="shared" si="45"/>
        <v>13947.913090312959</v>
      </c>
      <c r="V1204" s="100">
        <f>D.sign_Data[[#This Row],[TIEMPO (HORAS)]]*Gastos_Operativos[[#Totals],[GASTOS HORA]]</f>
        <v>13894.738536155201</v>
      </c>
      <c r="W1204" s="3">
        <f>+D.sign_Data[[#This Row],[COSTO 
DIRECTO ($COP)]]+D.sign_Data[[#This Row],[PRORRATEO GASTOS ($COP)]]</f>
        <v>27842.65162646816</v>
      </c>
      <c r="X1204" s="101"/>
      <c r="Y1204" s="15">
        <f>+D.sign_Data[[#This Row],[COSTOS OPERACIONALES ($COP)]]*D.sign_Data[[#This Row],[DESFASE (%)]]</f>
        <v>0</v>
      </c>
      <c r="Z1204" s="101">
        <v>0.3</v>
      </c>
      <c r="AA1204" s="15">
        <f>+((D.sign_Data[[#This Row],[COSTOS OPERACIONALES ($COP)]]/(100%-D.sign_Data[[#This Row],[UTILIDAD (%)]])))-D.sign_Data[[#This Row],[COSTOS OPERACIONALES ($COP)]]</f>
        <v>11932.564982772074</v>
      </c>
      <c r="AB1204" s="3">
        <f>+D.sign_Data[[#This Row],[COSTOS OPERACIONALES ($COP)]]+D.sign_Data[[#This Row],[DESFASE ($COP)]]+D.sign_Data[[#This Row],[UTILIDAD ($COP)]]</f>
        <v>39775.216609240233</v>
      </c>
      <c r="AC1204" s="101"/>
      <c r="AD1204" s="15">
        <f>+D.sign_Data[[#This Row],[VALOR NETO ($COP)]]/(100%-D.sign_Data[[#This Row],[MARGEN DE NEGOCIACIÓN (%)]])-D.sign_Data[[#This Row],[VALOR NETO ($COP)]]</f>
        <v>0</v>
      </c>
      <c r="AE1204" s="15">
        <f>+(D.sign_Data[[#This Row],[VALOR NETO ($COP)]]+D.sign_Data[[#This Row],[NEGOCIACIÓN ($COP)]])*1%</f>
        <v>397.75216609240232</v>
      </c>
      <c r="AF1204" s="15">
        <f>+(D.sign_Data[[#This Row],[VALOR NETO ($COP)]]+D.sign_Data[[#This Row],[NEGOCIACIÓN ($COP)]])*1%</f>
        <v>397.75216609240232</v>
      </c>
      <c r="AG1204" s="3">
        <f>+D.sign_Data[[#This Row],[VALOR NETO ($COP)]]+D.sign_Data[[#This Row],[NEGOCIACIÓN ($COP)]]+D.sign_Data[[#This Row],[ICA ($COP)]]+D.sign_Data[[#This Row],[4 * 1000 ($COP)]]</f>
        <v>40570.720941425039</v>
      </c>
    </row>
    <row r="1205" spans="1:33" ht="60" customHeight="1" x14ac:dyDescent="0.25">
      <c r="A1205" s="14"/>
      <c r="B1205" s="87" t="s">
        <v>418</v>
      </c>
      <c r="C1205" s="182" t="s">
        <v>1103</v>
      </c>
      <c r="D1205" s="189" t="str">
        <f>VLOOKUP(D.sign_Data[[#This Row],[CÓDIGO]],Descripciones[[CÓDIGO]:[NOMBRE DE SERVICIO]],3,FALSE)</f>
        <v>D6. Diseño Interior</v>
      </c>
      <c r="E1205" s="87" t="s">
        <v>1104</v>
      </c>
      <c r="F1205" s="88" t="s">
        <v>1105</v>
      </c>
      <c r="G1205" s="88" t="s">
        <v>978</v>
      </c>
      <c r="H1205" s="87" t="s">
        <v>500</v>
      </c>
      <c r="I1205" s="89">
        <v>1</v>
      </c>
      <c r="J1205" s="88" t="s">
        <v>979</v>
      </c>
      <c r="K1205" s="102"/>
      <c r="L1205" s="88" t="s">
        <v>980</v>
      </c>
      <c r="M1205" s="89" t="s">
        <v>381</v>
      </c>
      <c r="N1205" s="90">
        <v>2</v>
      </c>
      <c r="O1205" s="27">
        <f>IFERROR(+VLOOKUP(M1205,D.sign_Lista_Data[[RESPONSABLE]:[SOFTWARE 
VALOR HORA]],3,FALSE),"0")</f>
        <v>20263.424518743668</v>
      </c>
      <c r="P1205" s="3">
        <f t="shared" si="44"/>
        <v>40526.849037487336</v>
      </c>
      <c r="Q1205" s="11">
        <f>IFERROR(+VLOOKUP(M1205,D.sign_Lista_Data[[RESPONSABLE]:[SOFTWARE 
VALOR HORA]],5,FALSE)*D.sign_Data[[#This Row],[TIEMPO (HORAS)]],0)</f>
        <v>8443.0935494765272</v>
      </c>
      <c r="R1205" s="42">
        <f>IFERROR(+VLOOKUP(M1205,D.sign_Lista_Data[[RESPONSABLE]:[SOFTWARE 
VALOR HORA]],8,FALSE)*D.sign_Data[[#This Row],[TIEMPO (HORAS)]],0)</f>
        <v>6821.7097742879669</v>
      </c>
      <c r="S1205" s="99">
        <v>0</v>
      </c>
      <c r="T1205" s="99">
        <v>0</v>
      </c>
      <c r="U1205" s="3">
        <f t="shared" si="45"/>
        <v>55791.652361251836</v>
      </c>
      <c r="V1205" s="100">
        <f>D.sign_Data[[#This Row],[TIEMPO (HORAS)]]*Gastos_Operativos[[#Totals],[GASTOS HORA]]</f>
        <v>55578.954144620802</v>
      </c>
      <c r="W1205" s="3">
        <f>+D.sign_Data[[#This Row],[COSTO 
DIRECTO ($COP)]]+D.sign_Data[[#This Row],[PRORRATEO GASTOS ($COP)]]</f>
        <v>111370.60650587264</v>
      </c>
      <c r="X1205" s="101">
        <v>0.15</v>
      </c>
      <c r="Y1205" s="15">
        <f>+D.sign_Data[[#This Row],[COSTOS OPERACIONALES ($COP)]]*D.sign_Data[[#This Row],[DESFASE (%)]]</f>
        <v>16705.590975880896</v>
      </c>
      <c r="Z1205" s="101">
        <v>0.2</v>
      </c>
      <c r="AA1205" s="15">
        <f>+((D.sign_Data[[#This Row],[COSTOS OPERACIONALES ($COP)]]/(100%-D.sign_Data[[#This Row],[UTILIDAD (%)]])))-D.sign_Data[[#This Row],[COSTOS OPERACIONALES ($COP)]]</f>
        <v>27842.651626468156</v>
      </c>
      <c r="AB1205" s="3">
        <f>+D.sign_Data[[#This Row],[COSTOS OPERACIONALES ($COP)]]+D.sign_Data[[#This Row],[DESFASE ($COP)]]+D.sign_Data[[#This Row],[UTILIDAD ($COP)]]</f>
        <v>155918.84910822171</v>
      </c>
      <c r="AC1205" s="101">
        <v>0.05</v>
      </c>
      <c r="AD1205" s="15">
        <f>+D.sign_Data[[#This Row],[VALOR NETO ($COP)]]/(100%-D.sign_Data[[#This Row],[MARGEN DE NEGOCIACIÓN (%)]])-D.sign_Data[[#This Row],[VALOR NETO ($COP)]]</f>
        <v>8206.2552162221982</v>
      </c>
      <c r="AE1205" s="15">
        <f>+(D.sign_Data[[#This Row],[VALOR NETO ($COP)]]+D.sign_Data[[#This Row],[NEGOCIACIÓN ($COP)]])*1%</f>
        <v>1641.2510432444392</v>
      </c>
      <c r="AF1205" s="15">
        <f>+(D.sign_Data[[#This Row],[VALOR NETO ($COP)]]+D.sign_Data[[#This Row],[NEGOCIACIÓN ($COP)]])*1%</f>
        <v>1641.2510432444392</v>
      </c>
      <c r="AG1205" s="3">
        <f>+D.sign_Data[[#This Row],[VALOR NETO ($COP)]]+D.sign_Data[[#This Row],[NEGOCIACIÓN ($COP)]]+D.sign_Data[[#This Row],[ICA ($COP)]]+D.sign_Data[[#This Row],[4 * 1000 ($COP)]]</f>
        <v>167407.60641093279</v>
      </c>
    </row>
    <row r="1206" spans="1:33" ht="60" customHeight="1" x14ac:dyDescent="0.25">
      <c r="A1206" s="14"/>
      <c r="B1206" s="87" t="s">
        <v>418</v>
      </c>
      <c r="C1206" s="182" t="s">
        <v>1103</v>
      </c>
      <c r="D1206" s="189" t="str">
        <f>VLOOKUP(D.sign_Data[[#This Row],[CÓDIGO]],Descripciones[[CÓDIGO]:[NOMBRE DE SERVICIO]],3,FALSE)</f>
        <v>D6. Diseño Interior</v>
      </c>
      <c r="E1206" s="87" t="s">
        <v>1104</v>
      </c>
      <c r="F1206" s="88" t="s">
        <v>1105</v>
      </c>
      <c r="G1206" s="88" t="s">
        <v>978</v>
      </c>
      <c r="H1206" s="87" t="s">
        <v>500</v>
      </c>
      <c r="I1206" s="89">
        <v>1</v>
      </c>
      <c r="J1206" s="88" t="s">
        <v>979</v>
      </c>
      <c r="K1206" s="102"/>
      <c r="L1206" s="88" t="s">
        <v>981</v>
      </c>
      <c r="M1206" s="89" t="s">
        <v>381</v>
      </c>
      <c r="N1206" s="90">
        <v>2</v>
      </c>
      <c r="O1206" s="27">
        <f>IFERROR(+VLOOKUP(M1206,D.sign_Lista_Data[[RESPONSABLE]:[SOFTWARE 
VALOR HORA]],3,FALSE),"0")</f>
        <v>20263.424518743668</v>
      </c>
      <c r="P1206" s="3">
        <f t="shared" si="44"/>
        <v>40526.849037487336</v>
      </c>
      <c r="Q1206" s="11">
        <f>IFERROR(+VLOOKUP(M1206,D.sign_Lista_Data[[RESPONSABLE]:[SOFTWARE 
VALOR HORA]],5,FALSE)*D.sign_Data[[#This Row],[TIEMPO (HORAS)]],0)</f>
        <v>8443.0935494765272</v>
      </c>
      <c r="R1206" s="42">
        <f>IFERROR(+VLOOKUP(M1206,D.sign_Lista_Data[[RESPONSABLE]:[SOFTWARE 
VALOR HORA]],8,FALSE)*D.sign_Data[[#This Row],[TIEMPO (HORAS)]],0)</f>
        <v>6821.7097742879669</v>
      </c>
      <c r="S1206" s="99">
        <v>0</v>
      </c>
      <c r="T1206" s="99">
        <v>0</v>
      </c>
      <c r="U1206" s="3">
        <f t="shared" si="45"/>
        <v>55791.652361251836</v>
      </c>
      <c r="V1206" s="100">
        <f>D.sign_Data[[#This Row],[TIEMPO (HORAS)]]*Gastos_Operativos[[#Totals],[GASTOS HORA]]</f>
        <v>55578.954144620802</v>
      </c>
      <c r="W1206" s="3">
        <f>+D.sign_Data[[#This Row],[COSTO 
DIRECTO ($COP)]]+D.sign_Data[[#This Row],[PRORRATEO GASTOS ($COP)]]</f>
        <v>111370.60650587264</v>
      </c>
      <c r="X1206" s="101">
        <v>0.15</v>
      </c>
      <c r="Y1206" s="15">
        <f>+D.sign_Data[[#This Row],[COSTOS OPERACIONALES ($COP)]]*D.sign_Data[[#This Row],[DESFASE (%)]]</f>
        <v>16705.590975880896</v>
      </c>
      <c r="Z1206" s="101">
        <v>0.2</v>
      </c>
      <c r="AA1206" s="15">
        <f>+((D.sign_Data[[#This Row],[COSTOS OPERACIONALES ($COP)]]/(100%-D.sign_Data[[#This Row],[UTILIDAD (%)]])))-D.sign_Data[[#This Row],[COSTOS OPERACIONALES ($COP)]]</f>
        <v>27842.651626468156</v>
      </c>
      <c r="AB1206" s="3">
        <f>+D.sign_Data[[#This Row],[COSTOS OPERACIONALES ($COP)]]+D.sign_Data[[#This Row],[DESFASE ($COP)]]+D.sign_Data[[#This Row],[UTILIDAD ($COP)]]</f>
        <v>155918.84910822171</v>
      </c>
      <c r="AC1206" s="101">
        <v>0.05</v>
      </c>
      <c r="AD1206" s="15">
        <f>+D.sign_Data[[#This Row],[VALOR NETO ($COP)]]/(100%-D.sign_Data[[#This Row],[MARGEN DE NEGOCIACIÓN (%)]])-D.sign_Data[[#This Row],[VALOR NETO ($COP)]]</f>
        <v>8206.2552162221982</v>
      </c>
      <c r="AE1206" s="15">
        <f>+(D.sign_Data[[#This Row],[VALOR NETO ($COP)]]+D.sign_Data[[#This Row],[NEGOCIACIÓN ($COP)]])*1%</f>
        <v>1641.2510432444392</v>
      </c>
      <c r="AF1206" s="15">
        <f>+(D.sign_Data[[#This Row],[VALOR NETO ($COP)]]+D.sign_Data[[#This Row],[NEGOCIACIÓN ($COP)]])*1%</f>
        <v>1641.2510432444392</v>
      </c>
      <c r="AG1206" s="3">
        <f>+D.sign_Data[[#This Row],[VALOR NETO ($COP)]]+D.sign_Data[[#This Row],[NEGOCIACIÓN ($COP)]]+D.sign_Data[[#This Row],[ICA ($COP)]]+D.sign_Data[[#This Row],[4 * 1000 ($COP)]]</f>
        <v>167407.60641093279</v>
      </c>
    </row>
    <row r="1207" spans="1:33" ht="60" customHeight="1" x14ac:dyDescent="0.25">
      <c r="A1207" s="14"/>
      <c r="B1207" s="87" t="s">
        <v>418</v>
      </c>
      <c r="C1207" s="182" t="s">
        <v>1103</v>
      </c>
      <c r="D1207" s="189" t="str">
        <f>VLOOKUP(D.sign_Data[[#This Row],[CÓDIGO]],Descripciones[[CÓDIGO]:[NOMBRE DE SERVICIO]],3,FALSE)</f>
        <v>D6. Diseño Interior</v>
      </c>
      <c r="E1207" s="87" t="s">
        <v>1104</v>
      </c>
      <c r="F1207" s="88" t="s">
        <v>1105</v>
      </c>
      <c r="G1207" s="88" t="s">
        <v>978</v>
      </c>
      <c r="H1207" s="87" t="s">
        <v>500</v>
      </c>
      <c r="I1207" s="89">
        <v>1</v>
      </c>
      <c r="J1207" s="88" t="s">
        <v>979</v>
      </c>
      <c r="K1207" s="102"/>
      <c r="L1207" s="93" t="s">
        <v>1107</v>
      </c>
      <c r="M1207" s="89" t="s">
        <v>381</v>
      </c>
      <c r="N1207" s="90">
        <v>8</v>
      </c>
      <c r="O1207" s="27">
        <f>IFERROR(+VLOOKUP(M1207,D.sign_Lista_Data[[RESPONSABLE]:[SOFTWARE 
VALOR HORA]],3,FALSE),"0")</f>
        <v>20263.424518743668</v>
      </c>
      <c r="P1207" s="3">
        <f t="shared" si="44"/>
        <v>162107.39614994935</v>
      </c>
      <c r="Q1207" s="11">
        <f>IFERROR(+VLOOKUP(M1207,D.sign_Lista_Data[[RESPONSABLE]:[SOFTWARE 
VALOR HORA]],5,FALSE)*D.sign_Data[[#This Row],[TIEMPO (HORAS)]],0)</f>
        <v>33772.374197906109</v>
      </c>
      <c r="R1207" s="42">
        <f>IFERROR(+VLOOKUP(M1207,D.sign_Lista_Data[[RESPONSABLE]:[SOFTWARE 
VALOR HORA]],8,FALSE)*D.sign_Data[[#This Row],[TIEMPO (HORAS)]],0)</f>
        <v>27286.839097151867</v>
      </c>
      <c r="S1207" s="99">
        <v>0</v>
      </c>
      <c r="T1207" s="99">
        <v>0</v>
      </c>
      <c r="U1207" s="3">
        <f t="shared" si="45"/>
        <v>223166.60944500734</v>
      </c>
      <c r="V1207" s="100">
        <f>D.sign_Data[[#This Row],[TIEMPO (HORAS)]]*Gastos_Operativos[[#Totals],[GASTOS HORA]]</f>
        <v>222315.81657848321</v>
      </c>
      <c r="W1207" s="3">
        <f>+D.sign_Data[[#This Row],[COSTO 
DIRECTO ($COP)]]+D.sign_Data[[#This Row],[PRORRATEO GASTOS ($COP)]]</f>
        <v>445482.42602349055</v>
      </c>
      <c r="X1207" s="101">
        <v>0.15</v>
      </c>
      <c r="Y1207" s="15">
        <f>+D.sign_Data[[#This Row],[COSTOS OPERACIONALES ($COP)]]*D.sign_Data[[#This Row],[DESFASE (%)]]</f>
        <v>66822.363903523583</v>
      </c>
      <c r="Z1207" s="101">
        <v>0.2</v>
      </c>
      <c r="AA1207" s="15">
        <f>+((D.sign_Data[[#This Row],[COSTOS OPERACIONALES ($COP)]]/(100%-D.sign_Data[[#This Row],[UTILIDAD (%)]])))-D.sign_Data[[#This Row],[COSTOS OPERACIONALES ($COP)]]</f>
        <v>111370.60650587262</v>
      </c>
      <c r="AB1207" s="3">
        <f>+D.sign_Data[[#This Row],[COSTOS OPERACIONALES ($COP)]]+D.sign_Data[[#This Row],[DESFASE ($COP)]]+D.sign_Data[[#This Row],[UTILIDAD ($COP)]]</f>
        <v>623675.39643288683</v>
      </c>
      <c r="AC1207" s="101">
        <v>0.05</v>
      </c>
      <c r="AD1207" s="15">
        <f>+D.sign_Data[[#This Row],[VALOR NETO ($COP)]]/(100%-D.sign_Data[[#This Row],[MARGEN DE NEGOCIACIÓN (%)]])-D.sign_Data[[#This Row],[VALOR NETO ($COP)]]</f>
        <v>32825.020864888793</v>
      </c>
      <c r="AE1207" s="15">
        <f>+(D.sign_Data[[#This Row],[VALOR NETO ($COP)]]+D.sign_Data[[#This Row],[NEGOCIACIÓN ($COP)]])*1%</f>
        <v>6565.0041729777568</v>
      </c>
      <c r="AF1207" s="15">
        <f>+(D.sign_Data[[#This Row],[VALOR NETO ($COP)]]+D.sign_Data[[#This Row],[NEGOCIACIÓN ($COP)]])*1%</f>
        <v>6565.0041729777568</v>
      </c>
      <c r="AG1207" s="3">
        <f>+D.sign_Data[[#This Row],[VALOR NETO ($COP)]]+D.sign_Data[[#This Row],[NEGOCIACIÓN ($COP)]]+D.sign_Data[[#This Row],[ICA ($COP)]]+D.sign_Data[[#This Row],[4 * 1000 ($COP)]]</f>
        <v>669630.42564373114</v>
      </c>
    </row>
    <row r="1208" spans="1:33" ht="60" customHeight="1" x14ac:dyDescent="0.25">
      <c r="A1208" s="14"/>
      <c r="B1208" s="87" t="s">
        <v>418</v>
      </c>
      <c r="C1208" s="182" t="s">
        <v>1103</v>
      </c>
      <c r="D1208" s="189" t="str">
        <f>VLOOKUP(D.sign_Data[[#This Row],[CÓDIGO]],Descripciones[[CÓDIGO]:[NOMBRE DE SERVICIO]],3,FALSE)</f>
        <v>D6. Diseño Interior</v>
      </c>
      <c r="E1208" s="87" t="s">
        <v>1104</v>
      </c>
      <c r="F1208" s="88" t="s">
        <v>1105</v>
      </c>
      <c r="G1208" s="88" t="s">
        <v>978</v>
      </c>
      <c r="H1208" s="97" t="s">
        <v>500</v>
      </c>
      <c r="I1208" s="94">
        <v>1</v>
      </c>
      <c r="J1208" s="93" t="s">
        <v>1108</v>
      </c>
      <c r="K1208" s="103"/>
      <c r="L1208" s="93" t="s">
        <v>1109</v>
      </c>
      <c r="M1208" s="89" t="s">
        <v>381</v>
      </c>
      <c r="N1208" s="98">
        <v>8</v>
      </c>
      <c r="O1208" s="27">
        <f>IFERROR(+VLOOKUP(M1208,D.sign_Lista_Data[[RESPONSABLE]:[SOFTWARE 
VALOR HORA]],3,FALSE),"0")</f>
        <v>20263.424518743668</v>
      </c>
      <c r="P1208" s="3">
        <f t="shared" si="44"/>
        <v>162107.39614994935</v>
      </c>
      <c r="Q1208" s="11">
        <f>IFERROR(+VLOOKUP(M1208,D.sign_Lista_Data[[RESPONSABLE]:[SOFTWARE 
VALOR HORA]],5,FALSE)*D.sign_Data[[#This Row],[TIEMPO (HORAS)]],0)</f>
        <v>33772.374197906109</v>
      </c>
      <c r="R1208" s="42">
        <f>IFERROR(+VLOOKUP(M1208,D.sign_Lista_Data[[RESPONSABLE]:[SOFTWARE 
VALOR HORA]],8,FALSE)*D.sign_Data[[#This Row],[TIEMPO (HORAS)]],0)</f>
        <v>27286.839097151867</v>
      </c>
      <c r="S1208" s="99">
        <v>0</v>
      </c>
      <c r="T1208" s="99">
        <v>0</v>
      </c>
      <c r="U1208" s="3">
        <f t="shared" si="45"/>
        <v>223166.60944500734</v>
      </c>
      <c r="V1208" s="100">
        <f>D.sign_Data[[#This Row],[TIEMPO (HORAS)]]*Gastos_Operativos[[#Totals],[GASTOS HORA]]</f>
        <v>222315.81657848321</v>
      </c>
      <c r="W1208" s="3">
        <f>+D.sign_Data[[#This Row],[COSTO 
DIRECTO ($COP)]]+D.sign_Data[[#This Row],[PRORRATEO GASTOS ($COP)]]</f>
        <v>445482.42602349055</v>
      </c>
      <c r="X1208" s="101">
        <v>0.15</v>
      </c>
      <c r="Y1208" s="15">
        <f>+D.sign_Data[[#This Row],[COSTOS OPERACIONALES ($COP)]]*D.sign_Data[[#This Row],[DESFASE (%)]]</f>
        <v>66822.363903523583</v>
      </c>
      <c r="Z1208" s="101">
        <v>0.2</v>
      </c>
      <c r="AA1208" s="15">
        <f>+((D.sign_Data[[#This Row],[COSTOS OPERACIONALES ($COP)]]/(100%-D.sign_Data[[#This Row],[UTILIDAD (%)]])))-D.sign_Data[[#This Row],[COSTOS OPERACIONALES ($COP)]]</f>
        <v>111370.60650587262</v>
      </c>
      <c r="AB1208" s="3">
        <f>+D.sign_Data[[#This Row],[COSTOS OPERACIONALES ($COP)]]+D.sign_Data[[#This Row],[DESFASE ($COP)]]+D.sign_Data[[#This Row],[UTILIDAD ($COP)]]</f>
        <v>623675.39643288683</v>
      </c>
      <c r="AC1208" s="101">
        <v>0.05</v>
      </c>
      <c r="AD1208" s="15">
        <f>+D.sign_Data[[#This Row],[VALOR NETO ($COP)]]/(100%-D.sign_Data[[#This Row],[MARGEN DE NEGOCIACIÓN (%)]])-D.sign_Data[[#This Row],[VALOR NETO ($COP)]]</f>
        <v>32825.020864888793</v>
      </c>
      <c r="AE1208" s="15">
        <f>+(D.sign_Data[[#This Row],[VALOR NETO ($COP)]]+D.sign_Data[[#This Row],[NEGOCIACIÓN ($COP)]])*1%</f>
        <v>6565.0041729777568</v>
      </c>
      <c r="AF1208" s="15">
        <f>+(D.sign_Data[[#This Row],[VALOR NETO ($COP)]]+D.sign_Data[[#This Row],[NEGOCIACIÓN ($COP)]])*1%</f>
        <v>6565.0041729777568</v>
      </c>
      <c r="AG1208" s="3">
        <f>+D.sign_Data[[#This Row],[VALOR NETO ($COP)]]+D.sign_Data[[#This Row],[NEGOCIACIÓN ($COP)]]+D.sign_Data[[#This Row],[ICA ($COP)]]+D.sign_Data[[#This Row],[4 * 1000 ($COP)]]</f>
        <v>669630.42564373114</v>
      </c>
    </row>
    <row r="1209" spans="1:33" ht="60" customHeight="1" x14ac:dyDescent="0.25">
      <c r="A1209" s="14"/>
      <c r="B1209" s="87" t="s">
        <v>418</v>
      </c>
      <c r="C1209" s="182" t="s">
        <v>1103</v>
      </c>
      <c r="D1209" s="189" t="str">
        <f>VLOOKUP(D.sign_Data[[#This Row],[CÓDIGO]],Descripciones[[CÓDIGO]:[NOMBRE DE SERVICIO]],3,FALSE)</f>
        <v>D6. Diseño Interior</v>
      </c>
      <c r="E1209" s="87" t="s">
        <v>1104</v>
      </c>
      <c r="F1209" s="88" t="s">
        <v>1105</v>
      </c>
      <c r="G1209" s="93" t="s">
        <v>985</v>
      </c>
      <c r="H1209" s="94" t="s">
        <v>1110</v>
      </c>
      <c r="I1209" s="94">
        <v>1</v>
      </c>
      <c r="J1209" s="93" t="s">
        <v>1111</v>
      </c>
      <c r="K1209" s="103"/>
      <c r="L1209" s="93" t="s">
        <v>1112</v>
      </c>
      <c r="M1209" s="95" t="s">
        <v>381</v>
      </c>
      <c r="N1209" s="96">
        <v>1</v>
      </c>
      <c r="O1209" s="27">
        <f>IFERROR(+VLOOKUP(M1209,D.sign_Lista_Data[[RESPONSABLE]:[SOFTWARE 
VALOR HORA]],3,FALSE),"0")</f>
        <v>20263.424518743668</v>
      </c>
      <c r="P1209" s="3">
        <f t="shared" si="44"/>
        <v>20263.424518743668</v>
      </c>
      <c r="Q1209" s="11">
        <f>IFERROR(+VLOOKUP(M1209,D.sign_Lista_Data[[RESPONSABLE]:[SOFTWARE 
VALOR HORA]],5,FALSE)*D.sign_Data[[#This Row],[TIEMPO (HORAS)]],0)</f>
        <v>4221.5467747382636</v>
      </c>
      <c r="R1209" s="42">
        <f>IFERROR(+VLOOKUP(M1209,D.sign_Lista_Data[[RESPONSABLE]:[SOFTWARE 
VALOR HORA]],8,FALSE)*D.sign_Data[[#This Row],[TIEMPO (HORAS)]],0)</f>
        <v>3410.8548871439834</v>
      </c>
      <c r="S1209" s="99">
        <v>0</v>
      </c>
      <c r="T1209" s="99">
        <v>0</v>
      </c>
      <c r="U1209" s="3">
        <f t="shared" si="45"/>
        <v>27895.826180625918</v>
      </c>
      <c r="V1209" s="100">
        <f>D.sign_Data[[#This Row],[TIEMPO (HORAS)]]*Gastos_Operativos[[#Totals],[GASTOS HORA]]</f>
        <v>27789.477072310401</v>
      </c>
      <c r="W1209" s="3">
        <f>+D.sign_Data[[#This Row],[COSTO 
DIRECTO ($COP)]]+D.sign_Data[[#This Row],[PRORRATEO GASTOS ($COP)]]</f>
        <v>55685.303252936319</v>
      </c>
      <c r="X1209" s="101">
        <v>0.15</v>
      </c>
      <c r="Y1209" s="15">
        <f>+D.sign_Data[[#This Row],[COSTOS OPERACIONALES ($COP)]]*D.sign_Data[[#This Row],[DESFASE (%)]]</f>
        <v>8352.7954879404479</v>
      </c>
      <c r="Z1209" s="101">
        <v>0.2</v>
      </c>
      <c r="AA1209" s="15">
        <f>+((D.sign_Data[[#This Row],[COSTOS OPERACIONALES ($COP)]]/(100%-D.sign_Data[[#This Row],[UTILIDAD (%)]])))-D.sign_Data[[#This Row],[COSTOS OPERACIONALES ($COP)]]</f>
        <v>13921.325813234078</v>
      </c>
      <c r="AB1209" s="3">
        <f>+D.sign_Data[[#This Row],[COSTOS OPERACIONALES ($COP)]]+D.sign_Data[[#This Row],[DESFASE ($COP)]]+D.sign_Data[[#This Row],[UTILIDAD ($COP)]]</f>
        <v>77959.424554110854</v>
      </c>
      <c r="AC1209" s="101">
        <v>0.05</v>
      </c>
      <c r="AD1209" s="15">
        <f>+D.sign_Data[[#This Row],[VALOR NETO ($COP)]]/(100%-D.sign_Data[[#This Row],[MARGEN DE NEGOCIACIÓN (%)]])-D.sign_Data[[#This Row],[VALOR NETO ($COP)]]</f>
        <v>4103.1276081110991</v>
      </c>
      <c r="AE1209" s="15">
        <f>+(D.sign_Data[[#This Row],[VALOR NETO ($COP)]]+D.sign_Data[[#This Row],[NEGOCIACIÓN ($COP)]])*1%</f>
        <v>820.62552162221959</v>
      </c>
      <c r="AF1209" s="15">
        <f>+(D.sign_Data[[#This Row],[VALOR NETO ($COP)]]+D.sign_Data[[#This Row],[NEGOCIACIÓN ($COP)]])*1%</f>
        <v>820.62552162221959</v>
      </c>
      <c r="AG1209" s="3">
        <f>+D.sign_Data[[#This Row],[VALOR NETO ($COP)]]+D.sign_Data[[#This Row],[NEGOCIACIÓN ($COP)]]+D.sign_Data[[#This Row],[ICA ($COP)]]+D.sign_Data[[#This Row],[4 * 1000 ($COP)]]</f>
        <v>83703.803205466393</v>
      </c>
    </row>
    <row r="1210" spans="1:33" ht="60" customHeight="1" x14ac:dyDescent="0.25">
      <c r="A1210" s="14"/>
      <c r="B1210" s="87" t="s">
        <v>418</v>
      </c>
      <c r="C1210" s="182" t="s">
        <v>1103</v>
      </c>
      <c r="D1210" s="189" t="str">
        <f>VLOOKUP(D.sign_Data[[#This Row],[CÓDIGO]],Descripciones[[CÓDIGO]:[NOMBRE DE SERVICIO]],3,FALSE)</f>
        <v>D6. Diseño Interior</v>
      </c>
      <c r="E1210" s="87" t="s">
        <v>1104</v>
      </c>
      <c r="F1210" s="88" t="s">
        <v>1105</v>
      </c>
      <c r="G1210" s="93" t="s">
        <v>985</v>
      </c>
      <c r="H1210" s="94" t="s">
        <v>1110</v>
      </c>
      <c r="I1210" s="94">
        <v>1</v>
      </c>
      <c r="J1210" s="93" t="s">
        <v>983</v>
      </c>
      <c r="K1210" s="103"/>
      <c r="L1210" s="93" t="s">
        <v>986</v>
      </c>
      <c r="M1210" s="89" t="s">
        <v>381</v>
      </c>
      <c r="N1210" s="96">
        <v>4</v>
      </c>
      <c r="O1210" s="27">
        <f>IFERROR(+VLOOKUP(M1210,D.sign_Lista_Data[[RESPONSABLE]:[SOFTWARE 
VALOR HORA]],3,FALSE),"0")</f>
        <v>20263.424518743668</v>
      </c>
      <c r="P1210" s="3">
        <f t="shared" si="44"/>
        <v>81053.698074974673</v>
      </c>
      <c r="Q1210" s="11">
        <f>IFERROR(+VLOOKUP(M1210,D.sign_Lista_Data[[RESPONSABLE]:[SOFTWARE 
VALOR HORA]],5,FALSE)*D.sign_Data[[#This Row],[TIEMPO (HORAS)]],0)</f>
        <v>16886.187098953054</v>
      </c>
      <c r="R1210" s="42">
        <f>IFERROR(+VLOOKUP(M1210,D.sign_Lista_Data[[RESPONSABLE]:[SOFTWARE 
VALOR HORA]],8,FALSE)*D.sign_Data[[#This Row],[TIEMPO (HORAS)]],0)</f>
        <v>13643.419548575934</v>
      </c>
      <c r="S1210" s="99">
        <v>0</v>
      </c>
      <c r="T1210" s="99">
        <v>0</v>
      </c>
      <c r="U1210" s="3">
        <f t="shared" si="45"/>
        <v>111583.30472250367</v>
      </c>
      <c r="V1210" s="100">
        <f>D.sign_Data[[#This Row],[TIEMPO (HORAS)]]*Gastos_Operativos[[#Totals],[GASTOS HORA]]</f>
        <v>111157.9082892416</v>
      </c>
      <c r="W1210" s="3">
        <f>+D.sign_Data[[#This Row],[COSTO 
DIRECTO ($COP)]]+D.sign_Data[[#This Row],[PRORRATEO GASTOS ($COP)]]</f>
        <v>222741.21301174528</v>
      </c>
      <c r="X1210" s="101">
        <v>0.15</v>
      </c>
      <c r="Y1210" s="15">
        <f>+D.sign_Data[[#This Row],[COSTOS OPERACIONALES ($COP)]]*D.sign_Data[[#This Row],[DESFASE (%)]]</f>
        <v>33411.181951761791</v>
      </c>
      <c r="Z1210" s="101">
        <v>0.2</v>
      </c>
      <c r="AA1210" s="15">
        <f>+((D.sign_Data[[#This Row],[COSTOS OPERACIONALES ($COP)]]/(100%-D.sign_Data[[#This Row],[UTILIDAD (%)]])))-D.sign_Data[[#This Row],[COSTOS OPERACIONALES ($COP)]]</f>
        <v>55685.303252936312</v>
      </c>
      <c r="AB1210" s="3">
        <f>+D.sign_Data[[#This Row],[COSTOS OPERACIONALES ($COP)]]+D.sign_Data[[#This Row],[DESFASE ($COP)]]+D.sign_Data[[#This Row],[UTILIDAD ($COP)]]</f>
        <v>311837.69821644342</v>
      </c>
      <c r="AC1210" s="101">
        <v>0.05</v>
      </c>
      <c r="AD1210" s="15">
        <f>+D.sign_Data[[#This Row],[VALOR NETO ($COP)]]/(100%-D.sign_Data[[#This Row],[MARGEN DE NEGOCIACIÓN (%)]])-D.sign_Data[[#This Row],[VALOR NETO ($COP)]]</f>
        <v>16412.510432444396</v>
      </c>
      <c r="AE1210" s="15">
        <f>+(D.sign_Data[[#This Row],[VALOR NETO ($COP)]]+D.sign_Data[[#This Row],[NEGOCIACIÓN ($COP)]])*1%</f>
        <v>3282.5020864888784</v>
      </c>
      <c r="AF1210" s="15">
        <f>+(D.sign_Data[[#This Row],[VALOR NETO ($COP)]]+D.sign_Data[[#This Row],[NEGOCIACIÓN ($COP)]])*1%</f>
        <v>3282.5020864888784</v>
      </c>
      <c r="AG1210" s="3">
        <f>+D.sign_Data[[#This Row],[VALOR NETO ($COP)]]+D.sign_Data[[#This Row],[NEGOCIACIÓN ($COP)]]+D.sign_Data[[#This Row],[ICA ($COP)]]+D.sign_Data[[#This Row],[4 * 1000 ($COP)]]</f>
        <v>334815.21282186557</v>
      </c>
    </row>
    <row r="1211" spans="1:33" ht="60" customHeight="1" x14ac:dyDescent="0.25">
      <c r="A1211" s="14"/>
      <c r="B1211" s="87" t="s">
        <v>418</v>
      </c>
      <c r="C1211" s="182" t="s">
        <v>1103</v>
      </c>
      <c r="D1211" s="189" t="str">
        <f>VLOOKUP(D.sign_Data[[#This Row],[CÓDIGO]],Descripciones[[CÓDIGO]:[NOMBRE DE SERVICIO]],3,FALSE)</f>
        <v>D6. Diseño Interior</v>
      </c>
      <c r="E1211" s="87" t="s">
        <v>1104</v>
      </c>
      <c r="F1211" s="88" t="s">
        <v>1105</v>
      </c>
      <c r="G1211" s="93" t="s">
        <v>987</v>
      </c>
      <c r="H1211" s="94" t="s">
        <v>1110</v>
      </c>
      <c r="I1211" s="94">
        <v>1</v>
      </c>
      <c r="J1211" s="93" t="s">
        <v>1113</v>
      </c>
      <c r="K1211" s="103"/>
      <c r="L1211" s="93" t="s">
        <v>1114</v>
      </c>
      <c r="M1211" s="89" t="s">
        <v>381</v>
      </c>
      <c r="N1211" s="96">
        <v>4</v>
      </c>
      <c r="O1211" s="27">
        <f>IFERROR(+VLOOKUP(M1211,D.sign_Lista_Data[[RESPONSABLE]:[SOFTWARE 
VALOR HORA]],3,FALSE),"0")</f>
        <v>20263.424518743668</v>
      </c>
      <c r="P1211" s="3">
        <f t="shared" si="44"/>
        <v>81053.698074974673</v>
      </c>
      <c r="Q1211" s="11">
        <f>IFERROR(+VLOOKUP(M1211,D.sign_Lista_Data[[RESPONSABLE]:[SOFTWARE 
VALOR HORA]],5,FALSE)*D.sign_Data[[#This Row],[TIEMPO (HORAS)]],0)</f>
        <v>16886.187098953054</v>
      </c>
      <c r="R1211" s="42">
        <f>IFERROR(+VLOOKUP(M1211,D.sign_Lista_Data[[RESPONSABLE]:[SOFTWARE 
VALOR HORA]],8,FALSE)*D.sign_Data[[#This Row],[TIEMPO (HORAS)]],0)</f>
        <v>13643.419548575934</v>
      </c>
      <c r="S1211" s="99">
        <v>0</v>
      </c>
      <c r="T1211" s="99">
        <v>0</v>
      </c>
      <c r="U1211" s="3">
        <f t="shared" si="45"/>
        <v>111583.30472250367</v>
      </c>
      <c r="V1211" s="100">
        <f>D.sign_Data[[#This Row],[TIEMPO (HORAS)]]*Gastos_Operativos[[#Totals],[GASTOS HORA]]</f>
        <v>111157.9082892416</v>
      </c>
      <c r="W1211" s="3">
        <f>+D.sign_Data[[#This Row],[COSTO 
DIRECTO ($COP)]]+D.sign_Data[[#This Row],[PRORRATEO GASTOS ($COP)]]</f>
        <v>222741.21301174528</v>
      </c>
      <c r="X1211" s="101">
        <v>0.15</v>
      </c>
      <c r="Y1211" s="15">
        <f>+D.sign_Data[[#This Row],[COSTOS OPERACIONALES ($COP)]]*D.sign_Data[[#This Row],[DESFASE (%)]]</f>
        <v>33411.181951761791</v>
      </c>
      <c r="Z1211" s="101">
        <v>0.2</v>
      </c>
      <c r="AA1211" s="15">
        <f>+((D.sign_Data[[#This Row],[COSTOS OPERACIONALES ($COP)]]/(100%-D.sign_Data[[#This Row],[UTILIDAD (%)]])))-D.sign_Data[[#This Row],[COSTOS OPERACIONALES ($COP)]]</f>
        <v>55685.303252936312</v>
      </c>
      <c r="AB1211" s="3">
        <f>+D.sign_Data[[#This Row],[COSTOS OPERACIONALES ($COP)]]+D.sign_Data[[#This Row],[DESFASE ($COP)]]+D.sign_Data[[#This Row],[UTILIDAD ($COP)]]</f>
        <v>311837.69821644342</v>
      </c>
      <c r="AC1211" s="101">
        <v>0.05</v>
      </c>
      <c r="AD1211" s="15">
        <f>+D.sign_Data[[#This Row],[VALOR NETO ($COP)]]/(100%-D.sign_Data[[#This Row],[MARGEN DE NEGOCIACIÓN (%)]])-D.sign_Data[[#This Row],[VALOR NETO ($COP)]]</f>
        <v>16412.510432444396</v>
      </c>
      <c r="AE1211" s="15">
        <f>+(D.sign_Data[[#This Row],[VALOR NETO ($COP)]]+D.sign_Data[[#This Row],[NEGOCIACIÓN ($COP)]])*1%</f>
        <v>3282.5020864888784</v>
      </c>
      <c r="AF1211" s="15">
        <f>+(D.sign_Data[[#This Row],[VALOR NETO ($COP)]]+D.sign_Data[[#This Row],[NEGOCIACIÓN ($COP)]])*1%</f>
        <v>3282.5020864888784</v>
      </c>
      <c r="AG1211" s="3">
        <f>+D.sign_Data[[#This Row],[VALOR NETO ($COP)]]+D.sign_Data[[#This Row],[NEGOCIACIÓN ($COP)]]+D.sign_Data[[#This Row],[ICA ($COP)]]+D.sign_Data[[#This Row],[4 * 1000 ($COP)]]</f>
        <v>334815.21282186557</v>
      </c>
    </row>
    <row r="1212" spans="1:33" ht="60" customHeight="1" x14ac:dyDescent="0.25">
      <c r="A1212" s="14"/>
      <c r="B1212" s="87" t="s">
        <v>418</v>
      </c>
      <c r="C1212" s="182" t="s">
        <v>1103</v>
      </c>
      <c r="D1212" s="189" t="str">
        <f>VLOOKUP(D.sign_Data[[#This Row],[CÓDIGO]],Descripciones[[CÓDIGO]:[NOMBRE DE SERVICIO]],3,FALSE)</f>
        <v>D6. Diseño Interior</v>
      </c>
      <c r="E1212" s="87" t="s">
        <v>1104</v>
      </c>
      <c r="F1212" s="88" t="s">
        <v>1105</v>
      </c>
      <c r="G1212" s="93" t="s">
        <v>987</v>
      </c>
      <c r="H1212" s="97" t="s">
        <v>423</v>
      </c>
      <c r="I1212" s="94">
        <v>1</v>
      </c>
      <c r="J1212" s="93" t="s">
        <v>684</v>
      </c>
      <c r="K1212" s="103"/>
      <c r="L1212" s="93" t="s">
        <v>1115</v>
      </c>
      <c r="M1212" s="95" t="s">
        <v>381</v>
      </c>
      <c r="N1212" s="96">
        <v>1</v>
      </c>
      <c r="O1212" s="27">
        <f>IFERROR(+VLOOKUP(M1212,D.sign_Lista_Data[[RESPONSABLE]:[SOFTWARE 
VALOR HORA]],3,FALSE),"0")</f>
        <v>20263.424518743668</v>
      </c>
      <c r="P1212" s="3">
        <f t="shared" si="44"/>
        <v>20263.424518743668</v>
      </c>
      <c r="Q1212" s="11">
        <f>IFERROR(+VLOOKUP(M1212,D.sign_Lista_Data[[RESPONSABLE]:[SOFTWARE 
VALOR HORA]],5,FALSE)*D.sign_Data[[#This Row],[TIEMPO (HORAS)]],0)</f>
        <v>4221.5467747382636</v>
      </c>
      <c r="R1212" s="42">
        <f>IFERROR(+VLOOKUP(M1212,D.sign_Lista_Data[[RESPONSABLE]:[SOFTWARE 
VALOR HORA]],8,FALSE)*D.sign_Data[[#This Row],[TIEMPO (HORAS)]],0)</f>
        <v>3410.8548871439834</v>
      </c>
      <c r="S1212" s="99">
        <v>0</v>
      </c>
      <c r="T1212" s="99">
        <v>0</v>
      </c>
      <c r="U1212" s="3">
        <f t="shared" si="45"/>
        <v>27895.826180625918</v>
      </c>
      <c r="V1212" s="100">
        <f>D.sign_Data[[#This Row],[TIEMPO (HORAS)]]*Gastos_Operativos[[#Totals],[GASTOS HORA]]</f>
        <v>27789.477072310401</v>
      </c>
      <c r="W1212" s="3">
        <f>+D.sign_Data[[#This Row],[COSTO 
DIRECTO ($COP)]]+D.sign_Data[[#This Row],[PRORRATEO GASTOS ($COP)]]</f>
        <v>55685.303252936319</v>
      </c>
      <c r="X1212" s="101">
        <v>0.15</v>
      </c>
      <c r="Y1212" s="15">
        <f>+D.sign_Data[[#This Row],[COSTOS OPERACIONALES ($COP)]]*D.sign_Data[[#This Row],[DESFASE (%)]]</f>
        <v>8352.7954879404479</v>
      </c>
      <c r="Z1212" s="101">
        <v>0.2</v>
      </c>
      <c r="AA1212" s="15">
        <f>+((D.sign_Data[[#This Row],[COSTOS OPERACIONALES ($COP)]]/(100%-D.sign_Data[[#This Row],[UTILIDAD (%)]])))-D.sign_Data[[#This Row],[COSTOS OPERACIONALES ($COP)]]</f>
        <v>13921.325813234078</v>
      </c>
      <c r="AB1212" s="3">
        <f>+D.sign_Data[[#This Row],[COSTOS OPERACIONALES ($COP)]]+D.sign_Data[[#This Row],[DESFASE ($COP)]]+D.sign_Data[[#This Row],[UTILIDAD ($COP)]]</f>
        <v>77959.424554110854</v>
      </c>
      <c r="AC1212" s="101">
        <v>0.05</v>
      </c>
      <c r="AD1212" s="15">
        <f>+D.sign_Data[[#This Row],[VALOR NETO ($COP)]]/(100%-D.sign_Data[[#This Row],[MARGEN DE NEGOCIACIÓN (%)]])-D.sign_Data[[#This Row],[VALOR NETO ($COP)]]</f>
        <v>4103.1276081110991</v>
      </c>
      <c r="AE1212" s="15">
        <f>+(D.sign_Data[[#This Row],[VALOR NETO ($COP)]]+D.sign_Data[[#This Row],[NEGOCIACIÓN ($COP)]])*1%</f>
        <v>820.62552162221959</v>
      </c>
      <c r="AF1212" s="15">
        <f>+(D.sign_Data[[#This Row],[VALOR NETO ($COP)]]+D.sign_Data[[#This Row],[NEGOCIACIÓN ($COP)]])*1%</f>
        <v>820.62552162221959</v>
      </c>
      <c r="AG1212" s="3">
        <f>+D.sign_Data[[#This Row],[VALOR NETO ($COP)]]+D.sign_Data[[#This Row],[NEGOCIACIÓN ($COP)]]+D.sign_Data[[#This Row],[ICA ($COP)]]+D.sign_Data[[#This Row],[4 * 1000 ($COP)]]</f>
        <v>83703.803205466393</v>
      </c>
    </row>
    <row r="1213" spans="1:33" ht="60" customHeight="1" x14ac:dyDescent="0.25">
      <c r="A1213" s="14"/>
      <c r="B1213" s="87" t="s">
        <v>418</v>
      </c>
      <c r="C1213" s="182" t="s">
        <v>1103</v>
      </c>
      <c r="D1213" s="189" t="str">
        <f>VLOOKUP(D.sign_Data[[#This Row],[CÓDIGO]],Descripciones[[CÓDIGO]:[NOMBRE DE SERVICIO]],3,FALSE)</f>
        <v>D6. Diseño Interior</v>
      </c>
      <c r="E1213" s="87" t="s">
        <v>1104</v>
      </c>
      <c r="F1213" s="88" t="s">
        <v>1105</v>
      </c>
      <c r="G1213" s="93" t="s">
        <v>987</v>
      </c>
      <c r="H1213" s="97" t="s">
        <v>423</v>
      </c>
      <c r="I1213" s="92"/>
      <c r="J1213" s="88" t="s">
        <v>1116</v>
      </c>
      <c r="K1213" s="102"/>
      <c r="L1213" s="88" t="s">
        <v>1117</v>
      </c>
      <c r="M1213" s="95" t="s">
        <v>381</v>
      </c>
      <c r="N1213" s="90">
        <v>1</v>
      </c>
      <c r="O1213" s="27">
        <f>IFERROR(+VLOOKUP(M1213,D.sign_Lista_Data[[RESPONSABLE]:[SOFTWARE 
VALOR HORA]],3,FALSE),"0")</f>
        <v>20263.424518743668</v>
      </c>
      <c r="P1213" s="3">
        <f t="shared" si="44"/>
        <v>20263.424518743668</v>
      </c>
      <c r="Q1213" s="11">
        <f>IFERROR(+VLOOKUP(M1213,D.sign_Lista_Data[[RESPONSABLE]:[SOFTWARE 
VALOR HORA]],5,FALSE)*D.sign_Data[[#This Row],[TIEMPO (HORAS)]],0)</f>
        <v>4221.5467747382636</v>
      </c>
      <c r="R1213" s="11">
        <f>IFERROR(+VLOOKUP(M1213,D.sign_Lista_Data[[RESPONSABLE]:[SOFTWARE 
VALOR HORA]],8,FALSE)*D.sign_Data[[#This Row],[TIEMPO (HORAS)]],0)</f>
        <v>3410.8548871439834</v>
      </c>
      <c r="S1213" s="99"/>
      <c r="T1213" s="99"/>
      <c r="U1213" s="3">
        <f t="shared" si="45"/>
        <v>27895.826180625918</v>
      </c>
      <c r="V1213" s="100">
        <f>D.sign_Data[[#This Row],[TIEMPO (HORAS)]]*Gastos_Operativos[[#Totals],[GASTOS HORA]]</f>
        <v>27789.477072310401</v>
      </c>
      <c r="W1213" s="3">
        <f>+D.sign_Data[[#This Row],[COSTO 
DIRECTO ($COP)]]+D.sign_Data[[#This Row],[PRORRATEO GASTOS ($COP)]]</f>
        <v>55685.303252936319</v>
      </c>
      <c r="X1213" s="101"/>
      <c r="Y1213" s="15">
        <f>+D.sign_Data[[#This Row],[COSTOS OPERACIONALES ($COP)]]*D.sign_Data[[#This Row],[DESFASE (%)]]</f>
        <v>0</v>
      </c>
      <c r="Z1213" s="101">
        <v>0.3</v>
      </c>
      <c r="AA1213" s="15">
        <f>+((D.sign_Data[[#This Row],[COSTOS OPERACIONALES ($COP)]]/(100%-D.sign_Data[[#This Row],[UTILIDAD (%)]])))-D.sign_Data[[#This Row],[COSTOS OPERACIONALES ($COP)]]</f>
        <v>23865.129965544147</v>
      </c>
      <c r="AB1213" s="3">
        <f>+D.sign_Data[[#This Row],[COSTOS OPERACIONALES ($COP)]]+D.sign_Data[[#This Row],[DESFASE ($COP)]]+D.sign_Data[[#This Row],[UTILIDAD ($COP)]]</f>
        <v>79550.433218480466</v>
      </c>
      <c r="AC1213" s="101"/>
      <c r="AD1213" s="15">
        <f>+D.sign_Data[[#This Row],[VALOR NETO ($COP)]]/(100%-D.sign_Data[[#This Row],[MARGEN DE NEGOCIACIÓN (%)]])-D.sign_Data[[#This Row],[VALOR NETO ($COP)]]</f>
        <v>0</v>
      </c>
      <c r="AE1213" s="15">
        <f>+(D.sign_Data[[#This Row],[VALOR NETO ($COP)]]+D.sign_Data[[#This Row],[NEGOCIACIÓN ($COP)]])*1%</f>
        <v>795.50433218480464</v>
      </c>
      <c r="AF1213" s="15">
        <f>+(D.sign_Data[[#This Row],[VALOR NETO ($COP)]]+D.sign_Data[[#This Row],[NEGOCIACIÓN ($COP)]])*1%</f>
        <v>795.50433218480464</v>
      </c>
      <c r="AG1213" s="3">
        <f>+D.sign_Data[[#This Row],[VALOR NETO ($COP)]]+D.sign_Data[[#This Row],[NEGOCIACIÓN ($COP)]]+D.sign_Data[[#This Row],[ICA ($COP)]]+D.sign_Data[[#This Row],[4 * 1000 ($COP)]]</f>
        <v>81141.441882850078</v>
      </c>
    </row>
    <row r="1214" spans="1:33" ht="60" hidden="1" customHeight="1" x14ac:dyDescent="0.25">
      <c r="A1214" s="14"/>
      <c r="B1214" s="87" t="s">
        <v>418</v>
      </c>
      <c r="C1214" s="182" t="s">
        <v>1118</v>
      </c>
      <c r="D1214" s="189" t="str">
        <f>VLOOKUP(D.sign_Data[[#This Row],[CÓDIGO]],Descripciones[[CÓDIGO]:[NOMBRE DE SERVICIO]],3,FALSE)</f>
        <v>D6. Diseño Interior</v>
      </c>
      <c r="E1214" s="87" t="s">
        <v>1104</v>
      </c>
      <c r="F1214" s="88" t="s">
        <v>1119</v>
      </c>
      <c r="G1214" s="88" t="s">
        <v>978</v>
      </c>
      <c r="H1214" s="87" t="s">
        <v>1120</v>
      </c>
      <c r="I1214" s="89">
        <v>1</v>
      </c>
      <c r="J1214" s="93" t="s">
        <v>1111</v>
      </c>
      <c r="K1214" s="102"/>
      <c r="L1214" s="93" t="s">
        <v>1121</v>
      </c>
      <c r="M1214" s="89" t="s">
        <v>381</v>
      </c>
      <c r="N1214" s="90">
        <v>5</v>
      </c>
      <c r="O1214" s="27">
        <f>IFERROR(+VLOOKUP(M1214,D.sign_Lista_Data[[RESPONSABLE]:[SOFTWARE 
VALOR HORA]],3,FALSE),"0")</f>
        <v>20263.424518743668</v>
      </c>
      <c r="P1214" s="3">
        <f t="shared" ref="P1214:P1238" si="46">+O1214*N1214</f>
        <v>101317.12259371835</v>
      </c>
      <c r="Q1214" s="11">
        <f>IFERROR(+VLOOKUP(M1214,D.sign_Lista_Data[[RESPONSABLE]:[SOFTWARE 
VALOR HORA]],5,FALSE)*D.sign_Data[[#This Row],[TIEMPO (HORAS)]],0)</f>
        <v>21107.733873691319</v>
      </c>
      <c r="R1214" s="11">
        <f>IFERROR(+VLOOKUP(M1214,D.sign_Lista_Data[[RESPONSABLE]:[SOFTWARE 
VALOR HORA]],8,FALSE)*D.sign_Data[[#This Row],[TIEMPO (HORAS)]],0)</f>
        <v>17054.274435719919</v>
      </c>
      <c r="S1214" s="99"/>
      <c r="T1214" s="99"/>
      <c r="U1214" s="3">
        <f t="shared" ref="U1214:U1238" si="47">SUM(P1214:T1214)</f>
        <v>139479.13090312958</v>
      </c>
      <c r="V1214" s="100">
        <f>D.sign_Data[[#This Row],[TIEMPO (HORAS)]]*Gastos_Operativos[[#Totals],[GASTOS HORA]]</f>
        <v>138947.38536155201</v>
      </c>
      <c r="W1214" s="3">
        <f>+D.sign_Data[[#This Row],[COSTO 
DIRECTO ($COP)]]+D.sign_Data[[#This Row],[PRORRATEO GASTOS ($COP)]]</f>
        <v>278426.51626468159</v>
      </c>
      <c r="X1214" s="101">
        <v>0.05</v>
      </c>
      <c r="Y1214" s="15">
        <f>+D.sign_Data[[#This Row],[COSTOS OPERACIONALES ($COP)]]*D.sign_Data[[#This Row],[DESFASE (%)]]</f>
        <v>13921.32581323408</v>
      </c>
      <c r="Z1214" s="101">
        <v>0.18</v>
      </c>
      <c r="AA1214" s="15">
        <f>+((D.sign_Data[[#This Row],[COSTOS OPERACIONALES ($COP)]]/(100%-D.sign_Data[[#This Row],[UTILIDAD (%)]])))-D.sign_Data[[#This Row],[COSTOS OPERACIONALES ($COP)]]</f>
        <v>61118.015765417891</v>
      </c>
      <c r="AB1214" s="3">
        <f>+D.sign_Data[[#This Row],[COSTOS OPERACIONALES ($COP)]]+D.sign_Data[[#This Row],[DESFASE ($COP)]]+D.sign_Data[[#This Row],[UTILIDAD ($COP)]]</f>
        <v>353465.85784333356</v>
      </c>
      <c r="AC1214" s="101">
        <v>0</v>
      </c>
      <c r="AD1214" s="15">
        <f>+D.sign_Data[[#This Row],[VALOR NETO ($COP)]]/(100%-D.sign_Data[[#This Row],[MARGEN DE NEGOCIACIÓN (%)]])-D.sign_Data[[#This Row],[VALOR NETO ($COP)]]</f>
        <v>0</v>
      </c>
      <c r="AE1214" s="15">
        <f>+(D.sign_Data[[#This Row],[VALOR NETO ($COP)]]+D.sign_Data[[#This Row],[NEGOCIACIÓN ($COP)]])*1%</f>
        <v>3534.6585784333356</v>
      </c>
      <c r="AF1214" s="15">
        <f>+(D.sign_Data[[#This Row],[VALOR NETO ($COP)]]+D.sign_Data[[#This Row],[NEGOCIACIÓN ($COP)]])*1%</f>
        <v>3534.6585784333356</v>
      </c>
      <c r="AG1214" s="3">
        <f>+D.sign_Data[[#This Row],[VALOR NETO ($COP)]]+D.sign_Data[[#This Row],[NEGOCIACIÓN ($COP)]]+D.sign_Data[[#This Row],[ICA ($COP)]]+D.sign_Data[[#This Row],[4 * 1000 ($COP)]]</f>
        <v>360535.17500020022</v>
      </c>
    </row>
    <row r="1215" spans="1:33" ht="60" hidden="1" customHeight="1" x14ac:dyDescent="0.25">
      <c r="A1215" s="14"/>
      <c r="B1215" s="87" t="s">
        <v>418</v>
      </c>
      <c r="C1215" s="182" t="s">
        <v>1118</v>
      </c>
      <c r="D1215" s="189" t="str">
        <f>VLOOKUP(D.sign_Data[[#This Row],[CÓDIGO]],Descripciones[[CÓDIGO]:[NOMBRE DE SERVICIO]],3,FALSE)</f>
        <v>D6. Diseño Interior</v>
      </c>
      <c r="E1215" s="87" t="s">
        <v>1104</v>
      </c>
      <c r="F1215" s="88" t="s">
        <v>1119</v>
      </c>
      <c r="G1215" s="88" t="s">
        <v>978</v>
      </c>
      <c r="H1215" s="87" t="s">
        <v>1120</v>
      </c>
      <c r="I1215" s="94">
        <v>1</v>
      </c>
      <c r="J1215" s="93" t="s">
        <v>1108</v>
      </c>
      <c r="K1215" s="103"/>
      <c r="L1215" s="93" t="s">
        <v>1109</v>
      </c>
      <c r="M1215" s="89" t="s">
        <v>381</v>
      </c>
      <c r="N1215" s="98">
        <v>5</v>
      </c>
      <c r="O1215" s="27">
        <f>IFERROR(+VLOOKUP(M1215,D.sign_Lista_Data[[RESPONSABLE]:[SOFTWARE 
VALOR HORA]],3,FALSE),"0")</f>
        <v>20263.424518743668</v>
      </c>
      <c r="P1215" s="3">
        <f t="shared" si="46"/>
        <v>101317.12259371835</v>
      </c>
      <c r="Q1215" s="11">
        <f>IFERROR(+VLOOKUP(M1215,D.sign_Lista_Data[[RESPONSABLE]:[SOFTWARE 
VALOR HORA]],5,FALSE)*D.sign_Data[[#This Row],[TIEMPO (HORAS)]],0)</f>
        <v>21107.733873691319</v>
      </c>
      <c r="R1215" s="11">
        <f>IFERROR(+VLOOKUP(M1215,D.sign_Lista_Data[[RESPONSABLE]:[SOFTWARE 
VALOR HORA]],8,FALSE)*D.sign_Data[[#This Row],[TIEMPO (HORAS)]],0)</f>
        <v>17054.274435719919</v>
      </c>
      <c r="S1215" s="99"/>
      <c r="T1215" s="99"/>
      <c r="U1215" s="3">
        <f t="shared" si="47"/>
        <v>139479.13090312958</v>
      </c>
      <c r="V1215" s="100">
        <f>D.sign_Data[[#This Row],[TIEMPO (HORAS)]]*Gastos_Operativos[[#Totals],[GASTOS HORA]]</f>
        <v>138947.38536155201</v>
      </c>
      <c r="W1215" s="3">
        <f>+D.sign_Data[[#This Row],[COSTO 
DIRECTO ($COP)]]+D.sign_Data[[#This Row],[PRORRATEO GASTOS ($COP)]]</f>
        <v>278426.51626468159</v>
      </c>
      <c r="X1215" s="101">
        <v>0.05</v>
      </c>
      <c r="Y1215" s="15">
        <f>+D.sign_Data[[#This Row],[COSTOS OPERACIONALES ($COP)]]*D.sign_Data[[#This Row],[DESFASE (%)]]</f>
        <v>13921.32581323408</v>
      </c>
      <c r="Z1215" s="101">
        <v>0.18</v>
      </c>
      <c r="AA1215" s="15">
        <f>+((D.sign_Data[[#This Row],[COSTOS OPERACIONALES ($COP)]]/(100%-D.sign_Data[[#This Row],[UTILIDAD (%)]])))-D.sign_Data[[#This Row],[COSTOS OPERACIONALES ($COP)]]</f>
        <v>61118.015765417891</v>
      </c>
      <c r="AB1215" s="3">
        <f>+D.sign_Data[[#This Row],[COSTOS OPERACIONALES ($COP)]]+D.sign_Data[[#This Row],[DESFASE ($COP)]]+D.sign_Data[[#This Row],[UTILIDAD ($COP)]]</f>
        <v>353465.85784333356</v>
      </c>
      <c r="AC1215" s="101">
        <v>0</v>
      </c>
      <c r="AD1215" s="15">
        <f>+D.sign_Data[[#This Row],[VALOR NETO ($COP)]]/(100%-D.sign_Data[[#This Row],[MARGEN DE NEGOCIACIÓN (%)]])-D.sign_Data[[#This Row],[VALOR NETO ($COP)]]</f>
        <v>0</v>
      </c>
      <c r="AE1215" s="15">
        <f>+(D.sign_Data[[#This Row],[VALOR NETO ($COP)]]+D.sign_Data[[#This Row],[NEGOCIACIÓN ($COP)]])*1%</f>
        <v>3534.6585784333356</v>
      </c>
      <c r="AF1215" s="15">
        <f>+(D.sign_Data[[#This Row],[VALOR NETO ($COP)]]+D.sign_Data[[#This Row],[NEGOCIACIÓN ($COP)]])*1%</f>
        <v>3534.6585784333356</v>
      </c>
      <c r="AG1215" s="3">
        <f>+D.sign_Data[[#This Row],[VALOR NETO ($COP)]]+D.sign_Data[[#This Row],[NEGOCIACIÓN ($COP)]]+D.sign_Data[[#This Row],[ICA ($COP)]]+D.sign_Data[[#This Row],[4 * 1000 ($COP)]]</f>
        <v>360535.17500020022</v>
      </c>
    </row>
    <row r="1216" spans="1:33" ht="60" hidden="1" customHeight="1" x14ac:dyDescent="0.25">
      <c r="A1216" s="14"/>
      <c r="B1216" s="87" t="s">
        <v>418</v>
      </c>
      <c r="C1216" s="182" t="s">
        <v>1118</v>
      </c>
      <c r="D1216" s="189" t="str">
        <f>VLOOKUP(D.sign_Data[[#This Row],[CÓDIGO]],Descripciones[[CÓDIGO]:[NOMBRE DE SERVICIO]],3,FALSE)</f>
        <v>D6. Diseño Interior</v>
      </c>
      <c r="E1216" s="87" t="s">
        <v>1104</v>
      </c>
      <c r="F1216" s="88" t="s">
        <v>1119</v>
      </c>
      <c r="G1216" s="93" t="s">
        <v>975</v>
      </c>
      <c r="H1216" s="87" t="s">
        <v>1120</v>
      </c>
      <c r="I1216" s="94">
        <v>1</v>
      </c>
      <c r="J1216" s="93" t="s">
        <v>976</v>
      </c>
      <c r="K1216" s="103"/>
      <c r="L1216" s="93" t="s">
        <v>1122</v>
      </c>
      <c r="M1216" s="95" t="s">
        <v>381</v>
      </c>
      <c r="N1216" s="96">
        <v>2</v>
      </c>
      <c r="O1216" s="27">
        <f>IFERROR(+VLOOKUP(M1216,D.sign_Lista_Data[[RESPONSABLE]:[SOFTWARE 
VALOR HORA]],3,FALSE),"0")</f>
        <v>20263.424518743668</v>
      </c>
      <c r="P1216" s="3">
        <f t="shared" si="46"/>
        <v>40526.849037487336</v>
      </c>
      <c r="Q1216" s="11">
        <f>IFERROR(+VLOOKUP(M1216,D.sign_Lista_Data[[RESPONSABLE]:[SOFTWARE 
VALOR HORA]],5,FALSE)*D.sign_Data[[#This Row],[TIEMPO (HORAS)]],0)</f>
        <v>8443.0935494765272</v>
      </c>
      <c r="R1216" s="11">
        <f>IFERROR(+VLOOKUP(M1216,D.sign_Lista_Data[[RESPONSABLE]:[SOFTWARE 
VALOR HORA]],8,FALSE)*D.sign_Data[[#This Row],[TIEMPO (HORAS)]],0)</f>
        <v>6821.7097742879669</v>
      </c>
      <c r="S1216" s="99"/>
      <c r="T1216" s="99"/>
      <c r="U1216" s="3">
        <f t="shared" si="47"/>
        <v>55791.652361251836</v>
      </c>
      <c r="V1216" s="100">
        <f>D.sign_Data[[#This Row],[TIEMPO (HORAS)]]*Gastos_Operativos[[#Totals],[GASTOS HORA]]</f>
        <v>55578.954144620802</v>
      </c>
      <c r="W1216" s="3">
        <f>+D.sign_Data[[#This Row],[COSTO 
DIRECTO ($COP)]]+D.sign_Data[[#This Row],[PRORRATEO GASTOS ($COP)]]</f>
        <v>111370.60650587264</v>
      </c>
      <c r="X1216" s="101">
        <v>0.05</v>
      </c>
      <c r="Y1216" s="15">
        <f>+D.sign_Data[[#This Row],[COSTOS OPERACIONALES ($COP)]]*D.sign_Data[[#This Row],[DESFASE (%)]]</f>
        <v>5568.5303252936319</v>
      </c>
      <c r="Z1216" s="101">
        <v>0.18</v>
      </c>
      <c r="AA1216" s="15">
        <f>+((D.sign_Data[[#This Row],[COSTOS OPERACIONALES ($COP)]]/(100%-D.sign_Data[[#This Row],[UTILIDAD (%)]])))-D.sign_Data[[#This Row],[COSTOS OPERACIONALES ($COP)]]</f>
        <v>24447.206306167165</v>
      </c>
      <c r="AB1216" s="3">
        <f>+D.sign_Data[[#This Row],[COSTOS OPERACIONALES ($COP)]]+D.sign_Data[[#This Row],[DESFASE ($COP)]]+D.sign_Data[[#This Row],[UTILIDAD ($COP)]]</f>
        <v>141386.34313733343</v>
      </c>
      <c r="AC1216" s="101">
        <v>0</v>
      </c>
      <c r="AD1216" s="15">
        <f>+D.sign_Data[[#This Row],[VALOR NETO ($COP)]]/(100%-D.sign_Data[[#This Row],[MARGEN DE NEGOCIACIÓN (%)]])-D.sign_Data[[#This Row],[VALOR NETO ($COP)]]</f>
        <v>0</v>
      </c>
      <c r="AE1216" s="15">
        <f>+(D.sign_Data[[#This Row],[VALOR NETO ($COP)]]+D.sign_Data[[#This Row],[NEGOCIACIÓN ($COP)]])*1%</f>
        <v>1413.8634313733344</v>
      </c>
      <c r="AF1216" s="15">
        <f>+(D.sign_Data[[#This Row],[VALOR NETO ($COP)]]+D.sign_Data[[#This Row],[NEGOCIACIÓN ($COP)]])*1%</f>
        <v>1413.8634313733344</v>
      </c>
      <c r="AG1216" s="3">
        <f>+D.sign_Data[[#This Row],[VALOR NETO ($COP)]]+D.sign_Data[[#This Row],[NEGOCIACIÓN ($COP)]]+D.sign_Data[[#This Row],[ICA ($COP)]]+D.sign_Data[[#This Row],[4 * 1000 ($COP)]]</f>
        <v>144214.07000008007</v>
      </c>
    </row>
    <row r="1217" spans="1:33" ht="60" hidden="1" customHeight="1" x14ac:dyDescent="0.25">
      <c r="A1217" s="14"/>
      <c r="B1217" s="87" t="s">
        <v>418</v>
      </c>
      <c r="C1217" s="182" t="s">
        <v>1118</v>
      </c>
      <c r="D1217" s="189" t="str">
        <f>VLOOKUP(D.sign_Data[[#This Row],[CÓDIGO]],Descripciones[[CÓDIGO]:[NOMBRE DE SERVICIO]],3,FALSE)</f>
        <v>D6. Diseño Interior</v>
      </c>
      <c r="E1217" s="87" t="s">
        <v>1104</v>
      </c>
      <c r="F1217" s="88" t="s">
        <v>1119</v>
      </c>
      <c r="G1217" s="88" t="s">
        <v>978</v>
      </c>
      <c r="H1217" s="87" t="s">
        <v>1120</v>
      </c>
      <c r="I1217" s="89">
        <v>1</v>
      </c>
      <c r="J1217" s="88" t="s">
        <v>979</v>
      </c>
      <c r="K1217" s="102"/>
      <c r="L1217" s="88" t="s">
        <v>980</v>
      </c>
      <c r="M1217" s="89" t="s">
        <v>381</v>
      </c>
      <c r="N1217" s="90">
        <v>1</v>
      </c>
      <c r="O1217" s="27">
        <f>IFERROR(+VLOOKUP(M1217,D.sign_Lista_Data[[RESPONSABLE]:[SOFTWARE 
VALOR HORA]],3,FALSE),"0")</f>
        <v>20263.424518743668</v>
      </c>
      <c r="P1217" s="3">
        <f t="shared" si="46"/>
        <v>20263.424518743668</v>
      </c>
      <c r="Q1217" s="11">
        <f>IFERROR(+VLOOKUP(M1217,D.sign_Lista_Data[[RESPONSABLE]:[SOFTWARE 
VALOR HORA]],5,FALSE)*D.sign_Data[[#This Row],[TIEMPO (HORAS)]],0)</f>
        <v>4221.5467747382636</v>
      </c>
      <c r="R1217" s="11">
        <f>IFERROR(+VLOOKUP(M1217,D.sign_Lista_Data[[RESPONSABLE]:[SOFTWARE 
VALOR HORA]],8,FALSE)*D.sign_Data[[#This Row],[TIEMPO (HORAS)]],0)</f>
        <v>3410.8548871439834</v>
      </c>
      <c r="S1217" s="99"/>
      <c r="T1217" s="99"/>
      <c r="U1217" s="3">
        <f t="shared" si="47"/>
        <v>27895.826180625918</v>
      </c>
      <c r="V1217" s="100">
        <f>D.sign_Data[[#This Row],[TIEMPO (HORAS)]]*Gastos_Operativos[[#Totals],[GASTOS HORA]]</f>
        <v>27789.477072310401</v>
      </c>
      <c r="W1217" s="3">
        <f>+D.sign_Data[[#This Row],[COSTO 
DIRECTO ($COP)]]+D.sign_Data[[#This Row],[PRORRATEO GASTOS ($COP)]]</f>
        <v>55685.303252936319</v>
      </c>
      <c r="X1217" s="101">
        <v>0.05</v>
      </c>
      <c r="Y1217" s="15">
        <f>+D.sign_Data[[#This Row],[COSTOS OPERACIONALES ($COP)]]*D.sign_Data[[#This Row],[DESFASE (%)]]</f>
        <v>2784.265162646816</v>
      </c>
      <c r="Z1217" s="101">
        <v>0.18</v>
      </c>
      <c r="AA1217" s="15">
        <f>+((D.sign_Data[[#This Row],[COSTOS OPERACIONALES ($COP)]]/(100%-D.sign_Data[[#This Row],[UTILIDAD (%)]])))-D.sign_Data[[#This Row],[COSTOS OPERACIONALES ($COP)]]</f>
        <v>12223.603153083583</v>
      </c>
      <c r="AB1217" s="3">
        <f>+D.sign_Data[[#This Row],[COSTOS OPERACIONALES ($COP)]]+D.sign_Data[[#This Row],[DESFASE ($COP)]]+D.sign_Data[[#This Row],[UTILIDAD ($COP)]]</f>
        <v>70693.171568666716</v>
      </c>
      <c r="AC1217" s="101">
        <v>0</v>
      </c>
      <c r="AD1217" s="15">
        <f>+D.sign_Data[[#This Row],[VALOR NETO ($COP)]]/(100%-D.sign_Data[[#This Row],[MARGEN DE NEGOCIACIÓN (%)]])-D.sign_Data[[#This Row],[VALOR NETO ($COP)]]</f>
        <v>0</v>
      </c>
      <c r="AE1217" s="15">
        <f>+(D.sign_Data[[#This Row],[VALOR NETO ($COP)]]+D.sign_Data[[#This Row],[NEGOCIACIÓN ($COP)]])*1%</f>
        <v>706.93171568666719</v>
      </c>
      <c r="AF1217" s="15">
        <f>+(D.sign_Data[[#This Row],[VALOR NETO ($COP)]]+D.sign_Data[[#This Row],[NEGOCIACIÓN ($COP)]])*1%</f>
        <v>706.93171568666719</v>
      </c>
      <c r="AG1217" s="3">
        <f>+D.sign_Data[[#This Row],[VALOR NETO ($COP)]]+D.sign_Data[[#This Row],[NEGOCIACIÓN ($COP)]]+D.sign_Data[[#This Row],[ICA ($COP)]]+D.sign_Data[[#This Row],[4 * 1000 ($COP)]]</f>
        <v>72107.035000040036</v>
      </c>
    </row>
    <row r="1218" spans="1:33" ht="60" hidden="1" customHeight="1" x14ac:dyDescent="0.25">
      <c r="A1218" s="14"/>
      <c r="B1218" s="87" t="s">
        <v>418</v>
      </c>
      <c r="C1218" s="182" t="s">
        <v>1118</v>
      </c>
      <c r="D1218" s="189" t="str">
        <f>VLOOKUP(D.sign_Data[[#This Row],[CÓDIGO]],Descripciones[[CÓDIGO]:[NOMBRE DE SERVICIO]],3,FALSE)</f>
        <v>D6. Diseño Interior</v>
      </c>
      <c r="E1218" s="87" t="s">
        <v>1104</v>
      </c>
      <c r="F1218" s="88" t="s">
        <v>1119</v>
      </c>
      <c r="G1218" s="88" t="s">
        <v>978</v>
      </c>
      <c r="H1218" s="87" t="s">
        <v>1120</v>
      </c>
      <c r="I1218" s="89">
        <v>1</v>
      </c>
      <c r="J1218" s="88" t="s">
        <v>979</v>
      </c>
      <c r="K1218" s="102"/>
      <c r="L1218" s="88" t="s">
        <v>981</v>
      </c>
      <c r="M1218" s="89" t="s">
        <v>381</v>
      </c>
      <c r="N1218" s="90">
        <v>1</v>
      </c>
      <c r="O1218" s="27">
        <f>IFERROR(+VLOOKUP(M1218,D.sign_Lista_Data[[RESPONSABLE]:[SOFTWARE 
VALOR HORA]],3,FALSE),"0")</f>
        <v>20263.424518743668</v>
      </c>
      <c r="P1218" s="3">
        <f t="shared" si="46"/>
        <v>20263.424518743668</v>
      </c>
      <c r="Q1218" s="11">
        <f>IFERROR(+VLOOKUP(M1218,D.sign_Lista_Data[[RESPONSABLE]:[SOFTWARE 
VALOR HORA]],5,FALSE)*D.sign_Data[[#This Row],[TIEMPO (HORAS)]],0)</f>
        <v>4221.5467747382636</v>
      </c>
      <c r="R1218" s="11">
        <f>IFERROR(+VLOOKUP(M1218,D.sign_Lista_Data[[RESPONSABLE]:[SOFTWARE 
VALOR HORA]],8,FALSE)*D.sign_Data[[#This Row],[TIEMPO (HORAS)]],0)</f>
        <v>3410.8548871439834</v>
      </c>
      <c r="S1218" s="99"/>
      <c r="T1218" s="99"/>
      <c r="U1218" s="3">
        <f t="shared" si="47"/>
        <v>27895.826180625918</v>
      </c>
      <c r="V1218" s="100">
        <f>D.sign_Data[[#This Row],[TIEMPO (HORAS)]]*Gastos_Operativos[[#Totals],[GASTOS HORA]]</f>
        <v>27789.477072310401</v>
      </c>
      <c r="W1218" s="3">
        <f>+D.sign_Data[[#This Row],[COSTO 
DIRECTO ($COP)]]+D.sign_Data[[#This Row],[PRORRATEO GASTOS ($COP)]]</f>
        <v>55685.303252936319</v>
      </c>
      <c r="X1218" s="101">
        <v>0.05</v>
      </c>
      <c r="Y1218" s="15">
        <f>+D.sign_Data[[#This Row],[COSTOS OPERACIONALES ($COP)]]*D.sign_Data[[#This Row],[DESFASE (%)]]</f>
        <v>2784.265162646816</v>
      </c>
      <c r="Z1218" s="101">
        <v>0.18</v>
      </c>
      <c r="AA1218" s="15">
        <f>+((D.sign_Data[[#This Row],[COSTOS OPERACIONALES ($COP)]]/(100%-D.sign_Data[[#This Row],[UTILIDAD (%)]])))-D.sign_Data[[#This Row],[COSTOS OPERACIONALES ($COP)]]</f>
        <v>12223.603153083583</v>
      </c>
      <c r="AB1218" s="3">
        <f>+D.sign_Data[[#This Row],[COSTOS OPERACIONALES ($COP)]]+D.sign_Data[[#This Row],[DESFASE ($COP)]]+D.sign_Data[[#This Row],[UTILIDAD ($COP)]]</f>
        <v>70693.171568666716</v>
      </c>
      <c r="AC1218" s="101">
        <v>0</v>
      </c>
      <c r="AD1218" s="15">
        <f>+D.sign_Data[[#This Row],[VALOR NETO ($COP)]]/(100%-D.sign_Data[[#This Row],[MARGEN DE NEGOCIACIÓN (%)]])-D.sign_Data[[#This Row],[VALOR NETO ($COP)]]</f>
        <v>0</v>
      </c>
      <c r="AE1218" s="15">
        <f>+(D.sign_Data[[#This Row],[VALOR NETO ($COP)]]+D.sign_Data[[#This Row],[NEGOCIACIÓN ($COP)]])*1%</f>
        <v>706.93171568666719</v>
      </c>
      <c r="AF1218" s="15">
        <f>+(D.sign_Data[[#This Row],[VALOR NETO ($COP)]]+D.sign_Data[[#This Row],[NEGOCIACIÓN ($COP)]])*1%</f>
        <v>706.93171568666719</v>
      </c>
      <c r="AG1218" s="3">
        <f>+D.sign_Data[[#This Row],[VALOR NETO ($COP)]]+D.sign_Data[[#This Row],[NEGOCIACIÓN ($COP)]]+D.sign_Data[[#This Row],[ICA ($COP)]]+D.sign_Data[[#This Row],[4 * 1000 ($COP)]]</f>
        <v>72107.035000040036</v>
      </c>
    </row>
    <row r="1219" spans="1:33" ht="60" hidden="1" customHeight="1" x14ac:dyDescent="0.25">
      <c r="A1219" s="14"/>
      <c r="B1219" s="87" t="s">
        <v>418</v>
      </c>
      <c r="C1219" s="182" t="s">
        <v>1118</v>
      </c>
      <c r="D1219" s="189" t="str">
        <f>VLOOKUP(D.sign_Data[[#This Row],[CÓDIGO]],Descripciones[[CÓDIGO]:[NOMBRE DE SERVICIO]],3,FALSE)</f>
        <v>D6. Diseño Interior</v>
      </c>
      <c r="E1219" s="87" t="s">
        <v>1104</v>
      </c>
      <c r="F1219" s="88" t="s">
        <v>1119</v>
      </c>
      <c r="G1219" s="93" t="s">
        <v>985</v>
      </c>
      <c r="H1219" s="87" t="s">
        <v>1120</v>
      </c>
      <c r="I1219" s="94">
        <v>1</v>
      </c>
      <c r="J1219" s="93" t="s">
        <v>983</v>
      </c>
      <c r="K1219" s="103"/>
      <c r="L1219" s="93" t="s">
        <v>1123</v>
      </c>
      <c r="M1219" s="89" t="s">
        <v>381</v>
      </c>
      <c r="N1219" s="96">
        <v>8</v>
      </c>
      <c r="O1219" s="27">
        <f>IFERROR(+VLOOKUP(M1219,D.sign_Lista_Data[[RESPONSABLE]:[SOFTWARE 
VALOR HORA]],3,FALSE),"0")</f>
        <v>20263.424518743668</v>
      </c>
      <c r="P1219" s="3">
        <f t="shared" si="46"/>
        <v>162107.39614994935</v>
      </c>
      <c r="Q1219" s="11">
        <f>IFERROR(+VLOOKUP(M1219,D.sign_Lista_Data[[RESPONSABLE]:[SOFTWARE 
VALOR HORA]],5,FALSE)*D.sign_Data[[#This Row],[TIEMPO (HORAS)]],0)</f>
        <v>33772.374197906109</v>
      </c>
      <c r="R1219" s="11">
        <f>IFERROR(+VLOOKUP(M1219,D.sign_Lista_Data[[RESPONSABLE]:[SOFTWARE 
VALOR HORA]],8,FALSE)*D.sign_Data[[#This Row],[TIEMPO (HORAS)]],0)</f>
        <v>27286.839097151867</v>
      </c>
      <c r="S1219" s="99"/>
      <c r="T1219" s="99"/>
      <c r="U1219" s="3">
        <f t="shared" si="47"/>
        <v>223166.60944500734</v>
      </c>
      <c r="V1219" s="100">
        <f>D.sign_Data[[#This Row],[TIEMPO (HORAS)]]*Gastos_Operativos[[#Totals],[GASTOS HORA]]</f>
        <v>222315.81657848321</v>
      </c>
      <c r="W1219" s="3">
        <f>+D.sign_Data[[#This Row],[COSTO 
DIRECTO ($COP)]]+D.sign_Data[[#This Row],[PRORRATEO GASTOS ($COP)]]</f>
        <v>445482.42602349055</v>
      </c>
      <c r="X1219" s="101">
        <v>0.05</v>
      </c>
      <c r="Y1219" s="15">
        <f>+D.sign_Data[[#This Row],[COSTOS OPERACIONALES ($COP)]]*D.sign_Data[[#This Row],[DESFASE (%)]]</f>
        <v>22274.121301174528</v>
      </c>
      <c r="Z1219" s="101">
        <v>0.18</v>
      </c>
      <c r="AA1219" s="15">
        <f>+((D.sign_Data[[#This Row],[COSTOS OPERACIONALES ($COP)]]/(100%-D.sign_Data[[#This Row],[UTILIDAD (%)]])))-D.sign_Data[[#This Row],[COSTOS OPERACIONALES ($COP)]]</f>
        <v>97788.825224668661</v>
      </c>
      <c r="AB1219" s="3">
        <f>+D.sign_Data[[#This Row],[COSTOS OPERACIONALES ($COP)]]+D.sign_Data[[#This Row],[DESFASE ($COP)]]+D.sign_Data[[#This Row],[UTILIDAD ($COP)]]</f>
        <v>565545.37254933373</v>
      </c>
      <c r="AC1219" s="101">
        <v>0</v>
      </c>
      <c r="AD1219" s="15">
        <f>+D.sign_Data[[#This Row],[VALOR NETO ($COP)]]/(100%-D.sign_Data[[#This Row],[MARGEN DE NEGOCIACIÓN (%)]])-D.sign_Data[[#This Row],[VALOR NETO ($COP)]]</f>
        <v>0</v>
      </c>
      <c r="AE1219" s="15">
        <f>+(D.sign_Data[[#This Row],[VALOR NETO ($COP)]]+D.sign_Data[[#This Row],[NEGOCIACIÓN ($COP)]])*1%</f>
        <v>5655.4537254933375</v>
      </c>
      <c r="AF1219" s="15">
        <f>+(D.sign_Data[[#This Row],[VALOR NETO ($COP)]]+D.sign_Data[[#This Row],[NEGOCIACIÓN ($COP)]])*1%</f>
        <v>5655.4537254933375</v>
      </c>
      <c r="AG1219" s="3">
        <f>+D.sign_Data[[#This Row],[VALOR NETO ($COP)]]+D.sign_Data[[#This Row],[NEGOCIACIÓN ($COP)]]+D.sign_Data[[#This Row],[ICA ($COP)]]+D.sign_Data[[#This Row],[4 * 1000 ($COP)]]</f>
        <v>576856.28000032029</v>
      </c>
    </row>
    <row r="1220" spans="1:33" ht="60" hidden="1" customHeight="1" x14ac:dyDescent="0.25">
      <c r="A1220" s="14"/>
      <c r="B1220" s="87" t="s">
        <v>418</v>
      </c>
      <c r="C1220" s="182" t="s">
        <v>1118</v>
      </c>
      <c r="D1220" s="189" t="str">
        <f>VLOOKUP(D.sign_Data[[#This Row],[CÓDIGO]],Descripciones[[CÓDIGO]:[NOMBRE DE SERVICIO]],3,FALSE)</f>
        <v>D6. Diseño Interior</v>
      </c>
      <c r="E1220" s="87" t="s">
        <v>1104</v>
      </c>
      <c r="F1220" s="88" t="s">
        <v>1119</v>
      </c>
      <c r="G1220" s="88" t="s">
        <v>695</v>
      </c>
      <c r="H1220" s="87" t="s">
        <v>1120</v>
      </c>
      <c r="I1220" s="92"/>
      <c r="J1220" s="88" t="s">
        <v>1124</v>
      </c>
      <c r="K1220" s="102"/>
      <c r="L1220" s="88" t="s">
        <v>1125</v>
      </c>
      <c r="M1220" s="89" t="s">
        <v>381</v>
      </c>
      <c r="N1220" s="90">
        <v>2</v>
      </c>
      <c r="O1220" s="27">
        <f>IFERROR(+VLOOKUP(M1220,D.sign_Lista_Data[[RESPONSABLE]:[SOFTWARE 
VALOR HORA]],3,FALSE),"0")</f>
        <v>20263.424518743668</v>
      </c>
      <c r="P1220" s="3">
        <f t="shared" si="46"/>
        <v>40526.849037487336</v>
      </c>
      <c r="Q1220" s="11">
        <f>IFERROR(+VLOOKUP(M1220,D.sign_Lista_Data[[RESPONSABLE]:[SOFTWARE 
VALOR HORA]],5,FALSE)*D.sign_Data[[#This Row],[TIEMPO (HORAS)]],0)</f>
        <v>8443.0935494765272</v>
      </c>
      <c r="R1220" s="11">
        <f>IFERROR(+VLOOKUP(M1220,D.sign_Lista_Data[[RESPONSABLE]:[SOFTWARE 
VALOR HORA]],8,FALSE)*D.sign_Data[[#This Row],[TIEMPO (HORAS)]],0)</f>
        <v>6821.7097742879669</v>
      </c>
      <c r="S1220" s="99"/>
      <c r="T1220" s="99"/>
      <c r="U1220" s="3">
        <f t="shared" si="47"/>
        <v>55791.652361251836</v>
      </c>
      <c r="V1220" s="100">
        <f>D.sign_Data[[#This Row],[TIEMPO (HORAS)]]*Gastos_Operativos[[#Totals],[GASTOS HORA]]</f>
        <v>55578.954144620802</v>
      </c>
      <c r="W1220" s="3">
        <f>+D.sign_Data[[#This Row],[COSTO 
DIRECTO ($COP)]]+D.sign_Data[[#This Row],[PRORRATEO GASTOS ($COP)]]</f>
        <v>111370.60650587264</v>
      </c>
      <c r="X1220" s="101">
        <v>0.05</v>
      </c>
      <c r="Y1220" s="15">
        <f>+D.sign_Data[[#This Row],[COSTOS OPERACIONALES ($COP)]]*D.sign_Data[[#This Row],[DESFASE (%)]]</f>
        <v>5568.5303252936319</v>
      </c>
      <c r="Z1220" s="101">
        <v>0.18</v>
      </c>
      <c r="AA1220" s="15">
        <f>+((D.sign_Data[[#This Row],[COSTOS OPERACIONALES ($COP)]]/(100%-D.sign_Data[[#This Row],[UTILIDAD (%)]])))-D.sign_Data[[#This Row],[COSTOS OPERACIONALES ($COP)]]</f>
        <v>24447.206306167165</v>
      </c>
      <c r="AB1220" s="3">
        <f>+D.sign_Data[[#This Row],[COSTOS OPERACIONALES ($COP)]]+D.sign_Data[[#This Row],[DESFASE ($COP)]]+D.sign_Data[[#This Row],[UTILIDAD ($COP)]]</f>
        <v>141386.34313733343</v>
      </c>
      <c r="AC1220" s="101">
        <v>0</v>
      </c>
      <c r="AD1220" s="15">
        <f>+D.sign_Data[[#This Row],[VALOR NETO ($COP)]]/(100%-D.sign_Data[[#This Row],[MARGEN DE NEGOCIACIÓN (%)]])-D.sign_Data[[#This Row],[VALOR NETO ($COP)]]</f>
        <v>0</v>
      </c>
      <c r="AE1220" s="15">
        <f>+(D.sign_Data[[#This Row],[VALOR NETO ($COP)]]+D.sign_Data[[#This Row],[NEGOCIACIÓN ($COP)]])*1%</f>
        <v>1413.8634313733344</v>
      </c>
      <c r="AF1220" s="15">
        <f>+(D.sign_Data[[#This Row],[VALOR NETO ($COP)]]+D.sign_Data[[#This Row],[NEGOCIACIÓN ($COP)]])*1%</f>
        <v>1413.8634313733344</v>
      </c>
      <c r="AG1220" s="3">
        <f>+D.sign_Data[[#This Row],[VALOR NETO ($COP)]]+D.sign_Data[[#This Row],[NEGOCIACIÓN ($COP)]]+D.sign_Data[[#This Row],[ICA ($COP)]]+D.sign_Data[[#This Row],[4 * 1000 ($COP)]]</f>
        <v>144214.07000008007</v>
      </c>
    </row>
    <row r="1221" spans="1:33" ht="60" hidden="1" customHeight="1" x14ac:dyDescent="0.25">
      <c r="A1221" s="14"/>
      <c r="B1221" s="87" t="s">
        <v>418</v>
      </c>
      <c r="C1221" s="182" t="s">
        <v>1118</v>
      </c>
      <c r="D1221" s="189" t="str">
        <f>VLOOKUP(D.sign_Data[[#This Row],[CÓDIGO]],Descripciones[[CÓDIGO]:[NOMBRE DE SERVICIO]],3,FALSE)</f>
        <v>D6. Diseño Interior</v>
      </c>
      <c r="E1221" s="87" t="s">
        <v>1104</v>
      </c>
      <c r="F1221" s="88" t="s">
        <v>1119</v>
      </c>
      <c r="G1221" s="93" t="s">
        <v>987</v>
      </c>
      <c r="H1221" s="87" t="s">
        <v>1120</v>
      </c>
      <c r="I1221" s="94">
        <v>1</v>
      </c>
      <c r="J1221" s="93" t="s">
        <v>1113</v>
      </c>
      <c r="K1221" s="103"/>
      <c r="L1221" s="93" t="s">
        <v>1126</v>
      </c>
      <c r="M1221" s="89" t="s">
        <v>381</v>
      </c>
      <c r="N1221" s="96">
        <v>5</v>
      </c>
      <c r="O1221" s="27">
        <f>IFERROR(+VLOOKUP(M1221,D.sign_Lista_Data[[RESPONSABLE]:[SOFTWARE 
VALOR HORA]],3,FALSE),"0")</f>
        <v>20263.424518743668</v>
      </c>
      <c r="P1221" s="3">
        <f t="shared" si="46"/>
        <v>101317.12259371835</v>
      </c>
      <c r="Q1221" s="11">
        <f>IFERROR(+VLOOKUP(M1221,D.sign_Lista_Data[[RESPONSABLE]:[SOFTWARE 
VALOR HORA]],5,FALSE)*D.sign_Data[[#This Row],[TIEMPO (HORAS)]],0)</f>
        <v>21107.733873691319</v>
      </c>
      <c r="R1221" s="11">
        <f>IFERROR(+VLOOKUP(M1221,D.sign_Lista_Data[[RESPONSABLE]:[SOFTWARE 
VALOR HORA]],8,FALSE)*D.sign_Data[[#This Row],[TIEMPO (HORAS)]],0)</f>
        <v>17054.274435719919</v>
      </c>
      <c r="S1221" s="99"/>
      <c r="T1221" s="99"/>
      <c r="U1221" s="3">
        <f t="shared" si="47"/>
        <v>139479.13090312958</v>
      </c>
      <c r="V1221" s="100">
        <f>D.sign_Data[[#This Row],[TIEMPO (HORAS)]]*Gastos_Operativos[[#Totals],[GASTOS HORA]]</f>
        <v>138947.38536155201</v>
      </c>
      <c r="W1221" s="3">
        <f>+D.sign_Data[[#This Row],[COSTO 
DIRECTO ($COP)]]+D.sign_Data[[#This Row],[PRORRATEO GASTOS ($COP)]]</f>
        <v>278426.51626468159</v>
      </c>
      <c r="X1221" s="101">
        <v>0.05</v>
      </c>
      <c r="Y1221" s="15">
        <f>+D.sign_Data[[#This Row],[COSTOS OPERACIONALES ($COP)]]*D.sign_Data[[#This Row],[DESFASE (%)]]</f>
        <v>13921.32581323408</v>
      </c>
      <c r="Z1221" s="101">
        <v>0.18</v>
      </c>
      <c r="AA1221" s="15">
        <f>+((D.sign_Data[[#This Row],[COSTOS OPERACIONALES ($COP)]]/(100%-D.sign_Data[[#This Row],[UTILIDAD (%)]])))-D.sign_Data[[#This Row],[COSTOS OPERACIONALES ($COP)]]</f>
        <v>61118.015765417891</v>
      </c>
      <c r="AB1221" s="3">
        <f>+D.sign_Data[[#This Row],[COSTOS OPERACIONALES ($COP)]]+D.sign_Data[[#This Row],[DESFASE ($COP)]]+D.sign_Data[[#This Row],[UTILIDAD ($COP)]]</f>
        <v>353465.85784333356</v>
      </c>
      <c r="AC1221" s="101">
        <v>0</v>
      </c>
      <c r="AD1221" s="15">
        <f>+D.sign_Data[[#This Row],[VALOR NETO ($COP)]]/(100%-D.sign_Data[[#This Row],[MARGEN DE NEGOCIACIÓN (%)]])-D.sign_Data[[#This Row],[VALOR NETO ($COP)]]</f>
        <v>0</v>
      </c>
      <c r="AE1221" s="15">
        <f>+(D.sign_Data[[#This Row],[VALOR NETO ($COP)]]+D.sign_Data[[#This Row],[NEGOCIACIÓN ($COP)]])*1%</f>
        <v>3534.6585784333356</v>
      </c>
      <c r="AF1221" s="15">
        <f>+(D.sign_Data[[#This Row],[VALOR NETO ($COP)]]+D.sign_Data[[#This Row],[NEGOCIACIÓN ($COP)]])*1%</f>
        <v>3534.6585784333356</v>
      </c>
      <c r="AG1221" s="3">
        <f>+D.sign_Data[[#This Row],[VALOR NETO ($COP)]]+D.sign_Data[[#This Row],[NEGOCIACIÓN ($COP)]]+D.sign_Data[[#This Row],[ICA ($COP)]]+D.sign_Data[[#This Row],[4 * 1000 ($COP)]]</f>
        <v>360535.17500020022</v>
      </c>
    </row>
    <row r="1222" spans="1:33" ht="60" hidden="1" customHeight="1" x14ac:dyDescent="0.25">
      <c r="A1222" s="14"/>
      <c r="B1222" s="87" t="s">
        <v>418</v>
      </c>
      <c r="C1222" s="182" t="s">
        <v>1118</v>
      </c>
      <c r="D1222" s="189" t="str">
        <f>VLOOKUP(D.sign_Data[[#This Row],[CÓDIGO]],Descripciones[[CÓDIGO]:[NOMBRE DE SERVICIO]],3,FALSE)</f>
        <v>D6. Diseño Interior</v>
      </c>
      <c r="E1222" s="87" t="s">
        <v>1104</v>
      </c>
      <c r="F1222" s="88" t="s">
        <v>1119</v>
      </c>
      <c r="G1222" s="93" t="s">
        <v>987</v>
      </c>
      <c r="H1222" s="87" t="s">
        <v>1120</v>
      </c>
      <c r="I1222" s="94">
        <v>1</v>
      </c>
      <c r="J1222" s="93" t="s">
        <v>684</v>
      </c>
      <c r="K1222" s="103"/>
      <c r="L1222" s="93" t="s">
        <v>1127</v>
      </c>
      <c r="M1222" s="95" t="s">
        <v>381</v>
      </c>
      <c r="N1222" s="96">
        <v>0.5</v>
      </c>
      <c r="O1222" s="27">
        <f>IFERROR(+VLOOKUP(M1222,D.sign_Lista_Data[[RESPONSABLE]:[SOFTWARE 
VALOR HORA]],3,FALSE),"0")</f>
        <v>20263.424518743668</v>
      </c>
      <c r="P1222" s="3">
        <f t="shared" si="46"/>
        <v>10131.712259371834</v>
      </c>
      <c r="Q1222" s="11">
        <f>IFERROR(+VLOOKUP(M1222,D.sign_Lista_Data[[RESPONSABLE]:[SOFTWARE 
VALOR HORA]],5,FALSE)*D.sign_Data[[#This Row],[TIEMPO (HORAS)]],0)</f>
        <v>2110.7733873691318</v>
      </c>
      <c r="R1222" s="11">
        <f>IFERROR(+VLOOKUP(M1222,D.sign_Lista_Data[[RESPONSABLE]:[SOFTWARE 
VALOR HORA]],8,FALSE)*D.sign_Data[[#This Row],[TIEMPO (HORAS)]],0)</f>
        <v>1705.4274435719917</v>
      </c>
      <c r="S1222" s="99"/>
      <c r="T1222" s="99"/>
      <c r="U1222" s="3">
        <f t="shared" si="47"/>
        <v>13947.913090312959</v>
      </c>
      <c r="V1222" s="100">
        <f>D.sign_Data[[#This Row],[TIEMPO (HORAS)]]*Gastos_Operativos[[#Totals],[GASTOS HORA]]</f>
        <v>13894.738536155201</v>
      </c>
      <c r="W1222" s="3">
        <f>+D.sign_Data[[#This Row],[COSTO 
DIRECTO ($COP)]]+D.sign_Data[[#This Row],[PRORRATEO GASTOS ($COP)]]</f>
        <v>27842.65162646816</v>
      </c>
      <c r="X1222" s="101">
        <v>0.05</v>
      </c>
      <c r="Y1222" s="15">
        <f>+D.sign_Data[[#This Row],[COSTOS OPERACIONALES ($COP)]]*D.sign_Data[[#This Row],[DESFASE (%)]]</f>
        <v>1392.132581323408</v>
      </c>
      <c r="Z1222" s="101">
        <v>0.18</v>
      </c>
      <c r="AA1222" s="15">
        <f>+((D.sign_Data[[#This Row],[COSTOS OPERACIONALES ($COP)]]/(100%-D.sign_Data[[#This Row],[UTILIDAD (%)]])))-D.sign_Data[[#This Row],[COSTOS OPERACIONALES ($COP)]]</f>
        <v>6111.8015765417913</v>
      </c>
      <c r="AB1222" s="3">
        <f>+D.sign_Data[[#This Row],[COSTOS OPERACIONALES ($COP)]]+D.sign_Data[[#This Row],[DESFASE ($COP)]]+D.sign_Data[[#This Row],[UTILIDAD ($COP)]]</f>
        <v>35346.585784333358</v>
      </c>
      <c r="AC1222" s="101">
        <v>0</v>
      </c>
      <c r="AD1222" s="15">
        <f>+D.sign_Data[[#This Row],[VALOR NETO ($COP)]]/(100%-D.sign_Data[[#This Row],[MARGEN DE NEGOCIACIÓN (%)]])-D.sign_Data[[#This Row],[VALOR NETO ($COP)]]</f>
        <v>0</v>
      </c>
      <c r="AE1222" s="15">
        <f>+(D.sign_Data[[#This Row],[VALOR NETO ($COP)]]+D.sign_Data[[#This Row],[NEGOCIACIÓN ($COP)]])*1%</f>
        <v>353.46585784333359</v>
      </c>
      <c r="AF1222" s="15">
        <f>+(D.sign_Data[[#This Row],[VALOR NETO ($COP)]]+D.sign_Data[[#This Row],[NEGOCIACIÓN ($COP)]])*1%</f>
        <v>353.46585784333359</v>
      </c>
      <c r="AG1222" s="3">
        <f>+D.sign_Data[[#This Row],[VALOR NETO ($COP)]]+D.sign_Data[[#This Row],[NEGOCIACIÓN ($COP)]]+D.sign_Data[[#This Row],[ICA ($COP)]]+D.sign_Data[[#This Row],[4 * 1000 ($COP)]]</f>
        <v>36053.517500020018</v>
      </c>
    </row>
    <row r="1223" spans="1:33" ht="60" hidden="1" customHeight="1" x14ac:dyDescent="0.25">
      <c r="A1223" s="14"/>
      <c r="B1223" s="87" t="s">
        <v>418</v>
      </c>
      <c r="C1223" s="182" t="s">
        <v>1118</v>
      </c>
      <c r="D1223" s="189" t="str">
        <f>VLOOKUP(D.sign_Data[[#This Row],[CÓDIGO]],Descripciones[[CÓDIGO]:[NOMBRE DE SERVICIO]],3,FALSE)</f>
        <v>D6. Diseño Interior</v>
      </c>
      <c r="E1223" s="87" t="s">
        <v>1104</v>
      </c>
      <c r="F1223" s="88" t="s">
        <v>1119</v>
      </c>
      <c r="G1223" s="88" t="s">
        <v>1128</v>
      </c>
      <c r="H1223" s="87" t="s">
        <v>1120</v>
      </c>
      <c r="I1223" s="94">
        <v>1</v>
      </c>
      <c r="J1223" s="88" t="s">
        <v>1129</v>
      </c>
      <c r="K1223" s="102"/>
      <c r="L1223" s="88" t="s">
        <v>1130</v>
      </c>
      <c r="M1223" s="89" t="s">
        <v>381</v>
      </c>
      <c r="N1223" s="90">
        <v>0.5</v>
      </c>
      <c r="O1223" s="27">
        <f>IFERROR(+VLOOKUP(M1223,D.sign_Lista_Data[[RESPONSABLE]:[SOFTWARE 
VALOR HORA]],3,FALSE),"0")</f>
        <v>20263.424518743668</v>
      </c>
      <c r="P1223" s="3">
        <f t="shared" si="46"/>
        <v>10131.712259371834</v>
      </c>
      <c r="Q1223" s="11">
        <f>IFERROR(+VLOOKUP(M1223,D.sign_Lista_Data[[RESPONSABLE]:[SOFTWARE 
VALOR HORA]],5,FALSE)*D.sign_Data[[#This Row],[TIEMPO (HORAS)]],0)</f>
        <v>2110.7733873691318</v>
      </c>
      <c r="R1223" s="11">
        <f>IFERROR(+VLOOKUP(M1223,D.sign_Lista_Data[[RESPONSABLE]:[SOFTWARE 
VALOR HORA]],8,FALSE)*D.sign_Data[[#This Row],[TIEMPO (HORAS)]],0)</f>
        <v>1705.4274435719917</v>
      </c>
      <c r="S1223" s="99"/>
      <c r="T1223" s="99"/>
      <c r="U1223" s="3">
        <f t="shared" si="47"/>
        <v>13947.913090312959</v>
      </c>
      <c r="V1223" s="100">
        <f>D.sign_Data[[#This Row],[TIEMPO (HORAS)]]*Gastos_Operativos[[#Totals],[GASTOS HORA]]</f>
        <v>13894.738536155201</v>
      </c>
      <c r="W1223" s="3">
        <f>+D.sign_Data[[#This Row],[COSTO 
DIRECTO ($COP)]]+D.sign_Data[[#This Row],[PRORRATEO GASTOS ($COP)]]</f>
        <v>27842.65162646816</v>
      </c>
      <c r="X1223" s="101">
        <v>0.05</v>
      </c>
      <c r="Y1223" s="15">
        <f>+D.sign_Data[[#This Row],[COSTOS OPERACIONALES ($COP)]]*D.sign_Data[[#This Row],[DESFASE (%)]]</f>
        <v>1392.132581323408</v>
      </c>
      <c r="Z1223" s="101">
        <v>0.18</v>
      </c>
      <c r="AA1223" s="15">
        <f>+((D.sign_Data[[#This Row],[COSTOS OPERACIONALES ($COP)]]/(100%-D.sign_Data[[#This Row],[UTILIDAD (%)]])))-D.sign_Data[[#This Row],[COSTOS OPERACIONALES ($COP)]]</f>
        <v>6111.8015765417913</v>
      </c>
      <c r="AB1223" s="3">
        <f>+D.sign_Data[[#This Row],[COSTOS OPERACIONALES ($COP)]]+D.sign_Data[[#This Row],[DESFASE ($COP)]]+D.sign_Data[[#This Row],[UTILIDAD ($COP)]]</f>
        <v>35346.585784333358</v>
      </c>
      <c r="AC1223" s="101">
        <v>0</v>
      </c>
      <c r="AD1223" s="15">
        <f>+D.sign_Data[[#This Row],[VALOR NETO ($COP)]]/(100%-D.sign_Data[[#This Row],[MARGEN DE NEGOCIACIÓN (%)]])-D.sign_Data[[#This Row],[VALOR NETO ($COP)]]</f>
        <v>0</v>
      </c>
      <c r="AE1223" s="15">
        <f>+(D.sign_Data[[#This Row],[VALOR NETO ($COP)]]+D.sign_Data[[#This Row],[NEGOCIACIÓN ($COP)]])*1%</f>
        <v>353.46585784333359</v>
      </c>
      <c r="AF1223" s="15">
        <f>+(D.sign_Data[[#This Row],[VALOR NETO ($COP)]]+D.sign_Data[[#This Row],[NEGOCIACIÓN ($COP)]])*1%</f>
        <v>353.46585784333359</v>
      </c>
      <c r="AG1223" s="3">
        <f>+D.sign_Data[[#This Row],[VALOR NETO ($COP)]]+D.sign_Data[[#This Row],[NEGOCIACIÓN ($COP)]]+D.sign_Data[[#This Row],[ICA ($COP)]]+D.sign_Data[[#This Row],[4 * 1000 ($COP)]]</f>
        <v>36053.517500020018</v>
      </c>
    </row>
    <row r="1224" spans="1:33" ht="60" hidden="1" customHeight="1" x14ac:dyDescent="0.25">
      <c r="A1224" s="14"/>
      <c r="B1224" s="87" t="s">
        <v>418</v>
      </c>
      <c r="C1224" s="182" t="s">
        <v>1118</v>
      </c>
      <c r="D1224" s="189" t="str">
        <f>VLOOKUP(D.sign_Data[[#This Row],[CÓDIGO]],Descripciones[[CÓDIGO]:[NOMBRE DE SERVICIO]],3,FALSE)</f>
        <v>D6. Diseño Interior</v>
      </c>
      <c r="E1224" s="87" t="s">
        <v>1104</v>
      </c>
      <c r="F1224" s="88" t="s">
        <v>1119</v>
      </c>
      <c r="G1224" s="88" t="s">
        <v>1131</v>
      </c>
      <c r="H1224" s="87" t="s">
        <v>1120</v>
      </c>
      <c r="I1224" s="94">
        <v>1</v>
      </c>
      <c r="J1224" s="88" t="s">
        <v>1132</v>
      </c>
      <c r="K1224" s="102"/>
      <c r="L1224" s="88" t="s">
        <v>1133</v>
      </c>
      <c r="M1224" s="89" t="s">
        <v>381</v>
      </c>
      <c r="N1224" s="90">
        <v>30</v>
      </c>
      <c r="O1224" s="27">
        <f>IFERROR(+VLOOKUP(M1224,D.sign_Lista_Data[[RESPONSABLE]:[SOFTWARE 
VALOR HORA]],3,FALSE),"0")</f>
        <v>20263.424518743668</v>
      </c>
      <c r="P1224" s="3">
        <f t="shared" si="46"/>
        <v>607902.73556231009</v>
      </c>
      <c r="Q1224" s="11">
        <f>IFERROR(+VLOOKUP(M1224,D.sign_Lista_Data[[RESPONSABLE]:[SOFTWARE 
VALOR HORA]],5,FALSE)*D.sign_Data[[#This Row],[TIEMPO (HORAS)]],0)</f>
        <v>126646.40324214791</v>
      </c>
      <c r="R1224" s="11">
        <f>IFERROR(+VLOOKUP(M1224,D.sign_Lista_Data[[RESPONSABLE]:[SOFTWARE 
VALOR HORA]],8,FALSE)*D.sign_Data[[#This Row],[TIEMPO (HORAS)]],0)</f>
        <v>102325.6466143195</v>
      </c>
      <c r="S1224" s="99"/>
      <c r="T1224" s="99"/>
      <c r="U1224" s="3">
        <f t="shared" si="47"/>
        <v>836874.78541877749</v>
      </c>
      <c r="V1224" s="100">
        <f>D.sign_Data[[#This Row],[TIEMPO (HORAS)]]*Gastos_Operativos[[#Totals],[GASTOS HORA]]</f>
        <v>833684.31216931203</v>
      </c>
      <c r="W1224" s="3">
        <f>+D.sign_Data[[#This Row],[COSTO 
DIRECTO ($COP)]]+D.sign_Data[[#This Row],[PRORRATEO GASTOS ($COP)]]</f>
        <v>1670559.0975880895</v>
      </c>
      <c r="X1224" s="101">
        <v>0.05</v>
      </c>
      <c r="Y1224" s="15">
        <f>+D.sign_Data[[#This Row],[COSTOS OPERACIONALES ($COP)]]*D.sign_Data[[#This Row],[DESFASE (%)]]</f>
        <v>83527.954879404482</v>
      </c>
      <c r="Z1224" s="101">
        <v>0.18</v>
      </c>
      <c r="AA1224" s="15">
        <f>+((D.sign_Data[[#This Row],[COSTOS OPERACIONALES ($COP)]]/(100%-D.sign_Data[[#This Row],[UTILIDAD (%)]])))-D.sign_Data[[#This Row],[COSTOS OPERACIONALES ($COP)]]</f>
        <v>366708.09459250723</v>
      </c>
      <c r="AB1224" s="3">
        <f>+D.sign_Data[[#This Row],[COSTOS OPERACIONALES ($COP)]]+D.sign_Data[[#This Row],[DESFASE ($COP)]]+D.sign_Data[[#This Row],[UTILIDAD ($COP)]]</f>
        <v>2120795.1470600013</v>
      </c>
      <c r="AC1224" s="101">
        <v>0</v>
      </c>
      <c r="AD1224" s="15">
        <f>+D.sign_Data[[#This Row],[VALOR NETO ($COP)]]/(100%-D.sign_Data[[#This Row],[MARGEN DE NEGOCIACIÓN (%)]])-D.sign_Data[[#This Row],[VALOR NETO ($COP)]]</f>
        <v>0</v>
      </c>
      <c r="AE1224" s="15">
        <f>+(D.sign_Data[[#This Row],[VALOR NETO ($COP)]]+D.sign_Data[[#This Row],[NEGOCIACIÓN ($COP)]])*1%</f>
        <v>21207.951470600012</v>
      </c>
      <c r="AF1224" s="15">
        <f>+(D.sign_Data[[#This Row],[VALOR NETO ($COP)]]+D.sign_Data[[#This Row],[NEGOCIACIÓN ($COP)]])*1%</f>
        <v>21207.951470600012</v>
      </c>
      <c r="AG1224" s="3">
        <f>+D.sign_Data[[#This Row],[VALOR NETO ($COP)]]+D.sign_Data[[#This Row],[NEGOCIACIÓN ($COP)]]+D.sign_Data[[#This Row],[ICA ($COP)]]+D.sign_Data[[#This Row],[4 * 1000 ($COP)]]</f>
        <v>2163211.0500012012</v>
      </c>
    </row>
    <row r="1225" spans="1:33" ht="60" hidden="1" customHeight="1" x14ac:dyDescent="0.25">
      <c r="A1225" s="14"/>
      <c r="B1225" s="87" t="s">
        <v>418</v>
      </c>
      <c r="C1225" s="182" t="s">
        <v>1118</v>
      </c>
      <c r="D1225" s="189" t="str">
        <f>VLOOKUP(D.sign_Data[[#This Row],[CÓDIGO]],Descripciones[[CÓDIGO]:[NOMBRE DE SERVICIO]],3,FALSE)</f>
        <v>D6. Diseño Interior</v>
      </c>
      <c r="E1225" s="87" t="s">
        <v>1104</v>
      </c>
      <c r="F1225" s="88" t="s">
        <v>1119</v>
      </c>
      <c r="G1225" s="93" t="s">
        <v>987</v>
      </c>
      <c r="H1225" s="87" t="s">
        <v>1120</v>
      </c>
      <c r="I1225" s="92"/>
      <c r="J1225" s="88" t="s">
        <v>1116</v>
      </c>
      <c r="K1225" s="102"/>
      <c r="L1225" s="88" t="s">
        <v>1117</v>
      </c>
      <c r="M1225" s="95" t="s">
        <v>381</v>
      </c>
      <c r="N1225" s="90">
        <v>1</v>
      </c>
      <c r="O1225" s="27">
        <f>IFERROR(+VLOOKUP(M1225,D.sign_Lista_Data[[RESPONSABLE]:[SOFTWARE 
VALOR HORA]],3,FALSE),"0")</f>
        <v>20263.424518743668</v>
      </c>
      <c r="P1225" s="3">
        <f t="shared" si="46"/>
        <v>20263.424518743668</v>
      </c>
      <c r="Q1225" s="11">
        <f>IFERROR(+VLOOKUP(M1225,D.sign_Lista_Data[[RESPONSABLE]:[SOFTWARE 
VALOR HORA]],5,FALSE)*D.sign_Data[[#This Row],[TIEMPO (HORAS)]],0)</f>
        <v>4221.5467747382636</v>
      </c>
      <c r="R1225" s="11">
        <f>IFERROR(+VLOOKUP(M1225,D.sign_Lista_Data[[RESPONSABLE]:[SOFTWARE 
VALOR HORA]],8,FALSE)*D.sign_Data[[#This Row],[TIEMPO (HORAS)]],0)</f>
        <v>3410.8548871439834</v>
      </c>
      <c r="S1225" s="99"/>
      <c r="T1225" s="99"/>
      <c r="U1225" s="3">
        <f t="shared" si="47"/>
        <v>27895.826180625918</v>
      </c>
      <c r="V1225" s="100">
        <f>D.sign_Data[[#This Row],[TIEMPO (HORAS)]]*Gastos_Operativos[[#Totals],[GASTOS HORA]]</f>
        <v>27789.477072310401</v>
      </c>
      <c r="W1225" s="3">
        <f>+D.sign_Data[[#This Row],[COSTO 
DIRECTO ($COP)]]+D.sign_Data[[#This Row],[PRORRATEO GASTOS ($COP)]]</f>
        <v>55685.303252936319</v>
      </c>
      <c r="X1225" s="101">
        <v>0.05</v>
      </c>
      <c r="Y1225" s="15">
        <f>+D.sign_Data[[#This Row],[COSTOS OPERACIONALES ($COP)]]*D.sign_Data[[#This Row],[DESFASE (%)]]</f>
        <v>2784.265162646816</v>
      </c>
      <c r="Z1225" s="101">
        <v>0.18</v>
      </c>
      <c r="AA1225" s="15">
        <f>+((D.sign_Data[[#This Row],[COSTOS OPERACIONALES ($COP)]]/(100%-D.sign_Data[[#This Row],[UTILIDAD (%)]])))-D.sign_Data[[#This Row],[COSTOS OPERACIONALES ($COP)]]</f>
        <v>12223.603153083583</v>
      </c>
      <c r="AB1225" s="3">
        <f>+D.sign_Data[[#This Row],[COSTOS OPERACIONALES ($COP)]]+D.sign_Data[[#This Row],[DESFASE ($COP)]]+D.sign_Data[[#This Row],[UTILIDAD ($COP)]]</f>
        <v>70693.171568666716</v>
      </c>
      <c r="AC1225" s="101">
        <v>0</v>
      </c>
      <c r="AD1225" s="15">
        <f>+D.sign_Data[[#This Row],[VALOR NETO ($COP)]]/(100%-D.sign_Data[[#This Row],[MARGEN DE NEGOCIACIÓN (%)]])-D.sign_Data[[#This Row],[VALOR NETO ($COP)]]</f>
        <v>0</v>
      </c>
      <c r="AE1225" s="15">
        <f>+(D.sign_Data[[#This Row],[VALOR NETO ($COP)]]+D.sign_Data[[#This Row],[NEGOCIACIÓN ($COP)]])*1%</f>
        <v>706.93171568666719</v>
      </c>
      <c r="AF1225" s="15">
        <f>+(D.sign_Data[[#This Row],[VALOR NETO ($COP)]]+D.sign_Data[[#This Row],[NEGOCIACIÓN ($COP)]])*1%</f>
        <v>706.93171568666719</v>
      </c>
      <c r="AG1225" s="3">
        <f>+D.sign_Data[[#This Row],[VALOR NETO ($COP)]]+D.sign_Data[[#This Row],[NEGOCIACIÓN ($COP)]]+D.sign_Data[[#This Row],[ICA ($COP)]]+D.sign_Data[[#This Row],[4 * 1000 ($COP)]]</f>
        <v>72107.035000040036</v>
      </c>
    </row>
    <row r="1226" spans="1:33" ht="60" hidden="1" customHeight="1" x14ac:dyDescent="0.25">
      <c r="A1226" s="14"/>
      <c r="B1226" s="87" t="s">
        <v>418</v>
      </c>
      <c r="C1226" s="182" t="s">
        <v>1134</v>
      </c>
      <c r="D1226" s="189" t="str">
        <f>VLOOKUP(D.sign_Data[[#This Row],[CÓDIGO]],Descripciones[[CÓDIGO]:[NOMBRE DE SERVICIO]],3,FALSE)</f>
        <v>D6. Diseño Interior</v>
      </c>
      <c r="E1226" s="87" t="s">
        <v>1104</v>
      </c>
      <c r="F1226" s="88" t="s">
        <v>1135</v>
      </c>
      <c r="G1226" s="88" t="s">
        <v>978</v>
      </c>
      <c r="H1226" s="87" t="s">
        <v>1136</v>
      </c>
      <c r="I1226" s="89">
        <v>1</v>
      </c>
      <c r="J1226" s="93" t="s">
        <v>1111</v>
      </c>
      <c r="K1226" s="102"/>
      <c r="L1226" s="93" t="s">
        <v>1121</v>
      </c>
      <c r="M1226" s="89" t="s">
        <v>381</v>
      </c>
      <c r="N1226" s="90">
        <v>5</v>
      </c>
      <c r="O1226" s="27">
        <f>IFERROR(+VLOOKUP(M1226,D.sign_Lista_Data[[RESPONSABLE]:[SOFTWARE 
VALOR HORA]],3,FALSE),"0")</f>
        <v>20263.424518743668</v>
      </c>
      <c r="P1226" s="3">
        <f t="shared" si="46"/>
        <v>101317.12259371835</v>
      </c>
      <c r="Q1226" s="11">
        <f>IFERROR(+VLOOKUP(M1226,D.sign_Lista_Data[[RESPONSABLE]:[SOFTWARE 
VALOR HORA]],5,FALSE)*D.sign_Data[[#This Row],[TIEMPO (HORAS)]],0)</f>
        <v>21107.733873691319</v>
      </c>
      <c r="R1226" s="11">
        <f>IFERROR(+VLOOKUP(M1226,D.sign_Lista_Data[[RESPONSABLE]:[SOFTWARE 
VALOR HORA]],8,FALSE)*D.sign_Data[[#This Row],[TIEMPO (HORAS)]],0)</f>
        <v>17054.274435719919</v>
      </c>
      <c r="S1226" s="99"/>
      <c r="T1226" s="99"/>
      <c r="U1226" s="3">
        <f t="shared" si="47"/>
        <v>139479.13090312958</v>
      </c>
      <c r="V1226" s="100">
        <f>D.sign_Data[[#This Row],[TIEMPO (HORAS)]]*Gastos_Operativos[[#Totals],[GASTOS HORA]]</f>
        <v>138947.38536155201</v>
      </c>
      <c r="W1226" s="3">
        <f>+D.sign_Data[[#This Row],[COSTO 
DIRECTO ($COP)]]+D.sign_Data[[#This Row],[PRORRATEO GASTOS ($COP)]]</f>
        <v>278426.51626468159</v>
      </c>
      <c r="X1226" s="101">
        <v>0.05</v>
      </c>
      <c r="Y1226" s="15">
        <f>+D.sign_Data[[#This Row],[COSTOS OPERACIONALES ($COP)]]*D.sign_Data[[#This Row],[DESFASE (%)]]</f>
        <v>13921.32581323408</v>
      </c>
      <c r="Z1226" s="101">
        <v>0.18</v>
      </c>
      <c r="AA1226" s="15">
        <f>+((D.sign_Data[[#This Row],[COSTOS OPERACIONALES ($COP)]]/(100%-D.sign_Data[[#This Row],[UTILIDAD (%)]])))-D.sign_Data[[#This Row],[COSTOS OPERACIONALES ($COP)]]</f>
        <v>61118.015765417891</v>
      </c>
      <c r="AB1226" s="3">
        <f>+D.sign_Data[[#This Row],[COSTOS OPERACIONALES ($COP)]]+D.sign_Data[[#This Row],[DESFASE ($COP)]]+D.sign_Data[[#This Row],[UTILIDAD ($COP)]]</f>
        <v>353465.85784333356</v>
      </c>
      <c r="AC1226" s="101">
        <v>0</v>
      </c>
      <c r="AD1226" s="15">
        <f>+D.sign_Data[[#This Row],[VALOR NETO ($COP)]]/(100%-D.sign_Data[[#This Row],[MARGEN DE NEGOCIACIÓN (%)]])-D.sign_Data[[#This Row],[VALOR NETO ($COP)]]</f>
        <v>0</v>
      </c>
      <c r="AE1226" s="15">
        <f>+(D.sign_Data[[#This Row],[VALOR NETO ($COP)]]+D.sign_Data[[#This Row],[NEGOCIACIÓN ($COP)]])*1%</f>
        <v>3534.6585784333356</v>
      </c>
      <c r="AF1226" s="15">
        <f>+(D.sign_Data[[#This Row],[VALOR NETO ($COP)]]+D.sign_Data[[#This Row],[NEGOCIACIÓN ($COP)]])*1%</f>
        <v>3534.6585784333356</v>
      </c>
      <c r="AG1226" s="3">
        <f>+D.sign_Data[[#This Row],[VALOR NETO ($COP)]]+D.sign_Data[[#This Row],[NEGOCIACIÓN ($COP)]]+D.sign_Data[[#This Row],[ICA ($COP)]]+D.sign_Data[[#This Row],[4 * 1000 ($COP)]]</f>
        <v>360535.17500020022</v>
      </c>
    </row>
    <row r="1227" spans="1:33" ht="60" hidden="1" customHeight="1" x14ac:dyDescent="0.25">
      <c r="A1227" s="14"/>
      <c r="B1227" s="87" t="s">
        <v>418</v>
      </c>
      <c r="C1227" s="182" t="s">
        <v>1134</v>
      </c>
      <c r="D1227" s="189" t="str">
        <f>VLOOKUP(D.sign_Data[[#This Row],[CÓDIGO]],Descripciones[[CÓDIGO]:[NOMBRE DE SERVICIO]],3,FALSE)</f>
        <v>D6. Diseño Interior</v>
      </c>
      <c r="E1227" s="87" t="s">
        <v>1104</v>
      </c>
      <c r="F1227" s="88" t="s">
        <v>1135</v>
      </c>
      <c r="G1227" s="88" t="s">
        <v>978</v>
      </c>
      <c r="H1227" s="87" t="s">
        <v>1136</v>
      </c>
      <c r="I1227" s="89">
        <v>1</v>
      </c>
      <c r="J1227" s="88" t="s">
        <v>1137</v>
      </c>
      <c r="K1227" s="102"/>
      <c r="L1227" s="88" t="s">
        <v>1138</v>
      </c>
      <c r="M1227" s="89" t="s">
        <v>381</v>
      </c>
      <c r="N1227" s="90">
        <v>8</v>
      </c>
      <c r="O1227" s="27">
        <f>IFERROR(+VLOOKUP(M1227,D.sign_Lista_Data[[RESPONSABLE]:[SOFTWARE 
VALOR HORA]],3,FALSE),"0")</f>
        <v>20263.424518743668</v>
      </c>
      <c r="P1227" s="3">
        <f t="shared" si="46"/>
        <v>162107.39614994935</v>
      </c>
      <c r="Q1227" s="11">
        <f>IFERROR(+VLOOKUP(M1227,D.sign_Lista_Data[[RESPONSABLE]:[SOFTWARE 
VALOR HORA]],5,FALSE)*D.sign_Data[[#This Row],[TIEMPO (HORAS)]],0)</f>
        <v>33772.374197906109</v>
      </c>
      <c r="R1227" s="11">
        <f>IFERROR(+VLOOKUP(M1227,D.sign_Lista_Data[[RESPONSABLE]:[SOFTWARE 
VALOR HORA]],8,FALSE)*D.sign_Data[[#This Row],[TIEMPO (HORAS)]],0)</f>
        <v>27286.839097151867</v>
      </c>
      <c r="S1227" s="99"/>
      <c r="T1227" s="99"/>
      <c r="U1227" s="3">
        <f t="shared" si="47"/>
        <v>223166.60944500734</v>
      </c>
      <c r="V1227" s="100">
        <f>D.sign_Data[[#This Row],[TIEMPO (HORAS)]]*Gastos_Operativos[[#Totals],[GASTOS HORA]]</f>
        <v>222315.81657848321</v>
      </c>
      <c r="W1227" s="3">
        <f>+D.sign_Data[[#This Row],[COSTO 
DIRECTO ($COP)]]+D.sign_Data[[#This Row],[PRORRATEO GASTOS ($COP)]]</f>
        <v>445482.42602349055</v>
      </c>
      <c r="X1227" s="101">
        <v>0.05</v>
      </c>
      <c r="Y1227" s="15">
        <f>+D.sign_Data[[#This Row],[COSTOS OPERACIONALES ($COP)]]*D.sign_Data[[#This Row],[DESFASE (%)]]</f>
        <v>22274.121301174528</v>
      </c>
      <c r="Z1227" s="101">
        <v>0.18</v>
      </c>
      <c r="AA1227" s="15">
        <f>+((D.sign_Data[[#This Row],[COSTOS OPERACIONALES ($COP)]]/(100%-D.sign_Data[[#This Row],[UTILIDAD (%)]])))-D.sign_Data[[#This Row],[COSTOS OPERACIONALES ($COP)]]</f>
        <v>97788.825224668661</v>
      </c>
      <c r="AB1227" s="3">
        <f>+D.sign_Data[[#This Row],[COSTOS OPERACIONALES ($COP)]]+D.sign_Data[[#This Row],[DESFASE ($COP)]]+D.sign_Data[[#This Row],[UTILIDAD ($COP)]]</f>
        <v>565545.37254933373</v>
      </c>
      <c r="AC1227" s="101">
        <v>0</v>
      </c>
      <c r="AD1227" s="15">
        <f>+D.sign_Data[[#This Row],[VALOR NETO ($COP)]]/(100%-D.sign_Data[[#This Row],[MARGEN DE NEGOCIACIÓN (%)]])-D.sign_Data[[#This Row],[VALOR NETO ($COP)]]</f>
        <v>0</v>
      </c>
      <c r="AE1227" s="15">
        <f>+(D.sign_Data[[#This Row],[VALOR NETO ($COP)]]+D.sign_Data[[#This Row],[NEGOCIACIÓN ($COP)]])*1%</f>
        <v>5655.4537254933375</v>
      </c>
      <c r="AF1227" s="15">
        <f>+(D.sign_Data[[#This Row],[VALOR NETO ($COP)]]+D.sign_Data[[#This Row],[NEGOCIACIÓN ($COP)]])*1%</f>
        <v>5655.4537254933375</v>
      </c>
      <c r="AG1227" s="3">
        <f>+D.sign_Data[[#This Row],[VALOR NETO ($COP)]]+D.sign_Data[[#This Row],[NEGOCIACIÓN ($COP)]]+D.sign_Data[[#This Row],[ICA ($COP)]]+D.sign_Data[[#This Row],[4 * 1000 ($COP)]]</f>
        <v>576856.28000032029</v>
      </c>
    </row>
    <row r="1228" spans="1:33" ht="60" hidden="1" customHeight="1" x14ac:dyDescent="0.25">
      <c r="A1228" s="14"/>
      <c r="B1228" s="87" t="s">
        <v>418</v>
      </c>
      <c r="C1228" s="182" t="s">
        <v>1134</v>
      </c>
      <c r="D1228" s="189" t="str">
        <f>VLOOKUP(D.sign_Data[[#This Row],[CÓDIGO]],Descripciones[[CÓDIGO]:[NOMBRE DE SERVICIO]],3,FALSE)</f>
        <v>D6. Diseño Interior</v>
      </c>
      <c r="E1228" s="87" t="s">
        <v>1104</v>
      </c>
      <c r="F1228" s="88" t="s">
        <v>1135</v>
      </c>
      <c r="G1228" s="88" t="s">
        <v>978</v>
      </c>
      <c r="H1228" s="87" t="s">
        <v>1136</v>
      </c>
      <c r="I1228" s="94">
        <v>1</v>
      </c>
      <c r="J1228" s="93" t="s">
        <v>1108</v>
      </c>
      <c r="K1228" s="103"/>
      <c r="L1228" s="93" t="s">
        <v>1109</v>
      </c>
      <c r="M1228" s="89" t="s">
        <v>381</v>
      </c>
      <c r="N1228" s="98">
        <v>5</v>
      </c>
      <c r="O1228" s="27">
        <f>IFERROR(+VLOOKUP(M1228,D.sign_Lista_Data[[RESPONSABLE]:[SOFTWARE 
VALOR HORA]],3,FALSE),"0")</f>
        <v>20263.424518743668</v>
      </c>
      <c r="P1228" s="3">
        <f t="shared" si="46"/>
        <v>101317.12259371835</v>
      </c>
      <c r="Q1228" s="11">
        <f>IFERROR(+VLOOKUP(M1228,D.sign_Lista_Data[[RESPONSABLE]:[SOFTWARE 
VALOR HORA]],5,FALSE)*D.sign_Data[[#This Row],[TIEMPO (HORAS)]],0)</f>
        <v>21107.733873691319</v>
      </c>
      <c r="R1228" s="11">
        <f>IFERROR(+VLOOKUP(M1228,D.sign_Lista_Data[[RESPONSABLE]:[SOFTWARE 
VALOR HORA]],8,FALSE)*D.sign_Data[[#This Row],[TIEMPO (HORAS)]],0)</f>
        <v>17054.274435719919</v>
      </c>
      <c r="S1228" s="99"/>
      <c r="T1228" s="99"/>
      <c r="U1228" s="3">
        <f t="shared" si="47"/>
        <v>139479.13090312958</v>
      </c>
      <c r="V1228" s="100">
        <f>D.sign_Data[[#This Row],[TIEMPO (HORAS)]]*Gastos_Operativos[[#Totals],[GASTOS HORA]]</f>
        <v>138947.38536155201</v>
      </c>
      <c r="W1228" s="3">
        <f>+D.sign_Data[[#This Row],[COSTO 
DIRECTO ($COP)]]+D.sign_Data[[#This Row],[PRORRATEO GASTOS ($COP)]]</f>
        <v>278426.51626468159</v>
      </c>
      <c r="X1228" s="101">
        <v>0.05</v>
      </c>
      <c r="Y1228" s="15">
        <f>+D.sign_Data[[#This Row],[COSTOS OPERACIONALES ($COP)]]*D.sign_Data[[#This Row],[DESFASE (%)]]</f>
        <v>13921.32581323408</v>
      </c>
      <c r="Z1228" s="101">
        <v>0.18</v>
      </c>
      <c r="AA1228" s="15">
        <f>+((D.sign_Data[[#This Row],[COSTOS OPERACIONALES ($COP)]]/(100%-D.sign_Data[[#This Row],[UTILIDAD (%)]])))-D.sign_Data[[#This Row],[COSTOS OPERACIONALES ($COP)]]</f>
        <v>61118.015765417891</v>
      </c>
      <c r="AB1228" s="3">
        <f>+D.sign_Data[[#This Row],[COSTOS OPERACIONALES ($COP)]]+D.sign_Data[[#This Row],[DESFASE ($COP)]]+D.sign_Data[[#This Row],[UTILIDAD ($COP)]]</f>
        <v>353465.85784333356</v>
      </c>
      <c r="AC1228" s="101">
        <v>0</v>
      </c>
      <c r="AD1228" s="15">
        <f>+D.sign_Data[[#This Row],[VALOR NETO ($COP)]]/(100%-D.sign_Data[[#This Row],[MARGEN DE NEGOCIACIÓN (%)]])-D.sign_Data[[#This Row],[VALOR NETO ($COP)]]</f>
        <v>0</v>
      </c>
      <c r="AE1228" s="15">
        <f>+(D.sign_Data[[#This Row],[VALOR NETO ($COP)]]+D.sign_Data[[#This Row],[NEGOCIACIÓN ($COP)]])*1%</f>
        <v>3534.6585784333356</v>
      </c>
      <c r="AF1228" s="15">
        <f>+(D.sign_Data[[#This Row],[VALOR NETO ($COP)]]+D.sign_Data[[#This Row],[NEGOCIACIÓN ($COP)]])*1%</f>
        <v>3534.6585784333356</v>
      </c>
      <c r="AG1228" s="3">
        <f>+D.sign_Data[[#This Row],[VALOR NETO ($COP)]]+D.sign_Data[[#This Row],[NEGOCIACIÓN ($COP)]]+D.sign_Data[[#This Row],[ICA ($COP)]]+D.sign_Data[[#This Row],[4 * 1000 ($COP)]]</f>
        <v>360535.17500020022</v>
      </c>
    </row>
    <row r="1229" spans="1:33" ht="60" hidden="1" customHeight="1" x14ac:dyDescent="0.25">
      <c r="A1229" s="14"/>
      <c r="B1229" s="87" t="s">
        <v>418</v>
      </c>
      <c r="C1229" s="182" t="s">
        <v>1134</v>
      </c>
      <c r="D1229" s="189" t="str">
        <f>VLOOKUP(D.sign_Data[[#This Row],[CÓDIGO]],Descripciones[[CÓDIGO]:[NOMBRE DE SERVICIO]],3,FALSE)</f>
        <v>D6. Diseño Interior</v>
      </c>
      <c r="E1229" s="87" t="s">
        <v>1104</v>
      </c>
      <c r="F1229" s="88" t="s">
        <v>1135</v>
      </c>
      <c r="G1229" s="93" t="s">
        <v>975</v>
      </c>
      <c r="H1229" s="87" t="s">
        <v>1136</v>
      </c>
      <c r="I1229" s="94">
        <v>1</v>
      </c>
      <c r="J1229" s="93" t="s">
        <v>976</v>
      </c>
      <c r="K1229" s="103"/>
      <c r="L1229" s="93" t="s">
        <v>1122</v>
      </c>
      <c r="M1229" s="95" t="s">
        <v>381</v>
      </c>
      <c r="N1229" s="96">
        <v>2</v>
      </c>
      <c r="O1229" s="27">
        <f>IFERROR(+VLOOKUP(M1229,D.sign_Lista_Data[[RESPONSABLE]:[SOFTWARE 
VALOR HORA]],3,FALSE),"0")</f>
        <v>20263.424518743668</v>
      </c>
      <c r="P1229" s="3">
        <f t="shared" si="46"/>
        <v>40526.849037487336</v>
      </c>
      <c r="Q1229" s="11">
        <f>IFERROR(+VLOOKUP(M1229,D.sign_Lista_Data[[RESPONSABLE]:[SOFTWARE 
VALOR HORA]],5,FALSE)*D.sign_Data[[#This Row],[TIEMPO (HORAS)]],0)</f>
        <v>8443.0935494765272</v>
      </c>
      <c r="R1229" s="11">
        <f>IFERROR(+VLOOKUP(M1229,D.sign_Lista_Data[[RESPONSABLE]:[SOFTWARE 
VALOR HORA]],8,FALSE)*D.sign_Data[[#This Row],[TIEMPO (HORAS)]],0)</f>
        <v>6821.7097742879669</v>
      </c>
      <c r="S1229" s="99"/>
      <c r="T1229" s="99"/>
      <c r="U1229" s="3">
        <f t="shared" si="47"/>
        <v>55791.652361251836</v>
      </c>
      <c r="V1229" s="100">
        <f>D.sign_Data[[#This Row],[TIEMPO (HORAS)]]*Gastos_Operativos[[#Totals],[GASTOS HORA]]</f>
        <v>55578.954144620802</v>
      </c>
      <c r="W1229" s="3">
        <f>+D.sign_Data[[#This Row],[COSTO 
DIRECTO ($COP)]]+D.sign_Data[[#This Row],[PRORRATEO GASTOS ($COP)]]</f>
        <v>111370.60650587264</v>
      </c>
      <c r="X1229" s="101">
        <v>0.05</v>
      </c>
      <c r="Y1229" s="15">
        <f>+D.sign_Data[[#This Row],[COSTOS OPERACIONALES ($COP)]]*D.sign_Data[[#This Row],[DESFASE (%)]]</f>
        <v>5568.5303252936319</v>
      </c>
      <c r="Z1229" s="101">
        <v>0.18</v>
      </c>
      <c r="AA1229" s="15">
        <f>+((D.sign_Data[[#This Row],[COSTOS OPERACIONALES ($COP)]]/(100%-D.sign_Data[[#This Row],[UTILIDAD (%)]])))-D.sign_Data[[#This Row],[COSTOS OPERACIONALES ($COP)]]</f>
        <v>24447.206306167165</v>
      </c>
      <c r="AB1229" s="3">
        <f>+D.sign_Data[[#This Row],[COSTOS OPERACIONALES ($COP)]]+D.sign_Data[[#This Row],[DESFASE ($COP)]]+D.sign_Data[[#This Row],[UTILIDAD ($COP)]]</f>
        <v>141386.34313733343</v>
      </c>
      <c r="AC1229" s="101">
        <v>0</v>
      </c>
      <c r="AD1229" s="15">
        <f>+D.sign_Data[[#This Row],[VALOR NETO ($COP)]]/(100%-D.sign_Data[[#This Row],[MARGEN DE NEGOCIACIÓN (%)]])-D.sign_Data[[#This Row],[VALOR NETO ($COP)]]</f>
        <v>0</v>
      </c>
      <c r="AE1229" s="15">
        <f>+(D.sign_Data[[#This Row],[VALOR NETO ($COP)]]+D.sign_Data[[#This Row],[NEGOCIACIÓN ($COP)]])*1%</f>
        <v>1413.8634313733344</v>
      </c>
      <c r="AF1229" s="15">
        <f>+(D.sign_Data[[#This Row],[VALOR NETO ($COP)]]+D.sign_Data[[#This Row],[NEGOCIACIÓN ($COP)]])*1%</f>
        <v>1413.8634313733344</v>
      </c>
      <c r="AG1229" s="3">
        <f>+D.sign_Data[[#This Row],[VALOR NETO ($COP)]]+D.sign_Data[[#This Row],[NEGOCIACIÓN ($COP)]]+D.sign_Data[[#This Row],[ICA ($COP)]]+D.sign_Data[[#This Row],[4 * 1000 ($COP)]]</f>
        <v>144214.07000008007</v>
      </c>
    </row>
    <row r="1230" spans="1:33" ht="60" hidden="1" customHeight="1" x14ac:dyDescent="0.25">
      <c r="A1230" s="14"/>
      <c r="B1230" s="87" t="s">
        <v>418</v>
      </c>
      <c r="C1230" s="182" t="s">
        <v>1134</v>
      </c>
      <c r="D1230" s="189" t="str">
        <f>VLOOKUP(D.sign_Data[[#This Row],[CÓDIGO]],Descripciones[[CÓDIGO]:[NOMBRE DE SERVICIO]],3,FALSE)</f>
        <v>D6. Diseño Interior</v>
      </c>
      <c r="E1230" s="87" t="s">
        <v>1104</v>
      </c>
      <c r="F1230" s="88" t="s">
        <v>1135</v>
      </c>
      <c r="G1230" s="88" t="s">
        <v>978</v>
      </c>
      <c r="H1230" s="87" t="s">
        <v>1136</v>
      </c>
      <c r="I1230" s="89">
        <v>1</v>
      </c>
      <c r="J1230" s="88" t="s">
        <v>979</v>
      </c>
      <c r="K1230" s="102"/>
      <c r="L1230" s="88" t="s">
        <v>980</v>
      </c>
      <c r="M1230" s="89" t="s">
        <v>381</v>
      </c>
      <c r="N1230" s="90">
        <v>1</v>
      </c>
      <c r="O1230" s="27">
        <f>IFERROR(+VLOOKUP(M1230,D.sign_Lista_Data[[RESPONSABLE]:[SOFTWARE 
VALOR HORA]],3,FALSE),"0")</f>
        <v>20263.424518743668</v>
      </c>
      <c r="P1230" s="3">
        <f t="shared" si="46"/>
        <v>20263.424518743668</v>
      </c>
      <c r="Q1230" s="11">
        <f>IFERROR(+VLOOKUP(M1230,D.sign_Lista_Data[[RESPONSABLE]:[SOFTWARE 
VALOR HORA]],5,FALSE)*D.sign_Data[[#This Row],[TIEMPO (HORAS)]],0)</f>
        <v>4221.5467747382636</v>
      </c>
      <c r="R1230" s="11">
        <f>IFERROR(+VLOOKUP(M1230,D.sign_Lista_Data[[RESPONSABLE]:[SOFTWARE 
VALOR HORA]],8,FALSE)*D.sign_Data[[#This Row],[TIEMPO (HORAS)]],0)</f>
        <v>3410.8548871439834</v>
      </c>
      <c r="S1230" s="99"/>
      <c r="T1230" s="99"/>
      <c r="U1230" s="3">
        <f t="shared" si="47"/>
        <v>27895.826180625918</v>
      </c>
      <c r="V1230" s="100">
        <f>D.sign_Data[[#This Row],[TIEMPO (HORAS)]]*Gastos_Operativos[[#Totals],[GASTOS HORA]]</f>
        <v>27789.477072310401</v>
      </c>
      <c r="W1230" s="3">
        <f>+D.sign_Data[[#This Row],[COSTO 
DIRECTO ($COP)]]+D.sign_Data[[#This Row],[PRORRATEO GASTOS ($COP)]]</f>
        <v>55685.303252936319</v>
      </c>
      <c r="X1230" s="101">
        <v>0.05</v>
      </c>
      <c r="Y1230" s="15">
        <f>+D.sign_Data[[#This Row],[COSTOS OPERACIONALES ($COP)]]*D.sign_Data[[#This Row],[DESFASE (%)]]</f>
        <v>2784.265162646816</v>
      </c>
      <c r="Z1230" s="101">
        <v>0.18</v>
      </c>
      <c r="AA1230" s="15">
        <f>+((D.sign_Data[[#This Row],[COSTOS OPERACIONALES ($COP)]]/(100%-D.sign_Data[[#This Row],[UTILIDAD (%)]])))-D.sign_Data[[#This Row],[COSTOS OPERACIONALES ($COP)]]</f>
        <v>12223.603153083583</v>
      </c>
      <c r="AB1230" s="3">
        <f>+D.sign_Data[[#This Row],[COSTOS OPERACIONALES ($COP)]]+D.sign_Data[[#This Row],[DESFASE ($COP)]]+D.sign_Data[[#This Row],[UTILIDAD ($COP)]]</f>
        <v>70693.171568666716</v>
      </c>
      <c r="AC1230" s="101">
        <v>0</v>
      </c>
      <c r="AD1230" s="15">
        <f>+D.sign_Data[[#This Row],[VALOR NETO ($COP)]]/(100%-D.sign_Data[[#This Row],[MARGEN DE NEGOCIACIÓN (%)]])-D.sign_Data[[#This Row],[VALOR NETO ($COP)]]</f>
        <v>0</v>
      </c>
      <c r="AE1230" s="15">
        <f>+(D.sign_Data[[#This Row],[VALOR NETO ($COP)]]+D.sign_Data[[#This Row],[NEGOCIACIÓN ($COP)]])*1%</f>
        <v>706.93171568666719</v>
      </c>
      <c r="AF1230" s="15">
        <f>+(D.sign_Data[[#This Row],[VALOR NETO ($COP)]]+D.sign_Data[[#This Row],[NEGOCIACIÓN ($COP)]])*1%</f>
        <v>706.93171568666719</v>
      </c>
      <c r="AG1230" s="3">
        <f>+D.sign_Data[[#This Row],[VALOR NETO ($COP)]]+D.sign_Data[[#This Row],[NEGOCIACIÓN ($COP)]]+D.sign_Data[[#This Row],[ICA ($COP)]]+D.sign_Data[[#This Row],[4 * 1000 ($COP)]]</f>
        <v>72107.035000040036</v>
      </c>
    </row>
    <row r="1231" spans="1:33" ht="60" hidden="1" customHeight="1" x14ac:dyDescent="0.25">
      <c r="A1231" s="14"/>
      <c r="B1231" s="87" t="s">
        <v>418</v>
      </c>
      <c r="C1231" s="182" t="s">
        <v>1134</v>
      </c>
      <c r="D1231" s="189" t="str">
        <f>VLOOKUP(D.sign_Data[[#This Row],[CÓDIGO]],Descripciones[[CÓDIGO]:[NOMBRE DE SERVICIO]],3,FALSE)</f>
        <v>D6. Diseño Interior</v>
      </c>
      <c r="E1231" s="87" t="s">
        <v>1104</v>
      </c>
      <c r="F1231" s="88" t="s">
        <v>1135</v>
      </c>
      <c r="G1231" s="88" t="s">
        <v>978</v>
      </c>
      <c r="H1231" s="87" t="s">
        <v>1136</v>
      </c>
      <c r="I1231" s="89">
        <v>1</v>
      </c>
      <c r="J1231" s="88" t="s">
        <v>979</v>
      </c>
      <c r="K1231" s="102"/>
      <c r="L1231" s="88" t="s">
        <v>981</v>
      </c>
      <c r="M1231" s="89" t="s">
        <v>381</v>
      </c>
      <c r="N1231" s="90">
        <v>1</v>
      </c>
      <c r="O1231" s="27">
        <f>IFERROR(+VLOOKUP(M1231,D.sign_Lista_Data[[RESPONSABLE]:[SOFTWARE 
VALOR HORA]],3,FALSE),"0")</f>
        <v>20263.424518743668</v>
      </c>
      <c r="P1231" s="3">
        <f t="shared" si="46"/>
        <v>20263.424518743668</v>
      </c>
      <c r="Q1231" s="11">
        <f>IFERROR(+VLOOKUP(M1231,D.sign_Lista_Data[[RESPONSABLE]:[SOFTWARE 
VALOR HORA]],5,FALSE)*D.sign_Data[[#This Row],[TIEMPO (HORAS)]],0)</f>
        <v>4221.5467747382636</v>
      </c>
      <c r="R1231" s="11">
        <f>IFERROR(+VLOOKUP(M1231,D.sign_Lista_Data[[RESPONSABLE]:[SOFTWARE 
VALOR HORA]],8,FALSE)*D.sign_Data[[#This Row],[TIEMPO (HORAS)]],0)</f>
        <v>3410.8548871439834</v>
      </c>
      <c r="S1231" s="99"/>
      <c r="T1231" s="99"/>
      <c r="U1231" s="3">
        <f t="shared" si="47"/>
        <v>27895.826180625918</v>
      </c>
      <c r="V1231" s="100">
        <f>D.sign_Data[[#This Row],[TIEMPO (HORAS)]]*Gastos_Operativos[[#Totals],[GASTOS HORA]]</f>
        <v>27789.477072310401</v>
      </c>
      <c r="W1231" s="3">
        <f>+D.sign_Data[[#This Row],[COSTO 
DIRECTO ($COP)]]+D.sign_Data[[#This Row],[PRORRATEO GASTOS ($COP)]]</f>
        <v>55685.303252936319</v>
      </c>
      <c r="X1231" s="101">
        <v>0.05</v>
      </c>
      <c r="Y1231" s="15">
        <f>+D.sign_Data[[#This Row],[COSTOS OPERACIONALES ($COP)]]*D.sign_Data[[#This Row],[DESFASE (%)]]</f>
        <v>2784.265162646816</v>
      </c>
      <c r="Z1231" s="101">
        <v>0.18</v>
      </c>
      <c r="AA1231" s="15">
        <f>+((D.sign_Data[[#This Row],[COSTOS OPERACIONALES ($COP)]]/(100%-D.sign_Data[[#This Row],[UTILIDAD (%)]])))-D.sign_Data[[#This Row],[COSTOS OPERACIONALES ($COP)]]</f>
        <v>12223.603153083583</v>
      </c>
      <c r="AB1231" s="3">
        <f>+D.sign_Data[[#This Row],[COSTOS OPERACIONALES ($COP)]]+D.sign_Data[[#This Row],[DESFASE ($COP)]]+D.sign_Data[[#This Row],[UTILIDAD ($COP)]]</f>
        <v>70693.171568666716</v>
      </c>
      <c r="AC1231" s="101">
        <v>0</v>
      </c>
      <c r="AD1231" s="15">
        <f>+D.sign_Data[[#This Row],[VALOR NETO ($COP)]]/(100%-D.sign_Data[[#This Row],[MARGEN DE NEGOCIACIÓN (%)]])-D.sign_Data[[#This Row],[VALOR NETO ($COP)]]</f>
        <v>0</v>
      </c>
      <c r="AE1231" s="15">
        <f>+(D.sign_Data[[#This Row],[VALOR NETO ($COP)]]+D.sign_Data[[#This Row],[NEGOCIACIÓN ($COP)]])*1%</f>
        <v>706.93171568666719</v>
      </c>
      <c r="AF1231" s="15">
        <f>+(D.sign_Data[[#This Row],[VALOR NETO ($COP)]]+D.sign_Data[[#This Row],[NEGOCIACIÓN ($COP)]])*1%</f>
        <v>706.93171568666719</v>
      </c>
      <c r="AG1231" s="3">
        <f>+D.sign_Data[[#This Row],[VALOR NETO ($COP)]]+D.sign_Data[[#This Row],[NEGOCIACIÓN ($COP)]]+D.sign_Data[[#This Row],[ICA ($COP)]]+D.sign_Data[[#This Row],[4 * 1000 ($COP)]]</f>
        <v>72107.035000040036</v>
      </c>
    </row>
    <row r="1232" spans="1:33" ht="60" hidden="1" customHeight="1" x14ac:dyDescent="0.25">
      <c r="A1232" s="14"/>
      <c r="B1232" s="87" t="s">
        <v>418</v>
      </c>
      <c r="C1232" s="182" t="s">
        <v>1134</v>
      </c>
      <c r="D1232" s="189" t="str">
        <f>VLOOKUP(D.sign_Data[[#This Row],[CÓDIGO]],Descripciones[[CÓDIGO]:[NOMBRE DE SERVICIO]],3,FALSE)</f>
        <v>D6. Diseño Interior</v>
      </c>
      <c r="E1232" s="87" t="s">
        <v>1104</v>
      </c>
      <c r="F1232" s="88" t="s">
        <v>1135</v>
      </c>
      <c r="G1232" s="93" t="s">
        <v>985</v>
      </c>
      <c r="H1232" s="87" t="s">
        <v>1136</v>
      </c>
      <c r="I1232" s="94">
        <v>1</v>
      </c>
      <c r="J1232" s="93" t="s">
        <v>983</v>
      </c>
      <c r="K1232" s="103"/>
      <c r="L1232" s="93" t="s">
        <v>1123</v>
      </c>
      <c r="M1232" s="89" t="s">
        <v>381</v>
      </c>
      <c r="N1232" s="96">
        <v>8</v>
      </c>
      <c r="O1232" s="27">
        <f>IFERROR(+VLOOKUP(M1232,D.sign_Lista_Data[[RESPONSABLE]:[SOFTWARE 
VALOR HORA]],3,FALSE),"0")</f>
        <v>20263.424518743668</v>
      </c>
      <c r="P1232" s="3">
        <f t="shared" si="46"/>
        <v>162107.39614994935</v>
      </c>
      <c r="Q1232" s="11">
        <f>IFERROR(+VLOOKUP(M1232,D.sign_Lista_Data[[RESPONSABLE]:[SOFTWARE 
VALOR HORA]],5,FALSE)*D.sign_Data[[#This Row],[TIEMPO (HORAS)]],0)</f>
        <v>33772.374197906109</v>
      </c>
      <c r="R1232" s="11">
        <f>IFERROR(+VLOOKUP(M1232,D.sign_Lista_Data[[RESPONSABLE]:[SOFTWARE 
VALOR HORA]],8,FALSE)*D.sign_Data[[#This Row],[TIEMPO (HORAS)]],0)</f>
        <v>27286.839097151867</v>
      </c>
      <c r="S1232" s="99"/>
      <c r="T1232" s="99"/>
      <c r="U1232" s="3">
        <f t="shared" si="47"/>
        <v>223166.60944500734</v>
      </c>
      <c r="V1232" s="100">
        <f>D.sign_Data[[#This Row],[TIEMPO (HORAS)]]*Gastos_Operativos[[#Totals],[GASTOS HORA]]</f>
        <v>222315.81657848321</v>
      </c>
      <c r="W1232" s="3">
        <f>+D.sign_Data[[#This Row],[COSTO 
DIRECTO ($COP)]]+D.sign_Data[[#This Row],[PRORRATEO GASTOS ($COP)]]</f>
        <v>445482.42602349055</v>
      </c>
      <c r="X1232" s="101">
        <v>0.05</v>
      </c>
      <c r="Y1232" s="15">
        <f>+D.sign_Data[[#This Row],[COSTOS OPERACIONALES ($COP)]]*D.sign_Data[[#This Row],[DESFASE (%)]]</f>
        <v>22274.121301174528</v>
      </c>
      <c r="Z1232" s="101">
        <v>0.18</v>
      </c>
      <c r="AA1232" s="15">
        <f>+((D.sign_Data[[#This Row],[COSTOS OPERACIONALES ($COP)]]/(100%-D.sign_Data[[#This Row],[UTILIDAD (%)]])))-D.sign_Data[[#This Row],[COSTOS OPERACIONALES ($COP)]]</f>
        <v>97788.825224668661</v>
      </c>
      <c r="AB1232" s="3">
        <f>+D.sign_Data[[#This Row],[COSTOS OPERACIONALES ($COP)]]+D.sign_Data[[#This Row],[DESFASE ($COP)]]+D.sign_Data[[#This Row],[UTILIDAD ($COP)]]</f>
        <v>565545.37254933373</v>
      </c>
      <c r="AC1232" s="101">
        <v>0</v>
      </c>
      <c r="AD1232" s="15">
        <f>+D.sign_Data[[#This Row],[VALOR NETO ($COP)]]/(100%-D.sign_Data[[#This Row],[MARGEN DE NEGOCIACIÓN (%)]])-D.sign_Data[[#This Row],[VALOR NETO ($COP)]]</f>
        <v>0</v>
      </c>
      <c r="AE1232" s="15">
        <f>+(D.sign_Data[[#This Row],[VALOR NETO ($COP)]]+D.sign_Data[[#This Row],[NEGOCIACIÓN ($COP)]])*1%</f>
        <v>5655.4537254933375</v>
      </c>
      <c r="AF1232" s="15">
        <f>+(D.sign_Data[[#This Row],[VALOR NETO ($COP)]]+D.sign_Data[[#This Row],[NEGOCIACIÓN ($COP)]])*1%</f>
        <v>5655.4537254933375</v>
      </c>
      <c r="AG1232" s="3">
        <f>+D.sign_Data[[#This Row],[VALOR NETO ($COP)]]+D.sign_Data[[#This Row],[NEGOCIACIÓN ($COP)]]+D.sign_Data[[#This Row],[ICA ($COP)]]+D.sign_Data[[#This Row],[4 * 1000 ($COP)]]</f>
        <v>576856.28000032029</v>
      </c>
    </row>
    <row r="1233" spans="1:33" ht="60" hidden="1" customHeight="1" x14ac:dyDescent="0.25">
      <c r="A1233" s="14"/>
      <c r="B1233" s="87" t="s">
        <v>418</v>
      </c>
      <c r="C1233" s="182" t="s">
        <v>1134</v>
      </c>
      <c r="D1233" s="189" t="str">
        <f>VLOOKUP(D.sign_Data[[#This Row],[CÓDIGO]],Descripciones[[CÓDIGO]:[NOMBRE DE SERVICIO]],3,FALSE)</f>
        <v>D6. Diseño Interior</v>
      </c>
      <c r="E1233" s="87" t="s">
        <v>1104</v>
      </c>
      <c r="F1233" s="88" t="s">
        <v>1135</v>
      </c>
      <c r="G1233" s="88" t="s">
        <v>695</v>
      </c>
      <c r="H1233" s="87" t="s">
        <v>1136</v>
      </c>
      <c r="I1233" s="92"/>
      <c r="J1233" s="88" t="s">
        <v>1124</v>
      </c>
      <c r="K1233" s="102"/>
      <c r="L1233" s="88" t="s">
        <v>1125</v>
      </c>
      <c r="M1233" s="89" t="s">
        <v>381</v>
      </c>
      <c r="N1233" s="90">
        <v>2</v>
      </c>
      <c r="O1233" s="27">
        <f>IFERROR(+VLOOKUP(M1233,D.sign_Lista_Data[[RESPONSABLE]:[SOFTWARE 
VALOR HORA]],3,FALSE),"0")</f>
        <v>20263.424518743668</v>
      </c>
      <c r="P1233" s="3">
        <f t="shared" si="46"/>
        <v>40526.849037487336</v>
      </c>
      <c r="Q1233" s="11">
        <f>IFERROR(+VLOOKUP(M1233,D.sign_Lista_Data[[RESPONSABLE]:[SOFTWARE 
VALOR HORA]],5,FALSE)*D.sign_Data[[#This Row],[TIEMPO (HORAS)]],0)</f>
        <v>8443.0935494765272</v>
      </c>
      <c r="R1233" s="11">
        <f>IFERROR(+VLOOKUP(M1233,D.sign_Lista_Data[[RESPONSABLE]:[SOFTWARE 
VALOR HORA]],8,FALSE)*D.sign_Data[[#This Row],[TIEMPO (HORAS)]],0)</f>
        <v>6821.7097742879669</v>
      </c>
      <c r="S1233" s="99"/>
      <c r="T1233" s="99"/>
      <c r="U1233" s="3">
        <f t="shared" si="47"/>
        <v>55791.652361251836</v>
      </c>
      <c r="V1233" s="100">
        <f>D.sign_Data[[#This Row],[TIEMPO (HORAS)]]*Gastos_Operativos[[#Totals],[GASTOS HORA]]</f>
        <v>55578.954144620802</v>
      </c>
      <c r="W1233" s="3">
        <f>+D.sign_Data[[#This Row],[COSTO 
DIRECTO ($COP)]]+D.sign_Data[[#This Row],[PRORRATEO GASTOS ($COP)]]</f>
        <v>111370.60650587264</v>
      </c>
      <c r="X1233" s="101">
        <v>0.05</v>
      </c>
      <c r="Y1233" s="15">
        <f>+D.sign_Data[[#This Row],[COSTOS OPERACIONALES ($COP)]]*D.sign_Data[[#This Row],[DESFASE (%)]]</f>
        <v>5568.5303252936319</v>
      </c>
      <c r="Z1233" s="101">
        <v>0.18</v>
      </c>
      <c r="AA1233" s="15">
        <f>+((D.sign_Data[[#This Row],[COSTOS OPERACIONALES ($COP)]]/(100%-D.sign_Data[[#This Row],[UTILIDAD (%)]])))-D.sign_Data[[#This Row],[COSTOS OPERACIONALES ($COP)]]</f>
        <v>24447.206306167165</v>
      </c>
      <c r="AB1233" s="3">
        <f>+D.sign_Data[[#This Row],[COSTOS OPERACIONALES ($COP)]]+D.sign_Data[[#This Row],[DESFASE ($COP)]]+D.sign_Data[[#This Row],[UTILIDAD ($COP)]]</f>
        <v>141386.34313733343</v>
      </c>
      <c r="AC1233" s="101">
        <v>0</v>
      </c>
      <c r="AD1233" s="15">
        <f>+D.sign_Data[[#This Row],[VALOR NETO ($COP)]]/(100%-D.sign_Data[[#This Row],[MARGEN DE NEGOCIACIÓN (%)]])-D.sign_Data[[#This Row],[VALOR NETO ($COP)]]</f>
        <v>0</v>
      </c>
      <c r="AE1233" s="15">
        <f>+(D.sign_Data[[#This Row],[VALOR NETO ($COP)]]+D.sign_Data[[#This Row],[NEGOCIACIÓN ($COP)]])*1%</f>
        <v>1413.8634313733344</v>
      </c>
      <c r="AF1233" s="15">
        <f>+(D.sign_Data[[#This Row],[VALOR NETO ($COP)]]+D.sign_Data[[#This Row],[NEGOCIACIÓN ($COP)]])*1%</f>
        <v>1413.8634313733344</v>
      </c>
      <c r="AG1233" s="3">
        <f>+D.sign_Data[[#This Row],[VALOR NETO ($COP)]]+D.sign_Data[[#This Row],[NEGOCIACIÓN ($COP)]]+D.sign_Data[[#This Row],[ICA ($COP)]]+D.sign_Data[[#This Row],[4 * 1000 ($COP)]]</f>
        <v>144214.07000008007</v>
      </c>
    </row>
    <row r="1234" spans="1:33" ht="60" hidden="1" customHeight="1" x14ac:dyDescent="0.25">
      <c r="A1234" s="14"/>
      <c r="B1234" s="87" t="s">
        <v>418</v>
      </c>
      <c r="C1234" s="182" t="s">
        <v>1134</v>
      </c>
      <c r="D1234" s="189" t="str">
        <f>VLOOKUP(D.sign_Data[[#This Row],[CÓDIGO]],Descripciones[[CÓDIGO]:[NOMBRE DE SERVICIO]],3,FALSE)</f>
        <v>D6. Diseño Interior</v>
      </c>
      <c r="E1234" s="87" t="s">
        <v>1104</v>
      </c>
      <c r="F1234" s="88" t="s">
        <v>1135</v>
      </c>
      <c r="G1234" s="93" t="s">
        <v>987</v>
      </c>
      <c r="H1234" s="87" t="s">
        <v>1136</v>
      </c>
      <c r="I1234" s="94">
        <v>1</v>
      </c>
      <c r="J1234" s="93" t="s">
        <v>1113</v>
      </c>
      <c r="K1234" s="103"/>
      <c r="L1234" s="93" t="s">
        <v>1126</v>
      </c>
      <c r="M1234" s="89" t="s">
        <v>381</v>
      </c>
      <c r="N1234" s="96">
        <v>5</v>
      </c>
      <c r="O1234" s="27">
        <f>IFERROR(+VLOOKUP(M1234,D.sign_Lista_Data[[RESPONSABLE]:[SOFTWARE 
VALOR HORA]],3,FALSE),"0")</f>
        <v>20263.424518743668</v>
      </c>
      <c r="P1234" s="3">
        <f t="shared" si="46"/>
        <v>101317.12259371835</v>
      </c>
      <c r="Q1234" s="11">
        <f>IFERROR(+VLOOKUP(M1234,D.sign_Lista_Data[[RESPONSABLE]:[SOFTWARE 
VALOR HORA]],5,FALSE)*D.sign_Data[[#This Row],[TIEMPO (HORAS)]],0)</f>
        <v>21107.733873691319</v>
      </c>
      <c r="R1234" s="11">
        <f>IFERROR(+VLOOKUP(M1234,D.sign_Lista_Data[[RESPONSABLE]:[SOFTWARE 
VALOR HORA]],8,FALSE)*D.sign_Data[[#This Row],[TIEMPO (HORAS)]],0)</f>
        <v>17054.274435719919</v>
      </c>
      <c r="S1234" s="99"/>
      <c r="T1234" s="99"/>
      <c r="U1234" s="3">
        <f t="shared" si="47"/>
        <v>139479.13090312958</v>
      </c>
      <c r="V1234" s="100">
        <f>D.sign_Data[[#This Row],[TIEMPO (HORAS)]]*Gastos_Operativos[[#Totals],[GASTOS HORA]]</f>
        <v>138947.38536155201</v>
      </c>
      <c r="W1234" s="3">
        <f>+D.sign_Data[[#This Row],[COSTO 
DIRECTO ($COP)]]+D.sign_Data[[#This Row],[PRORRATEO GASTOS ($COP)]]</f>
        <v>278426.51626468159</v>
      </c>
      <c r="X1234" s="101">
        <v>0.05</v>
      </c>
      <c r="Y1234" s="15">
        <f>+D.sign_Data[[#This Row],[COSTOS OPERACIONALES ($COP)]]*D.sign_Data[[#This Row],[DESFASE (%)]]</f>
        <v>13921.32581323408</v>
      </c>
      <c r="Z1234" s="101">
        <v>0.18</v>
      </c>
      <c r="AA1234" s="15">
        <f>+((D.sign_Data[[#This Row],[COSTOS OPERACIONALES ($COP)]]/(100%-D.sign_Data[[#This Row],[UTILIDAD (%)]])))-D.sign_Data[[#This Row],[COSTOS OPERACIONALES ($COP)]]</f>
        <v>61118.015765417891</v>
      </c>
      <c r="AB1234" s="3">
        <f>+D.sign_Data[[#This Row],[COSTOS OPERACIONALES ($COP)]]+D.sign_Data[[#This Row],[DESFASE ($COP)]]+D.sign_Data[[#This Row],[UTILIDAD ($COP)]]</f>
        <v>353465.85784333356</v>
      </c>
      <c r="AC1234" s="101">
        <v>0</v>
      </c>
      <c r="AD1234" s="15">
        <f>+D.sign_Data[[#This Row],[VALOR NETO ($COP)]]/(100%-D.sign_Data[[#This Row],[MARGEN DE NEGOCIACIÓN (%)]])-D.sign_Data[[#This Row],[VALOR NETO ($COP)]]</f>
        <v>0</v>
      </c>
      <c r="AE1234" s="15">
        <f>+(D.sign_Data[[#This Row],[VALOR NETO ($COP)]]+D.sign_Data[[#This Row],[NEGOCIACIÓN ($COP)]])*1%</f>
        <v>3534.6585784333356</v>
      </c>
      <c r="AF1234" s="15">
        <f>+(D.sign_Data[[#This Row],[VALOR NETO ($COP)]]+D.sign_Data[[#This Row],[NEGOCIACIÓN ($COP)]])*1%</f>
        <v>3534.6585784333356</v>
      </c>
      <c r="AG1234" s="3">
        <f>+D.sign_Data[[#This Row],[VALOR NETO ($COP)]]+D.sign_Data[[#This Row],[NEGOCIACIÓN ($COP)]]+D.sign_Data[[#This Row],[ICA ($COP)]]+D.sign_Data[[#This Row],[4 * 1000 ($COP)]]</f>
        <v>360535.17500020022</v>
      </c>
    </row>
    <row r="1235" spans="1:33" ht="60" hidden="1" customHeight="1" x14ac:dyDescent="0.25">
      <c r="A1235" s="14"/>
      <c r="B1235" s="87" t="s">
        <v>418</v>
      </c>
      <c r="C1235" s="182" t="s">
        <v>1134</v>
      </c>
      <c r="D1235" s="189" t="str">
        <f>VLOOKUP(D.sign_Data[[#This Row],[CÓDIGO]],Descripciones[[CÓDIGO]:[NOMBRE DE SERVICIO]],3,FALSE)</f>
        <v>D6. Diseño Interior</v>
      </c>
      <c r="E1235" s="87" t="s">
        <v>1104</v>
      </c>
      <c r="F1235" s="88" t="s">
        <v>1135</v>
      </c>
      <c r="G1235" s="93" t="s">
        <v>987</v>
      </c>
      <c r="H1235" s="87" t="s">
        <v>1136</v>
      </c>
      <c r="I1235" s="94">
        <v>1</v>
      </c>
      <c r="J1235" s="93" t="s">
        <v>684</v>
      </c>
      <c r="K1235" s="103"/>
      <c r="L1235" s="93" t="s">
        <v>1127</v>
      </c>
      <c r="M1235" s="95" t="s">
        <v>381</v>
      </c>
      <c r="N1235" s="96">
        <v>0.5</v>
      </c>
      <c r="O1235" s="27">
        <f>IFERROR(+VLOOKUP(M1235,D.sign_Lista_Data[[RESPONSABLE]:[SOFTWARE 
VALOR HORA]],3,FALSE),"0")</f>
        <v>20263.424518743668</v>
      </c>
      <c r="P1235" s="3">
        <f t="shared" si="46"/>
        <v>10131.712259371834</v>
      </c>
      <c r="Q1235" s="11">
        <f>IFERROR(+VLOOKUP(M1235,D.sign_Lista_Data[[RESPONSABLE]:[SOFTWARE 
VALOR HORA]],5,FALSE)*D.sign_Data[[#This Row],[TIEMPO (HORAS)]],0)</f>
        <v>2110.7733873691318</v>
      </c>
      <c r="R1235" s="11">
        <f>IFERROR(+VLOOKUP(M1235,D.sign_Lista_Data[[RESPONSABLE]:[SOFTWARE 
VALOR HORA]],8,FALSE)*D.sign_Data[[#This Row],[TIEMPO (HORAS)]],0)</f>
        <v>1705.4274435719917</v>
      </c>
      <c r="S1235" s="99"/>
      <c r="T1235" s="99"/>
      <c r="U1235" s="3">
        <f t="shared" si="47"/>
        <v>13947.913090312959</v>
      </c>
      <c r="V1235" s="100">
        <f>D.sign_Data[[#This Row],[TIEMPO (HORAS)]]*Gastos_Operativos[[#Totals],[GASTOS HORA]]</f>
        <v>13894.738536155201</v>
      </c>
      <c r="W1235" s="3">
        <f>+D.sign_Data[[#This Row],[COSTO 
DIRECTO ($COP)]]+D.sign_Data[[#This Row],[PRORRATEO GASTOS ($COP)]]</f>
        <v>27842.65162646816</v>
      </c>
      <c r="X1235" s="101">
        <v>0.05</v>
      </c>
      <c r="Y1235" s="15">
        <f>+D.sign_Data[[#This Row],[COSTOS OPERACIONALES ($COP)]]*D.sign_Data[[#This Row],[DESFASE (%)]]</f>
        <v>1392.132581323408</v>
      </c>
      <c r="Z1235" s="101">
        <v>0.18</v>
      </c>
      <c r="AA1235" s="15">
        <f>+((D.sign_Data[[#This Row],[COSTOS OPERACIONALES ($COP)]]/(100%-D.sign_Data[[#This Row],[UTILIDAD (%)]])))-D.sign_Data[[#This Row],[COSTOS OPERACIONALES ($COP)]]</f>
        <v>6111.8015765417913</v>
      </c>
      <c r="AB1235" s="3">
        <f>+D.sign_Data[[#This Row],[COSTOS OPERACIONALES ($COP)]]+D.sign_Data[[#This Row],[DESFASE ($COP)]]+D.sign_Data[[#This Row],[UTILIDAD ($COP)]]</f>
        <v>35346.585784333358</v>
      </c>
      <c r="AC1235" s="101">
        <v>0</v>
      </c>
      <c r="AD1235" s="15">
        <f>+D.sign_Data[[#This Row],[VALOR NETO ($COP)]]/(100%-D.sign_Data[[#This Row],[MARGEN DE NEGOCIACIÓN (%)]])-D.sign_Data[[#This Row],[VALOR NETO ($COP)]]</f>
        <v>0</v>
      </c>
      <c r="AE1235" s="15">
        <f>+(D.sign_Data[[#This Row],[VALOR NETO ($COP)]]+D.sign_Data[[#This Row],[NEGOCIACIÓN ($COP)]])*1%</f>
        <v>353.46585784333359</v>
      </c>
      <c r="AF1235" s="15">
        <f>+(D.sign_Data[[#This Row],[VALOR NETO ($COP)]]+D.sign_Data[[#This Row],[NEGOCIACIÓN ($COP)]])*1%</f>
        <v>353.46585784333359</v>
      </c>
      <c r="AG1235" s="3">
        <f>+D.sign_Data[[#This Row],[VALOR NETO ($COP)]]+D.sign_Data[[#This Row],[NEGOCIACIÓN ($COP)]]+D.sign_Data[[#This Row],[ICA ($COP)]]+D.sign_Data[[#This Row],[4 * 1000 ($COP)]]</f>
        <v>36053.517500020018</v>
      </c>
    </row>
    <row r="1236" spans="1:33" ht="60" hidden="1" customHeight="1" x14ac:dyDescent="0.25">
      <c r="A1236" s="14"/>
      <c r="B1236" s="87" t="s">
        <v>418</v>
      </c>
      <c r="C1236" s="182" t="s">
        <v>1134</v>
      </c>
      <c r="D1236" s="189" t="str">
        <f>VLOOKUP(D.sign_Data[[#This Row],[CÓDIGO]],Descripciones[[CÓDIGO]:[NOMBRE DE SERVICIO]],3,FALSE)</f>
        <v>D6. Diseño Interior</v>
      </c>
      <c r="E1236" s="87" t="s">
        <v>1104</v>
      </c>
      <c r="F1236" s="88" t="s">
        <v>1135</v>
      </c>
      <c r="G1236" s="88" t="s">
        <v>1128</v>
      </c>
      <c r="H1236" s="87" t="s">
        <v>1136</v>
      </c>
      <c r="I1236" s="94">
        <v>1</v>
      </c>
      <c r="J1236" s="88" t="s">
        <v>1129</v>
      </c>
      <c r="K1236" s="102"/>
      <c r="L1236" s="88" t="s">
        <v>1130</v>
      </c>
      <c r="M1236" s="89" t="s">
        <v>381</v>
      </c>
      <c r="N1236" s="90">
        <v>0.5</v>
      </c>
      <c r="O1236" s="27">
        <f>IFERROR(+VLOOKUP(M1236,D.sign_Lista_Data[[RESPONSABLE]:[SOFTWARE 
VALOR HORA]],3,FALSE),"0")</f>
        <v>20263.424518743668</v>
      </c>
      <c r="P1236" s="3">
        <f t="shared" si="46"/>
        <v>10131.712259371834</v>
      </c>
      <c r="Q1236" s="11">
        <f>IFERROR(+VLOOKUP(M1236,D.sign_Lista_Data[[RESPONSABLE]:[SOFTWARE 
VALOR HORA]],5,FALSE)*D.sign_Data[[#This Row],[TIEMPO (HORAS)]],0)</f>
        <v>2110.7733873691318</v>
      </c>
      <c r="R1236" s="11">
        <f>IFERROR(+VLOOKUP(M1236,D.sign_Lista_Data[[RESPONSABLE]:[SOFTWARE 
VALOR HORA]],8,FALSE)*D.sign_Data[[#This Row],[TIEMPO (HORAS)]],0)</f>
        <v>1705.4274435719917</v>
      </c>
      <c r="S1236" s="99"/>
      <c r="T1236" s="99"/>
      <c r="U1236" s="3">
        <f t="shared" si="47"/>
        <v>13947.913090312959</v>
      </c>
      <c r="V1236" s="100">
        <f>D.sign_Data[[#This Row],[TIEMPO (HORAS)]]*Gastos_Operativos[[#Totals],[GASTOS HORA]]</f>
        <v>13894.738536155201</v>
      </c>
      <c r="W1236" s="3">
        <f>+D.sign_Data[[#This Row],[COSTO 
DIRECTO ($COP)]]+D.sign_Data[[#This Row],[PRORRATEO GASTOS ($COP)]]</f>
        <v>27842.65162646816</v>
      </c>
      <c r="X1236" s="101">
        <v>0.05</v>
      </c>
      <c r="Y1236" s="15">
        <f>+D.sign_Data[[#This Row],[COSTOS OPERACIONALES ($COP)]]*D.sign_Data[[#This Row],[DESFASE (%)]]</f>
        <v>1392.132581323408</v>
      </c>
      <c r="Z1236" s="101">
        <v>0.18</v>
      </c>
      <c r="AA1236" s="15">
        <f>+((D.sign_Data[[#This Row],[COSTOS OPERACIONALES ($COP)]]/(100%-D.sign_Data[[#This Row],[UTILIDAD (%)]])))-D.sign_Data[[#This Row],[COSTOS OPERACIONALES ($COP)]]</f>
        <v>6111.8015765417913</v>
      </c>
      <c r="AB1236" s="3">
        <f>+D.sign_Data[[#This Row],[COSTOS OPERACIONALES ($COP)]]+D.sign_Data[[#This Row],[DESFASE ($COP)]]+D.sign_Data[[#This Row],[UTILIDAD ($COP)]]</f>
        <v>35346.585784333358</v>
      </c>
      <c r="AC1236" s="101">
        <v>0</v>
      </c>
      <c r="AD1236" s="15">
        <f>+D.sign_Data[[#This Row],[VALOR NETO ($COP)]]/(100%-D.sign_Data[[#This Row],[MARGEN DE NEGOCIACIÓN (%)]])-D.sign_Data[[#This Row],[VALOR NETO ($COP)]]</f>
        <v>0</v>
      </c>
      <c r="AE1236" s="15">
        <f>+(D.sign_Data[[#This Row],[VALOR NETO ($COP)]]+D.sign_Data[[#This Row],[NEGOCIACIÓN ($COP)]])*1%</f>
        <v>353.46585784333359</v>
      </c>
      <c r="AF1236" s="15">
        <f>+(D.sign_Data[[#This Row],[VALOR NETO ($COP)]]+D.sign_Data[[#This Row],[NEGOCIACIÓN ($COP)]])*1%</f>
        <v>353.46585784333359</v>
      </c>
      <c r="AG1236" s="3">
        <f>+D.sign_Data[[#This Row],[VALOR NETO ($COP)]]+D.sign_Data[[#This Row],[NEGOCIACIÓN ($COP)]]+D.sign_Data[[#This Row],[ICA ($COP)]]+D.sign_Data[[#This Row],[4 * 1000 ($COP)]]</f>
        <v>36053.517500020018</v>
      </c>
    </row>
    <row r="1237" spans="1:33" ht="60" hidden="1" customHeight="1" x14ac:dyDescent="0.25">
      <c r="A1237" s="14"/>
      <c r="B1237" s="87" t="s">
        <v>418</v>
      </c>
      <c r="C1237" s="182" t="s">
        <v>1134</v>
      </c>
      <c r="D1237" s="189" t="str">
        <f>VLOOKUP(D.sign_Data[[#This Row],[CÓDIGO]],Descripciones[[CÓDIGO]:[NOMBRE DE SERVICIO]],3,FALSE)</f>
        <v>D6. Diseño Interior</v>
      </c>
      <c r="E1237" s="87" t="s">
        <v>1104</v>
      </c>
      <c r="F1237" s="88" t="s">
        <v>1135</v>
      </c>
      <c r="G1237" s="88" t="s">
        <v>1131</v>
      </c>
      <c r="H1237" s="87" t="s">
        <v>1136</v>
      </c>
      <c r="I1237" s="94">
        <v>1</v>
      </c>
      <c r="J1237" s="88" t="s">
        <v>1132</v>
      </c>
      <c r="K1237" s="102"/>
      <c r="L1237" s="88" t="s">
        <v>1133</v>
      </c>
      <c r="M1237" s="89" t="s">
        <v>381</v>
      </c>
      <c r="N1237" s="90">
        <v>30</v>
      </c>
      <c r="O1237" s="27">
        <f>IFERROR(+VLOOKUP(M1237,D.sign_Lista_Data[[RESPONSABLE]:[SOFTWARE 
VALOR HORA]],3,FALSE),"0")</f>
        <v>20263.424518743668</v>
      </c>
      <c r="P1237" s="3">
        <f t="shared" si="46"/>
        <v>607902.73556231009</v>
      </c>
      <c r="Q1237" s="11">
        <f>IFERROR(+VLOOKUP(M1237,D.sign_Lista_Data[[RESPONSABLE]:[SOFTWARE 
VALOR HORA]],5,FALSE)*D.sign_Data[[#This Row],[TIEMPO (HORAS)]],0)</f>
        <v>126646.40324214791</v>
      </c>
      <c r="R1237" s="11">
        <f>IFERROR(+VLOOKUP(M1237,D.sign_Lista_Data[[RESPONSABLE]:[SOFTWARE 
VALOR HORA]],8,FALSE)*D.sign_Data[[#This Row],[TIEMPO (HORAS)]],0)</f>
        <v>102325.6466143195</v>
      </c>
      <c r="S1237" s="99"/>
      <c r="T1237" s="99"/>
      <c r="U1237" s="3">
        <f t="shared" si="47"/>
        <v>836874.78541877749</v>
      </c>
      <c r="V1237" s="100">
        <f>D.sign_Data[[#This Row],[TIEMPO (HORAS)]]*Gastos_Operativos[[#Totals],[GASTOS HORA]]</f>
        <v>833684.31216931203</v>
      </c>
      <c r="W1237" s="3">
        <f>+D.sign_Data[[#This Row],[COSTO 
DIRECTO ($COP)]]+D.sign_Data[[#This Row],[PRORRATEO GASTOS ($COP)]]</f>
        <v>1670559.0975880895</v>
      </c>
      <c r="X1237" s="101">
        <v>0.05</v>
      </c>
      <c r="Y1237" s="15">
        <f>+D.sign_Data[[#This Row],[COSTOS OPERACIONALES ($COP)]]*D.sign_Data[[#This Row],[DESFASE (%)]]</f>
        <v>83527.954879404482</v>
      </c>
      <c r="Z1237" s="101">
        <v>0.18</v>
      </c>
      <c r="AA1237" s="15">
        <f>+((D.sign_Data[[#This Row],[COSTOS OPERACIONALES ($COP)]]/(100%-D.sign_Data[[#This Row],[UTILIDAD (%)]])))-D.sign_Data[[#This Row],[COSTOS OPERACIONALES ($COP)]]</f>
        <v>366708.09459250723</v>
      </c>
      <c r="AB1237" s="3">
        <f>+D.sign_Data[[#This Row],[COSTOS OPERACIONALES ($COP)]]+D.sign_Data[[#This Row],[DESFASE ($COP)]]+D.sign_Data[[#This Row],[UTILIDAD ($COP)]]</f>
        <v>2120795.1470600013</v>
      </c>
      <c r="AC1237" s="101">
        <v>0</v>
      </c>
      <c r="AD1237" s="15">
        <f>+D.sign_Data[[#This Row],[VALOR NETO ($COP)]]/(100%-D.sign_Data[[#This Row],[MARGEN DE NEGOCIACIÓN (%)]])-D.sign_Data[[#This Row],[VALOR NETO ($COP)]]</f>
        <v>0</v>
      </c>
      <c r="AE1237" s="15">
        <f>+(D.sign_Data[[#This Row],[VALOR NETO ($COP)]]+D.sign_Data[[#This Row],[NEGOCIACIÓN ($COP)]])*1%</f>
        <v>21207.951470600012</v>
      </c>
      <c r="AF1237" s="15">
        <f>+(D.sign_Data[[#This Row],[VALOR NETO ($COP)]]+D.sign_Data[[#This Row],[NEGOCIACIÓN ($COP)]])*1%</f>
        <v>21207.951470600012</v>
      </c>
      <c r="AG1237" s="3">
        <f>+D.sign_Data[[#This Row],[VALOR NETO ($COP)]]+D.sign_Data[[#This Row],[NEGOCIACIÓN ($COP)]]+D.sign_Data[[#This Row],[ICA ($COP)]]+D.sign_Data[[#This Row],[4 * 1000 ($COP)]]</f>
        <v>2163211.0500012012</v>
      </c>
    </row>
    <row r="1238" spans="1:33" ht="60" hidden="1" customHeight="1" x14ac:dyDescent="0.25">
      <c r="A1238" s="14"/>
      <c r="B1238" s="87" t="s">
        <v>418</v>
      </c>
      <c r="C1238" s="182" t="s">
        <v>1134</v>
      </c>
      <c r="D1238" s="189" t="str">
        <f>VLOOKUP(D.sign_Data[[#This Row],[CÓDIGO]],Descripciones[[CÓDIGO]:[NOMBRE DE SERVICIO]],3,FALSE)</f>
        <v>D6. Diseño Interior</v>
      </c>
      <c r="E1238" s="87" t="s">
        <v>1104</v>
      </c>
      <c r="F1238" s="88" t="s">
        <v>1135</v>
      </c>
      <c r="G1238" s="93" t="s">
        <v>987</v>
      </c>
      <c r="H1238" s="87" t="s">
        <v>1136</v>
      </c>
      <c r="I1238" s="92"/>
      <c r="J1238" s="88" t="s">
        <v>1116</v>
      </c>
      <c r="K1238" s="102"/>
      <c r="L1238" s="88" t="s">
        <v>1117</v>
      </c>
      <c r="M1238" s="95" t="s">
        <v>381</v>
      </c>
      <c r="N1238" s="90">
        <v>1</v>
      </c>
      <c r="O1238" s="27">
        <f>IFERROR(+VLOOKUP(M1238,D.sign_Lista_Data[[RESPONSABLE]:[SOFTWARE 
VALOR HORA]],3,FALSE),"0")</f>
        <v>20263.424518743668</v>
      </c>
      <c r="P1238" s="3">
        <f t="shared" si="46"/>
        <v>20263.424518743668</v>
      </c>
      <c r="Q1238" s="11">
        <f>IFERROR(+VLOOKUP(M1238,D.sign_Lista_Data[[RESPONSABLE]:[SOFTWARE 
VALOR HORA]],5,FALSE)*D.sign_Data[[#This Row],[TIEMPO (HORAS)]],0)</f>
        <v>4221.5467747382636</v>
      </c>
      <c r="R1238" s="11">
        <f>IFERROR(+VLOOKUP(M1238,D.sign_Lista_Data[[RESPONSABLE]:[SOFTWARE 
VALOR HORA]],8,FALSE)*D.sign_Data[[#This Row],[TIEMPO (HORAS)]],0)</f>
        <v>3410.8548871439834</v>
      </c>
      <c r="S1238" s="99"/>
      <c r="T1238" s="99"/>
      <c r="U1238" s="3">
        <f t="shared" si="47"/>
        <v>27895.826180625918</v>
      </c>
      <c r="V1238" s="100">
        <f>D.sign_Data[[#This Row],[TIEMPO (HORAS)]]*Gastos_Operativos[[#Totals],[GASTOS HORA]]</f>
        <v>27789.477072310401</v>
      </c>
      <c r="W1238" s="3">
        <f>+D.sign_Data[[#This Row],[COSTO 
DIRECTO ($COP)]]+D.sign_Data[[#This Row],[PRORRATEO GASTOS ($COP)]]</f>
        <v>55685.303252936319</v>
      </c>
      <c r="X1238" s="101">
        <v>0.05</v>
      </c>
      <c r="Y1238" s="15">
        <f>+D.sign_Data[[#This Row],[COSTOS OPERACIONALES ($COP)]]*D.sign_Data[[#This Row],[DESFASE (%)]]</f>
        <v>2784.265162646816</v>
      </c>
      <c r="Z1238" s="101">
        <v>0.18</v>
      </c>
      <c r="AA1238" s="15">
        <f>+((D.sign_Data[[#This Row],[COSTOS OPERACIONALES ($COP)]]/(100%-D.sign_Data[[#This Row],[UTILIDAD (%)]])))-D.sign_Data[[#This Row],[COSTOS OPERACIONALES ($COP)]]</f>
        <v>12223.603153083583</v>
      </c>
      <c r="AB1238" s="3">
        <f>+D.sign_Data[[#This Row],[COSTOS OPERACIONALES ($COP)]]+D.sign_Data[[#This Row],[DESFASE ($COP)]]+D.sign_Data[[#This Row],[UTILIDAD ($COP)]]</f>
        <v>70693.171568666716</v>
      </c>
      <c r="AC1238" s="101">
        <v>0</v>
      </c>
      <c r="AD1238" s="15">
        <f>+D.sign_Data[[#This Row],[VALOR NETO ($COP)]]/(100%-D.sign_Data[[#This Row],[MARGEN DE NEGOCIACIÓN (%)]])-D.sign_Data[[#This Row],[VALOR NETO ($COP)]]</f>
        <v>0</v>
      </c>
      <c r="AE1238" s="15">
        <f>+(D.sign_Data[[#This Row],[VALOR NETO ($COP)]]+D.sign_Data[[#This Row],[NEGOCIACIÓN ($COP)]])*1%</f>
        <v>706.93171568666719</v>
      </c>
      <c r="AF1238" s="15">
        <f>+(D.sign_Data[[#This Row],[VALOR NETO ($COP)]]+D.sign_Data[[#This Row],[NEGOCIACIÓN ($COP)]])*1%</f>
        <v>706.93171568666719</v>
      </c>
      <c r="AG1238" s="3">
        <f>+D.sign_Data[[#This Row],[VALOR NETO ($COP)]]+D.sign_Data[[#This Row],[NEGOCIACIÓN ($COP)]]+D.sign_Data[[#This Row],[ICA ($COP)]]+D.sign_Data[[#This Row],[4 * 1000 ($COP)]]</f>
        <v>72107.035000040036</v>
      </c>
    </row>
    <row r="1239" spans="1:33" ht="60" hidden="1" customHeight="1" x14ac:dyDescent="0.25">
      <c r="A1239" s="14"/>
      <c r="B1239" s="87" t="s">
        <v>442</v>
      </c>
      <c r="C1239" s="182" t="s">
        <v>1139</v>
      </c>
      <c r="D1239" s="189" t="str">
        <f>VLOOKUP(D.sign_Data[[#This Row],[CÓDIGO]],Descripciones[[CÓDIGO]:[NOMBRE DE SERVICIO]],3,FALSE)</f>
        <v>D6. Diseño Interior</v>
      </c>
      <c r="E1239" s="87" t="s">
        <v>1046</v>
      </c>
      <c r="F1239" s="93" t="s">
        <v>1140</v>
      </c>
      <c r="G1239" s="93" t="s">
        <v>991</v>
      </c>
      <c r="H1239" s="97" t="s">
        <v>423</v>
      </c>
      <c r="I1239" s="94">
        <v>1</v>
      </c>
      <c r="J1239" s="93" t="s">
        <v>981</v>
      </c>
      <c r="K1239" s="103"/>
      <c r="L1239" s="93" t="s">
        <v>1141</v>
      </c>
      <c r="M1239" s="89" t="s">
        <v>381</v>
      </c>
      <c r="N1239" s="90">
        <v>2</v>
      </c>
      <c r="O1239" s="27">
        <f>IFERROR(+VLOOKUP(M1239,D.sign_Lista_Data[[RESPONSABLE]:[SOFTWARE 
VALOR HORA]],3,FALSE),"0")</f>
        <v>20263.424518743668</v>
      </c>
      <c r="P1239" s="3">
        <f t="shared" si="44"/>
        <v>40526.849037487336</v>
      </c>
      <c r="Q1239" s="11">
        <f>IFERROR(+VLOOKUP(M1239,D.sign_Lista_Data[[RESPONSABLE]:[SOFTWARE 
VALOR HORA]],5,FALSE)*D.sign_Data[[#This Row],[TIEMPO (HORAS)]],0)</f>
        <v>8443.0935494765272</v>
      </c>
      <c r="R1239" s="42">
        <f>IFERROR(+VLOOKUP(M1239,D.sign_Lista_Data[[RESPONSABLE]:[SOFTWARE 
VALOR HORA]],8,FALSE)*D.sign_Data[[#This Row],[TIEMPO (HORAS)]],0)</f>
        <v>6821.7097742879669</v>
      </c>
      <c r="S1239" s="99">
        <v>0</v>
      </c>
      <c r="T1239" s="99">
        <v>0</v>
      </c>
      <c r="U1239" s="3">
        <f t="shared" si="45"/>
        <v>55791.652361251836</v>
      </c>
      <c r="V1239" s="100">
        <f>D.sign_Data[[#This Row],[TIEMPO (HORAS)]]*Gastos_Operativos[[#Totals],[GASTOS HORA]]</f>
        <v>55578.954144620802</v>
      </c>
      <c r="W1239" s="3">
        <f>+D.sign_Data[[#This Row],[COSTO 
DIRECTO ($COP)]]+D.sign_Data[[#This Row],[PRORRATEO GASTOS ($COP)]]</f>
        <v>111370.60650587264</v>
      </c>
      <c r="X1239" s="101">
        <v>0.15</v>
      </c>
      <c r="Y1239" s="15">
        <f>+D.sign_Data[[#This Row],[COSTOS OPERACIONALES ($COP)]]*D.sign_Data[[#This Row],[DESFASE (%)]]</f>
        <v>16705.590975880896</v>
      </c>
      <c r="Z1239" s="101">
        <v>0.3</v>
      </c>
      <c r="AA1239" s="15">
        <f>+((D.sign_Data[[#This Row],[COSTOS OPERACIONALES ($COP)]]/(100%-D.sign_Data[[#This Row],[UTILIDAD (%)]])))-D.sign_Data[[#This Row],[COSTOS OPERACIONALES ($COP)]]</f>
        <v>47730.259931088294</v>
      </c>
      <c r="AB1239" s="3">
        <f>+D.sign_Data[[#This Row],[COSTOS OPERACIONALES ($COP)]]+D.sign_Data[[#This Row],[DESFASE ($COP)]]+D.sign_Data[[#This Row],[UTILIDAD ($COP)]]</f>
        <v>175806.45741284185</v>
      </c>
      <c r="AC1239" s="101">
        <v>0.05</v>
      </c>
      <c r="AD1239" s="15">
        <f>+D.sign_Data[[#This Row],[VALOR NETO ($COP)]]/(100%-D.sign_Data[[#This Row],[MARGEN DE NEGOCIACIÓN (%)]])-D.sign_Data[[#This Row],[VALOR NETO ($COP)]]</f>
        <v>9252.9714427811559</v>
      </c>
      <c r="AE1239" s="15">
        <f>+(D.sign_Data[[#This Row],[VALOR NETO ($COP)]]+D.sign_Data[[#This Row],[NEGOCIACIÓN ($COP)]])*1%</f>
        <v>1850.5942885562301</v>
      </c>
      <c r="AF1239" s="15">
        <f>+(D.sign_Data[[#This Row],[VALOR NETO ($COP)]]+D.sign_Data[[#This Row],[NEGOCIACIÓN ($COP)]])*1%</f>
        <v>1850.5942885562301</v>
      </c>
      <c r="AG1239" s="3">
        <f>+D.sign_Data[[#This Row],[VALOR NETO ($COP)]]+D.sign_Data[[#This Row],[NEGOCIACIÓN ($COP)]]+D.sign_Data[[#This Row],[ICA ($COP)]]+D.sign_Data[[#This Row],[4 * 1000 ($COP)]]</f>
        <v>188760.61743273545</v>
      </c>
    </row>
    <row r="1240" spans="1:33" ht="60" hidden="1" customHeight="1" x14ac:dyDescent="0.25">
      <c r="A1240" s="14"/>
      <c r="B1240" s="87" t="s">
        <v>442</v>
      </c>
      <c r="C1240" s="182" t="s">
        <v>1139</v>
      </c>
      <c r="D1240" s="189" t="str">
        <f>VLOOKUP(D.sign_Data[[#This Row],[CÓDIGO]],Descripciones[[CÓDIGO]:[NOMBRE DE SERVICIO]],3,FALSE)</f>
        <v>D6. Diseño Interior</v>
      </c>
      <c r="E1240" s="87" t="s">
        <v>1046</v>
      </c>
      <c r="F1240" s="93" t="s">
        <v>1140</v>
      </c>
      <c r="G1240" s="93" t="s">
        <v>991</v>
      </c>
      <c r="H1240" s="97" t="s">
        <v>423</v>
      </c>
      <c r="I1240" s="94">
        <v>1</v>
      </c>
      <c r="J1240" s="93" t="s">
        <v>1142</v>
      </c>
      <c r="K1240" s="103"/>
      <c r="L1240" s="93" t="s">
        <v>1143</v>
      </c>
      <c r="M1240" s="89" t="s">
        <v>381</v>
      </c>
      <c r="N1240" s="90">
        <v>0.5</v>
      </c>
      <c r="O1240" s="27">
        <f>IFERROR(+VLOOKUP(M1240,D.sign_Lista_Data[[RESPONSABLE]:[SOFTWARE 
VALOR HORA]],3,FALSE),"0")</f>
        <v>20263.424518743668</v>
      </c>
      <c r="P1240" s="3">
        <f t="shared" si="44"/>
        <v>10131.712259371834</v>
      </c>
      <c r="Q1240" s="11">
        <f>IFERROR(+VLOOKUP(M1240,D.sign_Lista_Data[[RESPONSABLE]:[SOFTWARE 
VALOR HORA]],5,FALSE)*D.sign_Data[[#This Row],[TIEMPO (HORAS)]],0)</f>
        <v>2110.7733873691318</v>
      </c>
      <c r="R1240" s="42">
        <f>IFERROR(+VLOOKUP(M1240,D.sign_Lista_Data[[RESPONSABLE]:[SOFTWARE 
VALOR HORA]],8,FALSE)*D.sign_Data[[#This Row],[TIEMPO (HORAS)]],0)</f>
        <v>1705.4274435719917</v>
      </c>
      <c r="S1240" s="99">
        <v>0</v>
      </c>
      <c r="T1240" s="99">
        <v>0</v>
      </c>
      <c r="U1240" s="3">
        <f t="shared" si="45"/>
        <v>13947.913090312959</v>
      </c>
      <c r="V1240" s="100">
        <f>D.sign_Data[[#This Row],[TIEMPO (HORAS)]]*Gastos_Operativos[[#Totals],[GASTOS HORA]]</f>
        <v>13894.738536155201</v>
      </c>
      <c r="W1240" s="3">
        <f>+D.sign_Data[[#This Row],[COSTO 
DIRECTO ($COP)]]+D.sign_Data[[#This Row],[PRORRATEO GASTOS ($COP)]]</f>
        <v>27842.65162646816</v>
      </c>
      <c r="X1240" s="101">
        <v>0.15</v>
      </c>
      <c r="Y1240" s="15">
        <f>+D.sign_Data[[#This Row],[COSTOS OPERACIONALES ($COP)]]*D.sign_Data[[#This Row],[DESFASE (%)]]</f>
        <v>4176.3977439702239</v>
      </c>
      <c r="Z1240" s="101">
        <v>0.3</v>
      </c>
      <c r="AA1240" s="15">
        <f>+((D.sign_Data[[#This Row],[COSTOS OPERACIONALES ($COP)]]/(100%-D.sign_Data[[#This Row],[UTILIDAD (%)]])))-D.sign_Data[[#This Row],[COSTOS OPERACIONALES ($COP)]]</f>
        <v>11932.564982772074</v>
      </c>
      <c r="AB1240" s="3">
        <f>+D.sign_Data[[#This Row],[COSTOS OPERACIONALES ($COP)]]+D.sign_Data[[#This Row],[DESFASE ($COP)]]+D.sign_Data[[#This Row],[UTILIDAD ($COP)]]</f>
        <v>43951.614353210462</v>
      </c>
      <c r="AC1240" s="101">
        <v>0.05</v>
      </c>
      <c r="AD1240" s="15">
        <f>+D.sign_Data[[#This Row],[VALOR NETO ($COP)]]/(100%-D.sign_Data[[#This Row],[MARGEN DE NEGOCIACIÓN (%)]])-D.sign_Data[[#This Row],[VALOR NETO ($COP)]]</f>
        <v>2313.242860695289</v>
      </c>
      <c r="AE1240" s="15">
        <f>+(D.sign_Data[[#This Row],[VALOR NETO ($COP)]]+D.sign_Data[[#This Row],[NEGOCIACIÓN ($COP)]])*1%</f>
        <v>462.64857213905753</v>
      </c>
      <c r="AF1240" s="15">
        <f>+(D.sign_Data[[#This Row],[VALOR NETO ($COP)]]+D.sign_Data[[#This Row],[NEGOCIACIÓN ($COP)]])*1%</f>
        <v>462.64857213905753</v>
      </c>
      <c r="AG1240" s="3">
        <f>+D.sign_Data[[#This Row],[VALOR NETO ($COP)]]+D.sign_Data[[#This Row],[NEGOCIACIÓN ($COP)]]+D.sign_Data[[#This Row],[ICA ($COP)]]+D.sign_Data[[#This Row],[4 * 1000 ($COP)]]</f>
        <v>47190.154358183863</v>
      </c>
    </row>
    <row r="1241" spans="1:33" ht="60" hidden="1" customHeight="1" x14ac:dyDescent="0.25">
      <c r="A1241" s="14"/>
      <c r="B1241" s="87" t="s">
        <v>442</v>
      </c>
      <c r="C1241" s="182" t="s">
        <v>1139</v>
      </c>
      <c r="D1241" s="189" t="str">
        <f>VLOOKUP(D.sign_Data[[#This Row],[CÓDIGO]],Descripciones[[CÓDIGO]:[NOMBRE DE SERVICIO]],3,FALSE)</f>
        <v>D6. Diseño Interior</v>
      </c>
      <c r="E1241" s="87" t="s">
        <v>1046</v>
      </c>
      <c r="F1241" s="93" t="s">
        <v>1140</v>
      </c>
      <c r="G1241" s="93" t="s">
        <v>991</v>
      </c>
      <c r="H1241" s="97" t="s">
        <v>423</v>
      </c>
      <c r="I1241" s="94">
        <v>1</v>
      </c>
      <c r="J1241" s="93" t="s">
        <v>1142</v>
      </c>
      <c r="K1241" s="103"/>
      <c r="L1241" s="93" t="s">
        <v>993</v>
      </c>
      <c r="M1241" s="89" t="s">
        <v>381</v>
      </c>
      <c r="N1241" s="90">
        <v>0.2</v>
      </c>
      <c r="O1241" s="27">
        <f>IFERROR(+VLOOKUP(M1241,D.sign_Lista_Data[[RESPONSABLE]:[SOFTWARE 
VALOR HORA]],3,FALSE),"0")</f>
        <v>20263.424518743668</v>
      </c>
      <c r="P1241" s="3">
        <f t="shared" si="44"/>
        <v>4052.6849037487336</v>
      </c>
      <c r="Q1241" s="11">
        <f>IFERROR(+VLOOKUP(M1241,D.sign_Lista_Data[[RESPONSABLE]:[SOFTWARE 
VALOR HORA]],5,FALSE)*D.sign_Data[[#This Row],[TIEMPO (HORAS)]],0)</f>
        <v>844.30935494765276</v>
      </c>
      <c r="R1241" s="42">
        <f>IFERROR(+VLOOKUP(M1241,D.sign_Lista_Data[[RESPONSABLE]:[SOFTWARE 
VALOR HORA]],8,FALSE)*D.sign_Data[[#This Row],[TIEMPO (HORAS)]],0)</f>
        <v>682.17097742879673</v>
      </c>
      <c r="S1241" s="99">
        <v>0</v>
      </c>
      <c r="T1241" s="99">
        <v>0</v>
      </c>
      <c r="U1241" s="3">
        <f t="shared" si="45"/>
        <v>5579.1652361251827</v>
      </c>
      <c r="V1241" s="100">
        <f>D.sign_Data[[#This Row],[TIEMPO (HORAS)]]*Gastos_Operativos[[#Totals],[GASTOS HORA]]</f>
        <v>5557.8954144620802</v>
      </c>
      <c r="W1241" s="3">
        <f>+D.sign_Data[[#This Row],[COSTO 
DIRECTO ($COP)]]+D.sign_Data[[#This Row],[PRORRATEO GASTOS ($COP)]]</f>
        <v>11137.060650587264</v>
      </c>
      <c r="X1241" s="101">
        <v>0.15</v>
      </c>
      <c r="Y1241" s="15">
        <f>+D.sign_Data[[#This Row],[COSTOS OPERACIONALES ($COP)]]*D.sign_Data[[#This Row],[DESFASE (%)]]</f>
        <v>1670.5590975880896</v>
      </c>
      <c r="Z1241" s="101">
        <v>0.3</v>
      </c>
      <c r="AA1241" s="15">
        <f>+((D.sign_Data[[#This Row],[COSTOS OPERACIONALES ($COP)]]/(100%-D.sign_Data[[#This Row],[UTILIDAD (%)]])))-D.sign_Data[[#This Row],[COSTOS OPERACIONALES ($COP)]]</f>
        <v>4773.0259931088276</v>
      </c>
      <c r="AB1241" s="3">
        <f>+D.sign_Data[[#This Row],[COSTOS OPERACIONALES ($COP)]]+D.sign_Data[[#This Row],[DESFASE ($COP)]]+D.sign_Data[[#This Row],[UTILIDAD ($COP)]]</f>
        <v>17580.645741284181</v>
      </c>
      <c r="AC1241" s="101">
        <v>0.05</v>
      </c>
      <c r="AD1241" s="15">
        <f>+D.sign_Data[[#This Row],[VALOR NETO ($COP)]]/(100%-D.sign_Data[[#This Row],[MARGEN DE NEGOCIACIÓN (%)]])-D.sign_Data[[#This Row],[VALOR NETO ($COP)]]</f>
        <v>925.29714427811632</v>
      </c>
      <c r="AE1241" s="15">
        <f>+(D.sign_Data[[#This Row],[VALOR NETO ($COP)]]+D.sign_Data[[#This Row],[NEGOCIACIÓN ($COP)]])*1%</f>
        <v>185.05942885562297</v>
      </c>
      <c r="AF1241" s="15">
        <f>+(D.sign_Data[[#This Row],[VALOR NETO ($COP)]]+D.sign_Data[[#This Row],[NEGOCIACIÓN ($COP)]])*1%</f>
        <v>185.05942885562297</v>
      </c>
      <c r="AG1241" s="3">
        <f>+D.sign_Data[[#This Row],[VALOR NETO ($COP)]]+D.sign_Data[[#This Row],[NEGOCIACIÓN ($COP)]]+D.sign_Data[[#This Row],[ICA ($COP)]]+D.sign_Data[[#This Row],[4 * 1000 ($COP)]]</f>
        <v>18876.061743273545</v>
      </c>
    </row>
    <row r="1242" spans="1:33" ht="60" hidden="1" customHeight="1" x14ac:dyDescent="0.25">
      <c r="A1242" s="14"/>
      <c r="B1242" s="87" t="s">
        <v>442</v>
      </c>
      <c r="C1242" s="182" t="s">
        <v>1139</v>
      </c>
      <c r="D1242" s="189" t="str">
        <f>VLOOKUP(D.sign_Data[[#This Row],[CÓDIGO]],Descripciones[[CÓDIGO]:[NOMBRE DE SERVICIO]],3,FALSE)</f>
        <v>D6. Diseño Interior</v>
      </c>
      <c r="E1242" s="87" t="s">
        <v>1046</v>
      </c>
      <c r="F1242" s="93" t="s">
        <v>1140</v>
      </c>
      <c r="G1242" s="93" t="s">
        <v>991</v>
      </c>
      <c r="H1242" s="97" t="s">
        <v>423</v>
      </c>
      <c r="I1242" s="94">
        <v>1</v>
      </c>
      <c r="J1242" s="93" t="s">
        <v>1142</v>
      </c>
      <c r="K1242" s="103"/>
      <c r="L1242" s="93" t="s">
        <v>1144</v>
      </c>
      <c r="M1242" s="89" t="s">
        <v>381</v>
      </c>
      <c r="N1242" s="90">
        <v>2</v>
      </c>
      <c r="O1242" s="27">
        <f>IFERROR(+VLOOKUP(M1242,D.sign_Lista_Data[[RESPONSABLE]:[SOFTWARE 
VALOR HORA]],3,FALSE),"0")</f>
        <v>20263.424518743668</v>
      </c>
      <c r="P1242" s="3">
        <f t="shared" si="44"/>
        <v>40526.849037487336</v>
      </c>
      <c r="Q1242" s="11">
        <f>IFERROR(+VLOOKUP(M1242,D.sign_Lista_Data[[RESPONSABLE]:[SOFTWARE 
VALOR HORA]],5,FALSE)*D.sign_Data[[#This Row],[TIEMPO (HORAS)]],0)</f>
        <v>8443.0935494765272</v>
      </c>
      <c r="R1242" s="42">
        <f>IFERROR(+VLOOKUP(M1242,D.sign_Lista_Data[[RESPONSABLE]:[SOFTWARE 
VALOR HORA]],8,FALSE)*D.sign_Data[[#This Row],[TIEMPO (HORAS)]],0)</f>
        <v>6821.7097742879669</v>
      </c>
      <c r="S1242" s="99">
        <v>0</v>
      </c>
      <c r="T1242" s="99">
        <v>0</v>
      </c>
      <c r="U1242" s="3">
        <f t="shared" si="45"/>
        <v>55791.652361251836</v>
      </c>
      <c r="V1242" s="100">
        <f>D.sign_Data[[#This Row],[TIEMPO (HORAS)]]*Gastos_Operativos[[#Totals],[GASTOS HORA]]</f>
        <v>55578.954144620802</v>
      </c>
      <c r="W1242" s="3">
        <f>+D.sign_Data[[#This Row],[COSTO 
DIRECTO ($COP)]]+D.sign_Data[[#This Row],[PRORRATEO GASTOS ($COP)]]</f>
        <v>111370.60650587264</v>
      </c>
      <c r="X1242" s="101">
        <v>0.15</v>
      </c>
      <c r="Y1242" s="15">
        <f>+D.sign_Data[[#This Row],[COSTOS OPERACIONALES ($COP)]]*D.sign_Data[[#This Row],[DESFASE (%)]]</f>
        <v>16705.590975880896</v>
      </c>
      <c r="Z1242" s="101">
        <v>0.3</v>
      </c>
      <c r="AA1242" s="15">
        <f>+((D.sign_Data[[#This Row],[COSTOS OPERACIONALES ($COP)]]/(100%-D.sign_Data[[#This Row],[UTILIDAD (%)]])))-D.sign_Data[[#This Row],[COSTOS OPERACIONALES ($COP)]]</f>
        <v>47730.259931088294</v>
      </c>
      <c r="AB1242" s="3">
        <f>+D.sign_Data[[#This Row],[COSTOS OPERACIONALES ($COP)]]+D.sign_Data[[#This Row],[DESFASE ($COP)]]+D.sign_Data[[#This Row],[UTILIDAD ($COP)]]</f>
        <v>175806.45741284185</v>
      </c>
      <c r="AC1242" s="101">
        <v>0.05</v>
      </c>
      <c r="AD1242" s="15">
        <f>+D.sign_Data[[#This Row],[VALOR NETO ($COP)]]/(100%-D.sign_Data[[#This Row],[MARGEN DE NEGOCIACIÓN (%)]])-D.sign_Data[[#This Row],[VALOR NETO ($COP)]]</f>
        <v>9252.9714427811559</v>
      </c>
      <c r="AE1242" s="15">
        <f>+(D.sign_Data[[#This Row],[VALOR NETO ($COP)]]+D.sign_Data[[#This Row],[NEGOCIACIÓN ($COP)]])*1%</f>
        <v>1850.5942885562301</v>
      </c>
      <c r="AF1242" s="15">
        <f>+(D.sign_Data[[#This Row],[VALOR NETO ($COP)]]+D.sign_Data[[#This Row],[NEGOCIACIÓN ($COP)]])*1%</f>
        <v>1850.5942885562301</v>
      </c>
      <c r="AG1242" s="3">
        <f>+D.sign_Data[[#This Row],[VALOR NETO ($COP)]]+D.sign_Data[[#This Row],[NEGOCIACIÓN ($COP)]]+D.sign_Data[[#This Row],[ICA ($COP)]]+D.sign_Data[[#This Row],[4 * 1000 ($COP)]]</f>
        <v>188760.61743273545</v>
      </c>
    </row>
    <row r="1243" spans="1:33" ht="60" hidden="1" customHeight="1" x14ac:dyDescent="0.25">
      <c r="A1243" s="14"/>
      <c r="B1243" s="87" t="s">
        <v>442</v>
      </c>
      <c r="C1243" s="182" t="s">
        <v>1139</v>
      </c>
      <c r="D1243" s="189" t="str">
        <f>VLOOKUP(D.sign_Data[[#This Row],[CÓDIGO]],Descripciones[[CÓDIGO]:[NOMBRE DE SERVICIO]],3,FALSE)</f>
        <v>D6. Diseño Interior</v>
      </c>
      <c r="E1243" s="87" t="s">
        <v>1046</v>
      </c>
      <c r="F1243" s="93" t="s">
        <v>1140</v>
      </c>
      <c r="G1243" s="93" t="s">
        <v>991</v>
      </c>
      <c r="H1243" s="94" t="s">
        <v>500</v>
      </c>
      <c r="I1243" s="94">
        <v>1</v>
      </c>
      <c r="J1243" s="93" t="s">
        <v>1142</v>
      </c>
      <c r="K1243" s="103"/>
      <c r="L1243" s="93" t="s">
        <v>995</v>
      </c>
      <c r="M1243" s="89" t="s">
        <v>381</v>
      </c>
      <c r="N1243" s="90">
        <v>1</v>
      </c>
      <c r="O1243" s="27">
        <f>IFERROR(+VLOOKUP(M1243,D.sign_Lista_Data[[RESPONSABLE]:[SOFTWARE 
VALOR HORA]],3,FALSE),"0")</f>
        <v>20263.424518743668</v>
      </c>
      <c r="P1243" s="3">
        <f t="shared" si="44"/>
        <v>20263.424518743668</v>
      </c>
      <c r="Q1243" s="11">
        <f>IFERROR(+VLOOKUP(M1243,D.sign_Lista_Data[[RESPONSABLE]:[SOFTWARE 
VALOR HORA]],5,FALSE)*D.sign_Data[[#This Row],[TIEMPO (HORAS)]],0)</f>
        <v>4221.5467747382636</v>
      </c>
      <c r="R1243" s="42">
        <f>IFERROR(+VLOOKUP(M1243,D.sign_Lista_Data[[RESPONSABLE]:[SOFTWARE 
VALOR HORA]],8,FALSE)*D.sign_Data[[#This Row],[TIEMPO (HORAS)]],0)</f>
        <v>3410.8548871439834</v>
      </c>
      <c r="S1243" s="99">
        <v>0</v>
      </c>
      <c r="T1243" s="99">
        <v>0</v>
      </c>
      <c r="U1243" s="3">
        <f t="shared" si="45"/>
        <v>27895.826180625918</v>
      </c>
      <c r="V1243" s="100">
        <f>D.sign_Data[[#This Row],[TIEMPO (HORAS)]]*Gastos_Operativos[[#Totals],[GASTOS HORA]]</f>
        <v>27789.477072310401</v>
      </c>
      <c r="W1243" s="3">
        <f>+D.sign_Data[[#This Row],[COSTO 
DIRECTO ($COP)]]+D.sign_Data[[#This Row],[PRORRATEO GASTOS ($COP)]]</f>
        <v>55685.303252936319</v>
      </c>
      <c r="X1243" s="101">
        <v>0.15</v>
      </c>
      <c r="Y1243" s="15">
        <f>+D.sign_Data[[#This Row],[COSTOS OPERACIONALES ($COP)]]*D.sign_Data[[#This Row],[DESFASE (%)]]</f>
        <v>8352.7954879404479</v>
      </c>
      <c r="Z1243" s="101">
        <v>0.3</v>
      </c>
      <c r="AA1243" s="15">
        <f>+((D.sign_Data[[#This Row],[COSTOS OPERACIONALES ($COP)]]/(100%-D.sign_Data[[#This Row],[UTILIDAD (%)]])))-D.sign_Data[[#This Row],[COSTOS OPERACIONALES ($COP)]]</f>
        <v>23865.129965544147</v>
      </c>
      <c r="AB1243" s="3">
        <f>+D.sign_Data[[#This Row],[COSTOS OPERACIONALES ($COP)]]+D.sign_Data[[#This Row],[DESFASE ($COP)]]+D.sign_Data[[#This Row],[UTILIDAD ($COP)]]</f>
        <v>87903.228706420923</v>
      </c>
      <c r="AC1243" s="101">
        <v>0.05</v>
      </c>
      <c r="AD1243" s="15">
        <f>+D.sign_Data[[#This Row],[VALOR NETO ($COP)]]/(100%-D.sign_Data[[#This Row],[MARGEN DE NEGOCIACIÓN (%)]])-D.sign_Data[[#This Row],[VALOR NETO ($COP)]]</f>
        <v>4626.485721390578</v>
      </c>
      <c r="AE1243" s="15">
        <f>+(D.sign_Data[[#This Row],[VALOR NETO ($COP)]]+D.sign_Data[[#This Row],[NEGOCIACIÓN ($COP)]])*1%</f>
        <v>925.29714427811507</v>
      </c>
      <c r="AF1243" s="15">
        <f>+(D.sign_Data[[#This Row],[VALOR NETO ($COP)]]+D.sign_Data[[#This Row],[NEGOCIACIÓN ($COP)]])*1%</f>
        <v>925.29714427811507</v>
      </c>
      <c r="AG1243" s="3">
        <f>+D.sign_Data[[#This Row],[VALOR NETO ($COP)]]+D.sign_Data[[#This Row],[NEGOCIACIÓN ($COP)]]+D.sign_Data[[#This Row],[ICA ($COP)]]+D.sign_Data[[#This Row],[4 * 1000 ($COP)]]</f>
        <v>94380.308716367726</v>
      </c>
    </row>
    <row r="1244" spans="1:33" ht="60" hidden="1" customHeight="1" x14ac:dyDescent="0.25">
      <c r="A1244" s="14"/>
      <c r="B1244" s="87" t="s">
        <v>442</v>
      </c>
      <c r="C1244" s="182" t="s">
        <v>1139</v>
      </c>
      <c r="D1244" s="189" t="str">
        <f>VLOOKUP(D.sign_Data[[#This Row],[CÓDIGO]],Descripciones[[CÓDIGO]:[NOMBRE DE SERVICIO]],3,FALSE)</f>
        <v>D6. Diseño Interior</v>
      </c>
      <c r="E1244" s="87" t="s">
        <v>1046</v>
      </c>
      <c r="F1244" s="93" t="s">
        <v>1140</v>
      </c>
      <c r="G1244" s="93" t="s">
        <v>991</v>
      </c>
      <c r="H1244" s="94" t="s">
        <v>500</v>
      </c>
      <c r="I1244" s="94">
        <v>1</v>
      </c>
      <c r="J1244" s="93" t="s">
        <v>1142</v>
      </c>
      <c r="K1244" s="103"/>
      <c r="L1244" s="93" t="s">
        <v>996</v>
      </c>
      <c r="M1244" s="89" t="s">
        <v>381</v>
      </c>
      <c r="N1244" s="90">
        <v>1</v>
      </c>
      <c r="O1244" s="27">
        <f>IFERROR(+VLOOKUP(M1244,D.sign_Lista_Data[[RESPONSABLE]:[SOFTWARE 
VALOR HORA]],3,FALSE),"0")</f>
        <v>20263.424518743668</v>
      </c>
      <c r="P1244" s="3">
        <f t="shared" si="44"/>
        <v>20263.424518743668</v>
      </c>
      <c r="Q1244" s="11">
        <f>IFERROR(+VLOOKUP(M1244,D.sign_Lista_Data[[RESPONSABLE]:[SOFTWARE 
VALOR HORA]],5,FALSE)*D.sign_Data[[#This Row],[TIEMPO (HORAS)]],0)</f>
        <v>4221.5467747382636</v>
      </c>
      <c r="R1244" s="42">
        <f>IFERROR(+VLOOKUP(M1244,D.sign_Lista_Data[[RESPONSABLE]:[SOFTWARE 
VALOR HORA]],8,FALSE)*D.sign_Data[[#This Row],[TIEMPO (HORAS)]],0)</f>
        <v>3410.8548871439834</v>
      </c>
      <c r="S1244" s="99">
        <v>0</v>
      </c>
      <c r="T1244" s="99">
        <v>0</v>
      </c>
      <c r="U1244" s="3">
        <f t="shared" si="45"/>
        <v>27895.826180625918</v>
      </c>
      <c r="V1244" s="100">
        <f>D.sign_Data[[#This Row],[TIEMPO (HORAS)]]*Gastos_Operativos[[#Totals],[GASTOS HORA]]</f>
        <v>27789.477072310401</v>
      </c>
      <c r="W1244" s="3">
        <f>+D.sign_Data[[#This Row],[COSTO 
DIRECTO ($COP)]]+D.sign_Data[[#This Row],[PRORRATEO GASTOS ($COP)]]</f>
        <v>55685.303252936319</v>
      </c>
      <c r="X1244" s="101">
        <v>0.15</v>
      </c>
      <c r="Y1244" s="15">
        <f>+D.sign_Data[[#This Row],[COSTOS OPERACIONALES ($COP)]]*D.sign_Data[[#This Row],[DESFASE (%)]]</f>
        <v>8352.7954879404479</v>
      </c>
      <c r="Z1244" s="101">
        <v>0.3</v>
      </c>
      <c r="AA1244" s="15">
        <f>+((D.sign_Data[[#This Row],[COSTOS OPERACIONALES ($COP)]]/(100%-D.sign_Data[[#This Row],[UTILIDAD (%)]])))-D.sign_Data[[#This Row],[COSTOS OPERACIONALES ($COP)]]</f>
        <v>23865.129965544147</v>
      </c>
      <c r="AB1244" s="3">
        <f>+D.sign_Data[[#This Row],[COSTOS OPERACIONALES ($COP)]]+D.sign_Data[[#This Row],[DESFASE ($COP)]]+D.sign_Data[[#This Row],[UTILIDAD ($COP)]]</f>
        <v>87903.228706420923</v>
      </c>
      <c r="AC1244" s="101">
        <v>0.05</v>
      </c>
      <c r="AD1244" s="15">
        <f>+D.sign_Data[[#This Row],[VALOR NETO ($COP)]]/(100%-D.sign_Data[[#This Row],[MARGEN DE NEGOCIACIÓN (%)]])-D.sign_Data[[#This Row],[VALOR NETO ($COP)]]</f>
        <v>4626.485721390578</v>
      </c>
      <c r="AE1244" s="15">
        <f>+(D.sign_Data[[#This Row],[VALOR NETO ($COP)]]+D.sign_Data[[#This Row],[NEGOCIACIÓN ($COP)]])*1%</f>
        <v>925.29714427811507</v>
      </c>
      <c r="AF1244" s="15">
        <f>+(D.sign_Data[[#This Row],[VALOR NETO ($COP)]]+D.sign_Data[[#This Row],[NEGOCIACIÓN ($COP)]])*1%</f>
        <v>925.29714427811507</v>
      </c>
      <c r="AG1244" s="3">
        <f>+D.sign_Data[[#This Row],[VALOR NETO ($COP)]]+D.sign_Data[[#This Row],[NEGOCIACIÓN ($COP)]]+D.sign_Data[[#This Row],[ICA ($COP)]]+D.sign_Data[[#This Row],[4 * 1000 ($COP)]]</f>
        <v>94380.308716367726</v>
      </c>
    </row>
    <row r="1245" spans="1:33" ht="60" hidden="1" customHeight="1" x14ac:dyDescent="0.25">
      <c r="A1245" s="14"/>
      <c r="B1245" s="87" t="s">
        <v>442</v>
      </c>
      <c r="C1245" s="182" t="s">
        <v>1139</v>
      </c>
      <c r="D1245" s="189" t="str">
        <f>VLOOKUP(D.sign_Data[[#This Row],[CÓDIGO]],Descripciones[[CÓDIGO]:[NOMBRE DE SERVICIO]],3,FALSE)</f>
        <v>D6. Diseño Interior</v>
      </c>
      <c r="E1245" s="87" t="s">
        <v>1046</v>
      </c>
      <c r="F1245" s="93" t="s">
        <v>1140</v>
      </c>
      <c r="G1245" s="93" t="s">
        <v>991</v>
      </c>
      <c r="H1245" s="94" t="s">
        <v>500</v>
      </c>
      <c r="I1245" s="94">
        <v>1</v>
      </c>
      <c r="J1245" s="93" t="s">
        <v>1142</v>
      </c>
      <c r="K1245" s="103"/>
      <c r="L1245" s="93" t="s">
        <v>997</v>
      </c>
      <c r="M1245" s="89" t="s">
        <v>381</v>
      </c>
      <c r="N1245" s="90">
        <v>2</v>
      </c>
      <c r="O1245" s="27">
        <f>IFERROR(+VLOOKUP(M1245,D.sign_Lista_Data[[RESPONSABLE]:[SOFTWARE 
VALOR HORA]],3,FALSE),"0")</f>
        <v>20263.424518743668</v>
      </c>
      <c r="P1245" s="3">
        <f t="shared" si="44"/>
        <v>40526.849037487336</v>
      </c>
      <c r="Q1245" s="11">
        <f>IFERROR(+VLOOKUP(M1245,D.sign_Lista_Data[[RESPONSABLE]:[SOFTWARE 
VALOR HORA]],5,FALSE)*D.sign_Data[[#This Row],[TIEMPO (HORAS)]],0)</f>
        <v>8443.0935494765272</v>
      </c>
      <c r="R1245" s="42">
        <f>IFERROR(+VLOOKUP(M1245,D.sign_Lista_Data[[RESPONSABLE]:[SOFTWARE 
VALOR HORA]],8,FALSE)*D.sign_Data[[#This Row],[TIEMPO (HORAS)]],0)</f>
        <v>6821.7097742879669</v>
      </c>
      <c r="S1245" s="99">
        <v>0</v>
      </c>
      <c r="T1245" s="99">
        <v>0</v>
      </c>
      <c r="U1245" s="3">
        <f t="shared" si="45"/>
        <v>55791.652361251836</v>
      </c>
      <c r="V1245" s="100">
        <f>D.sign_Data[[#This Row],[TIEMPO (HORAS)]]*Gastos_Operativos[[#Totals],[GASTOS HORA]]</f>
        <v>55578.954144620802</v>
      </c>
      <c r="W1245" s="3">
        <f>+D.sign_Data[[#This Row],[COSTO 
DIRECTO ($COP)]]+D.sign_Data[[#This Row],[PRORRATEO GASTOS ($COP)]]</f>
        <v>111370.60650587264</v>
      </c>
      <c r="X1245" s="101">
        <v>0.15</v>
      </c>
      <c r="Y1245" s="15">
        <f>+D.sign_Data[[#This Row],[COSTOS OPERACIONALES ($COP)]]*D.sign_Data[[#This Row],[DESFASE (%)]]</f>
        <v>16705.590975880896</v>
      </c>
      <c r="Z1245" s="101">
        <v>0.3</v>
      </c>
      <c r="AA1245" s="15">
        <f>+((D.sign_Data[[#This Row],[COSTOS OPERACIONALES ($COP)]]/(100%-D.sign_Data[[#This Row],[UTILIDAD (%)]])))-D.sign_Data[[#This Row],[COSTOS OPERACIONALES ($COP)]]</f>
        <v>47730.259931088294</v>
      </c>
      <c r="AB1245" s="3">
        <f>+D.sign_Data[[#This Row],[COSTOS OPERACIONALES ($COP)]]+D.sign_Data[[#This Row],[DESFASE ($COP)]]+D.sign_Data[[#This Row],[UTILIDAD ($COP)]]</f>
        <v>175806.45741284185</v>
      </c>
      <c r="AC1245" s="101">
        <v>0.05</v>
      </c>
      <c r="AD1245" s="15">
        <f>+D.sign_Data[[#This Row],[VALOR NETO ($COP)]]/(100%-D.sign_Data[[#This Row],[MARGEN DE NEGOCIACIÓN (%)]])-D.sign_Data[[#This Row],[VALOR NETO ($COP)]]</f>
        <v>9252.9714427811559</v>
      </c>
      <c r="AE1245" s="15">
        <f>+(D.sign_Data[[#This Row],[VALOR NETO ($COP)]]+D.sign_Data[[#This Row],[NEGOCIACIÓN ($COP)]])*1%</f>
        <v>1850.5942885562301</v>
      </c>
      <c r="AF1245" s="15">
        <f>+(D.sign_Data[[#This Row],[VALOR NETO ($COP)]]+D.sign_Data[[#This Row],[NEGOCIACIÓN ($COP)]])*1%</f>
        <v>1850.5942885562301</v>
      </c>
      <c r="AG1245" s="3">
        <f>+D.sign_Data[[#This Row],[VALOR NETO ($COP)]]+D.sign_Data[[#This Row],[NEGOCIACIÓN ($COP)]]+D.sign_Data[[#This Row],[ICA ($COP)]]+D.sign_Data[[#This Row],[4 * 1000 ($COP)]]</f>
        <v>188760.61743273545</v>
      </c>
    </row>
    <row r="1246" spans="1:33" ht="60" hidden="1" customHeight="1" x14ac:dyDescent="0.25">
      <c r="A1246" s="14"/>
      <c r="B1246" s="87" t="s">
        <v>442</v>
      </c>
      <c r="C1246" s="182" t="s">
        <v>1139</v>
      </c>
      <c r="D1246" s="189" t="str">
        <f>VLOOKUP(D.sign_Data[[#This Row],[CÓDIGO]],Descripciones[[CÓDIGO]:[NOMBRE DE SERVICIO]],3,FALSE)</f>
        <v>D6. Diseño Interior</v>
      </c>
      <c r="E1246" s="87" t="s">
        <v>1046</v>
      </c>
      <c r="F1246" s="93" t="s">
        <v>1140</v>
      </c>
      <c r="G1246" s="93" t="s">
        <v>991</v>
      </c>
      <c r="H1246" s="94" t="s">
        <v>500</v>
      </c>
      <c r="I1246" s="94">
        <v>1</v>
      </c>
      <c r="J1246" s="93" t="s">
        <v>1142</v>
      </c>
      <c r="K1246" s="103"/>
      <c r="L1246" s="93" t="s">
        <v>998</v>
      </c>
      <c r="M1246" s="89" t="s">
        <v>381</v>
      </c>
      <c r="N1246" s="90">
        <v>2</v>
      </c>
      <c r="O1246" s="27">
        <f>IFERROR(+VLOOKUP(M1246,D.sign_Lista_Data[[RESPONSABLE]:[SOFTWARE 
VALOR HORA]],3,FALSE),"0")</f>
        <v>20263.424518743668</v>
      </c>
      <c r="P1246" s="3">
        <f t="shared" si="44"/>
        <v>40526.849037487336</v>
      </c>
      <c r="Q1246" s="11">
        <f>IFERROR(+VLOOKUP(M1246,D.sign_Lista_Data[[RESPONSABLE]:[SOFTWARE 
VALOR HORA]],5,FALSE)*D.sign_Data[[#This Row],[TIEMPO (HORAS)]],0)</f>
        <v>8443.0935494765272</v>
      </c>
      <c r="R1246" s="42">
        <f>IFERROR(+VLOOKUP(M1246,D.sign_Lista_Data[[RESPONSABLE]:[SOFTWARE 
VALOR HORA]],8,FALSE)*D.sign_Data[[#This Row],[TIEMPO (HORAS)]],0)</f>
        <v>6821.7097742879669</v>
      </c>
      <c r="S1246" s="99">
        <v>0</v>
      </c>
      <c r="T1246" s="99">
        <v>0</v>
      </c>
      <c r="U1246" s="3">
        <f t="shared" si="45"/>
        <v>55791.652361251836</v>
      </c>
      <c r="V1246" s="100">
        <f>D.sign_Data[[#This Row],[TIEMPO (HORAS)]]*Gastos_Operativos[[#Totals],[GASTOS HORA]]</f>
        <v>55578.954144620802</v>
      </c>
      <c r="W1246" s="3">
        <f>+D.sign_Data[[#This Row],[COSTO 
DIRECTO ($COP)]]+D.sign_Data[[#This Row],[PRORRATEO GASTOS ($COP)]]</f>
        <v>111370.60650587264</v>
      </c>
      <c r="X1246" s="101">
        <v>0.15</v>
      </c>
      <c r="Y1246" s="15">
        <f>+D.sign_Data[[#This Row],[COSTOS OPERACIONALES ($COP)]]*D.sign_Data[[#This Row],[DESFASE (%)]]</f>
        <v>16705.590975880896</v>
      </c>
      <c r="Z1246" s="101">
        <v>0.3</v>
      </c>
      <c r="AA1246" s="15">
        <f>+((D.sign_Data[[#This Row],[COSTOS OPERACIONALES ($COP)]]/(100%-D.sign_Data[[#This Row],[UTILIDAD (%)]])))-D.sign_Data[[#This Row],[COSTOS OPERACIONALES ($COP)]]</f>
        <v>47730.259931088294</v>
      </c>
      <c r="AB1246" s="3">
        <f>+D.sign_Data[[#This Row],[COSTOS OPERACIONALES ($COP)]]+D.sign_Data[[#This Row],[DESFASE ($COP)]]+D.sign_Data[[#This Row],[UTILIDAD ($COP)]]</f>
        <v>175806.45741284185</v>
      </c>
      <c r="AC1246" s="101">
        <v>0.05</v>
      </c>
      <c r="AD1246" s="15">
        <f>+D.sign_Data[[#This Row],[VALOR NETO ($COP)]]/(100%-D.sign_Data[[#This Row],[MARGEN DE NEGOCIACIÓN (%)]])-D.sign_Data[[#This Row],[VALOR NETO ($COP)]]</f>
        <v>9252.9714427811559</v>
      </c>
      <c r="AE1246" s="15">
        <f>+(D.sign_Data[[#This Row],[VALOR NETO ($COP)]]+D.sign_Data[[#This Row],[NEGOCIACIÓN ($COP)]])*1%</f>
        <v>1850.5942885562301</v>
      </c>
      <c r="AF1246" s="15">
        <f>+(D.sign_Data[[#This Row],[VALOR NETO ($COP)]]+D.sign_Data[[#This Row],[NEGOCIACIÓN ($COP)]])*1%</f>
        <v>1850.5942885562301</v>
      </c>
      <c r="AG1246" s="3">
        <f>+D.sign_Data[[#This Row],[VALOR NETO ($COP)]]+D.sign_Data[[#This Row],[NEGOCIACIÓN ($COP)]]+D.sign_Data[[#This Row],[ICA ($COP)]]+D.sign_Data[[#This Row],[4 * 1000 ($COP)]]</f>
        <v>188760.61743273545</v>
      </c>
    </row>
    <row r="1247" spans="1:33" ht="60" hidden="1" customHeight="1" x14ac:dyDescent="0.25">
      <c r="A1247" s="14"/>
      <c r="B1247" s="87" t="s">
        <v>442</v>
      </c>
      <c r="C1247" s="182" t="s">
        <v>1139</v>
      </c>
      <c r="D1247" s="189" t="str">
        <f>VLOOKUP(D.sign_Data[[#This Row],[CÓDIGO]],Descripciones[[CÓDIGO]:[NOMBRE DE SERVICIO]],3,FALSE)</f>
        <v>D6. Diseño Interior</v>
      </c>
      <c r="E1247" s="87" t="s">
        <v>1046</v>
      </c>
      <c r="F1247" s="93" t="s">
        <v>1140</v>
      </c>
      <c r="G1247" s="93" t="s">
        <v>991</v>
      </c>
      <c r="H1247" s="94" t="s">
        <v>500</v>
      </c>
      <c r="I1247" s="94">
        <v>1</v>
      </c>
      <c r="J1247" s="93" t="s">
        <v>1142</v>
      </c>
      <c r="K1247" s="103"/>
      <c r="L1247" s="93" t="s">
        <v>999</v>
      </c>
      <c r="M1247" s="89" t="s">
        <v>381</v>
      </c>
      <c r="N1247" s="90">
        <v>2</v>
      </c>
      <c r="O1247" s="27">
        <f>IFERROR(+VLOOKUP(M1247,D.sign_Lista_Data[[RESPONSABLE]:[SOFTWARE 
VALOR HORA]],3,FALSE),"0")</f>
        <v>20263.424518743668</v>
      </c>
      <c r="P1247" s="3">
        <f t="shared" si="44"/>
        <v>40526.849037487336</v>
      </c>
      <c r="Q1247" s="11">
        <f>IFERROR(+VLOOKUP(M1247,D.sign_Lista_Data[[RESPONSABLE]:[SOFTWARE 
VALOR HORA]],5,FALSE)*D.sign_Data[[#This Row],[TIEMPO (HORAS)]],0)</f>
        <v>8443.0935494765272</v>
      </c>
      <c r="R1247" s="42">
        <f>IFERROR(+VLOOKUP(M1247,D.sign_Lista_Data[[RESPONSABLE]:[SOFTWARE 
VALOR HORA]],8,FALSE)*D.sign_Data[[#This Row],[TIEMPO (HORAS)]],0)</f>
        <v>6821.7097742879669</v>
      </c>
      <c r="S1247" s="99">
        <v>0</v>
      </c>
      <c r="T1247" s="99">
        <v>0</v>
      </c>
      <c r="U1247" s="3">
        <f t="shared" si="45"/>
        <v>55791.652361251836</v>
      </c>
      <c r="V1247" s="100">
        <f>D.sign_Data[[#This Row],[TIEMPO (HORAS)]]*Gastos_Operativos[[#Totals],[GASTOS HORA]]</f>
        <v>55578.954144620802</v>
      </c>
      <c r="W1247" s="3">
        <f>+D.sign_Data[[#This Row],[COSTO 
DIRECTO ($COP)]]+D.sign_Data[[#This Row],[PRORRATEO GASTOS ($COP)]]</f>
        <v>111370.60650587264</v>
      </c>
      <c r="X1247" s="101">
        <v>0.15</v>
      </c>
      <c r="Y1247" s="15">
        <f>+D.sign_Data[[#This Row],[COSTOS OPERACIONALES ($COP)]]*D.sign_Data[[#This Row],[DESFASE (%)]]</f>
        <v>16705.590975880896</v>
      </c>
      <c r="Z1247" s="101">
        <v>0.3</v>
      </c>
      <c r="AA1247" s="15">
        <f>+((D.sign_Data[[#This Row],[COSTOS OPERACIONALES ($COP)]]/(100%-D.sign_Data[[#This Row],[UTILIDAD (%)]])))-D.sign_Data[[#This Row],[COSTOS OPERACIONALES ($COP)]]</f>
        <v>47730.259931088294</v>
      </c>
      <c r="AB1247" s="3">
        <f>+D.sign_Data[[#This Row],[COSTOS OPERACIONALES ($COP)]]+D.sign_Data[[#This Row],[DESFASE ($COP)]]+D.sign_Data[[#This Row],[UTILIDAD ($COP)]]</f>
        <v>175806.45741284185</v>
      </c>
      <c r="AC1247" s="101">
        <v>0.05</v>
      </c>
      <c r="AD1247" s="15">
        <f>+D.sign_Data[[#This Row],[VALOR NETO ($COP)]]/(100%-D.sign_Data[[#This Row],[MARGEN DE NEGOCIACIÓN (%)]])-D.sign_Data[[#This Row],[VALOR NETO ($COP)]]</f>
        <v>9252.9714427811559</v>
      </c>
      <c r="AE1247" s="15">
        <f>+(D.sign_Data[[#This Row],[VALOR NETO ($COP)]]+D.sign_Data[[#This Row],[NEGOCIACIÓN ($COP)]])*1%</f>
        <v>1850.5942885562301</v>
      </c>
      <c r="AF1247" s="15">
        <f>+(D.sign_Data[[#This Row],[VALOR NETO ($COP)]]+D.sign_Data[[#This Row],[NEGOCIACIÓN ($COP)]])*1%</f>
        <v>1850.5942885562301</v>
      </c>
      <c r="AG1247" s="3">
        <f>+D.sign_Data[[#This Row],[VALOR NETO ($COP)]]+D.sign_Data[[#This Row],[NEGOCIACIÓN ($COP)]]+D.sign_Data[[#This Row],[ICA ($COP)]]+D.sign_Data[[#This Row],[4 * 1000 ($COP)]]</f>
        <v>188760.61743273545</v>
      </c>
    </row>
    <row r="1248" spans="1:33" ht="60" hidden="1" customHeight="1" x14ac:dyDescent="0.25">
      <c r="A1248" s="14"/>
      <c r="B1248" s="87" t="s">
        <v>442</v>
      </c>
      <c r="C1248" s="182" t="s">
        <v>1139</v>
      </c>
      <c r="D1248" s="189" t="str">
        <f>VLOOKUP(D.sign_Data[[#This Row],[CÓDIGO]],Descripciones[[CÓDIGO]:[NOMBRE DE SERVICIO]],3,FALSE)</f>
        <v>D6. Diseño Interior</v>
      </c>
      <c r="E1248" s="87" t="s">
        <v>1046</v>
      </c>
      <c r="F1248" s="93" t="s">
        <v>1140</v>
      </c>
      <c r="G1248" s="93" t="s">
        <v>991</v>
      </c>
      <c r="H1248" s="94" t="s">
        <v>500</v>
      </c>
      <c r="I1248" s="94">
        <v>1</v>
      </c>
      <c r="J1248" s="93" t="s">
        <v>1142</v>
      </c>
      <c r="K1248" s="103"/>
      <c r="L1248" s="93" t="s">
        <v>1145</v>
      </c>
      <c r="M1248" s="89" t="s">
        <v>381</v>
      </c>
      <c r="N1248" s="90">
        <v>3</v>
      </c>
      <c r="O1248" s="27">
        <f>IFERROR(+VLOOKUP(M1248,D.sign_Lista_Data[[RESPONSABLE]:[SOFTWARE 
VALOR HORA]],3,FALSE),"0")</f>
        <v>20263.424518743668</v>
      </c>
      <c r="P1248" s="3">
        <f t="shared" si="44"/>
        <v>60790.273556231004</v>
      </c>
      <c r="Q1248" s="11">
        <f>IFERROR(+VLOOKUP(M1248,D.sign_Lista_Data[[RESPONSABLE]:[SOFTWARE 
VALOR HORA]],5,FALSE)*D.sign_Data[[#This Row],[TIEMPO (HORAS)]],0)</f>
        <v>12664.64032421479</v>
      </c>
      <c r="R1248" s="42">
        <f>IFERROR(+VLOOKUP(M1248,D.sign_Lista_Data[[RESPONSABLE]:[SOFTWARE 
VALOR HORA]],8,FALSE)*D.sign_Data[[#This Row],[TIEMPO (HORAS)]],0)</f>
        <v>10232.56466143195</v>
      </c>
      <c r="S1248" s="99">
        <v>0</v>
      </c>
      <c r="T1248" s="99">
        <v>0</v>
      </c>
      <c r="U1248" s="3">
        <f t="shared" si="45"/>
        <v>83687.478541877746</v>
      </c>
      <c r="V1248" s="100">
        <f>D.sign_Data[[#This Row],[TIEMPO (HORAS)]]*Gastos_Operativos[[#Totals],[GASTOS HORA]]</f>
        <v>83368.431216931203</v>
      </c>
      <c r="W1248" s="3">
        <f>+D.sign_Data[[#This Row],[COSTO 
DIRECTO ($COP)]]+D.sign_Data[[#This Row],[PRORRATEO GASTOS ($COP)]]</f>
        <v>167055.90975880896</v>
      </c>
      <c r="X1248" s="101">
        <v>0.15</v>
      </c>
      <c r="Y1248" s="15">
        <f>+D.sign_Data[[#This Row],[COSTOS OPERACIONALES ($COP)]]*D.sign_Data[[#This Row],[DESFASE (%)]]</f>
        <v>25058.386463821345</v>
      </c>
      <c r="Z1248" s="101">
        <v>0.3</v>
      </c>
      <c r="AA1248" s="15">
        <f>+((D.sign_Data[[#This Row],[COSTOS OPERACIONALES ($COP)]]/(100%-D.sign_Data[[#This Row],[UTILIDAD (%)]])))-D.sign_Data[[#This Row],[COSTOS OPERACIONALES ($COP)]]</f>
        <v>71595.389896632434</v>
      </c>
      <c r="AB1248" s="3">
        <f>+D.sign_Data[[#This Row],[COSTOS OPERACIONALES ($COP)]]+D.sign_Data[[#This Row],[DESFASE ($COP)]]+D.sign_Data[[#This Row],[UTILIDAD ($COP)]]</f>
        <v>263709.68611926271</v>
      </c>
      <c r="AC1248" s="101">
        <v>0.05</v>
      </c>
      <c r="AD1248" s="15">
        <f>+D.sign_Data[[#This Row],[VALOR NETO ($COP)]]/(100%-D.sign_Data[[#This Row],[MARGEN DE NEGOCIACIÓN (%)]])-D.sign_Data[[#This Row],[VALOR NETO ($COP)]]</f>
        <v>13879.457164171734</v>
      </c>
      <c r="AE1248" s="15">
        <f>+(D.sign_Data[[#This Row],[VALOR NETO ($COP)]]+D.sign_Data[[#This Row],[NEGOCIACIÓN ($COP)]])*1%</f>
        <v>2775.8914328343444</v>
      </c>
      <c r="AF1248" s="15">
        <f>+(D.sign_Data[[#This Row],[VALOR NETO ($COP)]]+D.sign_Data[[#This Row],[NEGOCIACIÓN ($COP)]])*1%</f>
        <v>2775.8914328343444</v>
      </c>
      <c r="AG1248" s="3">
        <f>+D.sign_Data[[#This Row],[VALOR NETO ($COP)]]+D.sign_Data[[#This Row],[NEGOCIACIÓN ($COP)]]+D.sign_Data[[#This Row],[ICA ($COP)]]+D.sign_Data[[#This Row],[4 * 1000 ($COP)]]</f>
        <v>283140.92614910309</v>
      </c>
    </row>
    <row r="1249" spans="1:33" ht="60" hidden="1" customHeight="1" x14ac:dyDescent="0.25">
      <c r="A1249" s="14"/>
      <c r="B1249" s="87" t="s">
        <v>442</v>
      </c>
      <c r="C1249" s="182" t="s">
        <v>1139</v>
      </c>
      <c r="D1249" s="189" t="str">
        <f>VLOOKUP(D.sign_Data[[#This Row],[CÓDIGO]],Descripciones[[CÓDIGO]:[NOMBRE DE SERVICIO]],3,FALSE)</f>
        <v>D6. Diseño Interior</v>
      </c>
      <c r="E1249" s="87" t="s">
        <v>1046</v>
      </c>
      <c r="F1249" s="93" t="s">
        <v>1140</v>
      </c>
      <c r="G1249" s="93" t="s">
        <v>991</v>
      </c>
      <c r="H1249" s="94" t="s">
        <v>1146</v>
      </c>
      <c r="I1249" s="94">
        <v>1</v>
      </c>
      <c r="J1249" s="93" t="s">
        <v>1147</v>
      </c>
      <c r="K1249" s="103"/>
      <c r="L1249" s="93" t="s">
        <v>1148</v>
      </c>
      <c r="M1249" s="89" t="s">
        <v>381</v>
      </c>
      <c r="N1249" s="90">
        <v>2</v>
      </c>
      <c r="O1249" s="27">
        <f>IFERROR(+VLOOKUP(M1249,D.sign_Lista_Data[[RESPONSABLE]:[SOFTWARE 
VALOR HORA]],3,FALSE),"0")</f>
        <v>20263.424518743668</v>
      </c>
      <c r="P1249" s="3">
        <f t="shared" si="44"/>
        <v>40526.849037487336</v>
      </c>
      <c r="Q1249" s="11">
        <f>IFERROR(+VLOOKUP(M1249,D.sign_Lista_Data[[RESPONSABLE]:[SOFTWARE 
VALOR HORA]],5,FALSE)*D.sign_Data[[#This Row],[TIEMPO (HORAS)]],0)</f>
        <v>8443.0935494765272</v>
      </c>
      <c r="R1249" s="42">
        <f>IFERROR(+VLOOKUP(M1249,D.sign_Lista_Data[[RESPONSABLE]:[SOFTWARE 
VALOR HORA]],8,FALSE)*D.sign_Data[[#This Row],[TIEMPO (HORAS)]],0)</f>
        <v>6821.7097742879669</v>
      </c>
      <c r="S1249" s="99">
        <v>0</v>
      </c>
      <c r="T1249" s="99">
        <v>0</v>
      </c>
      <c r="U1249" s="3">
        <f t="shared" si="45"/>
        <v>55791.652361251836</v>
      </c>
      <c r="V1249" s="100">
        <f>D.sign_Data[[#This Row],[TIEMPO (HORAS)]]*Gastos_Operativos[[#Totals],[GASTOS HORA]]</f>
        <v>55578.954144620802</v>
      </c>
      <c r="W1249" s="3">
        <f>+D.sign_Data[[#This Row],[COSTO 
DIRECTO ($COP)]]+D.sign_Data[[#This Row],[PRORRATEO GASTOS ($COP)]]</f>
        <v>111370.60650587264</v>
      </c>
      <c r="X1249" s="101">
        <v>0.15</v>
      </c>
      <c r="Y1249" s="15">
        <f>+D.sign_Data[[#This Row],[COSTOS OPERACIONALES ($COP)]]*D.sign_Data[[#This Row],[DESFASE (%)]]</f>
        <v>16705.590975880896</v>
      </c>
      <c r="Z1249" s="101">
        <v>0.3</v>
      </c>
      <c r="AA1249" s="15">
        <f>+((D.sign_Data[[#This Row],[COSTOS OPERACIONALES ($COP)]]/(100%-D.sign_Data[[#This Row],[UTILIDAD (%)]])))-D.sign_Data[[#This Row],[COSTOS OPERACIONALES ($COP)]]</f>
        <v>47730.259931088294</v>
      </c>
      <c r="AB1249" s="3">
        <f>+D.sign_Data[[#This Row],[COSTOS OPERACIONALES ($COP)]]+D.sign_Data[[#This Row],[DESFASE ($COP)]]+D.sign_Data[[#This Row],[UTILIDAD ($COP)]]</f>
        <v>175806.45741284185</v>
      </c>
      <c r="AC1249" s="101">
        <v>0.05</v>
      </c>
      <c r="AD1249" s="15">
        <f>+D.sign_Data[[#This Row],[VALOR NETO ($COP)]]/(100%-D.sign_Data[[#This Row],[MARGEN DE NEGOCIACIÓN (%)]])-D.sign_Data[[#This Row],[VALOR NETO ($COP)]]</f>
        <v>9252.9714427811559</v>
      </c>
      <c r="AE1249" s="15">
        <f>+(D.sign_Data[[#This Row],[VALOR NETO ($COP)]]+D.sign_Data[[#This Row],[NEGOCIACIÓN ($COP)]])*1%</f>
        <v>1850.5942885562301</v>
      </c>
      <c r="AF1249" s="15">
        <f>+(D.sign_Data[[#This Row],[VALOR NETO ($COP)]]+D.sign_Data[[#This Row],[NEGOCIACIÓN ($COP)]])*1%</f>
        <v>1850.5942885562301</v>
      </c>
      <c r="AG1249" s="3">
        <f>+D.sign_Data[[#This Row],[VALOR NETO ($COP)]]+D.sign_Data[[#This Row],[NEGOCIACIÓN ($COP)]]+D.sign_Data[[#This Row],[ICA ($COP)]]+D.sign_Data[[#This Row],[4 * 1000 ($COP)]]</f>
        <v>188760.61743273545</v>
      </c>
    </row>
    <row r="1250" spans="1:33" ht="60" hidden="1" customHeight="1" x14ac:dyDescent="0.25">
      <c r="A1250" s="14"/>
      <c r="B1250" s="87" t="s">
        <v>442</v>
      </c>
      <c r="C1250" s="182" t="s">
        <v>1139</v>
      </c>
      <c r="D1250" s="189" t="str">
        <f>VLOOKUP(D.sign_Data[[#This Row],[CÓDIGO]],Descripciones[[CÓDIGO]:[NOMBRE DE SERVICIO]],3,FALSE)</f>
        <v>D6. Diseño Interior</v>
      </c>
      <c r="E1250" s="87" t="s">
        <v>1046</v>
      </c>
      <c r="F1250" s="93" t="s">
        <v>1140</v>
      </c>
      <c r="G1250" s="93" t="s">
        <v>991</v>
      </c>
      <c r="H1250" s="87" t="s">
        <v>1149</v>
      </c>
      <c r="I1250" s="92">
        <v>1</v>
      </c>
      <c r="J1250" s="93" t="s">
        <v>1147</v>
      </c>
      <c r="K1250" s="102"/>
      <c r="L1250" s="88" t="s">
        <v>1150</v>
      </c>
      <c r="M1250" s="89" t="s">
        <v>381</v>
      </c>
      <c r="N1250" s="90">
        <v>1</v>
      </c>
      <c r="O1250" s="27">
        <f>IFERROR(+VLOOKUP(M1250,D.sign_Lista_Data[[RESPONSABLE]:[SOFTWARE 
VALOR HORA]],3,FALSE),"0")</f>
        <v>20263.424518743668</v>
      </c>
      <c r="P1250" s="3">
        <f t="shared" si="44"/>
        <v>20263.424518743668</v>
      </c>
      <c r="Q1250" s="11">
        <f>IFERROR(+VLOOKUP(M1250,D.sign_Lista_Data[[RESPONSABLE]:[SOFTWARE 
VALOR HORA]],5,FALSE)*D.sign_Data[[#This Row],[TIEMPO (HORAS)]],0)</f>
        <v>4221.5467747382636</v>
      </c>
      <c r="R1250" s="11">
        <f>IFERROR(+VLOOKUP(M1250,D.sign_Lista_Data[[RESPONSABLE]:[SOFTWARE 
VALOR HORA]],8,FALSE)*D.sign_Data[[#This Row],[TIEMPO (HORAS)]],0)</f>
        <v>3410.8548871439834</v>
      </c>
      <c r="S1250" s="99">
        <v>0</v>
      </c>
      <c r="T1250" s="99">
        <v>0</v>
      </c>
      <c r="U1250" s="3">
        <f t="shared" si="45"/>
        <v>27895.826180625918</v>
      </c>
      <c r="V1250" s="100">
        <f>D.sign_Data[[#This Row],[TIEMPO (HORAS)]]*Gastos_Operativos[[#Totals],[GASTOS HORA]]</f>
        <v>27789.477072310401</v>
      </c>
      <c r="W1250" s="3">
        <f>+D.sign_Data[[#This Row],[COSTO 
DIRECTO ($COP)]]+D.sign_Data[[#This Row],[PRORRATEO GASTOS ($COP)]]</f>
        <v>55685.303252936319</v>
      </c>
      <c r="X1250" s="101">
        <v>0.15</v>
      </c>
      <c r="Y1250" s="15">
        <f>+D.sign_Data[[#This Row],[COSTOS OPERACIONALES ($COP)]]*D.sign_Data[[#This Row],[DESFASE (%)]]</f>
        <v>8352.7954879404479</v>
      </c>
      <c r="Z1250" s="101">
        <v>0.3</v>
      </c>
      <c r="AA1250" s="15">
        <f>+((D.sign_Data[[#This Row],[COSTOS OPERACIONALES ($COP)]]/(100%-D.sign_Data[[#This Row],[UTILIDAD (%)]])))-D.sign_Data[[#This Row],[COSTOS OPERACIONALES ($COP)]]</f>
        <v>23865.129965544147</v>
      </c>
      <c r="AB1250" s="3">
        <f>+D.sign_Data[[#This Row],[COSTOS OPERACIONALES ($COP)]]+D.sign_Data[[#This Row],[DESFASE ($COP)]]+D.sign_Data[[#This Row],[UTILIDAD ($COP)]]</f>
        <v>87903.228706420923</v>
      </c>
      <c r="AC1250" s="101">
        <v>0.05</v>
      </c>
      <c r="AD1250" s="15">
        <f>+D.sign_Data[[#This Row],[VALOR NETO ($COP)]]/(100%-D.sign_Data[[#This Row],[MARGEN DE NEGOCIACIÓN (%)]])-D.sign_Data[[#This Row],[VALOR NETO ($COP)]]</f>
        <v>4626.485721390578</v>
      </c>
      <c r="AE1250" s="15">
        <f>+(D.sign_Data[[#This Row],[VALOR NETO ($COP)]]+D.sign_Data[[#This Row],[NEGOCIACIÓN ($COP)]])*1%</f>
        <v>925.29714427811507</v>
      </c>
      <c r="AF1250" s="15">
        <f>+(D.sign_Data[[#This Row],[VALOR NETO ($COP)]]+D.sign_Data[[#This Row],[NEGOCIACIÓN ($COP)]])*1%</f>
        <v>925.29714427811507</v>
      </c>
      <c r="AG1250" s="3">
        <f>+D.sign_Data[[#This Row],[VALOR NETO ($COP)]]+D.sign_Data[[#This Row],[NEGOCIACIÓN ($COP)]]+D.sign_Data[[#This Row],[ICA ($COP)]]+D.sign_Data[[#This Row],[4 * 1000 ($COP)]]</f>
        <v>94380.308716367726</v>
      </c>
    </row>
    <row r="1251" spans="1:33" ht="60" hidden="1" customHeight="1" x14ac:dyDescent="0.25">
      <c r="A1251" s="14"/>
      <c r="B1251" s="87" t="s">
        <v>442</v>
      </c>
      <c r="C1251" s="182" t="s">
        <v>1139</v>
      </c>
      <c r="D1251" s="189" t="str">
        <f>VLOOKUP(D.sign_Data[[#This Row],[CÓDIGO]],Descripciones[[CÓDIGO]:[NOMBRE DE SERVICIO]],3,FALSE)</f>
        <v>D6. Diseño Interior</v>
      </c>
      <c r="E1251" s="87" t="s">
        <v>1046</v>
      </c>
      <c r="F1251" s="93" t="s">
        <v>1140</v>
      </c>
      <c r="G1251" s="93" t="s">
        <v>991</v>
      </c>
      <c r="H1251" s="94" t="s">
        <v>500</v>
      </c>
      <c r="I1251" s="94">
        <v>1</v>
      </c>
      <c r="J1251" s="93" t="s">
        <v>1142</v>
      </c>
      <c r="K1251" s="103"/>
      <c r="L1251" s="93" t="s">
        <v>1001</v>
      </c>
      <c r="M1251" s="89" t="s">
        <v>381</v>
      </c>
      <c r="N1251" s="90">
        <v>1</v>
      </c>
      <c r="O1251" s="27">
        <f>IFERROR(+VLOOKUP(M1251,D.sign_Lista_Data[[RESPONSABLE]:[SOFTWARE 
VALOR HORA]],3,FALSE),"0")</f>
        <v>20263.424518743668</v>
      </c>
      <c r="P1251" s="3">
        <f t="shared" si="44"/>
        <v>20263.424518743668</v>
      </c>
      <c r="Q1251" s="11">
        <f>IFERROR(+VLOOKUP(M1251,D.sign_Lista_Data[[RESPONSABLE]:[SOFTWARE 
VALOR HORA]],5,FALSE)*D.sign_Data[[#This Row],[TIEMPO (HORAS)]],0)</f>
        <v>4221.5467747382636</v>
      </c>
      <c r="R1251" s="42">
        <f>IFERROR(+VLOOKUP(M1251,D.sign_Lista_Data[[RESPONSABLE]:[SOFTWARE 
VALOR HORA]],8,FALSE)*D.sign_Data[[#This Row],[TIEMPO (HORAS)]],0)</f>
        <v>3410.8548871439834</v>
      </c>
      <c r="S1251" s="99">
        <v>0</v>
      </c>
      <c r="T1251" s="99">
        <v>0</v>
      </c>
      <c r="U1251" s="3">
        <f t="shared" si="45"/>
        <v>27895.826180625918</v>
      </c>
      <c r="V1251" s="100">
        <f>D.sign_Data[[#This Row],[TIEMPO (HORAS)]]*Gastos_Operativos[[#Totals],[GASTOS HORA]]</f>
        <v>27789.477072310401</v>
      </c>
      <c r="W1251" s="3">
        <f>+D.sign_Data[[#This Row],[COSTO 
DIRECTO ($COP)]]+D.sign_Data[[#This Row],[PRORRATEO GASTOS ($COP)]]</f>
        <v>55685.303252936319</v>
      </c>
      <c r="X1251" s="101">
        <v>0.15</v>
      </c>
      <c r="Y1251" s="15">
        <f>+D.sign_Data[[#This Row],[COSTOS OPERACIONALES ($COP)]]*D.sign_Data[[#This Row],[DESFASE (%)]]</f>
        <v>8352.7954879404479</v>
      </c>
      <c r="Z1251" s="101">
        <v>0.3</v>
      </c>
      <c r="AA1251" s="15">
        <f>+((D.sign_Data[[#This Row],[COSTOS OPERACIONALES ($COP)]]/(100%-D.sign_Data[[#This Row],[UTILIDAD (%)]])))-D.sign_Data[[#This Row],[COSTOS OPERACIONALES ($COP)]]</f>
        <v>23865.129965544147</v>
      </c>
      <c r="AB1251" s="3">
        <f>+D.sign_Data[[#This Row],[COSTOS OPERACIONALES ($COP)]]+D.sign_Data[[#This Row],[DESFASE ($COP)]]+D.sign_Data[[#This Row],[UTILIDAD ($COP)]]</f>
        <v>87903.228706420923</v>
      </c>
      <c r="AC1251" s="101">
        <v>0.05</v>
      </c>
      <c r="AD1251" s="15">
        <f>+D.sign_Data[[#This Row],[VALOR NETO ($COP)]]/(100%-D.sign_Data[[#This Row],[MARGEN DE NEGOCIACIÓN (%)]])-D.sign_Data[[#This Row],[VALOR NETO ($COP)]]</f>
        <v>4626.485721390578</v>
      </c>
      <c r="AE1251" s="15">
        <f>+(D.sign_Data[[#This Row],[VALOR NETO ($COP)]]+D.sign_Data[[#This Row],[NEGOCIACIÓN ($COP)]])*1%</f>
        <v>925.29714427811507</v>
      </c>
      <c r="AF1251" s="15">
        <f>+(D.sign_Data[[#This Row],[VALOR NETO ($COP)]]+D.sign_Data[[#This Row],[NEGOCIACIÓN ($COP)]])*1%</f>
        <v>925.29714427811507</v>
      </c>
      <c r="AG1251" s="3">
        <f>+D.sign_Data[[#This Row],[VALOR NETO ($COP)]]+D.sign_Data[[#This Row],[NEGOCIACIÓN ($COP)]]+D.sign_Data[[#This Row],[ICA ($COP)]]+D.sign_Data[[#This Row],[4 * 1000 ($COP)]]</f>
        <v>94380.308716367726</v>
      </c>
    </row>
    <row r="1252" spans="1:33" ht="60" hidden="1" customHeight="1" x14ac:dyDescent="0.25">
      <c r="A1252" s="14"/>
      <c r="B1252" s="87" t="s">
        <v>442</v>
      </c>
      <c r="C1252" s="182" t="s">
        <v>1139</v>
      </c>
      <c r="D1252" s="189" t="str">
        <f>VLOOKUP(D.sign_Data[[#This Row],[CÓDIGO]],Descripciones[[CÓDIGO]:[NOMBRE DE SERVICIO]],3,FALSE)</f>
        <v>D6. Diseño Interior</v>
      </c>
      <c r="E1252" s="87" t="s">
        <v>1046</v>
      </c>
      <c r="F1252" s="93" t="s">
        <v>1140</v>
      </c>
      <c r="G1252" s="93" t="s">
        <v>991</v>
      </c>
      <c r="H1252" s="94" t="s">
        <v>500</v>
      </c>
      <c r="I1252" s="94">
        <v>1</v>
      </c>
      <c r="J1252" s="93" t="s">
        <v>1142</v>
      </c>
      <c r="K1252" s="103"/>
      <c r="L1252" s="93" t="s">
        <v>1060</v>
      </c>
      <c r="M1252" s="89" t="s">
        <v>381</v>
      </c>
      <c r="N1252" s="90">
        <v>0.1</v>
      </c>
      <c r="O1252" s="27">
        <f>IFERROR(+VLOOKUP(M1252,D.sign_Lista_Data[[RESPONSABLE]:[SOFTWARE 
VALOR HORA]],3,FALSE),"0")</f>
        <v>20263.424518743668</v>
      </c>
      <c r="P1252" s="3">
        <f t="shared" si="44"/>
        <v>2026.3424518743668</v>
      </c>
      <c r="Q1252" s="11">
        <f>IFERROR(+VLOOKUP(M1252,D.sign_Lista_Data[[RESPONSABLE]:[SOFTWARE 
VALOR HORA]],5,FALSE)*D.sign_Data[[#This Row],[TIEMPO (HORAS)]],0)</f>
        <v>422.15467747382638</v>
      </c>
      <c r="R1252" s="42">
        <f>IFERROR(+VLOOKUP(M1252,D.sign_Lista_Data[[RESPONSABLE]:[SOFTWARE 
VALOR HORA]],8,FALSE)*D.sign_Data[[#This Row],[TIEMPO (HORAS)]],0)</f>
        <v>341.08548871439837</v>
      </c>
      <c r="S1252" s="99">
        <v>0</v>
      </c>
      <c r="T1252" s="99">
        <v>0</v>
      </c>
      <c r="U1252" s="3">
        <f t="shared" si="45"/>
        <v>2789.5826180625913</v>
      </c>
      <c r="V1252" s="100">
        <f>D.sign_Data[[#This Row],[TIEMPO (HORAS)]]*Gastos_Operativos[[#Totals],[GASTOS HORA]]</f>
        <v>2778.9477072310401</v>
      </c>
      <c r="W1252" s="3">
        <f>+D.sign_Data[[#This Row],[COSTO 
DIRECTO ($COP)]]+D.sign_Data[[#This Row],[PRORRATEO GASTOS ($COP)]]</f>
        <v>5568.5303252936319</v>
      </c>
      <c r="X1252" s="101">
        <v>0.15</v>
      </c>
      <c r="Y1252" s="15">
        <f>+D.sign_Data[[#This Row],[COSTOS OPERACIONALES ($COP)]]*D.sign_Data[[#This Row],[DESFASE (%)]]</f>
        <v>835.27954879404479</v>
      </c>
      <c r="Z1252" s="101">
        <v>0.3</v>
      </c>
      <c r="AA1252" s="15">
        <f>+((D.sign_Data[[#This Row],[COSTOS OPERACIONALES ($COP)]]/(100%-D.sign_Data[[#This Row],[UTILIDAD (%)]])))-D.sign_Data[[#This Row],[COSTOS OPERACIONALES ($COP)]]</f>
        <v>2386.5129965544138</v>
      </c>
      <c r="AB1252" s="3">
        <f>+D.sign_Data[[#This Row],[COSTOS OPERACIONALES ($COP)]]+D.sign_Data[[#This Row],[DESFASE ($COP)]]+D.sign_Data[[#This Row],[UTILIDAD ($COP)]]</f>
        <v>8790.3228706420905</v>
      </c>
      <c r="AC1252" s="101">
        <v>0.05</v>
      </c>
      <c r="AD1252" s="15">
        <f>+D.sign_Data[[#This Row],[VALOR NETO ($COP)]]/(100%-D.sign_Data[[#This Row],[MARGEN DE NEGOCIACIÓN (%)]])-D.sign_Data[[#This Row],[VALOR NETO ($COP)]]</f>
        <v>462.64857213905816</v>
      </c>
      <c r="AE1252" s="15">
        <f>+(D.sign_Data[[#This Row],[VALOR NETO ($COP)]]+D.sign_Data[[#This Row],[NEGOCIACIÓN ($COP)]])*1%</f>
        <v>92.529714427811484</v>
      </c>
      <c r="AF1252" s="15">
        <f>+(D.sign_Data[[#This Row],[VALOR NETO ($COP)]]+D.sign_Data[[#This Row],[NEGOCIACIÓN ($COP)]])*1%</f>
        <v>92.529714427811484</v>
      </c>
      <c r="AG1252" s="3">
        <f>+D.sign_Data[[#This Row],[VALOR NETO ($COP)]]+D.sign_Data[[#This Row],[NEGOCIACIÓN ($COP)]]+D.sign_Data[[#This Row],[ICA ($COP)]]+D.sign_Data[[#This Row],[4 * 1000 ($COP)]]</f>
        <v>9438.0308716367726</v>
      </c>
    </row>
    <row r="1253" spans="1:33" ht="60" hidden="1" customHeight="1" x14ac:dyDescent="0.25">
      <c r="A1253" s="14"/>
      <c r="B1253" s="87" t="s">
        <v>442</v>
      </c>
      <c r="C1253" s="182" t="s">
        <v>1139</v>
      </c>
      <c r="D1253" s="189" t="str">
        <f>VLOOKUP(D.sign_Data[[#This Row],[CÓDIGO]],Descripciones[[CÓDIGO]:[NOMBRE DE SERVICIO]],3,FALSE)</f>
        <v>D6. Diseño Interior</v>
      </c>
      <c r="E1253" s="87" t="s">
        <v>1046</v>
      </c>
      <c r="F1253" s="93" t="s">
        <v>1140</v>
      </c>
      <c r="G1253" s="93" t="s">
        <v>991</v>
      </c>
      <c r="H1253" s="97" t="s">
        <v>423</v>
      </c>
      <c r="I1253" s="94">
        <v>1</v>
      </c>
      <c r="J1253" s="93" t="s">
        <v>1151</v>
      </c>
      <c r="K1253" s="103"/>
      <c r="L1253" s="93" t="s">
        <v>1003</v>
      </c>
      <c r="M1253" s="89" t="s">
        <v>381</v>
      </c>
      <c r="N1253" s="90">
        <v>1</v>
      </c>
      <c r="O1253" s="27">
        <f>IFERROR(+VLOOKUP(M1253,D.sign_Lista_Data[[RESPONSABLE]:[SOFTWARE 
VALOR HORA]],3,FALSE),"0")</f>
        <v>20263.424518743668</v>
      </c>
      <c r="P1253" s="3">
        <f t="shared" si="44"/>
        <v>20263.424518743668</v>
      </c>
      <c r="Q1253" s="11">
        <f>IFERROR(+VLOOKUP(M1253,D.sign_Lista_Data[[RESPONSABLE]:[SOFTWARE 
VALOR HORA]],5,FALSE)*D.sign_Data[[#This Row],[TIEMPO (HORAS)]],0)</f>
        <v>4221.5467747382636</v>
      </c>
      <c r="R1253" s="42">
        <f>IFERROR(+VLOOKUP(M1253,D.sign_Lista_Data[[RESPONSABLE]:[SOFTWARE 
VALOR HORA]],8,FALSE)*D.sign_Data[[#This Row],[TIEMPO (HORAS)]],0)</f>
        <v>3410.8548871439834</v>
      </c>
      <c r="S1253" s="99">
        <v>0</v>
      </c>
      <c r="T1253" s="99">
        <v>0</v>
      </c>
      <c r="U1253" s="3">
        <f t="shared" si="45"/>
        <v>27895.826180625918</v>
      </c>
      <c r="V1253" s="100">
        <f>D.sign_Data[[#This Row],[TIEMPO (HORAS)]]*Gastos_Operativos[[#Totals],[GASTOS HORA]]</f>
        <v>27789.477072310401</v>
      </c>
      <c r="W1253" s="3">
        <f>+D.sign_Data[[#This Row],[COSTO 
DIRECTO ($COP)]]+D.sign_Data[[#This Row],[PRORRATEO GASTOS ($COP)]]</f>
        <v>55685.303252936319</v>
      </c>
      <c r="X1253" s="101">
        <v>0.15</v>
      </c>
      <c r="Y1253" s="15">
        <f>+D.sign_Data[[#This Row],[COSTOS OPERACIONALES ($COP)]]*D.sign_Data[[#This Row],[DESFASE (%)]]</f>
        <v>8352.7954879404479</v>
      </c>
      <c r="Z1253" s="101">
        <v>0.3</v>
      </c>
      <c r="AA1253" s="15">
        <f>+((D.sign_Data[[#This Row],[COSTOS OPERACIONALES ($COP)]]/(100%-D.sign_Data[[#This Row],[UTILIDAD (%)]])))-D.sign_Data[[#This Row],[COSTOS OPERACIONALES ($COP)]]</f>
        <v>23865.129965544147</v>
      </c>
      <c r="AB1253" s="3">
        <f>+D.sign_Data[[#This Row],[COSTOS OPERACIONALES ($COP)]]+D.sign_Data[[#This Row],[DESFASE ($COP)]]+D.sign_Data[[#This Row],[UTILIDAD ($COP)]]</f>
        <v>87903.228706420923</v>
      </c>
      <c r="AC1253" s="101">
        <v>0.05</v>
      </c>
      <c r="AD1253" s="15">
        <f>+D.sign_Data[[#This Row],[VALOR NETO ($COP)]]/(100%-D.sign_Data[[#This Row],[MARGEN DE NEGOCIACIÓN (%)]])-D.sign_Data[[#This Row],[VALOR NETO ($COP)]]</f>
        <v>4626.485721390578</v>
      </c>
      <c r="AE1253" s="15">
        <f>+(D.sign_Data[[#This Row],[VALOR NETO ($COP)]]+D.sign_Data[[#This Row],[NEGOCIACIÓN ($COP)]])*1%</f>
        <v>925.29714427811507</v>
      </c>
      <c r="AF1253" s="15">
        <f>+(D.sign_Data[[#This Row],[VALOR NETO ($COP)]]+D.sign_Data[[#This Row],[NEGOCIACIÓN ($COP)]])*1%</f>
        <v>925.29714427811507</v>
      </c>
      <c r="AG1253" s="3">
        <f>+D.sign_Data[[#This Row],[VALOR NETO ($COP)]]+D.sign_Data[[#This Row],[NEGOCIACIÓN ($COP)]]+D.sign_Data[[#This Row],[ICA ($COP)]]+D.sign_Data[[#This Row],[4 * 1000 ($COP)]]</f>
        <v>94380.308716367726</v>
      </c>
    </row>
    <row r="1254" spans="1:33" ht="60" customHeight="1" x14ac:dyDescent="0.25">
      <c r="A1254" s="14"/>
      <c r="B1254" s="87" t="s">
        <v>418</v>
      </c>
      <c r="C1254" s="182" t="s">
        <v>1103</v>
      </c>
      <c r="D1254" s="189" t="str">
        <f>VLOOKUP(D.sign_Data[[#This Row],[CÓDIGO]],Descripciones[[CÓDIGO]:[NOMBRE DE SERVICIO]],3,FALSE)</f>
        <v>D6. Diseño Interior</v>
      </c>
      <c r="E1254" s="87" t="s">
        <v>497</v>
      </c>
      <c r="F1254" s="93" t="s">
        <v>1152</v>
      </c>
      <c r="G1254" s="93" t="s">
        <v>985</v>
      </c>
      <c r="H1254" s="94" t="s">
        <v>1110</v>
      </c>
      <c r="I1254" s="94">
        <v>1</v>
      </c>
      <c r="J1254" s="93" t="s">
        <v>1111</v>
      </c>
      <c r="K1254" s="103"/>
      <c r="L1254" s="93" t="s">
        <v>1107</v>
      </c>
      <c r="M1254" s="95" t="s">
        <v>381</v>
      </c>
      <c r="N1254" s="96">
        <v>1.5</v>
      </c>
      <c r="O1254" s="27">
        <f>IFERROR(+VLOOKUP(M1254,D.sign_Lista_Data[[RESPONSABLE]:[SOFTWARE 
VALOR HORA]],3,FALSE),"0")</f>
        <v>20263.424518743668</v>
      </c>
      <c r="P1254" s="3">
        <f t="shared" si="44"/>
        <v>30395.136778115502</v>
      </c>
      <c r="Q1254" s="11">
        <f>IFERROR(+VLOOKUP(M1254,D.sign_Lista_Data[[RESPONSABLE]:[SOFTWARE 
VALOR HORA]],5,FALSE)*D.sign_Data[[#This Row],[TIEMPO (HORAS)]],0)</f>
        <v>6332.3201621073949</v>
      </c>
      <c r="R1254" s="11">
        <f>IFERROR(+VLOOKUP(M1254,D.sign_Lista_Data[[RESPONSABLE]:[SOFTWARE 
VALOR HORA]],8,FALSE)*D.sign_Data[[#This Row],[TIEMPO (HORAS)]],0)</f>
        <v>5116.2823307159751</v>
      </c>
      <c r="S1254" s="99"/>
      <c r="T1254" s="99"/>
      <c r="U1254" s="3">
        <f t="shared" si="45"/>
        <v>41843.739270938873</v>
      </c>
      <c r="V1254" s="100">
        <f>D.sign_Data[[#This Row],[TIEMPO (HORAS)]]*Gastos_Operativos[[#Totals],[GASTOS HORA]]</f>
        <v>41684.215608465602</v>
      </c>
      <c r="W1254" s="3">
        <f>+D.sign_Data[[#This Row],[COSTO 
DIRECTO ($COP)]]+D.sign_Data[[#This Row],[PRORRATEO GASTOS ($COP)]]</f>
        <v>83527.954879404482</v>
      </c>
      <c r="X1254" s="101"/>
      <c r="Y1254" s="15">
        <f>+D.sign_Data[[#This Row],[COSTOS OPERACIONALES ($COP)]]*D.sign_Data[[#This Row],[DESFASE (%)]]</f>
        <v>0</v>
      </c>
      <c r="Z1254" s="101">
        <v>0.3</v>
      </c>
      <c r="AA1254" s="15">
        <f>+((D.sign_Data[[#This Row],[COSTOS OPERACIONALES ($COP)]]/(100%-D.sign_Data[[#This Row],[UTILIDAD (%)]])))-D.sign_Data[[#This Row],[COSTOS OPERACIONALES ($COP)]]</f>
        <v>35797.694948316217</v>
      </c>
      <c r="AB1254" s="3">
        <f>+D.sign_Data[[#This Row],[COSTOS OPERACIONALES ($COP)]]+D.sign_Data[[#This Row],[DESFASE ($COP)]]+D.sign_Data[[#This Row],[UTILIDAD ($COP)]]</f>
        <v>119325.6498277207</v>
      </c>
      <c r="AC1254" s="101"/>
      <c r="AD1254" s="15">
        <f>+D.sign_Data[[#This Row],[VALOR NETO ($COP)]]/(100%-D.sign_Data[[#This Row],[MARGEN DE NEGOCIACIÓN (%)]])-D.sign_Data[[#This Row],[VALOR NETO ($COP)]]</f>
        <v>0</v>
      </c>
      <c r="AE1254" s="15">
        <f>+(D.sign_Data[[#This Row],[VALOR NETO ($COP)]]+D.sign_Data[[#This Row],[NEGOCIACIÓN ($COP)]])*1%</f>
        <v>1193.2564982772071</v>
      </c>
      <c r="AF1254" s="15">
        <f>+(D.sign_Data[[#This Row],[VALOR NETO ($COP)]]+D.sign_Data[[#This Row],[NEGOCIACIÓN ($COP)]])*1%</f>
        <v>1193.2564982772071</v>
      </c>
      <c r="AG1254" s="3">
        <f>+D.sign_Data[[#This Row],[VALOR NETO ($COP)]]+D.sign_Data[[#This Row],[NEGOCIACIÓN ($COP)]]+D.sign_Data[[#This Row],[ICA ($COP)]]+D.sign_Data[[#This Row],[4 * 1000 ($COP)]]</f>
        <v>121712.1628242751</v>
      </c>
    </row>
    <row r="1255" spans="1:33" ht="60" customHeight="1" x14ac:dyDescent="0.25">
      <c r="A1255" s="14"/>
      <c r="B1255" s="87" t="s">
        <v>418</v>
      </c>
      <c r="C1255" s="182" t="s">
        <v>1103</v>
      </c>
      <c r="D1255" s="189" t="str">
        <f>VLOOKUP(D.sign_Data[[#This Row],[CÓDIGO]],Descripciones[[CÓDIGO]:[NOMBRE DE SERVICIO]],3,FALSE)</f>
        <v>D6. Diseño Interior</v>
      </c>
      <c r="E1255" s="87" t="s">
        <v>497</v>
      </c>
      <c r="F1255" s="93" t="s">
        <v>1152</v>
      </c>
      <c r="G1255" s="93" t="s">
        <v>985</v>
      </c>
      <c r="H1255" s="94" t="s">
        <v>1110</v>
      </c>
      <c r="I1255" s="94">
        <v>1</v>
      </c>
      <c r="J1255" s="93" t="s">
        <v>983</v>
      </c>
      <c r="K1255" s="103"/>
      <c r="L1255" s="93" t="s">
        <v>1153</v>
      </c>
      <c r="M1255" s="89" t="s">
        <v>381</v>
      </c>
      <c r="N1255" s="96">
        <v>2</v>
      </c>
      <c r="O1255" s="27">
        <f>IFERROR(+VLOOKUP(M1255,D.sign_Lista_Data[[RESPONSABLE]:[SOFTWARE 
VALOR HORA]],3,FALSE),"0")</f>
        <v>20263.424518743668</v>
      </c>
      <c r="P1255" s="3">
        <f t="shared" si="44"/>
        <v>40526.849037487336</v>
      </c>
      <c r="Q1255" s="11">
        <f>IFERROR(+VLOOKUP(M1255,D.sign_Lista_Data[[RESPONSABLE]:[SOFTWARE 
VALOR HORA]],5,FALSE)*D.sign_Data[[#This Row],[TIEMPO (HORAS)]],0)</f>
        <v>8443.0935494765272</v>
      </c>
      <c r="R1255" s="11">
        <f>IFERROR(+VLOOKUP(M1255,D.sign_Lista_Data[[RESPONSABLE]:[SOFTWARE 
VALOR HORA]],8,FALSE)*D.sign_Data[[#This Row],[TIEMPO (HORAS)]],0)</f>
        <v>6821.7097742879669</v>
      </c>
      <c r="S1255" s="99"/>
      <c r="T1255" s="99"/>
      <c r="U1255" s="3">
        <f t="shared" si="45"/>
        <v>55791.652361251836</v>
      </c>
      <c r="V1255" s="100">
        <f>D.sign_Data[[#This Row],[TIEMPO (HORAS)]]*Gastos_Operativos[[#Totals],[GASTOS HORA]]</f>
        <v>55578.954144620802</v>
      </c>
      <c r="W1255" s="3">
        <f>+D.sign_Data[[#This Row],[COSTO 
DIRECTO ($COP)]]+D.sign_Data[[#This Row],[PRORRATEO GASTOS ($COP)]]</f>
        <v>111370.60650587264</v>
      </c>
      <c r="X1255" s="101"/>
      <c r="Y1255" s="15">
        <f>+D.sign_Data[[#This Row],[COSTOS OPERACIONALES ($COP)]]*D.sign_Data[[#This Row],[DESFASE (%)]]</f>
        <v>0</v>
      </c>
      <c r="Z1255" s="101">
        <v>0.3</v>
      </c>
      <c r="AA1255" s="15">
        <f>+((D.sign_Data[[#This Row],[COSTOS OPERACIONALES ($COP)]]/(100%-D.sign_Data[[#This Row],[UTILIDAD (%)]])))-D.sign_Data[[#This Row],[COSTOS OPERACIONALES ($COP)]]</f>
        <v>47730.259931088294</v>
      </c>
      <c r="AB1255" s="3">
        <f>+D.sign_Data[[#This Row],[COSTOS OPERACIONALES ($COP)]]+D.sign_Data[[#This Row],[DESFASE ($COP)]]+D.sign_Data[[#This Row],[UTILIDAD ($COP)]]</f>
        <v>159100.86643696093</v>
      </c>
      <c r="AC1255" s="101"/>
      <c r="AD1255" s="15">
        <f>+D.sign_Data[[#This Row],[VALOR NETO ($COP)]]/(100%-D.sign_Data[[#This Row],[MARGEN DE NEGOCIACIÓN (%)]])-D.sign_Data[[#This Row],[VALOR NETO ($COP)]]</f>
        <v>0</v>
      </c>
      <c r="AE1255" s="15">
        <f>+(D.sign_Data[[#This Row],[VALOR NETO ($COP)]]+D.sign_Data[[#This Row],[NEGOCIACIÓN ($COP)]])*1%</f>
        <v>1591.0086643696093</v>
      </c>
      <c r="AF1255" s="15">
        <f>+(D.sign_Data[[#This Row],[VALOR NETO ($COP)]]+D.sign_Data[[#This Row],[NEGOCIACIÓN ($COP)]])*1%</f>
        <v>1591.0086643696093</v>
      </c>
      <c r="AG1255" s="3">
        <f>+D.sign_Data[[#This Row],[VALOR NETO ($COP)]]+D.sign_Data[[#This Row],[NEGOCIACIÓN ($COP)]]+D.sign_Data[[#This Row],[ICA ($COP)]]+D.sign_Data[[#This Row],[4 * 1000 ($COP)]]</f>
        <v>162282.88376570016</v>
      </c>
    </row>
    <row r="1256" spans="1:33" ht="60" customHeight="1" x14ac:dyDescent="0.25">
      <c r="A1256" s="14"/>
      <c r="B1256" s="87" t="s">
        <v>418</v>
      </c>
      <c r="C1256" s="182" t="s">
        <v>1103</v>
      </c>
      <c r="D1256" s="189" t="str">
        <f>VLOOKUP(D.sign_Data[[#This Row],[CÓDIGO]],Descripciones[[CÓDIGO]:[NOMBRE DE SERVICIO]],3,FALSE)</f>
        <v>D6. Diseño Interior</v>
      </c>
      <c r="E1256" s="87" t="s">
        <v>497</v>
      </c>
      <c r="F1256" s="93" t="s">
        <v>1152</v>
      </c>
      <c r="G1256" s="93" t="s">
        <v>975</v>
      </c>
      <c r="H1256" s="97" t="s">
        <v>423</v>
      </c>
      <c r="I1256" s="94">
        <v>1</v>
      </c>
      <c r="J1256" s="93" t="s">
        <v>976</v>
      </c>
      <c r="K1256" s="103"/>
      <c r="L1256" s="93" t="s">
        <v>1106</v>
      </c>
      <c r="M1256" s="95" t="s">
        <v>381</v>
      </c>
      <c r="N1256" s="96">
        <v>0.5</v>
      </c>
      <c r="O1256" s="27">
        <f>IFERROR(+VLOOKUP(M1256,D.sign_Lista_Data[[RESPONSABLE]:[SOFTWARE 
VALOR HORA]],3,FALSE),"0")</f>
        <v>20263.424518743668</v>
      </c>
      <c r="P1256" s="3">
        <f t="shared" si="44"/>
        <v>10131.712259371834</v>
      </c>
      <c r="Q1256" s="11">
        <f>IFERROR(+VLOOKUP(M1256,D.sign_Lista_Data[[RESPONSABLE]:[SOFTWARE 
VALOR HORA]],5,FALSE)*D.sign_Data[[#This Row],[TIEMPO (HORAS)]],0)</f>
        <v>2110.7733873691318</v>
      </c>
      <c r="R1256" s="11">
        <f>IFERROR(+VLOOKUP(M1256,D.sign_Lista_Data[[RESPONSABLE]:[SOFTWARE 
VALOR HORA]],8,FALSE)*D.sign_Data[[#This Row],[TIEMPO (HORAS)]],0)</f>
        <v>1705.4274435719917</v>
      </c>
      <c r="S1256" s="99"/>
      <c r="T1256" s="99"/>
      <c r="U1256" s="3">
        <f t="shared" si="45"/>
        <v>13947.913090312959</v>
      </c>
      <c r="V1256" s="100">
        <f>D.sign_Data[[#This Row],[TIEMPO (HORAS)]]*Gastos_Operativos[[#Totals],[GASTOS HORA]]</f>
        <v>13894.738536155201</v>
      </c>
      <c r="W1256" s="3">
        <f>+D.sign_Data[[#This Row],[COSTO 
DIRECTO ($COP)]]+D.sign_Data[[#This Row],[PRORRATEO GASTOS ($COP)]]</f>
        <v>27842.65162646816</v>
      </c>
      <c r="X1256" s="101"/>
      <c r="Y1256" s="15">
        <f>+D.sign_Data[[#This Row],[COSTOS OPERACIONALES ($COP)]]*D.sign_Data[[#This Row],[DESFASE (%)]]</f>
        <v>0</v>
      </c>
      <c r="Z1256" s="101">
        <v>0.3</v>
      </c>
      <c r="AA1256" s="15">
        <f>+((D.sign_Data[[#This Row],[COSTOS OPERACIONALES ($COP)]]/(100%-D.sign_Data[[#This Row],[UTILIDAD (%)]])))-D.sign_Data[[#This Row],[COSTOS OPERACIONALES ($COP)]]</f>
        <v>11932.564982772074</v>
      </c>
      <c r="AB1256" s="3">
        <f>+D.sign_Data[[#This Row],[COSTOS OPERACIONALES ($COP)]]+D.sign_Data[[#This Row],[DESFASE ($COP)]]+D.sign_Data[[#This Row],[UTILIDAD ($COP)]]</f>
        <v>39775.216609240233</v>
      </c>
      <c r="AC1256" s="101"/>
      <c r="AD1256" s="15">
        <f>+D.sign_Data[[#This Row],[VALOR NETO ($COP)]]/(100%-D.sign_Data[[#This Row],[MARGEN DE NEGOCIACIÓN (%)]])-D.sign_Data[[#This Row],[VALOR NETO ($COP)]]</f>
        <v>0</v>
      </c>
      <c r="AE1256" s="15">
        <f>+(D.sign_Data[[#This Row],[VALOR NETO ($COP)]]+D.sign_Data[[#This Row],[NEGOCIACIÓN ($COP)]])*1%</f>
        <v>397.75216609240232</v>
      </c>
      <c r="AF1256" s="15">
        <f>+(D.sign_Data[[#This Row],[VALOR NETO ($COP)]]+D.sign_Data[[#This Row],[NEGOCIACIÓN ($COP)]])*1%</f>
        <v>397.75216609240232</v>
      </c>
      <c r="AG1256" s="3">
        <f>+D.sign_Data[[#This Row],[VALOR NETO ($COP)]]+D.sign_Data[[#This Row],[NEGOCIACIÓN ($COP)]]+D.sign_Data[[#This Row],[ICA ($COP)]]+D.sign_Data[[#This Row],[4 * 1000 ($COP)]]</f>
        <v>40570.720941425039</v>
      </c>
    </row>
    <row r="1257" spans="1:33" ht="60" customHeight="1" x14ac:dyDescent="0.25">
      <c r="A1257" s="14"/>
      <c r="B1257" s="87" t="s">
        <v>418</v>
      </c>
      <c r="C1257" s="182" t="s">
        <v>1103</v>
      </c>
      <c r="D1257" s="189" t="str">
        <f>VLOOKUP(D.sign_Data[[#This Row],[CÓDIGO]],Descripciones[[CÓDIGO]:[NOMBRE DE SERVICIO]],3,FALSE)</f>
        <v>D6. Diseño Interior</v>
      </c>
      <c r="E1257" s="87" t="s">
        <v>497</v>
      </c>
      <c r="F1257" s="93" t="s">
        <v>1152</v>
      </c>
      <c r="G1257" s="88" t="s">
        <v>978</v>
      </c>
      <c r="H1257" s="87" t="s">
        <v>500</v>
      </c>
      <c r="I1257" s="89">
        <v>1</v>
      </c>
      <c r="J1257" s="88" t="s">
        <v>979</v>
      </c>
      <c r="K1257" s="102"/>
      <c r="L1257" s="88" t="s">
        <v>980</v>
      </c>
      <c r="M1257" s="89" t="s">
        <v>381</v>
      </c>
      <c r="N1257" s="90">
        <v>1.5</v>
      </c>
      <c r="O1257" s="27">
        <f>IFERROR(+VLOOKUP(M1257,D.sign_Lista_Data[[RESPONSABLE]:[SOFTWARE 
VALOR HORA]],3,FALSE),"0")</f>
        <v>20263.424518743668</v>
      </c>
      <c r="P1257" s="3">
        <f t="shared" si="44"/>
        <v>30395.136778115502</v>
      </c>
      <c r="Q1257" s="11">
        <f>IFERROR(+VLOOKUP(M1257,D.sign_Lista_Data[[RESPONSABLE]:[SOFTWARE 
VALOR HORA]],5,FALSE)*D.sign_Data[[#This Row],[TIEMPO (HORAS)]],0)</f>
        <v>6332.3201621073949</v>
      </c>
      <c r="R1257" s="11">
        <f>IFERROR(+VLOOKUP(M1257,D.sign_Lista_Data[[RESPONSABLE]:[SOFTWARE 
VALOR HORA]],8,FALSE)*D.sign_Data[[#This Row],[TIEMPO (HORAS)]],0)</f>
        <v>5116.2823307159751</v>
      </c>
      <c r="S1257" s="99"/>
      <c r="T1257" s="99"/>
      <c r="U1257" s="3">
        <f t="shared" si="45"/>
        <v>41843.739270938873</v>
      </c>
      <c r="V1257" s="100">
        <f>D.sign_Data[[#This Row],[TIEMPO (HORAS)]]*Gastos_Operativos[[#Totals],[GASTOS HORA]]</f>
        <v>41684.215608465602</v>
      </c>
      <c r="W1257" s="3">
        <f>+D.sign_Data[[#This Row],[COSTO 
DIRECTO ($COP)]]+D.sign_Data[[#This Row],[PRORRATEO GASTOS ($COP)]]</f>
        <v>83527.954879404482</v>
      </c>
      <c r="X1257" s="101"/>
      <c r="Y1257" s="15">
        <f>+D.sign_Data[[#This Row],[COSTOS OPERACIONALES ($COP)]]*D.sign_Data[[#This Row],[DESFASE (%)]]</f>
        <v>0</v>
      </c>
      <c r="Z1257" s="101">
        <v>0.3</v>
      </c>
      <c r="AA1257" s="15">
        <f>+((D.sign_Data[[#This Row],[COSTOS OPERACIONALES ($COP)]]/(100%-D.sign_Data[[#This Row],[UTILIDAD (%)]])))-D.sign_Data[[#This Row],[COSTOS OPERACIONALES ($COP)]]</f>
        <v>35797.694948316217</v>
      </c>
      <c r="AB1257" s="3">
        <f>+D.sign_Data[[#This Row],[COSTOS OPERACIONALES ($COP)]]+D.sign_Data[[#This Row],[DESFASE ($COP)]]+D.sign_Data[[#This Row],[UTILIDAD ($COP)]]</f>
        <v>119325.6498277207</v>
      </c>
      <c r="AC1257" s="101"/>
      <c r="AD1257" s="15">
        <f>+D.sign_Data[[#This Row],[VALOR NETO ($COP)]]/(100%-D.sign_Data[[#This Row],[MARGEN DE NEGOCIACIÓN (%)]])-D.sign_Data[[#This Row],[VALOR NETO ($COP)]]</f>
        <v>0</v>
      </c>
      <c r="AE1257" s="15">
        <f>+(D.sign_Data[[#This Row],[VALOR NETO ($COP)]]+D.sign_Data[[#This Row],[NEGOCIACIÓN ($COP)]])*1%</f>
        <v>1193.2564982772071</v>
      </c>
      <c r="AF1257" s="15">
        <f>+(D.sign_Data[[#This Row],[VALOR NETO ($COP)]]+D.sign_Data[[#This Row],[NEGOCIACIÓN ($COP)]])*1%</f>
        <v>1193.2564982772071</v>
      </c>
      <c r="AG1257" s="3">
        <f>+D.sign_Data[[#This Row],[VALOR NETO ($COP)]]+D.sign_Data[[#This Row],[NEGOCIACIÓN ($COP)]]+D.sign_Data[[#This Row],[ICA ($COP)]]+D.sign_Data[[#This Row],[4 * 1000 ($COP)]]</f>
        <v>121712.1628242751</v>
      </c>
    </row>
    <row r="1258" spans="1:33" ht="60" customHeight="1" x14ac:dyDescent="0.25">
      <c r="A1258" s="14"/>
      <c r="B1258" s="87" t="s">
        <v>418</v>
      </c>
      <c r="C1258" s="182" t="s">
        <v>1103</v>
      </c>
      <c r="D1258" s="189" t="str">
        <f>VLOOKUP(D.sign_Data[[#This Row],[CÓDIGO]],Descripciones[[CÓDIGO]:[NOMBRE DE SERVICIO]],3,FALSE)</f>
        <v>D6. Diseño Interior</v>
      </c>
      <c r="E1258" s="87" t="s">
        <v>497</v>
      </c>
      <c r="F1258" s="93" t="s">
        <v>1152</v>
      </c>
      <c r="G1258" s="88" t="s">
        <v>978</v>
      </c>
      <c r="H1258" s="87" t="s">
        <v>500</v>
      </c>
      <c r="I1258" s="89">
        <v>1</v>
      </c>
      <c r="J1258" s="88" t="s">
        <v>979</v>
      </c>
      <c r="K1258" s="102"/>
      <c r="L1258" s="88" t="s">
        <v>981</v>
      </c>
      <c r="M1258" s="89" t="s">
        <v>381</v>
      </c>
      <c r="N1258" s="90">
        <v>1</v>
      </c>
      <c r="O1258" s="27">
        <f>IFERROR(+VLOOKUP(M1258,D.sign_Lista_Data[[RESPONSABLE]:[SOFTWARE 
VALOR HORA]],3,FALSE),"0")</f>
        <v>20263.424518743668</v>
      </c>
      <c r="P1258" s="3">
        <f t="shared" si="44"/>
        <v>20263.424518743668</v>
      </c>
      <c r="Q1258" s="11">
        <f>IFERROR(+VLOOKUP(M1258,D.sign_Lista_Data[[RESPONSABLE]:[SOFTWARE 
VALOR HORA]],5,FALSE)*D.sign_Data[[#This Row],[TIEMPO (HORAS)]],0)</f>
        <v>4221.5467747382636</v>
      </c>
      <c r="R1258" s="11">
        <f>IFERROR(+VLOOKUP(M1258,D.sign_Lista_Data[[RESPONSABLE]:[SOFTWARE 
VALOR HORA]],8,FALSE)*D.sign_Data[[#This Row],[TIEMPO (HORAS)]],0)</f>
        <v>3410.8548871439834</v>
      </c>
      <c r="S1258" s="99"/>
      <c r="T1258" s="99"/>
      <c r="U1258" s="3">
        <f t="shared" si="45"/>
        <v>27895.826180625918</v>
      </c>
      <c r="V1258" s="100">
        <f>D.sign_Data[[#This Row],[TIEMPO (HORAS)]]*Gastos_Operativos[[#Totals],[GASTOS HORA]]</f>
        <v>27789.477072310401</v>
      </c>
      <c r="W1258" s="3">
        <f>+D.sign_Data[[#This Row],[COSTO 
DIRECTO ($COP)]]+D.sign_Data[[#This Row],[PRORRATEO GASTOS ($COP)]]</f>
        <v>55685.303252936319</v>
      </c>
      <c r="X1258" s="101"/>
      <c r="Y1258" s="15">
        <f>+D.sign_Data[[#This Row],[COSTOS OPERACIONALES ($COP)]]*D.sign_Data[[#This Row],[DESFASE (%)]]</f>
        <v>0</v>
      </c>
      <c r="Z1258" s="101">
        <v>0.3</v>
      </c>
      <c r="AA1258" s="15">
        <f>+((D.sign_Data[[#This Row],[COSTOS OPERACIONALES ($COP)]]/(100%-D.sign_Data[[#This Row],[UTILIDAD (%)]])))-D.sign_Data[[#This Row],[COSTOS OPERACIONALES ($COP)]]</f>
        <v>23865.129965544147</v>
      </c>
      <c r="AB1258" s="3">
        <f>+D.sign_Data[[#This Row],[COSTOS OPERACIONALES ($COP)]]+D.sign_Data[[#This Row],[DESFASE ($COP)]]+D.sign_Data[[#This Row],[UTILIDAD ($COP)]]</f>
        <v>79550.433218480466</v>
      </c>
      <c r="AC1258" s="101"/>
      <c r="AD1258" s="15">
        <f>+D.sign_Data[[#This Row],[VALOR NETO ($COP)]]/(100%-D.sign_Data[[#This Row],[MARGEN DE NEGOCIACIÓN (%)]])-D.sign_Data[[#This Row],[VALOR NETO ($COP)]]</f>
        <v>0</v>
      </c>
      <c r="AE1258" s="15">
        <f>+(D.sign_Data[[#This Row],[VALOR NETO ($COP)]]+D.sign_Data[[#This Row],[NEGOCIACIÓN ($COP)]])*1%</f>
        <v>795.50433218480464</v>
      </c>
      <c r="AF1258" s="15">
        <f>+(D.sign_Data[[#This Row],[VALOR NETO ($COP)]]+D.sign_Data[[#This Row],[NEGOCIACIÓN ($COP)]])*1%</f>
        <v>795.50433218480464</v>
      </c>
      <c r="AG1258" s="3">
        <f>+D.sign_Data[[#This Row],[VALOR NETO ($COP)]]+D.sign_Data[[#This Row],[NEGOCIACIÓN ($COP)]]+D.sign_Data[[#This Row],[ICA ($COP)]]+D.sign_Data[[#This Row],[4 * 1000 ($COP)]]</f>
        <v>81141.441882850078</v>
      </c>
    </row>
    <row r="1259" spans="1:33" ht="60" customHeight="1" x14ac:dyDescent="0.25">
      <c r="A1259" s="14"/>
      <c r="B1259" s="87" t="s">
        <v>418</v>
      </c>
      <c r="C1259" s="182" t="s">
        <v>1103</v>
      </c>
      <c r="D1259" s="189" t="str">
        <f>VLOOKUP(D.sign_Data[[#This Row],[CÓDIGO]],Descripciones[[CÓDIGO]:[NOMBRE DE SERVICIO]],3,FALSE)</f>
        <v>D6. Diseño Interior</v>
      </c>
      <c r="E1259" s="87" t="s">
        <v>497</v>
      </c>
      <c r="F1259" s="93" t="s">
        <v>1152</v>
      </c>
      <c r="G1259" s="88" t="s">
        <v>978</v>
      </c>
      <c r="H1259" s="87" t="s">
        <v>500</v>
      </c>
      <c r="I1259" s="89">
        <v>1</v>
      </c>
      <c r="J1259" s="88" t="s">
        <v>979</v>
      </c>
      <c r="K1259" s="102"/>
      <c r="L1259" s="88" t="s">
        <v>1154</v>
      </c>
      <c r="M1259" s="89" t="s">
        <v>381</v>
      </c>
      <c r="N1259" s="90">
        <v>3</v>
      </c>
      <c r="O1259" s="27">
        <f>IFERROR(+VLOOKUP(M1259,D.sign_Lista_Data[[RESPONSABLE]:[SOFTWARE 
VALOR HORA]],3,FALSE),"0")</f>
        <v>20263.424518743668</v>
      </c>
      <c r="P1259" s="3">
        <f t="shared" si="44"/>
        <v>60790.273556231004</v>
      </c>
      <c r="Q1259" s="11">
        <f>IFERROR(+VLOOKUP(M1259,D.sign_Lista_Data[[RESPONSABLE]:[SOFTWARE 
VALOR HORA]],5,FALSE)*D.sign_Data[[#This Row],[TIEMPO (HORAS)]],0)</f>
        <v>12664.64032421479</v>
      </c>
      <c r="R1259" s="11">
        <f>IFERROR(+VLOOKUP(M1259,D.sign_Lista_Data[[RESPONSABLE]:[SOFTWARE 
VALOR HORA]],8,FALSE)*D.sign_Data[[#This Row],[TIEMPO (HORAS)]],0)</f>
        <v>10232.56466143195</v>
      </c>
      <c r="S1259" s="99"/>
      <c r="T1259" s="99"/>
      <c r="U1259" s="3">
        <f t="shared" si="45"/>
        <v>83687.478541877746</v>
      </c>
      <c r="V1259" s="100">
        <f>D.sign_Data[[#This Row],[TIEMPO (HORAS)]]*Gastos_Operativos[[#Totals],[GASTOS HORA]]</f>
        <v>83368.431216931203</v>
      </c>
      <c r="W1259" s="3">
        <f>+D.sign_Data[[#This Row],[COSTO 
DIRECTO ($COP)]]+D.sign_Data[[#This Row],[PRORRATEO GASTOS ($COP)]]</f>
        <v>167055.90975880896</v>
      </c>
      <c r="X1259" s="101"/>
      <c r="Y1259" s="15">
        <f>+D.sign_Data[[#This Row],[COSTOS OPERACIONALES ($COP)]]*D.sign_Data[[#This Row],[DESFASE (%)]]</f>
        <v>0</v>
      </c>
      <c r="Z1259" s="101">
        <v>0.3</v>
      </c>
      <c r="AA1259" s="15">
        <f>+((D.sign_Data[[#This Row],[COSTOS OPERACIONALES ($COP)]]/(100%-D.sign_Data[[#This Row],[UTILIDAD (%)]])))-D.sign_Data[[#This Row],[COSTOS OPERACIONALES ($COP)]]</f>
        <v>71595.389896632434</v>
      </c>
      <c r="AB1259" s="3">
        <f>+D.sign_Data[[#This Row],[COSTOS OPERACIONALES ($COP)]]+D.sign_Data[[#This Row],[DESFASE ($COP)]]+D.sign_Data[[#This Row],[UTILIDAD ($COP)]]</f>
        <v>238651.2996554414</v>
      </c>
      <c r="AC1259" s="101"/>
      <c r="AD1259" s="15">
        <f>+D.sign_Data[[#This Row],[VALOR NETO ($COP)]]/(100%-D.sign_Data[[#This Row],[MARGEN DE NEGOCIACIÓN (%)]])-D.sign_Data[[#This Row],[VALOR NETO ($COP)]]</f>
        <v>0</v>
      </c>
      <c r="AE1259" s="15">
        <f>+(D.sign_Data[[#This Row],[VALOR NETO ($COP)]]+D.sign_Data[[#This Row],[NEGOCIACIÓN ($COP)]])*1%</f>
        <v>2386.5129965544143</v>
      </c>
      <c r="AF1259" s="15">
        <f>+(D.sign_Data[[#This Row],[VALOR NETO ($COP)]]+D.sign_Data[[#This Row],[NEGOCIACIÓN ($COP)]])*1%</f>
        <v>2386.5129965544143</v>
      </c>
      <c r="AG1259" s="3">
        <f>+D.sign_Data[[#This Row],[VALOR NETO ($COP)]]+D.sign_Data[[#This Row],[NEGOCIACIÓN ($COP)]]+D.sign_Data[[#This Row],[ICA ($COP)]]+D.sign_Data[[#This Row],[4 * 1000 ($COP)]]</f>
        <v>243424.32564855021</v>
      </c>
    </row>
    <row r="1260" spans="1:33" ht="60" customHeight="1" x14ac:dyDescent="0.25">
      <c r="A1260" s="14"/>
      <c r="B1260" s="87" t="s">
        <v>418</v>
      </c>
      <c r="C1260" s="182" t="s">
        <v>1103</v>
      </c>
      <c r="D1260" s="189" t="str">
        <f>VLOOKUP(D.sign_Data[[#This Row],[CÓDIGO]],Descripciones[[CÓDIGO]:[NOMBRE DE SERVICIO]],3,FALSE)</f>
        <v>D6. Diseño Interior</v>
      </c>
      <c r="E1260" s="87" t="s">
        <v>497</v>
      </c>
      <c r="F1260" s="93" t="s">
        <v>1152</v>
      </c>
      <c r="G1260" s="88" t="s">
        <v>978</v>
      </c>
      <c r="H1260" s="97" t="s">
        <v>500</v>
      </c>
      <c r="I1260" s="94">
        <v>1</v>
      </c>
      <c r="J1260" s="93" t="s">
        <v>1155</v>
      </c>
      <c r="K1260" s="103"/>
      <c r="L1260" s="93" t="s">
        <v>1156</v>
      </c>
      <c r="M1260" s="89" t="s">
        <v>381</v>
      </c>
      <c r="N1260" s="98">
        <v>4</v>
      </c>
      <c r="O1260" s="27">
        <f>IFERROR(+VLOOKUP(M1260,D.sign_Lista_Data[[RESPONSABLE]:[SOFTWARE 
VALOR HORA]],3,FALSE),"0")</f>
        <v>20263.424518743668</v>
      </c>
      <c r="P1260" s="3">
        <f t="shared" si="44"/>
        <v>81053.698074974673</v>
      </c>
      <c r="Q1260" s="11">
        <f>IFERROR(+VLOOKUP(M1260,D.sign_Lista_Data[[RESPONSABLE]:[SOFTWARE 
VALOR HORA]],5,FALSE)*D.sign_Data[[#This Row],[TIEMPO (HORAS)]],0)</f>
        <v>16886.187098953054</v>
      </c>
      <c r="R1260" s="11">
        <f>IFERROR(+VLOOKUP(M1260,D.sign_Lista_Data[[RESPONSABLE]:[SOFTWARE 
VALOR HORA]],8,FALSE)*D.sign_Data[[#This Row],[TIEMPO (HORAS)]],0)</f>
        <v>13643.419548575934</v>
      </c>
      <c r="S1260" s="99"/>
      <c r="T1260" s="99"/>
      <c r="U1260" s="3">
        <f t="shared" si="45"/>
        <v>111583.30472250367</v>
      </c>
      <c r="V1260" s="100">
        <f>D.sign_Data[[#This Row],[TIEMPO (HORAS)]]*Gastos_Operativos[[#Totals],[GASTOS HORA]]</f>
        <v>111157.9082892416</v>
      </c>
      <c r="W1260" s="3">
        <f>+D.sign_Data[[#This Row],[COSTO 
DIRECTO ($COP)]]+D.sign_Data[[#This Row],[PRORRATEO GASTOS ($COP)]]</f>
        <v>222741.21301174528</v>
      </c>
      <c r="X1260" s="101"/>
      <c r="Y1260" s="15">
        <f>+D.sign_Data[[#This Row],[COSTOS OPERACIONALES ($COP)]]*D.sign_Data[[#This Row],[DESFASE (%)]]</f>
        <v>0</v>
      </c>
      <c r="Z1260" s="101">
        <v>0.3</v>
      </c>
      <c r="AA1260" s="15">
        <f>+((D.sign_Data[[#This Row],[COSTOS OPERACIONALES ($COP)]]/(100%-D.sign_Data[[#This Row],[UTILIDAD (%)]])))-D.sign_Data[[#This Row],[COSTOS OPERACIONALES ($COP)]]</f>
        <v>95460.519862176589</v>
      </c>
      <c r="AB1260" s="3">
        <f>+D.sign_Data[[#This Row],[COSTOS OPERACIONALES ($COP)]]+D.sign_Data[[#This Row],[DESFASE ($COP)]]+D.sign_Data[[#This Row],[UTILIDAD ($COP)]]</f>
        <v>318201.73287392186</v>
      </c>
      <c r="AC1260" s="101"/>
      <c r="AD1260" s="15">
        <f>+D.sign_Data[[#This Row],[VALOR NETO ($COP)]]/(100%-D.sign_Data[[#This Row],[MARGEN DE NEGOCIACIÓN (%)]])-D.sign_Data[[#This Row],[VALOR NETO ($COP)]]</f>
        <v>0</v>
      </c>
      <c r="AE1260" s="15">
        <f>+(D.sign_Data[[#This Row],[VALOR NETO ($COP)]]+D.sign_Data[[#This Row],[NEGOCIACIÓN ($COP)]])*1%</f>
        <v>3182.0173287392186</v>
      </c>
      <c r="AF1260" s="15">
        <f>+(D.sign_Data[[#This Row],[VALOR NETO ($COP)]]+D.sign_Data[[#This Row],[NEGOCIACIÓN ($COP)]])*1%</f>
        <v>3182.0173287392186</v>
      </c>
      <c r="AG1260" s="3">
        <f>+D.sign_Data[[#This Row],[VALOR NETO ($COP)]]+D.sign_Data[[#This Row],[NEGOCIACIÓN ($COP)]]+D.sign_Data[[#This Row],[ICA ($COP)]]+D.sign_Data[[#This Row],[4 * 1000 ($COP)]]</f>
        <v>324565.76753140031</v>
      </c>
    </row>
    <row r="1261" spans="1:33" ht="60" customHeight="1" x14ac:dyDescent="0.25">
      <c r="A1261" s="14"/>
      <c r="B1261" s="87" t="s">
        <v>418</v>
      </c>
      <c r="C1261" s="182" t="s">
        <v>1103</v>
      </c>
      <c r="D1261" s="189" t="str">
        <f>VLOOKUP(D.sign_Data[[#This Row],[CÓDIGO]],Descripciones[[CÓDIGO]:[NOMBRE DE SERVICIO]],3,FALSE)</f>
        <v>D6. Diseño Interior</v>
      </c>
      <c r="E1261" s="87" t="s">
        <v>497</v>
      </c>
      <c r="F1261" s="93" t="s">
        <v>1152</v>
      </c>
      <c r="G1261" s="93" t="s">
        <v>987</v>
      </c>
      <c r="H1261" s="94" t="s">
        <v>1110</v>
      </c>
      <c r="I1261" s="94">
        <v>1</v>
      </c>
      <c r="J1261" s="93" t="s">
        <v>1113</v>
      </c>
      <c r="K1261" s="103"/>
      <c r="L1261" s="93" t="s">
        <v>1114</v>
      </c>
      <c r="M1261" s="89" t="s">
        <v>381</v>
      </c>
      <c r="N1261" s="96">
        <v>1</v>
      </c>
      <c r="O1261" s="27">
        <f>IFERROR(+VLOOKUP(M1261,D.sign_Lista_Data[[RESPONSABLE]:[SOFTWARE 
VALOR HORA]],3,FALSE),"0")</f>
        <v>20263.424518743668</v>
      </c>
      <c r="P1261" s="3">
        <f t="shared" si="44"/>
        <v>20263.424518743668</v>
      </c>
      <c r="Q1261" s="11">
        <f>IFERROR(+VLOOKUP(M1261,D.sign_Lista_Data[[RESPONSABLE]:[SOFTWARE 
VALOR HORA]],5,FALSE)*D.sign_Data[[#This Row],[TIEMPO (HORAS)]],0)</f>
        <v>4221.5467747382636</v>
      </c>
      <c r="R1261" s="11">
        <f>IFERROR(+VLOOKUP(M1261,D.sign_Lista_Data[[RESPONSABLE]:[SOFTWARE 
VALOR HORA]],8,FALSE)*D.sign_Data[[#This Row],[TIEMPO (HORAS)]],0)</f>
        <v>3410.8548871439834</v>
      </c>
      <c r="S1261" s="99"/>
      <c r="T1261" s="99"/>
      <c r="U1261" s="3">
        <f t="shared" si="45"/>
        <v>27895.826180625918</v>
      </c>
      <c r="V1261" s="100">
        <f>D.sign_Data[[#This Row],[TIEMPO (HORAS)]]*Gastos_Operativos[[#Totals],[GASTOS HORA]]</f>
        <v>27789.477072310401</v>
      </c>
      <c r="W1261" s="3">
        <f>+D.sign_Data[[#This Row],[COSTO 
DIRECTO ($COP)]]+D.sign_Data[[#This Row],[PRORRATEO GASTOS ($COP)]]</f>
        <v>55685.303252936319</v>
      </c>
      <c r="X1261" s="101"/>
      <c r="Y1261" s="15">
        <f>+D.sign_Data[[#This Row],[COSTOS OPERACIONALES ($COP)]]*D.sign_Data[[#This Row],[DESFASE (%)]]</f>
        <v>0</v>
      </c>
      <c r="Z1261" s="101">
        <v>0.3</v>
      </c>
      <c r="AA1261" s="15">
        <f>+((D.sign_Data[[#This Row],[COSTOS OPERACIONALES ($COP)]]/(100%-D.sign_Data[[#This Row],[UTILIDAD (%)]])))-D.sign_Data[[#This Row],[COSTOS OPERACIONALES ($COP)]]</f>
        <v>23865.129965544147</v>
      </c>
      <c r="AB1261" s="3">
        <f>+D.sign_Data[[#This Row],[COSTOS OPERACIONALES ($COP)]]+D.sign_Data[[#This Row],[DESFASE ($COP)]]+D.sign_Data[[#This Row],[UTILIDAD ($COP)]]</f>
        <v>79550.433218480466</v>
      </c>
      <c r="AC1261" s="101"/>
      <c r="AD1261" s="15">
        <f>+D.sign_Data[[#This Row],[VALOR NETO ($COP)]]/(100%-D.sign_Data[[#This Row],[MARGEN DE NEGOCIACIÓN (%)]])-D.sign_Data[[#This Row],[VALOR NETO ($COP)]]</f>
        <v>0</v>
      </c>
      <c r="AE1261" s="15">
        <f>+(D.sign_Data[[#This Row],[VALOR NETO ($COP)]]+D.sign_Data[[#This Row],[NEGOCIACIÓN ($COP)]])*1%</f>
        <v>795.50433218480464</v>
      </c>
      <c r="AF1261" s="15">
        <f>+(D.sign_Data[[#This Row],[VALOR NETO ($COP)]]+D.sign_Data[[#This Row],[NEGOCIACIÓN ($COP)]])*1%</f>
        <v>795.50433218480464</v>
      </c>
      <c r="AG1261" s="3">
        <f>+D.sign_Data[[#This Row],[VALOR NETO ($COP)]]+D.sign_Data[[#This Row],[NEGOCIACIÓN ($COP)]]+D.sign_Data[[#This Row],[ICA ($COP)]]+D.sign_Data[[#This Row],[4 * 1000 ($COP)]]</f>
        <v>81141.441882850078</v>
      </c>
    </row>
    <row r="1262" spans="1:33" ht="60" customHeight="1" x14ac:dyDescent="0.25">
      <c r="A1262" s="14"/>
      <c r="B1262" s="87" t="s">
        <v>418</v>
      </c>
      <c r="C1262" s="182" t="s">
        <v>1103</v>
      </c>
      <c r="D1262" s="189" t="str">
        <f>VLOOKUP(D.sign_Data[[#This Row],[CÓDIGO]],Descripciones[[CÓDIGO]:[NOMBRE DE SERVICIO]],3,FALSE)</f>
        <v>D6. Diseño Interior</v>
      </c>
      <c r="E1262" s="87" t="s">
        <v>497</v>
      </c>
      <c r="F1262" s="93" t="s">
        <v>1152</v>
      </c>
      <c r="G1262" s="93" t="s">
        <v>987</v>
      </c>
      <c r="H1262" s="97" t="s">
        <v>423</v>
      </c>
      <c r="I1262" s="94">
        <v>1</v>
      </c>
      <c r="J1262" s="93" t="s">
        <v>1157</v>
      </c>
      <c r="K1262" s="103"/>
      <c r="L1262" s="93" t="s">
        <v>1115</v>
      </c>
      <c r="M1262" s="95" t="s">
        <v>381</v>
      </c>
      <c r="N1262" s="96">
        <v>0.5</v>
      </c>
      <c r="O1262" s="27">
        <f>IFERROR(+VLOOKUP(M1262,D.sign_Lista_Data[[RESPONSABLE]:[SOFTWARE 
VALOR HORA]],3,FALSE),"0")</f>
        <v>20263.424518743668</v>
      </c>
      <c r="P1262" s="3">
        <f t="shared" si="44"/>
        <v>10131.712259371834</v>
      </c>
      <c r="Q1262" s="11">
        <f>IFERROR(+VLOOKUP(M1262,D.sign_Lista_Data[[RESPONSABLE]:[SOFTWARE 
VALOR HORA]],5,FALSE)*D.sign_Data[[#This Row],[TIEMPO (HORAS)]],0)</f>
        <v>2110.7733873691318</v>
      </c>
      <c r="R1262" s="11">
        <f>IFERROR(+VLOOKUP(M1262,D.sign_Lista_Data[[RESPONSABLE]:[SOFTWARE 
VALOR HORA]],8,FALSE)*D.sign_Data[[#This Row],[TIEMPO (HORAS)]],0)</f>
        <v>1705.4274435719917</v>
      </c>
      <c r="S1262" s="99"/>
      <c r="T1262" s="99"/>
      <c r="U1262" s="3">
        <f t="shared" si="45"/>
        <v>13947.913090312959</v>
      </c>
      <c r="V1262" s="100">
        <f>D.sign_Data[[#This Row],[TIEMPO (HORAS)]]*Gastos_Operativos[[#Totals],[GASTOS HORA]]</f>
        <v>13894.738536155201</v>
      </c>
      <c r="W1262" s="3">
        <f>+D.sign_Data[[#This Row],[COSTO 
DIRECTO ($COP)]]+D.sign_Data[[#This Row],[PRORRATEO GASTOS ($COP)]]</f>
        <v>27842.65162646816</v>
      </c>
      <c r="X1262" s="101"/>
      <c r="Y1262" s="15">
        <f>+D.sign_Data[[#This Row],[COSTOS OPERACIONALES ($COP)]]*D.sign_Data[[#This Row],[DESFASE (%)]]</f>
        <v>0</v>
      </c>
      <c r="Z1262" s="101">
        <v>0.3</v>
      </c>
      <c r="AA1262" s="15">
        <f>+((D.sign_Data[[#This Row],[COSTOS OPERACIONALES ($COP)]]/(100%-D.sign_Data[[#This Row],[UTILIDAD (%)]])))-D.sign_Data[[#This Row],[COSTOS OPERACIONALES ($COP)]]</f>
        <v>11932.564982772074</v>
      </c>
      <c r="AB1262" s="3">
        <f>+D.sign_Data[[#This Row],[COSTOS OPERACIONALES ($COP)]]+D.sign_Data[[#This Row],[DESFASE ($COP)]]+D.sign_Data[[#This Row],[UTILIDAD ($COP)]]</f>
        <v>39775.216609240233</v>
      </c>
      <c r="AC1262" s="101"/>
      <c r="AD1262" s="15">
        <f>+D.sign_Data[[#This Row],[VALOR NETO ($COP)]]/(100%-D.sign_Data[[#This Row],[MARGEN DE NEGOCIACIÓN (%)]])-D.sign_Data[[#This Row],[VALOR NETO ($COP)]]</f>
        <v>0</v>
      </c>
      <c r="AE1262" s="15">
        <f>+(D.sign_Data[[#This Row],[VALOR NETO ($COP)]]+D.sign_Data[[#This Row],[NEGOCIACIÓN ($COP)]])*1%</f>
        <v>397.75216609240232</v>
      </c>
      <c r="AF1262" s="15">
        <f>+(D.sign_Data[[#This Row],[VALOR NETO ($COP)]]+D.sign_Data[[#This Row],[NEGOCIACIÓN ($COP)]])*1%</f>
        <v>397.75216609240232</v>
      </c>
      <c r="AG1262" s="3">
        <f>+D.sign_Data[[#This Row],[VALOR NETO ($COP)]]+D.sign_Data[[#This Row],[NEGOCIACIÓN ($COP)]]+D.sign_Data[[#This Row],[ICA ($COP)]]+D.sign_Data[[#This Row],[4 * 1000 ($COP)]]</f>
        <v>40570.720941425039</v>
      </c>
    </row>
    <row r="1263" spans="1:33" ht="60" customHeight="1" x14ac:dyDescent="0.25">
      <c r="A1263" s="14"/>
      <c r="B1263" s="87" t="s">
        <v>418</v>
      </c>
      <c r="C1263" s="182" t="s">
        <v>1103</v>
      </c>
      <c r="D1263" s="189" t="str">
        <f>VLOOKUP(D.sign_Data[[#This Row],[CÓDIGO]],Descripciones[[CÓDIGO]:[NOMBRE DE SERVICIO]],3,FALSE)</f>
        <v>D6. Diseño Interior</v>
      </c>
      <c r="E1263" s="87" t="s">
        <v>497</v>
      </c>
      <c r="F1263" s="93" t="s">
        <v>1152</v>
      </c>
      <c r="G1263" s="93" t="s">
        <v>975</v>
      </c>
      <c r="H1263" s="97" t="s">
        <v>423</v>
      </c>
      <c r="I1263" s="94">
        <v>1</v>
      </c>
      <c r="J1263" s="93" t="s">
        <v>976</v>
      </c>
      <c r="K1263" s="103"/>
      <c r="L1263" s="93" t="s">
        <v>1106</v>
      </c>
      <c r="M1263" s="95" t="s">
        <v>381</v>
      </c>
      <c r="N1263" s="96">
        <v>0.1</v>
      </c>
      <c r="O1263" s="27">
        <f>IFERROR(+VLOOKUP(M1263,D.sign_Lista_Data[[RESPONSABLE]:[SOFTWARE 
VALOR HORA]],3,FALSE),"0")</f>
        <v>20263.424518743668</v>
      </c>
      <c r="P1263" s="3">
        <f t="shared" si="44"/>
        <v>2026.3424518743668</v>
      </c>
      <c r="Q1263" s="11">
        <f>IFERROR(+VLOOKUP(M1263,D.sign_Lista_Data[[RESPONSABLE]:[SOFTWARE 
VALOR HORA]],5,FALSE)*D.sign_Data[[#This Row],[TIEMPO (HORAS)]],0)</f>
        <v>422.15467747382638</v>
      </c>
      <c r="R1263" s="11">
        <f>IFERROR(+VLOOKUP(M1263,D.sign_Lista_Data[[RESPONSABLE]:[SOFTWARE 
VALOR HORA]],8,FALSE)*D.sign_Data[[#This Row],[TIEMPO (HORAS)]],0)</f>
        <v>341.08548871439837</v>
      </c>
      <c r="S1263" s="99"/>
      <c r="T1263" s="99"/>
      <c r="U1263" s="3">
        <f t="shared" si="45"/>
        <v>2789.5826180625913</v>
      </c>
      <c r="V1263" s="100">
        <f>D.sign_Data[[#This Row],[TIEMPO (HORAS)]]*Gastos_Operativos[[#Totals],[GASTOS HORA]]</f>
        <v>2778.9477072310401</v>
      </c>
      <c r="W1263" s="3">
        <f>+D.sign_Data[[#This Row],[COSTO 
DIRECTO ($COP)]]+D.sign_Data[[#This Row],[PRORRATEO GASTOS ($COP)]]</f>
        <v>5568.5303252936319</v>
      </c>
      <c r="X1263" s="101"/>
      <c r="Y1263" s="15">
        <f>+D.sign_Data[[#This Row],[COSTOS OPERACIONALES ($COP)]]*D.sign_Data[[#This Row],[DESFASE (%)]]</f>
        <v>0</v>
      </c>
      <c r="Z1263" s="101">
        <v>0.3</v>
      </c>
      <c r="AA1263" s="15">
        <f>+((D.sign_Data[[#This Row],[COSTOS OPERACIONALES ($COP)]]/(100%-D.sign_Data[[#This Row],[UTILIDAD (%)]])))-D.sign_Data[[#This Row],[COSTOS OPERACIONALES ($COP)]]</f>
        <v>2386.5129965544138</v>
      </c>
      <c r="AB1263" s="3">
        <f>+D.sign_Data[[#This Row],[COSTOS OPERACIONALES ($COP)]]+D.sign_Data[[#This Row],[DESFASE ($COP)]]+D.sign_Data[[#This Row],[UTILIDAD ($COP)]]</f>
        <v>7955.0433218480457</v>
      </c>
      <c r="AC1263" s="101"/>
      <c r="AD1263" s="15">
        <f>+D.sign_Data[[#This Row],[VALOR NETO ($COP)]]/(100%-D.sign_Data[[#This Row],[MARGEN DE NEGOCIACIÓN (%)]])-D.sign_Data[[#This Row],[VALOR NETO ($COP)]]</f>
        <v>0</v>
      </c>
      <c r="AE1263" s="15">
        <f>+(D.sign_Data[[#This Row],[VALOR NETO ($COP)]]+D.sign_Data[[#This Row],[NEGOCIACIÓN ($COP)]])*1%</f>
        <v>79.550433218480464</v>
      </c>
      <c r="AF1263" s="15">
        <f>+(D.sign_Data[[#This Row],[VALOR NETO ($COP)]]+D.sign_Data[[#This Row],[NEGOCIACIÓN ($COP)]])*1%</f>
        <v>79.550433218480464</v>
      </c>
      <c r="AG1263" s="3">
        <f>+D.sign_Data[[#This Row],[VALOR NETO ($COP)]]+D.sign_Data[[#This Row],[NEGOCIACIÓN ($COP)]]+D.sign_Data[[#This Row],[ICA ($COP)]]+D.sign_Data[[#This Row],[4 * 1000 ($COP)]]</f>
        <v>8114.1441882850058</v>
      </c>
    </row>
    <row r="1264" spans="1:33" ht="60" hidden="1" customHeight="1" x14ac:dyDescent="0.25">
      <c r="A1264" s="14"/>
      <c r="B1264" s="87" t="s">
        <v>442</v>
      </c>
      <c r="C1264" s="182" t="s">
        <v>1158</v>
      </c>
      <c r="D1264" s="189" t="str">
        <f>VLOOKUP(D.sign_Data[[#This Row],[CÓDIGO]],Descripciones[[CÓDIGO]:[NOMBRE DE SERVICIO]],3,FALSE)</f>
        <v>D6. Diseño Interior</v>
      </c>
      <c r="E1264" s="87" t="s">
        <v>1104</v>
      </c>
      <c r="F1264" s="88" t="s">
        <v>1159</v>
      </c>
      <c r="G1264" s="88" t="s">
        <v>536</v>
      </c>
      <c r="H1264" s="104" t="s">
        <v>552</v>
      </c>
      <c r="I1264" s="89">
        <v>1</v>
      </c>
      <c r="J1264" s="88" t="s">
        <v>538</v>
      </c>
      <c r="K1264" s="102"/>
      <c r="L1264" s="88" t="s">
        <v>553</v>
      </c>
      <c r="M1264" s="89" t="s">
        <v>381</v>
      </c>
      <c r="N1264" s="90">
        <v>0.1</v>
      </c>
      <c r="O1264" s="27">
        <f>IFERROR(+VLOOKUP(M1264,D.sign_Lista_Data[[RESPONSABLE]:[SOFTWARE 
VALOR HORA]],3,FALSE),"0")</f>
        <v>20263.424518743668</v>
      </c>
      <c r="P1264" s="3">
        <f t="shared" si="44"/>
        <v>2026.3424518743668</v>
      </c>
      <c r="Q1264" s="11">
        <f>IFERROR(+VLOOKUP(M1264,D.sign_Lista_Data[[RESPONSABLE]:[SOFTWARE 
VALOR HORA]],5,FALSE)*D.sign_Data[[#This Row],[TIEMPO (HORAS)]],0)</f>
        <v>422.15467747382638</v>
      </c>
      <c r="R1264" s="11">
        <f>IFERROR(+VLOOKUP(M1264,D.sign_Lista_Data[[RESPONSABLE]:[SOFTWARE 
VALOR HORA]],8,FALSE)*D.sign_Data[[#This Row],[TIEMPO (HORAS)]],0)</f>
        <v>341.08548871439837</v>
      </c>
      <c r="S1264" s="99"/>
      <c r="T1264" s="99"/>
      <c r="U1264" s="3">
        <f t="shared" si="45"/>
        <v>2789.5826180625913</v>
      </c>
      <c r="V1264" s="100">
        <f>D.sign_Data[[#This Row],[TIEMPO (HORAS)]]*Gastos_Operativos[[#Totals],[GASTOS HORA]]</f>
        <v>2778.9477072310401</v>
      </c>
      <c r="W1264" s="3">
        <f>+D.sign_Data[[#This Row],[COSTO 
DIRECTO ($COP)]]+D.sign_Data[[#This Row],[PRORRATEO GASTOS ($COP)]]</f>
        <v>5568.5303252936319</v>
      </c>
      <c r="X1264" s="101">
        <v>0.15</v>
      </c>
      <c r="Y1264" s="15">
        <f>+D.sign_Data[[#This Row],[COSTOS OPERACIONALES ($COP)]]*D.sign_Data[[#This Row],[DESFASE (%)]]</f>
        <v>835.27954879404479</v>
      </c>
      <c r="Z1264" s="101">
        <v>0.3</v>
      </c>
      <c r="AA1264" s="15">
        <f>+((D.sign_Data[[#This Row],[COSTOS OPERACIONALES ($COP)]]/(100%-D.sign_Data[[#This Row],[UTILIDAD (%)]])))-D.sign_Data[[#This Row],[COSTOS OPERACIONALES ($COP)]]</f>
        <v>2386.5129965544138</v>
      </c>
      <c r="AB1264" s="3">
        <f>+D.sign_Data[[#This Row],[COSTOS OPERACIONALES ($COP)]]+D.sign_Data[[#This Row],[DESFASE ($COP)]]+D.sign_Data[[#This Row],[UTILIDAD ($COP)]]</f>
        <v>8790.3228706420905</v>
      </c>
      <c r="AC1264" s="101">
        <v>0.05</v>
      </c>
      <c r="AD1264" s="15">
        <f>+D.sign_Data[[#This Row],[VALOR NETO ($COP)]]/(100%-D.sign_Data[[#This Row],[MARGEN DE NEGOCIACIÓN (%)]])-D.sign_Data[[#This Row],[VALOR NETO ($COP)]]</f>
        <v>462.64857213905816</v>
      </c>
      <c r="AE1264" s="15">
        <f>+(D.sign_Data[[#This Row],[VALOR NETO ($COP)]]+D.sign_Data[[#This Row],[NEGOCIACIÓN ($COP)]])*1%</f>
        <v>92.529714427811484</v>
      </c>
      <c r="AF1264" s="15">
        <f>+(D.sign_Data[[#This Row],[VALOR NETO ($COP)]]+D.sign_Data[[#This Row],[NEGOCIACIÓN ($COP)]])*1%</f>
        <v>92.529714427811484</v>
      </c>
      <c r="AG1264" s="3">
        <f>+D.sign_Data[[#This Row],[VALOR NETO ($COP)]]+D.sign_Data[[#This Row],[NEGOCIACIÓN ($COP)]]+D.sign_Data[[#This Row],[ICA ($COP)]]+D.sign_Data[[#This Row],[4 * 1000 ($COP)]]</f>
        <v>9438.0308716367726</v>
      </c>
    </row>
    <row r="1265" spans="1:33" ht="60" hidden="1" customHeight="1" x14ac:dyDescent="0.25">
      <c r="A1265" s="14"/>
      <c r="B1265" s="87" t="s">
        <v>442</v>
      </c>
      <c r="C1265" s="182" t="s">
        <v>1158</v>
      </c>
      <c r="D1265" s="189" t="str">
        <f>VLOOKUP(D.sign_Data[[#This Row],[CÓDIGO]],Descripciones[[CÓDIGO]:[NOMBRE DE SERVICIO]],3,FALSE)</f>
        <v>D6. Diseño Interior</v>
      </c>
      <c r="E1265" s="87" t="s">
        <v>1104</v>
      </c>
      <c r="F1265" s="88" t="s">
        <v>1159</v>
      </c>
      <c r="G1265" s="88" t="s">
        <v>536</v>
      </c>
      <c r="H1265" s="104" t="s">
        <v>552</v>
      </c>
      <c r="I1265" s="89">
        <v>1</v>
      </c>
      <c r="J1265" s="88" t="s">
        <v>538</v>
      </c>
      <c r="K1265" s="102"/>
      <c r="L1265" s="88" t="s">
        <v>540</v>
      </c>
      <c r="M1265" s="89" t="s">
        <v>381</v>
      </c>
      <c r="N1265" s="90">
        <v>0.1</v>
      </c>
      <c r="O1265" s="27">
        <f>IFERROR(+VLOOKUP(M1265,D.sign_Lista_Data[[RESPONSABLE]:[SOFTWARE 
VALOR HORA]],3,FALSE),"0")</f>
        <v>20263.424518743668</v>
      </c>
      <c r="P1265" s="3">
        <f t="shared" si="44"/>
        <v>2026.3424518743668</v>
      </c>
      <c r="Q1265" s="11">
        <f>IFERROR(+VLOOKUP(M1265,D.sign_Lista_Data[[RESPONSABLE]:[SOFTWARE 
VALOR HORA]],5,FALSE)*D.sign_Data[[#This Row],[TIEMPO (HORAS)]],0)</f>
        <v>422.15467747382638</v>
      </c>
      <c r="R1265" s="11">
        <f>IFERROR(+VLOOKUP(M1265,D.sign_Lista_Data[[RESPONSABLE]:[SOFTWARE 
VALOR HORA]],8,FALSE)*D.sign_Data[[#This Row],[TIEMPO (HORAS)]],0)</f>
        <v>341.08548871439837</v>
      </c>
      <c r="S1265" s="99"/>
      <c r="T1265" s="99"/>
      <c r="U1265" s="3">
        <f t="shared" si="45"/>
        <v>2789.5826180625913</v>
      </c>
      <c r="V1265" s="100">
        <f>D.sign_Data[[#This Row],[TIEMPO (HORAS)]]*Gastos_Operativos[[#Totals],[GASTOS HORA]]</f>
        <v>2778.9477072310401</v>
      </c>
      <c r="W1265" s="3">
        <f>+D.sign_Data[[#This Row],[COSTO 
DIRECTO ($COP)]]+D.sign_Data[[#This Row],[PRORRATEO GASTOS ($COP)]]</f>
        <v>5568.5303252936319</v>
      </c>
      <c r="X1265" s="101">
        <v>0.15</v>
      </c>
      <c r="Y1265" s="15">
        <f>+D.sign_Data[[#This Row],[COSTOS OPERACIONALES ($COP)]]*D.sign_Data[[#This Row],[DESFASE (%)]]</f>
        <v>835.27954879404479</v>
      </c>
      <c r="Z1265" s="101">
        <v>0.3</v>
      </c>
      <c r="AA1265" s="15">
        <f>+((D.sign_Data[[#This Row],[COSTOS OPERACIONALES ($COP)]]/(100%-D.sign_Data[[#This Row],[UTILIDAD (%)]])))-D.sign_Data[[#This Row],[COSTOS OPERACIONALES ($COP)]]</f>
        <v>2386.5129965544138</v>
      </c>
      <c r="AB1265" s="3">
        <f>+D.sign_Data[[#This Row],[COSTOS OPERACIONALES ($COP)]]+D.sign_Data[[#This Row],[DESFASE ($COP)]]+D.sign_Data[[#This Row],[UTILIDAD ($COP)]]</f>
        <v>8790.3228706420905</v>
      </c>
      <c r="AC1265" s="101">
        <v>0.05</v>
      </c>
      <c r="AD1265" s="15">
        <f>+D.sign_Data[[#This Row],[VALOR NETO ($COP)]]/(100%-D.sign_Data[[#This Row],[MARGEN DE NEGOCIACIÓN (%)]])-D.sign_Data[[#This Row],[VALOR NETO ($COP)]]</f>
        <v>462.64857213905816</v>
      </c>
      <c r="AE1265" s="15">
        <f>+(D.sign_Data[[#This Row],[VALOR NETO ($COP)]]+D.sign_Data[[#This Row],[NEGOCIACIÓN ($COP)]])*1%</f>
        <v>92.529714427811484</v>
      </c>
      <c r="AF1265" s="15">
        <f>+(D.sign_Data[[#This Row],[VALOR NETO ($COP)]]+D.sign_Data[[#This Row],[NEGOCIACIÓN ($COP)]])*1%</f>
        <v>92.529714427811484</v>
      </c>
      <c r="AG1265" s="3">
        <f>+D.sign_Data[[#This Row],[VALOR NETO ($COP)]]+D.sign_Data[[#This Row],[NEGOCIACIÓN ($COP)]]+D.sign_Data[[#This Row],[ICA ($COP)]]+D.sign_Data[[#This Row],[4 * 1000 ($COP)]]</f>
        <v>9438.0308716367726</v>
      </c>
    </row>
    <row r="1266" spans="1:33" ht="60" hidden="1" customHeight="1" x14ac:dyDescent="0.25">
      <c r="A1266" s="14"/>
      <c r="B1266" s="87" t="s">
        <v>442</v>
      </c>
      <c r="C1266" s="182" t="s">
        <v>1158</v>
      </c>
      <c r="D1266" s="189" t="str">
        <f>VLOOKUP(D.sign_Data[[#This Row],[CÓDIGO]],Descripciones[[CÓDIGO]:[NOMBRE DE SERVICIO]],3,FALSE)</f>
        <v>D6. Diseño Interior</v>
      </c>
      <c r="E1266" s="87" t="s">
        <v>1104</v>
      </c>
      <c r="F1266" s="88" t="s">
        <v>1159</v>
      </c>
      <c r="G1266" s="88" t="s">
        <v>536</v>
      </c>
      <c r="H1266" s="104" t="s">
        <v>552</v>
      </c>
      <c r="I1266" s="89">
        <v>1</v>
      </c>
      <c r="J1266" s="88" t="s">
        <v>541</v>
      </c>
      <c r="K1266" s="102"/>
      <c r="L1266" s="88" t="s">
        <v>1160</v>
      </c>
      <c r="M1266" s="89" t="s">
        <v>381</v>
      </c>
      <c r="N1266" s="90">
        <v>2</v>
      </c>
      <c r="O1266" s="27">
        <f>IFERROR(+VLOOKUP(M1266,D.sign_Lista_Data[[RESPONSABLE]:[SOFTWARE 
VALOR HORA]],3,FALSE),"0")</f>
        <v>20263.424518743668</v>
      </c>
      <c r="P1266" s="3">
        <f t="shared" si="44"/>
        <v>40526.849037487336</v>
      </c>
      <c r="Q1266" s="11">
        <f>IFERROR(+VLOOKUP(M1266,D.sign_Lista_Data[[RESPONSABLE]:[SOFTWARE 
VALOR HORA]],5,FALSE)*D.sign_Data[[#This Row],[TIEMPO (HORAS)]],0)</f>
        <v>8443.0935494765272</v>
      </c>
      <c r="R1266" s="11">
        <f>IFERROR(+VLOOKUP(M1266,D.sign_Lista_Data[[RESPONSABLE]:[SOFTWARE 
VALOR HORA]],8,FALSE)*D.sign_Data[[#This Row],[TIEMPO (HORAS)]],0)</f>
        <v>6821.7097742879669</v>
      </c>
      <c r="S1266" s="99"/>
      <c r="T1266" s="99"/>
      <c r="U1266" s="3">
        <f t="shared" si="45"/>
        <v>55791.652361251836</v>
      </c>
      <c r="V1266" s="100">
        <f>D.sign_Data[[#This Row],[TIEMPO (HORAS)]]*Gastos_Operativos[[#Totals],[GASTOS HORA]]</f>
        <v>55578.954144620802</v>
      </c>
      <c r="W1266" s="3">
        <f>+D.sign_Data[[#This Row],[COSTO 
DIRECTO ($COP)]]+D.sign_Data[[#This Row],[PRORRATEO GASTOS ($COP)]]</f>
        <v>111370.60650587264</v>
      </c>
      <c r="X1266" s="101">
        <v>0.15</v>
      </c>
      <c r="Y1266" s="15">
        <f>+D.sign_Data[[#This Row],[COSTOS OPERACIONALES ($COP)]]*D.sign_Data[[#This Row],[DESFASE (%)]]</f>
        <v>16705.590975880896</v>
      </c>
      <c r="Z1266" s="101">
        <v>0.3</v>
      </c>
      <c r="AA1266" s="15">
        <f>+((D.sign_Data[[#This Row],[COSTOS OPERACIONALES ($COP)]]/(100%-D.sign_Data[[#This Row],[UTILIDAD (%)]])))-D.sign_Data[[#This Row],[COSTOS OPERACIONALES ($COP)]]</f>
        <v>47730.259931088294</v>
      </c>
      <c r="AB1266" s="3">
        <f>+D.sign_Data[[#This Row],[COSTOS OPERACIONALES ($COP)]]+D.sign_Data[[#This Row],[DESFASE ($COP)]]+D.sign_Data[[#This Row],[UTILIDAD ($COP)]]</f>
        <v>175806.45741284185</v>
      </c>
      <c r="AC1266" s="101">
        <v>0.05</v>
      </c>
      <c r="AD1266" s="15">
        <f>+D.sign_Data[[#This Row],[VALOR NETO ($COP)]]/(100%-D.sign_Data[[#This Row],[MARGEN DE NEGOCIACIÓN (%)]])-D.sign_Data[[#This Row],[VALOR NETO ($COP)]]</f>
        <v>9252.9714427811559</v>
      </c>
      <c r="AE1266" s="15">
        <f>+(D.sign_Data[[#This Row],[VALOR NETO ($COP)]]+D.sign_Data[[#This Row],[NEGOCIACIÓN ($COP)]])*1%</f>
        <v>1850.5942885562301</v>
      </c>
      <c r="AF1266" s="15">
        <f>+(D.sign_Data[[#This Row],[VALOR NETO ($COP)]]+D.sign_Data[[#This Row],[NEGOCIACIÓN ($COP)]])*1%</f>
        <v>1850.5942885562301</v>
      </c>
      <c r="AG1266" s="3">
        <f>+D.sign_Data[[#This Row],[VALOR NETO ($COP)]]+D.sign_Data[[#This Row],[NEGOCIACIÓN ($COP)]]+D.sign_Data[[#This Row],[ICA ($COP)]]+D.sign_Data[[#This Row],[4 * 1000 ($COP)]]</f>
        <v>188760.61743273545</v>
      </c>
    </row>
    <row r="1267" spans="1:33" ht="60" hidden="1" customHeight="1" x14ac:dyDescent="0.25">
      <c r="A1267" s="14"/>
      <c r="B1267" s="87" t="s">
        <v>442</v>
      </c>
      <c r="C1267" s="182" t="s">
        <v>1158</v>
      </c>
      <c r="D1267" s="189" t="str">
        <f>VLOOKUP(D.sign_Data[[#This Row],[CÓDIGO]],Descripciones[[CÓDIGO]:[NOMBRE DE SERVICIO]],3,FALSE)</f>
        <v>D6. Diseño Interior</v>
      </c>
      <c r="E1267" s="87" t="s">
        <v>1104</v>
      </c>
      <c r="F1267" s="88" t="s">
        <v>1159</v>
      </c>
      <c r="G1267" s="88" t="s">
        <v>536</v>
      </c>
      <c r="H1267" s="104" t="s">
        <v>552</v>
      </c>
      <c r="I1267" s="89">
        <v>1</v>
      </c>
      <c r="J1267" s="88" t="s">
        <v>541</v>
      </c>
      <c r="K1267" s="102"/>
      <c r="L1267" s="88" t="s">
        <v>1161</v>
      </c>
      <c r="M1267" s="89" t="s">
        <v>381</v>
      </c>
      <c r="N1267" s="90">
        <v>2</v>
      </c>
      <c r="O1267" s="27">
        <f>IFERROR(+VLOOKUP(M1267,D.sign_Lista_Data[[RESPONSABLE]:[SOFTWARE 
VALOR HORA]],3,FALSE),"0")</f>
        <v>20263.424518743668</v>
      </c>
      <c r="P1267" s="3">
        <f t="shared" si="44"/>
        <v>40526.849037487336</v>
      </c>
      <c r="Q1267" s="11">
        <f>IFERROR(+VLOOKUP(M1267,D.sign_Lista_Data[[RESPONSABLE]:[SOFTWARE 
VALOR HORA]],5,FALSE)*D.sign_Data[[#This Row],[TIEMPO (HORAS)]],0)</f>
        <v>8443.0935494765272</v>
      </c>
      <c r="R1267" s="11">
        <f>IFERROR(+VLOOKUP(M1267,D.sign_Lista_Data[[RESPONSABLE]:[SOFTWARE 
VALOR HORA]],8,FALSE)*D.sign_Data[[#This Row],[TIEMPO (HORAS)]],0)</f>
        <v>6821.7097742879669</v>
      </c>
      <c r="S1267" s="99"/>
      <c r="T1267" s="99"/>
      <c r="U1267" s="3">
        <f t="shared" si="45"/>
        <v>55791.652361251836</v>
      </c>
      <c r="V1267" s="100">
        <f>D.sign_Data[[#This Row],[TIEMPO (HORAS)]]*Gastos_Operativos[[#Totals],[GASTOS HORA]]</f>
        <v>55578.954144620802</v>
      </c>
      <c r="W1267" s="3">
        <f>+D.sign_Data[[#This Row],[COSTO 
DIRECTO ($COP)]]+D.sign_Data[[#This Row],[PRORRATEO GASTOS ($COP)]]</f>
        <v>111370.60650587264</v>
      </c>
      <c r="X1267" s="101">
        <v>0.15</v>
      </c>
      <c r="Y1267" s="15">
        <f>+D.sign_Data[[#This Row],[COSTOS OPERACIONALES ($COP)]]*D.sign_Data[[#This Row],[DESFASE (%)]]</f>
        <v>16705.590975880896</v>
      </c>
      <c r="Z1267" s="101">
        <v>0.3</v>
      </c>
      <c r="AA1267" s="15">
        <f>+((D.sign_Data[[#This Row],[COSTOS OPERACIONALES ($COP)]]/(100%-D.sign_Data[[#This Row],[UTILIDAD (%)]])))-D.sign_Data[[#This Row],[COSTOS OPERACIONALES ($COP)]]</f>
        <v>47730.259931088294</v>
      </c>
      <c r="AB1267" s="3">
        <f>+D.sign_Data[[#This Row],[COSTOS OPERACIONALES ($COP)]]+D.sign_Data[[#This Row],[DESFASE ($COP)]]+D.sign_Data[[#This Row],[UTILIDAD ($COP)]]</f>
        <v>175806.45741284185</v>
      </c>
      <c r="AC1267" s="101">
        <v>0.05</v>
      </c>
      <c r="AD1267" s="15">
        <f>+D.sign_Data[[#This Row],[VALOR NETO ($COP)]]/(100%-D.sign_Data[[#This Row],[MARGEN DE NEGOCIACIÓN (%)]])-D.sign_Data[[#This Row],[VALOR NETO ($COP)]]</f>
        <v>9252.9714427811559</v>
      </c>
      <c r="AE1267" s="15">
        <f>+(D.sign_Data[[#This Row],[VALOR NETO ($COP)]]+D.sign_Data[[#This Row],[NEGOCIACIÓN ($COP)]])*1%</f>
        <v>1850.5942885562301</v>
      </c>
      <c r="AF1267" s="15">
        <f>+(D.sign_Data[[#This Row],[VALOR NETO ($COP)]]+D.sign_Data[[#This Row],[NEGOCIACIÓN ($COP)]])*1%</f>
        <v>1850.5942885562301</v>
      </c>
      <c r="AG1267" s="3">
        <f>+D.sign_Data[[#This Row],[VALOR NETO ($COP)]]+D.sign_Data[[#This Row],[NEGOCIACIÓN ($COP)]]+D.sign_Data[[#This Row],[ICA ($COP)]]+D.sign_Data[[#This Row],[4 * 1000 ($COP)]]</f>
        <v>188760.61743273545</v>
      </c>
    </row>
    <row r="1268" spans="1:33" ht="60" hidden="1" customHeight="1" x14ac:dyDescent="0.25">
      <c r="A1268" s="14"/>
      <c r="B1268" s="87" t="s">
        <v>442</v>
      </c>
      <c r="C1268" s="182" t="s">
        <v>1158</v>
      </c>
      <c r="D1268" s="189" t="str">
        <f>VLOOKUP(D.sign_Data[[#This Row],[CÓDIGO]],Descripciones[[CÓDIGO]:[NOMBRE DE SERVICIO]],3,FALSE)</f>
        <v>D6. Diseño Interior</v>
      </c>
      <c r="E1268" s="87" t="s">
        <v>1104</v>
      </c>
      <c r="F1268" s="88" t="s">
        <v>1159</v>
      </c>
      <c r="G1268" s="88" t="s">
        <v>536</v>
      </c>
      <c r="H1268" s="104" t="s">
        <v>552</v>
      </c>
      <c r="I1268" s="89">
        <v>1</v>
      </c>
      <c r="J1268" s="88" t="s">
        <v>541</v>
      </c>
      <c r="K1268" s="102"/>
      <c r="L1268" s="88" t="s">
        <v>1162</v>
      </c>
      <c r="M1268" s="89" t="s">
        <v>381</v>
      </c>
      <c r="N1268" s="90">
        <v>2</v>
      </c>
      <c r="O1268" s="27">
        <f>IFERROR(+VLOOKUP(M1268,D.sign_Lista_Data[[RESPONSABLE]:[SOFTWARE 
VALOR HORA]],3,FALSE),"0")</f>
        <v>20263.424518743668</v>
      </c>
      <c r="P1268" s="3">
        <f t="shared" si="44"/>
        <v>40526.849037487336</v>
      </c>
      <c r="Q1268" s="11">
        <f>IFERROR(+VLOOKUP(M1268,D.sign_Lista_Data[[RESPONSABLE]:[SOFTWARE 
VALOR HORA]],5,FALSE)*D.sign_Data[[#This Row],[TIEMPO (HORAS)]],0)</f>
        <v>8443.0935494765272</v>
      </c>
      <c r="R1268" s="11">
        <f>IFERROR(+VLOOKUP(M1268,D.sign_Lista_Data[[RESPONSABLE]:[SOFTWARE 
VALOR HORA]],8,FALSE)*D.sign_Data[[#This Row],[TIEMPO (HORAS)]],0)</f>
        <v>6821.7097742879669</v>
      </c>
      <c r="S1268" s="99"/>
      <c r="T1268" s="99"/>
      <c r="U1268" s="3">
        <f t="shared" si="45"/>
        <v>55791.652361251836</v>
      </c>
      <c r="V1268" s="100">
        <f>D.sign_Data[[#This Row],[TIEMPO (HORAS)]]*Gastos_Operativos[[#Totals],[GASTOS HORA]]</f>
        <v>55578.954144620802</v>
      </c>
      <c r="W1268" s="3">
        <f>+D.sign_Data[[#This Row],[COSTO 
DIRECTO ($COP)]]+D.sign_Data[[#This Row],[PRORRATEO GASTOS ($COP)]]</f>
        <v>111370.60650587264</v>
      </c>
      <c r="X1268" s="101">
        <v>0.15</v>
      </c>
      <c r="Y1268" s="15">
        <f>+D.sign_Data[[#This Row],[COSTOS OPERACIONALES ($COP)]]*D.sign_Data[[#This Row],[DESFASE (%)]]</f>
        <v>16705.590975880896</v>
      </c>
      <c r="Z1268" s="101">
        <v>0.3</v>
      </c>
      <c r="AA1268" s="15">
        <f>+((D.sign_Data[[#This Row],[COSTOS OPERACIONALES ($COP)]]/(100%-D.sign_Data[[#This Row],[UTILIDAD (%)]])))-D.sign_Data[[#This Row],[COSTOS OPERACIONALES ($COP)]]</f>
        <v>47730.259931088294</v>
      </c>
      <c r="AB1268" s="3">
        <f>+D.sign_Data[[#This Row],[COSTOS OPERACIONALES ($COP)]]+D.sign_Data[[#This Row],[DESFASE ($COP)]]+D.sign_Data[[#This Row],[UTILIDAD ($COP)]]</f>
        <v>175806.45741284185</v>
      </c>
      <c r="AC1268" s="101">
        <v>0.05</v>
      </c>
      <c r="AD1268" s="15">
        <f>+D.sign_Data[[#This Row],[VALOR NETO ($COP)]]/(100%-D.sign_Data[[#This Row],[MARGEN DE NEGOCIACIÓN (%)]])-D.sign_Data[[#This Row],[VALOR NETO ($COP)]]</f>
        <v>9252.9714427811559</v>
      </c>
      <c r="AE1268" s="15">
        <f>+(D.sign_Data[[#This Row],[VALOR NETO ($COP)]]+D.sign_Data[[#This Row],[NEGOCIACIÓN ($COP)]])*1%</f>
        <v>1850.5942885562301</v>
      </c>
      <c r="AF1268" s="15">
        <f>+(D.sign_Data[[#This Row],[VALOR NETO ($COP)]]+D.sign_Data[[#This Row],[NEGOCIACIÓN ($COP)]])*1%</f>
        <v>1850.5942885562301</v>
      </c>
      <c r="AG1268" s="3">
        <f>+D.sign_Data[[#This Row],[VALOR NETO ($COP)]]+D.sign_Data[[#This Row],[NEGOCIACIÓN ($COP)]]+D.sign_Data[[#This Row],[ICA ($COP)]]+D.sign_Data[[#This Row],[4 * 1000 ($COP)]]</f>
        <v>188760.61743273545</v>
      </c>
    </row>
    <row r="1269" spans="1:33" ht="60" hidden="1" customHeight="1" x14ac:dyDescent="0.25">
      <c r="A1269" s="14"/>
      <c r="B1269" s="87" t="s">
        <v>442</v>
      </c>
      <c r="C1269" s="182" t="s">
        <v>1158</v>
      </c>
      <c r="D1269" s="189" t="str">
        <f>VLOOKUP(D.sign_Data[[#This Row],[CÓDIGO]],Descripciones[[CÓDIGO]:[NOMBRE DE SERVICIO]],3,FALSE)</f>
        <v>D6. Diseño Interior</v>
      </c>
      <c r="E1269" s="87" t="s">
        <v>1104</v>
      </c>
      <c r="F1269" s="88" t="s">
        <v>1159</v>
      </c>
      <c r="G1269" s="88" t="s">
        <v>536</v>
      </c>
      <c r="H1269" s="104" t="s">
        <v>552</v>
      </c>
      <c r="I1269" s="89">
        <v>1</v>
      </c>
      <c r="J1269" s="88" t="s">
        <v>541</v>
      </c>
      <c r="K1269" s="102"/>
      <c r="L1269" s="88" t="s">
        <v>558</v>
      </c>
      <c r="M1269" s="89" t="s">
        <v>381</v>
      </c>
      <c r="N1269" s="90">
        <v>2</v>
      </c>
      <c r="O1269" s="27">
        <f>IFERROR(+VLOOKUP(M1269,D.sign_Lista_Data[[RESPONSABLE]:[SOFTWARE 
VALOR HORA]],3,FALSE),"0")</f>
        <v>20263.424518743668</v>
      </c>
      <c r="P1269" s="3">
        <f t="shared" si="44"/>
        <v>40526.849037487336</v>
      </c>
      <c r="Q1269" s="11">
        <f>IFERROR(+VLOOKUP(M1269,D.sign_Lista_Data[[RESPONSABLE]:[SOFTWARE 
VALOR HORA]],5,FALSE)*D.sign_Data[[#This Row],[TIEMPO (HORAS)]],0)</f>
        <v>8443.0935494765272</v>
      </c>
      <c r="R1269" s="11">
        <f>IFERROR(+VLOOKUP(M1269,D.sign_Lista_Data[[RESPONSABLE]:[SOFTWARE 
VALOR HORA]],8,FALSE)*D.sign_Data[[#This Row],[TIEMPO (HORAS)]],0)</f>
        <v>6821.7097742879669</v>
      </c>
      <c r="S1269" s="99"/>
      <c r="T1269" s="99"/>
      <c r="U1269" s="3">
        <f t="shared" si="45"/>
        <v>55791.652361251836</v>
      </c>
      <c r="V1269" s="100">
        <f>D.sign_Data[[#This Row],[TIEMPO (HORAS)]]*Gastos_Operativos[[#Totals],[GASTOS HORA]]</f>
        <v>55578.954144620802</v>
      </c>
      <c r="W1269" s="3">
        <f>+D.sign_Data[[#This Row],[COSTO 
DIRECTO ($COP)]]+D.sign_Data[[#This Row],[PRORRATEO GASTOS ($COP)]]</f>
        <v>111370.60650587264</v>
      </c>
      <c r="X1269" s="101">
        <v>0.15</v>
      </c>
      <c r="Y1269" s="15">
        <f>+D.sign_Data[[#This Row],[COSTOS OPERACIONALES ($COP)]]*D.sign_Data[[#This Row],[DESFASE (%)]]</f>
        <v>16705.590975880896</v>
      </c>
      <c r="Z1269" s="101">
        <v>0.3</v>
      </c>
      <c r="AA1269" s="15">
        <f>+((D.sign_Data[[#This Row],[COSTOS OPERACIONALES ($COP)]]/(100%-D.sign_Data[[#This Row],[UTILIDAD (%)]])))-D.sign_Data[[#This Row],[COSTOS OPERACIONALES ($COP)]]</f>
        <v>47730.259931088294</v>
      </c>
      <c r="AB1269" s="3">
        <f>+D.sign_Data[[#This Row],[COSTOS OPERACIONALES ($COP)]]+D.sign_Data[[#This Row],[DESFASE ($COP)]]+D.sign_Data[[#This Row],[UTILIDAD ($COP)]]</f>
        <v>175806.45741284185</v>
      </c>
      <c r="AC1269" s="101">
        <v>0.05</v>
      </c>
      <c r="AD1269" s="15">
        <f>+D.sign_Data[[#This Row],[VALOR NETO ($COP)]]/(100%-D.sign_Data[[#This Row],[MARGEN DE NEGOCIACIÓN (%)]])-D.sign_Data[[#This Row],[VALOR NETO ($COP)]]</f>
        <v>9252.9714427811559</v>
      </c>
      <c r="AE1269" s="15">
        <f>+(D.sign_Data[[#This Row],[VALOR NETO ($COP)]]+D.sign_Data[[#This Row],[NEGOCIACIÓN ($COP)]])*1%</f>
        <v>1850.5942885562301</v>
      </c>
      <c r="AF1269" s="15">
        <f>+(D.sign_Data[[#This Row],[VALOR NETO ($COP)]]+D.sign_Data[[#This Row],[NEGOCIACIÓN ($COP)]])*1%</f>
        <v>1850.5942885562301</v>
      </c>
      <c r="AG1269" s="3">
        <f>+D.sign_Data[[#This Row],[VALOR NETO ($COP)]]+D.sign_Data[[#This Row],[NEGOCIACIÓN ($COP)]]+D.sign_Data[[#This Row],[ICA ($COP)]]+D.sign_Data[[#This Row],[4 * 1000 ($COP)]]</f>
        <v>188760.61743273545</v>
      </c>
    </row>
    <row r="1270" spans="1:33" ht="60" hidden="1" customHeight="1" x14ac:dyDescent="0.25">
      <c r="A1270" s="14"/>
      <c r="B1270" s="87" t="s">
        <v>442</v>
      </c>
      <c r="C1270" s="182" t="s">
        <v>1158</v>
      </c>
      <c r="D1270" s="189" t="str">
        <f>VLOOKUP(D.sign_Data[[#This Row],[CÓDIGO]],Descripciones[[CÓDIGO]:[NOMBRE DE SERVICIO]],3,FALSE)</f>
        <v>D6. Diseño Interior</v>
      </c>
      <c r="E1270" s="87" t="s">
        <v>1104</v>
      </c>
      <c r="F1270" s="88" t="s">
        <v>1159</v>
      </c>
      <c r="G1270" s="88" t="s">
        <v>536</v>
      </c>
      <c r="H1270" s="104" t="s">
        <v>552</v>
      </c>
      <c r="I1270" s="89">
        <v>1</v>
      </c>
      <c r="J1270" s="88" t="s">
        <v>541</v>
      </c>
      <c r="K1270" s="102"/>
      <c r="L1270" s="88" t="s">
        <v>1163</v>
      </c>
      <c r="M1270" s="89" t="s">
        <v>381</v>
      </c>
      <c r="N1270" s="90">
        <v>9.4</v>
      </c>
      <c r="O1270" s="27">
        <f>IFERROR(+VLOOKUP(M1270,D.sign_Lista_Data[[RESPONSABLE]:[SOFTWARE 
VALOR HORA]],3,FALSE),"0")</f>
        <v>20263.424518743668</v>
      </c>
      <c r="P1270" s="3">
        <f t="shared" si="44"/>
        <v>190476.19047619047</v>
      </c>
      <c r="Q1270" s="11">
        <f>IFERROR(+VLOOKUP(M1270,D.sign_Lista_Data[[RESPONSABLE]:[SOFTWARE 
VALOR HORA]],5,FALSE)*D.sign_Data[[#This Row],[TIEMPO (HORAS)]],0)</f>
        <v>39682.539682539682</v>
      </c>
      <c r="R1270" s="11">
        <f>IFERROR(+VLOOKUP(M1270,D.sign_Lista_Data[[RESPONSABLE]:[SOFTWARE 
VALOR HORA]],8,FALSE)*D.sign_Data[[#This Row],[TIEMPO (HORAS)]],0)</f>
        <v>32062.035939153444</v>
      </c>
      <c r="S1270" s="99"/>
      <c r="T1270" s="99"/>
      <c r="U1270" s="3">
        <f t="shared" si="45"/>
        <v>262220.76609788358</v>
      </c>
      <c r="V1270" s="100">
        <f>D.sign_Data[[#This Row],[TIEMPO (HORAS)]]*Gastos_Operativos[[#Totals],[GASTOS HORA]]</f>
        <v>261221.08447971777</v>
      </c>
      <c r="W1270" s="3">
        <f>+D.sign_Data[[#This Row],[COSTO 
DIRECTO ($COP)]]+D.sign_Data[[#This Row],[PRORRATEO GASTOS ($COP)]]</f>
        <v>523441.85057760135</v>
      </c>
      <c r="X1270" s="101">
        <v>0.15</v>
      </c>
      <c r="Y1270" s="15">
        <f>+D.sign_Data[[#This Row],[COSTOS OPERACIONALES ($COP)]]*D.sign_Data[[#This Row],[DESFASE (%)]]</f>
        <v>78516.277586640193</v>
      </c>
      <c r="Z1270" s="101">
        <v>0.3</v>
      </c>
      <c r="AA1270" s="15">
        <f>+((D.sign_Data[[#This Row],[COSTOS OPERACIONALES ($COP)]]/(100%-D.sign_Data[[#This Row],[UTILIDAD (%)]])))-D.sign_Data[[#This Row],[COSTOS OPERACIONALES ($COP)]]</f>
        <v>224332.22167611495</v>
      </c>
      <c r="AB1270" s="3">
        <f>+D.sign_Data[[#This Row],[COSTOS OPERACIONALES ($COP)]]+D.sign_Data[[#This Row],[DESFASE ($COP)]]+D.sign_Data[[#This Row],[UTILIDAD ($COP)]]</f>
        <v>826290.3498403565</v>
      </c>
      <c r="AC1270" s="101">
        <v>0.05</v>
      </c>
      <c r="AD1270" s="15">
        <f>+D.sign_Data[[#This Row],[VALOR NETO ($COP)]]/(100%-D.sign_Data[[#This Row],[MARGEN DE NEGOCIACIÓN (%)]])-D.sign_Data[[#This Row],[VALOR NETO ($COP)]]</f>
        <v>43488.965781071456</v>
      </c>
      <c r="AE1270" s="15">
        <f>+(D.sign_Data[[#This Row],[VALOR NETO ($COP)]]+D.sign_Data[[#This Row],[NEGOCIACIÓN ($COP)]])*1%</f>
        <v>8697.7931562142803</v>
      </c>
      <c r="AF1270" s="15">
        <f>+(D.sign_Data[[#This Row],[VALOR NETO ($COP)]]+D.sign_Data[[#This Row],[NEGOCIACIÓN ($COP)]])*1%</f>
        <v>8697.7931562142803</v>
      </c>
      <c r="AG1270" s="3">
        <f>+D.sign_Data[[#This Row],[VALOR NETO ($COP)]]+D.sign_Data[[#This Row],[NEGOCIACIÓN ($COP)]]+D.sign_Data[[#This Row],[ICA ($COP)]]+D.sign_Data[[#This Row],[4 * 1000 ($COP)]]</f>
        <v>887174.90193385654</v>
      </c>
    </row>
    <row r="1271" spans="1:33" ht="60" hidden="1" customHeight="1" x14ac:dyDescent="0.25">
      <c r="A1271" s="14"/>
      <c r="B1271" s="87" t="s">
        <v>442</v>
      </c>
      <c r="C1271" s="182" t="s">
        <v>1158</v>
      </c>
      <c r="D1271" s="189" t="str">
        <f>VLOOKUP(D.sign_Data[[#This Row],[CÓDIGO]],Descripciones[[CÓDIGO]:[NOMBRE DE SERVICIO]],3,FALSE)</f>
        <v>D6. Diseño Interior</v>
      </c>
      <c r="E1271" s="87" t="s">
        <v>1104</v>
      </c>
      <c r="F1271" s="88" t="s">
        <v>1159</v>
      </c>
      <c r="G1271" s="88" t="s">
        <v>536</v>
      </c>
      <c r="H1271" s="104" t="s">
        <v>552</v>
      </c>
      <c r="I1271" s="89">
        <v>1</v>
      </c>
      <c r="J1271" s="88" t="s">
        <v>541</v>
      </c>
      <c r="K1271" s="102"/>
      <c r="L1271" s="88" t="s">
        <v>1164</v>
      </c>
      <c r="M1271" s="89" t="s">
        <v>381</v>
      </c>
      <c r="N1271" s="90">
        <v>9.4</v>
      </c>
      <c r="O1271" s="27">
        <f>IFERROR(+VLOOKUP(M1271,D.sign_Lista_Data[[RESPONSABLE]:[SOFTWARE 
VALOR HORA]],3,FALSE),"0")</f>
        <v>20263.424518743668</v>
      </c>
      <c r="P1271" s="3">
        <f t="shared" si="44"/>
        <v>190476.19047619047</v>
      </c>
      <c r="Q1271" s="11">
        <f>IFERROR(+VLOOKUP(M1271,D.sign_Lista_Data[[RESPONSABLE]:[SOFTWARE 
VALOR HORA]],5,FALSE)*D.sign_Data[[#This Row],[TIEMPO (HORAS)]],0)</f>
        <v>39682.539682539682</v>
      </c>
      <c r="R1271" s="11">
        <f>IFERROR(+VLOOKUP(M1271,D.sign_Lista_Data[[RESPONSABLE]:[SOFTWARE 
VALOR HORA]],8,FALSE)*D.sign_Data[[#This Row],[TIEMPO (HORAS)]],0)</f>
        <v>32062.035939153444</v>
      </c>
      <c r="S1271" s="99"/>
      <c r="T1271" s="99"/>
      <c r="U1271" s="3">
        <f t="shared" si="45"/>
        <v>262220.76609788358</v>
      </c>
      <c r="V1271" s="100">
        <f>D.sign_Data[[#This Row],[TIEMPO (HORAS)]]*Gastos_Operativos[[#Totals],[GASTOS HORA]]</f>
        <v>261221.08447971777</v>
      </c>
      <c r="W1271" s="3">
        <f>+D.sign_Data[[#This Row],[COSTO 
DIRECTO ($COP)]]+D.sign_Data[[#This Row],[PRORRATEO GASTOS ($COP)]]</f>
        <v>523441.85057760135</v>
      </c>
      <c r="X1271" s="101">
        <v>0.15</v>
      </c>
      <c r="Y1271" s="15">
        <f>+D.sign_Data[[#This Row],[COSTOS OPERACIONALES ($COP)]]*D.sign_Data[[#This Row],[DESFASE (%)]]</f>
        <v>78516.277586640193</v>
      </c>
      <c r="Z1271" s="101">
        <v>0.3</v>
      </c>
      <c r="AA1271" s="15">
        <f>+((D.sign_Data[[#This Row],[COSTOS OPERACIONALES ($COP)]]/(100%-D.sign_Data[[#This Row],[UTILIDAD (%)]])))-D.sign_Data[[#This Row],[COSTOS OPERACIONALES ($COP)]]</f>
        <v>224332.22167611495</v>
      </c>
      <c r="AB1271" s="3">
        <f>+D.sign_Data[[#This Row],[COSTOS OPERACIONALES ($COP)]]+D.sign_Data[[#This Row],[DESFASE ($COP)]]+D.sign_Data[[#This Row],[UTILIDAD ($COP)]]</f>
        <v>826290.3498403565</v>
      </c>
      <c r="AC1271" s="101">
        <v>0.05</v>
      </c>
      <c r="AD1271" s="15">
        <f>+D.sign_Data[[#This Row],[VALOR NETO ($COP)]]/(100%-D.sign_Data[[#This Row],[MARGEN DE NEGOCIACIÓN (%)]])-D.sign_Data[[#This Row],[VALOR NETO ($COP)]]</f>
        <v>43488.965781071456</v>
      </c>
      <c r="AE1271" s="15">
        <f>+(D.sign_Data[[#This Row],[VALOR NETO ($COP)]]+D.sign_Data[[#This Row],[NEGOCIACIÓN ($COP)]])*1%</f>
        <v>8697.7931562142803</v>
      </c>
      <c r="AF1271" s="15">
        <f>+(D.sign_Data[[#This Row],[VALOR NETO ($COP)]]+D.sign_Data[[#This Row],[NEGOCIACIÓN ($COP)]])*1%</f>
        <v>8697.7931562142803</v>
      </c>
      <c r="AG1271" s="3">
        <f>+D.sign_Data[[#This Row],[VALOR NETO ($COP)]]+D.sign_Data[[#This Row],[NEGOCIACIÓN ($COP)]]+D.sign_Data[[#This Row],[ICA ($COP)]]+D.sign_Data[[#This Row],[4 * 1000 ($COP)]]</f>
        <v>887174.90193385654</v>
      </c>
    </row>
    <row r="1272" spans="1:33" ht="60" hidden="1" customHeight="1" x14ac:dyDescent="0.25">
      <c r="A1272" s="14"/>
      <c r="B1272" s="87" t="s">
        <v>442</v>
      </c>
      <c r="C1272" s="182" t="s">
        <v>1158</v>
      </c>
      <c r="D1272" s="189" t="str">
        <f>VLOOKUP(D.sign_Data[[#This Row],[CÓDIGO]],Descripciones[[CÓDIGO]:[NOMBRE DE SERVICIO]],3,FALSE)</f>
        <v>D6. Diseño Interior</v>
      </c>
      <c r="E1272" s="87" t="s">
        <v>1104</v>
      </c>
      <c r="F1272" s="88" t="s">
        <v>1159</v>
      </c>
      <c r="G1272" s="88" t="s">
        <v>536</v>
      </c>
      <c r="H1272" s="104" t="s">
        <v>552</v>
      </c>
      <c r="I1272" s="89">
        <v>1</v>
      </c>
      <c r="J1272" s="88" t="s">
        <v>541</v>
      </c>
      <c r="K1272" s="102"/>
      <c r="L1272" s="88" t="s">
        <v>561</v>
      </c>
      <c r="M1272" s="89" t="s">
        <v>381</v>
      </c>
      <c r="N1272" s="90">
        <v>3</v>
      </c>
      <c r="O1272" s="27">
        <f>IFERROR(+VLOOKUP(M1272,D.sign_Lista_Data[[RESPONSABLE]:[SOFTWARE 
VALOR HORA]],3,FALSE),"0")</f>
        <v>20263.424518743668</v>
      </c>
      <c r="P1272" s="3">
        <f t="shared" si="44"/>
        <v>60790.273556231004</v>
      </c>
      <c r="Q1272" s="11">
        <f>IFERROR(+VLOOKUP(M1272,D.sign_Lista_Data[[RESPONSABLE]:[SOFTWARE 
VALOR HORA]],5,FALSE)*D.sign_Data[[#This Row],[TIEMPO (HORAS)]],0)</f>
        <v>12664.64032421479</v>
      </c>
      <c r="R1272" s="11">
        <f>IFERROR(+VLOOKUP(M1272,D.sign_Lista_Data[[RESPONSABLE]:[SOFTWARE 
VALOR HORA]],8,FALSE)*D.sign_Data[[#This Row],[TIEMPO (HORAS)]],0)</f>
        <v>10232.56466143195</v>
      </c>
      <c r="S1272" s="99"/>
      <c r="T1272" s="99"/>
      <c r="U1272" s="3">
        <f t="shared" si="45"/>
        <v>83687.478541877746</v>
      </c>
      <c r="V1272" s="100">
        <f>D.sign_Data[[#This Row],[TIEMPO (HORAS)]]*Gastos_Operativos[[#Totals],[GASTOS HORA]]</f>
        <v>83368.431216931203</v>
      </c>
      <c r="W1272" s="3">
        <f>+D.sign_Data[[#This Row],[COSTO 
DIRECTO ($COP)]]+D.sign_Data[[#This Row],[PRORRATEO GASTOS ($COP)]]</f>
        <v>167055.90975880896</v>
      </c>
      <c r="X1272" s="101">
        <v>0.15</v>
      </c>
      <c r="Y1272" s="15">
        <f>+D.sign_Data[[#This Row],[COSTOS OPERACIONALES ($COP)]]*D.sign_Data[[#This Row],[DESFASE (%)]]</f>
        <v>25058.386463821345</v>
      </c>
      <c r="Z1272" s="101">
        <v>0.3</v>
      </c>
      <c r="AA1272" s="15">
        <f>+((D.sign_Data[[#This Row],[COSTOS OPERACIONALES ($COP)]]/(100%-D.sign_Data[[#This Row],[UTILIDAD (%)]])))-D.sign_Data[[#This Row],[COSTOS OPERACIONALES ($COP)]]</f>
        <v>71595.389896632434</v>
      </c>
      <c r="AB1272" s="3">
        <f>+D.sign_Data[[#This Row],[COSTOS OPERACIONALES ($COP)]]+D.sign_Data[[#This Row],[DESFASE ($COP)]]+D.sign_Data[[#This Row],[UTILIDAD ($COP)]]</f>
        <v>263709.68611926271</v>
      </c>
      <c r="AC1272" s="101">
        <v>0.05</v>
      </c>
      <c r="AD1272" s="15">
        <f>+D.sign_Data[[#This Row],[VALOR NETO ($COP)]]/(100%-D.sign_Data[[#This Row],[MARGEN DE NEGOCIACIÓN (%)]])-D.sign_Data[[#This Row],[VALOR NETO ($COP)]]</f>
        <v>13879.457164171734</v>
      </c>
      <c r="AE1272" s="15">
        <f>+(D.sign_Data[[#This Row],[VALOR NETO ($COP)]]+D.sign_Data[[#This Row],[NEGOCIACIÓN ($COP)]])*1%</f>
        <v>2775.8914328343444</v>
      </c>
      <c r="AF1272" s="15">
        <f>+(D.sign_Data[[#This Row],[VALOR NETO ($COP)]]+D.sign_Data[[#This Row],[NEGOCIACIÓN ($COP)]])*1%</f>
        <v>2775.8914328343444</v>
      </c>
      <c r="AG1272" s="3">
        <f>+D.sign_Data[[#This Row],[VALOR NETO ($COP)]]+D.sign_Data[[#This Row],[NEGOCIACIÓN ($COP)]]+D.sign_Data[[#This Row],[ICA ($COP)]]+D.sign_Data[[#This Row],[4 * 1000 ($COP)]]</f>
        <v>283140.92614910309</v>
      </c>
    </row>
    <row r="1273" spans="1:33" ht="60" hidden="1" customHeight="1" x14ac:dyDescent="0.25">
      <c r="A1273" s="14"/>
      <c r="B1273" s="87" t="s">
        <v>442</v>
      </c>
      <c r="C1273" s="182" t="s">
        <v>1165</v>
      </c>
      <c r="D1273" s="189" t="str">
        <f>VLOOKUP(D.sign_Data[[#This Row],[CÓDIGO]],Descripciones[[CÓDIGO]:[NOMBRE DE SERVICIO]],3,FALSE)</f>
        <v>D6. Diseño Interior</v>
      </c>
      <c r="E1273" s="87" t="s">
        <v>1104</v>
      </c>
      <c r="F1273" s="88" t="s">
        <v>1166</v>
      </c>
      <c r="G1273" s="88" t="s">
        <v>573</v>
      </c>
      <c r="H1273" s="104" t="s">
        <v>552</v>
      </c>
      <c r="I1273" s="89">
        <v>1</v>
      </c>
      <c r="J1273" s="88" t="s">
        <v>605</v>
      </c>
      <c r="K1273" s="102"/>
      <c r="L1273" s="88" t="s">
        <v>575</v>
      </c>
      <c r="M1273" s="89" t="s">
        <v>381</v>
      </c>
      <c r="N1273" s="90">
        <v>0.2</v>
      </c>
      <c r="O1273" s="27">
        <f>IFERROR(+VLOOKUP(M1273,D.sign_Lista_Data[[RESPONSABLE]:[SOFTWARE 
VALOR HORA]],3,FALSE),"0")</f>
        <v>20263.424518743668</v>
      </c>
      <c r="P1273" s="3">
        <f t="shared" si="44"/>
        <v>4052.6849037487336</v>
      </c>
      <c r="Q1273" s="11">
        <f>IFERROR(+VLOOKUP(M1273,D.sign_Lista_Data[[RESPONSABLE]:[SOFTWARE 
VALOR HORA]],5,FALSE)*D.sign_Data[[#This Row],[TIEMPO (HORAS)]],0)</f>
        <v>844.30935494765276</v>
      </c>
      <c r="R1273" s="11">
        <f>IFERROR(+VLOOKUP(M1273,D.sign_Lista_Data[[RESPONSABLE]:[SOFTWARE 
VALOR HORA]],8,FALSE)*D.sign_Data[[#This Row],[TIEMPO (HORAS)]],0)</f>
        <v>682.17097742879673</v>
      </c>
      <c r="S1273" s="99"/>
      <c r="T1273" s="99"/>
      <c r="U1273" s="3">
        <f t="shared" si="45"/>
        <v>5579.1652361251827</v>
      </c>
      <c r="V1273" s="100">
        <f>D.sign_Data[[#This Row],[TIEMPO (HORAS)]]*Gastos_Operativos[[#Totals],[GASTOS HORA]]</f>
        <v>5557.8954144620802</v>
      </c>
      <c r="W1273" s="3">
        <f>+D.sign_Data[[#This Row],[COSTO 
DIRECTO ($COP)]]+D.sign_Data[[#This Row],[PRORRATEO GASTOS ($COP)]]</f>
        <v>11137.060650587264</v>
      </c>
      <c r="X1273" s="101">
        <v>0.05</v>
      </c>
      <c r="Y1273" s="15">
        <f>+D.sign_Data[[#This Row],[COSTOS OPERACIONALES ($COP)]]*D.sign_Data[[#This Row],[DESFASE (%)]]</f>
        <v>556.85303252936319</v>
      </c>
      <c r="Z1273" s="101">
        <v>0.15</v>
      </c>
      <c r="AA1273" s="15">
        <f>+((D.sign_Data[[#This Row],[COSTOS OPERACIONALES ($COP)]]/(100%-D.sign_Data[[#This Row],[UTILIDAD (%)]])))-D.sign_Data[[#This Row],[COSTOS OPERACIONALES ($COP)]]</f>
        <v>1965.3636442212828</v>
      </c>
      <c r="AB1273" s="3">
        <f>+D.sign_Data[[#This Row],[COSTOS OPERACIONALES ($COP)]]+D.sign_Data[[#This Row],[DESFASE ($COP)]]+D.sign_Data[[#This Row],[UTILIDAD ($COP)]]</f>
        <v>13659.27732733791</v>
      </c>
      <c r="AC1273" s="101">
        <v>0.05</v>
      </c>
      <c r="AD1273" s="15">
        <f>+D.sign_Data[[#This Row],[VALOR NETO ($COP)]]/(100%-D.sign_Data[[#This Row],[MARGEN DE NEGOCIACIÓN (%)]])-D.sign_Data[[#This Row],[VALOR NETO ($COP)]]</f>
        <v>718.90933301778568</v>
      </c>
      <c r="AE1273" s="15">
        <f>+(D.sign_Data[[#This Row],[VALOR NETO ($COP)]]+D.sign_Data[[#This Row],[NEGOCIACIÓN ($COP)]])*1%</f>
        <v>143.78186660355695</v>
      </c>
      <c r="AF1273" s="15">
        <f>+(D.sign_Data[[#This Row],[VALOR NETO ($COP)]]+D.sign_Data[[#This Row],[NEGOCIACIÓN ($COP)]])*1%</f>
        <v>143.78186660355695</v>
      </c>
      <c r="AG1273" s="3">
        <f>+D.sign_Data[[#This Row],[VALOR NETO ($COP)]]+D.sign_Data[[#This Row],[NEGOCIACIÓN ($COP)]]+D.sign_Data[[#This Row],[ICA ($COP)]]+D.sign_Data[[#This Row],[4 * 1000 ($COP)]]</f>
        <v>14665.750393562808</v>
      </c>
    </row>
    <row r="1274" spans="1:33" ht="60" hidden="1" customHeight="1" x14ac:dyDescent="0.25">
      <c r="A1274" s="14"/>
      <c r="B1274" s="87" t="s">
        <v>442</v>
      </c>
      <c r="C1274" s="182" t="s">
        <v>1165</v>
      </c>
      <c r="D1274" s="189" t="str">
        <f>VLOOKUP(D.sign_Data[[#This Row],[CÓDIGO]],Descripciones[[CÓDIGO]:[NOMBRE DE SERVICIO]],3,FALSE)</f>
        <v>D6. Diseño Interior</v>
      </c>
      <c r="E1274" s="87" t="s">
        <v>1104</v>
      </c>
      <c r="F1274" s="88" t="s">
        <v>1166</v>
      </c>
      <c r="G1274" s="88" t="s">
        <v>573</v>
      </c>
      <c r="H1274" s="104" t="s">
        <v>552</v>
      </c>
      <c r="I1274" s="89">
        <v>1</v>
      </c>
      <c r="J1274" s="88" t="s">
        <v>605</v>
      </c>
      <c r="K1274" s="102"/>
      <c r="L1274" s="88" t="s">
        <v>576</v>
      </c>
      <c r="M1274" s="89" t="s">
        <v>381</v>
      </c>
      <c r="N1274" s="90">
        <v>5</v>
      </c>
      <c r="O1274" s="27">
        <f>IFERROR(+VLOOKUP(M1274,D.sign_Lista_Data[[RESPONSABLE]:[SOFTWARE 
VALOR HORA]],3,FALSE),"0")</f>
        <v>20263.424518743668</v>
      </c>
      <c r="P1274" s="3">
        <f t="shared" si="44"/>
        <v>101317.12259371835</v>
      </c>
      <c r="Q1274" s="11">
        <f>IFERROR(+VLOOKUP(M1274,D.sign_Lista_Data[[RESPONSABLE]:[SOFTWARE 
VALOR HORA]],5,FALSE)*D.sign_Data[[#This Row],[TIEMPO (HORAS)]],0)</f>
        <v>21107.733873691319</v>
      </c>
      <c r="R1274" s="11">
        <f>IFERROR(+VLOOKUP(M1274,D.sign_Lista_Data[[RESPONSABLE]:[SOFTWARE 
VALOR HORA]],8,FALSE)*D.sign_Data[[#This Row],[TIEMPO (HORAS)]],0)</f>
        <v>17054.274435719919</v>
      </c>
      <c r="S1274" s="99"/>
      <c r="T1274" s="99"/>
      <c r="U1274" s="3">
        <f t="shared" si="45"/>
        <v>139479.13090312958</v>
      </c>
      <c r="V1274" s="100">
        <f>D.sign_Data[[#This Row],[TIEMPO (HORAS)]]*Gastos_Operativos[[#Totals],[GASTOS HORA]]</f>
        <v>138947.38536155201</v>
      </c>
      <c r="W1274" s="3">
        <f>+D.sign_Data[[#This Row],[COSTO 
DIRECTO ($COP)]]+D.sign_Data[[#This Row],[PRORRATEO GASTOS ($COP)]]</f>
        <v>278426.51626468159</v>
      </c>
      <c r="X1274" s="101">
        <v>0.05</v>
      </c>
      <c r="Y1274" s="15">
        <f>+D.sign_Data[[#This Row],[COSTOS OPERACIONALES ($COP)]]*D.sign_Data[[#This Row],[DESFASE (%)]]</f>
        <v>13921.32581323408</v>
      </c>
      <c r="Z1274" s="101">
        <v>0.15</v>
      </c>
      <c r="AA1274" s="15">
        <f>+((D.sign_Data[[#This Row],[COSTOS OPERACIONALES ($COP)]]/(100%-D.sign_Data[[#This Row],[UTILIDAD (%)]])))-D.sign_Data[[#This Row],[COSTOS OPERACIONALES ($COP)]]</f>
        <v>49134.091105532076</v>
      </c>
      <c r="AB1274" s="3">
        <f>+D.sign_Data[[#This Row],[COSTOS OPERACIONALES ($COP)]]+D.sign_Data[[#This Row],[DESFASE ($COP)]]+D.sign_Data[[#This Row],[UTILIDAD ($COP)]]</f>
        <v>341481.93318344775</v>
      </c>
      <c r="AC1274" s="101">
        <v>0.05</v>
      </c>
      <c r="AD1274" s="15">
        <f>+D.sign_Data[[#This Row],[VALOR NETO ($COP)]]/(100%-D.sign_Data[[#This Row],[MARGEN DE NEGOCIACIÓN (%)]])-D.sign_Data[[#This Row],[VALOR NETO ($COP)]]</f>
        <v>17972.733325444628</v>
      </c>
      <c r="AE1274" s="15">
        <f>+(D.sign_Data[[#This Row],[VALOR NETO ($COP)]]+D.sign_Data[[#This Row],[NEGOCIACIÓN ($COP)]])*1%</f>
        <v>3594.5466650889239</v>
      </c>
      <c r="AF1274" s="15">
        <f>+(D.sign_Data[[#This Row],[VALOR NETO ($COP)]]+D.sign_Data[[#This Row],[NEGOCIACIÓN ($COP)]])*1%</f>
        <v>3594.5466650889239</v>
      </c>
      <c r="AG1274" s="3">
        <f>+D.sign_Data[[#This Row],[VALOR NETO ($COP)]]+D.sign_Data[[#This Row],[NEGOCIACIÓN ($COP)]]+D.sign_Data[[#This Row],[ICA ($COP)]]+D.sign_Data[[#This Row],[4 * 1000 ($COP)]]</f>
        <v>366643.7598390702</v>
      </c>
    </row>
    <row r="1275" spans="1:33" ht="60" hidden="1" customHeight="1" x14ac:dyDescent="0.25">
      <c r="A1275" s="14"/>
      <c r="B1275" s="87" t="s">
        <v>442</v>
      </c>
      <c r="C1275" s="182" t="s">
        <v>1165</v>
      </c>
      <c r="D1275" s="189" t="str">
        <f>VLOOKUP(D.sign_Data[[#This Row],[CÓDIGO]],Descripciones[[CÓDIGO]:[NOMBRE DE SERVICIO]],3,FALSE)</f>
        <v>D6. Diseño Interior</v>
      </c>
      <c r="E1275" s="87" t="s">
        <v>1104</v>
      </c>
      <c r="F1275" s="88" t="s">
        <v>1166</v>
      </c>
      <c r="G1275" s="88" t="s">
        <v>573</v>
      </c>
      <c r="H1275" s="104" t="s">
        <v>552</v>
      </c>
      <c r="I1275" s="89">
        <v>1</v>
      </c>
      <c r="J1275" s="88" t="s">
        <v>605</v>
      </c>
      <c r="K1275" s="102"/>
      <c r="L1275" s="88" t="s">
        <v>577</v>
      </c>
      <c r="M1275" s="89" t="s">
        <v>381</v>
      </c>
      <c r="N1275" s="90">
        <v>1</v>
      </c>
      <c r="O1275" s="27">
        <f>IFERROR(+VLOOKUP(M1275,D.sign_Lista_Data[[RESPONSABLE]:[SOFTWARE 
VALOR HORA]],3,FALSE),"0")</f>
        <v>20263.424518743668</v>
      </c>
      <c r="P1275" s="3">
        <f t="shared" ref="P1275:P1338" si="48">+O1275*N1275</f>
        <v>20263.424518743668</v>
      </c>
      <c r="Q1275" s="11">
        <f>IFERROR(+VLOOKUP(M1275,D.sign_Lista_Data[[RESPONSABLE]:[SOFTWARE 
VALOR HORA]],5,FALSE)*D.sign_Data[[#This Row],[TIEMPO (HORAS)]],0)</f>
        <v>4221.5467747382636</v>
      </c>
      <c r="R1275" s="11">
        <f>IFERROR(+VLOOKUP(M1275,D.sign_Lista_Data[[RESPONSABLE]:[SOFTWARE 
VALOR HORA]],8,FALSE)*D.sign_Data[[#This Row],[TIEMPO (HORAS)]],0)</f>
        <v>3410.8548871439834</v>
      </c>
      <c r="S1275" s="99"/>
      <c r="T1275" s="99"/>
      <c r="U1275" s="3">
        <f t="shared" ref="U1275:U1338" si="49">SUM(P1275:T1275)</f>
        <v>27895.826180625918</v>
      </c>
      <c r="V1275" s="100">
        <f>D.sign_Data[[#This Row],[TIEMPO (HORAS)]]*Gastos_Operativos[[#Totals],[GASTOS HORA]]</f>
        <v>27789.477072310401</v>
      </c>
      <c r="W1275" s="3">
        <f>+D.sign_Data[[#This Row],[COSTO 
DIRECTO ($COP)]]+D.sign_Data[[#This Row],[PRORRATEO GASTOS ($COP)]]</f>
        <v>55685.303252936319</v>
      </c>
      <c r="X1275" s="101">
        <v>0.05</v>
      </c>
      <c r="Y1275" s="15">
        <f>+D.sign_Data[[#This Row],[COSTOS OPERACIONALES ($COP)]]*D.sign_Data[[#This Row],[DESFASE (%)]]</f>
        <v>2784.265162646816</v>
      </c>
      <c r="Z1275" s="101">
        <v>0.15</v>
      </c>
      <c r="AA1275" s="15">
        <f>+((D.sign_Data[[#This Row],[COSTOS OPERACIONALES ($COP)]]/(100%-D.sign_Data[[#This Row],[UTILIDAD (%)]])))-D.sign_Data[[#This Row],[COSTOS OPERACIONALES ($COP)]]</f>
        <v>9826.8182211064122</v>
      </c>
      <c r="AB1275" s="3">
        <f>+D.sign_Data[[#This Row],[COSTOS OPERACIONALES ($COP)]]+D.sign_Data[[#This Row],[DESFASE ($COP)]]+D.sign_Data[[#This Row],[UTILIDAD ($COP)]]</f>
        <v>68296.386636689538</v>
      </c>
      <c r="AC1275" s="101">
        <v>0.05</v>
      </c>
      <c r="AD1275" s="15">
        <f>+D.sign_Data[[#This Row],[VALOR NETO ($COP)]]/(100%-D.sign_Data[[#This Row],[MARGEN DE NEGOCIACIÓN (%)]])-D.sign_Data[[#This Row],[VALOR NETO ($COP)]]</f>
        <v>3594.5466650889284</v>
      </c>
      <c r="AE1275" s="15">
        <f>+(D.sign_Data[[#This Row],[VALOR NETO ($COP)]]+D.sign_Data[[#This Row],[NEGOCIACIÓN ($COP)]])*1%</f>
        <v>718.90933301778466</v>
      </c>
      <c r="AF1275" s="15">
        <f>+(D.sign_Data[[#This Row],[VALOR NETO ($COP)]]+D.sign_Data[[#This Row],[NEGOCIACIÓN ($COP)]])*1%</f>
        <v>718.90933301778466</v>
      </c>
      <c r="AG1275" s="3">
        <f>+D.sign_Data[[#This Row],[VALOR NETO ($COP)]]+D.sign_Data[[#This Row],[NEGOCIACIÓN ($COP)]]+D.sign_Data[[#This Row],[ICA ($COP)]]+D.sign_Data[[#This Row],[4 * 1000 ($COP)]]</f>
        <v>73328.751967814038</v>
      </c>
    </row>
    <row r="1276" spans="1:33" ht="60" hidden="1" customHeight="1" x14ac:dyDescent="0.25">
      <c r="A1276" s="14"/>
      <c r="B1276" s="87" t="s">
        <v>442</v>
      </c>
      <c r="C1276" s="182" t="s">
        <v>1165</v>
      </c>
      <c r="D1276" s="189" t="str">
        <f>VLOOKUP(D.sign_Data[[#This Row],[CÓDIGO]],Descripciones[[CÓDIGO]:[NOMBRE DE SERVICIO]],3,FALSE)</f>
        <v>D6. Diseño Interior</v>
      </c>
      <c r="E1276" s="87" t="s">
        <v>1104</v>
      </c>
      <c r="F1276" s="88" t="s">
        <v>1166</v>
      </c>
      <c r="G1276" s="88" t="s">
        <v>573</v>
      </c>
      <c r="H1276" s="104" t="s">
        <v>552</v>
      </c>
      <c r="I1276" s="89">
        <v>1</v>
      </c>
      <c r="J1276" s="88" t="s">
        <v>605</v>
      </c>
      <c r="K1276" s="102"/>
      <c r="L1276" s="88" t="s">
        <v>606</v>
      </c>
      <c r="M1276" s="89" t="s">
        <v>381</v>
      </c>
      <c r="N1276" s="90">
        <v>1</v>
      </c>
      <c r="O1276" s="27">
        <f>IFERROR(+VLOOKUP(M1276,D.sign_Lista_Data[[RESPONSABLE]:[SOFTWARE 
VALOR HORA]],3,FALSE),"0")</f>
        <v>20263.424518743668</v>
      </c>
      <c r="P1276" s="3">
        <f t="shared" si="48"/>
        <v>20263.424518743668</v>
      </c>
      <c r="Q1276" s="11">
        <f>IFERROR(+VLOOKUP(M1276,D.sign_Lista_Data[[RESPONSABLE]:[SOFTWARE 
VALOR HORA]],5,FALSE)*D.sign_Data[[#This Row],[TIEMPO (HORAS)]],0)</f>
        <v>4221.5467747382636</v>
      </c>
      <c r="R1276" s="11">
        <f>IFERROR(+VLOOKUP(M1276,D.sign_Lista_Data[[RESPONSABLE]:[SOFTWARE 
VALOR HORA]],8,FALSE)*D.sign_Data[[#This Row],[TIEMPO (HORAS)]],0)</f>
        <v>3410.8548871439834</v>
      </c>
      <c r="S1276" s="99"/>
      <c r="T1276" s="99"/>
      <c r="U1276" s="3">
        <f t="shared" si="49"/>
        <v>27895.826180625918</v>
      </c>
      <c r="V1276" s="100">
        <f>D.sign_Data[[#This Row],[TIEMPO (HORAS)]]*Gastos_Operativos[[#Totals],[GASTOS HORA]]</f>
        <v>27789.477072310401</v>
      </c>
      <c r="W1276" s="3">
        <f>+D.sign_Data[[#This Row],[COSTO 
DIRECTO ($COP)]]+D.sign_Data[[#This Row],[PRORRATEO GASTOS ($COP)]]</f>
        <v>55685.303252936319</v>
      </c>
      <c r="X1276" s="101">
        <v>0.05</v>
      </c>
      <c r="Y1276" s="15">
        <f>+D.sign_Data[[#This Row],[COSTOS OPERACIONALES ($COP)]]*D.sign_Data[[#This Row],[DESFASE (%)]]</f>
        <v>2784.265162646816</v>
      </c>
      <c r="Z1276" s="101">
        <v>0.15</v>
      </c>
      <c r="AA1276" s="15">
        <f>+((D.sign_Data[[#This Row],[COSTOS OPERACIONALES ($COP)]]/(100%-D.sign_Data[[#This Row],[UTILIDAD (%)]])))-D.sign_Data[[#This Row],[COSTOS OPERACIONALES ($COP)]]</f>
        <v>9826.8182211064122</v>
      </c>
      <c r="AB1276" s="3">
        <f>+D.sign_Data[[#This Row],[COSTOS OPERACIONALES ($COP)]]+D.sign_Data[[#This Row],[DESFASE ($COP)]]+D.sign_Data[[#This Row],[UTILIDAD ($COP)]]</f>
        <v>68296.386636689538</v>
      </c>
      <c r="AC1276" s="101">
        <v>0.05</v>
      </c>
      <c r="AD1276" s="15">
        <f>+D.sign_Data[[#This Row],[VALOR NETO ($COP)]]/(100%-D.sign_Data[[#This Row],[MARGEN DE NEGOCIACIÓN (%)]])-D.sign_Data[[#This Row],[VALOR NETO ($COP)]]</f>
        <v>3594.5466650889284</v>
      </c>
      <c r="AE1276" s="15">
        <f>+(D.sign_Data[[#This Row],[VALOR NETO ($COP)]]+D.sign_Data[[#This Row],[NEGOCIACIÓN ($COP)]])*1%</f>
        <v>718.90933301778466</v>
      </c>
      <c r="AF1276" s="15">
        <f>+(D.sign_Data[[#This Row],[VALOR NETO ($COP)]]+D.sign_Data[[#This Row],[NEGOCIACIÓN ($COP)]])*1%</f>
        <v>718.90933301778466</v>
      </c>
      <c r="AG1276" s="3">
        <f>+D.sign_Data[[#This Row],[VALOR NETO ($COP)]]+D.sign_Data[[#This Row],[NEGOCIACIÓN ($COP)]]+D.sign_Data[[#This Row],[ICA ($COP)]]+D.sign_Data[[#This Row],[4 * 1000 ($COP)]]</f>
        <v>73328.751967814038</v>
      </c>
    </row>
    <row r="1277" spans="1:33" ht="60" hidden="1" customHeight="1" x14ac:dyDescent="0.25">
      <c r="A1277" s="14"/>
      <c r="B1277" s="87" t="s">
        <v>442</v>
      </c>
      <c r="C1277" s="182" t="s">
        <v>1165</v>
      </c>
      <c r="D1277" s="189" t="str">
        <f>VLOOKUP(D.sign_Data[[#This Row],[CÓDIGO]],Descripciones[[CÓDIGO]:[NOMBRE DE SERVICIO]],3,FALSE)</f>
        <v>D6. Diseño Interior</v>
      </c>
      <c r="E1277" s="87" t="s">
        <v>1104</v>
      </c>
      <c r="F1277" s="88" t="s">
        <v>1166</v>
      </c>
      <c r="G1277" s="88" t="s">
        <v>573</v>
      </c>
      <c r="H1277" s="104" t="s">
        <v>552</v>
      </c>
      <c r="I1277" s="89">
        <v>1</v>
      </c>
      <c r="J1277" s="88" t="s">
        <v>605</v>
      </c>
      <c r="K1277" s="102"/>
      <c r="L1277" s="88" t="s">
        <v>579</v>
      </c>
      <c r="M1277" s="89" t="s">
        <v>381</v>
      </c>
      <c r="N1277" s="90">
        <v>1</v>
      </c>
      <c r="O1277" s="27">
        <f>IFERROR(+VLOOKUP(M1277,D.sign_Lista_Data[[RESPONSABLE]:[SOFTWARE 
VALOR HORA]],3,FALSE),"0")</f>
        <v>20263.424518743668</v>
      </c>
      <c r="P1277" s="3">
        <f t="shared" si="48"/>
        <v>20263.424518743668</v>
      </c>
      <c r="Q1277" s="11">
        <f>IFERROR(+VLOOKUP(M1277,D.sign_Lista_Data[[RESPONSABLE]:[SOFTWARE 
VALOR HORA]],5,FALSE)*D.sign_Data[[#This Row],[TIEMPO (HORAS)]],0)</f>
        <v>4221.5467747382636</v>
      </c>
      <c r="R1277" s="11">
        <f>IFERROR(+VLOOKUP(M1277,D.sign_Lista_Data[[RESPONSABLE]:[SOFTWARE 
VALOR HORA]],8,FALSE)*D.sign_Data[[#This Row],[TIEMPO (HORAS)]],0)</f>
        <v>3410.8548871439834</v>
      </c>
      <c r="S1277" s="99"/>
      <c r="T1277" s="99"/>
      <c r="U1277" s="3">
        <f t="shared" si="49"/>
        <v>27895.826180625918</v>
      </c>
      <c r="V1277" s="100">
        <f>D.sign_Data[[#This Row],[TIEMPO (HORAS)]]*Gastos_Operativos[[#Totals],[GASTOS HORA]]</f>
        <v>27789.477072310401</v>
      </c>
      <c r="W1277" s="3">
        <f>+D.sign_Data[[#This Row],[COSTO 
DIRECTO ($COP)]]+D.sign_Data[[#This Row],[PRORRATEO GASTOS ($COP)]]</f>
        <v>55685.303252936319</v>
      </c>
      <c r="X1277" s="101">
        <v>0.05</v>
      </c>
      <c r="Y1277" s="15">
        <f>+D.sign_Data[[#This Row],[COSTOS OPERACIONALES ($COP)]]*D.sign_Data[[#This Row],[DESFASE (%)]]</f>
        <v>2784.265162646816</v>
      </c>
      <c r="Z1277" s="101">
        <v>0.15</v>
      </c>
      <c r="AA1277" s="15">
        <f>+((D.sign_Data[[#This Row],[COSTOS OPERACIONALES ($COP)]]/(100%-D.sign_Data[[#This Row],[UTILIDAD (%)]])))-D.sign_Data[[#This Row],[COSTOS OPERACIONALES ($COP)]]</f>
        <v>9826.8182211064122</v>
      </c>
      <c r="AB1277" s="3">
        <f>+D.sign_Data[[#This Row],[COSTOS OPERACIONALES ($COP)]]+D.sign_Data[[#This Row],[DESFASE ($COP)]]+D.sign_Data[[#This Row],[UTILIDAD ($COP)]]</f>
        <v>68296.386636689538</v>
      </c>
      <c r="AC1277" s="101">
        <v>0.05</v>
      </c>
      <c r="AD1277" s="15">
        <f>+D.sign_Data[[#This Row],[VALOR NETO ($COP)]]/(100%-D.sign_Data[[#This Row],[MARGEN DE NEGOCIACIÓN (%)]])-D.sign_Data[[#This Row],[VALOR NETO ($COP)]]</f>
        <v>3594.5466650889284</v>
      </c>
      <c r="AE1277" s="15">
        <f>+(D.sign_Data[[#This Row],[VALOR NETO ($COP)]]+D.sign_Data[[#This Row],[NEGOCIACIÓN ($COP)]])*1%</f>
        <v>718.90933301778466</v>
      </c>
      <c r="AF1277" s="15">
        <f>+(D.sign_Data[[#This Row],[VALOR NETO ($COP)]]+D.sign_Data[[#This Row],[NEGOCIACIÓN ($COP)]])*1%</f>
        <v>718.90933301778466</v>
      </c>
      <c r="AG1277" s="3">
        <f>+D.sign_Data[[#This Row],[VALOR NETO ($COP)]]+D.sign_Data[[#This Row],[NEGOCIACIÓN ($COP)]]+D.sign_Data[[#This Row],[ICA ($COP)]]+D.sign_Data[[#This Row],[4 * 1000 ($COP)]]</f>
        <v>73328.751967814038</v>
      </c>
    </row>
    <row r="1278" spans="1:33" ht="60" hidden="1" customHeight="1" x14ac:dyDescent="0.25">
      <c r="A1278" s="14"/>
      <c r="B1278" s="87" t="s">
        <v>442</v>
      </c>
      <c r="C1278" s="182" t="s">
        <v>1165</v>
      </c>
      <c r="D1278" s="189" t="str">
        <f>VLOOKUP(D.sign_Data[[#This Row],[CÓDIGO]],Descripciones[[CÓDIGO]:[NOMBRE DE SERVICIO]],3,FALSE)</f>
        <v>D6. Diseño Interior</v>
      </c>
      <c r="E1278" s="87" t="s">
        <v>1104</v>
      </c>
      <c r="F1278" s="88" t="s">
        <v>1166</v>
      </c>
      <c r="G1278" s="88" t="s">
        <v>573</v>
      </c>
      <c r="H1278" s="104" t="s">
        <v>552</v>
      </c>
      <c r="I1278" s="89">
        <v>1</v>
      </c>
      <c r="J1278" s="88" t="s">
        <v>605</v>
      </c>
      <c r="K1278" s="102"/>
      <c r="L1278" s="88" t="s">
        <v>570</v>
      </c>
      <c r="M1278" s="89" t="s">
        <v>381</v>
      </c>
      <c r="N1278" s="90">
        <v>0.6</v>
      </c>
      <c r="O1278" s="27">
        <f>IFERROR(+VLOOKUP(M1278,D.sign_Lista_Data[[RESPONSABLE]:[SOFTWARE 
VALOR HORA]],3,FALSE),"0")</f>
        <v>20263.424518743668</v>
      </c>
      <c r="P1278" s="3">
        <f t="shared" si="48"/>
        <v>12158.054711246201</v>
      </c>
      <c r="Q1278" s="11">
        <f>IFERROR(+VLOOKUP(M1278,D.sign_Lista_Data[[RESPONSABLE]:[SOFTWARE 
VALOR HORA]],5,FALSE)*D.sign_Data[[#This Row],[TIEMPO (HORAS)]],0)</f>
        <v>2532.9280648429581</v>
      </c>
      <c r="R1278" s="11">
        <f>IFERROR(+VLOOKUP(M1278,D.sign_Lista_Data[[RESPONSABLE]:[SOFTWARE 
VALOR HORA]],8,FALSE)*D.sign_Data[[#This Row],[TIEMPO (HORAS)]],0)</f>
        <v>2046.51293228639</v>
      </c>
      <c r="S1278" s="99"/>
      <c r="T1278" s="99"/>
      <c r="U1278" s="3">
        <f t="shared" si="49"/>
        <v>16737.495708375547</v>
      </c>
      <c r="V1278" s="100">
        <f>D.sign_Data[[#This Row],[TIEMPO (HORAS)]]*Gastos_Operativos[[#Totals],[GASTOS HORA]]</f>
        <v>16673.686243386241</v>
      </c>
      <c r="W1278" s="3">
        <f>+D.sign_Data[[#This Row],[COSTO 
DIRECTO ($COP)]]+D.sign_Data[[#This Row],[PRORRATEO GASTOS ($COP)]]</f>
        <v>33411.181951761784</v>
      </c>
      <c r="X1278" s="101">
        <v>0.05</v>
      </c>
      <c r="Y1278" s="15">
        <f>+D.sign_Data[[#This Row],[COSTOS OPERACIONALES ($COP)]]*D.sign_Data[[#This Row],[DESFASE (%)]]</f>
        <v>1670.5590975880893</v>
      </c>
      <c r="Z1278" s="101">
        <v>0.15</v>
      </c>
      <c r="AA1278" s="15">
        <f>+((D.sign_Data[[#This Row],[COSTOS OPERACIONALES ($COP)]]/(100%-D.sign_Data[[#This Row],[UTILIDAD (%)]])))-D.sign_Data[[#This Row],[COSTOS OPERACIONALES ($COP)]]</f>
        <v>5896.090932663843</v>
      </c>
      <c r="AB1278" s="3">
        <f>+D.sign_Data[[#This Row],[COSTOS OPERACIONALES ($COP)]]+D.sign_Data[[#This Row],[DESFASE ($COP)]]+D.sign_Data[[#This Row],[UTILIDAD ($COP)]]</f>
        <v>40977.831982013719</v>
      </c>
      <c r="AC1278" s="101">
        <v>0.05</v>
      </c>
      <c r="AD1278" s="15">
        <f>+D.sign_Data[[#This Row],[VALOR NETO ($COP)]]/(100%-D.sign_Data[[#This Row],[MARGEN DE NEGOCIACIÓN (%)]])-D.sign_Data[[#This Row],[VALOR NETO ($COP)]]</f>
        <v>2156.7279990533571</v>
      </c>
      <c r="AE1278" s="15">
        <f>+(D.sign_Data[[#This Row],[VALOR NETO ($COP)]]+D.sign_Data[[#This Row],[NEGOCIACIÓN ($COP)]])*1%</f>
        <v>431.34559981067076</v>
      </c>
      <c r="AF1278" s="15">
        <f>+(D.sign_Data[[#This Row],[VALOR NETO ($COP)]]+D.sign_Data[[#This Row],[NEGOCIACIÓN ($COP)]])*1%</f>
        <v>431.34559981067076</v>
      </c>
      <c r="AG1278" s="3">
        <f>+D.sign_Data[[#This Row],[VALOR NETO ($COP)]]+D.sign_Data[[#This Row],[NEGOCIACIÓN ($COP)]]+D.sign_Data[[#This Row],[ICA ($COP)]]+D.sign_Data[[#This Row],[4 * 1000 ($COP)]]</f>
        <v>43997.251180688421</v>
      </c>
    </row>
    <row r="1279" spans="1:33" ht="60" hidden="1" customHeight="1" x14ac:dyDescent="0.25">
      <c r="A1279" s="14"/>
      <c r="B1279" s="87" t="s">
        <v>442</v>
      </c>
      <c r="C1279" s="182" t="s">
        <v>1165</v>
      </c>
      <c r="D1279" s="189" t="str">
        <f>VLOOKUP(D.sign_Data[[#This Row],[CÓDIGO]],Descripciones[[CÓDIGO]:[NOMBRE DE SERVICIO]],3,FALSE)</f>
        <v>D6. Diseño Interior</v>
      </c>
      <c r="E1279" s="87" t="s">
        <v>1104</v>
      </c>
      <c r="F1279" s="88" t="s">
        <v>1166</v>
      </c>
      <c r="G1279" s="88" t="s">
        <v>573</v>
      </c>
      <c r="H1279" s="104" t="s">
        <v>552</v>
      </c>
      <c r="I1279" s="89">
        <v>1</v>
      </c>
      <c r="J1279" s="88" t="s">
        <v>605</v>
      </c>
      <c r="K1279" s="102"/>
      <c r="L1279" s="88" t="s">
        <v>483</v>
      </c>
      <c r="M1279" s="89" t="s">
        <v>381</v>
      </c>
      <c r="N1279" s="90">
        <v>0.1</v>
      </c>
      <c r="O1279" s="27">
        <f>IFERROR(+VLOOKUP(M1279,D.sign_Lista_Data[[RESPONSABLE]:[SOFTWARE 
VALOR HORA]],3,FALSE),"0")</f>
        <v>20263.424518743668</v>
      </c>
      <c r="P1279" s="3">
        <f t="shared" si="48"/>
        <v>2026.3424518743668</v>
      </c>
      <c r="Q1279" s="11">
        <f>IFERROR(+VLOOKUP(M1279,D.sign_Lista_Data[[RESPONSABLE]:[SOFTWARE 
VALOR HORA]],5,FALSE)*D.sign_Data[[#This Row],[TIEMPO (HORAS)]],0)</f>
        <v>422.15467747382638</v>
      </c>
      <c r="R1279" s="11">
        <f>IFERROR(+VLOOKUP(M1279,D.sign_Lista_Data[[RESPONSABLE]:[SOFTWARE 
VALOR HORA]],8,FALSE)*D.sign_Data[[#This Row],[TIEMPO (HORAS)]],0)</f>
        <v>341.08548871439837</v>
      </c>
      <c r="S1279" s="99"/>
      <c r="T1279" s="99"/>
      <c r="U1279" s="3">
        <f t="shared" si="49"/>
        <v>2789.5826180625913</v>
      </c>
      <c r="V1279" s="100">
        <f>D.sign_Data[[#This Row],[TIEMPO (HORAS)]]*Gastos_Operativos[[#Totals],[GASTOS HORA]]</f>
        <v>2778.9477072310401</v>
      </c>
      <c r="W1279" s="3">
        <f>+D.sign_Data[[#This Row],[COSTO 
DIRECTO ($COP)]]+D.sign_Data[[#This Row],[PRORRATEO GASTOS ($COP)]]</f>
        <v>5568.5303252936319</v>
      </c>
      <c r="X1279" s="101">
        <v>0.05</v>
      </c>
      <c r="Y1279" s="15">
        <f>+D.sign_Data[[#This Row],[COSTOS OPERACIONALES ($COP)]]*D.sign_Data[[#This Row],[DESFASE (%)]]</f>
        <v>278.4265162646816</v>
      </c>
      <c r="Z1279" s="101">
        <v>0.15</v>
      </c>
      <c r="AA1279" s="15">
        <f>+((D.sign_Data[[#This Row],[COSTOS OPERACIONALES ($COP)]]/(100%-D.sign_Data[[#This Row],[UTILIDAD (%)]])))-D.sign_Data[[#This Row],[COSTOS OPERACIONALES ($COP)]]</f>
        <v>982.68182211064141</v>
      </c>
      <c r="AB1279" s="3">
        <f>+D.sign_Data[[#This Row],[COSTOS OPERACIONALES ($COP)]]+D.sign_Data[[#This Row],[DESFASE ($COP)]]+D.sign_Data[[#This Row],[UTILIDAD ($COP)]]</f>
        <v>6829.6386636689549</v>
      </c>
      <c r="AC1279" s="101">
        <v>0.05</v>
      </c>
      <c r="AD1279" s="15">
        <f>+D.sign_Data[[#This Row],[VALOR NETO ($COP)]]/(100%-D.sign_Data[[#This Row],[MARGEN DE NEGOCIACIÓN (%)]])-D.sign_Data[[#This Row],[VALOR NETO ($COP)]]</f>
        <v>359.45466650889284</v>
      </c>
      <c r="AE1279" s="15">
        <f>+(D.sign_Data[[#This Row],[VALOR NETO ($COP)]]+D.sign_Data[[#This Row],[NEGOCIACIÓN ($COP)]])*1%</f>
        <v>71.890933301778475</v>
      </c>
      <c r="AF1279" s="15">
        <f>+(D.sign_Data[[#This Row],[VALOR NETO ($COP)]]+D.sign_Data[[#This Row],[NEGOCIACIÓN ($COP)]])*1%</f>
        <v>71.890933301778475</v>
      </c>
      <c r="AG1279" s="3">
        <f>+D.sign_Data[[#This Row],[VALOR NETO ($COP)]]+D.sign_Data[[#This Row],[NEGOCIACIÓN ($COP)]]+D.sign_Data[[#This Row],[ICA ($COP)]]+D.sign_Data[[#This Row],[4 * 1000 ($COP)]]</f>
        <v>7332.8751967814042</v>
      </c>
    </row>
    <row r="1280" spans="1:33" ht="60" hidden="1" customHeight="1" x14ac:dyDescent="0.25">
      <c r="A1280" s="14"/>
      <c r="B1280" s="87" t="s">
        <v>442</v>
      </c>
      <c r="C1280" s="182" t="s">
        <v>1165</v>
      </c>
      <c r="D1280" s="189" t="str">
        <f>VLOOKUP(D.sign_Data[[#This Row],[CÓDIGO]],Descripciones[[CÓDIGO]:[NOMBRE DE SERVICIO]],3,FALSE)</f>
        <v>D6. Diseño Interior</v>
      </c>
      <c r="E1280" s="87" t="s">
        <v>1104</v>
      </c>
      <c r="F1280" s="88" t="s">
        <v>1166</v>
      </c>
      <c r="G1280" s="88" t="s">
        <v>573</v>
      </c>
      <c r="H1280" s="104" t="s">
        <v>552</v>
      </c>
      <c r="I1280" s="89">
        <v>1</v>
      </c>
      <c r="J1280" s="88" t="s">
        <v>605</v>
      </c>
      <c r="K1280" s="102"/>
      <c r="L1280" s="88" t="s">
        <v>572</v>
      </c>
      <c r="M1280" s="89" t="s">
        <v>381</v>
      </c>
      <c r="N1280" s="90">
        <v>0.1</v>
      </c>
      <c r="O1280" s="27">
        <f>IFERROR(+VLOOKUP(M1280,D.sign_Lista_Data[[RESPONSABLE]:[SOFTWARE 
VALOR HORA]],3,FALSE),"0")</f>
        <v>20263.424518743668</v>
      </c>
      <c r="P1280" s="3">
        <f t="shared" si="48"/>
        <v>2026.3424518743668</v>
      </c>
      <c r="Q1280" s="11">
        <f>IFERROR(+VLOOKUP(M1280,D.sign_Lista_Data[[RESPONSABLE]:[SOFTWARE 
VALOR HORA]],5,FALSE)*D.sign_Data[[#This Row],[TIEMPO (HORAS)]],0)</f>
        <v>422.15467747382638</v>
      </c>
      <c r="R1280" s="11">
        <f>IFERROR(+VLOOKUP(M1280,D.sign_Lista_Data[[RESPONSABLE]:[SOFTWARE 
VALOR HORA]],8,FALSE)*D.sign_Data[[#This Row],[TIEMPO (HORAS)]],0)</f>
        <v>341.08548871439837</v>
      </c>
      <c r="S1280" s="99"/>
      <c r="T1280" s="99"/>
      <c r="U1280" s="3">
        <f t="shared" si="49"/>
        <v>2789.5826180625913</v>
      </c>
      <c r="V1280" s="100">
        <f>D.sign_Data[[#This Row],[TIEMPO (HORAS)]]*Gastos_Operativos[[#Totals],[GASTOS HORA]]</f>
        <v>2778.9477072310401</v>
      </c>
      <c r="W1280" s="3">
        <f>+D.sign_Data[[#This Row],[COSTO 
DIRECTO ($COP)]]+D.sign_Data[[#This Row],[PRORRATEO GASTOS ($COP)]]</f>
        <v>5568.5303252936319</v>
      </c>
      <c r="X1280" s="101">
        <v>0.05</v>
      </c>
      <c r="Y1280" s="15">
        <f>+D.sign_Data[[#This Row],[COSTOS OPERACIONALES ($COP)]]*D.sign_Data[[#This Row],[DESFASE (%)]]</f>
        <v>278.4265162646816</v>
      </c>
      <c r="Z1280" s="101">
        <v>0.15</v>
      </c>
      <c r="AA1280" s="15">
        <f>+((D.sign_Data[[#This Row],[COSTOS OPERACIONALES ($COP)]]/(100%-D.sign_Data[[#This Row],[UTILIDAD (%)]])))-D.sign_Data[[#This Row],[COSTOS OPERACIONALES ($COP)]]</f>
        <v>982.68182211064141</v>
      </c>
      <c r="AB1280" s="3">
        <f>+D.sign_Data[[#This Row],[COSTOS OPERACIONALES ($COP)]]+D.sign_Data[[#This Row],[DESFASE ($COP)]]+D.sign_Data[[#This Row],[UTILIDAD ($COP)]]</f>
        <v>6829.6386636689549</v>
      </c>
      <c r="AC1280" s="101">
        <v>0.05</v>
      </c>
      <c r="AD1280" s="15">
        <f>+D.sign_Data[[#This Row],[VALOR NETO ($COP)]]/(100%-D.sign_Data[[#This Row],[MARGEN DE NEGOCIACIÓN (%)]])-D.sign_Data[[#This Row],[VALOR NETO ($COP)]]</f>
        <v>359.45466650889284</v>
      </c>
      <c r="AE1280" s="15">
        <f>+(D.sign_Data[[#This Row],[VALOR NETO ($COP)]]+D.sign_Data[[#This Row],[NEGOCIACIÓN ($COP)]])*1%</f>
        <v>71.890933301778475</v>
      </c>
      <c r="AF1280" s="15">
        <f>+(D.sign_Data[[#This Row],[VALOR NETO ($COP)]]+D.sign_Data[[#This Row],[NEGOCIACIÓN ($COP)]])*1%</f>
        <v>71.890933301778475</v>
      </c>
      <c r="AG1280" s="3">
        <f>+D.sign_Data[[#This Row],[VALOR NETO ($COP)]]+D.sign_Data[[#This Row],[NEGOCIACIÓN ($COP)]]+D.sign_Data[[#This Row],[ICA ($COP)]]+D.sign_Data[[#This Row],[4 * 1000 ($COP)]]</f>
        <v>7332.8751967814042</v>
      </c>
    </row>
    <row r="1281" spans="1:33" ht="60" hidden="1" customHeight="1" x14ac:dyDescent="0.25">
      <c r="A1281" s="14"/>
      <c r="B1281" s="87" t="s">
        <v>442</v>
      </c>
      <c r="C1281" s="182" t="s">
        <v>1165</v>
      </c>
      <c r="D1281" s="189" t="str">
        <f>VLOOKUP(D.sign_Data[[#This Row],[CÓDIGO]],Descripciones[[CÓDIGO]:[NOMBRE DE SERVICIO]],3,FALSE)</f>
        <v>D6. Diseño Interior</v>
      </c>
      <c r="E1281" s="87" t="s">
        <v>1104</v>
      </c>
      <c r="F1281" s="88" t="s">
        <v>1166</v>
      </c>
      <c r="G1281" s="88" t="s">
        <v>580</v>
      </c>
      <c r="H1281" s="104" t="s">
        <v>552</v>
      </c>
      <c r="I1281" s="89">
        <v>1</v>
      </c>
      <c r="J1281" s="88" t="s">
        <v>1167</v>
      </c>
      <c r="K1281" s="102"/>
      <c r="L1281" s="88" t="s">
        <v>608</v>
      </c>
      <c r="M1281" s="89" t="s">
        <v>381</v>
      </c>
      <c r="N1281" s="90">
        <v>5</v>
      </c>
      <c r="O1281" s="27">
        <f>IFERROR(+VLOOKUP(M1281,D.sign_Lista_Data[[RESPONSABLE]:[SOFTWARE 
VALOR HORA]],3,FALSE),"0")</f>
        <v>20263.424518743668</v>
      </c>
      <c r="P1281" s="3">
        <f t="shared" si="48"/>
        <v>101317.12259371835</v>
      </c>
      <c r="Q1281" s="11">
        <f>IFERROR(+VLOOKUP(M1281,D.sign_Lista_Data[[RESPONSABLE]:[SOFTWARE 
VALOR HORA]],5,FALSE)*D.sign_Data[[#This Row],[TIEMPO (HORAS)]],0)</f>
        <v>21107.733873691319</v>
      </c>
      <c r="R1281" s="11">
        <f>IFERROR(+VLOOKUP(M1281,D.sign_Lista_Data[[RESPONSABLE]:[SOFTWARE 
VALOR HORA]],8,FALSE)*D.sign_Data[[#This Row],[TIEMPO (HORAS)]],0)</f>
        <v>17054.274435719919</v>
      </c>
      <c r="S1281" s="99"/>
      <c r="T1281" s="99"/>
      <c r="U1281" s="3">
        <f t="shared" si="49"/>
        <v>139479.13090312958</v>
      </c>
      <c r="V1281" s="100">
        <f>D.sign_Data[[#This Row],[TIEMPO (HORAS)]]*Gastos_Operativos[[#Totals],[GASTOS HORA]]</f>
        <v>138947.38536155201</v>
      </c>
      <c r="W1281" s="3">
        <f>+D.sign_Data[[#This Row],[COSTO 
DIRECTO ($COP)]]+D.sign_Data[[#This Row],[PRORRATEO GASTOS ($COP)]]</f>
        <v>278426.51626468159</v>
      </c>
      <c r="X1281" s="101">
        <v>0.05</v>
      </c>
      <c r="Y1281" s="15">
        <f>+D.sign_Data[[#This Row],[COSTOS OPERACIONALES ($COP)]]*D.sign_Data[[#This Row],[DESFASE (%)]]</f>
        <v>13921.32581323408</v>
      </c>
      <c r="Z1281" s="101">
        <v>0.15</v>
      </c>
      <c r="AA1281" s="15">
        <f>+((D.sign_Data[[#This Row],[COSTOS OPERACIONALES ($COP)]]/(100%-D.sign_Data[[#This Row],[UTILIDAD (%)]])))-D.sign_Data[[#This Row],[COSTOS OPERACIONALES ($COP)]]</f>
        <v>49134.091105532076</v>
      </c>
      <c r="AB1281" s="3">
        <f>+D.sign_Data[[#This Row],[COSTOS OPERACIONALES ($COP)]]+D.sign_Data[[#This Row],[DESFASE ($COP)]]+D.sign_Data[[#This Row],[UTILIDAD ($COP)]]</f>
        <v>341481.93318344775</v>
      </c>
      <c r="AC1281" s="101">
        <v>0.05</v>
      </c>
      <c r="AD1281" s="15">
        <f>+D.sign_Data[[#This Row],[VALOR NETO ($COP)]]/(100%-D.sign_Data[[#This Row],[MARGEN DE NEGOCIACIÓN (%)]])-D.sign_Data[[#This Row],[VALOR NETO ($COP)]]</f>
        <v>17972.733325444628</v>
      </c>
      <c r="AE1281" s="15">
        <f>+(D.sign_Data[[#This Row],[VALOR NETO ($COP)]]+D.sign_Data[[#This Row],[NEGOCIACIÓN ($COP)]])*1%</f>
        <v>3594.5466650889239</v>
      </c>
      <c r="AF1281" s="15">
        <f>+(D.sign_Data[[#This Row],[VALOR NETO ($COP)]]+D.sign_Data[[#This Row],[NEGOCIACIÓN ($COP)]])*1%</f>
        <v>3594.5466650889239</v>
      </c>
      <c r="AG1281" s="3">
        <f>+D.sign_Data[[#This Row],[VALOR NETO ($COP)]]+D.sign_Data[[#This Row],[NEGOCIACIÓN ($COP)]]+D.sign_Data[[#This Row],[ICA ($COP)]]+D.sign_Data[[#This Row],[4 * 1000 ($COP)]]</f>
        <v>366643.7598390702</v>
      </c>
    </row>
    <row r="1282" spans="1:33" ht="60" hidden="1" customHeight="1" x14ac:dyDescent="0.25">
      <c r="A1282" s="14"/>
      <c r="B1282" s="87" t="s">
        <v>442</v>
      </c>
      <c r="C1282" s="182" t="s">
        <v>1165</v>
      </c>
      <c r="D1282" s="189" t="str">
        <f>VLOOKUP(D.sign_Data[[#This Row],[CÓDIGO]],Descripciones[[CÓDIGO]:[NOMBRE DE SERVICIO]],3,FALSE)</f>
        <v>D6. Diseño Interior</v>
      </c>
      <c r="E1282" s="87" t="s">
        <v>1104</v>
      </c>
      <c r="F1282" s="88" t="s">
        <v>1166</v>
      </c>
      <c r="G1282" s="88" t="s">
        <v>580</v>
      </c>
      <c r="H1282" s="104" t="s">
        <v>552</v>
      </c>
      <c r="I1282" s="89">
        <v>1</v>
      </c>
      <c r="J1282" s="88" t="s">
        <v>1167</v>
      </c>
      <c r="K1282" s="102"/>
      <c r="L1282" s="88" t="s">
        <v>1168</v>
      </c>
      <c r="M1282" s="89" t="s">
        <v>381</v>
      </c>
      <c r="N1282" s="90">
        <v>1.5</v>
      </c>
      <c r="O1282" s="27">
        <f>IFERROR(+VLOOKUP(M1282,D.sign_Lista_Data[[RESPONSABLE]:[SOFTWARE 
VALOR HORA]],3,FALSE),"0")</f>
        <v>20263.424518743668</v>
      </c>
      <c r="P1282" s="3">
        <f t="shared" si="48"/>
        <v>30395.136778115502</v>
      </c>
      <c r="Q1282" s="11">
        <f>IFERROR(+VLOOKUP(M1282,D.sign_Lista_Data[[RESPONSABLE]:[SOFTWARE 
VALOR HORA]],5,FALSE)*D.sign_Data[[#This Row],[TIEMPO (HORAS)]],0)</f>
        <v>6332.3201621073949</v>
      </c>
      <c r="R1282" s="11">
        <f>IFERROR(+VLOOKUP(M1282,D.sign_Lista_Data[[RESPONSABLE]:[SOFTWARE 
VALOR HORA]],8,FALSE)*D.sign_Data[[#This Row],[TIEMPO (HORAS)]],0)</f>
        <v>5116.2823307159751</v>
      </c>
      <c r="S1282" s="99"/>
      <c r="T1282" s="99"/>
      <c r="U1282" s="3">
        <f t="shared" si="49"/>
        <v>41843.739270938873</v>
      </c>
      <c r="V1282" s="100">
        <f>D.sign_Data[[#This Row],[TIEMPO (HORAS)]]*Gastos_Operativos[[#Totals],[GASTOS HORA]]</f>
        <v>41684.215608465602</v>
      </c>
      <c r="W1282" s="3">
        <f>+D.sign_Data[[#This Row],[COSTO 
DIRECTO ($COP)]]+D.sign_Data[[#This Row],[PRORRATEO GASTOS ($COP)]]</f>
        <v>83527.954879404482</v>
      </c>
      <c r="X1282" s="101">
        <v>0.05</v>
      </c>
      <c r="Y1282" s="15">
        <f>+D.sign_Data[[#This Row],[COSTOS OPERACIONALES ($COP)]]*D.sign_Data[[#This Row],[DESFASE (%)]]</f>
        <v>4176.3977439702239</v>
      </c>
      <c r="Z1282" s="101">
        <v>0.15</v>
      </c>
      <c r="AA1282" s="15">
        <f>+((D.sign_Data[[#This Row],[COSTOS OPERACIONALES ($COP)]]/(100%-D.sign_Data[[#This Row],[UTILIDAD (%)]])))-D.sign_Data[[#This Row],[COSTOS OPERACIONALES ($COP)]]</f>
        <v>14740.227331659611</v>
      </c>
      <c r="AB1282" s="3">
        <f>+D.sign_Data[[#This Row],[COSTOS OPERACIONALES ($COP)]]+D.sign_Data[[#This Row],[DESFASE ($COP)]]+D.sign_Data[[#This Row],[UTILIDAD ($COP)]]</f>
        <v>102444.57995503432</v>
      </c>
      <c r="AC1282" s="101">
        <v>0.05</v>
      </c>
      <c r="AD1282" s="15">
        <f>+D.sign_Data[[#This Row],[VALOR NETO ($COP)]]/(100%-D.sign_Data[[#This Row],[MARGEN DE NEGOCIACIÓN (%)]])-D.sign_Data[[#This Row],[VALOR NETO ($COP)]]</f>
        <v>5391.8199976333854</v>
      </c>
      <c r="AE1282" s="15">
        <f>+(D.sign_Data[[#This Row],[VALOR NETO ($COP)]]+D.sign_Data[[#This Row],[NEGOCIACIÓN ($COP)]])*1%</f>
        <v>1078.3639995266772</v>
      </c>
      <c r="AF1282" s="15">
        <f>+(D.sign_Data[[#This Row],[VALOR NETO ($COP)]]+D.sign_Data[[#This Row],[NEGOCIACIÓN ($COP)]])*1%</f>
        <v>1078.3639995266772</v>
      </c>
      <c r="AG1282" s="3">
        <f>+D.sign_Data[[#This Row],[VALOR NETO ($COP)]]+D.sign_Data[[#This Row],[NEGOCIACIÓN ($COP)]]+D.sign_Data[[#This Row],[ICA ($COP)]]+D.sign_Data[[#This Row],[4 * 1000 ($COP)]]</f>
        <v>109993.12795172105</v>
      </c>
    </row>
    <row r="1283" spans="1:33" ht="60" hidden="1" customHeight="1" x14ac:dyDescent="0.25">
      <c r="A1283" s="14"/>
      <c r="B1283" s="87" t="s">
        <v>442</v>
      </c>
      <c r="C1283" s="182" t="s">
        <v>1165</v>
      </c>
      <c r="D1283" s="189" t="str">
        <f>VLOOKUP(D.sign_Data[[#This Row],[CÓDIGO]],Descripciones[[CÓDIGO]:[NOMBRE DE SERVICIO]],3,FALSE)</f>
        <v>D6. Diseño Interior</v>
      </c>
      <c r="E1283" s="87" t="s">
        <v>1104</v>
      </c>
      <c r="F1283" s="88" t="s">
        <v>1166</v>
      </c>
      <c r="G1283" s="88" t="s">
        <v>580</v>
      </c>
      <c r="H1283" s="104" t="s">
        <v>552</v>
      </c>
      <c r="I1283" s="89">
        <v>1</v>
      </c>
      <c r="J1283" s="88" t="s">
        <v>1167</v>
      </c>
      <c r="K1283" s="102"/>
      <c r="L1283" s="88" t="s">
        <v>1169</v>
      </c>
      <c r="M1283" s="89" t="s">
        <v>381</v>
      </c>
      <c r="N1283" s="90">
        <v>6</v>
      </c>
      <c r="O1283" s="27">
        <f>IFERROR(+VLOOKUP(M1283,D.sign_Lista_Data[[RESPONSABLE]:[SOFTWARE 
VALOR HORA]],3,FALSE),"0")</f>
        <v>20263.424518743668</v>
      </c>
      <c r="P1283" s="3">
        <f t="shared" si="48"/>
        <v>121580.54711246201</v>
      </c>
      <c r="Q1283" s="11">
        <f>IFERROR(+VLOOKUP(M1283,D.sign_Lista_Data[[RESPONSABLE]:[SOFTWARE 
VALOR HORA]],5,FALSE)*D.sign_Data[[#This Row],[TIEMPO (HORAS)]],0)</f>
        <v>25329.28064842958</v>
      </c>
      <c r="R1283" s="11">
        <f>IFERROR(+VLOOKUP(M1283,D.sign_Lista_Data[[RESPONSABLE]:[SOFTWARE 
VALOR HORA]],8,FALSE)*D.sign_Data[[#This Row],[TIEMPO (HORAS)]],0)</f>
        <v>20465.129322863901</v>
      </c>
      <c r="S1283" s="99"/>
      <c r="T1283" s="99"/>
      <c r="U1283" s="3">
        <f t="shared" si="49"/>
        <v>167374.95708375549</v>
      </c>
      <c r="V1283" s="100">
        <f>D.sign_Data[[#This Row],[TIEMPO (HORAS)]]*Gastos_Operativos[[#Totals],[GASTOS HORA]]</f>
        <v>166736.86243386241</v>
      </c>
      <c r="W1283" s="3">
        <f>+D.sign_Data[[#This Row],[COSTO 
DIRECTO ($COP)]]+D.sign_Data[[#This Row],[PRORRATEO GASTOS ($COP)]]</f>
        <v>334111.81951761793</v>
      </c>
      <c r="X1283" s="101">
        <v>0.05</v>
      </c>
      <c r="Y1283" s="15">
        <f>+D.sign_Data[[#This Row],[COSTOS OPERACIONALES ($COP)]]*D.sign_Data[[#This Row],[DESFASE (%)]]</f>
        <v>16705.590975880896</v>
      </c>
      <c r="Z1283" s="101">
        <v>0.15</v>
      </c>
      <c r="AA1283" s="15">
        <f>+((D.sign_Data[[#This Row],[COSTOS OPERACIONALES ($COP)]]/(100%-D.sign_Data[[#This Row],[UTILIDAD (%)]])))-D.sign_Data[[#This Row],[COSTOS OPERACIONALES ($COP)]]</f>
        <v>58960.909326638444</v>
      </c>
      <c r="AB1283" s="3">
        <f>+D.sign_Data[[#This Row],[COSTOS OPERACIONALES ($COP)]]+D.sign_Data[[#This Row],[DESFASE ($COP)]]+D.sign_Data[[#This Row],[UTILIDAD ($COP)]]</f>
        <v>409778.31982013729</v>
      </c>
      <c r="AC1283" s="101">
        <v>0.05</v>
      </c>
      <c r="AD1283" s="15">
        <f>+D.sign_Data[[#This Row],[VALOR NETO ($COP)]]/(100%-D.sign_Data[[#This Row],[MARGEN DE NEGOCIACIÓN (%)]])-D.sign_Data[[#This Row],[VALOR NETO ($COP)]]</f>
        <v>21567.279990533541</v>
      </c>
      <c r="AE1283" s="15">
        <f>+(D.sign_Data[[#This Row],[VALOR NETO ($COP)]]+D.sign_Data[[#This Row],[NEGOCIACIÓN ($COP)]])*1%</f>
        <v>4313.4559981067086</v>
      </c>
      <c r="AF1283" s="15">
        <f>+(D.sign_Data[[#This Row],[VALOR NETO ($COP)]]+D.sign_Data[[#This Row],[NEGOCIACIÓN ($COP)]])*1%</f>
        <v>4313.4559981067086</v>
      </c>
      <c r="AG1283" s="3">
        <f>+D.sign_Data[[#This Row],[VALOR NETO ($COP)]]+D.sign_Data[[#This Row],[NEGOCIACIÓN ($COP)]]+D.sign_Data[[#This Row],[ICA ($COP)]]+D.sign_Data[[#This Row],[4 * 1000 ($COP)]]</f>
        <v>439972.5118068842</v>
      </c>
    </row>
    <row r="1284" spans="1:33" ht="60" hidden="1" customHeight="1" x14ac:dyDescent="0.25">
      <c r="A1284" s="14"/>
      <c r="B1284" s="87" t="s">
        <v>442</v>
      </c>
      <c r="C1284" s="182" t="s">
        <v>1165</v>
      </c>
      <c r="D1284" s="189" t="str">
        <f>VLOOKUP(D.sign_Data[[#This Row],[CÓDIGO]],Descripciones[[CÓDIGO]:[NOMBRE DE SERVICIO]],3,FALSE)</f>
        <v>D6. Diseño Interior</v>
      </c>
      <c r="E1284" s="87" t="s">
        <v>1104</v>
      </c>
      <c r="F1284" s="88" t="s">
        <v>1166</v>
      </c>
      <c r="G1284" s="88" t="s">
        <v>580</v>
      </c>
      <c r="H1284" s="104" t="s">
        <v>552</v>
      </c>
      <c r="I1284" s="89">
        <v>1</v>
      </c>
      <c r="J1284" s="88" t="s">
        <v>1167</v>
      </c>
      <c r="K1284" s="102"/>
      <c r="L1284" s="88" t="s">
        <v>567</v>
      </c>
      <c r="M1284" s="89" t="s">
        <v>381</v>
      </c>
      <c r="N1284" s="90">
        <v>0.2</v>
      </c>
      <c r="O1284" s="27">
        <f>IFERROR(+VLOOKUP(M1284,D.sign_Lista_Data[[RESPONSABLE]:[SOFTWARE 
VALOR HORA]],3,FALSE),"0")</f>
        <v>20263.424518743668</v>
      </c>
      <c r="P1284" s="3">
        <f t="shared" si="48"/>
        <v>4052.6849037487336</v>
      </c>
      <c r="Q1284" s="11">
        <f>IFERROR(+VLOOKUP(M1284,D.sign_Lista_Data[[RESPONSABLE]:[SOFTWARE 
VALOR HORA]],5,FALSE)*D.sign_Data[[#This Row],[TIEMPO (HORAS)]],0)</f>
        <v>844.30935494765276</v>
      </c>
      <c r="R1284" s="11">
        <f>IFERROR(+VLOOKUP(M1284,D.sign_Lista_Data[[RESPONSABLE]:[SOFTWARE 
VALOR HORA]],8,FALSE)*D.sign_Data[[#This Row],[TIEMPO (HORAS)]],0)</f>
        <v>682.17097742879673</v>
      </c>
      <c r="S1284" s="99"/>
      <c r="T1284" s="99"/>
      <c r="U1284" s="3">
        <f t="shared" si="49"/>
        <v>5579.1652361251827</v>
      </c>
      <c r="V1284" s="100">
        <f>D.sign_Data[[#This Row],[TIEMPO (HORAS)]]*Gastos_Operativos[[#Totals],[GASTOS HORA]]</f>
        <v>5557.8954144620802</v>
      </c>
      <c r="W1284" s="3">
        <f>+D.sign_Data[[#This Row],[COSTO 
DIRECTO ($COP)]]+D.sign_Data[[#This Row],[PRORRATEO GASTOS ($COP)]]</f>
        <v>11137.060650587264</v>
      </c>
      <c r="X1284" s="101">
        <v>0.05</v>
      </c>
      <c r="Y1284" s="15">
        <f>+D.sign_Data[[#This Row],[COSTOS OPERACIONALES ($COP)]]*D.sign_Data[[#This Row],[DESFASE (%)]]</f>
        <v>556.85303252936319</v>
      </c>
      <c r="Z1284" s="101">
        <v>0.15</v>
      </c>
      <c r="AA1284" s="15">
        <f>+((D.sign_Data[[#This Row],[COSTOS OPERACIONALES ($COP)]]/(100%-D.sign_Data[[#This Row],[UTILIDAD (%)]])))-D.sign_Data[[#This Row],[COSTOS OPERACIONALES ($COP)]]</f>
        <v>1965.3636442212828</v>
      </c>
      <c r="AB1284" s="3">
        <f>+D.sign_Data[[#This Row],[COSTOS OPERACIONALES ($COP)]]+D.sign_Data[[#This Row],[DESFASE ($COP)]]+D.sign_Data[[#This Row],[UTILIDAD ($COP)]]</f>
        <v>13659.27732733791</v>
      </c>
      <c r="AC1284" s="101">
        <v>0.05</v>
      </c>
      <c r="AD1284" s="15">
        <f>+D.sign_Data[[#This Row],[VALOR NETO ($COP)]]/(100%-D.sign_Data[[#This Row],[MARGEN DE NEGOCIACIÓN (%)]])-D.sign_Data[[#This Row],[VALOR NETO ($COP)]]</f>
        <v>718.90933301778568</v>
      </c>
      <c r="AE1284" s="15">
        <f>+(D.sign_Data[[#This Row],[VALOR NETO ($COP)]]+D.sign_Data[[#This Row],[NEGOCIACIÓN ($COP)]])*1%</f>
        <v>143.78186660355695</v>
      </c>
      <c r="AF1284" s="15">
        <f>+(D.sign_Data[[#This Row],[VALOR NETO ($COP)]]+D.sign_Data[[#This Row],[NEGOCIACIÓN ($COP)]])*1%</f>
        <v>143.78186660355695</v>
      </c>
      <c r="AG1284" s="3">
        <f>+D.sign_Data[[#This Row],[VALOR NETO ($COP)]]+D.sign_Data[[#This Row],[NEGOCIACIÓN ($COP)]]+D.sign_Data[[#This Row],[ICA ($COP)]]+D.sign_Data[[#This Row],[4 * 1000 ($COP)]]</f>
        <v>14665.750393562808</v>
      </c>
    </row>
    <row r="1285" spans="1:33" ht="60" hidden="1" customHeight="1" x14ac:dyDescent="0.25">
      <c r="A1285" s="14"/>
      <c r="B1285" s="87" t="s">
        <v>442</v>
      </c>
      <c r="C1285" s="182" t="s">
        <v>1165</v>
      </c>
      <c r="D1285" s="189" t="str">
        <f>VLOOKUP(D.sign_Data[[#This Row],[CÓDIGO]],Descripciones[[CÓDIGO]:[NOMBRE DE SERVICIO]],3,FALSE)</f>
        <v>D6. Diseño Interior</v>
      </c>
      <c r="E1285" s="87" t="s">
        <v>1104</v>
      </c>
      <c r="F1285" s="88" t="s">
        <v>1166</v>
      </c>
      <c r="G1285" s="88" t="s">
        <v>580</v>
      </c>
      <c r="H1285" s="104" t="s">
        <v>552</v>
      </c>
      <c r="I1285" s="89">
        <v>1</v>
      </c>
      <c r="J1285" s="88" t="s">
        <v>1167</v>
      </c>
      <c r="K1285" s="102"/>
      <c r="L1285" s="88" t="s">
        <v>604</v>
      </c>
      <c r="M1285" s="89" t="s">
        <v>381</v>
      </c>
      <c r="N1285" s="90">
        <v>0.5</v>
      </c>
      <c r="O1285" s="27">
        <f>IFERROR(+VLOOKUP(M1285,D.sign_Lista_Data[[RESPONSABLE]:[SOFTWARE 
VALOR HORA]],3,FALSE),"0")</f>
        <v>20263.424518743668</v>
      </c>
      <c r="P1285" s="3">
        <f t="shared" si="48"/>
        <v>10131.712259371834</v>
      </c>
      <c r="Q1285" s="11">
        <f>IFERROR(+VLOOKUP(M1285,D.sign_Lista_Data[[RESPONSABLE]:[SOFTWARE 
VALOR HORA]],5,FALSE)*D.sign_Data[[#This Row],[TIEMPO (HORAS)]],0)</f>
        <v>2110.7733873691318</v>
      </c>
      <c r="R1285" s="11">
        <f>IFERROR(+VLOOKUP(M1285,D.sign_Lista_Data[[RESPONSABLE]:[SOFTWARE 
VALOR HORA]],8,FALSE)*D.sign_Data[[#This Row],[TIEMPO (HORAS)]],0)</f>
        <v>1705.4274435719917</v>
      </c>
      <c r="S1285" s="99"/>
      <c r="T1285" s="99"/>
      <c r="U1285" s="3">
        <f t="shared" si="49"/>
        <v>13947.913090312959</v>
      </c>
      <c r="V1285" s="100">
        <f>D.sign_Data[[#This Row],[TIEMPO (HORAS)]]*Gastos_Operativos[[#Totals],[GASTOS HORA]]</f>
        <v>13894.738536155201</v>
      </c>
      <c r="W1285" s="3">
        <f>+D.sign_Data[[#This Row],[COSTO 
DIRECTO ($COP)]]+D.sign_Data[[#This Row],[PRORRATEO GASTOS ($COP)]]</f>
        <v>27842.65162646816</v>
      </c>
      <c r="X1285" s="101">
        <v>0.05</v>
      </c>
      <c r="Y1285" s="15">
        <f>+D.sign_Data[[#This Row],[COSTOS OPERACIONALES ($COP)]]*D.sign_Data[[#This Row],[DESFASE (%)]]</f>
        <v>1392.132581323408</v>
      </c>
      <c r="Z1285" s="101">
        <v>0.15</v>
      </c>
      <c r="AA1285" s="15">
        <f>+((D.sign_Data[[#This Row],[COSTOS OPERACIONALES ($COP)]]/(100%-D.sign_Data[[#This Row],[UTILIDAD (%)]])))-D.sign_Data[[#This Row],[COSTOS OPERACIONALES ($COP)]]</f>
        <v>4913.4091105532061</v>
      </c>
      <c r="AB1285" s="3">
        <f>+D.sign_Data[[#This Row],[COSTOS OPERACIONALES ($COP)]]+D.sign_Data[[#This Row],[DESFASE ($COP)]]+D.sign_Data[[#This Row],[UTILIDAD ($COP)]]</f>
        <v>34148.193318344769</v>
      </c>
      <c r="AC1285" s="101">
        <v>0.05</v>
      </c>
      <c r="AD1285" s="15">
        <f>+D.sign_Data[[#This Row],[VALOR NETO ($COP)]]/(100%-D.sign_Data[[#This Row],[MARGEN DE NEGOCIACIÓN (%)]])-D.sign_Data[[#This Row],[VALOR NETO ($COP)]]</f>
        <v>1797.2733325444642</v>
      </c>
      <c r="AE1285" s="15">
        <f>+(D.sign_Data[[#This Row],[VALOR NETO ($COP)]]+D.sign_Data[[#This Row],[NEGOCIACIÓN ($COP)]])*1%</f>
        <v>359.45466650889233</v>
      </c>
      <c r="AF1285" s="15">
        <f>+(D.sign_Data[[#This Row],[VALOR NETO ($COP)]]+D.sign_Data[[#This Row],[NEGOCIACIÓN ($COP)]])*1%</f>
        <v>359.45466650889233</v>
      </c>
      <c r="AG1285" s="3">
        <f>+D.sign_Data[[#This Row],[VALOR NETO ($COP)]]+D.sign_Data[[#This Row],[NEGOCIACIÓN ($COP)]]+D.sign_Data[[#This Row],[ICA ($COP)]]+D.sign_Data[[#This Row],[4 * 1000 ($COP)]]</f>
        <v>36664.375983907019</v>
      </c>
    </row>
    <row r="1286" spans="1:33" ht="60" hidden="1" customHeight="1" x14ac:dyDescent="0.25">
      <c r="A1286" s="14"/>
      <c r="B1286" s="87" t="s">
        <v>442</v>
      </c>
      <c r="C1286" s="182" t="s">
        <v>1165</v>
      </c>
      <c r="D1286" s="189" t="str">
        <f>VLOOKUP(D.sign_Data[[#This Row],[CÓDIGO]],Descripciones[[CÓDIGO]:[NOMBRE DE SERVICIO]],3,FALSE)</f>
        <v>D6. Diseño Interior</v>
      </c>
      <c r="E1286" s="87" t="s">
        <v>1104</v>
      </c>
      <c r="F1286" s="88" t="s">
        <v>1166</v>
      </c>
      <c r="G1286" s="88" t="s">
        <v>580</v>
      </c>
      <c r="H1286" s="104" t="s">
        <v>552</v>
      </c>
      <c r="I1286" s="89">
        <v>1</v>
      </c>
      <c r="J1286" s="88" t="s">
        <v>1167</v>
      </c>
      <c r="K1286" s="102"/>
      <c r="L1286" s="88" t="s">
        <v>570</v>
      </c>
      <c r="M1286" s="89" t="s">
        <v>381</v>
      </c>
      <c r="N1286" s="90">
        <v>1</v>
      </c>
      <c r="O1286" s="27">
        <f>IFERROR(+VLOOKUP(M1286,D.sign_Lista_Data[[RESPONSABLE]:[SOFTWARE 
VALOR HORA]],3,FALSE),"0")</f>
        <v>20263.424518743668</v>
      </c>
      <c r="P1286" s="3">
        <f t="shared" si="48"/>
        <v>20263.424518743668</v>
      </c>
      <c r="Q1286" s="11">
        <f>IFERROR(+VLOOKUP(M1286,D.sign_Lista_Data[[RESPONSABLE]:[SOFTWARE 
VALOR HORA]],5,FALSE)*D.sign_Data[[#This Row],[TIEMPO (HORAS)]],0)</f>
        <v>4221.5467747382636</v>
      </c>
      <c r="R1286" s="11">
        <f>IFERROR(+VLOOKUP(M1286,D.sign_Lista_Data[[RESPONSABLE]:[SOFTWARE 
VALOR HORA]],8,FALSE)*D.sign_Data[[#This Row],[TIEMPO (HORAS)]],0)</f>
        <v>3410.8548871439834</v>
      </c>
      <c r="S1286" s="99"/>
      <c r="T1286" s="99"/>
      <c r="U1286" s="3">
        <f t="shared" si="49"/>
        <v>27895.826180625918</v>
      </c>
      <c r="V1286" s="100">
        <f>D.sign_Data[[#This Row],[TIEMPO (HORAS)]]*Gastos_Operativos[[#Totals],[GASTOS HORA]]</f>
        <v>27789.477072310401</v>
      </c>
      <c r="W1286" s="3">
        <f>+D.sign_Data[[#This Row],[COSTO 
DIRECTO ($COP)]]+D.sign_Data[[#This Row],[PRORRATEO GASTOS ($COP)]]</f>
        <v>55685.303252936319</v>
      </c>
      <c r="X1286" s="101">
        <v>0.05</v>
      </c>
      <c r="Y1286" s="15">
        <f>+D.sign_Data[[#This Row],[COSTOS OPERACIONALES ($COP)]]*D.sign_Data[[#This Row],[DESFASE (%)]]</f>
        <v>2784.265162646816</v>
      </c>
      <c r="Z1286" s="101">
        <v>0.15</v>
      </c>
      <c r="AA1286" s="15">
        <f>+((D.sign_Data[[#This Row],[COSTOS OPERACIONALES ($COP)]]/(100%-D.sign_Data[[#This Row],[UTILIDAD (%)]])))-D.sign_Data[[#This Row],[COSTOS OPERACIONALES ($COP)]]</f>
        <v>9826.8182211064122</v>
      </c>
      <c r="AB1286" s="3">
        <f>+D.sign_Data[[#This Row],[COSTOS OPERACIONALES ($COP)]]+D.sign_Data[[#This Row],[DESFASE ($COP)]]+D.sign_Data[[#This Row],[UTILIDAD ($COP)]]</f>
        <v>68296.386636689538</v>
      </c>
      <c r="AC1286" s="101">
        <v>0.05</v>
      </c>
      <c r="AD1286" s="15">
        <f>+D.sign_Data[[#This Row],[VALOR NETO ($COP)]]/(100%-D.sign_Data[[#This Row],[MARGEN DE NEGOCIACIÓN (%)]])-D.sign_Data[[#This Row],[VALOR NETO ($COP)]]</f>
        <v>3594.5466650889284</v>
      </c>
      <c r="AE1286" s="15">
        <f>+(D.sign_Data[[#This Row],[VALOR NETO ($COP)]]+D.sign_Data[[#This Row],[NEGOCIACIÓN ($COP)]])*1%</f>
        <v>718.90933301778466</v>
      </c>
      <c r="AF1286" s="15">
        <f>+(D.sign_Data[[#This Row],[VALOR NETO ($COP)]]+D.sign_Data[[#This Row],[NEGOCIACIÓN ($COP)]])*1%</f>
        <v>718.90933301778466</v>
      </c>
      <c r="AG1286" s="3">
        <f>+D.sign_Data[[#This Row],[VALOR NETO ($COP)]]+D.sign_Data[[#This Row],[NEGOCIACIÓN ($COP)]]+D.sign_Data[[#This Row],[ICA ($COP)]]+D.sign_Data[[#This Row],[4 * 1000 ($COP)]]</f>
        <v>73328.751967814038</v>
      </c>
    </row>
    <row r="1287" spans="1:33" ht="60" hidden="1" customHeight="1" x14ac:dyDescent="0.25">
      <c r="A1287" s="14"/>
      <c r="B1287" s="87" t="s">
        <v>442</v>
      </c>
      <c r="C1287" s="182" t="s">
        <v>1165</v>
      </c>
      <c r="D1287" s="189" t="str">
        <f>VLOOKUP(D.sign_Data[[#This Row],[CÓDIGO]],Descripciones[[CÓDIGO]:[NOMBRE DE SERVICIO]],3,FALSE)</f>
        <v>D6. Diseño Interior</v>
      </c>
      <c r="E1287" s="87" t="s">
        <v>1104</v>
      </c>
      <c r="F1287" s="88" t="s">
        <v>1166</v>
      </c>
      <c r="G1287" s="88" t="s">
        <v>580</v>
      </c>
      <c r="H1287" s="104" t="s">
        <v>552</v>
      </c>
      <c r="I1287" s="89">
        <v>1</v>
      </c>
      <c r="J1287" s="88" t="s">
        <v>1167</v>
      </c>
      <c r="K1287" s="102"/>
      <c r="L1287" s="88" t="s">
        <v>571</v>
      </c>
      <c r="M1287" s="89" t="s">
        <v>381</v>
      </c>
      <c r="N1287" s="90">
        <v>0.1</v>
      </c>
      <c r="O1287" s="27">
        <f>IFERROR(+VLOOKUP(M1287,D.sign_Lista_Data[[RESPONSABLE]:[SOFTWARE 
VALOR HORA]],3,FALSE),"0")</f>
        <v>20263.424518743668</v>
      </c>
      <c r="P1287" s="3">
        <f t="shared" si="48"/>
        <v>2026.3424518743668</v>
      </c>
      <c r="Q1287" s="11">
        <f>IFERROR(+VLOOKUP(M1287,D.sign_Lista_Data[[RESPONSABLE]:[SOFTWARE 
VALOR HORA]],5,FALSE)*D.sign_Data[[#This Row],[TIEMPO (HORAS)]],0)</f>
        <v>422.15467747382638</v>
      </c>
      <c r="R1287" s="11">
        <f>IFERROR(+VLOOKUP(M1287,D.sign_Lista_Data[[RESPONSABLE]:[SOFTWARE 
VALOR HORA]],8,FALSE)*D.sign_Data[[#This Row],[TIEMPO (HORAS)]],0)</f>
        <v>341.08548871439837</v>
      </c>
      <c r="S1287" s="99"/>
      <c r="T1287" s="99"/>
      <c r="U1287" s="3">
        <f t="shared" si="49"/>
        <v>2789.5826180625913</v>
      </c>
      <c r="V1287" s="100">
        <f>D.sign_Data[[#This Row],[TIEMPO (HORAS)]]*Gastos_Operativos[[#Totals],[GASTOS HORA]]</f>
        <v>2778.9477072310401</v>
      </c>
      <c r="W1287" s="3">
        <f>+D.sign_Data[[#This Row],[COSTO 
DIRECTO ($COP)]]+D.sign_Data[[#This Row],[PRORRATEO GASTOS ($COP)]]</f>
        <v>5568.5303252936319</v>
      </c>
      <c r="X1287" s="101">
        <v>0.05</v>
      </c>
      <c r="Y1287" s="15">
        <f>+D.sign_Data[[#This Row],[COSTOS OPERACIONALES ($COP)]]*D.sign_Data[[#This Row],[DESFASE (%)]]</f>
        <v>278.4265162646816</v>
      </c>
      <c r="Z1287" s="101">
        <v>0.15</v>
      </c>
      <c r="AA1287" s="15">
        <f>+((D.sign_Data[[#This Row],[COSTOS OPERACIONALES ($COP)]]/(100%-D.sign_Data[[#This Row],[UTILIDAD (%)]])))-D.sign_Data[[#This Row],[COSTOS OPERACIONALES ($COP)]]</f>
        <v>982.68182211064141</v>
      </c>
      <c r="AB1287" s="3">
        <f>+D.sign_Data[[#This Row],[COSTOS OPERACIONALES ($COP)]]+D.sign_Data[[#This Row],[DESFASE ($COP)]]+D.sign_Data[[#This Row],[UTILIDAD ($COP)]]</f>
        <v>6829.6386636689549</v>
      </c>
      <c r="AC1287" s="101">
        <v>0.05</v>
      </c>
      <c r="AD1287" s="15">
        <f>+D.sign_Data[[#This Row],[VALOR NETO ($COP)]]/(100%-D.sign_Data[[#This Row],[MARGEN DE NEGOCIACIÓN (%)]])-D.sign_Data[[#This Row],[VALOR NETO ($COP)]]</f>
        <v>359.45466650889284</v>
      </c>
      <c r="AE1287" s="15">
        <f>+(D.sign_Data[[#This Row],[VALOR NETO ($COP)]]+D.sign_Data[[#This Row],[NEGOCIACIÓN ($COP)]])*1%</f>
        <v>71.890933301778475</v>
      </c>
      <c r="AF1287" s="15">
        <f>+(D.sign_Data[[#This Row],[VALOR NETO ($COP)]]+D.sign_Data[[#This Row],[NEGOCIACIÓN ($COP)]])*1%</f>
        <v>71.890933301778475</v>
      </c>
      <c r="AG1287" s="3">
        <f>+D.sign_Data[[#This Row],[VALOR NETO ($COP)]]+D.sign_Data[[#This Row],[NEGOCIACIÓN ($COP)]]+D.sign_Data[[#This Row],[ICA ($COP)]]+D.sign_Data[[#This Row],[4 * 1000 ($COP)]]</f>
        <v>7332.8751967814042</v>
      </c>
    </row>
    <row r="1288" spans="1:33" ht="60" hidden="1" customHeight="1" x14ac:dyDescent="0.25">
      <c r="A1288" s="14"/>
      <c r="B1288" s="87" t="s">
        <v>442</v>
      </c>
      <c r="C1288" s="182" t="s">
        <v>1165</v>
      </c>
      <c r="D1288" s="189" t="str">
        <f>VLOOKUP(D.sign_Data[[#This Row],[CÓDIGO]],Descripciones[[CÓDIGO]:[NOMBRE DE SERVICIO]],3,FALSE)</f>
        <v>D6. Diseño Interior</v>
      </c>
      <c r="E1288" s="87" t="s">
        <v>1104</v>
      </c>
      <c r="F1288" s="88" t="s">
        <v>1166</v>
      </c>
      <c r="G1288" s="88" t="s">
        <v>580</v>
      </c>
      <c r="H1288" s="104" t="s">
        <v>552</v>
      </c>
      <c r="I1288" s="89">
        <v>1</v>
      </c>
      <c r="J1288" s="88" t="s">
        <v>1167</v>
      </c>
      <c r="K1288" s="102"/>
      <c r="L1288" s="88" t="s">
        <v>572</v>
      </c>
      <c r="M1288" s="89" t="s">
        <v>381</v>
      </c>
      <c r="N1288" s="90">
        <v>0.1</v>
      </c>
      <c r="O1288" s="27">
        <f>IFERROR(+VLOOKUP(M1288,D.sign_Lista_Data[[RESPONSABLE]:[SOFTWARE 
VALOR HORA]],3,FALSE),"0")</f>
        <v>20263.424518743668</v>
      </c>
      <c r="P1288" s="3">
        <f t="shared" si="48"/>
        <v>2026.3424518743668</v>
      </c>
      <c r="Q1288" s="11">
        <f>IFERROR(+VLOOKUP(M1288,D.sign_Lista_Data[[RESPONSABLE]:[SOFTWARE 
VALOR HORA]],5,FALSE)*D.sign_Data[[#This Row],[TIEMPO (HORAS)]],0)</f>
        <v>422.15467747382638</v>
      </c>
      <c r="R1288" s="11">
        <f>IFERROR(+VLOOKUP(M1288,D.sign_Lista_Data[[RESPONSABLE]:[SOFTWARE 
VALOR HORA]],8,FALSE)*D.sign_Data[[#This Row],[TIEMPO (HORAS)]],0)</f>
        <v>341.08548871439837</v>
      </c>
      <c r="S1288" s="99"/>
      <c r="T1288" s="99"/>
      <c r="U1288" s="3">
        <f t="shared" si="49"/>
        <v>2789.5826180625913</v>
      </c>
      <c r="V1288" s="100">
        <f>D.sign_Data[[#This Row],[TIEMPO (HORAS)]]*Gastos_Operativos[[#Totals],[GASTOS HORA]]</f>
        <v>2778.9477072310401</v>
      </c>
      <c r="W1288" s="3">
        <f>+D.sign_Data[[#This Row],[COSTO 
DIRECTO ($COP)]]+D.sign_Data[[#This Row],[PRORRATEO GASTOS ($COP)]]</f>
        <v>5568.5303252936319</v>
      </c>
      <c r="X1288" s="101">
        <v>0.05</v>
      </c>
      <c r="Y1288" s="15">
        <f>+D.sign_Data[[#This Row],[COSTOS OPERACIONALES ($COP)]]*D.sign_Data[[#This Row],[DESFASE (%)]]</f>
        <v>278.4265162646816</v>
      </c>
      <c r="Z1288" s="101">
        <v>0.15</v>
      </c>
      <c r="AA1288" s="15">
        <f>+((D.sign_Data[[#This Row],[COSTOS OPERACIONALES ($COP)]]/(100%-D.sign_Data[[#This Row],[UTILIDAD (%)]])))-D.sign_Data[[#This Row],[COSTOS OPERACIONALES ($COP)]]</f>
        <v>982.68182211064141</v>
      </c>
      <c r="AB1288" s="3">
        <f>+D.sign_Data[[#This Row],[COSTOS OPERACIONALES ($COP)]]+D.sign_Data[[#This Row],[DESFASE ($COP)]]+D.sign_Data[[#This Row],[UTILIDAD ($COP)]]</f>
        <v>6829.6386636689549</v>
      </c>
      <c r="AC1288" s="101">
        <v>0.05</v>
      </c>
      <c r="AD1288" s="15">
        <f>+D.sign_Data[[#This Row],[VALOR NETO ($COP)]]/(100%-D.sign_Data[[#This Row],[MARGEN DE NEGOCIACIÓN (%)]])-D.sign_Data[[#This Row],[VALOR NETO ($COP)]]</f>
        <v>359.45466650889284</v>
      </c>
      <c r="AE1288" s="15">
        <f>+(D.sign_Data[[#This Row],[VALOR NETO ($COP)]]+D.sign_Data[[#This Row],[NEGOCIACIÓN ($COP)]])*1%</f>
        <v>71.890933301778475</v>
      </c>
      <c r="AF1288" s="15">
        <f>+(D.sign_Data[[#This Row],[VALOR NETO ($COP)]]+D.sign_Data[[#This Row],[NEGOCIACIÓN ($COP)]])*1%</f>
        <v>71.890933301778475</v>
      </c>
      <c r="AG1288" s="3">
        <f>+D.sign_Data[[#This Row],[VALOR NETO ($COP)]]+D.sign_Data[[#This Row],[NEGOCIACIÓN ($COP)]]+D.sign_Data[[#This Row],[ICA ($COP)]]+D.sign_Data[[#This Row],[4 * 1000 ($COP)]]</f>
        <v>7332.8751967814042</v>
      </c>
    </row>
    <row r="1289" spans="1:33" ht="60" hidden="1" customHeight="1" x14ac:dyDescent="0.25">
      <c r="A1289" s="14"/>
      <c r="B1289" s="87" t="s">
        <v>442</v>
      </c>
      <c r="C1289" s="182" t="s">
        <v>1165</v>
      </c>
      <c r="D1289" s="189" t="str">
        <f>VLOOKUP(D.sign_Data[[#This Row],[CÓDIGO]],Descripciones[[CÓDIGO]:[NOMBRE DE SERVICIO]],3,FALSE)</f>
        <v>D6. Diseño Interior</v>
      </c>
      <c r="E1289" s="87" t="s">
        <v>1104</v>
      </c>
      <c r="F1289" s="88" t="s">
        <v>1166</v>
      </c>
      <c r="G1289" s="88" t="s">
        <v>582</v>
      </c>
      <c r="H1289" s="104" t="s">
        <v>552</v>
      </c>
      <c r="I1289" s="89">
        <v>1</v>
      </c>
      <c r="J1289" s="88" t="s">
        <v>614</v>
      </c>
      <c r="K1289" s="102"/>
      <c r="L1289" s="88" t="s">
        <v>584</v>
      </c>
      <c r="M1289" s="89" t="s">
        <v>381</v>
      </c>
      <c r="N1289" s="90">
        <v>1</v>
      </c>
      <c r="O1289" s="27">
        <f>IFERROR(+VLOOKUP(M1289,D.sign_Lista_Data[[RESPONSABLE]:[SOFTWARE 
VALOR HORA]],3,FALSE),"0")</f>
        <v>20263.424518743668</v>
      </c>
      <c r="P1289" s="3">
        <f t="shared" si="48"/>
        <v>20263.424518743668</v>
      </c>
      <c r="Q1289" s="11">
        <f>IFERROR(+VLOOKUP(M1289,D.sign_Lista_Data[[RESPONSABLE]:[SOFTWARE 
VALOR HORA]],5,FALSE)*D.sign_Data[[#This Row],[TIEMPO (HORAS)]],0)</f>
        <v>4221.5467747382636</v>
      </c>
      <c r="R1289" s="11">
        <f>IFERROR(+VLOOKUP(M1289,D.sign_Lista_Data[[RESPONSABLE]:[SOFTWARE 
VALOR HORA]],8,FALSE)*D.sign_Data[[#This Row],[TIEMPO (HORAS)]],0)</f>
        <v>3410.8548871439834</v>
      </c>
      <c r="S1289" s="99"/>
      <c r="T1289" s="99"/>
      <c r="U1289" s="3">
        <f t="shared" si="49"/>
        <v>27895.826180625918</v>
      </c>
      <c r="V1289" s="100">
        <f>D.sign_Data[[#This Row],[TIEMPO (HORAS)]]*Gastos_Operativos[[#Totals],[GASTOS HORA]]</f>
        <v>27789.477072310401</v>
      </c>
      <c r="W1289" s="3">
        <f>+D.sign_Data[[#This Row],[COSTO 
DIRECTO ($COP)]]+D.sign_Data[[#This Row],[PRORRATEO GASTOS ($COP)]]</f>
        <v>55685.303252936319</v>
      </c>
      <c r="X1289" s="101">
        <v>0.05</v>
      </c>
      <c r="Y1289" s="15">
        <f>+D.sign_Data[[#This Row],[COSTOS OPERACIONALES ($COP)]]*D.sign_Data[[#This Row],[DESFASE (%)]]</f>
        <v>2784.265162646816</v>
      </c>
      <c r="Z1289" s="101">
        <v>0.15</v>
      </c>
      <c r="AA1289" s="15">
        <f>+((D.sign_Data[[#This Row],[COSTOS OPERACIONALES ($COP)]]/(100%-D.sign_Data[[#This Row],[UTILIDAD (%)]])))-D.sign_Data[[#This Row],[COSTOS OPERACIONALES ($COP)]]</f>
        <v>9826.8182211064122</v>
      </c>
      <c r="AB1289" s="3">
        <f>+D.sign_Data[[#This Row],[COSTOS OPERACIONALES ($COP)]]+D.sign_Data[[#This Row],[DESFASE ($COP)]]+D.sign_Data[[#This Row],[UTILIDAD ($COP)]]</f>
        <v>68296.386636689538</v>
      </c>
      <c r="AC1289" s="101">
        <v>0.05</v>
      </c>
      <c r="AD1289" s="15">
        <f>+D.sign_Data[[#This Row],[VALOR NETO ($COP)]]/(100%-D.sign_Data[[#This Row],[MARGEN DE NEGOCIACIÓN (%)]])-D.sign_Data[[#This Row],[VALOR NETO ($COP)]]</f>
        <v>3594.5466650889284</v>
      </c>
      <c r="AE1289" s="15">
        <f>+(D.sign_Data[[#This Row],[VALOR NETO ($COP)]]+D.sign_Data[[#This Row],[NEGOCIACIÓN ($COP)]])*1%</f>
        <v>718.90933301778466</v>
      </c>
      <c r="AF1289" s="15">
        <f>+(D.sign_Data[[#This Row],[VALOR NETO ($COP)]]+D.sign_Data[[#This Row],[NEGOCIACIÓN ($COP)]])*1%</f>
        <v>718.90933301778466</v>
      </c>
      <c r="AG1289" s="3">
        <f>+D.sign_Data[[#This Row],[VALOR NETO ($COP)]]+D.sign_Data[[#This Row],[NEGOCIACIÓN ($COP)]]+D.sign_Data[[#This Row],[ICA ($COP)]]+D.sign_Data[[#This Row],[4 * 1000 ($COP)]]</f>
        <v>73328.751967814038</v>
      </c>
    </row>
    <row r="1290" spans="1:33" ht="60" hidden="1" customHeight="1" x14ac:dyDescent="0.25">
      <c r="A1290" s="14"/>
      <c r="B1290" s="87" t="s">
        <v>442</v>
      </c>
      <c r="C1290" s="182" t="s">
        <v>1165</v>
      </c>
      <c r="D1290" s="189" t="str">
        <f>VLOOKUP(D.sign_Data[[#This Row],[CÓDIGO]],Descripciones[[CÓDIGO]:[NOMBRE DE SERVICIO]],3,FALSE)</f>
        <v>D6. Diseño Interior</v>
      </c>
      <c r="E1290" s="87" t="s">
        <v>1104</v>
      </c>
      <c r="F1290" s="88" t="s">
        <v>1166</v>
      </c>
      <c r="G1290" s="88" t="s">
        <v>582</v>
      </c>
      <c r="H1290" s="104" t="s">
        <v>552</v>
      </c>
      <c r="I1290" s="89">
        <v>1</v>
      </c>
      <c r="J1290" s="88" t="s">
        <v>614</v>
      </c>
      <c r="K1290" s="102"/>
      <c r="L1290" s="88" t="s">
        <v>575</v>
      </c>
      <c r="M1290" s="89" t="s">
        <v>381</v>
      </c>
      <c r="N1290" s="90">
        <v>0.2</v>
      </c>
      <c r="O1290" s="27">
        <f>IFERROR(+VLOOKUP(M1290,D.sign_Lista_Data[[RESPONSABLE]:[SOFTWARE 
VALOR HORA]],3,FALSE),"0")</f>
        <v>20263.424518743668</v>
      </c>
      <c r="P1290" s="3">
        <f t="shared" si="48"/>
        <v>4052.6849037487336</v>
      </c>
      <c r="Q1290" s="11">
        <f>IFERROR(+VLOOKUP(M1290,D.sign_Lista_Data[[RESPONSABLE]:[SOFTWARE 
VALOR HORA]],5,FALSE)*D.sign_Data[[#This Row],[TIEMPO (HORAS)]],0)</f>
        <v>844.30935494765276</v>
      </c>
      <c r="R1290" s="11">
        <f>IFERROR(+VLOOKUP(M1290,D.sign_Lista_Data[[RESPONSABLE]:[SOFTWARE 
VALOR HORA]],8,FALSE)*D.sign_Data[[#This Row],[TIEMPO (HORAS)]],0)</f>
        <v>682.17097742879673</v>
      </c>
      <c r="S1290" s="99"/>
      <c r="T1290" s="99"/>
      <c r="U1290" s="3">
        <f t="shared" si="49"/>
        <v>5579.1652361251827</v>
      </c>
      <c r="V1290" s="100">
        <f>D.sign_Data[[#This Row],[TIEMPO (HORAS)]]*Gastos_Operativos[[#Totals],[GASTOS HORA]]</f>
        <v>5557.8954144620802</v>
      </c>
      <c r="W1290" s="3">
        <f>+D.sign_Data[[#This Row],[COSTO 
DIRECTO ($COP)]]+D.sign_Data[[#This Row],[PRORRATEO GASTOS ($COP)]]</f>
        <v>11137.060650587264</v>
      </c>
      <c r="X1290" s="101">
        <v>0.05</v>
      </c>
      <c r="Y1290" s="15">
        <f>+D.sign_Data[[#This Row],[COSTOS OPERACIONALES ($COP)]]*D.sign_Data[[#This Row],[DESFASE (%)]]</f>
        <v>556.85303252936319</v>
      </c>
      <c r="Z1290" s="101">
        <v>0.15</v>
      </c>
      <c r="AA1290" s="15">
        <f>+((D.sign_Data[[#This Row],[COSTOS OPERACIONALES ($COP)]]/(100%-D.sign_Data[[#This Row],[UTILIDAD (%)]])))-D.sign_Data[[#This Row],[COSTOS OPERACIONALES ($COP)]]</f>
        <v>1965.3636442212828</v>
      </c>
      <c r="AB1290" s="3">
        <f>+D.sign_Data[[#This Row],[COSTOS OPERACIONALES ($COP)]]+D.sign_Data[[#This Row],[DESFASE ($COP)]]+D.sign_Data[[#This Row],[UTILIDAD ($COP)]]</f>
        <v>13659.27732733791</v>
      </c>
      <c r="AC1290" s="101">
        <v>0.05</v>
      </c>
      <c r="AD1290" s="15">
        <f>+D.sign_Data[[#This Row],[VALOR NETO ($COP)]]/(100%-D.sign_Data[[#This Row],[MARGEN DE NEGOCIACIÓN (%)]])-D.sign_Data[[#This Row],[VALOR NETO ($COP)]]</f>
        <v>718.90933301778568</v>
      </c>
      <c r="AE1290" s="15">
        <f>+(D.sign_Data[[#This Row],[VALOR NETO ($COP)]]+D.sign_Data[[#This Row],[NEGOCIACIÓN ($COP)]])*1%</f>
        <v>143.78186660355695</v>
      </c>
      <c r="AF1290" s="15">
        <f>+(D.sign_Data[[#This Row],[VALOR NETO ($COP)]]+D.sign_Data[[#This Row],[NEGOCIACIÓN ($COP)]])*1%</f>
        <v>143.78186660355695</v>
      </c>
      <c r="AG1290" s="3">
        <f>+D.sign_Data[[#This Row],[VALOR NETO ($COP)]]+D.sign_Data[[#This Row],[NEGOCIACIÓN ($COP)]]+D.sign_Data[[#This Row],[ICA ($COP)]]+D.sign_Data[[#This Row],[4 * 1000 ($COP)]]</f>
        <v>14665.750393562808</v>
      </c>
    </row>
    <row r="1291" spans="1:33" ht="60" hidden="1" customHeight="1" x14ac:dyDescent="0.25">
      <c r="A1291" s="14"/>
      <c r="B1291" s="87" t="s">
        <v>442</v>
      </c>
      <c r="C1291" s="182" t="s">
        <v>1165</v>
      </c>
      <c r="D1291" s="189" t="str">
        <f>VLOOKUP(D.sign_Data[[#This Row],[CÓDIGO]],Descripciones[[CÓDIGO]:[NOMBRE DE SERVICIO]],3,FALSE)</f>
        <v>D6. Diseño Interior</v>
      </c>
      <c r="E1291" s="87" t="s">
        <v>1104</v>
      </c>
      <c r="F1291" s="88" t="s">
        <v>1166</v>
      </c>
      <c r="G1291" s="88" t="s">
        <v>582</v>
      </c>
      <c r="H1291" s="104" t="s">
        <v>552</v>
      </c>
      <c r="I1291" s="89">
        <v>1</v>
      </c>
      <c r="J1291" s="88" t="s">
        <v>614</v>
      </c>
      <c r="K1291" s="102"/>
      <c r="L1291" s="88" t="s">
        <v>604</v>
      </c>
      <c r="M1291" s="89" t="s">
        <v>381</v>
      </c>
      <c r="N1291" s="90">
        <v>0.5</v>
      </c>
      <c r="O1291" s="27">
        <f>IFERROR(+VLOOKUP(M1291,D.sign_Lista_Data[[RESPONSABLE]:[SOFTWARE 
VALOR HORA]],3,FALSE),"0")</f>
        <v>20263.424518743668</v>
      </c>
      <c r="P1291" s="3">
        <f t="shared" si="48"/>
        <v>10131.712259371834</v>
      </c>
      <c r="Q1291" s="11">
        <f>IFERROR(+VLOOKUP(M1291,D.sign_Lista_Data[[RESPONSABLE]:[SOFTWARE 
VALOR HORA]],5,FALSE)*D.sign_Data[[#This Row],[TIEMPO (HORAS)]],0)</f>
        <v>2110.7733873691318</v>
      </c>
      <c r="R1291" s="11">
        <f>IFERROR(+VLOOKUP(M1291,D.sign_Lista_Data[[RESPONSABLE]:[SOFTWARE 
VALOR HORA]],8,FALSE)*D.sign_Data[[#This Row],[TIEMPO (HORAS)]],0)</f>
        <v>1705.4274435719917</v>
      </c>
      <c r="S1291" s="99"/>
      <c r="T1291" s="99"/>
      <c r="U1291" s="3">
        <f t="shared" si="49"/>
        <v>13947.913090312959</v>
      </c>
      <c r="V1291" s="100">
        <f>D.sign_Data[[#This Row],[TIEMPO (HORAS)]]*Gastos_Operativos[[#Totals],[GASTOS HORA]]</f>
        <v>13894.738536155201</v>
      </c>
      <c r="W1291" s="3">
        <f>+D.sign_Data[[#This Row],[COSTO 
DIRECTO ($COP)]]+D.sign_Data[[#This Row],[PRORRATEO GASTOS ($COP)]]</f>
        <v>27842.65162646816</v>
      </c>
      <c r="X1291" s="101">
        <v>0.05</v>
      </c>
      <c r="Y1291" s="15">
        <f>+D.sign_Data[[#This Row],[COSTOS OPERACIONALES ($COP)]]*D.sign_Data[[#This Row],[DESFASE (%)]]</f>
        <v>1392.132581323408</v>
      </c>
      <c r="Z1291" s="101">
        <v>0.15</v>
      </c>
      <c r="AA1291" s="15">
        <f>+((D.sign_Data[[#This Row],[COSTOS OPERACIONALES ($COP)]]/(100%-D.sign_Data[[#This Row],[UTILIDAD (%)]])))-D.sign_Data[[#This Row],[COSTOS OPERACIONALES ($COP)]]</f>
        <v>4913.4091105532061</v>
      </c>
      <c r="AB1291" s="3">
        <f>+D.sign_Data[[#This Row],[COSTOS OPERACIONALES ($COP)]]+D.sign_Data[[#This Row],[DESFASE ($COP)]]+D.sign_Data[[#This Row],[UTILIDAD ($COP)]]</f>
        <v>34148.193318344769</v>
      </c>
      <c r="AC1291" s="101">
        <v>0.05</v>
      </c>
      <c r="AD1291" s="15">
        <f>+D.sign_Data[[#This Row],[VALOR NETO ($COP)]]/(100%-D.sign_Data[[#This Row],[MARGEN DE NEGOCIACIÓN (%)]])-D.sign_Data[[#This Row],[VALOR NETO ($COP)]]</f>
        <v>1797.2733325444642</v>
      </c>
      <c r="AE1291" s="15">
        <f>+(D.sign_Data[[#This Row],[VALOR NETO ($COP)]]+D.sign_Data[[#This Row],[NEGOCIACIÓN ($COP)]])*1%</f>
        <v>359.45466650889233</v>
      </c>
      <c r="AF1291" s="15">
        <f>+(D.sign_Data[[#This Row],[VALOR NETO ($COP)]]+D.sign_Data[[#This Row],[NEGOCIACIÓN ($COP)]])*1%</f>
        <v>359.45466650889233</v>
      </c>
      <c r="AG1291" s="3">
        <f>+D.sign_Data[[#This Row],[VALOR NETO ($COP)]]+D.sign_Data[[#This Row],[NEGOCIACIÓN ($COP)]]+D.sign_Data[[#This Row],[ICA ($COP)]]+D.sign_Data[[#This Row],[4 * 1000 ($COP)]]</f>
        <v>36664.375983907019</v>
      </c>
    </row>
    <row r="1292" spans="1:33" ht="60" hidden="1" customHeight="1" x14ac:dyDescent="0.25">
      <c r="A1292" s="14"/>
      <c r="B1292" s="87" t="s">
        <v>442</v>
      </c>
      <c r="C1292" s="182" t="s">
        <v>1165</v>
      </c>
      <c r="D1292" s="189" t="str">
        <f>VLOOKUP(D.sign_Data[[#This Row],[CÓDIGO]],Descripciones[[CÓDIGO]:[NOMBRE DE SERVICIO]],3,FALSE)</f>
        <v>D6. Diseño Interior</v>
      </c>
      <c r="E1292" s="87" t="s">
        <v>1104</v>
      </c>
      <c r="F1292" s="88" t="s">
        <v>1166</v>
      </c>
      <c r="G1292" s="88" t="s">
        <v>582</v>
      </c>
      <c r="H1292" s="104" t="s">
        <v>552</v>
      </c>
      <c r="I1292" s="89">
        <v>1</v>
      </c>
      <c r="J1292" s="88" t="s">
        <v>614</v>
      </c>
      <c r="K1292" s="102"/>
      <c r="L1292" s="88" t="s">
        <v>570</v>
      </c>
      <c r="M1292" s="89" t="s">
        <v>381</v>
      </c>
      <c r="N1292" s="90">
        <v>0.6</v>
      </c>
      <c r="O1292" s="27">
        <f>IFERROR(+VLOOKUP(M1292,D.sign_Lista_Data[[RESPONSABLE]:[SOFTWARE 
VALOR HORA]],3,FALSE),"0")</f>
        <v>20263.424518743668</v>
      </c>
      <c r="P1292" s="3">
        <f t="shared" si="48"/>
        <v>12158.054711246201</v>
      </c>
      <c r="Q1292" s="11">
        <f>IFERROR(+VLOOKUP(M1292,D.sign_Lista_Data[[RESPONSABLE]:[SOFTWARE 
VALOR HORA]],5,FALSE)*D.sign_Data[[#This Row],[TIEMPO (HORAS)]],0)</f>
        <v>2532.9280648429581</v>
      </c>
      <c r="R1292" s="11">
        <f>IFERROR(+VLOOKUP(M1292,D.sign_Lista_Data[[RESPONSABLE]:[SOFTWARE 
VALOR HORA]],8,FALSE)*D.sign_Data[[#This Row],[TIEMPO (HORAS)]],0)</f>
        <v>2046.51293228639</v>
      </c>
      <c r="S1292" s="99"/>
      <c r="T1292" s="99"/>
      <c r="U1292" s="3">
        <f t="shared" si="49"/>
        <v>16737.495708375547</v>
      </c>
      <c r="V1292" s="100">
        <f>D.sign_Data[[#This Row],[TIEMPO (HORAS)]]*Gastos_Operativos[[#Totals],[GASTOS HORA]]</f>
        <v>16673.686243386241</v>
      </c>
      <c r="W1292" s="3">
        <f>+D.sign_Data[[#This Row],[COSTO 
DIRECTO ($COP)]]+D.sign_Data[[#This Row],[PRORRATEO GASTOS ($COP)]]</f>
        <v>33411.181951761784</v>
      </c>
      <c r="X1292" s="101">
        <v>0.05</v>
      </c>
      <c r="Y1292" s="15">
        <f>+D.sign_Data[[#This Row],[COSTOS OPERACIONALES ($COP)]]*D.sign_Data[[#This Row],[DESFASE (%)]]</f>
        <v>1670.5590975880893</v>
      </c>
      <c r="Z1292" s="101">
        <v>0.15</v>
      </c>
      <c r="AA1292" s="15">
        <f>+((D.sign_Data[[#This Row],[COSTOS OPERACIONALES ($COP)]]/(100%-D.sign_Data[[#This Row],[UTILIDAD (%)]])))-D.sign_Data[[#This Row],[COSTOS OPERACIONALES ($COP)]]</f>
        <v>5896.090932663843</v>
      </c>
      <c r="AB1292" s="3">
        <f>+D.sign_Data[[#This Row],[COSTOS OPERACIONALES ($COP)]]+D.sign_Data[[#This Row],[DESFASE ($COP)]]+D.sign_Data[[#This Row],[UTILIDAD ($COP)]]</f>
        <v>40977.831982013719</v>
      </c>
      <c r="AC1292" s="101">
        <v>0.05</v>
      </c>
      <c r="AD1292" s="15">
        <f>+D.sign_Data[[#This Row],[VALOR NETO ($COP)]]/(100%-D.sign_Data[[#This Row],[MARGEN DE NEGOCIACIÓN (%)]])-D.sign_Data[[#This Row],[VALOR NETO ($COP)]]</f>
        <v>2156.7279990533571</v>
      </c>
      <c r="AE1292" s="15">
        <f>+(D.sign_Data[[#This Row],[VALOR NETO ($COP)]]+D.sign_Data[[#This Row],[NEGOCIACIÓN ($COP)]])*1%</f>
        <v>431.34559981067076</v>
      </c>
      <c r="AF1292" s="15">
        <f>+(D.sign_Data[[#This Row],[VALOR NETO ($COP)]]+D.sign_Data[[#This Row],[NEGOCIACIÓN ($COP)]])*1%</f>
        <v>431.34559981067076</v>
      </c>
      <c r="AG1292" s="3">
        <f>+D.sign_Data[[#This Row],[VALOR NETO ($COP)]]+D.sign_Data[[#This Row],[NEGOCIACIÓN ($COP)]]+D.sign_Data[[#This Row],[ICA ($COP)]]+D.sign_Data[[#This Row],[4 * 1000 ($COP)]]</f>
        <v>43997.251180688421</v>
      </c>
    </row>
    <row r="1293" spans="1:33" ht="60" hidden="1" customHeight="1" x14ac:dyDescent="0.25">
      <c r="A1293" s="14"/>
      <c r="B1293" s="87" t="s">
        <v>442</v>
      </c>
      <c r="C1293" s="182" t="s">
        <v>1165</v>
      </c>
      <c r="D1293" s="189" t="str">
        <f>VLOOKUP(D.sign_Data[[#This Row],[CÓDIGO]],Descripciones[[CÓDIGO]:[NOMBRE DE SERVICIO]],3,FALSE)</f>
        <v>D6. Diseño Interior</v>
      </c>
      <c r="E1293" s="87" t="s">
        <v>1104</v>
      </c>
      <c r="F1293" s="88" t="s">
        <v>1166</v>
      </c>
      <c r="G1293" s="88" t="s">
        <v>582</v>
      </c>
      <c r="H1293" s="104" t="s">
        <v>552</v>
      </c>
      <c r="I1293" s="89">
        <v>1</v>
      </c>
      <c r="J1293" s="88" t="s">
        <v>614</v>
      </c>
      <c r="K1293" s="102"/>
      <c r="L1293" s="88" t="s">
        <v>571</v>
      </c>
      <c r="M1293" s="89" t="s">
        <v>381</v>
      </c>
      <c r="N1293" s="90">
        <v>0.1</v>
      </c>
      <c r="O1293" s="27">
        <f>IFERROR(+VLOOKUP(M1293,D.sign_Lista_Data[[RESPONSABLE]:[SOFTWARE 
VALOR HORA]],3,FALSE),"0")</f>
        <v>20263.424518743668</v>
      </c>
      <c r="P1293" s="3">
        <f t="shared" si="48"/>
        <v>2026.3424518743668</v>
      </c>
      <c r="Q1293" s="11">
        <f>IFERROR(+VLOOKUP(M1293,D.sign_Lista_Data[[RESPONSABLE]:[SOFTWARE 
VALOR HORA]],5,FALSE)*D.sign_Data[[#This Row],[TIEMPO (HORAS)]],0)</f>
        <v>422.15467747382638</v>
      </c>
      <c r="R1293" s="11">
        <f>IFERROR(+VLOOKUP(M1293,D.sign_Lista_Data[[RESPONSABLE]:[SOFTWARE 
VALOR HORA]],8,FALSE)*D.sign_Data[[#This Row],[TIEMPO (HORAS)]],0)</f>
        <v>341.08548871439837</v>
      </c>
      <c r="S1293" s="99"/>
      <c r="T1293" s="99"/>
      <c r="U1293" s="3">
        <f t="shared" si="49"/>
        <v>2789.5826180625913</v>
      </c>
      <c r="V1293" s="100">
        <f>D.sign_Data[[#This Row],[TIEMPO (HORAS)]]*Gastos_Operativos[[#Totals],[GASTOS HORA]]</f>
        <v>2778.9477072310401</v>
      </c>
      <c r="W1293" s="3">
        <f>+D.sign_Data[[#This Row],[COSTO 
DIRECTO ($COP)]]+D.sign_Data[[#This Row],[PRORRATEO GASTOS ($COP)]]</f>
        <v>5568.5303252936319</v>
      </c>
      <c r="X1293" s="101">
        <v>0.05</v>
      </c>
      <c r="Y1293" s="15">
        <f>+D.sign_Data[[#This Row],[COSTOS OPERACIONALES ($COP)]]*D.sign_Data[[#This Row],[DESFASE (%)]]</f>
        <v>278.4265162646816</v>
      </c>
      <c r="Z1293" s="101">
        <v>0.15</v>
      </c>
      <c r="AA1293" s="15">
        <f>+((D.sign_Data[[#This Row],[COSTOS OPERACIONALES ($COP)]]/(100%-D.sign_Data[[#This Row],[UTILIDAD (%)]])))-D.sign_Data[[#This Row],[COSTOS OPERACIONALES ($COP)]]</f>
        <v>982.68182211064141</v>
      </c>
      <c r="AB1293" s="3">
        <f>+D.sign_Data[[#This Row],[COSTOS OPERACIONALES ($COP)]]+D.sign_Data[[#This Row],[DESFASE ($COP)]]+D.sign_Data[[#This Row],[UTILIDAD ($COP)]]</f>
        <v>6829.6386636689549</v>
      </c>
      <c r="AC1293" s="101">
        <v>0.05</v>
      </c>
      <c r="AD1293" s="15">
        <f>+D.sign_Data[[#This Row],[VALOR NETO ($COP)]]/(100%-D.sign_Data[[#This Row],[MARGEN DE NEGOCIACIÓN (%)]])-D.sign_Data[[#This Row],[VALOR NETO ($COP)]]</f>
        <v>359.45466650889284</v>
      </c>
      <c r="AE1293" s="15">
        <f>+(D.sign_Data[[#This Row],[VALOR NETO ($COP)]]+D.sign_Data[[#This Row],[NEGOCIACIÓN ($COP)]])*1%</f>
        <v>71.890933301778475</v>
      </c>
      <c r="AF1293" s="15">
        <f>+(D.sign_Data[[#This Row],[VALOR NETO ($COP)]]+D.sign_Data[[#This Row],[NEGOCIACIÓN ($COP)]])*1%</f>
        <v>71.890933301778475</v>
      </c>
      <c r="AG1293" s="3">
        <f>+D.sign_Data[[#This Row],[VALOR NETO ($COP)]]+D.sign_Data[[#This Row],[NEGOCIACIÓN ($COP)]]+D.sign_Data[[#This Row],[ICA ($COP)]]+D.sign_Data[[#This Row],[4 * 1000 ($COP)]]</f>
        <v>7332.8751967814042</v>
      </c>
    </row>
    <row r="1294" spans="1:33" ht="60" hidden="1" customHeight="1" x14ac:dyDescent="0.25">
      <c r="A1294" s="14"/>
      <c r="B1294" s="87" t="s">
        <v>442</v>
      </c>
      <c r="C1294" s="182" t="s">
        <v>1165</v>
      </c>
      <c r="D1294" s="189" t="str">
        <f>VLOOKUP(D.sign_Data[[#This Row],[CÓDIGO]],Descripciones[[CÓDIGO]:[NOMBRE DE SERVICIO]],3,FALSE)</f>
        <v>D6. Diseño Interior</v>
      </c>
      <c r="E1294" s="87" t="s">
        <v>1104</v>
      </c>
      <c r="F1294" s="88" t="s">
        <v>1166</v>
      </c>
      <c r="G1294" s="88" t="s">
        <v>582</v>
      </c>
      <c r="H1294" s="104" t="s">
        <v>552</v>
      </c>
      <c r="I1294" s="89">
        <v>1</v>
      </c>
      <c r="J1294" s="88" t="s">
        <v>614</v>
      </c>
      <c r="K1294" s="102"/>
      <c r="L1294" s="88" t="s">
        <v>579</v>
      </c>
      <c r="M1294" s="89" t="s">
        <v>381</v>
      </c>
      <c r="N1294" s="90">
        <v>1</v>
      </c>
      <c r="O1294" s="27">
        <f>IFERROR(+VLOOKUP(M1294,D.sign_Lista_Data[[RESPONSABLE]:[SOFTWARE 
VALOR HORA]],3,FALSE),"0")</f>
        <v>20263.424518743668</v>
      </c>
      <c r="P1294" s="3">
        <f t="shared" si="48"/>
        <v>20263.424518743668</v>
      </c>
      <c r="Q1294" s="11">
        <f>IFERROR(+VLOOKUP(M1294,D.sign_Lista_Data[[RESPONSABLE]:[SOFTWARE 
VALOR HORA]],5,FALSE)*D.sign_Data[[#This Row],[TIEMPO (HORAS)]],0)</f>
        <v>4221.5467747382636</v>
      </c>
      <c r="R1294" s="11">
        <f>IFERROR(+VLOOKUP(M1294,D.sign_Lista_Data[[RESPONSABLE]:[SOFTWARE 
VALOR HORA]],8,FALSE)*D.sign_Data[[#This Row],[TIEMPO (HORAS)]],0)</f>
        <v>3410.8548871439834</v>
      </c>
      <c r="S1294" s="99"/>
      <c r="T1294" s="99"/>
      <c r="U1294" s="3">
        <f t="shared" si="49"/>
        <v>27895.826180625918</v>
      </c>
      <c r="V1294" s="100">
        <f>D.sign_Data[[#This Row],[TIEMPO (HORAS)]]*Gastos_Operativos[[#Totals],[GASTOS HORA]]</f>
        <v>27789.477072310401</v>
      </c>
      <c r="W1294" s="3">
        <f>+D.sign_Data[[#This Row],[COSTO 
DIRECTO ($COP)]]+D.sign_Data[[#This Row],[PRORRATEO GASTOS ($COP)]]</f>
        <v>55685.303252936319</v>
      </c>
      <c r="X1294" s="101">
        <v>0.05</v>
      </c>
      <c r="Y1294" s="15">
        <f>+D.sign_Data[[#This Row],[COSTOS OPERACIONALES ($COP)]]*D.sign_Data[[#This Row],[DESFASE (%)]]</f>
        <v>2784.265162646816</v>
      </c>
      <c r="Z1294" s="101">
        <v>0.15</v>
      </c>
      <c r="AA1294" s="15">
        <f>+((D.sign_Data[[#This Row],[COSTOS OPERACIONALES ($COP)]]/(100%-D.sign_Data[[#This Row],[UTILIDAD (%)]])))-D.sign_Data[[#This Row],[COSTOS OPERACIONALES ($COP)]]</f>
        <v>9826.8182211064122</v>
      </c>
      <c r="AB1294" s="3">
        <f>+D.sign_Data[[#This Row],[COSTOS OPERACIONALES ($COP)]]+D.sign_Data[[#This Row],[DESFASE ($COP)]]+D.sign_Data[[#This Row],[UTILIDAD ($COP)]]</f>
        <v>68296.386636689538</v>
      </c>
      <c r="AC1294" s="101">
        <v>0.05</v>
      </c>
      <c r="AD1294" s="15">
        <f>+D.sign_Data[[#This Row],[VALOR NETO ($COP)]]/(100%-D.sign_Data[[#This Row],[MARGEN DE NEGOCIACIÓN (%)]])-D.sign_Data[[#This Row],[VALOR NETO ($COP)]]</f>
        <v>3594.5466650889284</v>
      </c>
      <c r="AE1294" s="15">
        <f>+(D.sign_Data[[#This Row],[VALOR NETO ($COP)]]+D.sign_Data[[#This Row],[NEGOCIACIÓN ($COP)]])*1%</f>
        <v>718.90933301778466</v>
      </c>
      <c r="AF1294" s="15">
        <f>+(D.sign_Data[[#This Row],[VALOR NETO ($COP)]]+D.sign_Data[[#This Row],[NEGOCIACIÓN ($COP)]])*1%</f>
        <v>718.90933301778466</v>
      </c>
      <c r="AG1294" s="3">
        <f>+D.sign_Data[[#This Row],[VALOR NETO ($COP)]]+D.sign_Data[[#This Row],[NEGOCIACIÓN ($COP)]]+D.sign_Data[[#This Row],[ICA ($COP)]]+D.sign_Data[[#This Row],[4 * 1000 ($COP)]]</f>
        <v>73328.751967814038</v>
      </c>
    </row>
    <row r="1295" spans="1:33" ht="60" hidden="1" customHeight="1" x14ac:dyDescent="0.25">
      <c r="A1295" s="14"/>
      <c r="B1295" s="87" t="s">
        <v>442</v>
      </c>
      <c r="C1295" s="182" t="s">
        <v>1165</v>
      </c>
      <c r="D1295" s="189" t="str">
        <f>VLOOKUP(D.sign_Data[[#This Row],[CÓDIGO]],Descripciones[[CÓDIGO]:[NOMBRE DE SERVICIO]],3,FALSE)</f>
        <v>D6. Diseño Interior</v>
      </c>
      <c r="E1295" s="87" t="s">
        <v>1104</v>
      </c>
      <c r="F1295" s="88" t="s">
        <v>1166</v>
      </c>
      <c r="G1295" s="88" t="s">
        <v>582</v>
      </c>
      <c r="H1295" s="104" t="s">
        <v>552</v>
      </c>
      <c r="I1295" s="89">
        <v>1</v>
      </c>
      <c r="J1295" s="88" t="s">
        <v>614</v>
      </c>
      <c r="K1295" s="102"/>
      <c r="L1295" s="88" t="s">
        <v>572</v>
      </c>
      <c r="M1295" s="89" t="s">
        <v>381</v>
      </c>
      <c r="N1295" s="90">
        <v>0.1</v>
      </c>
      <c r="O1295" s="27">
        <f>IFERROR(+VLOOKUP(M1295,D.sign_Lista_Data[[RESPONSABLE]:[SOFTWARE 
VALOR HORA]],3,FALSE),"0")</f>
        <v>20263.424518743668</v>
      </c>
      <c r="P1295" s="3">
        <f t="shared" si="48"/>
        <v>2026.3424518743668</v>
      </c>
      <c r="Q1295" s="11">
        <f>IFERROR(+VLOOKUP(M1295,D.sign_Lista_Data[[RESPONSABLE]:[SOFTWARE 
VALOR HORA]],5,FALSE)*D.sign_Data[[#This Row],[TIEMPO (HORAS)]],0)</f>
        <v>422.15467747382638</v>
      </c>
      <c r="R1295" s="11">
        <f>IFERROR(+VLOOKUP(M1295,D.sign_Lista_Data[[RESPONSABLE]:[SOFTWARE 
VALOR HORA]],8,FALSE)*D.sign_Data[[#This Row],[TIEMPO (HORAS)]],0)</f>
        <v>341.08548871439837</v>
      </c>
      <c r="S1295" s="99"/>
      <c r="T1295" s="99"/>
      <c r="U1295" s="3">
        <f t="shared" si="49"/>
        <v>2789.5826180625913</v>
      </c>
      <c r="V1295" s="100">
        <f>D.sign_Data[[#This Row],[TIEMPO (HORAS)]]*Gastos_Operativos[[#Totals],[GASTOS HORA]]</f>
        <v>2778.9477072310401</v>
      </c>
      <c r="W1295" s="3">
        <f>+D.sign_Data[[#This Row],[COSTO 
DIRECTO ($COP)]]+D.sign_Data[[#This Row],[PRORRATEO GASTOS ($COP)]]</f>
        <v>5568.5303252936319</v>
      </c>
      <c r="X1295" s="101">
        <v>0.05</v>
      </c>
      <c r="Y1295" s="15">
        <f>+D.sign_Data[[#This Row],[COSTOS OPERACIONALES ($COP)]]*D.sign_Data[[#This Row],[DESFASE (%)]]</f>
        <v>278.4265162646816</v>
      </c>
      <c r="Z1295" s="101">
        <v>0.15</v>
      </c>
      <c r="AA1295" s="15">
        <f>+((D.sign_Data[[#This Row],[COSTOS OPERACIONALES ($COP)]]/(100%-D.sign_Data[[#This Row],[UTILIDAD (%)]])))-D.sign_Data[[#This Row],[COSTOS OPERACIONALES ($COP)]]</f>
        <v>982.68182211064141</v>
      </c>
      <c r="AB1295" s="3">
        <f>+D.sign_Data[[#This Row],[COSTOS OPERACIONALES ($COP)]]+D.sign_Data[[#This Row],[DESFASE ($COP)]]+D.sign_Data[[#This Row],[UTILIDAD ($COP)]]</f>
        <v>6829.6386636689549</v>
      </c>
      <c r="AC1295" s="101">
        <v>0.05</v>
      </c>
      <c r="AD1295" s="15">
        <f>+D.sign_Data[[#This Row],[VALOR NETO ($COP)]]/(100%-D.sign_Data[[#This Row],[MARGEN DE NEGOCIACIÓN (%)]])-D.sign_Data[[#This Row],[VALOR NETO ($COP)]]</f>
        <v>359.45466650889284</v>
      </c>
      <c r="AE1295" s="15">
        <f>+(D.sign_Data[[#This Row],[VALOR NETO ($COP)]]+D.sign_Data[[#This Row],[NEGOCIACIÓN ($COP)]])*1%</f>
        <v>71.890933301778475</v>
      </c>
      <c r="AF1295" s="15">
        <f>+(D.sign_Data[[#This Row],[VALOR NETO ($COP)]]+D.sign_Data[[#This Row],[NEGOCIACIÓN ($COP)]])*1%</f>
        <v>71.890933301778475</v>
      </c>
      <c r="AG1295" s="3">
        <f>+D.sign_Data[[#This Row],[VALOR NETO ($COP)]]+D.sign_Data[[#This Row],[NEGOCIACIÓN ($COP)]]+D.sign_Data[[#This Row],[ICA ($COP)]]+D.sign_Data[[#This Row],[4 * 1000 ($COP)]]</f>
        <v>7332.8751967814042</v>
      </c>
    </row>
    <row r="1296" spans="1:33" ht="60" hidden="1" customHeight="1" x14ac:dyDescent="0.25">
      <c r="A1296" s="14"/>
      <c r="B1296" s="87" t="s">
        <v>442</v>
      </c>
      <c r="C1296" s="182" t="s">
        <v>1165</v>
      </c>
      <c r="D1296" s="189" t="str">
        <f>VLOOKUP(D.sign_Data[[#This Row],[CÓDIGO]],Descripciones[[CÓDIGO]:[NOMBRE DE SERVICIO]],3,FALSE)</f>
        <v>D6. Diseño Interior</v>
      </c>
      <c r="E1296" s="87" t="s">
        <v>1104</v>
      </c>
      <c r="F1296" s="88" t="s">
        <v>1166</v>
      </c>
      <c r="G1296" s="88" t="s">
        <v>587</v>
      </c>
      <c r="H1296" s="104" t="s">
        <v>552</v>
      </c>
      <c r="I1296" s="89">
        <v>1</v>
      </c>
      <c r="J1296" s="88" t="s">
        <v>588</v>
      </c>
      <c r="K1296" s="102"/>
      <c r="L1296" s="88" t="s">
        <v>589</v>
      </c>
      <c r="M1296" s="89" t="s">
        <v>381</v>
      </c>
      <c r="N1296" s="90">
        <v>1</v>
      </c>
      <c r="O1296" s="27">
        <f>IFERROR(+VLOOKUP(M1296,D.sign_Lista_Data[[RESPONSABLE]:[SOFTWARE 
VALOR HORA]],3,FALSE),"0")</f>
        <v>20263.424518743668</v>
      </c>
      <c r="P1296" s="3">
        <f t="shared" si="48"/>
        <v>20263.424518743668</v>
      </c>
      <c r="Q1296" s="11">
        <f>IFERROR(+VLOOKUP(M1296,D.sign_Lista_Data[[RESPONSABLE]:[SOFTWARE 
VALOR HORA]],5,FALSE)*D.sign_Data[[#This Row],[TIEMPO (HORAS)]],0)</f>
        <v>4221.5467747382636</v>
      </c>
      <c r="R1296" s="11">
        <f>IFERROR(+VLOOKUP(M1296,D.sign_Lista_Data[[RESPONSABLE]:[SOFTWARE 
VALOR HORA]],8,FALSE)*D.sign_Data[[#This Row],[TIEMPO (HORAS)]],0)</f>
        <v>3410.8548871439834</v>
      </c>
      <c r="S1296" s="99"/>
      <c r="T1296" s="99"/>
      <c r="U1296" s="3">
        <f t="shared" si="49"/>
        <v>27895.826180625918</v>
      </c>
      <c r="V1296" s="100">
        <f>D.sign_Data[[#This Row],[TIEMPO (HORAS)]]*Gastos_Operativos[[#Totals],[GASTOS HORA]]</f>
        <v>27789.477072310401</v>
      </c>
      <c r="W1296" s="3">
        <f>+D.sign_Data[[#This Row],[COSTO 
DIRECTO ($COP)]]+D.sign_Data[[#This Row],[PRORRATEO GASTOS ($COP)]]</f>
        <v>55685.303252936319</v>
      </c>
      <c r="X1296" s="101">
        <v>0.05</v>
      </c>
      <c r="Y1296" s="15">
        <f>+D.sign_Data[[#This Row],[COSTOS OPERACIONALES ($COP)]]*D.sign_Data[[#This Row],[DESFASE (%)]]</f>
        <v>2784.265162646816</v>
      </c>
      <c r="Z1296" s="101">
        <v>0.15</v>
      </c>
      <c r="AA1296" s="15">
        <f>+((D.sign_Data[[#This Row],[COSTOS OPERACIONALES ($COP)]]/(100%-D.sign_Data[[#This Row],[UTILIDAD (%)]])))-D.sign_Data[[#This Row],[COSTOS OPERACIONALES ($COP)]]</f>
        <v>9826.8182211064122</v>
      </c>
      <c r="AB1296" s="3">
        <f>+D.sign_Data[[#This Row],[COSTOS OPERACIONALES ($COP)]]+D.sign_Data[[#This Row],[DESFASE ($COP)]]+D.sign_Data[[#This Row],[UTILIDAD ($COP)]]</f>
        <v>68296.386636689538</v>
      </c>
      <c r="AC1296" s="101">
        <v>0.05</v>
      </c>
      <c r="AD1296" s="15">
        <f>+D.sign_Data[[#This Row],[VALOR NETO ($COP)]]/(100%-D.sign_Data[[#This Row],[MARGEN DE NEGOCIACIÓN (%)]])-D.sign_Data[[#This Row],[VALOR NETO ($COP)]]</f>
        <v>3594.5466650889284</v>
      </c>
      <c r="AE1296" s="15">
        <f>+(D.sign_Data[[#This Row],[VALOR NETO ($COP)]]+D.sign_Data[[#This Row],[NEGOCIACIÓN ($COP)]])*1%</f>
        <v>718.90933301778466</v>
      </c>
      <c r="AF1296" s="15">
        <f>+(D.sign_Data[[#This Row],[VALOR NETO ($COP)]]+D.sign_Data[[#This Row],[NEGOCIACIÓN ($COP)]])*1%</f>
        <v>718.90933301778466</v>
      </c>
      <c r="AG1296" s="3">
        <f>+D.sign_Data[[#This Row],[VALOR NETO ($COP)]]+D.sign_Data[[#This Row],[NEGOCIACIÓN ($COP)]]+D.sign_Data[[#This Row],[ICA ($COP)]]+D.sign_Data[[#This Row],[4 * 1000 ($COP)]]</f>
        <v>73328.751967814038</v>
      </c>
    </row>
    <row r="1297" spans="1:33" ht="60" hidden="1" customHeight="1" x14ac:dyDescent="0.25">
      <c r="A1297" s="14"/>
      <c r="B1297" s="87" t="s">
        <v>442</v>
      </c>
      <c r="C1297" s="182" t="s">
        <v>1165</v>
      </c>
      <c r="D1297" s="189" t="str">
        <f>VLOOKUP(D.sign_Data[[#This Row],[CÓDIGO]],Descripciones[[CÓDIGO]:[NOMBRE DE SERVICIO]],3,FALSE)</f>
        <v>D6. Diseño Interior</v>
      </c>
      <c r="E1297" s="87" t="s">
        <v>1104</v>
      </c>
      <c r="F1297" s="88" t="s">
        <v>1166</v>
      </c>
      <c r="G1297" s="88" t="s">
        <v>587</v>
      </c>
      <c r="H1297" s="104" t="s">
        <v>552</v>
      </c>
      <c r="I1297" s="89">
        <v>1</v>
      </c>
      <c r="J1297" s="88" t="s">
        <v>588</v>
      </c>
      <c r="K1297" s="102"/>
      <c r="L1297" s="88" t="s">
        <v>575</v>
      </c>
      <c r="M1297" s="89" t="s">
        <v>381</v>
      </c>
      <c r="N1297" s="90">
        <v>0.2</v>
      </c>
      <c r="O1297" s="27">
        <f>IFERROR(+VLOOKUP(M1297,D.sign_Lista_Data[[RESPONSABLE]:[SOFTWARE 
VALOR HORA]],3,FALSE),"0")</f>
        <v>20263.424518743668</v>
      </c>
      <c r="P1297" s="3">
        <f t="shared" si="48"/>
        <v>4052.6849037487336</v>
      </c>
      <c r="Q1297" s="11">
        <f>IFERROR(+VLOOKUP(M1297,D.sign_Lista_Data[[RESPONSABLE]:[SOFTWARE 
VALOR HORA]],5,FALSE)*D.sign_Data[[#This Row],[TIEMPO (HORAS)]],0)</f>
        <v>844.30935494765276</v>
      </c>
      <c r="R1297" s="11">
        <f>IFERROR(+VLOOKUP(M1297,D.sign_Lista_Data[[RESPONSABLE]:[SOFTWARE 
VALOR HORA]],8,FALSE)*D.sign_Data[[#This Row],[TIEMPO (HORAS)]],0)</f>
        <v>682.17097742879673</v>
      </c>
      <c r="S1297" s="99"/>
      <c r="T1297" s="99"/>
      <c r="U1297" s="3">
        <f t="shared" si="49"/>
        <v>5579.1652361251827</v>
      </c>
      <c r="V1297" s="100">
        <f>D.sign_Data[[#This Row],[TIEMPO (HORAS)]]*Gastos_Operativos[[#Totals],[GASTOS HORA]]</f>
        <v>5557.8954144620802</v>
      </c>
      <c r="W1297" s="3">
        <f>+D.sign_Data[[#This Row],[COSTO 
DIRECTO ($COP)]]+D.sign_Data[[#This Row],[PRORRATEO GASTOS ($COP)]]</f>
        <v>11137.060650587264</v>
      </c>
      <c r="X1297" s="101">
        <v>0.05</v>
      </c>
      <c r="Y1297" s="15">
        <f>+D.sign_Data[[#This Row],[COSTOS OPERACIONALES ($COP)]]*D.sign_Data[[#This Row],[DESFASE (%)]]</f>
        <v>556.85303252936319</v>
      </c>
      <c r="Z1297" s="101">
        <v>0.15</v>
      </c>
      <c r="AA1297" s="15">
        <f>+((D.sign_Data[[#This Row],[COSTOS OPERACIONALES ($COP)]]/(100%-D.sign_Data[[#This Row],[UTILIDAD (%)]])))-D.sign_Data[[#This Row],[COSTOS OPERACIONALES ($COP)]]</f>
        <v>1965.3636442212828</v>
      </c>
      <c r="AB1297" s="3">
        <f>+D.sign_Data[[#This Row],[COSTOS OPERACIONALES ($COP)]]+D.sign_Data[[#This Row],[DESFASE ($COP)]]+D.sign_Data[[#This Row],[UTILIDAD ($COP)]]</f>
        <v>13659.27732733791</v>
      </c>
      <c r="AC1297" s="101">
        <v>0.05</v>
      </c>
      <c r="AD1297" s="15">
        <f>+D.sign_Data[[#This Row],[VALOR NETO ($COP)]]/(100%-D.sign_Data[[#This Row],[MARGEN DE NEGOCIACIÓN (%)]])-D.sign_Data[[#This Row],[VALOR NETO ($COP)]]</f>
        <v>718.90933301778568</v>
      </c>
      <c r="AE1297" s="15">
        <f>+(D.sign_Data[[#This Row],[VALOR NETO ($COP)]]+D.sign_Data[[#This Row],[NEGOCIACIÓN ($COP)]])*1%</f>
        <v>143.78186660355695</v>
      </c>
      <c r="AF1297" s="15">
        <f>+(D.sign_Data[[#This Row],[VALOR NETO ($COP)]]+D.sign_Data[[#This Row],[NEGOCIACIÓN ($COP)]])*1%</f>
        <v>143.78186660355695</v>
      </c>
      <c r="AG1297" s="3">
        <f>+D.sign_Data[[#This Row],[VALOR NETO ($COP)]]+D.sign_Data[[#This Row],[NEGOCIACIÓN ($COP)]]+D.sign_Data[[#This Row],[ICA ($COP)]]+D.sign_Data[[#This Row],[4 * 1000 ($COP)]]</f>
        <v>14665.750393562808</v>
      </c>
    </row>
    <row r="1298" spans="1:33" ht="60" hidden="1" customHeight="1" x14ac:dyDescent="0.25">
      <c r="A1298" s="14"/>
      <c r="B1298" s="87" t="s">
        <v>442</v>
      </c>
      <c r="C1298" s="182" t="s">
        <v>1165</v>
      </c>
      <c r="D1298" s="189" t="str">
        <f>VLOOKUP(D.sign_Data[[#This Row],[CÓDIGO]],Descripciones[[CÓDIGO]:[NOMBRE DE SERVICIO]],3,FALSE)</f>
        <v>D6. Diseño Interior</v>
      </c>
      <c r="E1298" s="87" t="s">
        <v>1104</v>
      </c>
      <c r="F1298" s="88" t="s">
        <v>1166</v>
      </c>
      <c r="G1298" s="88" t="s">
        <v>587</v>
      </c>
      <c r="H1298" s="104" t="s">
        <v>552</v>
      </c>
      <c r="I1298" s="89">
        <v>1</v>
      </c>
      <c r="J1298" s="88" t="s">
        <v>588</v>
      </c>
      <c r="K1298" s="102"/>
      <c r="L1298" s="88" t="s">
        <v>590</v>
      </c>
      <c r="M1298" s="89" t="s">
        <v>381</v>
      </c>
      <c r="N1298" s="90">
        <v>0.5</v>
      </c>
      <c r="O1298" s="27">
        <f>IFERROR(+VLOOKUP(M1298,D.sign_Lista_Data[[RESPONSABLE]:[SOFTWARE 
VALOR HORA]],3,FALSE),"0")</f>
        <v>20263.424518743668</v>
      </c>
      <c r="P1298" s="3">
        <f t="shared" si="48"/>
        <v>10131.712259371834</v>
      </c>
      <c r="Q1298" s="11">
        <f>IFERROR(+VLOOKUP(M1298,D.sign_Lista_Data[[RESPONSABLE]:[SOFTWARE 
VALOR HORA]],5,FALSE)*D.sign_Data[[#This Row],[TIEMPO (HORAS)]],0)</f>
        <v>2110.7733873691318</v>
      </c>
      <c r="R1298" s="11">
        <f>IFERROR(+VLOOKUP(M1298,D.sign_Lista_Data[[RESPONSABLE]:[SOFTWARE 
VALOR HORA]],8,FALSE)*D.sign_Data[[#This Row],[TIEMPO (HORAS)]],0)</f>
        <v>1705.4274435719917</v>
      </c>
      <c r="S1298" s="99"/>
      <c r="T1298" s="99"/>
      <c r="U1298" s="3">
        <f t="shared" si="49"/>
        <v>13947.913090312959</v>
      </c>
      <c r="V1298" s="100">
        <f>D.sign_Data[[#This Row],[TIEMPO (HORAS)]]*Gastos_Operativos[[#Totals],[GASTOS HORA]]</f>
        <v>13894.738536155201</v>
      </c>
      <c r="W1298" s="3">
        <f>+D.sign_Data[[#This Row],[COSTO 
DIRECTO ($COP)]]+D.sign_Data[[#This Row],[PRORRATEO GASTOS ($COP)]]</f>
        <v>27842.65162646816</v>
      </c>
      <c r="X1298" s="101">
        <v>0.05</v>
      </c>
      <c r="Y1298" s="15">
        <f>+D.sign_Data[[#This Row],[COSTOS OPERACIONALES ($COP)]]*D.sign_Data[[#This Row],[DESFASE (%)]]</f>
        <v>1392.132581323408</v>
      </c>
      <c r="Z1298" s="101">
        <v>0.15</v>
      </c>
      <c r="AA1298" s="15">
        <f>+((D.sign_Data[[#This Row],[COSTOS OPERACIONALES ($COP)]]/(100%-D.sign_Data[[#This Row],[UTILIDAD (%)]])))-D.sign_Data[[#This Row],[COSTOS OPERACIONALES ($COP)]]</f>
        <v>4913.4091105532061</v>
      </c>
      <c r="AB1298" s="3">
        <f>+D.sign_Data[[#This Row],[COSTOS OPERACIONALES ($COP)]]+D.sign_Data[[#This Row],[DESFASE ($COP)]]+D.sign_Data[[#This Row],[UTILIDAD ($COP)]]</f>
        <v>34148.193318344769</v>
      </c>
      <c r="AC1298" s="101">
        <v>0.05</v>
      </c>
      <c r="AD1298" s="15">
        <f>+D.sign_Data[[#This Row],[VALOR NETO ($COP)]]/(100%-D.sign_Data[[#This Row],[MARGEN DE NEGOCIACIÓN (%)]])-D.sign_Data[[#This Row],[VALOR NETO ($COP)]]</f>
        <v>1797.2733325444642</v>
      </c>
      <c r="AE1298" s="15">
        <f>+(D.sign_Data[[#This Row],[VALOR NETO ($COP)]]+D.sign_Data[[#This Row],[NEGOCIACIÓN ($COP)]])*1%</f>
        <v>359.45466650889233</v>
      </c>
      <c r="AF1298" s="15">
        <f>+(D.sign_Data[[#This Row],[VALOR NETO ($COP)]]+D.sign_Data[[#This Row],[NEGOCIACIÓN ($COP)]])*1%</f>
        <v>359.45466650889233</v>
      </c>
      <c r="AG1298" s="3">
        <f>+D.sign_Data[[#This Row],[VALOR NETO ($COP)]]+D.sign_Data[[#This Row],[NEGOCIACIÓN ($COP)]]+D.sign_Data[[#This Row],[ICA ($COP)]]+D.sign_Data[[#This Row],[4 * 1000 ($COP)]]</f>
        <v>36664.375983907019</v>
      </c>
    </row>
    <row r="1299" spans="1:33" ht="60" hidden="1" customHeight="1" x14ac:dyDescent="0.25">
      <c r="A1299" s="14"/>
      <c r="B1299" s="87" t="s">
        <v>442</v>
      </c>
      <c r="C1299" s="182" t="s">
        <v>1165</v>
      </c>
      <c r="D1299" s="189" t="str">
        <f>VLOOKUP(D.sign_Data[[#This Row],[CÓDIGO]],Descripciones[[CÓDIGO]:[NOMBRE DE SERVICIO]],3,FALSE)</f>
        <v>D6. Diseño Interior</v>
      </c>
      <c r="E1299" s="87" t="s">
        <v>1104</v>
      </c>
      <c r="F1299" s="88" t="s">
        <v>1166</v>
      </c>
      <c r="G1299" s="88" t="s">
        <v>587</v>
      </c>
      <c r="H1299" s="104" t="s">
        <v>552</v>
      </c>
      <c r="I1299" s="89">
        <v>1</v>
      </c>
      <c r="J1299" s="88" t="s">
        <v>588</v>
      </c>
      <c r="K1299" s="102"/>
      <c r="L1299" s="88" t="s">
        <v>591</v>
      </c>
      <c r="M1299" s="89" t="s">
        <v>381</v>
      </c>
      <c r="N1299" s="90">
        <v>1</v>
      </c>
      <c r="O1299" s="27">
        <f>IFERROR(+VLOOKUP(M1299,D.sign_Lista_Data[[RESPONSABLE]:[SOFTWARE 
VALOR HORA]],3,FALSE),"0")</f>
        <v>20263.424518743668</v>
      </c>
      <c r="P1299" s="3">
        <f t="shared" si="48"/>
        <v>20263.424518743668</v>
      </c>
      <c r="Q1299" s="11">
        <f>IFERROR(+VLOOKUP(M1299,D.sign_Lista_Data[[RESPONSABLE]:[SOFTWARE 
VALOR HORA]],5,FALSE)*D.sign_Data[[#This Row],[TIEMPO (HORAS)]],0)</f>
        <v>4221.5467747382636</v>
      </c>
      <c r="R1299" s="11">
        <f>IFERROR(+VLOOKUP(M1299,D.sign_Lista_Data[[RESPONSABLE]:[SOFTWARE 
VALOR HORA]],8,FALSE)*D.sign_Data[[#This Row],[TIEMPO (HORAS)]],0)</f>
        <v>3410.8548871439834</v>
      </c>
      <c r="S1299" s="99"/>
      <c r="T1299" s="99"/>
      <c r="U1299" s="3">
        <f t="shared" si="49"/>
        <v>27895.826180625918</v>
      </c>
      <c r="V1299" s="100">
        <f>D.sign_Data[[#This Row],[TIEMPO (HORAS)]]*Gastos_Operativos[[#Totals],[GASTOS HORA]]</f>
        <v>27789.477072310401</v>
      </c>
      <c r="W1299" s="3">
        <f>+D.sign_Data[[#This Row],[COSTO 
DIRECTO ($COP)]]+D.sign_Data[[#This Row],[PRORRATEO GASTOS ($COP)]]</f>
        <v>55685.303252936319</v>
      </c>
      <c r="X1299" s="101">
        <v>0.05</v>
      </c>
      <c r="Y1299" s="15">
        <f>+D.sign_Data[[#This Row],[COSTOS OPERACIONALES ($COP)]]*D.sign_Data[[#This Row],[DESFASE (%)]]</f>
        <v>2784.265162646816</v>
      </c>
      <c r="Z1299" s="101">
        <v>0.15</v>
      </c>
      <c r="AA1299" s="15">
        <f>+((D.sign_Data[[#This Row],[COSTOS OPERACIONALES ($COP)]]/(100%-D.sign_Data[[#This Row],[UTILIDAD (%)]])))-D.sign_Data[[#This Row],[COSTOS OPERACIONALES ($COP)]]</f>
        <v>9826.8182211064122</v>
      </c>
      <c r="AB1299" s="3">
        <f>+D.sign_Data[[#This Row],[COSTOS OPERACIONALES ($COP)]]+D.sign_Data[[#This Row],[DESFASE ($COP)]]+D.sign_Data[[#This Row],[UTILIDAD ($COP)]]</f>
        <v>68296.386636689538</v>
      </c>
      <c r="AC1299" s="101">
        <v>0.05</v>
      </c>
      <c r="AD1299" s="15">
        <f>+D.sign_Data[[#This Row],[VALOR NETO ($COP)]]/(100%-D.sign_Data[[#This Row],[MARGEN DE NEGOCIACIÓN (%)]])-D.sign_Data[[#This Row],[VALOR NETO ($COP)]]</f>
        <v>3594.5466650889284</v>
      </c>
      <c r="AE1299" s="15">
        <f>+(D.sign_Data[[#This Row],[VALOR NETO ($COP)]]+D.sign_Data[[#This Row],[NEGOCIACIÓN ($COP)]])*1%</f>
        <v>718.90933301778466</v>
      </c>
      <c r="AF1299" s="15">
        <f>+(D.sign_Data[[#This Row],[VALOR NETO ($COP)]]+D.sign_Data[[#This Row],[NEGOCIACIÓN ($COP)]])*1%</f>
        <v>718.90933301778466</v>
      </c>
      <c r="AG1299" s="3">
        <f>+D.sign_Data[[#This Row],[VALOR NETO ($COP)]]+D.sign_Data[[#This Row],[NEGOCIACIÓN ($COP)]]+D.sign_Data[[#This Row],[ICA ($COP)]]+D.sign_Data[[#This Row],[4 * 1000 ($COP)]]</f>
        <v>73328.751967814038</v>
      </c>
    </row>
    <row r="1300" spans="1:33" ht="60" hidden="1" customHeight="1" x14ac:dyDescent="0.25">
      <c r="A1300" s="14"/>
      <c r="B1300" s="87" t="s">
        <v>442</v>
      </c>
      <c r="C1300" s="182" t="s">
        <v>1165</v>
      </c>
      <c r="D1300" s="189" t="str">
        <f>VLOOKUP(D.sign_Data[[#This Row],[CÓDIGO]],Descripciones[[CÓDIGO]:[NOMBRE DE SERVICIO]],3,FALSE)</f>
        <v>D6. Diseño Interior</v>
      </c>
      <c r="E1300" s="87" t="s">
        <v>1104</v>
      </c>
      <c r="F1300" s="88" t="s">
        <v>1166</v>
      </c>
      <c r="G1300" s="88" t="s">
        <v>587</v>
      </c>
      <c r="H1300" s="104" t="s">
        <v>552</v>
      </c>
      <c r="I1300" s="89">
        <v>1</v>
      </c>
      <c r="J1300" s="88" t="s">
        <v>588</v>
      </c>
      <c r="K1300" s="102"/>
      <c r="L1300" s="88" t="s">
        <v>570</v>
      </c>
      <c r="M1300" s="89" t="s">
        <v>381</v>
      </c>
      <c r="N1300" s="90">
        <v>1</v>
      </c>
      <c r="O1300" s="27">
        <f>IFERROR(+VLOOKUP(M1300,D.sign_Lista_Data[[RESPONSABLE]:[SOFTWARE 
VALOR HORA]],3,FALSE),"0")</f>
        <v>20263.424518743668</v>
      </c>
      <c r="P1300" s="3">
        <f t="shared" si="48"/>
        <v>20263.424518743668</v>
      </c>
      <c r="Q1300" s="11">
        <f>IFERROR(+VLOOKUP(M1300,D.sign_Lista_Data[[RESPONSABLE]:[SOFTWARE 
VALOR HORA]],5,FALSE)*D.sign_Data[[#This Row],[TIEMPO (HORAS)]],0)</f>
        <v>4221.5467747382636</v>
      </c>
      <c r="R1300" s="11">
        <f>IFERROR(+VLOOKUP(M1300,D.sign_Lista_Data[[RESPONSABLE]:[SOFTWARE 
VALOR HORA]],8,FALSE)*D.sign_Data[[#This Row],[TIEMPO (HORAS)]],0)</f>
        <v>3410.8548871439834</v>
      </c>
      <c r="S1300" s="99"/>
      <c r="T1300" s="99"/>
      <c r="U1300" s="3">
        <f t="shared" si="49"/>
        <v>27895.826180625918</v>
      </c>
      <c r="V1300" s="100">
        <f>D.sign_Data[[#This Row],[TIEMPO (HORAS)]]*Gastos_Operativos[[#Totals],[GASTOS HORA]]</f>
        <v>27789.477072310401</v>
      </c>
      <c r="W1300" s="3">
        <f>+D.sign_Data[[#This Row],[COSTO 
DIRECTO ($COP)]]+D.sign_Data[[#This Row],[PRORRATEO GASTOS ($COP)]]</f>
        <v>55685.303252936319</v>
      </c>
      <c r="X1300" s="101">
        <v>0.05</v>
      </c>
      <c r="Y1300" s="15">
        <f>+D.sign_Data[[#This Row],[COSTOS OPERACIONALES ($COP)]]*D.sign_Data[[#This Row],[DESFASE (%)]]</f>
        <v>2784.265162646816</v>
      </c>
      <c r="Z1300" s="101">
        <v>0.15</v>
      </c>
      <c r="AA1300" s="15">
        <f>+((D.sign_Data[[#This Row],[COSTOS OPERACIONALES ($COP)]]/(100%-D.sign_Data[[#This Row],[UTILIDAD (%)]])))-D.sign_Data[[#This Row],[COSTOS OPERACIONALES ($COP)]]</f>
        <v>9826.8182211064122</v>
      </c>
      <c r="AB1300" s="3">
        <f>+D.sign_Data[[#This Row],[COSTOS OPERACIONALES ($COP)]]+D.sign_Data[[#This Row],[DESFASE ($COP)]]+D.sign_Data[[#This Row],[UTILIDAD ($COP)]]</f>
        <v>68296.386636689538</v>
      </c>
      <c r="AC1300" s="101">
        <v>0.05</v>
      </c>
      <c r="AD1300" s="15">
        <f>+D.sign_Data[[#This Row],[VALOR NETO ($COP)]]/(100%-D.sign_Data[[#This Row],[MARGEN DE NEGOCIACIÓN (%)]])-D.sign_Data[[#This Row],[VALOR NETO ($COP)]]</f>
        <v>3594.5466650889284</v>
      </c>
      <c r="AE1300" s="15">
        <f>+(D.sign_Data[[#This Row],[VALOR NETO ($COP)]]+D.sign_Data[[#This Row],[NEGOCIACIÓN ($COP)]])*1%</f>
        <v>718.90933301778466</v>
      </c>
      <c r="AF1300" s="15">
        <f>+(D.sign_Data[[#This Row],[VALOR NETO ($COP)]]+D.sign_Data[[#This Row],[NEGOCIACIÓN ($COP)]])*1%</f>
        <v>718.90933301778466</v>
      </c>
      <c r="AG1300" s="3">
        <f>+D.sign_Data[[#This Row],[VALOR NETO ($COP)]]+D.sign_Data[[#This Row],[NEGOCIACIÓN ($COP)]]+D.sign_Data[[#This Row],[ICA ($COP)]]+D.sign_Data[[#This Row],[4 * 1000 ($COP)]]</f>
        <v>73328.751967814038</v>
      </c>
    </row>
    <row r="1301" spans="1:33" ht="60" hidden="1" customHeight="1" x14ac:dyDescent="0.25">
      <c r="A1301" s="14"/>
      <c r="B1301" s="87" t="s">
        <v>442</v>
      </c>
      <c r="C1301" s="182" t="s">
        <v>1165</v>
      </c>
      <c r="D1301" s="189" t="str">
        <f>VLOOKUP(D.sign_Data[[#This Row],[CÓDIGO]],Descripciones[[CÓDIGO]:[NOMBRE DE SERVICIO]],3,FALSE)</f>
        <v>D6. Diseño Interior</v>
      </c>
      <c r="E1301" s="87" t="s">
        <v>1104</v>
      </c>
      <c r="F1301" s="88" t="s">
        <v>1166</v>
      </c>
      <c r="G1301" s="88" t="s">
        <v>587</v>
      </c>
      <c r="H1301" s="104" t="s">
        <v>552</v>
      </c>
      <c r="I1301" s="89">
        <v>1</v>
      </c>
      <c r="J1301" s="88" t="s">
        <v>588</v>
      </c>
      <c r="K1301" s="102"/>
      <c r="L1301" s="88" t="s">
        <v>571</v>
      </c>
      <c r="M1301" s="89" t="s">
        <v>381</v>
      </c>
      <c r="N1301" s="90">
        <v>0.1</v>
      </c>
      <c r="O1301" s="27">
        <f>IFERROR(+VLOOKUP(M1301,D.sign_Lista_Data[[RESPONSABLE]:[SOFTWARE 
VALOR HORA]],3,FALSE),"0")</f>
        <v>20263.424518743668</v>
      </c>
      <c r="P1301" s="3">
        <f t="shared" si="48"/>
        <v>2026.3424518743668</v>
      </c>
      <c r="Q1301" s="11">
        <f>IFERROR(+VLOOKUP(M1301,D.sign_Lista_Data[[RESPONSABLE]:[SOFTWARE 
VALOR HORA]],5,FALSE)*D.sign_Data[[#This Row],[TIEMPO (HORAS)]],0)</f>
        <v>422.15467747382638</v>
      </c>
      <c r="R1301" s="11">
        <f>IFERROR(+VLOOKUP(M1301,D.sign_Lista_Data[[RESPONSABLE]:[SOFTWARE 
VALOR HORA]],8,FALSE)*D.sign_Data[[#This Row],[TIEMPO (HORAS)]],0)</f>
        <v>341.08548871439837</v>
      </c>
      <c r="S1301" s="99"/>
      <c r="T1301" s="99"/>
      <c r="U1301" s="3">
        <f t="shared" si="49"/>
        <v>2789.5826180625913</v>
      </c>
      <c r="V1301" s="100">
        <f>D.sign_Data[[#This Row],[TIEMPO (HORAS)]]*Gastos_Operativos[[#Totals],[GASTOS HORA]]</f>
        <v>2778.9477072310401</v>
      </c>
      <c r="W1301" s="3">
        <f>+D.sign_Data[[#This Row],[COSTO 
DIRECTO ($COP)]]+D.sign_Data[[#This Row],[PRORRATEO GASTOS ($COP)]]</f>
        <v>5568.5303252936319</v>
      </c>
      <c r="X1301" s="101">
        <v>0.05</v>
      </c>
      <c r="Y1301" s="15">
        <f>+D.sign_Data[[#This Row],[COSTOS OPERACIONALES ($COP)]]*D.sign_Data[[#This Row],[DESFASE (%)]]</f>
        <v>278.4265162646816</v>
      </c>
      <c r="Z1301" s="101">
        <v>0.15</v>
      </c>
      <c r="AA1301" s="15">
        <f>+((D.sign_Data[[#This Row],[COSTOS OPERACIONALES ($COP)]]/(100%-D.sign_Data[[#This Row],[UTILIDAD (%)]])))-D.sign_Data[[#This Row],[COSTOS OPERACIONALES ($COP)]]</f>
        <v>982.68182211064141</v>
      </c>
      <c r="AB1301" s="3">
        <f>+D.sign_Data[[#This Row],[COSTOS OPERACIONALES ($COP)]]+D.sign_Data[[#This Row],[DESFASE ($COP)]]+D.sign_Data[[#This Row],[UTILIDAD ($COP)]]</f>
        <v>6829.6386636689549</v>
      </c>
      <c r="AC1301" s="101">
        <v>0.05</v>
      </c>
      <c r="AD1301" s="15">
        <f>+D.sign_Data[[#This Row],[VALOR NETO ($COP)]]/(100%-D.sign_Data[[#This Row],[MARGEN DE NEGOCIACIÓN (%)]])-D.sign_Data[[#This Row],[VALOR NETO ($COP)]]</f>
        <v>359.45466650889284</v>
      </c>
      <c r="AE1301" s="15">
        <f>+(D.sign_Data[[#This Row],[VALOR NETO ($COP)]]+D.sign_Data[[#This Row],[NEGOCIACIÓN ($COP)]])*1%</f>
        <v>71.890933301778475</v>
      </c>
      <c r="AF1301" s="15">
        <f>+(D.sign_Data[[#This Row],[VALOR NETO ($COP)]]+D.sign_Data[[#This Row],[NEGOCIACIÓN ($COP)]])*1%</f>
        <v>71.890933301778475</v>
      </c>
      <c r="AG1301" s="3">
        <f>+D.sign_Data[[#This Row],[VALOR NETO ($COP)]]+D.sign_Data[[#This Row],[NEGOCIACIÓN ($COP)]]+D.sign_Data[[#This Row],[ICA ($COP)]]+D.sign_Data[[#This Row],[4 * 1000 ($COP)]]</f>
        <v>7332.8751967814042</v>
      </c>
    </row>
    <row r="1302" spans="1:33" ht="60" hidden="1" customHeight="1" x14ac:dyDescent="0.25">
      <c r="A1302" s="14"/>
      <c r="B1302" s="87" t="s">
        <v>442</v>
      </c>
      <c r="C1302" s="182" t="s">
        <v>1165</v>
      </c>
      <c r="D1302" s="189" t="str">
        <f>VLOOKUP(D.sign_Data[[#This Row],[CÓDIGO]],Descripciones[[CÓDIGO]:[NOMBRE DE SERVICIO]],3,FALSE)</f>
        <v>D6. Diseño Interior</v>
      </c>
      <c r="E1302" s="87" t="s">
        <v>1104</v>
      </c>
      <c r="F1302" s="88" t="s">
        <v>1166</v>
      </c>
      <c r="G1302" s="88" t="s">
        <v>587</v>
      </c>
      <c r="H1302" s="104" t="s">
        <v>552</v>
      </c>
      <c r="I1302" s="89">
        <v>1</v>
      </c>
      <c r="J1302" s="88" t="s">
        <v>588</v>
      </c>
      <c r="K1302" s="102"/>
      <c r="L1302" s="88" t="s">
        <v>579</v>
      </c>
      <c r="M1302" s="89" t="s">
        <v>381</v>
      </c>
      <c r="N1302" s="90">
        <v>0.5</v>
      </c>
      <c r="O1302" s="27">
        <f>IFERROR(+VLOOKUP(M1302,D.sign_Lista_Data[[RESPONSABLE]:[SOFTWARE 
VALOR HORA]],3,FALSE),"0")</f>
        <v>20263.424518743668</v>
      </c>
      <c r="P1302" s="3">
        <f t="shared" si="48"/>
        <v>10131.712259371834</v>
      </c>
      <c r="Q1302" s="11">
        <f>IFERROR(+VLOOKUP(M1302,D.sign_Lista_Data[[RESPONSABLE]:[SOFTWARE 
VALOR HORA]],5,FALSE)*D.sign_Data[[#This Row],[TIEMPO (HORAS)]],0)</f>
        <v>2110.7733873691318</v>
      </c>
      <c r="R1302" s="11">
        <f>IFERROR(+VLOOKUP(M1302,D.sign_Lista_Data[[RESPONSABLE]:[SOFTWARE 
VALOR HORA]],8,FALSE)*D.sign_Data[[#This Row],[TIEMPO (HORAS)]],0)</f>
        <v>1705.4274435719917</v>
      </c>
      <c r="S1302" s="99"/>
      <c r="T1302" s="99"/>
      <c r="U1302" s="3">
        <f t="shared" si="49"/>
        <v>13947.913090312959</v>
      </c>
      <c r="V1302" s="100">
        <f>D.sign_Data[[#This Row],[TIEMPO (HORAS)]]*Gastos_Operativos[[#Totals],[GASTOS HORA]]</f>
        <v>13894.738536155201</v>
      </c>
      <c r="W1302" s="3">
        <f>+D.sign_Data[[#This Row],[COSTO 
DIRECTO ($COP)]]+D.sign_Data[[#This Row],[PRORRATEO GASTOS ($COP)]]</f>
        <v>27842.65162646816</v>
      </c>
      <c r="X1302" s="101">
        <v>0.05</v>
      </c>
      <c r="Y1302" s="15">
        <f>+D.sign_Data[[#This Row],[COSTOS OPERACIONALES ($COP)]]*D.sign_Data[[#This Row],[DESFASE (%)]]</f>
        <v>1392.132581323408</v>
      </c>
      <c r="Z1302" s="101">
        <v>0.15</v>
      </c>
      <c r="AA1302" s="15">
        <f>+((D.sign_Data[[#This Row],[COSTOS OPERACIONALES ($COP)]]/(100%-D.sign_Data[[#This Row],[UTILIDAD (%)]])))-D.sign_Data[[#This Row],[COSTOS OPERACIONALES ($COP)]]</f>
        <v>4913.4091105532061</v>
      </c>
      <c r="AB1302" s="3">
        <f>+D.sign_Data[[#This Row],[COSTOS OPERACIONALES ($COP)]]+D.sign_Data[[#This Row],[DESFASE ($COP)]]+D.sign_Data[[#This Row],[UTILIDAD ($COP)]]</f>
        <v>34148.193318344769</v>
      </c>
      <c r="AC1302" s="101">
        <v>0.05</v>
      </c>
      <c r="AD1302" s="15">
        <f>+D.sign_Data[[#This Row],[VALOR NETO ($COP)]]/(100%-D.sign_Data[[#This Row],[MARGEN DE NEGOCIACIÓN (%)]])-D.sign_Data[[#This Row],[VALOR NETO ($COP)]]</f>
        <v>1797.2733325444642</v>
      </c>
      <c r="AE1302" s="15">
        <f>+(D.sign_Data[[#This Row],[VALOR NETO ($COP)]]+D.sign_Data[[#This Row],[NEGOCIACIÓN ($COP)]])*1%</f>
        <v>359.45466650889233</v>
      </c>
      <c r="AF1302" s="15">
        <f>+(D.sign_Data[[#This Row],[VALOR NETO ($COP)]]+D.sign_Data[[#This Row],[NEGOCIACIÓN ($COP)]])*1%</f>
        <v>359.45466650889233</v>
      </c>
      <c r="AG1302" s="3">
        <f>+D.sign_Data[[#This Row],[VALOR NETO ($COP)]]+D.sign_Data[[#This Row],[NEGOCIACIÓN ($COP)]]+D.sign_Data[[#This Row],[ICA ($COP)]]+D.sign_Data[[#This Row],[4 * 1000 ($COP)]]</f>
        <v>36664.375983907019</v>
      </c>
    </row>
    <row r="1303" spans="1:33" ht="60" hidden="1" customHeight="1" x14ac:dyDescent="0.25">
      <c r="A1303" s="14"/>
      <c r="B1303" s="87" t="s">
        <v>442</v>
      </c>
      <c r="C1303" s="182" t="s">
        <v>1165</v>
      </c>
      <c r="D1303" s="189" t="str">
        <f>VLOOKUP(D.sign_Data[[#This Row],[CÓDIGO]],Descripciones[[CÓDIGO]:[NOMBRE DE SERVICIO]],3,FALSE)</f>
        <v>D6. Diseño Interior</v>
      </c>
      <c r="E1303" s="87" t="s">
        <v>1104</v>
      </c>
      <c r="F1303" s="88" t="s">
        <v>1166</v>
      </c>
      <c r="G1303" s="88" t="s">
        <v>592</v>
      </c>
      <c r="H1303" s="104" t="s">
        <v>552</v>
      </c>
      <c r="I1303" s="89">
        <v>1</v>
      </c>
      <c r="J1303" s="88" t="s">
        <v>588</v>
      </c>
      <c r="K1303" s="102"/>
      <c r="L1303" s="88" t="s">
        <v>572</v>
      </c>
      <c r="M1303" s="89" t="s">
        <v>381</v>
      </c>
      <c r="N1303" s="90">
        <v>0.1</v>
      </c>
      <c r="O1303" s="27">
        <f>IFERROR(+VLOOKUP(M1303,D.sign_Lista_Data[[RESPONSABLE]:[SOFTWARE 
VALOR HORA]],3,FALSE),"0")</f>
        <v>20263.424518743668</v>
      </c>
      <c r="P1303" s="3">
        <f t="shared" si="48"/>
        <v>2026.3424518743668</v>
      </c>
      <c r="Q1303" s="11">
        <f>IFERROR(+VLOOKUP(M1303,D.sign_Lista_Data[[RESPONSABLE]:[SOFTWARE 
VALOR HORA]],5,FALSE)*D.sign_Data[[#This Row],[TIEMPO (HORAS)]],0)</f>
        <v>422.15467747382638</v>
      </c>
      <c r="R1303" s="11">
        <f>IFERROR(+VLOOKUP(M1303,D.sign_Lista_Data[[RESPONSABLE]:[SOFTWARE 
VALOR HORA]],8,FALSE)*D.sign_Data[[#This Row],[TIEMPO (HORAS)]],0)</f>
        <v>341.08548871439837</v>
      </c>
      <c r="S1303" s="99"/>
      <c r="T1303" s="99"/>
      <c r="U1303" s="3">
        <f t="shared" si="49"/>
        <v>2789.5826180625913</v>
      </c>
      <c r="V1303" s="100">
        <f>D.sign_Data[[#This Row],[TIEMPO (HORAS)]]*Gastos_Operativos[[#Totals],[GASTOS HORA]]</f>
        <v>2778.9477072310401</v>
      </c>
      <c r="W1303" s="3">
        <f>+D.sign_Data[[#This Row],[COSTO 
DIRECTO ($COP)]]+D.sign_Data[[#This Row],[PRORRATEO GASTOS ($COP)]]</f>
        <v>5568.5303252936319</v>
      </c>
      <c r="X1303" s="101">
        <v>0.05</v>
      </c>
      <c r="Y1303" s="15">
        <f>+D.sign_Data[[#This Row],[COSTOS OPERACIONALES ($COP)]]*D.sign_Data[[#This Row],[DESFASE (%)]]</f>
        <v>278.4265162646816</v>
      </c>
      <c r="Z1303" s="101">
        <v>0.15</v>
      </c>
      <c r="AA1303" s="15">
        <f>+((D.sign_Data[[#This Row],[COSTOS OPERACIONALES ($COP)]]/(100%-D.sign_Data[[#This Row],[UTILIDAD (%)]])))-D.sign_Data[[#This Row],[COSTOS OPERACIONALES ($COP)]]</f>
        <v>982.68182211064141</v>
      </c>
      <c r="AB1303" s="3">
        <f>+D.sign_Data[[#This Row],[COSTOS OPERACIONALES ($COP)]]+D.sign_Data[[#This Row],[DESFASE ($COP)]]+D.sign_Data[[#This Row],[UTILIDAD ($COP)]]</f>
        <v>6829.6386636689549</v>
      </c>
      <c r="AC1303" s="101">
        <v>0.05</v>
      </c>
      <c r="AD1303" s="15">
        <f>+D.sign_Data[[#This Row],[VALOR NETO ($COP)]]/(100%-D.sign_Data[[#This Row],[MARGEN DE NEGOCIACIÓN (%)]])-D.sign_Data[[#This Row],[VALOR NETO ($COP)]]</f>
        <v>359.45466650889284</v>
      </c>
      <c r="AE1303" s="15">
        <f>+(D.sign_Data[[#This Row],[VALOR NETO ($COP)]]+D.sign_Data[[#This Row],[NEGOCIACIÓN ($COP)]])*1%</f>
        <v>71.890933301778475</v>
      </c>
      <c r="AF1303" s="15">
        <f>+(D.sign_Data[[#This Row],[VALOR NETO ($COP)]]+D.sign_Data[[#This Row],[NEGOCIACIÓN ($COP)]])*1%</f>
        <v>71.890933301778475</v>
      </c>
      <c r="AG1303" s="3">
        <f>+D.sign_Data[[#This Row],[VALOR NETO ($COP)]]+D.sign_Data[[#This Row],[NEGOCIACIÓN ($COP)]]+D.sign_Data[[#This Row],[ICA ($COP)]]+D.sign_Data[[#This Row],[4 * 1000 ($COP)]]</f>
        <v>7332.8751967814042</v>
      </c>
    </row>
    <row r="1304" spans="1:33" ht="60" hidden="1" customHeight="1" x14ac:dyDescent="0.25">
      <c r="A1304" s="14"/>
      <c r="B1304" s="87" t="s">
        <v>442</v>
      </c>
      <c r="C1304" s="182" t="s">
        <v>1165</v>
      </c>
      <c r="D1304" s="189" t="str">
        <f>VLOOKUP(D.sign_Data[[#This Row],[CÓDIGO]],Descripciones[[CÓDIGO]:[NOMBRE DE SERVICIO]],3,FALSE)</f>
        <v>D6. Diseño Interior</v>
      </c>
      <c r="E1304" s="87" t="s">
        <v>1104</v>
      </c>
      <c r="F1304" s="88" t="s">
        <v>1166</v>
      </c>
      <c r="G1304" s="88" t="s">
        <v>587</v>
      </c>
      <c r="H1304" s="104" t="s">
        <v>552</v>
      </c>
      <c r="I1304" s="89">
        <v>1</v>
      </c>
      <c r="J1304" s="88" t="s">
        <v>615</v>
      </c>
      <c r="K1304" s="102"/>
      <c r="L1304" s="88" t="s">
        <v>575</v>
      </c>
      <c r="M1304" s="89" t="s">
        <v>381</v>
      </c>
      <c r="N1304" s="90">
        <v>0.2</v>
      </c>
      <c r="O1304" s="27">
        <f>IFERROR(+VLOOKUP(M1304,D.sign_Lista_Data[[RESPONSABLE]:[SOFTWARE 
VALOR HORA]],3,FALSE),"0")</f>
        <v>20263.424518743668</v>
      </c>
      <c r="P1304" s="3">
        <f t="shared" si="48"/>
        <v>4052.6849037487336</v>
      </c>
      <c r="Q1304" s="11">
        <f>IFERROR(+VLOOKUP(M1304,D.sign_Lista_Data[[RESPONSABLE]:[SOFTWARE 
VALOR HORA]],5,FALSE)*D.sign_Data[[#This Row],[TIEMPO (HORAS)]],0)</f>
        <v>844.30935494765276</v>
      </c>
      <c r="R1304" s="11">
        <f>IFERROR(+VLOOKUP(M1304,D.sign_Lista_Data[[RESPONSABLE]:[SOFTWARE 
VALOR HORA]],8,FALSE)*D.sign_Data[[#This Row],[TIEMPO (HORAS)]],0)</f>
        <v>682.17097742879673</v>
      </c>
      <c r="S1304" s="99"/>
      <c r="T1304" s="99"/>
      <c r="U1304" s="3">
        <f t="shared" si="49"/>
        <v>5579.1652361251827</v>
      </c>
      <c r="V1304" s="100">
        <f>D.sign_Data[[#This Row],[TIEMPO (HORAS)]]*Gastos_Operativos[[#Totals],[GASTOS HORA]]</f>
        <v>5557.8954144620802</v>
      </c>
      <c r="W1304" s="3">
        <f>+D.sign_Data[[#This Row],[COSTO 
DIRECTO ($COP)]]+D.sign_Data[[#This Row],[PRORRATEO GASTOS ($COP)]]</f>
        <v>11137.060650587264</v>
      </c>
      <c r="X1304" s="101">
        <v>0.05</v>
      </c>
      <c r="Y1304" s="15">
        <f>+D.sign_Data[[#This Row],[COSTOS OPERACIONALES ($COP)]]*D.sign_Data[[#This Row],[DESFASE (%)]]</f>
        <v>556.85303252936319</v>
      </c>
      <c r="Z1304" s="101">
        <v>0.15</v>
      </c>
      <c r="AA1304" s="15">
        <f>+((D.sign_Data[[#This Row],[COSTOS OPERACIONALES ($COP)]]/(100%-D.sign_Data[[#This Row],[UTILIDAD (%)]])))-D.sign_Data[[#This Row],[COSTOS OPERACIONALES ($COP)]]</f>
        <v>1965.3636442212828</v>
      </c>
      <c r="AB1304" s="3">
        <f>+D.sign_Data[[#This Row],[COSTOS OPERACIONALES ($COP)]]+D.sign_Data[[#This Row],[DESFASE ($COP)]]+D.sign_Data[[#This Row],[UTILIDAD ($COP)]]</f>
        <v>13659.27732733791</v>
      </c>
      <c r="AC1304" s="101">
        <v>0.05</v>
      </c>
      <c r="AD1304" s="15">
        <f>+D.sign_Data[[#This Row],[VALOR NETO ($COP)]]/(100%-D.sign_Data[[#This Row],[MARGEN DE NEGOCIACIÓN (%)]])-D.sign_Data[[#This Row],[VALOR NETO ($COP)]]</f>
        <v>718.90933301778568</v>
      </c>
      <c r="AE1304" s="15">
        <f>+(D.sign_Data[[#This Row],[VALOR NETO ($COP)]]+D.sign_Data[[#This Row],[NEGOCIACIÓN ($COP)]])*1%</f>
        <v>143.78186660355695</v>
      </c>
      <c r="AF1304" s="15">
        <f>+(D.sign_Data[[#This Row],[VALOR NETO ($COP)]]+D.sign_Data[[#This Row],[NEGOCIACIÓN ($COP)]])*1%</f>
        <v>143.78186660355695</v>
      </c>
      <c r="AG1304" s="3">
        <f>+D.sign_Data[[#This Row],[VALOR NETO ($COP)]]+D.sign_Data[[#This Row],[NEGOCIACIÓN ($COP)]]+D.sign_Data[[#This Row],[ICA ($COP)]]+D.sign_Data[[#This Row],[4 * 1000 ($COP)]]</f>
        <v>14665.750393562808</v>
      </c>
    </row>
    <row r="1305" spans="1:33" ht="60" hidden="1" customHeight="1" x14ac:dyDescent="0.25">
      <c r="A1305" s="14"/>
      <c r="B1305" s="87" t="s">
        <v>442</v>
      </c>
      <c r="C1305" s="182" t="s">
        <v>1165</v>
      </c>
      <c r="D1305" s="189" t="str">
        <f>VLOOKUP(D.sign_Data[[#This Row],[CÓDIGO]],Descripciones[[CÓDIGO]:[NOMBRE DE SERVICIO]],3,FALSE)</f>
        <v>D6. Diseño Interior</v>
      </c>
      <c r="E1305" s="87" t="s">
        <v>1104</v>
      </c>
      <c r="F1305" s="88" t="s">
        <v>1166</v>
      </c>
      <c r="G1305" s="88" t="s">
        <v>587</v>
      </c>
      <c r="H1305" s="104" t="s">
        <v>552</v>
      </c>
      <c r="I1305" s="89">
        <v>1</v>
      </c>
      <c r="J1305" s="88" t="s">
        <v>615</v>
      </c>
      <c r="K1305" s="102"/>
      <c r="L1305" s="88" t="s">
        <v>616</v>
      </c>
      <c r="M1305" s="89" t="s">
        <v>381</v>
      </c>
      <c r="N1305" s="90">
        <v>1</v>
      </c>
      <c r="O1305" s="27">
        <f>IFERROR(+VLOOKUP(M1305,D.sign_Lista_Data[[RESPONSABLE]:[SOFTWARE 
VALOR HORA]],3,FALSE),"0")</f>
        <v>20263.424518743668</v>
      </c>
      <c r="P1305" s="3">
        <f t="shared" si="48"/>
        <v>20263.424518743668</v>
      </c>
      <c r="Q1305" s="11">
        <f>IFERROR(+VLOOKUP(M1305,D.sign_Lista_Data[[RESPONSABLE]:[SOFTWARE 
VALOR HORA]],5,FALSE)*D.sign_Data[[#This Row],[TIEMPO (HORAS)]],0)</f>
        <v>4221.5467747382636</v>
      </c>
      <c r="R1305" s="11">
        <f>IFERROR(+VLOOKUP(M1305,D.sign_Lista_Data[[RESPONSABLE]:[SOFTWARE 
VALOR HORA]],8,FALSE)*D.sign_Data[[#This Row],[TIEMPO (HORAS)]],0)</f>
        <v>3410.8548871439834</v>
      </c>
      <c r="S1305" s="99"/>
      <c r="T1305" s="99"/>
      <c r="U1305" s="3">
        <f t="shared" si="49"/>
        <v>27895.826180625918</v>
      </c>
      <c r="V1305" s="100">
        <f>D.sign_Data[[#This Row],[TIEMPO (HORAS)]]*Gastos_Operativos[[#Totals],[GASTOS HORA]]</f>
        <v>27789.477072310401</v>
      </c>
      <c r="W1305" s="3">
        <f>+D.sign_Data[[#This Row],[COSTO 
DIRECTO ($COP)]]+D.sign_Data[[#This Row],[PRORRATEO GASTOS ($COP)]]</f>
        <v>55685.303252936319</v>
      </c>
      <c r="X1305" s="101">
        <v>0.05</v>
      </c>
      <c r="Y1305" s="15">
        <f>+D.sign_Data[[#This Row],[COSTOS OPERACIONALES ($COP)]]*D.sign_Data[[#This Row],[DESFASE (%)]]</f>
        <v>2784.265162646816</v>
      </c>
      <c r="Z1305" s="101">
        <v>0.15</v>
      </c>
      <c r="AA1305" s="15">
        <f>+((D.sign_Data[[#This Row],[COSTOS OPERACIONALES ($COP)]]/(100%-D.sign_Data[[#This Row],[UTILIDAD (%)]])))-D.sign_Data[[#This Row],[COSTOS OPERACIONALES ($COP)]]</f>
        <v>9826.8182211064122</v>
      </c>
      <c r="AB1305" s="3">
        <f>+D.sign_Data[[#This Row],[COSTOS OPERACIONALES ($COP)]]+D.sign_Data[[#This Row],[DESFASE ($COP)]]+D.sign_Data[[#This Row],[UTILIDAD ($COP)]]</f>
        <v>68296.386636689538</v>
      </c>
      <c r="AC1305" s="101">
        <v>0.05</v>
      </c>
      <c r="AD1305" s="15">
        <f>+D.sign_Data[[#This Row],[VALOR NETO ($COP)]]/(100%-D.sign_Data[[#This Row],[MARGEN DE NEGOCIACIÓN (%)]])-D.sign_Data[[#This Row],[VALOR NETO ($COP)]]</f>
        <v>3594.5466650889284</v>
      </c>
      <c r="AE1305" s="15">
        <f>+(D.sign_Data[[#This Row],[VALOR NETO ($COP)]]+D.sign_Data[[#This Row],[NEGOCIACIÓN ($COP)]])*1%</f>
        <v>718.90933301778466</v>
      </c>
      <c r="AF1305" s="15">
        <f>+(D.sign_Data[[#This Row],[VALOR NETO ($COP)]]+D.sign_Data[[#This Row],[NEGOCIACIÓN ($COP)]])*1%</f>
        <v>718.90933301778466</v>
      </c>
      <c r="AG1305" s="3">
        <f>+D.sign_Data[[#This Row],[VALOR NETO ($COP)]]+D.sign_Data[[#This Row],[NEGOCIACIÓN ($COP)]]+D.sign_Data[[#This Row],[ICA ($COP)]]+D.sign_Data[[#This Row],[4 * 1000 ($COP)]]</f>
        <v>73328.751967814038</v>
      </c>
    </row>
    <row r="1306" spans="1:33" ht="60" hidden="1" customHeight="1" x14ac:dyDescent="0.25">
      <c r="A1306" s="14"/>
      <c r="B1306" s="87" t="s">
        <v>442</v>
      </c>
      <c r="C1306" s="182" t="s">
        <v>1165</v>
      </c>
      <c r="D1306" s="189" t="str">
        <f>VLOOKUP(D.sign_Data[[#This Row],[CÓDIGO]],Descripciones[[CÓDIGO]:[NOMBRE DE SERVICIO]],3,FALSE)</f>
        <v>D6. Diseño Interior</v>
      </c>
      <c r="E1306" s="87" t="s">
        <v>1104</v>
      </c>
      <c r="F1306" s="88" t="s">
        <v>1166</v>
      </c>
      <c r="G1306" s="88" t="s">
        <v>587</v>
      </c>
      <c r="H1306" s="104" t="s">
        <v>552</v>
      </c>
      <c r="I1306" s="89">
        <v>1</v>
      </c>
      <c r="J1306" s="88" t="s">
        <v>615</v>
      </c>
      <c r="K1306" s="102"/>
      <c r="L1306" s="88" t="s">
        <v>577</v>
      </c>
      <c r="M1306" s="89" t="s">
        <v>381</v>
      </c>
      <c r="N1306" s="90">
        <v>0.5</v>
      </c>
      <c r="O1306" s="27">
        <f>IFERROR(+VLOOKUP(M1306,D.sign_Lista_Data[[RESPONSABLE]:[SOFTWARE 
VALOR HORA]],3,FALSE),"0")</f>
        <v>20263.424518743668</v>
      </c>
      <c r="P1306" s="3">
        <f t="shared" si="48"/>
        <v>10131.712259371834</v>
      </c>
      <c r="Q1306" s="11">
        <f>IFERROR(+VLOOKUP(M1306,D.sign_Lista_Data[[RESPONSABLE]:[SOFTWARE 
VALOR HORA]],5,FALSE)*D.sign_Data[[#This Row],[TIEMPO (HORAS)]],0)</f>
        <v>2110.7733873691318</v>
      </c>
      <c r="R1306" s="11">
        <f>IFERROR(+VLOOKUP(M1306,D.sign_Lista_Data[[RESPONSABLE]:[SOFTWARE 
VALOR HORA]],8,FALSE)*D.sign_Data[[#This Row],[TIEMPO (HORAS)]],0)</f>
        <v>1705.4274435719917</v>
      </c>
      <c r="S1306" s="99"/>
      <c r="T1306" s="99"/>
      <c r="U1306" s="3">
        <f t="shared" si="49"/>
        <v>13947.913090312959</v>
      </c>
      <c r="V1306" s="100">
        <f>D.sign_Data[[#This Row],[TIEMPO (HORAS)]]*Gastos_Operativos[[#Totals],[GASTOS HORA]]</f>
        <v>13894.738536155201</v>
      </c>
      <c r="W1306" s="3">
        <f>+D.sign_Data[[#This Row],[COSTO 
DIRECTO ($COP)]]+D.sign_Data[[#This Row],[PRORRATEO GASTOS ($COP)]]</f>
        <v>27842.65162646816</v>
      </c>
      <c r="X1306" s="101">
        <v>0.05</v>
      </c>
      <c r="Y1306" s="15">
        <f>+D.sign_Data[[#This Row],[COSTOS OPERACIONALES ($COP)]]*D.sign_Data[[#This Row],[DESFASE (%)]]</f>
        <v>1392.132581323408</v>
      </c>
      <c r="Z1306" s="101">
        <v>0.15</v>
      </c>
      <c r="AA1306" s="15">
        <f>+((D.sign_Data[[#This Row],[COSTOS OPERACIONALES ($COP)]]/(100%-D.sign_Data[[#This Row],[UTILIDAD (%)]])))-D.sign_Data[[#This Row],[COSTOS OPERACIONALES ($COP)]]</f>
        <v>4913.4091105532061</v>
      </c>
      <c r="AB1306" s="3">
        <f>+D.sign_Data[[#This Row],[COSTOS OPERACIONALES ($COP)]]+D.sign_Data[[#This Row],[DESFASE ($COP)]]+D.sign_Data[[#This Row],[UTILIDAD ($COP)]]</f>
        <v>34148.193318344769</v>
      </c>
      <c r="AC1306" s="101">
        <v>0.05</v>
      </c>
      <c r="AD1306" s="15">
        <f>+D.sign_Data[[#This Row],[VALOR NETO ($COP)]]/(100%-D.sign_Data[[#This Row],[MARGEN DE NEGOCIACIÓN (%)]])-D.sign_Data[[#This Row],[VALOR NETO ($COP)]]</f>
        <v>1797.2733325444642</v>
      </c>
      <c r="AE1306" s="15">
        <f>+(D.sign_Data[[#This Row],[VALOR NETO ($COP)]]+D.sign_Data[[#This Row],[NEGOCIACIÓN ($COP)]])*1%</f>
        <v>359.45466650889233</v>
      </c>
      <c r="AF1306" s="15">
        <f>+(D.sign_Data[[#This Row],[VALOR NETO ($COP)]]+D.sign_Data[[#This Row],[NEGOCIACIÓN ($COP)]])*1%</f>
        <v>359.45466650889233</v>
      </c>
      <c r="AG1306" s="3">
        <f>+D.sign_Data[[#This Row],[VALOR NETO ($COP)]]+D.sign_Data[[#This Row],[NEGOCIACIÓN ($COP)]]+D.sign_Data[[#This Row],[ICA ($COP)]]+D.sign_Data[[#This Row],[4 * 1000 ($COP)]]</f>
        <v>36664.375983907019</v>
      </c>
    </row>
    <row r="1307" spans="1:33" ht="60" hidden="1" customHeight="1" x14ac:dyDescent="0.25">
      <c r="A1307" s="14"/>
      <c r="B1307" s="87" t="s">
        <v>442</v>
      </c>
      <c r="C1307" s="182" t="s">
        <v>1165</v>
      </c>
      <c r="D1307" s="189" t="str">
        <f>VLOOKUP(D.sign_Data[[#This Row],[CÓDIGO]],Descripciones[[CÓDIGO]:[NOMBRE DE SERVICIO]],3,FALSE)</f>
        <v>D6. Diseño Interior</v>
      </c>
      <c r="E1307" s="87" t="s">
        <v>1104</v>
      </c>
      <c r="F1307" s="88" t="s">
        <v>1166</v>
      </c>
      <c r="G1307" s="88" t="s">
        <v>587</v>
      </c>
      <c r="H1307" s="104" t="s">
        <v>552</v>
      </c>
      <c r="I1307" s="89">
        <v>1</v>
      </c>
      <c r="J1307" s="88" t="s">
        <v>615</v>
      </c>
      <c r="K1307" s="102"/>
      <c r="L1307" s="88" t="s">
        <v>606</v>
      </c>
      <c r="M1307" s="89" t="s">
        <v>381</v>
      </c>
      <c r="N1307" s="90">
        <v>0.5</v>
      </c>
      <c r="O1307" s="27">
        <f>IFERROR(+VLOOKUP(M1307,D.sign_Lista_Data[[RESPONSABLE]:[SOFTWARE 
VALOR HORA]],3,FALSE),"0")</f>
        <v>20263.424518743668</v>
      </c>
      <c r="P1307" s="3">
        <f t="shared" si="48"/>
        <v>10131.712259371834</v>
      </c>
      <c r="Q1307" s="11">
        <f>IFERROR(+VLOOKUP(M1307,D.sign_Lista_Data[[RESPONSABLE]:[SOFTWARE 
VALOR HORA]],5,FALSE)*D.sign_Data[[#This Row],[TIEMPO (HORAS)]],0)</f>
        <v>2110.7733873691318</v>
      </c>
      <c r="R1307" s="11">
        <f>IFERROR(+VLOOKUP(M1307,D.sign_Lista_Data[[RESPONSABLE]:[SOFTWARE 
VALOR HORA]],8,FALSE)*D.sign_Data[[#This Row],[TIEMPO (HORAS)]],0)</f>
        <v>1705.4274435719917</v>
      </c>
      <c r="S1307" s="99"/>
      <c r="T1307" s="99"/>
      <c r="U1307" s="3">
        <f t="shared" si="49"/>
        <v>13947.913090312959</v>
      </c>
      <c r="V1307" s="100">
        <f>D.sign_Data[[#This Row],[TIEMPO (HORAS)]]*Gastos_Operativos[[#Totals],[GASTOS HORA]]</f>
        <v>13894.738536155201</v>
      </c>
      <c r="W1307" s="3">
        <f>+D.sign_Data[[#This Row],[COSTO 
DIRECTO ($COP)]]+D.sign_Data[[#This Row],[PRORRATEO GASTOS ($COP)]]</f>
        <v>27842.65162646816</v>
      </c>
      <c r="X1307" s="101">
        <v>0.05</v>
      </c>
      <c r="Y1307" s="15">
        <f>+D.sign_Data[[#This Row],[COSTOS OPERACIONALES ($COP)]]*D.sign_Data[[#This Row],[DESFASE (%)]]</f>
        <v>1392.132581323408</v>
      </c>
      <c r="Z1307" s="101">
        <v>0.15</v>
      </c>
      <c r="AA1307" s="15">
        <f>+((D.sign_Data[[#This Row],[COSTOS OPERACIONALES ($COP)]]/(100%-D.sign_Data[[#This Row],[UTILIDAD (%)]])))-D.sign_Data[[#This Row],[COSTOS OPERACIONALES ($COP)]]</f>
        <v>4913.4091105532061</v>
      </c>
      <c r="AB1307" s="3">
        <f>+D.sign_Data[[#This Row],[COSTOS OPERACIONALES ($COP)]]+D.sign_Data[[#This Row],[DESFASE ($COP)]]+D.sign_Data[[#This Row],[UTILIDAD ($COP)]]</f>
        <v>34148.193318344769</v>
      </c>
      <c r="AC1307" s="101">
        <v>0.05</v>
      </c>
      <c r="AD1307" s="15">
        <f>+D.sign_Data[[#This Row],[VALOR NETO ($COP)]]/(100%-D.sign_Data[[#This Row],[MARGEN DE NEGOCIACIÓN (%)]])-D.sign_Data[[#This Row],[VALOR NETO ($COP)]]</f>
        <v>1797.2733325444642</v>
      </c>
      <c r="AE1307" s="15">
        <f>+(D.sign_Data[[#This Row],[VALOR NETO ($COP)]]+D.sign_Data[[#This Row],[NEGOCIACIÓN ($COP)]])*1%</f>
        <v>359.45466650889233</v>
      </c>
      <c r="AF1307" s="15">
        <f>+(D.sign_Data[[#This Row],[VALOR NETO ($COP)]]+D.sign_Data[[#This Row],[NEGOCIACIÓN ($COP)]])*1%</f>
        <v>359.45466650889233</v>
      </c>
      <c r="AG1307" s="3">
        <f>+D.sign_Data[[#This Row],[VALOR NETO ($COP)]]+D.sign_Data[[#This Row],[NEGOCIACIÓN ($COP)]]+D.sign_Data[[#This Row],[ICA ($COP)]]+D.sign_Data[[#This Row],[4 * 1000 ($COP)]]</f>
        <v>36664.375983907019</v>
      </c>
    </row>
    <row r="1308" spans="1:33" ht="60" hidden="1" customHeight="1" x14ac:dyDescent="0.25">
      <c r="A1308" s="14"/>
      <c r="B1308" s="87" t="s">
        <v>442</v>
      </c>
      <c r="C1308" s="182" t="s">
        <v>1165</v>
      </c>
      <c r="D1308" s="189" t="str">
        <f>VLOOKUP(D.sign_Data[[#This Row],[CÓDIGO]],Descripciones[[CÓDIGO]:[NOMBRE DE SERVICIO]],3,FALSE)</f>
        <v>D6. Diseño Interior</v>
      </c>
      <c r="E1308" s="87" t="s">
        <v>1104</v>
      </c>
      <c r="F1308" s="88" t="s">
        <v>1166</v>
      </c>
      <c r="G1308" s="88" t="s">
        <v>587</v>
      </c>
      <c r="H1308" s="104" t="s">
        <v>552</v>
      </c>
      <c r="I1308" s="89">
        <v>1</v>
      </c>
      <c r="J1308" s="88" t="s">
        <v>615</v>
      </c>
      <c r="K1308" s="102"/>
      <c r="L1308" s="88" t="s">
        <v>596</v>
      </c>
      <c r="M1308" s="89" t="s">
        <v>381</v>
      </c>
      <c r="N1308" s="90">
        <v>5</v>
      </c>
      <c r="O1308" s="27">
        <f>IFERROR(+VLOOKUP(M1308,D.sign_Lista_Data[[RESPONSABLE]:[SOFTWARE 
VALOR HORA]],3,FALSE),"0")</f>
        <v>20263.424518743668</v>
      </c>
      <c r="P1308" s="3">
        <f t="shared" si="48"/>
        <v>101317.12259371835</v>
      </c>
      <c r="Q1308" s="11">
        <f>IFERROR(+VLOOKUP(M1308,D.sign_Lista_Data[[RESPONSABLE]:[SOFTWARE 
VALOR HORA]],5,FALSE)*D.sign_Data[[#This Row],[TIEMPO (HORAS)]],0)</f>
        <v>21107.733873691319</v>
      </c>
      <c r="R1308" s="11">
        <f>IFERROR(+VLOOKUP(M1308,D.sign_Lista_Data[[RESPONSABLE]:[SOFTWARE 
VALOR HORA]],8,FALSE)*D.sign_Data[[#This Row],[TIEMPO (HORAS)]],0)</f>
        <v>17054.274435719919</v>
      </c>
      <c r="S1308" s="99"/>
      <c r="T1308" s="99"/>
      <c r="U1308" s="3">
        <f t="shared" si="49"/>
        <v>139479.13090312958</v>
      </c>
      <c r="V1308" s="100">
        <f>D.sign_Data[[#This Row],[TIEMPO (HORAS)]]*Gastos_Operativos[[#Totals],[GASTOS HORA]]</f>
        <v>138947.38536155201</v>
      </c>
      <c r="W1308" s="3">
        <f>+D.sign_Data[[#This Row],[COSTO 
DIRECTO ($COP)]]+D.sign_Data[[#This Row],[PRORRATEO GASTOS ($COP)]]</f>
        <v>278426.51626468159</v>
      </c>
      <c r="X1308" s="101">
        <v>0.05</v>
      </c>
      <c r="Y1308" s="15">
        <f>+D.sign_Data[[#This Row],[COSTOS OPERACIONALES ($COP)]]*D.sign_Data[[#This Row],[DESFASE (%)]]</f>
        <v>13921.32581323408</v>
      </c>
      <c r="Z1308" s="101">
        <v>0.15</v>
      </c>
      <c r="AA1308" s="15">
        <f>+((D.sign_Data[[#This Row],[COSTOS OPERACIONALES ($COP)]]/(100%-D.sign_Data[[#This Row],[UTILIDAD (%)]])))-D.sign_Data[[#This Row],[COSTOS OPERACIONALES ($COP)]]</f>
        <v>49134.091105532076</v>
      </c>
      <c r="AB1308" s="3">
        <f>+D.sign_Data[[#This Row],[COSTOS OPERACIONALES ($COP)]]+D.sign_Data[[#This Row],[DESFASE ($COP)]]+D.sign_Data[[#This Row],[UTILIDAD ($COP)]]</f>
        <v>341481.93318344775</v>
      </c>
      <c r="AC1308" s="101">
        <v>0.05</v>
      </c>
      <c r="AD1308" s="15">
        <f>+D.sign_Data[[#This Row],[VALOR NETO ($COP)]]/(100%-D.sign_Data[[#This Row],[MARGEN DE NEGOCIACIÓN (%)]])-D.sign_Data[[#This Row],[VALOR NETO ($COP)]]</f>
        <v>17972.733325444628</v>
      </c>
      <c r="AE1308" s="15">
        <f>+(D.sign_Data[[#This Row],[VALOR NETO ($COP)]]+D.sign_Data[[#This Row],[NEGOCIACIÓN ($COP)]])*1%</f>
        <v>3594.5466650889239</v>
      </c>
      <c r="AF1308" s="15">
        <f>+(D.sign_Data[[#This Row],[VALOR NETO ($COP)]]+D.sign_Data[[#This Row],[NEGOCIACIÓN ($COP)]])*1%</f>
        <v>3594.5466650889239</v>
      </c>
      <c r="AG1308" s="3">
        <f>+D.sign_Data[[#This Row],[VALOR NETO ($COP)]]+D.sign_Data[[#This Row],[NEGOCIACIÓN ($COP)]]+D.sign_Data[[#This Row],[ICA ($COP)]]+D.sign_Data[[#This Row],[4 * 1000 ($COP)]]</f>
        <v>366643.7598390702</v>
      </c>
    </row>
    <row r="1309" spans="1:33" ht="60" hidden="1" customHeight="1" x14ac:dyDescent="0.25">
      <c r="A1309" s="14"/>
      <c r="B1309" s="87" t="s">
        <v>442</v>
      </c>
      <c r="C1309" s="182" t="s">
        <v>1165</v>
      </c>
      <c r="D1309" s="189" t="str">
        <f>VLOOKUP(D.sign_Data[[#This Row],[CÓDIGO]],Descripciones[[CÓDIGO]:[NOMBRE DE SERVICIO]],3,FALSE)</f>
        <v>D6. Diseño Interior</v>
      </c>
      <c r="E1309" s="87" t="s">
        <v>1104</v>
      </c>
      <c r="F1309" s="88" t="s">
        <v>1166</v>
      </c>
      <c r="G1309" s="88" t="s">
        <v>587</v>
      </c>
      <c r="H1309" s="104" t="s">
        <v>552</v>
      </c>
      <c r="I1309" s="89">
        <v>1</v>
      </c>
      <c r="J1309" s="88" t="s">
        <v>615</v>
      </c>
      <c r="K1309" s="102"/>
      <c r="L1309" s="88" t="s">
        <v>579</v>
      </c>
      <c r="M1309" s="89" t="s">
        <v>381</v>
      </c>
      <c r="N1309" s="90">
        <v>1</v>
      </c>
      <c r="O1309" s="27">
        <f>IFERROR(+VLOOKUP(M1309,D.sign_Lista_Data[[RESPONSABLE]:[SOFTWARE 
VALOR HORA]],3,FALSE),"0")</f>
        <v>20263.424518743668</v>
      </c>
      <c r="P1309" s="3">
        <f t="shared" si="48"/>
        <v>20263.424518743668</v>
      </c>
      <c r="Q1309" s="11">
        <f>IFERROR(+VLOOKUP(M1309,D.sign_Lista_Data[[RESPONSABLE]:[SOFTWARE 
VALOR HORA]],5,FALSE)*D.sign_Data[[#This Row],[TIEMPO (HORAS)]],0)</f>
        <v>4221.5467747382636</v>
      </c>
      <c r="R1309" s="11">
        <f>IFERROR(+VLOOKUP(M1309,D.sign_Lista_Data[[RESPONSABLE]:[SOFTWARE 
VALOR HORA]],8,FALSE)*D.sign_Data[[#This Row],[TIEMPO (HORAS)]],0)</f>
        <v>3410.8548871439834</v>
      </c>
      <c r="S1309" s="99"/>
      <c r="T1309" s="99"/>
      <c r="U1309" s="3">
        <f t="shared" si="49"/>
        <v>27895.826180625918</v>
      </c>
      <c r="V1309" s="100">
        <f>D.sign_Data[[#This Row],[TIEMPO (HORAS)]]*Gastos_Operativos[[#Totals],[GASTOS HORA]]</f>
        <v>27789.477072310401</v>
      </c>
      <c r="W1309" s="3">
        <f>+D.sign_Data[[#This Row],[COSTO 
DIRECTO ($COP)]]+D.sign_Data[[#This Row],[PRORRATEO GASTOS ($COP)]]</f>
        <v>55685.303252936319</v>
      </c>
      <c r="X1309" s="101">
        <v>0.05</v>
      </c>
      <c r="Y1309" s="15">
        <f>+D.sign_Data[[#This Row],[COSTOS OPERACIONALES ($COP)]]*D.sign_Data[[#This Row],[DESFASE (%)]]</f>
        <v>2784.265162646816</v>
      </c>
      <c r="Z1309" s="101">
        <v>0.15</v>
      </c>
      <c r="AA1309" s="15">
        <f>+((D.sign_Data[[#This Row],[COSTOS OPERACIONALES ($COP)]]/(100%-D.sign_Data[[#This Row],[UTILIDAD (%)]])))-D.sign_Data[[#This Row],[COSTOS OPERACIONALES ($COP)]]</f>
        <v>9826.8182211064122</v>
      </c>
      <c r="AB1309" s="3">
        <f>+D.sign_Data[[#This Row],[COSTOS OPERACIONALES ($COP)]]+D.sign_Data[[#This Row],[DESFASE ($COP)]]+D.sign_Data[[#This Row],[UTILIDAD ($COP)]]</f>
        <v>68296.386636689538</v>
      </c>
      <c r="AC1309" s="101">
        <v>0.05</v>
      </c>
      <c r="AD1309" s="15">
        <f>+D.sign_Data[[#This Row],[VALOR NETO ($COP)]]/(100%-D.sign_Data[[#This Row],[MARGEN DE NEGOCIACIÓN (%)]])-D.sign_Data[[#This Row],[VALOR NETO ($COP)]]</f>
        <v>3594.5466650889284</v>
      </c>
      <c r="AE1309" s="15">
        <f>+(D.sign_Data[[#This Row],[VALOR NETO ($COP)]]+D.sign_Data[[#This Row],[NEGOCIACIÓN ($COP)]])*1%</f>
        <v>718.90933301778466</v>
      </c>
      <c r="AF1309" s="15">
        <f>+(D.sign_Data[[#This Row],[VALOR NETO ($COP)]]+D.sign_Data[[#This Row],[NEGOCIACIÓN ($COP)]])*1%</f>
        <v>718.90933301778466</v>
      </c>
      <c r="AG1309" s="3">
        <f>+D.sign_Data[[#This Row],[VALOR NETO ($COP)]]+D.sign_Data[[#This Row],[NEGOCIACIÓN ($COP)]]+D.sign_Data[[#This Row],[ICA ($COP)]]+D.sign_Data[[#This Row],[4 * 1000 ($COP)]]</f>
        <v>73328.751967814038</v>
      </c>
    </row>
    <row r="1310" spans="1:33" ht="60" hidden="1" customHeight="1" x14ac:dyDescent="0.25">
      <c r="A1310" s="14"/>
      <c r="B1310" s="87" t="s">
        <v>442</v>
      </c>
      <c r="C1310" s="182" t="s">
        <v>1165</v>
      </c>
      <c r="D1310" s="189" t="str">
        <f>VLOOKUP(D.sign_Data[[#This Row],[CÓDIGO]],Descripciones[[CÓDIGO]:[NOMBRE DE SERVICIO]],3,FALSE)</f>
        <v>D6. Diseño Interior</v>
      </c>
      <c r="E1310" s="87" t="s">
        <v>1104</v>
      </c>
      <c r="F1310" s="88" t="s">
        <v>1166</v>
      </c>
      <c r="G1310" s="88" t="s">
        <v>587</v>
      </c>
      <c r="H1310" s="104" t="s">
        <v>552</v>
      </c>
      <c r="I1310" s="89">
        <v>1</v>
      </c>
      <c r="J1310" s="88" t="s">
        <v>615</v>
      </c>
      <c r="K1310" s="102"/>
      <c r="L1310" s="88" t="s">
        <v>570</v>
      </c>
      <c r="M1310" s="89" t="s">
        <v>381</v>
      </c>
      <c r="N1310" s="90">
        <v>0.5</v>
      </c>
      <c r="O1310" s="27">
        <f>IFERROR(+VLOOKUP(M1310,D.sign_Lista_Data[[RESPONSABLE]:[SOFTWARE 
VALOR HORA]],3,FALSE),"0")</f>
        <v>20263.424518743668</v>
      </c>
      <c r="P1310" s="3">
        <f t="shared" si="48"/>
        <v>10131.712259371834</v>
      </c>
      <c r="Q1310" s="11">
        <f>IFERROR(+VLOOKUP(M1310,D.sign_Lista_Data[[RESPONSABLE]:[SOFTWARE 
VALOR HORA]],5,FALSE)*D.sign_Data[[#This Row],[TIEMPO (HORAS)]],0)</f>
        <v>2110.7733873691318</v>
      </c>
      <c r="R1310" s="11">
        <f>IFERROR(+VLOOKUP(M1310,D.sign_Lista_Data[[RESPONSABLE]:[SOFTWARE 
VALOR HORA]],8,FALSE)*D.sign_Data[[#This Row],[TIEMPO (HORAS)]],0)</f>
        <v>1705.4274435719917</v>
      </c>
      <c r="S1310" s="99"/>
      <c r="T1310" s="99"/>
      <c r="U1310" s="3">
        <f t="shared" si="49"/>
        <v>13947.913090312959</v>
      </c>
      <c r="V1310" s="100">
        <f>D.sign_Data[[#This Row],[TIEMPO (HORAS)]]*Gastos_Operativos[[#Totals],[GASTOS HORA]]</f>
        <v>13894.738536155201</v>
      </c>
      <c r="W1310" s="3">
        <f>+D.sign_Data[[#This Row],[COSTO 
DIRECTO ($COP)]]+D.sign_Data[[#This Row],[PRORRATEO GASTOS ($COP)]]</f>
        <v>27842.65162646816</v>
      </c>
      <c r="X1310" s="101">
        <v>0.05</v>
      </c>
      <c r="Y1310" s="15">
        <f>+D.sign_Data[[#This Row],[COSTOS OPERACIONALES ($COP)]]*D.sign_Data[[#This Row],[DESFASE (%)]]</f>
        <v>1392.132581323408</v>
      </c>
      <c r="Z1310" s="101">
        <v>0.15</v>
      </c>
      <c r="AA1310" s="15">
        <f>+((D.sign_Data[[#This Row],[COSTOS OPERACIONALES ($COP)]]/(100%-D.sign_Data[[#This Row],[UTILIDAD (%)]])))-D.sign_Data[[#This Row],[COSTOS OPERACIONALES ($COP)]]</f>
        <v>4913.4091105532061</v>
      </c>
      <c r="AB1310" s="3">
        <f>+D.sign_Data[[#This Row],[COSTOS OPERACIONALES ($COP)]]+D.sign_Data[[#This Row],[DESFASE ($COP)]]+D.sign_Data[[#This Row],[UTILIDAD ($COP)]]</f>
        <v>34148.193318344769</v>
      </c>
      <c r="AC1310" s="101">
        <v>0.05</v>
      </c>
      <c r="AD1310" s="15">
        <f>+D.sign_Data[[#This Row],[VALOR NETO ($COP)]]/(100%-D.sign_Data[[#This Row],[MARGEN DE NEGOCIACIÓN (%)]])-D.sign_Data[[#This Row],[VALOR NETO ($COP)]]</f>
        <v>1797.2733325444642</v>
      </c>
      <c r="AE1310" s="15">
        <f>+(D.sign_Data[[#This Row],[VALOR NETO ($COP)]]+D.sign_Data[[#This Row],[NEGOCIACIÓN ($COP)]])*1%</f>
        <v>359.45466650889233</v>
      </c>
      <c r="AF1310" s="15">
        <f>+(D.sign_Data[[#This Row],[VALOR NETO ($COP)]]+D.sign_Data[[#This Row],[NEGOCIACIÓN ($COP)]])*1%</f>
        <v>359.45466650889233</v>
      </c>
      <c r="AG1310" s="3">
        <f>+D.sign_Data[[#This Row],[VALOR NETO ($COP)]]+D.sign_Data[[#This Row],[NEGOCIACIÓN ($COP)]]+D.sign_Data[[#This Row],[ICA ($COP)]]+D.sign_Data[[#This Row],[4 * 1000 ($COP)]]</f>
        <v>36664.375983907019</v>
      </c>
    </row>
    <row r="1311" spans="1:33" ht="60" hidden="1" customHeight="1" x14ac:dyDescent="0.25">
      <c r="A1311" s="14"/>
      <c r="B1311" s="87" t="s">
        <v>442</v>
      </c>
      <c r="C1311" s="182" t="s">
        <v>1165</v>
      </c>
      <c r="D1311" s="189" t="str">
        <f>VLOOKUP(D.sign_Data[[#This Row],[CÓDIGO]],Descripciones[[CÓDIGO]:[NOMBRE DE SERVICIO]],3,FALSE)</f>
        <v>D6. Diseño Interior</v>
      </c>
      <c r="E1311" s="87" t="s">
        <v>1104</v>
      </c>
      <c r="F1311" s="88" t="s">
        <v>1166</v>
      </c>
      <c r="G1311" s="88" t="s">
        <v>587</v>
      </c>
      <c r="H1311" s="104" t="s">
        <v>552</v>
      </c>
      <c r="I1311" s="89">
        <v>1</v>
      </c>
      <c r="J1311" s="88" t="s">
        <v>615</v>
      </c>
      <c r="K1311" s="102"/>
      <c r="L1311" s="88" t="s">
        <v>483</v>
      </c>
      <c r="M1311" s="89" t="s">
        <v>381</v>
      </c>
      <c r="N1311" s="90">
        <v>0.1</v>
      </c>
      <c r="O1311" s="27">
        <f>IFERROR(+VLOOKUP(M1311,D.sign_Lista_Data[[RESPONSABLE]:[SOFTWARE 
VALOR HORA]],3,FALSE),"0")</f>
        <v>20263.424518743668</v>
      </c>
      <c r="P1311" s="3">
        <f t="shared" si="48"/>
        <v>2026.3424518743668</v>
      </c>
      <c r="Q1311" s="11">
        <f>IFERROR(+VLOOKUP(M1311,D.sign_Lista_Data[[RESPONSABLE]:[SOFTWARE 
VALOR HORA]],5,FALSE)*D.sign_Data[[#This Row],[TIEMPO (HORAS)]],0)</f>
        <v>422.15467747382638</v>
      </c>
      <c r="R1311" s="11">
        <f>IFERROR(+VLOOKUP(M1311,D.sign_Lista_Data[[RESPONSABLE]:[SOFTWARE 
VALOR HORA]],8,FALSE)*D.sign_Data[[#This Row],[TIEMPO (HORAS)]],0)</f>
        <v>341.08548871439837</v>
      </c>
      <c r="S1311" s="99"/>
      <c r="T1311" s="99"/>
      <c r="U1311" s="3">
        <f t="shared" si="49"/>
        <v>2789.5826180625913</v>
      </c>
      <c r="V1311" s="100">
        <f>D.sign_Data[[#This Row],[TIEMPO (HORAS)]]*Gastos_Operativos[[#Totals],[GASTOS HORA]]</f>
        <v>2778.9477072310401</v>
      </c>
      <c r="W1311" s="3">
        <f>+D.sign_Data[[#This Row],[COSTO 
DIRECTO ($COP)]]+D.sign_Data[[#This Row],[PRORRATEO GASTOS ($COP)]]</f>
        <v>5568.5303252936319</v>
      </c>
      <c r="X1311" s="101">
        <v>0.05</v>
      </c>
      <c r="Y1311" s="15">
        <f>+D.sign_Data[[#This Row],[COSTOS OPERACIONALES ($COP)]]*D.sign_Data[[#This Row],[DESFASE (%)]]</f>
        <v>278.4265162646816</v>
      </c>
      <c r="Z1311" s="101">
        <v>0.15</v>
      </c>
      <c r="AA1311" s="15">
        <f>+((D.sign_Data[[#This Row],[COSTOS OPERACIONALES ($COP)]]/(100%-D.sign_Data[[#This Row],[UTILIDAD (%)]])))-D.sign_Data[[#This Row],[COSTOS OPERACIONALES ($COP)]]</f>
        <v>982.68182211064141</v>
      </c>
      <c r="AB1311" s="3">
        <f>+D.sign_Data[[#This Row],[COSTOS OPERACIONALES ($COP)]]+D.sign_Data[[#This Row],[DESFASE ($COP)]]+D.sign_Data[[#This Row],[UTILIDAD ($COP)]]</f>
        <v>6829.6386636689549</v>
      </c>
      <c r="AC1311" s="101">
        <v>0.05</v>
      </c>
      <c r="AD1311" s="15">
        <f>+D.sign_Data[[#This Row],[VALOR NETO ($COP)]]/(100%-D.sign_Data[[#This Row],[MARGEN DE NEGOCIACIÓN (%)]])-D.sign_Data[[#This Row],[VALOR NETO ($COP)]]</f>
        <v>359.45466650889284</v>
      </c>
      <c r="AE1311" s="15">
        <f>+(D.sign_Data[[#This Row],[VALOR NETO ($COP)]]+D.sign_Data[[#This Row],[NEGOCIACIÓN ($COP)]])*1%</f>
        <v>71.890933301778475</v>
      </c>
      <c r="AF1311" s="15">
        <f>+(D.sign_Data[[#This Row],[VALOR NETO ($COP)]]+D.sign_Data[[#This Row],[NEGOCIACIÓN ($COP)]])*1%</f>
        <v>71.890933301778475</v>
      </c>
      <c r="AG1311" s="3">
        <f>+D.sign_Data[[#This Row],[VALOR NETO ($COP)]]+D.sign_Data[[#This Row],[NEGOCIACIÓN ($COP)]]+D.sign_Data[[#This Row],[ICA ($COP)]]+D.sign_Data[[#This Row],[4 * 1000 ($COP)]]</f>
        <v>7332.8751967814042</v>
      </c>
    </row>
    <row r="1312" spans="1:33" ht="60" hidden="1" customHeight="1" x14ac:dyDescent="0.25">
      <c r="A1312" s="14"/>
      <c r="B1312" s="87" t="s">
        <v>442</v>
      </c>
      <c r="C1312" s="182" t="s">
        <v>1165</v>
      </c>
      <c r="D1312" s="189" t="str">
        <f>VLOOKUP(D.sign_Data[[#This Row],[CÓDIGO]],Descripciones[[CÓDIGO]:[NOMBRE DE SERVICIO]],3,FALSE)</f>
        <v>D6. Diseño Interior</v>
      </c>
      <c r="E1312" s="87" t="s">
        <v>1104</v>
      </c>
      <c r="F1312" s="88" t="s">
        <v>1166</v>
      </c>
      <c r="G1312" s="88" t="s">
        <v>587</v>
      </c>
      <c r="H1312" s="104" t="s">
        <v>552</v>
      </c>
      <c r="I1312" s="89">
        <v>1</v>
      </c>
      <c r="J1312" s="88" t="s">
        <v>615</v>
      </c>
      <c r="K1312" s="102"/>
      <c r="L1312" s="88" t="s">
        <v>572</v>
      </c>
      <c r="M1312" s="89" t="s">
        <v>381</v>
      </c>
      <c r="N1312" s="90">
        <v>0.1</v>
      </c>
      <c r="O1312" s="27">
        <f>IFERROR(+VLOOKUP(M1312,D.sign_Lista_Data[[RESPONSABLE]:[SOFTWARE 
VALOR HORA]],3,FALSE),"0")</f>
        <v>20263.424518743668</v>
      </c>
      <c r="P1312" s="3">
        <f t="shared" si="48"/>
        <v>2026.3424518743668</v>
      </c>
      <c r="Q1312" s="11">
        <f>IFERROR(+VLOOKUP(M1312,D.sign_Lista_Data[[RESPONSABLE]:[SOFTWARE 
VALOR HORA]],5,FALSE)*D.sign_Data[[#This Row],[TIEMPO (HORAS)]],0)</f>
        <v>422.15467747382638</v>
      </c>
      <c r="R1312" s="11">
        <f>IFERROR(+VLOOKUP(M1312,D.sign_Lista_Data[[RESPONSABLE]:[SOFTWARE 
VALOR HORA]],8,FALSE)*D.sign_Data[[#This Row],[TIEMPO (HORAS)]],0)</f>
        <v>341.08548871439837</v>
      </c>
      <c r="S1312" s="99"/>
      <c r="T1312" s="99"/>
      <c r="U1312" s="3">
        <f t="shared" si="49"/>
        <v>2789.5826180625913</v>
      </c>
      <c r="V1312" s="100">
        <f>D.sign_Data[[#This Row],[TIEMPO (HORAS)]]*Gastos_Operativos[[#Totals],[GASTOS HORA]]</f>
        <v>2778.9477072310401</v>
      </c>
      <c r="W1312" s="3">
        <f>+D.sign_Data[[#This Row],[COSTO 
DIRECTO ($COP)]]+D.sign_Data[[#This Row],[PRORRATEO GASTOS ($COP)]]</f>
        <v>5568.5303252936319</v>
      </c>
      <c r="X1312" s="101">
        <v>0.05</v>
      </c>
      <c r="Y1312" s="15">
        <f>+D.sign_Data[[#This Row],[COSTOS OPERACIONALES ($COP)]]*D.sign_Data[[#This Row],[DESFASE (%)]]</f>
        <v>278.4265162646816</v>
      </c>
      <c r="Z1312" s="101">
        <v>0.15</v>
      </c>
      <c r="AA1312" s="15">
        <f>+((D.sign_Data[[#This Row],[COSTOS OPERACIONALES ($COP)]]/(100%-D.sign_Data[[#This Row],[UTILIDAD (%)]])))-D.sign_Data[[#This Row],[COSTOS OPERACIONALES ($COP)]]</f>
        <v>982.68182211064141</v>
      </c>
      <c r="AB1312" s="3">
        <f>+D.sign_Data[[#This Row],[COSTOS OPERACIONALES ($COP)]]+D.sign_Data[[#This Row],[DESFASE ($COP)]]+D.sign_Data[[#This Row],[UTILIDAD ($COP)]]</f>
        <v>6829.6386636689549</v>
      </c>
      <c r="AC1312" s="101">
        <v>0.05</v>
      </c>
      <c r="AD1312" s="15">
        <f>+D.sign_Data[[#This Row],[VALOR NETO ($COP)]]/(100%-D.sign_Data[[#This Row],[MARGEN DE NEGOCIACIÓN (%)]])-D.sign_Data[[#This Row],[VALOR NETO ($COP)]]</f>
        <v>359.45466650889284</v>
      </c>
      <c r="AE1312" s="15">
        <f>+(D.sign_Data[[#This Row],[VALOR NETO ($COP)]]+D.sign_Data[[#This Row],[NEGOCIACIÓN ($COP)]])*1%</f>
        <v>71.890933301778475</v>
      </c>
      <c r="AF1312" s="15">
        <f>+(D.sign_Data[[#This Row],[VALOR NETO ($COP)]]+D.sign_Data[[#This Row],[NEGOCIACIÓN ($COP)]])*1%</f>
        <v>71.890933301778475</v>
      </c>
      <c r="AG1312" s="3">
        <f>+D.sign_Data[[#This Row],[VALOR NETO ($COP)]]+D.sign_Data[[#This Row],[NEGOCIACIÓN ($COP)]]+D.sign_Data[[#This Row],[ICA ($COP)]]+D.sign_Data[[#This Row],[4 * 1000 ($COP)]]</f>
        <v>7332.8751967814042</v>
      </c>
    </row>
    <row r="1313" spans="1:33" ht="60" hidden="1" customHeight="1" x14ac:dyDescent="0.25">
      <c r="A1313" s="14"/>
      <c r="B1313" s="87" t="s">
        <v>442</v>
      </c>
      <c r="C1313" s="182" t="s">
        <v>1165</v>
      </c>
      <c r="D1313" s="189" t="str">
        <f>VLOOKUP(D.sign_Data[[#This Row],[CÓDIGO]],Descripciones[[CÓDIGO]:[NOMBRE DE SERVICIO]],3,FALSE)</f>
        <v>D6. Diseño Interior</v>
      </c>
      <c r="E1313" s="87" t="s">
        <v>1104</v>
      </c>
      <c r="F1313" s="88" t="s">
        <v>1166</v>
      </c>
      <c r="G1313" s="88" t="s">
        <v>597</v>
      </c>
      <c r="H1313" s="104" t="s">
        <v>552</v>
      </c>
      <c r="I1313" s="89">
        <v>1</v>
      </c>
      <c r="J1313" s="88" t="s">
        <v>617</v>
      </c>
      <c r="K1313" s="102"/>
      <c r="L1313" s="88" t="s">
        <v>618</v>
      </c>
      <c r="M1313" s="89" t="s">
        <v>381</v>
      </c>
      <c r="N1313" s="90">
        <v>1</v>
      </c>
      <c r="O1313" s="27">
        <f>IFERROR(+VLOOKUP(M1313,D.sign_Lista_Data[[RESPONSABLE]:[SOFTWARE 
VALOR HORA]],3,FALSE),"0")</f>
        <v>20263.424518743668</v>
      </c>
      <c r="P1313" s="3">
        <f t="shared" si="48"/>
        <v>20263.424518743668</v>
      </c>
      <c r="Q1313" s="11">
        <f>IFERROR(+VLOOKUP(M1313,D.sign_Lista_Data[[RESPONSABLE]:[SOFTWARE 
VALOR HORA]],5,FALSE)*D.sign_Data[[#This Row],[TIEMPO (HORAS)]],0)</f>
        <v>4221.5467747382636</v>
      </c>
      <c r="R1313" s="11">
        <f>IFERROR(+VLOOKUP(M1313,D.sign_Lista_Data[[RESPONSABLE]:[SOFTWARE 
VALOR HORA]],8,FALSE)*D.sign_Data[[#This Row],[TIEMPO (HORAS)]],0)</f>
        <v>3410.8548871439834</v>
      </c>
      <c r="S1313" s="99"/>
      <c r="T1313" s="99"/>
      <c r="U1313" s="3">
        <f t="shared" si="49"/>
        <v>27895.826180625918</v>
      </c>
      <c r="V1313" s="100">
        <f>D.sign_Data[[#This Row],[TIEMPO (HORAS)]]*Gastos_Operativos[[#Totals],[GASTOS HORA]]</f>
        <v>27789.477072310401</v>
      </c>
      <c r="W1313" s="3">
        <f>+D.sign_Data[[#This Row],[COSTO 
DIRECTO ($COP)]]+D.sign_Data[[#This Row],[PRORRATEO GASTOS ($COP)]]</f>
        <v>55685.303252936319</v>
      </c>
      <c r="X1313" s="101">
        <v>0.05</v>
      </c>
      <c r="Y1313" s="15">
        <f>+D.sign_Data[[#This Row],[COSTOS OPERACIONALES ($COP)]]*D.sign_Data[[#This Row],[DESFASE (%)]]</f>
        <v>2784.265162646816</v>
      </c>
      <c r="Z1313" s="101">
        <v>0.15</v>
      </c>
      <c r="AA1313" s="15">
        <f>+((D.sign_Data[[#This Row],[COSTOS OPERACIONALES ($COP)]]/(100%-D.sign_Data[[#This Row],[UTILIDAD (%)]])))-D.sign_Data[[#This Row],[COSTOS OPERACIONALES ($COP)]]</f>
        <v>9826.8182211064122</v>
      </c>
      <c r="AB1313" s="3">
        <f>+D.sign_Data[[#This Row],[COSTOS OPERACIONALES ($COP)]]+D.sign_Data[[#This Row],[DESFASE ($COP)]]+D.sign_Data[[#This Row],[UTILIDAD ($COP)]]</f>
        <v>68296.386636689538</v>
      </c>
      <c r="AC1313" s="101">
        <v>0.05</v>
      </c>
      <c r="AD1313" s="15">
        <f>+D.sign_Data[[#This Row],[VALOR NETO ($COP)]]/(100%-D.sign_Data[[#This Row],[MARGEN DE NEGOCIACIÓN (%)]])-D.sign_Data[[#This Row],[VALOR NETO ($COP)]]</f>
        <v>3594.5466650889284</v>
      </c>
      <c r="AE1313" s="15">
        <f>+(D.sign_Data[[#This Row],[VALOR NETO ($COP)]]+D.sign_Data[[#This Row],[NEGOCIACIÓN ($COP)]])*1%</f>
        <v>718.90933301778466</v>
      </c>
      <c r="AF1313" s="15">
        <f>+(D.sign_Data[[#This Row],[VALOR NETO ($COP)]]+D.sign_Data[[#This Row],[NEGOCIACIÓN ($COP)]])*1%</f>
        <v>718.90933301778466</v>
      </c>
      <c r="AG1313" s="3">
        <f>+D.sign_Data[[#This Row],[VALOR NETO ($COP)]]+D.sign_Data[[#This Row],[NEGOCIACIÓN ($COP)]]+D.sign_Data[[#This Row],[ICA ($COP)]]+D.sign_Data[[#This Row],[4 * 1000 ($COP)]]</f>
        <v>73328.751967814038</v>
      </c>
    </row>
    <row r="1314" spans="1:33" ht="60" hidden="1" customHeight="1" x14ac:dyDescent="0.25">
      <c r="A1314" s="14"/>
      <c r="B1314" s="87" t="s">
        <v>442</v>
      </c>
      <c r="C1314" s="182" t="s">
        <v>1165</v>
      </c>
      <c r="D1314" s="189" t="str">
        <f>VLOOKUP(D.sign_Data[[#This Row],[CÓDIGO]],Descripciones[[CÓDIGO]:[NOMBRE DE SERVICIO]],3,FALSE)</f>
        <v>D6. Diseño Interior</v>
      </c>
      <c r="E1314" s="87" t="s">
        <v>1104</v>
      </c>
      <c r="F1314" s="88" t="s">
        <v>1166</v>
      </c>
      <c r="G1314" s="88" t="s">
        <v>597</v>
      </c>
      <c r="H1314" s="104" t="s">
        <v>552</v>
      </c>
      <c r="I1314" s="89">
        <v>1</v>
      </c>
      <c r="J1314" s="88" t="s">
        <v>617</v>
      </c>
      <c r="K1314" s="102"/>
      <c r="L1314" s="88" t="s">
        <v>619</v>
      </c>
      <c r="M1314" s="89" t="s">
        <v>381</v>
      </c>
      <c r="N1314" s="90">
        <v>1</v>
      </c>
      <c r="O1314" s="27">
        <f>IFERROR(+VLOOKUP(M1314,D.sign_Lista_Data[[RESPONSABLE]:[SOFTWARE 
VALOR HORA]],3,FALSE),"0")</f>
        <v>20263.424518743668</v>
      </c>
      <c r="P1314" s="3">
        <f t="shared" si="48"/>
        <v>20263.424518743668</v>
      </c>
      <c r="Q1314" s="11">
        <f>IFERROR(+VLOOKUP(M1314,D.sign_Lista_Data[[RESPONSABLE]:[SOFTWARE 
VALOR HORA]],5,FALSE)*D.sign_Data[[#This Row],[TIEMPO (HORAS)]],0)</f>
        <v>4221.5467747382636</v>
      </c>
      <c r="R1314" s="11">
        <f>IFERROR(+VLOOKUP(M1314,D.sign_Lista_Data[[RESPONSABLE]:[SOFTWARE 
VALOR HORA]],8,FALSE)*D.sign_Data[[#This Row],[TIEMPO (HORAS)]],0)</f>
        <v>3410.8548871439834</v>
      </c>
      <c r="S1314" s="99"/>
      <c r="T1314" s="99"/>
      <c r="U1314" s="3">
        <f t="shared" si="49"/>
        <v>27895.826180625918</v>
      </c>
      <c r="V1314" s="100">
        <f>D.sign_Data[[#This Row],[TIEMPO (HORAS)]]*Gastos_Operativos[[#Totals],[GASTOS HORA]]</f>
        <v>27789.477072310401</v>
      </c>
      <c r="W1314" s="3">
        <f>+D.sign_Data[[#This Row],[COSTO 
DIRECTO ($COP)]]+D.sign_Data[[#This Row],[PRORRATEO GASTOS ($COP)]]</f>
        <v>55685.303252936319</v>
      </c>
      <c r="X1314" s="101">
        <v>0.05</v>
      </c>
      <c r="Y1314" s="15">
        <f>+D.sign_Data[[#This Row],[COSTOS OPERACIONALES ($COP)]]*D.sign_Data[[#This Row],[DESFASE (%)]]</f>
        <v>2784.265162646816</v>
      </c>
      <c r="Z1314" s="101">
        <v>0.15</v>
      </c>
      <c r="AA1314" s="15">
        <f>+((D.sign_Data[[#This Row],[COSTOS OPERACIONALES ($COP)]]/(100%-D.sign_Data[[#This Row],[UTILIDAD (%)]])))-D.sign_Data[[#This Row],[COSTOS OPERACIONALES ($COP)]]</f>
        <v>9826.8182211064122</v>
      </c>
      <c r="AB1314" s="3">
        <f>+D.sign_Data[[#This Row],[COSTOS OPERACIONALES ($COP)]]+D.sign_Data[[#This Row],[DESFASE ($COP)]]+D.sign_Data[[#This Row],[UTILIDAD ($COP)]]</f>
        <v>68296.386636689538</v>
      </c>
      <c r="AC1314" s="101">
        <v>0.05</v>
      </c>
      <c r="AD1314" s="15">
        <f>+D.sign_Data[[#This Row],[VALOR NETO ($COP)]]/(100%-D.sign_Data[[#This Row],[MARGEN DE NEGOCIACIÓN (%)]])-D.sign_Data[[#This Row],[VALOR NETO ($COP)]]</f>
        <v>3594.5466650889284</v>
      </c>
      <c r="AE1314" s="15">
        <f>+(D.sign_Data[[#This Row],[VALOR NETO ($COP)]]+D.sign_Data[[#This Row],[NEGOCIACIÓN ($COP)]])*1%</f>
        <v>718.90933301778466</v>
      </c>
      <c r="AF1314" s="15">
        <f>+(D.sign_Data[[#This Row],[VALOR NETO ($COP)]]+D.sign_Data[[#This Row],[NEGOCIACIÓN ($COP)]])*1%</f>
        <v>718.90933301778466</v>
      </c>
      <c r="AG1314" s="3">
        <f>+D.sign_Data[[#This Row],[VALOR NETO ($COP)]]+D.sign_Data[[#This Row],[NEGOCIACIÓN ($COP)]]+D.sign_Data[[#This Row],[ICA ($COP)]]+D.sign_Data[[#This Row],[4 * 1000 ($COP)]]</f>
        <v>73328.751967814038</v>
      </c>
    </row>
    <row r="1315" spans="1:33" ht="60" hidden="1" customHeight="1" x14ac:dyDescent="0.25">
      <c r="A1315" s="14"/>
      <c r="B1315" s="87" t="s">
        <v>442</v>
      </c>
      <c r="C1315" s="182" t="s">
        <v>1165</v>
      </c>
      <c r="D1315" s="189" t="str">
        <f>VLOOKUP(D.sign_Data[[#This Row],[CÓDIGO]],Descripciones[[CÓDIGO]:[NOMBRE DE SERVICIO]],3,FALSE)</f>
        <v>D6. Diseño Interior</v>
      </c>
      <c r="E1315" s="87" t="s">
        <v>1104</v>
      </c>
      <c r="F1315" s="88" t="s">
        <v>1166</v>
      </c>
      <c r="G1315" s="88" t="s">
        <v>597</v>
      </c>
      <c r="H1315" s="104" t="s">
        <v>552</v>
      </c>
      <c r="I1315" s="89">
        <v>1</v>
      </c>
      <c r="J1315" s="88" t="s">
        <v>617</v>
      </c>
      <c r="K1315" s="102"/>
      <c r="L1315" s="88" t="s">
        <v>620</v>
      </c>
      <c r="M1315" s="89" t="s">
        <v>381</v>
      </c>
      <c r="N1315" s="90">
        <v>1</v>
      </c>
      <c r="O1315" s="27">
        <f>IFERROR(+VLOOKUP(M1315,D.sign_Lista_Data[[RESPONSABLE]:[SOFTWARE 
VALOR HORA]],3,FALSE),"0")</f>
        <v>20263.424518743668</v>
      </c>
      <c r="P1315" s="3">
        <f t="shared" si="48"/>
        <v>20263.424518743668</v>
      </c>
      <c r="Q1315" s="11">
        <f>IFERROR(+VLOOKUP(M1315,D.sign_Lista_Data[[RESPONSABLE]:[SOFTWARE 
VALOR HORA]],5,FALSE)*D.sign_Data[[#This Row],[TIEMPO (HORAS)]],0)</f>
        <v>4221.5467747382636</v>
      </c>
      <c r="R1315" s="11">
        <f>IFERROR(+VLOOKUP(M1315,D.sign_Lista_Data[[RESPONSABLE]:[SOFTWARE 
VALOR HORA]],8,FALSE)*D.sign_Data[[#This Row],[TIEMPO (HORAS)]],0)</f>
        <v>3410.8548871439834</v>
      </c>
      <c r="S1315" s="99"/>
      <c r="T1315" s="99"/>
      <c r="U1315" s="3">
        <f t="shared" si="49"/>
        <v>27895.826180625918</v>
      </c>
      <c r="V1315" s="100">
        <f>D.sign_Data[[#This Row],[TIEMPO (HORAS)]]*Gastos_Operativos[[#Totals],[GASTOS HORA]]</f>
        <v>27789.477072310401</v>
      </c>
      <c r="W1315" s="3">
        <f>+D.sign_Data[[#This Row],[COSTO 
DIRECTO ($COP)]]+D.sign_Data[[#This Row],[PRORRATEO GASTOS ($COP)]]</f>
        <v>55685.303252936319</v>
      </c>
      <c r="X1315" s="101">
        <v>0.05</v>
      </c>
      <c r="Y1315" s="15">
        <f>+D.sign_Data[[#This Row],[COSTOS OPERACIONALES ($COP)]]*D.sign_Data[[#This Row],[DESFASE (%)]]</f>
        <v>2784.265162646816</v>
      </c>
      <c r="Z1315" s="101">
        <v>0.15</v>
      </c>
      <c r="AA1315" s="15">
        <f>+((D.sign_Data[[#This Row],[COSTOS OPERACIONALES ($COP)]]/(100%-D.sign_Data[[#This Row],[UTILIDAD (%)]])))-D.sign_Data[[#This Row],[COSTOS OPERACIONALES ($COP)]]</f>
        <v>9826.8182211064122</v>
      </c>
      <c r="AB1315" s="3">
        <f>+D.sign_Data[[#This Row],[COSTOS OPERACIONALES ($COP)]]+D.sign_Data[[#This Row],[DESFASE ($COP)]]+D.sign_Data[[#This Row],[UTILIDAD ($COP)]]</f>
        <v>68296.386636689538</v>
      </c>
      <c r="AC1315" s="101">
        <v>0.05</v>
      </c>
      <c r="AD1315" s="15">
        <f>+D.sign_Data[[#This Row],[VALOR NETO ($COP)]]/(100%-D.sign_Data[[#This Row],[MARGEN DE NEGOCIACIÓN (%)]])-D.sign_Data[[#This Row],[VALOR NETO ($COP)]]</f>
        <v>3594.5466650889284</v>
      </c>
      <c r="AE1315" s="15">
        <f>+(D.sign_Data[[#This Row],[VALOR NETO ($COP)]]+D.sign_Data[[#This Row],[NEGOCIACIÓN ($COP)]])*1%</f>
        <v>718.90933301778466</v>
      </c>
      <c r="AF1315" s="15">
        <f>+(D.sign_Data[[#This Row],[VALOR NETO ($COP)]]+D.sign_Data[[#This Row],[NEGOCIACIÓN ($COP)]])*1%</f>
        <v>718.90933301778466</v>
      </c>
      <c r="AG1315" s="3">
        <f>+D.sign_Data[[#This Row],[VALOR NETO ($COP)]]+D.sign_Data[[#This Row],[NEGOCIACIÓN ($COP)]]+D.sign_Data[[#This Row],[ICA ($COP)]]+D.sign_Data[[#This Row],[4 * 1000 ($COP)]]</f>
        <v>73328.751967814038</v>
      </c>
    </row>
    <row r="1316" spans="1:33" ht="60" hidden="1" customHeight="1" x14ac:dyDescent="0.25">
      <c r="A1316" s="14"/>
      <c r="B1316" s="87" t="s">
        <v>442</v>
      </c>
      <c r="C1316" s="182" t="s">
        <v>1165</v>
      </c>
      <c r="D1316" s="189" t="str">
        <f>VLOOKUP(D.sign_Data[[#This Row],[CÓDIGO]],Descripciones[[CÓDIGO]:[NOMBRE DE SERVICIO]],3,FALSE)</f>
        <v>D6. Diseño Interior</v>
      </c>
      <c r="E1316" s="87" t="s">
        <v>1104</v>
      </c>
      <c r="F1316" s="88" t="s">
        <v>1166</v>
      </c>
      <c r="G1316" s="88" t="s">
        <v>597</v>
      </c>
      <c r="H1316" s="104" t="s">
        <v>552</v>
      </c>
      <c r="I1316" s="89">
        <v>1</v>
      </c>
      <c r="J1316" s="88" t="s">
        <v>617</v>
      </c>
      <c r="K1316" s="102"/>
      <c r="L1316" s="88" t="s">
        <v>621</v>
      </c>
      <c r="M1316" s="89" t="s">
        <v>381</v>
      </c>
      <c r="N1316" s="90">
        <v>1</v>
      </c>
      <c r="O1316" s="27">
        <f>IFERROR(+VLOOKUP(M1316,D.sign_Lista_Data[[RESPONSABLE]:[SOFTWARE 
VALOR HORA]],3,FALSE),"0")</f>
        <v>20263.424518743668</v>
      </c>
      <c r="P1316" s="3">
        <f t="shared" si="48"/>
        <v>20263.424518743668</v>
      </c>
      <c r="Q1316" s="11">
        <f>IFERROR(+VLOOKUP(M1316,D.sign_Lista_Data[[RESPONSABLE]:[SOFTWARE 
VALOR HORA]],5,FALSE)*D.sign_Data[[#This Row],[TIEMPO (HORAS)]],0)</f>
        <v>4221.5467747382636</v>
      </c>
      <c r="R1316" s="11">
        <f>IFERROR(+VLOOKUP(M1316,D.sign_Lista_Data[[RESPONSABLE]:[SOFTWARE 
VALOR HORA]],8,FALSE)*D.sign_Data[[#This Row],[TIEMPO (HORAS)]],0)</f>
        <v>3410.8548871439834</v>
      </c>
      <c r="S1316" s="99"/>
      <c r="T1316" s="99"/>
      <c r="U1316" s="3">
        <f t="shared" si="49"/>
        <v>27895.826180625918</v>
      </c>
      <c r="V1316" s="100">
        <f>D.sign_Data[[#This Row],[TIEMPO (HORAS)]]*Gastos_Operativos[[#Totals],[GASTOS HORA]]</f>
        <v>27789.477072310401</v>
      </c>
      <c r="W1316" s="3">
        <f>+D.sign_Data[[#This Row],[COSTO 
DIRECTO ($COP)]]+D.sign_Data[[#This Row],[PRORRATEO GASTOS ($COP)]]</f>
        <v>55685.303252936319</v>
      </c>
      <c r="X1316" s="101">
        <v>0.05</v>
      </c>
      <c r="Y1316" s="15">
        <f>+D.sign_Data[[#This Row],[COSTOS OPERACIONALES ($COP)]]*D.sign_Data[[#This Row],[DESFASE (%)]]</f>
        <v>2784.265162646816</v>
      </c>
      <c r="Z1316" s="101">
        <v>0.15</v>
      </c>
      <c r="AA1316" s="15">
        <f>+((D.sign_Data[[#This Row],[COSTOS OPERACIONALES ($COP)]]/(100%-D.sign_Data[[#This Row],[UTILIDAD (%)]])))-D.sign_Data[[#This Row],[COSTOS OPERACIONALES ($COP)]]</f>
        <v>9826.8182211064122</v>
      </c>
      <c r="AB1316" s="3">
        <f>+D.sign_Data[[#This Row],[COSTOS OPERACIONALES ($COP)]]+D.sign_Data[[#This Row],[DESFASE ($COP)]]+D.sign_Data[[#This Row],[UTILIDAD ($COP)]]</f>
        <v>68296.386636689538</v>
      </c>
      <c r="AC1316" s="101">
        <v>0.05</v>
      </c>
      <c r="AD1316" s="15">
        <f>+D.sign_Data[[#This Row],[VALOR NETO ($COP)]]/(100%-D.sign_Data[[#This Row],[MARGEN DE NEGOCIACIÓN (%)]])-D.sign_Data[[#This Row],[VALOR NETO ($COP)]]</f>
        <v>3594.5466650889284</v>
      </c>
      <c r="AE1316" s="15">
        <f>+(D.sign_Data[[#This Row],[VALOR NETO ($COP)]]+D.sign_Data[[#This Row],[NEGOCIACIÓN ($COP)]])*1%</f>
        <v>718.90933301778466</v>
      </c>
      <c r="AF1316" s="15">
        <f>+(D.sign_Data[[#This Row],[VALOR NETO ($COP)]]+D.sign_Data[[#This Row],[NEGOCIACIÓN ($COP)]])*1%</f>
        <v>718.90933301778466</v>
      </c>
      <c r="AG1316" s="3">
        <f>+D.sign_Data[[#This Row],[VALOR NETO ($COP)]]+D.sign_Data[[#This Row],[NEGOCIACIÓN ($COP)]]+D.sign_Data[[#This Row],[ICA ($COP)]]+D.sign_Data[[#This Row],[4 * 1000 ($COP)]]</f>
        <v>73328.751967814038</v>
      </c>
    </row>
    <row r="1317" spans="1:33" ht="60" hidden="1" customHeight="1" x14ac:dyDescent="0.25">
      <c r="A1317" s="14"/>
      <c r="B1317" s="87" t="s">
        <v>442</v>
      </c>
      <c r="C1317" s="182" t="s">
        <v>1165</v>
      </c>
      <c r="D1317" s="189" t="str">
        <f>VLOOKUP(D.sign_Data[[#This Row],[CÓDIGO]],Descripciones[[CÓDIGO]:[NOMBRE DE SERVICIO]],3,FALSE)</f>
        <v>D6. Diseño Interior</v>
      </c>
      <c r="E1317" s="87" t="s">
        <v>1104</v>
      </c>
      <c r="F1317" s="88" t="s">
        <v>1166</v>
      </c>
      <c r="G1317" s="88" t="s">
        <v>597</v>
      </c>
      <c r="H1317" s="104" t="s">
        <v>552</v>
      </c>
      <c r="I1317" s="89">
        <v>1</v>
      </c>
      <c r="J1317" s="88" t="s">
        <v>617</v>
      </c>
      <c r="K1317" s="102"/>
      <c r="L1317" s="88" t="s">
        <v>622</v>
      </c>
      <c r="M1317" s="89" t="s">
        <v>381</v>
      </c>
      <c r="N1317" s="90">
        <v>9.4</v>
      </c>
      <c r="O1317" s="27">
        <f>IFERROR(+VLOOKUP(M1317,D.sign_Lista_Data[[RESPONSABLE]:[SOFTWARE 
VALOR HORA]],3,FALSE),"0")</f>
        <v>20263.424518743668</v>
      </c>
      <c r="P1317" s="3">
        <f t="shared" si="48"/>
        <v>190476.19047619047</v>
      </c>
      <c r="Q1317" s="11">
        <f>IFERROR(+VLOOKUP(M1317,D.sign_Lista_Data[[RESPONSABLE]:[SOFTWARE 
VALOR HORA]],5,FALSE)*D.sign_Data[[#This Row],[TIEMPO (HORAS)]],0)</f>
        <v>39682.539682539682</v>
      </c>
      <c r="R1317" s="11">
        <f>IFERROR(+VLOOKUP(M1317,D.sign_Lista_Data[[RESPONSABLE]:[SOFTWARE 
VALOR HORA]],8,FALSE)*D.sign_Data[[#This Row],[TIEMPO (HORAS)]],0)</f>
        <v>32062.035939153444</v>
      </c>
      <c r="S1317" s="99"/>
      <c r="T1317" s="99"/>
      <c r="U1317" s="3">
        <f t="shared" si="49"/>
        <v>262220.76609788358</v>
      </c>
      <c r="V1317" s="100">
        <f>D.sign_Data[[#This Row],[TIEMPO (HORAS)]]*Gastos_Operativos[[#Totals],[GASTOS HORA]]</f>
        <v>261221.08447971777</v>
      </c>
      <c r="W1317" s="3">
        <f>+D.sign_Data[[#This Row],[COSTO 
DIRECTO ($COP)]]+D.sign_Data[[#This Row],[PRORRATEO GASTOS ($COP)]]</f>
        <v>523441.85057760135</v>
      </c>
      <c r="X1317" s="101">
        <v>0.05</v>
      </c>
      <c r="Y1317" s="15">
        <f>+D.sign_Data[[#This Row],[COSTOS OPERACIONALES ($COP)]]*D.sign_Data[[#This Row],[DESFASE (%)]]</f>
        <v>26172.092528880068</v>
      </c>
      <c r="Z1317" s="101">
        <v>0.15</v>
      </c>
      <c r="AA1317" s="15">
        <f>+((D.sign_Data[[#This Row],[COSTOS OPERACIONALES ($COP)]]/(100%-D.sign_Data[[#This Row],[UTILIDAD (%)]])))-D.sign_Data[[#This Row],[COSTOS OPERACIONALES ($COP)]]</f>
        <v>92372.091278400272</v>
      </c>
      <c r="AB1317" s="3">
        <f>+D.sign_Data[[#This Row],[COSTOS OPERACIONALES ($COP)]]+D.sign_Data[[#This Row],[DESFASE ($COP)]]+D.sign_Data[[#This Row],[UTILIDAD ($COP)]]</f>
        <v>641986.03438488173</v>
      </c>
      <c r="AC1317" s="101">
        <v>0.05</v>
      </c>
      <c r="AD1317" s="15">
        <f>+D.sign_Data[[#This Row],[VALOR NETO ($COP)]]/(100%-D.sign_Data[[#This Row],[MARGEN DE NEGOCIACIÓN (%)]])-D.sign_Data[[#This Row],[VALOR NETO ($COP)]]</f>
        <v>33788.738651835942</v>
      </c>
      <c r="AE1317" s="15">
        <f>+(D.sign_Data[[#This Row],[VALOR NETO ($COP)]]+D.sign_Data[[#This Row],[NEGOCIACIÓN ($COP)]])*1%</f>
        <v>6757.7477303671767</v>
      </c>
      <c r="AF1317" s="15">
        <f>+(D.sign_Data[[#This Row],[VALOR NETO ($COP)]]+D.sign_Data[[#This Row],[NEGOCIACIÓN ($COP)]])*1%</f>
        <v>6757.7477303671767</v>
      </c>
      <c r="AG1317" s="3">
        <f>+D.sign_Data[[#This Row],[VALOR NETO ($COP)]]+D.sign_Data[[#This Row],[NEGOCIACIÓN ($COP)]]+D.sign_Data[[#This Row],[ICA ($COP)]]+D.sign_Data[[#This Row],[4 * 1000 ($COP)]]</f>
        <v>689290.26849745191</v>
      </c>
    </row>
    <row r="1318" spans="1:33" ht="60" hidden="1" customHeight="1" x14ac:dyDescent="0.25">
      <c r="A1318" s="14"/>
      <c r="B1318" s="87" t="s">
        <v>442</v>
      </c>
      <c r="C1318" s="182" t="s">
        <v>1165</v>
      </c>
      <c r="D1318" s="189" t="str">
        <f>VLOOKUP(D.sign_Data[[#This Row],[CÓDIGO]],Descripciones[[CÓDIGO]:[NOMBRE DE SERVICIO]],3,FALSE)</f>
        <v>D6. Diseño Interior</v>
      </c>
      <c r="E1318" s="87" t="s">
        <v>1104</v>
      </c>
      <c r="F1318" s="88" t="s">
        <v>1166</v>
      </c>
      <c r="G1318" s="88" t="s">
        <v>597</v>
      </c>
      <c r="H1318" s="104" t="s">
        <v>552</v>
      </c>
      <c r="I1318" s="89">
        <v>1</v>
      </c>
      <c r="J1318" s="88" t="s">
        <v>617</v>
      </c>
      <c r="K1318" s="102"/>
      <c r="L1318" s="88" t="s">
        <v>623</v>
      </c>
      <c r="M1318" s="89" t="s">
        <v>381</v>
      </c>
      <c r="N1318" s="90">
        <v>9.4</v>
      </c>
      <c r="O1318" s="27">
        <f>IFERROR(+VLOOKUP(M1318,D.sign_Lista_Data[[RESPONSABLE]:[SOFTWARE 
VALOR HORA]],3,FALSE),"0")</f>
        <v>20263.424518743668</v>
      </c>
      <c r="P1318" s="3">
        <f t="shared" si="48"/>
        <v>190476.19047619047</v>
      </c>
      <c r="Q1318" s="11">
        <f>IFERROR(+VLOOKUP(M1318,D.sign_Lista_Data[[RESPONSABLE]:[SOFTWARE 
VALOR HORA]],5,FALSE)*D.sign_Data[[#This Row],[TIEMPO (HORAS)]],0)</f>
        <v>39682.539682539682</v>
      </c>
      <c r="R1318" s="11">
        <f>IFERROR(+VLOOKUP(M1318,D.sign_Lista_Data[[RESPONSABLE]:[SOFTWARE 
VALOR HORA]],8,FALSE)*D.sign_Data[[#This Row],[TIEMPO (HORAS)]],0)</f>
        <v>32062.035939153444</v>
      </c>
      <c r="S1318" s="99"/>
      <c r="T1318" s="99"/>
      <c r="U1318" s="3">
        <f t="shared" si="49"/>
        <v>262220.76609788358</v>
      </c>
      <c r="V1318" s="100">
        <f>D.sign_Data[[#This Row],[TIEMPO (HORAS)]]*Gastos_Operativos[[#Totals],[GASTOS HORA]]</f>
        <v>261221.08447971777</v>
      </c>
      <c r="W1318" s="3">
        <f>+D.sign_Data[[#This Row],[COSTO 
DIRECTO ($COP)]]+D.sign_Data[[#This Row],[PRORRATEO GASTOS ($COP)]]</f>
        <v>523441.85057760135</v>
      </c>
      <c r="X1318" s="101">
        <v>0.05</v>
      </c>
      <c r="Y1318" s="15">
        <f>+D.sign_Data[[#This Row],[COSTOS OPERACIONALES ($COP)]]*D.sign_Data[[#This Row],[DESFASE (%)]]</f>
        <v>26172.092528880068</v>
      </c>
      <c r="Z1318" s="101">
        <v>0.15</v>
      </c>
      <c r="AA1318" s="15">
        <f>+((D.sign_Data[[#This Row],[COSTOS OPERACIONALES ($COP)]]/(100%-D.sign_Data[[#This Row],[UTILIDAD (%)]])))-D.sign_Data[[#This Row],[COSTOS OPERACIONALES ($COP)]]</f>
        <v>92372.091278400272</v>
      </c>
      <c r="AB1318" s="3">
        <f>+D.sign_Data[[#This Row],[COSTOS OPERACIONALES ($COP)]]+D.sign_Data[[#This Row],[DESFASE ($COP)]]+D.sign_Data[[#This Row],[UTILIDAD ($COP)]]</f>
        <v>641986.03438488173</v>
      </c>
      <c r="AC1318" s="101">
        <v>0.05</v>
      </c>
      <c r="AD1318" s="15">
        <f>+D.sign_Data[[#This Row],[VALOR NETO ($COP)]]/(100%-D.sign_Data[[#This Row],[MARGEN DE NEGOCIACIÓN (%)]])-D.sign_Data[[#This Row],[VALOR NETO ($COP)]]</f>
        <v>33788.738651835942</v>
      </c>
      <c r="AE1318" s="15">
        <f>+(D.sign_Data[[#This Row],[VALOR NETO ($COP)]]+D.sign_Data[[#This Row],[NEGOCIACIÓN ($COP)]])*1%</f>
        <v>6757.7477303671767</v>
      </c>
      <c r="AF1318" s="15">
        <f>+(D.sign_Data[[#This Row],[VALOR NETO ($COP)]]+D.sign_Data[[#This Row],[NEGOCIACIÓN ($COP)]])*1%</f>
        <v>6757.7477303671767</v>
      </c>
      <c r="AG1318" s="3">
        <f>+D.sign_Data[[#This Row],[VALOR NETO ($COP)]]+D.sign_Data[[#This Row],[NEGOCIACIÓN ($COP)]]+D.sign_Data[[#This Row],[ICA ($COP)]]+D.sign_Data[[#This Row],[4 * 1000 ($COP)]]</f>
        <v>689290.26849745191</v>
      </c>
    </row>
    <row r="1319" spans="1:33" ht="60" hidden="1" customHeight="1" x14ac:dyDescent="0.25">
      <c r="A1319" s="14"/>
      <c r="B1319" s="87" t="s">
        <v>442</v>
      </c>
      <c r="C1319" s="182" t="s">
        <v>1165</v>
      </c>
      <c r="D1319" s="189" t="str">
        <f>VLOOKUP(D.sign_Data[[#This Row],[CÓDIGO]],Descripciones[[CÓDIGO]:[NOMBRE DE SERVICIO]],3,FALSE)</f>
        <v>D6. Diseño Interior</v>
      </c>
      <c r="E1319" s="87" t="s">
        <v>1104</v>
      </c>
      <c r="F1319" s="88" t="s">
        <v>1166</v>
      </c>
      <c r="G1319" s="88" t="s">
        <v>597</v>
      </c>
      <c r="H1319" s="104" t="s">
        <v>552</v>
      </c>
      <c r="I1319" s="89">
        <v>1</v>
      </c>
      <c r="J1319" s="88" t="s">
        <v>617</v>
      </c>
      <c r="K1319" s="102"/>
      <c r="L1319" s="88" t="s">
        <v>483</v>
      </c>
      <c r="M1319" s="89" t="s">
        <v>381</v>
      </c>
      <c r="N1319" s="90">
        <v>1.5</v>
      </c>
      <c r="O1319" s="27">
        <f>IFERROR(+VLOOKUP(M1319,D.sign_Lista_Data[[RESPONSABLE]:[SOFTWARE 
VALOR HORA]],3,FALSE),"0")</f>
        <v>20263.424518743668</v>
      </c>
      <c r="P1319" s="3">
        <f t="shared" si="48"/>
        <v>30395.136778115502</v>
      </c>
      <c r="Q1319" s="11">
        <f>IFERROR(+VLOOKUP(M1319,D.sign_Lista_Data[[RESPONSABLE]:[SOFTWARE 
VALOR HORA]],5,FALSE)*D.sign_Data[[#This Row],[TIEMPO (HORAS)]],0)</f>
        <v>6332.3201621073949</v>
      </c>
      <c r="R1319" s="11">
        <f>IFERROR(+VLOOKUP(M1319,D.sign_Lista_Data[[RESPONSABLE]:[SOFTWARE 
VALOR HORA]],8,FALSE)*D.sign_Data[[#This Row],[TIEMPO (HORAS)]],0)</f>
        <v>5116.2823307159751</v>
      </c>
      <c r="S1319" s="99"/>
      <c r="T1319" s="99"/>
      <c r="U1319" s="3">
        <f t="shared" si="49"/>
        <v>41843.739270938873</v>
      </c>
      <c r="V1319" s="100">
        <f>D.sign_Data[[#This Row],[TIEMPO (HORAS)]]*Gastos_Operativos[[#Totals],[GASTOS HORA]]</f>
        <v>41684.215608465602</v>
      </c>
      <c r="W1319" s="3">
        <f>+D.sign_Data[[#This Row],[COSTO 
DIRECTO ($COP)]]+D.sign_Data[[#This Row],[PRORRATEO GASTOS ($COP)]]</f>
        <v>83527.954879404482</v>
      </c>
      <c r="X1319" s="101">
        <v>0.05</v>
      </c>
      <c r="Y1319" s="15">
        <f>+D.sign_Data[[#This Row],[COSTOS OPERACIONALES ($COP)]]*D.sign_Data[[#This Row],[DESFASE (%)]]</f>
        <v>4176.3977439702239</v>
      </c>
      <c r="Z1319" s="101">
        <v>0.15</v>
      </c>
      <c r="AA1319" s="15">
        <f>+((D.sign_Data[[#This Row],[COSTOS OPERACIONALES ($COP)]]/(100%-D.sign_Data[[#This Row],[UTILIDAD (%)]])))-D.sign_Data[[#This Row],[COSTOS OPERACIONALES ($COP)]]</f>
        <v>14740.227331659611</v>
      </c>
      <c r="AB1319" s="3">
        <f>+D.sign_Data[[#This Row],[COSTOS OPERACIONALES ($COP)]]+D.sign_Data[[#This Row],[DESFASE ($COP)]]+D.sign_Data[[#This Row],[UTILIDAD ($COP)]]</f>
        <v>102444.57995503432</v>
      </c>
      <c r="AC1319" s="101">
        <v>0.05</v>
      </c>
      <c r="AD1319" s="15">
        <f>+D.sign_Data[[#This Row],[VALOR NETO ($COP)]]/(100%-D.sign_Data[[#This Row],[MARGEN DE NEGOCIACIÓN (%)]])-D.sign_Data[[#This Row],[VALOR NETO ($COP)]]</f>
        <v>5391.8199976333854</v>
      </c>
      <c r="AE1319" s="15">
        <f>+(D.sign_Data[[#This Row],[VALOR NETO ($COP)]]+D.sign_Data[[#This Row],[NEGOCIACIÓN ($COP)]])*1%</f>
        <v>1078.3639995266772</v>
      </c>
      <c r="AF1319" s="15">
        <f>+(D.sign_Data[[#This Row],[VALOR NETO ($COP)]]+D.sign_Data[[#This Row],[NEGOCIACIÓN ($COP)]])*1%</f>
        <v>1078.3639995266772</v>
      </c>
      <c r="AG1319" s="3">
        <f>+D.sign_Data[[#This Row],[VALOR NETO ($COP)]]+D.sign_Data[[#This Row],[NEGOCIACIÓN ($COP)]]+D.sign_Data[[#This Row],[ICA ($COP)]]+D.sign_Data[[#This Row],[4 * 1000 ($COP)]]</f>
        <v>109993.12795172105</v>
      </c>
    </row>
    <row r="1320" spans="1:33" ht="60" hidden="1" customHeight="1" x14ac:dyDescent="0.25">
      <c r="A1320" s="14"/>
      <c r="B1320" s="87" t="s">
        <v>442</v>
      </c>
      <c r="C1320" s="182" t="s">
        <v>1165</v>
      </c>
      <c r="D1320" s="189" t="str">
        <f>VLOOKUP(D.sign_Data[[#This Row],[CÓDIGO]],Descripciones[[CÓDIGO]:[NOMBRE DE SERVICIO]],3,FALSE)</f>
        <v>D6. Diseño Interior</v>
      </c>
      <c r="E1320" s="87" t="s">
        <v>1104</v>
      </c>
      <c r="F1320" s="88" t="s">
        <v>1166</v>
      </c>
      <c r="G1320" s="88" t="s">
        <v>597</v>
      </c>
      <c r="H1320" s="104" t="s">
        <v>552</v>
      </c>
      <c r="I1320" s="89">
        <v>1</v>
      </c>
      <c r="J1320" s="88" t="s">
        <v>617</v>
      </c>
      <c r="K1320" s="102"/>
      <c r="L1320" s="88" t="s">
        <v>624</v>
      </c>
      <c r="M1320" s="89" t="s">
        <v>381</v>
      </c>
      <c r="N1320" s="90">
        <v>1</v>
      </c>
      <c r="O1320" s="27">
        <f>IFERROR(+VLOOKUP(M1320,D.sign_Lista_Data[[RESPONSABLE]:[SOFTWARE 
VALOR HORA]],3,FALSE),"0")</f>
        <v>20263.424518743668</v>
      </c>
      <c r="P1320" s="3">
        <f t="shared" si="48"/>
        <v>20263.424518743668</v>
      </c>
      <c r="Q1320" s="11">
        <f>IFERROR(+VLOOKUP(M1320,D.sign_Lista_Data[[RESPONSABLE]:[SOFTWARE 
VALOR HORA]],5,FALSE)*D.sign_Data[[#This Row],[TIEMPO (HORAS)]],0)</f>
        <v>4221.5467747382636</v>
      </c>
      <c r="R1320" s="11">
        <f>IFERROR(+VLOOKUP(M1320,D.sign_Lista_Data[[RESPONSABLE]:[SOFTWARE 
VALOR HORA]],8,FALSE)*D.sign_Data[[#This Row],[TIEMPO (HORAS)]],0)</f>
        <v>3410.8548871439834</v>
      </c>
      <c r="S1320" s="99"/>
      <c r="T1320" s="99"/>
      <c r="U1320" s="3">
        <f t="shared" si="49"/>
        <v>27895.826180625918</v>
      </c>
      <c r="V1320" s="100">
        <f>D.sign_Data[[#This Row],[TIEMPO (HORAS)]]*Gastos_Operativos[[#Totals],[GASTOS HORA]]</f>
        <v>27789.477072310401</v>
      </c>
      <c r="W1320" s="3">
        <f>+D.sign_Data[[#This Row],[COSTO 
DIRECTO ($COP)]]+D.sign_Data[[#This Row],[PRORRATEO GASTOS ($COP)]]</f>
        <v>55685.303252936319</v>
      </c>
      <c r="X1320" s="101">
        <v>0.05</v>
      </c>
      <c r="Y1320" s="15">
        <f>+D.sign_Data[[#This Row],[COSTOS OPERACIONALES ($COP)]]*D.sign_Data[[#This Row],[DESFASE (%)]]</f>
        <v>2784.265162646816</v>
      </c>
      <c r="Z1320" s="101">
        <v>0.15</v>
      </c>
      <c r="AA1320" s="15">
        <f>+((D.sign_Data[[#This Row],[COSTOS OPERACIONALES ($COP)]]/(100%-D.sign_Data[[#This Row],[UTILIDAD (%)]])))-D.sign_Data[[#This Row],[COSTOS OPERACIONALES ($COP)]]</f>
        <v>9826.8182211064122</v>
      </c>
      <c r="AB1320" s="3">
        <f>+D.sign_Data[[#This Row],[COSTOS OPERACIONALES ($COP)]]+D.sign_Data[[#This Row],[DESFASE ($COP)]]+D.sign_Data[[#This Row],[UTILIDAD ($COP)]]</f>
        <v>68296.386636689538</v>
      </c>
      <c r="AC1320" s="101">
        <v>0.05</v>
      </c>
      <c r="AD1320" s="15">
        <f>+D.sign_Data[[#This Row],[VALOR NETO ($COP)]]/(100%-D.sign_Data[[#This Row],[MARGEN DE NEGOCIACIÓN (%)]])-D.sign_Data[[#This Row],[VALOR NETO ($COP)]]</f>
        <v>3594.5466650889284</v>
      </c>
      <c r="AE1320" s="15">
        <f>+(D.sign_Data[[#This Row],[VALOR NETO ($COP)]]+D.sign_Data[[#This Row],[NEGOCIACIÓN ($COP)]])*1%</f>
        <v>718.90933301778466</v>
      </c>
      <c r="AF1320" s="15">
        <f>+(D.sign_Data[[#This Row],[VALOR NETO ($COP)]]+D.sign_Data[[#This Row],[NEGOCIACIÓN ($COP)]])*1%</f>
        <v>718.90933301778466</v>
      </c>
      <c r="AG1320" s="3">
        <f>+D.sign_Data[[#This Row],[VALOR NETO ($COP)]]+D.sign_Data[[#This Row],[NEGOCIACIÓN ($COP)]]+D.sign_Data[[#This Row],[ICA ($COP)]]+D.sign_Data[[#This Row],[4 * 1000 ($COP)]]</f>
        <v>73328.751967814038</v>
      </c>
    </row>
    <row r="1321" spans="1:33" ht="60" hidden="1" customHeight="1" x14ac:dyDescent="0.25">
      <c r="A1321" s="14"/>
      <c r="B1321" s="87" t="s">
        <v>442</v>
      </c>
      <c r="C1321" s="182" t="s">
        <v>1165</v>
      </c>
      <c r="D1321" s="189" t="str">
        <f>VLOOKUP(D.sign_Data[[#This Row],[CÓDIGO]],Descripciones[[CÓDIGO]:[NOMBRE DE SERVICIO]],3,FALSE)</f>
        <v>D6. Diseño Interior</v>
      </c>
      <c r="E1321" s="87" t="s">
        <v>1104</v>
      </c>
      <c r="F1321" s="88" t="s">
        <v>1166</v>
      </c>
      <c r="G1321" s="88" t="s">
        <v>597</v>
      </c>
      <c r="H1321" s="104" t="s">
        <v>552</v>
      </c>
      <c r="I1321" s="89">
        <v>1</v>
      </c>
      <c r="J1321" s="88" t="s">
        <v>617</v>
      </c>
      <c r="K1321" s="102"/>
      <c r="L1321" s="88" t="s">
        <v>579</v>
      </c>
      <c r="M1321" s="89" t="s">
        <v>381</v>
      </c>
      <c r="N1321" s="90">
        <v>1</v>
      </c>
      <c r="O1321" s="27">
        <f>IFERROR(+VLOOKUP(M1321,D.sign_Lista_Data[[RESPONSABLE]:[SOFTWARE 
VALOR HORA]],3,FALSE),"0")</f>
        <v>20263.424518743668</v>
      </c>
      <c r="P1321" s="3">
        <f t="shared" si="48"/>
        <v>20263.424518743668</v>
      </c>
      <c r="Q1321" s="11">
        <f>IFERROR(+VLOOKUP(M1321,D.sign_Lista_Data[[RESPONSABLE]:[SOFTWARE 
VALOR HORA]],5,FALSE)*D.sign_Data[[#This Row],[TIEMPO (HORAS)]],0)</f>
        <v>4221.5467747382636</v>
      </c>
      <c r="R1321" s="11">
        <f>IFERROR(+VLOOKUP(M1321,D.sign_Lista_Data[[RESPONSABLE]:[SOFTWARE 
VALOR HORA]],8,FALSE)*D.sign_Data[[#This Row],[TIEMPO (HORAS)]],0)</f>
        <v>3410.8548871439834</v>
      </c>
      <c r="S1321" s="99"/>
      <c r="T1321" s="99"/>
      <c r="U1321" s="3">
        <f t="shared" si="49"/>
        <v>27895.826180625918</v>
      </c>
      <c r="V1321" s="100">
        <f>D.sign_Data[[#This Row],[TIEMPO (HORAS)]]*Gastos_Operativos[[#Totals],[GASTOS HORA]]</f>
        <v>27789.477072310401</v>
      </c>
      <c r="W1321" s="3">
        <f>+D.sign_Data[[#This Row],[COSTO 
DIRECTO ($COP)]]+D.sign_Data[[#This Row],[PRORRATEO GASTOS ($COP)]]</f>
        <v>55685.303252936319</v>
      </c>
      <c r="X1321" s="101">
        <v>0.05</v>
      </c>
      <c r="Y1321" s="15">
        <f>+D.sign_Data[[#This Row],[COSTOS OPERACIONALES ($COP)]]*D.sign_Data[[#This Row],[DESFASE (%)]]</f>
        <v>2784.265162646816</v>
      </c>
      <c r="Z1321" s="101">
        <v>0.15</v>
      </c>
      <c r="AA1321" s="15">
        <f>+((D.sign_Data[[#This Row],[COSTOS OPERACIONALES ($COP)]]/(100%-D.sign_Data[[#This Row],[UTILIDAD (%)]])))-D.sign_Data[[#This Row],[COSTOS OPERACIONALES ($COP)]]</f>
        <v>9826.8182211064122</v>
      </c>
      <c r="AB1321" s="3">
        <f>+D.sign_Data[[#This Row],[COSTOS OPERACIONALES ($COP)]]+D.sign_Data[[#This Row],[DESFASE ($COP)]]+D.sign_Data[[#This Row],[UTILIDAD ($COP)]]</f>
        <v>68296.386636689538</v>
      </c>
      <c r="AC1321" s="101">
        <v>0.05</v>
      </c>
      <c r="AD1321" s="15">
        <f>+D.sign_Data[[#This Row],[VALOR NETO ($COP)]]/(100%-D.sign_Data[[#This Row],[MARGEN DE NEGOCIACIÓN (%)]])-D.sign_Data[[#This Row],[VALOR NETO ($COP)]]</f>
        <v>3594.5466650889284</v>
      </c>
      <c r="AE1321" s="15">
        <f>+(D.sign_Data[[#This Row],[VALOR NETO ($COP)]]+D.sign_Data[[#This Row],[NEGOCIACIÓN ($COP)]])*1%</f>
        <v>718.90933301778466</v>
      </c>
      <c r="AF1321" s="15">
        <f>+(D.sign_Data[[#This Row],[VALOR NETO ($COP)]]+D.sign_Data[[#This Row],[NEGOCIACIÓN ($COP)]])*1%</f>
        <v>718.90933301778466</v>
      </c>
      <c r="AG1321" s="3">
        <f>+D.sign_Data[[#This Row],[VALOR NETO ($COP)]]+D.sign_Data[[#This Row],[NEGOCIACIÓN ($COP)]]+D.sign_Data[[#This Row],[ICA ($COP)]]+D.sign_Data[[#This Row],[4 * 1000 ($COP)]]</f>
        <v>73328.751967814038</v>
      </c>
    </row>
    <row r="1322" spans="1:33" ht="60" hidden="1" customHeight="1" x14ac:dyDescent="0.25">
      <c r="A1322" s="14"/>
      <c r="B1322" s="87" t="s">
        <v>442</v>
      </c>
      <c r="C1322" s="182" t="s">
        <v>1165</v>
      </c>
      <c r="D1322" s="189" t="str">
        <f>VLOOKUP(D.sign_Data[[#This Row],[CÓDIGO]],Descripciones[[CÓDIGO]:[NOMBRE DE SERVICIO]],3,FALSE)</f>
        <v>D6. Diseño Interior</v>
      </c>
      <c r="E1322" s="87" t="s">
        <v>1104</v>
      </c>
      <c r="F1322" s="88" t="s">
        <v>1166</v>
      </c>
      <c r="G1322" s="88" t="s">
        <v>597</v>
      </c>
      <c r="H1322" s="104" t="s">
        <v>552</v>
      </c>
      <c r="I1322" s="89">
        <v>1</v>
      </c>
      <c r="J1322" s="88" t="s">
        <v>617</v>
      </c>
      <c r="K1322" s="102"/>
      <c r="L1322" s="88" t="s">
        <v>625</v>
      </c>
      <c r="M1322" s="89" t="s">
        <v>381</v>
      </c>
      <c r="N1322" s="90">
        <v>1</v>
      </c>
      <c r="O1322" s="27">
        <f>IFERROR(+VLOOKUP(M1322,D.sign_Lista_Data[[RESPONSABLE]:[SOFTWARE 
VALOR HORA]],3,FALSE),"0")</f>
        <v>20263.424518743668</v>
      </c>
      <c r="P1322" s="3">
        <f t="shared" si="48"/>
        <v>20263.424518743668</v>
      </c>
      <c r="Q1322" s="11">
        <f>IFERROR(+VLOOKUP(M1322,D.sign_Lista_Data[[RESPONSABLE]:[SOFTWARE 
VALOR HORA]],5,FALSE)*D.sign_Data[[#This Row],[TIEMPO (HORAS)]],0)</f>
        <v>4221.5467747382636</v>
      </c>
      <c r="R1322" s="11">
        <f>IFERROR(+VLOOKUP(M1322,D.sign_Lista_Data[[RESPONSABLE]:[SOFTWARE 
VALOR HORA]],8,FALSE)*D.sign_Data[[#This Row],[TIEMPO (HORAS)]],0)</f>
        <v>3410.8548871439834</v>
      </c>
      <c r="S1322" s="99"/>
      <c r="T1322" s="99"/>
      <c r="U1322" s="3">
        <f t="shared" si="49"/>
        <v>27895.826180625918</v>
      </c>
      <c r="V1322" s="100">
        <f>D.sign_Data[[#This Row],[TIEMPO (HORAS)]]*Gastos_Operativos[[#Totals],[GASTOS HORA]]</f>
        <v>27789.477072310401</v>
      </c>
      <c r="W1322" s="3">
        <f>+D.sign_Data[[#This Row],[COSTO 
DIRECTO ($COP)]]+D.sign_Data[[#This Row],[PRORRATEO GASTOS ($COP)]]</f>
        <v>55685.303252936319</v>
      </c>
      <c r="X1322" s="101">
        <v>0.05</v>
      </c>
      <c r="Y1322" s="15">
        <f>+D.sign_Data[[#This Row],[COSTOS OPERACIONALES ($COP)]]*D.sign_Data[[#This Row],[DESFASE (%)]]</f>
        <v>2784.265162646816</v>
      </c>
      <c r="Z1322" s="101">
        <v>0.15</v>
      </c>
      <c r="AA1322" s="15">
        <f>+((D.sign_Data[[#This Row],[COSTOS OPERACIONALES ($COP)]]/(100%-D.sign_Data[[#This Row],[UTILIDAD (%)]])))-D.sign_Data[[#This Row],[COSTOS OPERACIONALES ($COP)]]</f>
        <v>9826.8182211064122</v>
      </c>
      <c r="AB1322" s="3">
        <f>+D.sign_Data[[#This Row],[COSTOS OPERACIONALES ($COP)]]+D.sign_Data[[#This Row],[DESFASE ($COP)]]+D.sign_Data[[#This Row],[UTILIDAD ($COP)]]</f>
        <v>68296.386636689538</v>
      </c>
      <c r="AC1322" s="101">
        <v>0.05</v>
      </c>
      <c r="AD1322" s="15">
        <f>+D.sign_Data[[#This Row],[VALOR NETO ($COP)]]/(100%-D.sign_Data[[#This Row],[MARGEN DE NEGOCIACIÓN (%)]])-D.sign_Data[[#This Row],[VALOR NETO ($COP)]]</f>
        <v>3594.5466650889284</v>
      </c>
      <c r="AE1322" s="15">
        <f>+(D.sign_Data[[#This Row],[VALOR NETO ($COP)]]+D.sign_Data[[#This Row],[NEGOCIACIÓN ($COP)]])*1%</f>
        <v>718.90933301778466</v>
      </c>
      <c r="AF1322" s="15">
        <f>+(D.sign_Data[[#This Row],[VALOR NETO ($COP)]]+D.sign_Data[[#This Row],[NEGOCIACIÓN ($COP)]])*1%</f>
        <v>718.90933301778466</v>
      </c>
      <c r="AG1322" s="3">
        <f>+D.sign_Data[[#This Row],[VALOR NETO ($COP)]]+D.sign_Data[[#This Row],[NEGOCIACIÓN ($COP)]]+D.sign_Data[[#This Row],[ICA ($COP)]]+D.sign_Data[[#This Row],[4 * 1000 ($COP)]]</f>
        <v>73328.751967814038</v>
      </c>
    </row>
    <row r="1323" spans="1:33" ht="60" hidden="1" customHeight="1" x14ac:dyDescent="0.25">
      <c r="A1323" s="14"/>
      <c r="B1323" s="87" t="s">
        <v>442</v>
      </c>
      <c r="C1323" s="182" t="s">
        <v>1165</v>
      </c>
      <c r="D1323" s="189" t="str">
        <f>VLOOKUP(D.sign_Data[[#This Row],[CÓDIGO]],Descripciones[[CÓDIGO]:[NOMBRE DE SERVICIO]],3,FALSE)</f>
        <v>D6. Diseño Interior</v>
      </c>
      <c r="E1323" s="87" t="s">
        <v>1104</v>
      </c>
      <c r="F1323" s="88" t="s">
        <v>1166</v>
      </c>
      <c r="G1323" s="88" t="s">
        <v>597</v>
      </c>
      <c r="H1323" s="104" t="s">
        <v>552</v>
      </c>
      <c r="I1323" s="89">
        <v>1</v>
      </c>
      <c r="J1323" s="88" t="s">
        <v>617</v>
      </c>
      <c r="K1323" s="102"/>
      <c r="L1323" s="88" t="s">
        <v>572</v>
      </c>
      <c r="M1323" s="89" t="s">
        <v>381</v>
      </c>
      <c r="N1323" s="90">
        <v>0.1</v>
      </c>
      <c r="O1323" s="27">
        <f>IFERROR(+VLOOKUP(M1323,D.sign_Lista_Data[[RESPONSABLE]:[SOFTWARE 
VALOR HORA]],3,FALSE),"0")</f>
        <v>20263.424518743668</v>
      </c>
      <c r="P1323" s="3">
        <f t="shared" si="48"/>
        <v>2026.3424518743668</v>
      </c>
      <c r="Q1323" s="11">
        <f>IFERROR(+VLOOKUP(M1323,D.sign_Lista_Data[[RESPONSABLE]:[SOFTWARE 
VALOR HORA]],5,FALSE)*D.sign_Data[[#This Row],[TIEMPO (HORAS)]],0)</f>
        <v>422.15467747382638</v>
      </c>
      <c r="R1323" s="11">
        <f>IFERROR(+VLOOKUP(M1323,D.sign_Lista_Data[[RESPONSABLE]:[SOFTWARE 
VALOR HORA]],8,FALSE)*D.sign_Data[[#This Row],[TIEMPO (HORAS)]],0)</f>
        <v>341.08548871439837</v>
      </c>
      <c r="S1323" s="99"/>
      <c r="T1323" s="99"/>
      <c r="U1323" s="3">
        <f t="shared" si="49"/>
        <v>2789.5826180625913</v>
      </c>
      <c r="V1323" s="100">
        <f>D.sign_Data[[#This Row],[TIEMPO (HORAS)]]*Gastos_Operativos[[#Totals],[GASTOS HORA]]</f>
        <v>2778.9477072310401</v>
      </c>
      <c r="W1323" s="3">
        <f>+D.sign_Data[[#This Row],[COSTO 
DIRECTO ($COP)]]+D.sign_Data[[#This Row],[PRORRATEO GASTOS ($COP)]]</f>
        <v>5568.5303252936319</v>
      </c>
      <c r="X1323" s="101">
        <v>0.05</v>
      </c>
      <c r="Y1323" s="15">
        <f>+D.sign_Data[[#This Row],[COSTOS OPERACIONALES ($COP)]]*D.sign_Data[[#This Row],[DESFASE (%)]]</f>
        <v>278.4265162646816</v>
      </c>
      <c r="Z1323" s="101">
        <v>0.15</v>
      </c>
      <c r="AA1323" s="15">
        <f>+((D.sign_Data[[#This Row],[COSTOS OPERACIONALES ($COP)]]/(100%-D.sign_Data[[#This Row],[UTILIDAD (%)]])))-D.sign_Data[[#This Row],[COSTOS OPERACIONALES ($COP)]]</f>
        <v>982.68182211064141</v>
      </c>
      <c r="AB1323" s="3">
        <f>+D.sign_Data[[#This Row],[COSTOS OPERACIONALES ($COP)]]+D.sign_Data[[#This Row],[DESFASE ($COP)]]+D.sign_Data[[#This Row],[UTILIDAD ($COP)]]</f>
        <v>6829.6386636689549</v>
      </c>
      <c r="AC1323" s="101">
        <v>0.05</v>
      </c>
      <c r="AD1323" s="15">
        <f>+D.sign_Data[[#This Row],[VALOR NETO ($COP)]]/(100%-D.sign_Data[[#This Row],[MARGEN DE NEGOCIACIÓN (%)]])-D.sign_Data[[#This Row],[VALOR NETO ($COP)]]</f>
        <v>359.45466650889284</v>
      </c>
      <c r="AE1323" s="15">
        <f>+(D.sign_Data[[#This Row],[VALOR NETO ($COP)]]+D.sign_Data[[#This Row],[NEGOCIACIÓN ($COP)]])*1%</f>
        <v>71.890933301778475</v>
      </c>
      <c r="AF1323" s="15">
        <f>+(D.sign_Data[[#This Row],[VALOR NETO ($COP)]]+D.sign_Data[[#This Row],[NEGOCIACIÓN ($COP)]])*1%</f>
        <v>71.890933301778475</v>
      </c>
      <c r="AG1323" s="3">
        <f>+D.sign_Data[[#This Row],[VALOR NETO ($COP)]]+D.sign_Data[[#This Row],[NEGOCIACIÓN ($COP)]]+D.sign_Data[[#This Row],[ICA ($COP)]]+D.sign_Data[[#This Row],[4 * 1000 ($COP)]]</f>
        <v>7332.8751967814042</v>
      </c>
    </row>
    <row r="1324" spans="1:33" ht="60" hidden="1" customHeight="1" x14ac:dyDescent="0.25">
      <c r="A1324" s="14"/>
      <c r="B1324" s="87" t="s">
        <v>442</v>
      </c>
      <c r="C1324" s="182" t="s">
        <v>1165</v>
      </c>
      <c r="D1324" s="189" t="str">
        <f>VLOOKUP(D.sign_Data[[#This Row],[CÓDIGO]],Descripciones[[CÓDIGO]:[NOMBRE DE SERVICIO]],3,FALSE)</f>
        <v>D6. Diseño Interior</v>
      </c>
      <c r="E1324" s="87" t="s">
        <v>1104</v>
      </c>
      <c r="F1324" s="88" t="s">
        <v>1166</v>
      </c>
      <c r="G1324" s="88" t="s">
        <v>626</v>
      </c>
      <c r="H1324" s="104" t="s">
        <v>552</v>
      </c>
      <c r="I1324" s="89">
        <v>1</v>
      </c>
      <c r="J1324" s="88" t="s">
        <v>627</v>
      </c>
      <c r="K1324" s="102"/>
      <c r="L1324" s="88" t="s">
        <v>628</v>
      </c>
      <c r="M1324" s="89" t="s">
        <v>381</v>
      </c>
      <c r="N1324" s="90">
        <v>1</v>
      </c>
      <c r="O1324" s="27">
        <f>IFERROR(+VLOOKUP(M1324,D.sign_Lista_Data[[RESPONSABLE]:[SOFTWARE 
VALOR HORA]],3,FALSE),"0")</f>
        <v>20263.424518743668</v>
      </c>
      <c r="P1324" s="3">
        <f t="shared" si="48"/>
        <v>20263.424518743668</v>
      </c>
      <c r="Q1324" s="11">
        <f>IFERROR(+VLOOKUP(M1324,D.sign_Lista_Data[[RESPONSABLE]:[SOFTWARE 
VALOR HORA]],5,FALSE)*D.sign_Data[[#This Row],[TIEMPO (HORAS)]],0)</f>
        <v>4221.5467747382636</v>
      </c>
      <c r="R1324" s="11">
        <f>IFERROR(+VLOOKUP(M1324,D.sign_Lista_Data[[RESPONSABLE]:[SOFTWARE 
VALOR HORA]],8,FALSE)*D.sign_Data[[#This Row],[TIEMPO (HORAS)]],0)</f>
        <v>3410.8548871439834</v>
      </c>
      <c r="S1324" s="99"/>
      <c r="T1324" s="99"/>
      <c r="U1324" s="3">
        <f t="shared" si="49"/>
        <v>27895.826180625918</v>
      </c>
      <c r="V1324" s="100">
        <f>D.sign_Data[[#This Row],[TIEMPO (HORAS)]]*Gastos_Operativos[[#Totals],[GASTOS HORA]]</f>
        <v>27789.477072310401</v>
      </c>
      <c r="W1324" s="3">
        <f>+D.sign_Data[[#This Row],[COSTO 
DIRECTO ($COP)]]+D.sign_Data[[#This Row],[PRORRATEO GASTOS ($COP)]]</f>
        <v>55685.303252936319</v>
      </c>
      <c r="X1324" s="101">
        <v>0.05</v>
      </c>
      <c r="Y1324" s="15">
        <f>+D.sign_Data[[#This Row],[COSTOS OPERACIONALES ($COP)]]*D.sign_Data[[#This Row],[DESFASE (%)]]</f>
        <v>2784.265162646816</v>
      </c>
      <c r="Z1324" s="101">
        <v>0.15</v>
      </c>
      <c r="AA1324" s="15">
        <f>+((D.sign_Data[[#This Row],[COSTOS OPERACIONALES ($COP)]]/(100%-D.sign_Data[[#This Row],[UTILIDAD (%)]])))-D.sign_Data[[#This Row],[COSTOS OPERACIONALES ($COP)]]</f>
        <v>9826.8182211064122</v>
      </c>
      <c r="AB1324" s="3">
        <f>+D.sign_Data[[#This Row],[COSTOS OPERACIONALES ($COP)]]+D.sign_Data[[#This Row],[DESFASE ($COP)]]+D.sign_Data[[#This Row],[UTILIDAD ($COP)]]</f>
        <v>68296.386636689538</v>
      </c>
      <c r="AC1324" s="101">
        <v>0.05</v>
      </c>
      <c r="AD1324" s="15">
        <f>+D.sign_Data[[#This Row],[VALOR NETO ($COP)]]/(100%-D.sign_Data[[#This Row],[MARGEN DE NEGOCIACIÓN (%)]])-D.sign_Data[[#This Row],[VALOR NETO ($COP)]]</f>
        <v>3594.5466650889284</v>
      </c>
      <c r="AE1324" s="15">
        <f>+(D.sign_Data[[#This Row],[VALOR NETO ($COP)]]+D.sign_Data[[#This Row],[NEGOCIACIÓN ($COP)]])*1%</f>
        <v>718.90933301778466</v>
      </c>
      <c r="AF1324" s="15">
        <f>+(D.sign_Data[[#This Row],[VALOR NETO ($COP)]]+D.sign_Data[[#This Row],[NEGOCIACIÓN ($COP)]])*1%</f>
        <v>718.90933301778466</v>
      </c>
      <c r="AG1324" s="3">
        <f>+D.sign_Data[[#This Row],[VALOR NETO ($COP)]]+D.sign_Data[[#This Row],[NEGOCIACIÓN ($COP)]]+D.sign_Data[[#This Row],[ICA ($COP)]]+D.sign_Data[[#This Row],[4 * 1000 ($COP)]]</f>
        <v>73328.751967814038</v>
      </c>
    </row>
    <row r="1325" spans="1:33" ht="60" hidden="1" customHeight="1" x14ac:dyDescent="0.25">
      <c r="A1325" s="14"/>
      <c r="B1325" s="87" t="s">
        <v>442</v>
      </c>
      <c r="C1325" s="182" t="s">
        <v>1165</v>
      </c>
      <c r="D1325" s="189" t="str">
        <f>VLOOKUP(D.sign_Data[[#This Row],[CÓDIGO]],Descripciones[[CÓDIGO]:[NOMBRE DE SERVICIO]],3,FALSE)</f>
        <v>D6. Diseño Interior</v>
      </c>
      <c r="E1325" s="87" t="s">
        <v>1104</v>
      </c>
      <c r="F1325" s="88" t="s">
        <v>1166</v>
      </c>
      <c r="G1325" s="88" t="s">
        <v>626</v>
      </c>
      <c r="H1325" s="104" t="s">
        <v>552</v>
      </c>
      <c r="I1325" s="89">
        <v>1</v>
      </c>
      <c r="J1325" s="88" t="s">
        <v>627</v>
      </c>
      <c r="K1325" s="102"/>
      <c r="L1325" s="88" t="s">
        <v>629</v>
      </c>
      <c r="M1325" s="89" t="s">
        <v>381</v>
      </c>
      <c r="N1325" s="90">
        <v>1</v>
      </c>
      <c r="O1325" s="27">
        <f>IFERROR(+VLOOKUP(M1325,D.sign_Lista_Data[[RESPONSABLE]:[SOFTWARE 
VALOR HORA]],3,FALSE),"0")</f>
        <v>20263.424518743668</v>
      </c>
      <c r="P1325" s="3">
        <f t="shared" si="48"/>
        <v>20263.424518743668</v>
      </c>
      <c r="Q1325" s="11">
        <f>IFERROR(+VLOOKUP(M1325,D.sign_Lista_Data[[RESPONSABLE]:[SOFTWARE 
VALOR HORA]],5,FALSE)*D.sign_Data[[#This Row],[TIEMPO (HORAS)]],0)</f>
        <v>4221.5467747382636</v>
      </c>
      <c r="R1325" s="11">
        <f>IFERROR(+VLOOKUP(M1325,D.sign_Lista_Data[[RESPONSABLE]:[SOFTWARE 
VALOR HORA]],8,FALSE)*D.sign_Data[[#This Row],[TIEMPO (HORAS)]],0)</f>
        <v>3410.8548871439834</v>
      </c>
      <c r="S1325" s="99"/>
      <c r="T1325" s="99"/>
      <c r="U1325" s="3">
        <f t="shared" si="49"/>
        <v>27895.826180625918</v>
      </c>
      <c r="V1325" s="100">
        <f>D.sign_Data[[#This Row],[TIEMPO (HORAS)]]*Gastos_Operativos[[#Totals],[GASTOS HORA]]</f>
        <v>27789.477072310401</v>
      </c>
      <c r="W1325" s="3">
        <f>+D.sign_Data[[#This Row],[COSTO 
DIRECTO ($COP)]]+D.sign_Data[[#This Row],[PRORRATEO GASTOS ($COP)]]</f>
        <v>55685.303252936319</v>
      </c>
      <c r="X1325" s="101">
        <v>0.05</v>
      </c>
      <c r="Y1325" s="15">
        <f>+D.sign_Data[[#This Row],[COSTOS OPERACIONALES ($COP)]]*D.sign_Data[[#This Row],[DESFASE (%)]]</f>
        <v>2784.265162646816</v>
      </c>
      <c r="Z1325" s="101">
        <v>0.15</v>
      </c>
      <c r="AA1325" s="15">
        <f>+((D.sign_Data[[#This Row],[COSTOS OPERACIONALES ($COP)]]/(100%-D.sign_Data[[#This Row],[UTILIDAD (%)]])))-D.sign_Data[[#This Row],[COSTOS OPERACIONALES ($COP)]]</f>
        <v>9826.8182211064122</v>
      </c>
      <c r="AB1325" s="3">
        <f>+D.sign_Data[[#This Row],[COSTOS OPERACIONALES ($COP)]]+D.sign_Data[[#This Row],[DESFASE ($COP)]]+D.sign_Data[[#This Row],[UTILIDAD ($COP)]]</f>
        <v>68296.386636689538</v>
      </c>
      <c r="AC1325" s="101">
        <v>0.05</v>
      </c>
      <c r="AD1325" s="15">
        <f>+D.sign_Data[[#This Row],[VALOR NETO ($COP)]]/(100%-D.sign_Data[[#This Row],[MARGEN DE NEGOCIACIÓN (%)]])-D.sign_Data[[#This Row],[VALOR NETO ($COP)]]</f>
        <v>3594.5466650889284</v>
      </c>
      <c r="AE1325" s="15">
        <f>+(D.sign_Data[[#This Row],[VALOR NETO ($COP)]]+D.sign_Data[[#This Row],[NEGOCIACIÓN ($COP)]])*1%</f>
        <v>718.90933301778466</v>
      </c>
      <c r="AF1325" s="15">
        <f>+(D.sign_Data[[#This Row],[VALOR NETO ($COP)]]+D.sign_Data[[#This Row],[NEGOCIACIÓN ($COP)]])*1%</f>
        <v>718.90933301778466</v>
      </c>
      <c r="AG1325" s="3">
        <f>+D.sign_Data[[#This Row],[VALOR NETO ($COP)]]+D.sign_Data[[#This Row],[NEGOCIACIÓN ($COP)]]+D.sign_Data[[#This Row],[ICA ($COP)]]+D.sign_Data[[#This Row],[4 * 1000 ($COP)]]</f>
        <v>73328.751967814038</v>
      </c>
    </row>
    <row r="1326" spans="1:33" ht="60" hidden="1" customHeight="1" x14ac:dyDescent="0.25">
      <c r="A1326" s="14"/>
      <c r="B1326" s="87" t="s">
        <v>442</v>
      </c>
      <c r="C1326" s="182" t="s">
        <v>1165</v>
      </c>
      <c r="D1326" s="189" t="str">
        <f>VLOOKUP(D.sign_Data[[#This Row],[CÓDIGO]],Descripciones[[CÓDIGO]:[NOMBRE DE SERVICIO]],3,FALSE)</f>
        <v>D6. Diseño Interior</v>
      </c>
      <c r="E1326" s="87" t="s">
        <v>1104</v>
      </c>
      <c r="F1326" s="88" t="s">
        <v>1166</v>
      </c>
      <c r="G1326" s="88" t="s">
        <v>626</v>
      </c>
      <c r="H1326" s="104" t="s">
        <v>552</v>
      </c>
      <c r="I1326" s="89">
        <v>1</v>
      </c>
      <c r="J1326" s="88" t="s">
        <v>627</v>
      </c>
      <c r="K1326" s="102"/>
      <c r="L1326" s="88" t="s">
        <v>630</v>
      </c>
      <c r="M1326" s="89" t="s">
        <v>381</v>
      </c>
      <c r="N1326" s="90">
        <v>9.4</v>
      </c>
      <c r="O1326" s="27">
        <f>IFERROR(+VLOOKUP(M1326,D.sign_Lista_Data[[RESPONSABLE]:[SOFTWARE 
VALOR HORA]],3,FALSE),"0")</f>
        <v>20263.424518743668</v>
      </c>
      <c r="P1326" s="3">
        <f t="shared" si="48"/>
        <v>190476.19047619047</v>
      </c>
      <c r="Q1326" s="11">
        <f>IFERROR(+VLOOKUP(M1326,D.sign_Lista_Data[[RESPONSABLE]:[SOFTWARE 
VALOR HORA]],5,FALSE)*D.sign_Data[[#This Row],[TIEMPO (HORAS)]],0)</f>
        <v>39682.539682539682</v>
      </c>
      <c r="R1326" s="11">
        <f>IFERROR(+VLOOKUP(M1326,D.sign_Lista_Data[[RESPONSABLE]:[SOFTWARE 
VALOR HORA]],8,FALSE)*D.sign_Data[[#This Row],[TIEMPO (HORAS)]],0)</f>
        <v>32062.035939153444</v>
      </c>
      <c r="S1326" s="99"/>
      <c r="T1326" s="99"/>
      <c r="U1326" s="3">
        <f t="shared" si="49"/>
        <v>262220.76609788358</v>
      </c>
      <c r="V1326" s="100">
        <f>D.sign_Data[[#This Row],[TIEMPO (HORAS)]]*Gastos_Operativos[[#Totals],[GASTOS HORA]]</f>
        <v>261221.08447971777</v>
      </c>
      <c r="W1326" s="3">
        <f>+D.sign_Data[[#This Row],[COSTO 
DIRECTO ($COP)]]+D.sign_Data[[#This Row],[PRORRATEO GASTOS ($COP)]]</f>
        <v>523441.85057760135</v>
      </c>
      <c r="X1326" s="101">
        <v>0.05</v>
      </c>
      <c r="Y1326" s="15">
        <f>+D.sign_Data[[#This Row],[COSTOS OPERACIONALES ($COP)]]*D.sign_Data[[#This Row],[DESFASE (%)]]</f>
        <v>26172.092528880068</v>
      </c>
      <c r="Z1326" s="101">
        <v>0.15</v>
      </c>
      <c r="AA1326" s="15">
        <f>+((D.sign_Data[[#This Row],[COSTOS OPERACIONALES ($COP)]]/(100%-D.sign_Data[[#This Row],[UTILIDAD (%)]])))-D.sign_Data[[#This Row],[COSTOS OPERACIONALES ($COP)]]</f>
        <v>92372.091278400272</v>
      </c>
      <c r="AB1326" s="3">
        <f>+D.sign_Data[[#This Row],[COSTOS OPERACIONALES ($COP)]]+D.sign_Data[[#This Row],[DESFASE ($COP)]]+D.sign_Data[[#This Row],[UTILIDAD ($COP)]]</f>
        <v>641986.03438488173</v>
      </c>
      <c r="AC1326" s="101">
        <v>0.05</v>
      </c>
      <c r="AD1326" s="15">
        <f>+D.sign_Data[[#This Row],[VALOR NETO ($COP)]]/(100%-D.sign_Data[[#This Row],[MARGEN DE NEGOCIACIÓN (%)]])-D.sign_Data[[#This Row],[VALOR NETO ($COP)]]</f>
        <v>33788.738651835942</v>
      </c>
      <c r="AE1326" s="15">
        <f>+(D.sign_Data[[#This Row],[VALOR NETO ($COP)]]+D.sign_Data[[#This Row],[NEGOCIACIÓN ($COP)]])*1%</f>
        <v>6757.7477303671767</v>
      </c>
      <c r="AF1326" s="15">
        <f>+(D.sign_Data[[#This Row],[VALOR NETO ($COP)]]+D.sign_Data[[#This Row],[NEGOCIACIÓN ($COP)]])*1%</f>
        <v>6757.7477303671767</v>
      </c>
      <c r="AG1326" s="3">
        <f>+D.sign_Data[[#This Row],[VALOR NETO ($COP)]]+D.sign_Data[[#This Row],[NEGOCIACIÓN ($COP)]]+D.sign_Data[[#This Row],[ICA ($COP)]]+D.sign_Data[[#This Row],[4 * 1000 ($COP)]]</f>
        <v>689290.26849745191</v>
      </c>
    </row>
    <row r="1327" spans="1:33" ht="60" hidden="1" customHeight="1" x14ac:dyDescent="0.25">
      <c r="A1327" s="14"/>
      <c r="B1327" s="87" t="s">
        <v>442</v>
      </c>
      <c r="C1327" s="182" t="s">
        <v>1165</v>
      </c>
      <c r="D1327" s="189" t="str">
        <f>VLOOKUP(D.sign_Data[[#This Row],[CÓDIGO]],Descripciones[[CÓDIGO]:[NOMBRE DE SERVICIO]],3,FALSE)</f>
        <v>D6. Diseño Interior</v>
      </c>
      <c r="E1327" s="87" t="s">
        <v>1104</v>
      </c>
      <c r="F1327" s="88" t="s">
        <v>1166</v>
      </c>
      <c r="G1327" s="88" t="s">
        <v>626</v>
      </c>
      <c r="H1327" s="104" t="s">
        <v>552</v>
      </c>
      <c r="I1327" s="89">
        <v>1</v>
      </c>
      <c r="J1327" s="88" t="s">
        <v>627</v>
      </c>
      <c r="K1327" s="102"/>
      <c r="L1327" s="88" t="s">
        <v>483</v>
      </c>
      <c r="M1327" s="89" t="s">
        <v>381</v>
      </c>
      <c r="N1327" s="90">
        <v>1</v>
      </c>
      <c r="O1327" s="27">
        <f>IFERROR(+VLOOKUP(M1327,D.sign_Lista_Data[[RESPONSABLE]:[SOFTWARE 
VALOR HORA]],3,FALSE),"0")</f>
        <v>20263.424518743668</v>
      </c>
      <c r="P1327" s="3">
        <f t="shared" si="48"/>
        <v>20263.424518743668</v>
      </c>
      <c r="Q1327" s="11">
        <f>IFERROR(+VLOOKUP(M1327,D.sign_Lista_Data[[RESPONSABLE]:[SOFTWARE 
VALOR HORA]],5,FALSE)*D.sign_Data[[#This Row],[TIEMPO (HORAS)]],0)</f>
        <v>4221.5467747382636</v>
      </c>
      <c r="R1327" s="11">
        <f>IFERROR(+VLOOKUP(M1327,D.sign_Lista_Data[[RESPONSABLE]:[SOFTWARE 
VALOR HORA]],8,FALSE)*D.sign_Data[[#This Row],[TIEMPO (HORAS)]],0)</f>
        <v>3410.8548871439834</v>
      </c>
      <c r="S1327" s="99"/>
      <c r="T1327" s="99"/>
      <c r="U1327" s="3">
        <f t="shared" si="49"/>
        <v>27895.826180625918</v>
      </c>
      <c r="V1327" s="100">
        <f>D.sign_Data[[#This Row],[TIEMPO (HORAS)]]*Gastos_Operativos[[#Totals],[GASTOS HORA]]</f>
        <v>27789.477072310401</v>
      </c>
      <c r="W1327" s="3">
        <f>+D.sign_Data[[#This Row],[COSTO 
DIRECTO ($COP)]]+D.sign_Data[[#This Row],[PRORRATEO GASTOS ($COP)]]</f>
        <v>55685.303252936319</v>
      </c>
      <c r="X1327" s="101">
        <v>0.05</v>
      </c>
      <c r="Y1327" s="15">
        <f>+D.sign_Data[[#This Row],[COSTOS OPERACIONALES ($COP)]]*D.sign_Data[[#This Row],[DESFASE (%)]]</f>
        <v>2784.265162646816</v>
      </c>
      <c r="Z1327" s="101">
        <v>0.15</v>
      </c>
      <c r="AA1327" s="15">
        <f>+((D.sign_Data[[#This Row],[COSTOS OPERACIONALES ($COP)]]/(100%-D.sign_Data[[#This Row],[UTILIDAD (%)]])))-D.sign_Data[[#This Row],[COSTOS OPERACIONALES ($COP)]]</f>
        <v>9826.8182211064122</v>
      </c>
      <c r="AB1327" s="3">
        <f>+D.sign_Data[[#This Row],[COSTOS OPERACIONALES ($COP)]]+D.sign_Data[[#This Row],[DESFASE ($COP)]]+D.sign_Data[[#This Row],[UTILIDAD ($COP)]]</f>
        <v>68296.386636689538</v>
      </c>
      <c r="AC1327" s="101">
        <v>0.05</v>
      </c>
      <c r="AD1327" s="15">
        <f>+D.sign_Data[[#This Row],[VALOR NETO ($COP)]]/(100%-D.sign_Data[[#This Row],[MARGEN DE NEGOCIACIÓN (%)]])-D.sign_Data[[#This Row],[VALOR NETO ($COP)]]</f>
        <v>3594.5466650889284</v>
      </c>
      <c r="AE1327" s="15">
        <f>+(D.sign_Data[[#This Row],[VALOR NETO ($COP)]]+D.sign_Data[[#This Row],[NEGOCIACIÓN ($COP)]])*1%</f>
        <v>718.90933301778466</v>
      </c>
      <c r="AF1327" s="15">
        <f>+(D.sign_Data[[#This Row],[VALOR NETO ($COP)]]+D.sign_Data[[#This Row],[NEGOCIACIÓN ($COP)]])*1%</f>
        <v>718.90933301778466</v>
      </c>
      <c r="AG1327" s="3">
        <f>+D.sign_Data[[#This Row],[VALOR NETO ($COP)]]+D.sign_Data[[#This Row],[NEGOCIACIÓN ($COP)]]+D.sign_Data[[#This Row],[ICA ($COP)]]+D.sign_Data[[#This Row],[4 * 1000 ($COP)]]</f>
        <v>73328.751967814038</v>
      </c>
    </row>
    <row r="1328" spans="1:33" ht="60" hidden="1" customHeight="1" x14ac:dyDescent="0.25">
      <c r="A1328" s="14"/>
      <c r="B1328" s="87" t="s">
        <v>442</v>
      </c>
      <c r="C1328" s="182" t="s">
        <v>1165</v>
      </c>
      <c r="D1328" s="189" t="str">
        <f>VLOOKUP(D.sign_Data[[#This Row],[CÓDIGO]],Descripciones[[CÓDIGO]:[NOMBRE DE SERVICIO]],3,FALSE)</f>
        <v>D6. Diseño Interior</v>
      </c>
      <c r="E1328" s="87" t="s">
        <v>1104</v>
      </c>
      <c r="F1328" s="88" t="s">
        <v>1166</v>
      </c>
      <c r="G1328" s="88" t="s">
        <v>626</v>
      </c>
      <c r="H1328" s="104" t="s">
        <v>552</v>
      </c>
      <c r="I1328" s="89">
        <v>1</v>
      </c>
      <c r="J1328" s="88" t="s">
        <v>627</v>
      </c>
      <c r="K1328" s="102"/>
      <c r="L1328" s="88" t="s">
        <v>624</v>
      </c>
      <c r="M1328" s="89" t="s">
        <v>381</v>
      </c>
      <c r="N1328" s="90">
        <v>2</v>
      </c>
      <c r="O1328" s="27">
        <f>IFERROR(+VLOOKUP(M1328,D.sign_Lista_Data[[RESPONSABLE]:[SOFTWARE 
VALOR HORA]],3,FALSE),"0")</f>
        <v>20263.424518743668</v>
      </c>
      <c r="P1328" s="3">
        <f t="shared" si="48"/>
        <v>40526.849037487336</v>
      </c>
      <c r="Q1328" s="11">
        <f>IFERROR(+VLOOKUP(M1328,D.sign_Lista_Data[[RESPONSABLE]:[SOFTWARE 
VALOR HORA]],5,FALSE)*D.sign_Data[[#This Row],[TIEMPO (HORAS)]],0)</f>
        <v>8443.0935494765272</v>
      </c>
      <c r="R1328" s="11">
        <f>IFERROR(+VLOOKUP(M1328,D.sign_Lista_Data[[RESPONSABLE]:[SOFTWARE 
VALOR HORA]],8,FALSE)*D.sign_Data[[#This Row],[TIEMPO (HORAS)]],0)</f>
        <v>6821.7097742879669</v>
      </c>
      <c r="S1328" s="99"/>
      <c r="T1328" s="99"/>
      <c r="U1328" s="3">
        <f t="shared" si="49"/>
        <v>55791.652361251836</v>
      </c>
      <c r="V1328" s="100">
        <f>D.sign_Data[[#This Row],[TIEMPO (HORAS)]]*Gastos_Operativos[[#Totals],[GASTOS HORA]]</f>
        <v>55578.954144620802</v>
      </c>
      <c r="W1328" s="3">
        <f>+D.sign_Data[[#This Row],[COSTO 
DIRECTO ($COP)]]+D.sign_Data[[#This Row],[PRORRATEO GASTOS ($COP)]]</f>
        <v>111370.60650587264</v>
      </c>
      <c r="X1328" s="101">
        <v>0.05</v>
      </c>
      <c r="Y1328" s="15">
        <f>+D.sign_Data[[#This Row],[COSTOS OPERACIONALES ($COP)]]*D.sign_Data[[#This Row],[DESFASE (%)]]</f>
        <v>5568.5303252936319</v>
      </c>
      <c r="Z1328" s="101">
        <v>0.15</v>
      </c>
      <c r="AA1328" s="15">
        <f>+((D.sign_Data[[#This Row],[COSTOS OPERACIONALES ($COP)]]/(100%-D.sign_Data[[#This Row],[UTILIDAD (%)]])))-D.sign_Data[[#This Row],[COSTOS OPERACIONALES ($COP)]]</f>
        <v>19653.636442212824</v>
      </c>
      <c r="AB1328" s="3">
        <f>+D.sign_Data[[#This Row],[COSTOS OPERACIONALES ($COP)]]+D.sign_Data[[#This Row],[DESFASE ($COP)]]+D.sign_Data[[#This Row],[UTILIDAD ($COP)]]</f>
        <v>136592.77327337908</v>
      </c>
      <c r="AC1328" s="101">
        <v>0.05</v>
      </c>
      <c r="AD1328" s="15">
        <f>+D.sign_Data[[#This Row],[VALOR NETO ($COP)]]/(100%-D.sign_Data[[#This Row],[MARGEN DE NEGOCIACIÓN (%)]])-D.sign_Data[[#This Row],[VALOR NETO ($COP)]]</f>
        <v>7189.0933301778568</v>
      </c>
      <c r="AE1328" s="15">
        <f>+(D.sign_Data[[#This Row],[VALOR NETO ($COP)]]+D.sign_Data[[#This Row],[NEGOCIACIÓN ($COP)]])*1%</f>
        <v>1437.8186660355693</v>
      </c>
      <c r="AF1328" s="15">
        <f>+(D.sign_Data[[#This Row],[VALOR NETO ($COP)]]+D.sign_Data[[#This Row],[NEGOCIACIÓN ($COP)]])*1%</f>
        <v>1437.8186660355693</v>
      </c>
      <c r="AG1328" s="3">
        <f>+D.sign_Data[[#This Row],[VALOR NETO ($COP)]]+D.sign_Data[[#This Row],[NEGOCIACIÓN ($COP)]]+D.sign_Data[[#This Row],[ICA ($COP)]]+D.sign_Data[[#This Row],[4 * 1000 ($COP)]]</f>
        <v>146657.50393562808</v>
      </c>
    </row>
    <row r="1329" spans="1:33" ht="60" hidden="1" customHeight="1" x14ac:dyDescent="0.25">
      <c r="A1329" s="14"/>
      <c r="B1329" s="87" t="s">
        <v>442</v>
      </c>
      <c r="C1329" s="182" t="s">
        <v>1165</v>
      </c>
      <c r="D1329" s="189" t="str">
        <f>VLOOKUP(D.sign_Data[[#This Row],[CÓDIGO]],Descripciones[[CÓDIGO]:[NOMBRE DE SERVICIO]],3,FALSE)</f>
        <v>D6. Diseño Interior</v>
      </c>
      <c r="E1329" s="87" t="s">
        <v>1104</v>
      </c>
      <c r="F1329" s="88" t="s">
        <v>1166</v>
      </c>
      <c r="G1329" s="88" t="s">
        <v>626</v>
      </c>
      <c r="H1329" s="104" t="s">
        <v>552</v>
      </c>
      <c r="I1329" s="89">
        <v>1</v>
      </c>
      <c r="J1329" s="88" t="s">
        <v>627</v>
      </c>
      <c r="K1329" s="102"/>
      <c r="L1329" s="88" t="s">
        <v>579</v>
      </c>
      <c r="M1329" s="89" t="s">
        <v>381</v>
      </c>
      <c r="N1329" s="90">
        <v>9.4</v>
      </c>
      <c r="O1329" s="27">
        <f>IFERROR(+VLOOKUP(M1329,D.sign_Lista_Data[[RESPONSABLE]:[SOFTWARE 
VALOR HORA]],3,FALSE),"0")</f>
        <v>20263.424518743668</v>
      </c>
      <c r="P1329" s="3">
        <f t="shared" si="48"/>
        <v>190476.19047619047</v>
      </c>
      <c r="Q1329" s="11">
        <f>IFERROR(+VLOOKUP(M1329,D.sign_Lista_Data[[RESPONSABLE]:[SOFTWARE 
VALOR HORA]],5,FALSE)*D.sign_Data[[#This Row],[TIEMPO (HORAS)]],0)</f>
        <v>39682.539682539682</v>
      </c>
      <c r="R1329" s="11">
        <f>IFERROR(+VLOOKUP(M1329,D.sign_Lista_Data[[RESPONSABLE]:[SOFTWARE 
VALOR HORA]],8,FALSE)*D.sign_Data[[#This Row],[TIEMPO (HORAS)]],0)</f>
        <v>32062.035939153444</v>
      </c>
      <c r="S1329" s="99"/>
      <c r="T1329" s="99"/>
      <c r="U1329" s="3">
        <f t="shared" si="49"/>
        <v>262220.76609788358</v>
      </c>
      <c r="V1329" s="100">
        <f>D.sign_Data[[#This Row],[TIEMPO (HORAS)]]*Gastos_Operativos[[#Totals],[GASTOS HORA]]</f>
        <v>261221.08447971777</v>
      </c>
      <c r="W1329" s="3">
        <f>+D.sign_Data[[#This Row],[COSTO 
DIRECTO ($COP)]]+D.sign_Data[[#This Row],[PRORRATEO GASTOS ($COP)]]</f>
        <v>523441.85057760135</v>
      </c>
      <c r="X1329" s="101">
        <v>0.05</v>
      </c>
      <c r="Y1329" s="15">
        <f>+D.sign_Data[[#This Row],[COSTOS OPERACIONALES ($COP)]]*D.sign_Data[[#This Row],[DESFASE (%)]]</f>
        <v>26172.092528880068</v>
      </c>
      <c r="Z1329" s="101">
        <v>0.15</v>
      </c>
      <c r="AA1329" s="15">
        <f>+((D.sign_Data[[#This Row],[COSTOS OPERACIONALES ($COP)]]/(100%-D.sign_Data[[#This Row],[UTILIDAD (%)]])))-D.sign_Data[[#This Row],[COSTOS OPERACIONALES ($COP)]]</f>
        <v>92372.091278400272</v>
      </c>
      <c r="AB1329" s="3">
        <f>+D.sign_Data[[#This Row],[COSTOS OPERACIONALES ($COP)]]+D.sign_Data[[#This Row],[DESFASE ($COP)]]+D.sign_Data[[#This Row],[UTILIDAD ($COP)]]</f>
        <v>641986.03438488173</v>
      </c>
      <c r="AC1329" s="101">
        <v>0.05</v>
      </c>
      <c r="AD1329" s="15">
        <f>+D.sign_Data[[#This Row],[VALOR NETO ($COP)]]/(100%-D.sign_Data[[#This Row],[MARGEN DE NEGOCIACIÓN (%)]])-D.sign_Data[[#This Row],[VALOR NETO ($COP)]]</f>
        <v>33788.738651835942</v>
      </c>
      <c r="AE1329" s="15">
        <f>+(D.sign_Data[[#This Row],[VALOR NETO ($COP)]]+D.sign_Data[[#This Row],[NEGOCIACIÓN ($COP)]])*1%</f>
        <v>6757.7477303671767</v>
      </c>
      <c r="AF1329" s="15">
        <f>+(D.sign_Data[[#This Row],[VALOR NETO ($COP)]]+D.sign_Data[[#This Row],[NEGOCIACIÓN ($COP)]])*1%</f>
        <v>6757.7477303671767</v>
      </c>
      <c r="AG1329" s="3">
        <f>+D.sign_Data[[#This Row],[VALOR NETO ($COP)]]+D.sign_Data[[#This Row],[NEGOCIACIÓN ($COP)]]+D.sign_Data[[#This Row],[ICA ($COP)]]+D.sign_Data[[#This Row],[4 * 1000 ($COP)]]</f>
        <v>689290.26849745191</v>
      </c>
    </row>
    <row r="1330" spans="1:33" ht="60" hidden="1" customHeight="1" x14ac:dyDescent="0.25">
      <c r="A1330" s="14"/>
      <c r="B1330" s="87" t="s">
        <v>442</v>
      </c>
      <c r="C1330" s="182" t="s">
        <v>1165</v>
      </c>
      <c r="D1330" s="189" t="str">
        <f>VLOOKUP(D.sign_Data[[#This Row],[CÓDIGO]],Descripciones[[CÓDIGO]:[NOMBRE DE SERVICIO]],3,FALSE)</f>
        <v>D6. Diseño Interior</v>
      </c>
      <c r="E1330" s="87" t="s">
        <v>1104</v>
      </c>
      <c r="F1330" s="88" t="s">
        <v>1166</v>
      </c>
      <c r="G1330" s="88" t="s">
        <v>626</v>
      </c>
      <c r="H1330" s="104" t="s">
        <v>552</v>
      </c>
      <c r="I1330" s="89">
        <v>1</v>
      </c>
      <c r="J1330" s="88" t="s">
        <v>627</v>
      </c>
      <c r="K1330" s="102"/>
      <c r="L1330" s="88" t="s">
        <v>625</v>
      </c>
      <c r="M1330" s="89" t="s">
        <v>381</v>
      </c>
      <c r="N1330" s="90">
        <v>1</v>
      </c>
      <c r="O1330" s="27">
        <f>IFERROR(+VLOOKUP(M1330,D.sign_Lista_Data[[RESPONSABLE]:[SOFTWARE 
VALOR HORA]],3,FALSE),"0")</f>
        <v>20263.424518743668</v>
      </c>
      <c r="P1330" s="3">
        <f t="shared" si="48"/>
        <v>20263.424518743668</v>
      </c>
      <c r="Q1330" s="11">
        <f>IFERROR(+VLOOKUP(M1330,D.sign_Lista_Data[[RESPONSABLE]:[SOFTWARE 
VALOR HORA]],5,FALSE)*D.sign_Data[[#This Row],[TIEMPO (HORAS)]],0)</f>
        <v>4221.5467747382636</v>
      </c>
      <c r="R1330" s="11">
        <f>IFERROR(+VLOOKUP(M1330,D.sign_Lista_Data[[RESPONSABLE]:[SOFTWARE 
VALOR HORA]],8,FALSE)*D.sign_Data[[#This Row],[TIEMPO (HORAS)]],0)</f>
        <v>3410.8548871439834</v>
      </c>
      <c r="S1330" s="99"/>
      <c r="T1330" s="99"/>
      <c r="U1330" s="3">
        <f t="shared" si="49"/>
        <v>27895.826180625918</v>
      </c>
      <c r="V1330" s="100">
        <f>D.sign_Data[[#This Row],[TIEMPO (HORAS)]]*Gastos_Operativos[[#Totals],[GASTOS HORA]]</f>
        <v>27789.477072310401</v>
      </c>
      <c r="W1330" s="3">
        <f>+D.sign_Data[[#This Row],[COSTO 
DIRECTO ($COP)]]+D.sign_Data[[#This Row],[PRORRATEO GASTOS ($COP)]]</f>
        <v>55685.303252936319</v>
      </c>
      <c r="X1330" s="101">
        <v>0.05</v>
      </c>
      <c r="Y1330" s="15">
        <f>+D.sign_Data[[#This Row],[COSTOS OPERACIONALES ($COP)]]*D.sign_Data[[#This Row],[DESFASE (%)]]</f>
        <v>2784.265162646816</v>
      </c>
      <c r="Z1330" s="101">
        <v>0.15</v>
      </c>
      <c r="AA1330" s="15">
        <f>+((D.sign_Data[[#This Row],[COSTOS OPERACIONALES ($COP)]]/(100%-D.sign_Data[[#This Row],[UTILIDAD (%)]])))-D.sign_Data[[#This Row],[COSTOS OPERACIONALES ($COP)]]</f>
        <v>9826.8182211064122</v>
      </c>
      <c r="AB1330" s="3">
        <f>+D.sign_Data[[#This Row],[COSTOS OPERACIONALES ($COP)]]+D.sign_Data[[#This Row],[DESFASE ($COP)]]+D.sign_Data[[#This Row],[UTILIDAD ($COP)]]</f>
        <v>68296.386636689538</v>
      </c>
      <c r="AC1330" s="101">
        <v>0.05</v>
      </c>
      <c r="AD1330" s="15">
        <f>+D.sign_Data[[#This Row],[VALOR NETO ($COP)]]/(100%-D.sign_Data[[#This Row],[MARGEN DE NEGOCIACIÓN (%)]])-D.sign_Data[[#This Row],[VALOR NETO ($COP)]]</f>
        <v>3594.5466650889284</v>
      </c>
      <c r="AE1330" s="15">
        <f>+(D.sign_Data[[#This Row],[VALOR NETO ($COP)]]+D.sign_Data[[#This Row],[NEGOCIACIÓN ($COP)]])*1%</f>
        <v>718.90933301778466</v>
      </c>
      <c r="AF1330" s="15">
        <f>+(D.sign_Data[[#This Row],[VALOR NETO ($COP)]]+D.sign_Data[[#This Row],[NEGOCIACIÓN ($COP)]])*1%</f>
        <v>718.90933301778466</v>
      </c>
      <c r="AG1330" s="3">
        <f>+D.sign_Data[[#This Row],[VALOR NETO ($COP)]]+D.sign_Data[[#This Row],[NEGOCIACIÓN ($COP)]]+D.sign_Data[[#This Row],[ICA ($COP)]]+D.sign_Data[[#This Row],[4 * 1000 ($COP)]]</f>
        <v>73328.751967814038</v>
      </c>
    </row>
    <row r="1331" spans="1:33" ht="60" hidden="1" customHeight="1" x14ac:dyDescent="0.25">
      <c r="A1331" s="14"/>
      <c r="B1331" s="87" t="s">
        <v>442</v>
      </c>
      <c r="C1331" s="182" t="s">
        <v>1165</v>
      </c>
      <c r="D1331" s="189" t="str">
        <f>VLOOKUP(D.sign_Data[[#This Row],[CÓDIGO]],Descripciones[[CÓDIGO]:[NOMBRE DE SERVICIO]],3,FALSE)</f>
        <v>D6. Diseño Interior</v>
      </c>
      <c r="E1331" s="87" t="s">
        <v>1104</v>
      </c>
      <c r="F1331" s="88" t="s">
        <v>1166</v>
      </c>
      <c r="G1331" s="88" t="s">
        <v>626</v>
      </c>
      <c r="H1331" s="104" t="s">
        <v>552</v>
      </c>
      <c r="I1331" s="89">
        <v>1</v>
      </c>
      <c r="J1331" s="88" t="s">
        <v>627</v>
      </c>
      <c r="K1331" s="102"/>
      <c r="L1331" s="88" t="s">
        <v>572</v>
      </c>
      <c r="M1331" s="89" t="s">
        <v>381</v>
      </c>
      <c r="N1331" s="90">
        <v>0.1</v>
      </c>
      <c r="O1331" s="27">
        <f>IFERROR(+VLOOKUP(M1331,D.sign_Lista_Data[[RESPONSABLE]:[SOFTWARE 
VALOR HORA]],3,FALSE),"0")</f>
        <v>20263.424518743668</v>
      </c>
      <c r="P1331" s="3">
        <f t="shared" si="48"/>
        <v>2026.3424518743668</v>
      </c>
      <c r="Q1331" s="11">
        <f>IFERROR(+VLOOKUP(M1331,D.sign_Lista_Data[[RESPONSABLE]:[SOFTWARE 
VALOR HORA]],5,FALSE)*D.sign_Data[[#This Row],[TIEMPO (HORAS)]],0)</f>
        <v>422.15467747382638</v>
      </c>
      <c r="R1331" s="11">
        <f>IFERROR(+VLOOKUP(M1331,D.sign_Lista_Data[[RESPONSABLE]:[SOFTWARE 
VALOR HORA]],8,FALSE)*D.sign_Data[[#This Row],[TIEMPO (HORAS)]],0)</f>
        <v>341.08548871439837</v>
      </c>
      <c r="S1331" s="99"/>
      <c r="T1331" s="99"/>
      <c r="U1331" s="3">
        <f t="shared" si="49"/>
        <v>2789.5826180625913</v>
      </c>
      <c r="V1331" s="100">
        <f>D.sign_Data[[#This Row],[TIEMPO (HORAS)]]*Gastos_Operativos[[#Totals],[GASTOS HORA]]</f>
        <v>2778.9477072310401</v>
      </c>
      <c r="W1331" s="3">
        <f>+D.sign_Data[[#This Row],[COSTO 
DIRECTO ($COP)]]+D.sign_Data[[#This Row],[PRORRATEO GASTOS ($COP)]]</f>
        <v>5568.5303252936319</v>
      </c>
      <c r="X1331" s="101">
        <v>0.05</v>
      </c>
      <c r="Y1331" s="15">
        <f>+D.sign_Data[[#This Row],[COSTOS OPERACIONALES ($COP)]]*D.sign_Data[[#This Row],[DESFASE (%)]]</f>
        <v>278.4265162646816</v>
      </c>
      <c r="Z1331" s="101">
        <v>0.15</v>
      </c>
      <c r="AA1331" s="15">
        <f>+((D.sign_Data[[#This Row],[COSTOS OPERACIONALES ($COP)]]/(100%-D.sign_Data[[#This Row],[UTILIDAD (%)]])))-D.sign_Data[[#This Row],[COSTOS OPERACIONALES ($COP)]]</f>
        <v>982.68182211064141</v>
      </c>
      <c r="AB1331" s="3">
        <f>+D.sign_Data[[#This Row],[COSTOS OPERACIONALES ($COP)]]+D.sign_Data[[#This Row],[DESFASE ($COP)]]+D.sign_Data[[#This Row],[UTILIDAD ($COP)]]</f>
        <v>6829.6386636689549</v>
      </c>
      <c r="AC1331" s="101">
        <v>0.05</v>
      </c>
      <c r="AD1331" s="15">
        <f>+D.sign_Data[[#This Row],[VALOR NETO ($COP)]]/(100%-D.sign_Data[[#This Row],[MARGEN DE NEGOCIACIÓN (%)]])-D.sign_Data[[#This Row],[VALOR NETO ($COP)]]</f>
        <v>359.45466650889284</v>
      </c>
      <c r="AE1331" s="15">
        <f>+(D.sign_Data[[#This Row],[VALOR NETO ($COP)]]+D.sign_Data[[#This Row],[NEGOCIACIÓN ($COP)]])*1%</f>
        <v>71.890933301778475</v>
      </c>
      <c r="AF1331" s="15">
        <f>+(D.sign_Data[[#This Row],[VALOR NETO ($COP)]]+D.sign_Data[[#This Row],[NEGOCIACIÓN ($COP)]])*1%</f>
        <v>71.890933301778475</v>
      </c>
      <c r="AG1331" s="3">
        <f>+D.sign_Data[[#This Row],[VALOR NETO ($COP)]]+D.sign_Data[[#This Row],[NEGOCIACIÓN ($COP)]]+D.sign_Data[[#This Row],[ICA ($COP)]]+D.sign_Data[[#This Row],[4 * 1000 ($COP)]]</f>
        <v>7332.8751967814042</v>
      </c>
    </row>
    <row r="1332" spans="1:33" ht="60" hidden="1" customHeight="1" x14ac:dyDescent="0.25">
      <c r="A1332" s="14"/>
      <c r="B1332" s="87" t="s">
        <v>493</v>
      </c>
      <c r="C1332" s="182" t="s">
        <v>1170</v>
      </c>
      <c r="D1332" s="189" t="str">
        <f>VLOOKUP(D.sign_Data[[#This Row],[CÓDIGO]],Descripciones[[CÓDIGO]:[NOMBRE DE SERVICIO]],3,FALSE)</f>
        <v>D6. Diseño Interior</v>
      </c>
      <c r="E1332" s="87" t="s">
        <v>1104</v>
      </c>
      <c r="F1332" s="88" t="s">
        <v>1171</v>
      </c>
      <c r="G1332" s="88" t="s">
        <v>1171</v>
      </c>
      <c r="H1332" s="87" t="s">
        <v>448</v>
      </c>
      <c r="I1332" s="89">
        <v>1</v>
      </c>
      <c r="J1332" s="88" t="s">
        <v>1172</v>
      </c>
      <c r="K1332" s="102"/>
      <c r="L1332" s="88" t="s">
        <v>1173</v>
      </c>
      <c r="M1332" s="89" t="s">
        <v>381</v>
      </c>
      <c r="N1332" s="90">
        <v>4</v>
      </c>
      <c r="O1332" s="27">
        <f>IFERROR(+VLOOKUP(M1332,D.sign_Lista_Data[[RESPONSABLE]:[SOFTWARE 
VALOR HORA]],3,FALSE),"0")</f>
        <v>20263.424518743668</v>
      </c>
      <c r="P1332" s="3">
        <f t="shared" si="48"/>
        <v>81053.698074974673</v>
      </c>
      <c r="Q1332" s="11">
        <f>IFERROR(+VLOOKUP(M1332,D.sign_Lista_Data[[RESPONSABLE]:[SOFTWARE 
VALOR HORA]],5,FALSE)*D.sign_Data[[#This Row],[TIEMPO (HORAS)]],0)</f>
        <v>16886.187098953054</v>
      </c>
      <c r="R1332" s="11">
        <f>IFERROR(+VLOOKUP(M1332,D.sign_Lista_Data[[RESPONSABLE]:[SOFTWARE 
VALOR HORA]],8,FALSE)*D.sign_Data[[#This Row],[TIEMPO (HORAS)]],0)</f>
        <v>13643.419548575934</v>
      </c>
      <c r="S1332" s="99"/>
      <c r="T1332" s="99"/>
      <c r="U1332" s="3">
        <f t="shared" si="49"/>
        <v>111583.30472250367</v>
      </c>
      <c r="V1332" s="100">
        <f>D.sign_Data[[#This Row],[TIEMPO (HORAS)]]*Gastos_Operativos[[#Totals],[GASTOS HORA]]</f>
        <v>111157.9082892416</v>
      </c>
      <c r="W1332" s="3">
        <f>+D.sign_Data[[#This Row],[COSTO 
DIRECTO ($COP)]]+D.sign_Data[[#This Row],[PRORRATEO GASTOS ($COP)]]</f>
        <v>222741.21301174528</v>
      </c>
      <c r="X1332" s="101">
        <v>0.05</v>
      </c>
      <c r="Y1332" s="15">
        <f>+D.sign_Data[[#This Row],[COSTOS OPERACIONALES ($COP)]]*D.sign_Data[[#This Row],[DESFASE (%)]]</f>
        <v>11137.060650587264</v>
      </c>
      <c r="Z1332" s="101">
        <v>0.2</v>
      </c>
      <c r="AA1332" s="15">
        <f>+((D.sign_Data[[#This Row],[COSTOS OPERACIONALES ($COP)]]/(100%-D.sign_Data[[#This Row],[UTILIDAD (%)]])))-D.sign_Data[[#This Row],[COSTOS OPERACIONALES ($COP)]]</f>
        <v>55685.303252936312</v>
      </c>
      <c r="AB1332" s="3">
        <f>+D.sign_Data[[#This Row],[COSTOS OPERACIONALES ($COP)]]+D.sign_Data[[#This Row],[DESFASE ($COP)]]+D.sign_Data[[#This Row],[UTILIDAD ($COP)]]</f>
        <v>289563.57691526884</v>
      </c>
      <c r="AC1332" s="101">
        <v>0.05</v>
      </c>
      <c r="AD1332" s="15">
        <f>+D.sign_Data[[#This Row],[VALOR NETO ($COP)]]/(100%-D.sign_Data[[#This Row],[MARGEN DE NEGOCIACIÓN (%)]])-D.sign_Data[[#This Row],[VALOR NETO ($COP)]]</f>
        <v>15240.188258698385</v>
      </c>
      <c r="AE1332" s="15">
        <f>+(D.sign_Data[[#This Row],[VALOR NETO ($COP)]]+D.sign_Data[[#This Row],[NEGOCIACIÓN ($COP)]])*1%</f>
        <v>3048.0376517396721</v>
      </c>
      <c r="AF1332" s="15">
        <f>+(D.sign_Data[[#This Row],[VALOR NETO ($COP)]]+D.sign_Data[[#This Row],[NEGOCIACIÓN ($COP)]])*1%</f>
        <v>3048.0376517396721</v>
      </c>
      <c r="AG1332" s="3">
        <f>+D.sign_Data[[#This Row],[VALOR NETO ($COP)]]+D.sign_Data[[#This Row],[NEGOCIACIÓN ($COP)]]+D.sign_Data[[#This Row],[ICA ($COP)]]+D.sign_Data[[#This Row],[4 * 1000 ($COP)]]</f>
        <v>310899.84047744656</v>
      </c>
    </row>
    <row r="1333" spans="1:33" ht="60" hidden="1" customHeight="1" x14ac:dyDescent="0.25">
      <c r="A1333" s="14"/>
      <c r="B1333" s="87" t="s">
        <v>493</v>
      </c>
      <c r="C1333" s="182" t="s">
        <v>1170</v>
      </c>
      <c r="D1333" s="189" t="str">
        <f>VLOOKUP(D.sign_Data[[#This Row],[CÓDIGO]],Descripciones[[CÓDIGO]:[NOMBRE DE SERVICIO]],3,FALSE)</f>
        <v>D6. Diseño Interior</v>
      </c>
      <c r="E1333" s="87" t="s">
        <v>1104</v>
      </c>
      <c r="F1333" s="88" t="s">
        <v>1171</v>
      </c>
      <c r="G1333" s="88" t="s">
        <v>1171</v>
      </c>
      <c r="H1333" s="87" t="s">
        <v>448</v>
      </c>
      <c r="I1333" s="89">
        <v>1</v>
      </c>
      <c r="J1333" s="88" t="s">
        <v>522</v>
      </c>
      <c r="K1333" s="102"/>
      <c r="L1333" s="91" t="s">
        <v>1174</v>
      </c>
      <c r="M1333" s="89" t="s">
        <v>381</v>
      </c>
      <c r="N1333" s="90">
        <v>2</v>
      </c>
      <c r="O1333" s="27">
        <f>IFERROR(+VLOOKUP(M1333,D.sign_Lista_Data[[RESPONSABLE]:[SOFTWARE 
VALOR HORA]],3,FALSE),"0")</f>
        <v>20263.424518743668</v>
      </c>
      <c r="P1333" s="3">
        <f t="shared" si="48"/>
        <v>40526.849037487336</v>
      </c>
      <c r="Q1333" s="11">
        <f>IFERROR(+VLOOKUP(M1333,D.sign_Lista_Data[[RESPONSABLE]:[SOFTWARE 
VALOR HORA]],5,FALSE)*D.sign_Data[[#This Row],[TIEMPO (HORAS)]],0)</f>
        <v>8443.0935494765272</v>
      </c>
      <c r="R1333" s="11">
        <f>IFERROR(+VLOOKUP(M1333,D.sign_Lista_Data[[RESPONSABLE]:[SOFTWARE 
VALOR HORA]],8,FALSE)*D.sign_Data[[#This Row],[TIEMPO (HORAS)]],0)</f>
        <v>6821.7097742879669</v>
      </c>
      <c r="S1333" s="99"/>
      <c r="T1333" s="99"/>
      <c r="U1333" s="3">
        <f t="shared" si="49"/>
        <v>55791.652361251836</v>
      </c>
      <c r="V1333" s="100">
        <f>D.sign_Data[[#This Row],[TIEMPO (HORAS)]]*Gastos_Operativos[[#Totals],[GASTOS HORA]]</f>
        <v>55578.954144620802</v>
      </c>
      <c r="W1333" s="3">
        <f>+D.sign_Data[[#This Row],[COSTO 
DIRECTO ($COP)]]+D.sign_Data[[#This Row],[PRORRATEO GASTOS ($COP)]]</f>
        <v>111370.60650587264</v>
      </c>
      <c r="X1333" s="101">
        <v>0.05</v>
      </c>
      <c r="Y1333" s="15">
        <f>+D.sign_Data[[#This Row],[COSTOS OPERACIONALES ($COP)]]*D.sign_Data[[#This Row],[DESFASE (%)]]</f>
        <v>5568.5303252936319</v>
      </c>
      <c r="Z1333" s="101">
        <v>0.2</v>
      </c>
      <c r="AA1333" s="15">
        <f>+((D.sign_Data[[#This Row],[COSTOS OPERACIONALES ($COP)]]/(100%-D.sign_Data[[#This Row],[UTILIDAD (%)]])))-D.sign_Data[[#This Row],[COSTOS OPERACIONALES ($COP)]]</f>
        <v>27842.651626468156</v>
      </c>
      <c r="AB1333" s="3">
        <f>+D.sign_Data[[#This Row],[COSTOS OPERACIONALES ($COP)]]+D.sign_Data[[#This Row],[DESFASE ($COP)]]+D.sign_Data[[#This Row],[UTILIDAD ($COP)]]</f>
        <v>144781.78845763442</v>
      </c>
      <c r="AC1333" s="101">
        <v>0.05</v>
      </c>
      <c r="AD1333" s="15">
        <f>+D.sign_Data[[#This Row],[VALOR NETO ($COP)]]/(100%-D.sign_Data[[#This Row],[MARGEN DE NEGOCIACIÓN (%)]])-D.sign_Data[[#This Row],[VALOR NETO ($COP)]]</f>
        <v>7620.0941293491924</v>
      </c>
      <c r="AE1333" s="15">
        <f>+(D.sign_Data[[#This Row],[VALOR NETO ($COP)]]+D.sign_Data[[#This Row],[NEGOCIACIÓN ($COP)]])*1%</f>
        <v>1524.0188258698361</v>
      </c>
      <c r="AF1333" s="15">
        <f>+(D.sign_Data[[#This Row],[VALOR NETO ($COP)]]+D.sign_Data[[#This Row],[NEGOCIACIÓN ($COP)]])*1%</f>
        <v>1524.0188258698361</v>
      </c>
      <c r="AG1333" s="3">
        <f>+D.sign_Data[[#This Row],[VALOR NETO ($COP)]]+D.sign_Data[[#This Row],[NEGOCIACIÓN ($COP)]]+D.sign_Data[[#This Row],[ICA ($COP)]]+D.sign_Data[[#This Row],[4 * 1000 ($COP)]]</f>
        <v>155449.92023872328</v>
      </c>
    </row>
    <row r="1334" spans="1:33" ht="60" hidden="1" customHeight="1" x14ac:dyDescent="0.25">
      <c r="A1334" s="14"/>
      <c r="B1334" s="87" t="s">
        <v>493</v>
      </c>
      <c r="C1334" s="182" t="s">
        <v>1170</v>
      </c>
      <c r="D1334" s="189" t="str">
        <f>VLOOKUP(D.sign_Data[[#This Row],[CÓDIGO]],Descripciones[[CÓDIGO]:[NOMBRE DE SERVICIO]],3,FALSE)</f>
        <v>D6. Diseño Interior</v>
      </c>
      <c r="E1334" s="87" t="s">
        <v>1104</v>
      </c>
      <c r="F1334" s="88" t="s">
        <v>1171</v>
      </c>
      <c r="G1334" s="88" t="s">
        <v>1171</v>
      </c>
      <c r="H1334" s="87" t="s">
        <v>448</v>
      </c>
      <c r="I1334" s="89">
        <v>1</v>
      </c>
      <c r="J1334" s="88" t="s">
        <v>522</v>
      </c>
      <c r="K1334" s="102"/>
      <c r="L1334" s="88" t="s">
        <v>524</v>
      </c>
      <c r="M1334" s="89" t="s">
        <v>381</v>
      </c>
      <c r="N1334" s="90">
        <v>1</v>
      </c>
      <c r="O1334" s="27">
        <f>IFERROR(+VLOOKUP(M1334,D.sign_Lista_Data[[RESPONSABLE]:[SOFTWARE 
VALOR HORA]],3,FALSE),"0")</f>
        <v>20263.424518743668</v>
      </c>
      <c r="P1334" s="3">
        <f t="shared" si="48"/>
        <v>20263.424518743668</v>
      </c>
      <c r="Q1334" s="11">
        <f>IFERROR(+VLOOKUP(M1334,D.sign_Lista_Data[[RESPONSABLE]:[SOFTWARE 
VALOR HORA]],5,FALSE)*D.sign_Data[[#This Row],[TIEMPO (HORAS)]],0)</f>
        <v>4221.5467747382636</v>
      </c>
      <c r="R1334" s="11">
        <f>IFERROR(+VLOOKUP(M1334,D.sign_Lista_Data[[RESPONSABLE]:[SOFTWARE 
VALOR HORA]],8,FALSE)*D.sign_Data[[#This Row],[TIEMPO (HORAS)]],0)</f>
        <v>3410.8548871439834</v>
      </c>
      <c r="S1334" s="99"/>
      <c r="T1334" s="99"/>
      <c r="U1334" s="3">
        <f t="shared" si="49"/>
        <v>27895.826180625918</v>
      </c>
      <c r="V1334" s="100">
        <f>D.sign_Data[[#This Row],[TIEMPO (HORAS)]]*Gastos_Operativos[[#Totals],[GASTOS HORA]]</f>
        <v>27789.477072310401</v>
      </c>
      <c r="W1334" s="3">
        <f>+D.sign_Data[[#This Row],[COSTO 
DIRECTO ($COP)]]+D.sign_Data[[#This Row],[PRORRATEO GASTOS ($COP)]]</f>
        <v>55685.303252936319</v>
      </c>
      <c r="X1334" s="101">
        <v>0.05</v>
      </c>
      <c r="Y1334" s="15">
        <f>+D.sign_Data[[#This Row],[COSTOS OPERACIONALES ($COP)]]*D.sign_Data[[#This Row],[DESFASE (%)]]</f>
        <v>2784.265162646816</v>
      </c>
      <c r="Z1334" s="101">
        <v>0.2</v>
      </c>
      <c r="AA1334" s="15">
        <f>+((D.sign_Data[[#This Row],[COSTOS OPERACIONALES ($COP)]]/(100%-D.sign_Data[[#This Row],[UTILIDAD (%)]])))-D.sign_Data[[#This Row],[COSTOS OPERACIONALES ($COP)]]</f>
        <v>13921.325813234078</v>
      </c>
      <c r="AB1334" s="3">
        <f>+D.sign_Data[[#This Row],[COSTOS OPERACIONALES ($COP)]]+D.sign_Data[[#This Row],[DESFASE ($COP)]]+D.sign_Data[[#This Row],[UTILIDAD ($COP)]]</f>
        <v>72390.894228817211</v>
      </c>
      <c r="AC1334" s="101">
        <v>0.05</v>
      </c>
      <c r="AD1334" s="15">
        <f>+D.sign_Data[[#This Row],[VALOR NETO ($COP)]]/(100%-D.sign_Data[[#This Row],[MARGEN DE NEGOCIACIÓN (%)]])-D.sign_Data[[#This Row],[VALOR NETO ($COP)]]</f>
        <v>3810.0470646745962</v>
      </c>
      <c r="AE1334" s="15">
        <f>+(D.sign_Data[[#This Row],[VALOR NETO ($COP)]]+D.sign_Data[[#This Row],[NEGOCIACIÓN ($COP)]])*1%</f>
        <v>762.00941293491803</v>
      </c>
      <c r="AF1334" s="15">
        <f>+(D.sign_Data[[#This Row],[VALOR NETO ($COP)]]+D.sign_Data[[#This Row],[NEGOCIACIÓN ($COP)]])*1%</f>
        <v>762.00941293491803</v>
      </c>
      <c r="AG1334" s="3">
        <f>+D.sign_Data[[#This Row],[VALOR NETO ($COP)]]+D.sign_Data[[#This Row],[NEGOCIACIÓN ($COP)]]+D.sign_Data[[#This Row],[ICA ($COP)]]+D.sign_Data[[#This Row],[4 * 1000 ($COP)]]</f>
        <v>77724.96011936164</v>
      </c>
    </row>
    <row r="1335" spans="1:33" ht="60" hidden="1" customHeight="1" x14ac:dyDescent="0.25">
      <c r="A1335" s="14"/>
      <c r="B1335" s="87" t="s">
        <v>493</v>
      </c>
      <c r="C1335" s="182" t="s">
        <v>1170</v>
      </c>
      <c r="D1335" s="189" t="str">
        <f>VLOOKUP(D.sign_Data[[#This Row],[CÓDIGO]],Descripciones[[CÓDIGO]:[NOMBRE DE SERVICIO]],3,FALSE)</f>
        <v>D6. Diseño Interior</v>
      </c>
      <c r="E1335" s="87" t="s">
        <v>1104</v>
      </c>
      <c r="F1335" s="88" t="s">
        <v>1171</v>
      </c>
      <c r="G1335" s="88" t="s">
        <v>1171</v>
      </c>
      <c r="H1335" s="87" t="s">
        <v>448</v>
      </c>
      <c r="I1335" s="89">
        <v>1</v>
      </c>
      <c r="J1335" s="88" t="s">
        <v>522</v>
      </c>
      <c r="K1335" s="102"/>
      <c r="L1335" s="88" t="s">
        <v>525</v>
      </c>
      <c r="M1335" s="89" t="s">
        <v>381</v>
      </c>
      <c r="N1335" s="90">
        <v>2</v>
      </c>
      <c r="O1335" s="27">
        <f>IFERROR(+VLOOKUP(M1335,D.sign_Lista_Data[[RESPONSABLE]:[SOFTWARE 
VALOR HORA]],3,FALSE),"0")</f>
        <v>20263.424518743668</v>
      </c>
      <c r="P1335" s="3">
        <f t="shared" si="48"/>
        <v>40526.849037487336</v>
      </c>
      <c r="Q1335" s="11">
        <f>IFERROR(+VLOOKUP(M1335,D.sign_Lista_Data[[RESPONSABLE]:[SOFTWARE 
VALOR HORA]],5,FALSE)*D.sign_Data[[#This Row],[TIEMPO (HORAS)]],0)</f>
        <v>8443.0935494765272</v>
      </c>
      <c r="R1335" s="11">
        <f>IFERROR(+VLOOKUP(M1335,D.sign_Lista_Data[[RESPONSABLE]:[SOFTWARE 
VALOR HORA]],8,FALSE)*D.sign_Data[[#This Row],[TIEMPO (HORAS)]],0)</f>
        <v>6821.7097742879669</v>
      </c>
      <c r="S1335" s="99"/>
      <c r="T1335" s="99"/>
      <c r="U1335" s="3">
        <f t="shared" si="49"/>
        <v>55791.652361251836</v>
      </c>
      <c r="V1335" s="100">
        <f>D.sign_Data[[#This Row],[TIEMPO (HORAS)]]*Gastos_Operativos[[#Totals],[GASTOS HORA]]</f>
        <v>55578.954144620802</v>
      </c>
      <c r="W1335" s="3">
        <f>+D.sign_Data[[#This Row],[COSTO 
DIRECTO ($COP)]]+D.sign_Data[[#This Row],[PRORRATEO GASTOS ($COP)]]</f>
        <v>111370.60650587264</v>
      </c>
      <c r="X1335" s="101">
        <v>0.05</v>
      </c>
      <c r="Y1335" s="15">
        <f>+D.sign_Data[[#This Row],[COSTOS OPERACIONALES ($COP)]]*D.sign_Data[[#This Row],[DESFASE (%)]]</f>
        <v>5568.5303252936319</v>
      </c>
      <c r="Z1335" s="101">
        <v>0.2</v>
      </c>
      <c r="AA1335" s="15">
        <f>+((D.sign_Data[[#This Row],[COSTOS OPERACIONALES ($COP)]]/(100%-D.sign_Data[[#This Row],[UTILIDAD (%)]])))-D.sign_Data[[#This Row],[COSTOS OPERACIONALES ($COP)]]</f>
        <v>27842.651626468156</v>
      </c>
      <c r="AB1335" s="3">
        <f>+D.sign_Data[[#This Row],[COSTOS OPERACIONALES ($COP)]]+D.sign_Data[[#This Row],[DESFASE ($COP)]]+D.sign_Data[[#This Row],[UTILIDAD ($COP)]]</f>
        <v>144781.78845763442</v>
      </c>
      <c r="AC1335" s="101">
        <v>0.05</v>
      </c>
      <c r="AD1335" s="15">
        <f>+D.sign_Data[[#This Row],[VALOR NETO ($COP)]]/(100%-D.sign_Data[[#This Row],[MARGEN DE NEGOCIACIÓN (%)]])-D.sign_Data[[#This Row],[VALOR NETO ($COP)]]</f>
        <v>7620.0941293491924</v>
      </c>
      <c r="AE1335" s="15">
        <f>+(D.sign_Data[[#This Row],[VALOR NETO ($COP)]]+D.sign_Data[[#This Row],[NEGOCIACIÓN ($COP)]])*1%</f>
        <v>1524.0188258698361</v>
      </c>
      <c r="AF1335" s="15">
        <f>+(D.sign_Data[[#This Row],[VALOR NETO ($COP)]]+D.sign_Data[[#This Row],[NEGOCIACIÓN ($COP)]])*1%</f>
        <v>1524.0188258698361</v>
      </c>
      <c r="AG1335" s="3">
        <f>+D.sign_Data[[#This Row],[VALOR NETO ($COP)]]+D.sign_Data[[#This Row],[NEGOCIACIÓN ($COP)]]+D.sign_Data[[#This Row],[ICA ($COP)]]+D.sign_Data[[#This Row],[4 * 1000 ($COP)]]</f>
        <v>155449.92023872328</v>
      </c>
    </row>
    <row r="1336" spans="1:33" ht="60" hidden="1" customHeight="1" x14ac:dyDescent="0.25">
      <c r="A1336" s="14"/>
      <c r="B1336" s="87" t="s">
        <v>493</v>
      </c>
      <c r="C1336" s="182" t="s">
        <v>1170</v>
      </c>
      <c r="D1336" s="189" t="str">
        <f>VLOOKUP(D.sign_Data[[#This Row],[CÓDIGO]],Descripciones[[CÓDIGO]:[NOMBRE DE SERVICIO]],3,FALSE)</f>
        <v>D6. Diseño Interior</v>
      </c>
      <c r="E1336" s="87" t="s">
        <v>1104</v>
      </c>
      <c r="F1336" s="88" t="s">
        <v>1171</v>
      </c>
      <c r="G1336" s="88" t="s">
        <v>1171</v>
      </c>
      <c r="H1336" s="87" t="s">
        <v>448</v>
      </c>
      <c r="I1336" s="89">
        <v>1</v>
      </c>
      <c r="J1336" s="88" t="s">
        <v>511</v>
      </c>
      <c r="K1336" s="102"/>
      <c r="L1336" s="91" t="s">
        <v>526</v>
      </c>
      <c r="M1336" s="89" t="s">
        <v>381</v>
      </c>
      <c r="N1336" s="90">
        <v>0.3</v>
      </c>
      <c r="O1336" s="27">
        <f>IFERROR(+VLOOKUP(M1336,D.sign_Lista_Data[[RESPONSABLE]:[SOFTWARE 
VALOR HORA]],3,FALSE),"0")</f>
        <v>20263.424518743668</v>
      </c>
      <c r="P1336" s="3">
        <f t="shared" si="48"/>
        <v>6079.0273556231004</v>
      </c>
      <c r="Q1336" s="11">
        <f>IFERROR(+VLOOKUP(M1336,D.sign_Lista_Data[[RESPONSABLE]:[SOFTWARE 
VALOR HORA]],5,FALSE)*D.sign_Data[[#This Row],[TIEMPO (HORAS)]],0)</f>
        <v>1266.464032421479</v>
      </c>
      <c r="R1336" s="11">
        <f>IFERROR(+VLOOKUP(M1336,D.sign_Lista_Data[[RESPONSABLE]:[SOFTWARE 
VALOR HORA]],8,FALSE)*D.sign_Data[[#This Row],[TIEMPO (HORAS)]],0)</f>
        <v>1023.256466143195</v>
      </c>
      <c r="S1336" s="99"/>
      <c r="T1336" s="99"/>
      <c r="U1336" s="3">
        <f t="shared" si="49"/>
        <v>8368.7478541877736</v>
      </c>
      <c r="V1336" s="100">
        <f>D.sign_Data[[#This Row],[TIEMPO (HORAS)]]*Gastos_Operativos[[#Totals],[GASTOS HORA]]</f>
        <v>8336.8431216931203</v>
      </c>
      <c r="W1336" s="3">
        <f>+D.sign_Data[[#This Row],[COSTO 
DIRECTO ($COP)]]+D.sign_Data[[#This Row],[PRORRATEO GASTOS ($COP)]]</f>
        <v>16705.590975880892</v>
      </c>
      <c r="X1336" s="101">
        <v>0.05</v>
      </c>
      <c r="Y1336" s="15">
        <f>+D.sign_Data[[#This Row],[COSTOS OPERACIONALES ($COP)]]*D.sign_Data[[#This Row],[DESFASE (%)]]</f>
        <v>835.27954879404467</v>
      </c>
      <c r="Z1336" s="101">
        <v>0.2</v>
      </c>
      <c r="AA1336" s="15">
        <f>+((D.sign_Data[[#This Row],[COSTOS OPERACIONALES ($COP)]]/(100%-D.sign_Data[[#This Row],[UTILIDAD (%)]])))-D.sign_Data[[#This Row],[COSTOS OPERACIONALES ($COP)]]</f>
        <v>4176.3977439702212</v>
      </c>
      <c r="AB1336" s="3">
        <f>+D.sign_Data[[#This Row],[COSTOS OPERACIONALES ($COP)]]+D.sign_Data[[#This Row],[DESFASE ($COP)]]+D.sign_Data[[#This Row],[UTILIDAD ($COP)]]</f>
        <v>21717.268268645159</v>
      </c>
      <c r="AC1336" s="101">
        <v>0.05</v>
      </c>
      <c r="AD1336" s="15">
        <f>+D.sign_Data[[#This Row],[VALOR NETO ($COP)]]/(100%-D.sign_Data[[#This Row],[MARGEN DE NEGOCIACIÓN (%)]])-D.sign_Data[[#This Row],[VALOR NETO ($COP)]]</f>
        <v>1143.0141194023781</v>
      </c>
      <c r="AE1336" s="15">
        <f>+(D.sign_Data[[#This Row],[VALOR NETO ($COP)]]+D.sign_Data[[#This Row],[NEGOCIACIÓN ($COP)]])*1%</f>
        <v>228.60282388047537</v>
      </c>
      <c r="AF1336" s="15">
        <f>+(D.sign_Data[[#This Row],[VALOR NETO ($COP)]]+D.sign_Data[[#This Row],[NEGOCIACIÓN ($COP)]])*1%</f>
        <v>228.60282388047537</v>
      </c>
      <c r="AG1336" s="3">
        <f>+D.sign_Data[[#This Row],[VALOR NETO ($COP)]]+D.sign_Data[[#This Row],[NEGOCIACIÓN ($COP)]]+D.sign_Data[[#This Row],[ICA ($COP)]]+D.sign_Data[[#This Row],[4 * 1000 ($COP)]]</f>
        <v>23317.488035808488</v>
      </c>
    </row>
    <row r="1337" spans="1:33" ht="60" hidden="1" customHeight="1" x14ac:dyDescent="0.25">
      <c r="A1337" s="14"/>
      <c r="B1337" s="87" t="s">
        <v>493</v>
      </c>
      <c r="C1337" s="182" t="s">
        <v>1170</v>
      </c>
      <c r="D1337" s="189" t="str">
        <f>VLOOKUP(D.sign_Data[[#This Row],[CÓDIGO]],Descripciones[[CÓDIGO]:[NOMBRE DE SERVICIO]],3,FALSE)</f>
        <v>D6. Diseño Interior</v>
      </c>
      <c r="E1337" s="87" t="s">
        <v>1104</v>
      </c>
      <c r="F1337" s="88" t="s">
        <v>1171</v>
      </c>
      <c r="G1337" s="88" t="s">
        <v>1171</v>
      </c>
      <c r="H1337" s="87" t="s">
        <v>448</v>
      </c>
      <c r="I1337" s="89">
        <v>1</v>
      </c>
      <c r="J1337" s="88" t="s">
        <v>511</v>
      </c>
      <c r="K1337" s="102"/>
      <c r="L1337" s="91" t="s">
        <v>514</v>
      </c>
      <c r="M1337" s="89" t="s">
        <v>381</v>
      </c>
      <c r="N1337" s="90">
        <v>2</v>
      </c>
      <c r="O1337" s="27">
        <f>IFERROR(+VLOOKUP(M1337,D.sign_Lista_Data[[RESPONSABLE]:[SOFTWARE 
VALOR HORA]],3,FALSE),"0")</f>
        <v>20263.424518743668</v>
      </c>
      <c r="P1337" s="3">
        <f t="shared" si="48"/>
        <v>40526.849037487336</v>
      </c>
      <c r="Q1337" s="11">
        <f>IFERROR(+VLOOKUP(M1337,D.sign_Lista_Data[[RESPONSABLE]:[SOFTWARE 
VALOR HORA]],5,FALSE)*D.sign_Data[[#This Row],[TIEMPO (HORAS)]],0)</f>
        <v>8443.0935494765272</v>
      </c>
      <c r="R1337" s="11">
        <f>IFERROR(+VLOOKUP(M1337,D.sign_Lista_Data[[RESPONSABLE]:[SOFTWARE 
VALOR HORA]],8,FALSE)*D.sign_Data[[#This Row],[TIEMPO (HORAS)]],0)</f>
        <v>6821.7097742879669</v>
      </c>
      <c r="S1337" s="99"/>
      <c r="T1337" s="99"/>
      <c r="U1337" s="3">
        <f t="shared" si="49"/>
        <v>55791.652361251836</v>
      </c>
      <c r="V1337" s="100">
        <f>D.sign_Data[[#This Row],[TIEMPO (HORAS)]]*Gastos_Operativos[[#Totals],[GASTOS HORA]]</f>
        <v>55578.954144620802</v>
      </c>
      <c r="W1337" s="3">
        <f>+D.sign_Data[[#This Row],[COSTO 
DIRECTO ($COP)]]+D.sign_Data[[#This Row],[PRORRATEO GASTOS ($COP)]]</f>
        <v>111370.60650587264</v>
      </c>
      <c r="X1337" s="101">
        <v>0.05</v>
      </c>
      <c r="Y1337" s="15">
        <f>+D.sign_Data[[#This Row],[COSTOS OPERACIONALES ($COP)]]*D.sign_Data[[#This Row],[DESFASE (%)]]</f>
        <v>5568.5303252936319</v>
      </c>
      <c r="Z1337" s="101">
        <v>0.2</v>
      </c>
      <c r="AA1337" s="15">
        <f>+((D.sign_Data[[#This Row],[COSTOS OPERACIONALES ($COP)]]/(100%-D.sign_Data[[#This Row],[UTILIDAD (%)]])))-D.sign_Data[[#This Row],[COSTOS OPERACIONALES ($COP)]]</f>
        <v>27842.651626468156</v>
      </c>
      <c r="AB1337" s="3">
        <f>+D.sign_Data[[#This Row],[COSTOS OPERACIONALES ($COP)]]+D.sign_Data[[#This Row],[DESFASE ($COP)]]+D.sign_Data[[#This Row],[UTILIDAD ($COP)]]</f>
        <v>144781.78845763442</v>
      </c>
      <c r="AC1337" s="101">
        <v>0.05</v>
      </c>
      <c r="AD1337" s="15">
        <f>+D.sign_Data[[#This Row],[VALOR NETO ($COP)]]/(100%-D.sign_Data[[#This Row],[MARGEN DE NEGOCIACIÓN (%)]])-D.sign_Data[[#This Row],[VALOR NETO ($COP)]]</f>
        <v>7620.0941293491924</v>
      </c>
      <c r="AE1337" s="15">
        <f>+(D.sign_Data[[#This Row],[VALOR NETO ($COP)]]+D.sign_Data[[#This Row],[NEGOCIACIÓN ($COP)]])*1%</f>
        <v>1524.0188258698361</v>
      </c>
      <c r="AF1337" s="15">
        <f>+(D.sign_Data[[#This Row],[VALOR NETO ($COP)]]+D.sign_Data[[#This Row],[NEGOCIACIÓN ($COP)]])*1%</f>
        <v>1524.0188258698361</v>
      </c>
      <c r="AG1337" s="3">
        <f>+D.sign_Data[[#This Row],[VALOR NETO ($COP)]]+D.sign_Data[[#This Row],[NEGOCIACIÓN ($COP)]]+D.sign_Data[[#This Row],[ICA ($COP)]]+D.sign_Data[[#This Row],[4 * 1000 ($COP)]]</f>
        <v>155449.92023872328</v>
      </c>
    </row>
    <row r="1338" spans="1:33" ht="60" hidden="1" customHeight="1" x14ac:dyDescent="0.25">
      <c r="A1338" s="14"/>
      <c r="B1338" s="87" t="s">
        <v>493</v>
      </c>
      <c r="C1338" s="182" t="s">
        <v>1170</v>
      </c>
      <c r="D1338" s="189" t="str">
        <f>VLOOKUP(D.sign_Data[[#This Row],[CÓDIGO]],Descripciones[[CÓDIGO]:[NOMBRE DE SERVICIO]],3,FALSE)</f>
        <v>D6. Diseño Interior</v>
      </c>
      <c r="E1338" s="87" t="s">
        <v>1104</v>
      </c>
      <c r="F1338" s="88" t="s">
        <v>1171</v>
      </c>
      <c r="G1338" s="88" t="s">
        <v>1171</v>
      </c>
      <c r="H1338" s="87" t="s">
        <v>448</v>
      </c>
      <c r="I1338" s="89">
        <v>1</v>
      </c>
      <c r="J1338" s="88" t="s">
        <v>511</v>
      </c>
      <c r="K1338" s="102"/>
      <c r="L1338" s="88" t="s">
        <v>527</v>
      </c>
      <c r="M1338" s="89" t="s">
        <v>381</v>
      </c>
      <c r="N1338" s="90">
        <v>2</v>
      </c>
      <c r="O1338" s="27">
        <f>IFERROR(+VLOOKUP(M1338,D.sign_Lista_Data[[RESPONSABLE]:[SOFTWARE 
VALOR HORA]],3,FALSE),"0")</f>
        <v>20263.424518743668</v>
      </c>
      <c r="P1338" s="3">
        <f t="shared" si="48"/>
        <v>40526.849037487336</v>
      </c>
      <c r="Q1338" s="11">
        <f>IFERROR(+VLOOKUP(M1338,D.sign_Lista_Data[[RESPONSABLE]:[SOFTWARE 
VALOR HORA]],5,FALSE)*D.sign_Data[[#This Row],[TIEMPO (HORAS)]],0)</f>
        <v>8443.0935494765272</v>
      </c>
      <c r="R1338" s="11">
        <f>IFERROR(+VLOOKUP(M1338,D.sign_Lista_Data[[RESPONSABLE]:[SOFTWARE 
VALOR HORA]],8,FALSE)*D.sign_Data[[#This Row],[TIEMPO (HORAS)]],0)</f>
        <v>6821.7097742879669</v>
      </c>
      <c r="S1338" s="99"/>
      <c r="T1338" s="99"/>
      <c r="U1338" s="3">
        <f t="shared" si="49"/>
        <v>55791.652361251836</v>
      </c>
      <c r="V1338" s="100">
        <f>D.sign_Data[[#This Row],[TIEMPO (HORAS)]]*Gastos_Operativos[[#Totals],[GASTOS HORA]]</f>
        <v>55578.954144620802</v>
      </c>
      <c r="W1338" s="3">
        <f>+D.sign_Data[[#This Row],[COSTO 
DIRECTO ($COP)]]+D.sign_Data[[#This Row],[PRORRATEO GASTOS ($COP)]]</f>
        <v>111370.60650587264</v>
      </c>
      <c r="X1338" s="101">
        <v>0.05</v>
      </c>
      <c r="Y1338" s="15">
        <f>+D.sign_Data[[#This Row],[COSTOS OPERACIONALES ($COP)]]*D.sign_Data[[#This Row],[DESFASE (%)]]</f>
        <v>5568.5303252936319</v>
      </c>
      <c r="Z1338" s="101">
        <v>0.2</v>
      </c>
      <c r="AA1338" s="15">
        <f>+((D.sign_Data[[#This Row],[COSTOS OPERACIONALES ($COP)]]/(100%-D.sign_Data[[#This Row],[UTILIDAD (%)]])))-D.sign_Data[[#This Row],[COSTOS OPERACIONALES ($COP)]]</f>
        <v>27842.651626468156</v>
      </c>
      <c r="AB1338" s="3">
        <f>+D.sign_Data[[#This Row],[COSTOS OPERACIONALES ($COP)]]+D.sign_Data[[#This Row],[DESFASE ($COP)]]+D.sign_Data[[#This Row],[UTILIDAD ($COP)]]</f>
        <v>144781.78845763442</v>
      </c>
      <c r="AC1338" s="101">
        <v>0.05</v>
      </c>
      <c r="AD1338" s="15">
        <f>+D.sign_Data[[#This Row],[VALOR NETO ($COP)]]/(100%-D.sign_Data[[#This Row],[MARGEN DE NEGOCIACIÓN (%)]])-D.sign_Data[[#This Row],[VALOR NETO ($COP)]]</f>
        <v>7620.0941293491924</v>
      </c>
      <c r="AE1338" s="15">
        <f>+(D.sign_Data[[#This Row],[VALOR NETO ($COP)]]+D.sign_Data[[#This Row],[NEGOCIACIÓN ($COP)]])*1%</f>
        <v>1524.0188258698361</v>
      </c>
      <c r="AF1338" s="15">
        <f>+(D.sign_Data[[#This Row],[VALOR NETO ($COP)]]+D.sign_Data[[#This Row],[NEGOCIACIÓN ($COP)]])*1%</f>
        <v>1524.0188258698361</v>
      </c>
      <c r="AG1338" s="3">
        <f>+D.sign_Data[[#This Row],[VALOR NETO ($COP)]]+D.sign_Data[[#This Row],[NEGOCIACIÓN ($COP)]]+D.sign_Data[[#This Row],[ICA ($COP)]]+D.sign_Data[[#This Row],[4 * 1000 ($COP)]]</f>
        <v>155449.92023872328</v>
      </c>
    </row>
    <row r="1339" spans="1:33" ht="60" hidden="1" customHeight="1" x14ac:dyDescent="0.25">
      <c r="A1339" s="14"/>
      <c r="B1339" s="87" t="s">
        <v>493</v>
      </c>
      <c r="C1339" s="182" t="s">
        <v>1170</v>
      </c>
      <c r="D1339" s="189" t="str">
        <f>VLOOKUP(D.sign_Data[[#This Row],[CÓDIGO]],Descripciones[[CÓDIGO]:[NOMBRE DE SERVICIO]],3,FALSE)</f>
        <v>D6. Diseño Interior</v>
      </c>
      <c r="E1339" s="87" t="s">
        <v>1104</v>
      </c>
      <c r="F1339" s="88" t="s">
        <v>1171</v>
      </c>
      <c r="G1339" s="88" t="s">
        <v>1171</v>
      </c>
      <c r="H1339" s="87" t="s">
        <v>448</v>
      </c>
      <c r="I1339" s="89">
        <v>1</v>
      </c>
      <c r="J1339" s="88" t="s">
        <v>511</v>
      </c>
      <c r="K1339" s="102"/>
      <c r="L1339" s="88" t="s">
        <v>516</v>
      </c>
      <c r="M1339" s="89" t="s">
        <v>381</v>
      </c>
      <c r="N1339" s="90">
        <v>9.4</v>
      </c>
      <c r="O1339" s="27">
        <f>IFERROR(+VLOOKUP(M1339,D.sign_Lista_Data[[RESPONSABLE]:[SOFTWARE 
VALOR HORA]],3,FALSE),"0")</f>
        <v>20263.424518743668</v>
      </c>
      <c r="P1339" s="3">
        <f t="shared" ref="P1339:P1343" si="50">+O1339*N1339</f>
        <v>190476.19047619047</v>
      </c>
      <c r="Q1339" s="11">
        <f>IFERROR(+VLOOKUP(M1339,D.sign_Lista_Data[[RESPONSABLE]:[SOFTWARE 
VALOR HORA]],5,FALSE)*D.sign_Data[[#This Row],[TIEMPO (HORAS)]],0)</f>
        <v>39682.539682539682</v>
      </c>
      <c r="R1339" s="11">
        <f>IFERROR(+VLOOKUP(M1339,D.sign_Lista_Data[[RESPONSABLE]:[SOFTWARE 
VALOR HORA]],8,FALSE)*D.sign_Data[[#This Row],[TIEMPO (HORAS)]],0)</f>
        <v>32062.035939153444</v>
      </c>
      <c r="S1339" s="99"/>
      <c r="T1339" s="99"/>
      <c r="U1339" s="3">
        <f t="shared" ref="U1339:U1343" si="51">SUM(P1339:T1339)</f>
        <v>262220.76609788358</v>
      </c>
      <c r="V1339" s="100">
        <f>D.sign_Data[[#This Row],[TIEMPO (HORAS)]]*Gastos_Operativos[[#Totals],[GASTOS HORA]]</f>
        <v>261221.08447971777</v>
      </c>
      <c r="W1339" s="3">
        <f>+D.sign_Data[[#This Row],[COSTO 
DIRECTO ($COP)]]+D.sign_Data[[#This Row],[PRORRATEO GASTOS ($COP)]]</f>
        <v>523441.85057760135</v>
      </c>
      <c r="X1339" s="101">
        <v>0.05</v>
      </c>
      <c r="Y1339" s="15">
        <f>+D.sign_Data[[#This Row],[COSTOS OPERACIONALES ($COP)]]*D.sign_Data[[#This Row],[DESFASE (%)]]</f>
        <v>26172.092528880068</v>
      </c>
      <c r="Z1339" s="101">
        <v>0.2</v>
      </c>
      <c r="AA1339" s="15">
        <f>+((D.sign_Data[[#This Row],[COSTOS OPERACIONALES ($COP)]]/(100%-D.sign_Data[[#This Row],[UTILIDAD (%)]])))-D.sign_Data[[#This Row],[COSTOS OPERACIONALES ($COP)]]</f>
        <v>130860.46264440031</v>
      </c>
      <c r="AB1339" s="3">
        <f>+D.sign_Data[[#This Row],[COSTOS OPERACIONALES ($COP)]]+D.sign_Data[[#This Row],[DESFASE ($COP)]]+D.sign_Data[[#This Row],[UTILIDAD ($COP)]]</f>
        <v>680474.40575088176</v>
      </c>
      <c r="AC1339" s="101">
        <v>0.05</v>
      </c>
      <c r="AD1339" s="15">
        <f>+D.sign_Data[[#This Row],[VALOR NETO ($COP)]]/(100%-D.sign_Data[[#This Row],[MARGEN DE NEGOCIACIÓN (%)]])-D.sign_Data[[#This Row],[VALOR NETO ($COP)]]</f>
        <v>35814.442407941213</v>
      </c>
      <c r="AE1339" s="15">
        <f>+(D.sign_Data[[#This Row],[VALOR NETO ($COP)]]+D.sign_Data[[#This Row],[NEGOCIACIÓN ($COP)]])*1%</f>
        <v>7162.8884815882302</v>
      </c>
      <c r="AF1339" s="15">
        <f>+(D.sign_Data[[#This Row],[VALOR NETO ($COP)]]+D.sign_Data[[#This Row],[NEGOCIACIÓN ($COP)]])*1%</f>
        <v>7162.8884815882302</v>
      </c>
      <c r="AG1339" s="3">
        <f>+D.sign_Data[[#This Row],[VALOR NETO ($COP)]]+D.sign_Data[[#This Row],[NEGOCIACIÓN ($COP)]]+D.sign_Data[[#This Row],[ICA ($COP)]]+D.sign_Data[[#This Row],[4 * 1000 ($COP)]]</f>
        <v>730614.62512199942</v>
      </c>
    </row>
    <row r="1340" spans="1:33" ht="60" hidden="1" customHeight="1" x14ac:dyDescent="0.25">
      <c r="A1340" s="14"/>
      <c r="B1340" s="87" t="s">
        <v>493</v>
      </c>
      <c r="C1340" s="182" t="s">
        <v>1170</v>
      </c>
      <c r="D1340" s="189" t="str">
        <f>VLOOKUP(D.sign_Data[[#This Row],[CÓDIGO]],Descripciones[[CÓDIGO]:[NOMBRE DE SERVICIO]],3,FALSE)</f>
        <v>D6. Diseño Interior</v>
      </c>
      <c r="E1340" s="87" t="s">
        <v>1104</v>
      </c>
      <c r="F1340" s="88" t="s">
        <v>1171</v>
      </c>
      <c r="G1340" s="88" t="s">
        <v>1171</v>
      </c>
      <c r="H1340" s="87" t="s">
        <v>448</v>
      </c>
      <c r="I1340" s="89">
        <v>1</v>
      </c>
      <c r="J1340" s="88" t="s">
        <v>511</v>
      </c>
      <c r="K1340" s="102"/>
      <c r="L1340" s="88" t="s">
        <v>518</v>
      </c>
      <c r="M1340" s="89" t="s">
        <v>381</v>
      </c>
      <c r="N1340" s="90">
        <v>2</v>
      </c>
      <c r="O1340" s="27">
        <f>IFERROR(+VLOOKUP(M1340,D.sign_Lista_Data[[RESPONSABLE]:[SOFTWARE 
VALOR HORA]],3,FALSE),"0")</f>
        <v>20263.424518743668</v>
      </c>
      <c r="P1340" s="3">
        <f t="shared" si="50"/>
        <v>40526.849037487336</v>
      </c>
      <c r="Q1340" s="11">
        <f>IFERROR(+VLOOKUP(M1340,D.sign_Lista_Data[[RESPONSABLE]:[SOFTWARE 
VALOR HORA]],5,FALSE)*D.sign_Data[[#This Row],[TIEMPO (HORAS)]],0)</f>
        <v>8443.0935494765272</v>
      </c>
      <c r="R1340" s="11">
        <f>IFERROR(+VLOOKUP(M1340,D.sign_Lista_Data[[RESPONSABLE]:[SOFTWARE 
VALOR HORA]],8,FALSE)*D.sign_Data[[#This Row],[TIEMPO (HORAS)]],0)</f>
        <v>6821.7097742879669</v>
      </c>
      <c r="S1340" s="99"/>
      <c r="T1340" s="99"/>
      <c r="U1340" s="3">
        <f t="shared" si="51"/>
        <v>55791.652361251836</v>
      </c>
      <c r="V1340" s="100">
        <f>D.sign_Data[[#This Row],[TIEMPO (HORAS)]]*Gastos_Operativos[[#Totals],[GASTOS HORA]]</f>
        <v>55578.954144620802</v>
      </c>
      <c r="W1340" s="3">
        <f>+D.sign_Data[[#This Row],[COSTO 
DIRECTO ($COP)]]+D.sign_Data[[#This Row],[PRORRATEO GASTOS ($COP)]]</f>
        <v>111370.60650587264</v>
      </c>
      <c r="X1340" s="101">
        <v>0.05</v>
      </c>
      <c r="Y1340" s="15">
        <f>+D.sign_Data[[#This Row],[COSTOS OPERACIONALES ($COP)]]*D.sign_Data[[#This Row],[DESFASE (%)]]</f>
        <v>5568.5303252936319</v>
      </c>
      <c r="Z1340" s="101">
        <v>0.2</v>
      </c>
      <c r="AA1340" s="15">
        <f>+((D.sign_Data[[#This Row],[COSTOS OPERACIONALES ($COP)]]/(100%-D.sign_Data[[#This Row],[UTILIDAD (%)]])))-D.sign_Data[[#This Row],[COSTOS OPERACIONALES ($COP)]]</f>
        <v>27842.651626468156</v>
      </c>
      <c r="AB1340" s="3">
        <f>+D.sign_Data[[#This Row],[COSTOS OPERACIONALES ($COP)]]+D.sign_Data[[#This Row],[DESFASE ($COP)]]+D.sign_Data[[#This Row],[UTILIDAD ($COP)]]</f>
        <v>144781.78845763442</v>
      </c>
      <c r="AC1340" s="101">
        <v>0.05</v>
      </c>
      <c r="AD1340" s="15">
        <f>+D.sign_Data[[#This Row],[VALOR NETO ($COP)]]/(100%-D.sign_Data[[#This Row],[MARGEN DE NEGOCIACIÓN (%)]])-D.sign_Data[[#This Row],[VALOR NETO ($COP)]]</f>
        <v>7620.0941293491924</v>
      </c>
      <c r="AE1340" s="15">
        <f>+(D.sign_Data[[#This Row],[VALOR NETO ($COP)]]+D.sign_Data[[#This Row],[NEGOCIACIÓN ($COP)]])*1%</f>
        <v>1524.0188258698361</v>
      </c>
      <c r="AF1340" s="15">
        <f>+(D.sign_Data[[#This Row],[VALOR NETO ($COP)]]+D.sign_Data[[#This Row],[NEGOCIACIÓN ($COP)]])*1%</f>
        <v>1524.0188258698361</v>
      </c>
      <c r="AG1340" s="3">
        <f>+D.sign_Data[[#This Row],[VALOR NETO ($COP)]]+D.sign_Data[[#This Row],[NEGOCIACIÓN ($COP)]]+D.sign_Data[[#This Row],[ICA ($COP)]]+D.sign_Data[[#This Row],[4 * 1000 ($COP)]]</f>
        <v>155449.92023872328</v>
      </c>
    </row>
    <row r="1341" spans="1:33" ht="60" hidden="1" customHeight="1" x14ac:dyDescent="0.25">
      <c r="A1341" s="14"/>
      <c r="B1341" s="87" t="s">
        <v>493</v>
      </c>
      <c r="C1341" s="182" t="s">
        <v>1170</v>
      </c>
      <c r="D1341" s="189" t="str">
        <f>VLOOKUP(D.sign_Data[[#This Row],[CÓDIGO]],Descripciones[[CÓDIGO]:[NOMBRE DE SERVICIO]],3,FALSE)</f>
        <v>D6. Diseño Interior</v>
      </c>
      <c r="E1341" s="87" t="s">
        <v>1104</v>
      </c>
      <c r="F1341" s="88" t="s">
        <v>1171</v>
      </c>
      <c r="G1341" s="88" t="s">
        <v>1171</v>
      </c>
      <c r="H1341" s="87" t="s">
        <v>448</v>
      </c>
      <c r="I1341" s="89">
        <v>1</v>
      </c>
      <c r="J1341" s="88" t="s">
        <v>511</v>
      </c>
      <c r="K1341" s="102"/>
      <c r="L1341" s="88" t="s">
        <v>519</v>
      </c>
      <c r="M1341" s="89" t="s">
        <v>381</v>
      </c>
      <c r="N1341" s="90">
        <v>0.3</v>
      </c>
      <c r="O1341" s="27">
        <f>IFERROR(+VLOOKUP(M1341,D.sign_Lista_Data[[RESPONSABLE]:[SOFTWARE 
VALOR HORA]],3,FALSE),"0")</f>
        <v>20263.424518743668</v>
      </c>
      <c r="P1341" s="3">
        <f t="shared" si="50"/>
        <v>6079.0273556231004</v>
      </c>
      <c r="Q1341" s="11">
        <f>IFERROR(+VLOOKUP(M1341,D.sign_Lista_Data[[RESPONSABLE]:[SOFTWARE 
VALOR HORA]],5,FALSE)*D.sign_Data[[#This Row],[TIEMPO (HORAS)]],0)</f>
        <v>1266.464032421479</v>
      </c>
      <c r="R1341" s="11">
        <f>IFERROR(+VLOOKUP(M1341,D.sign_Lista_Data[[RESPONSABLE]:[SOFTWARE 
VALOR HORA]],8,FALSE)*D.sign_Data[[#This Row],[TIEMPO (HORAS)]],0)</f>
        <v>1023.256466143195</v>
      </c>
      <c r="S1341" s="99"/>
      <c r="T1341" s="99"/>
      <c r="U1341" s="3">
        <f t="shared" si="51"/>
        <v>8368.7478541877736</v>
      </c>
      <c r="V1341" s="100">
        <f>D.sign_Data[[#This Row],[TIEMPO (HORAS)]]*Gastos_Operativos[[#Totals],[GASTOS HORA]]</f>
        <v>8336.8431216931203</v>
      </c>
      <c r="W1341" s="3">
        <f>+D.sign_Data[[#This Row],[COSTO 
DIRECTO ($COP)]]+D.sign_Data[[#This Row],[PRORRATEO GASTOS ($COP)]]</f>
        <v>16705.590975880892</v>
      </c>
      <c r="X1341" s="101">
        <v>0.05</v>
      </c>
      <c r="Y1341" s="15">
        <f>+D.sign_Data[[#This Row],[COSTOS OPERACIONALES ($COP)]]*D.sign_Data[[#This Row],[DESFASE (%)]]</f>
        <v>835.27954879404467</v>
      </c>
      <c r="Z1341" s="101">
        <v>0.2</v>
      </c>
      <c r="AA1341" s="15">
        <f>+((D.sign_Data[[#This Row],[COSTOS OPERACIONALES ($COP)]]/(100%-D.sign_Data[[#This Row],[UTILIDAD (%)]])))-D.sign_Data[[#This Row],[COSTOS OPERACIONALES ($COP)]]</f>
        <v>4176.3977439702212</v>
      </c>
      <c r="AB1341" s="3">
        <f>+D.sign_Data[[#This Row],[COSTOS OPERACIONALES ($COP)]]+D.sign_Data[[#This Row],[DESFASE ($COP)]]+D.sign_Data[[#This Row],[UTILIDAD ($COP)]]</f>
        <v>21717.268268645159</v>
      </c>
      <c r="AC1341" s="101">
        <v>0.05</v>
      </c>
      <c r="AD1341" s="15">
        <f>+D.sign_Data[[#This Row],[VALOR NETO ($COP)]]/(100%-D.sign_Data[[#This Row],[MARGEN DE NEGOCIACIÓN (%)]])-D.sign_Data[[#This Row],[VALOR NETO ($COP)]]</f>
        <v>1143.0141194023781</v>
      </c>
      <c r="AE1341" s="15">
        <f>+(D.sign_Data[[#This Row],[VALOR NETO ($COP)]]+D.sign_Data[[#This Row],[NEGOCIACIÓN ($COP)]])*1%</f>
        <v>228.60282388047537</v>
      </c>
      <c r="AF1341" s="15">
        <f>+(D.sign_Data[[#This Row],[VALOR NETO ($COP)]]+D.sign_Data[[#This Row],[NEGOCIACIÓN ($COP)]])*1%</f>
        <v>228.60282388047537</v>
      </c>
      <c r="AG1341" s="3">
        <f>+D.sign_Data[[#This Row],[VALOR NETO ($COP)]]+D.sign_Data[[#This Row],[NEGOCIACIÓN ($COP)]]+D.sign_Data[[#This Row],[ICA ($COP)]]+D.sign_Data[[#This Row],[4 * 1000 ($COP)]]</f>
        <v>23317.488035808488</v>
      </c>
    </row>
    <row r="1342" spans="1:33" ht="60" hidden="1" customHeight="1" x14ac:dyDescent="0.25">
      <c r="A1342" s="14"/>
      <c r="B1342" s="87" t="s">
        <v>493</v>
      </c>
      <c r="C1342" s="182" t="s">
        <v>1170</v>
      </c>
      <c r="D1342" s="189" t="str">
        <f>VLOOKUP(D.sign_Data[[#This Row],[CÓDIGO]],Descripciones[[CÓDIGO]:[NOMBRE DE SERVICIO]],3,FALSE)</f>
        <v>D6. Diseño Interior</v>
      </c>
      <c r="E1342" s="87" t="s">
        <v>1104</v>
      </c>
      <c r="F1342" s="88" t="s">
        <v>1171</v>
      </c>
      <c r="G1342" s="88" t="s">
        <v>1171</v>
      </c>
      <c r="H1342" s="87" t="s">
        <v>448</v>
      </c>
      <c r="I1342" s="89">
        <v>1</v>
      </c>
      <c r="J1342" s="88" t="s">
        <v>1172</v>
      </c>
      <c r="K1342" s="102"/>
      <c r="L1342" s="88" t="s">
        <v>1175</v>
      </c>
      <c r="M1342" s="89" t="s">
        <v>381</v>
      </c>
      <c r="N1342" s="90">
        <v>2</v>
      </c>
      <c r="O1342" s="27">
        <f>IFERROR(+VLOOKUP(M1342,D.sign_Lista_Data[[RESPONSABLE]:[SOFTWARE 
VALOR HORA]],3,FALSE),"0")</f>
        <v>20263.424518743668</v>
      </c>
      <c r="P1342" s="3">
        <f t="shared" si="50"/>
        <v>40526.849037487336</v>
      </c>
      <c r="Q1342" s="11">
        <f>IFERROR(+VLOOKUP(M1342,D.sign_Lista_Data[[RESPONSABLE]:[SOFTWARE 
VALOR HORA]],5,FALSE)*D.sign_Data[[#This Row],[TIEMPO (HORAS)]],0)</f>
        <v>8443.0935494765272</v>
      </c>
      <c r="R1342" s="11">
        <f>IFERROR(+VLOOKUP(M1342,D.sign_Lista_Data[[RESPONSABLE]:[SOFTWARE 
VALOR HORA]],8,FALSE)*D.sign_Data[[#This Row],[TIEMPO (HORAS)]],0)</f>
        <v>6821.7097742879669</v>
      </c>
      <c r="S1342" s="99"/>
      <c r="T1342" s="99"/>
      <c r="U1342" s="3">
        <f t="shared" si="51"/>
        <v>55791.652361251836</v>
      </c>
      <c r="V1342" s="100">
        <f>D.sign_Data[[#This Row],[TIEMPO (HORAS)]]*Gastos_Operativos[[#Totals],[GASTOS HORA]]</f>
        <v>55578.954144620802</v>
      </c>
      <c r="W1342" s="3">
        <f>+D.sign_Data[[#This Row],[COSTO 
DIRECTO ($COP)]]+D.sign_Data[[#This Row],[PRORRATEO GASTOS ($COP)]]</f>
        <v>111370.60650587264</v>
      </c>
      <c r="X1342" s="101">
        <v>0.05</v>
      </c>
      <c r="Y1342" s="15">
        <f>+D.sign_Data[[#This Row],[COSTOS OPERACIONALES ($COP)]]*D.sign_Data[[#This Row],[DESFASE (%)]]</f>
        <v>5568.5303252936319</v>
      </c>
      <c r="Z1342" s="101">
        <v>0.2</v>
      </c>
      <c r="AA1342" s="15">
        <f>+((D.sign_Data[[#This Row],[COSTOS OPERACIONALES ($COP)]]/(100%-D.sign_Data[[#This Row],[UTILIDAD (%)]])))-D.sign_Data[[#This Row],[COSTOS OPERACIONALES ($COP)]]</f>
        <v>27842.651626468156</v>
      </c>
      <c r="AB1342" s="3">
        <f>+D.sign_Data[[#This Row],[COSTOS OPERACIONALES ($COP)]]+D.sign_Data[[#This Row],[DESFASE ($COP)]]+D.sign_Data[[#This Row],[UTILIDAD ($COP)]]</f>
        <v>144781.78845763442</v>
      </c>
      <c r="AC1342" s="101">
        <v>0.05</v>
      </c>
      <c r="AD1342" s="15">
        <f>+D.sign_Data[[#This Row],[VALOR NETO ($COP)]]/(100%-D.sign_Data[[#This Row],[MARGEN DE NEGOCIACIÓN (%)]])-D.sign_Data[[#This Row],[VALOR NETO ($COP)]]</f>
        <v>7620.0941293491924</v>
      </c>
      <c r="AE1342" s="15">
        <f>+(D.sign_Data[[#This Row],[VALOR NETO ($COP)]]+D.sign_Data[[#This Row],[NEGOCIACIÓN ($COP)]])*1%</f>
        <v>1524.0188258698361</v>
      </c>
      <c r="AF1342" s="15">
        <f>+(D.sign_Data[[#This Row],[VALOR NETO ($COP)]]+D.sign_Data[[#This Row],[NEGOCIACIÓN ($COP)]])*1%</f>
        <v>1524.0188258698361</v>
      </c>
      <c r="AG1342" s="3">
        <f>+D.sign_Data[[#This Row],[VALOR NETO ($COP)]]+D.sign_Data[[#This Row],[NEGOCIACIÓN ($COP)]]+D.sign_Data[[#This Row],[ICA ($COP)]]+D.sign_Data[[#This Row],[4 * 1000 ($COP)]]</f>
        <v>155449.92023872328</v>
      </c>
    </row>
    <row r="1343" spans="1:33" ht="60" hidden="1" customHeight="1" x14ac:dyDescent="0.25">
      <c r="A1343" s="14"/>
      <c r="B1343" s="87" t="s">
        <v>493</v>
      </c>
      <c r="C1343" s="182" t="s">
        <v>1170</v>
      </c>
      <c r="D1343" s="189" t="str">
        <f>VLOOKUP(D.sign_Data[[#This Row],[CÓDIGO]],Descripciones[[CÓDIGO]:[NOMBRE DE SERVICIO]],3,FALSE)</f>
        <v>D6. Diseño Interior</v>
      </c>
      <c r="E1343" s="87" t="s">
        <v>1104</v>
      </c>
      <c r="F1343" s="88" t="s">
        <v>1171</v>
      </c>
      <c r="G1343" s="88" t="s">
        <v>1171</v>
      </c>
      <c r="H1343" s="87" t="s">
        <v>448</v>
      </c>
      <c r="I1343" s="89">
        <v>1</v>
      </c>
      <c r="J1343" s="88" t="s">
        <v>1172</v>
      </c>
      <c r="K1343" s="102"/>
      <c r="L1343" s="88" t="s">
        <v>1176</v>
      </c>
      <c r="M1343" s="89" t="s">
        <v>381</v>
      </c>
      <c r="N1343" s="90">
        <v>1</v>
      </c>
      <c r="O1343" s="27">
        <f>IFERROR(+VLOOKUP(M1343,D.sign_Lista_Data[[RESPONSABLE]:[SOFTWARE 
VALOR HORA]],3,FALSE),"0")</f>
        <v>20263.424518743668</v>
      </c>
      <c r="P1343" s="3">
        <f t="shared" si="50"/>
        <v>20263.424518743668</v>
      </c>
      <c r="Q1343" s="11">
        <f>IFERROR(+VLOOKUP(M1343,D.sign_Lista_Data[[RESPONSABLE]:[SOFTWARE 
VALOR HORA]],5,FALSE)*D.sign_Data[[#This Row],[TIEMPO (HORAS)]],0)</f>
        <v>4221.5467747382636</v>
      </c>
      <c r="R1343" s="11">
        <f>IFERROR(+VLOOKUP(M1343,D.sign_Lista_Data[[RESPONSABLE]:[SOFTWARE 
VALOR HORA]],8,FALSE)*D.sign_Data[[#This Row],[TIEMPO (HORAS)]],0)</f>
        <v>3410.8548871439834</v>
      </c>
      <c r="S1343" s="99"/>
      <c r="T1343" s="99">
        <v>100000</v>
      </c>
      <c r="U1343" s="3">
        <f t="shared" si="51"/>
        <v>127895.82618062591</v>
      </c>
      <c r="V1343" s="100">
        <f>D.sign_Data[[#This Row],[TIEMPO (HORAS)]]*Gastos_Operativos[[#Totals],[GASTOS HORA]]</f>
        <v>27789.477072310401</v>
      </c>
      <c r="W1343" s="3">
        <f>+D.sign_Data[[#This Row],[COSTO 
DIRECTO ($COP)]]+D.sign_Data[[#This Row],[PRORRATEO GASTOS ($COP)]]</f>
        <v>155685.30325293631</v>
      </c>
      <c r="X1343" s="101">
        <v>0.05</v>
      </c>
      <c r="Y1343" s="15">
        <f>+D.sign_Data[[#This Row],[COSTOS OPERACIONALES ($COP)]]*D.sign_Data[[#This Row],[DESFASE (%)]]</f>
        <v>7784.265162646816</v>
      </c>
      <c r="Z1343" s="101">
        <v>0.2</v>
      </c>
      <c r="AA1343" s="15">
        <f>+((D.sign_Data[[#This Row],[COSTOS OPERACIONALES ($COP)]]/(100%-D.sign_Data[[#This Row],[UTILIDAD (%)]])))-D.sign_Data[[#This Row],[COSTOS OPERACIONALES ($COP)]]</f>
        <v>38921.325813234056</v>
      </c>
      <c r="AB1343" s="3">
        <f>+D.sign_Data[[#This Row],[COSTOS OPERACIONALES ($COP)]]+D.sign_Data[[#This Row],[DESFASE ($COP)]]+D.sign_Data[[#This Row],[UTILIDAD ($COP)]]</f>
        <v>202390.8942288172</v>
      </c>
      <c r="AC1343" s="101">
        <v>0.05</v>
      </c>
      <c r="AD1343" s="15">
        <f>+D.sign_Data[[#This Row],[VALOR NETO ($COP)]]/(100%-D.sign_Data[[#This Row],[MARGEN DE NEGOCIACIÓN (%)]])-D.sign_Data[[#This Row],[VALOR NETO ($COP)]]</f>
        <v>10652.152327832504</v>
      </c>
      <c r="AE1343" s="15">
        <f>+(D.sign_Data[[#This Row],[VALOR NETO ($COP)]]+D.sign_Data[[#This Row],[NEGOCIACIÓN ($COP)]])*1%</f>
        <v>2130.4304655664969</v>
      </c>
      <c r="AF1343" s="15">
        <f>+(D.sign_Data[[#This Row],[VALOR NETO ($COP)]]+D.sign_Data[[#This Row],[NEGOCIACIÓN ($COP)]])*1%</f>
        <v>2130.4304655664969</v>
      </c>
      <c r="AG1343" s="3">
        <f>+D.sign_Data[[#This Row],[VALOR NETO ($COP)]]+D.sign_Data[[#This Row],[NEGOCIACIÓN ($COP)]]+D.sign_Data[[#This Row],[ICA ($COP)]]+D.sign_Data[[#This Row],[4 * 1000 ($COP)]]</f>
        <v>217303.90748778268</v>
      </c>
    </row>
    <row r="1344" spans="1:33" ht="60" hidden="1" customHeight="1" x14ac:dyDescent="0.25">
      <c r="A1344" s="14"/>
      <c r="B1344" s="87" t="s">
        <v>418</v>
      </c>
      <c r="C1344" s="182" t="s">
        <v>1177</v>
      </c>
      <c r="D1344" s="189" t="s">
        <v>1178</v>
      </c>
      <c r="E1344" s="87" t="s">
        <v>497</v>
      </c>
      <c r="F1344" s="88" t="s">
        <v>1179</v>
      </c>
      <c r="G1344" s="88" t="s">
        <v>1180</v>
      </c>
      <c r="H1344" s="87" t="s">
        <v>1181</v>
      </c>
      <c r="I1344" s="92">
        <v>1</v>
      </c>
      <c r="J1344" s="238" t="s">
        <v>392</v>
      </c>
      <c r="K1344" s="229"/>
      <c r="L1344" s="239" t="s">
        <v>396</v>
      </c>
      <c r="M1344" s="239" t="s">
        <v>384</v>
      </c>
      <c r="N1344" s="240">
        <v>0.1</v>
      </c>
      <c r="O1344" s="27">
        <f>IFERROR(+VLOOKUP(M1344,D.sign_Lista_Data[[RESPONSABLE]:[SOFTWARE 
VALOR HORA]],3,FALSE),"0")</f>
        <v>22796.352583586624</v>
      </c>
      <c r="P1344" s="3">
        <f t="shared" ref="P1344:P1375" si="52">+O1344*N1344</f>
        <v>2279.6352583586627</v>
      </c>
      <c r="Q1344" s="11">
        <f>IFERROR(+VLOOKUP(M1344,D.sign_Lista_Data[[RESPONSABLE]:[SOFTWARE 
VALOR HORA]],5,FALSE)*D.sign_Data[[#This Row],[TIEMPO (HORAS)]],0)</f>
        <v>253.29280648429585</v>
      </c>
      <c r="R1344" s="11">
        <f>IFERROR(+VLOOKUP(M1344,D.sign_Lista_Data[[RESPONSABLE]:[SOFTWARE 
VALOR HORA]],8,FALSE)*D.sign_Data[[#This Row],[TIEMPO (HORAS)]],0)</f>
        <v>341.08548871439837</v>
      </c>
      <c r="S1344" s="99"/>
      <c r="T1344" s="99"/>
      <c r="U1344" s="3">
        <f t="shared" ref="U1344:U1375" si="53">SUM(P1344:T1344)</f>
        <v>2874.0135535573568</v>
      </c>
      <c r="V1344" s="100">
        <f>D.sign_Data[[#This Row],[TIEMPO (HORAS)]]*Gastos_Operativos[[#Totals],[GASTOS HORA]]</f>
        <v>2778.9477072310401</v>
      </c>
      <c r="W1344" s="3">
        <f>+D.sign_Data[[#This Row],[COSTO 
DIRECTO ($COP)]]+D.sign_Data[[#This Row],[PRORRATEO GASTOS ($COP)]]</f>
        <v>5652.9612607883973</v>
      </c>
      <c r="X1344" s="101">
        <v>0.02</v>
      </c>
      <c r="Y1344" s="15">
        <f>+D.sign_Data[[#This Row],[COSTOS OPERACIONALES ($COP)]]*D.sign_Data[[#This Row],[DESFASE (%)]]</f>
        <v>113.05922521576795</v>
      </c>
      <c r="Z1344" s="101">
        <v>0.1</v>
      </c>
      <c r="AA1344" s="15">
        <f>+((D.sign_Data[[#This Row],[COSTOS OPERACIONALES ($COP)]]/(100%-D.sign_Data[[#This Row],[UTILIDAD (%)]])))-D.sign_Data[[#This Row],[COSTOS OPERACIONALES ($COP)]]</f>
        <v>628.10680675426647</v>
      </c>
      <c r="AB1344" s="3">
        <f>+D.sign_Data[[#This Row],[COSTOS OPERACIONALES ($COP)]]+D.sign_Data[[#This Row],[DESFASE ($COP)]]+D.sign_Data[[#This Row],[UTILIDAD ($COP)]]</f>
        <v>6394.1272927584314</v>
      </c>
      <c r="AC1344" s="101">
        <v>0</v>
      </c>
      <c r="AD1344" s="15">
        <f>+D.sign_Data[[#This Row],[VALOR NETO ($COP)]]/(100%-D.sign_Data[[#This Row],[MARGEN DE NEGOCIACIÓN (%)]])-D.sign_Data[[#This Row],[VALOR NETO ($COP)]]</f>
        <v>0</v>
      </c>
      <c r="AE1344" s="15">
        <f>+(D.sign_Data[[#This Row],[VALOR NETO ($COP)]]+D.sign_Data[[#This Row],[NEGOCIACIÓN ($COP)]])*1%</f>
        <v>63.941272927584315</v>
      </c>
      <c r="AF1344" s="15">
        <f>+(D.sign_Data[[#This Row],[VALOR NETO ($COP)]]+D.sign_Data[[#This Row],[NEGOCIACIÓN ($COP)]])*1%</f>
        <v>63.941272927584315</v>
      </c>
      <c r="AG1344" s="3">
        <f>+D.sign_Data[[#This Row],[VALOR NETO ($COP)]]+D.sign_Data[[#This Row],[NEGOCIACIÓN ($COP)]]+D.sign_Data[[#This Row],[ICA ($COP)]]+D.sign_Data[[#This Row],[4 * 1000 ($COP)]]</f>
        <v>6522.0098386136006</v>
      </c>
    </row>
    <row r="1345" spans="1:33" ht="60" hidden="1" customHeight="1" x14ac:dyDescent="0.25">
      <c r="A1345" s="14"/>
      <c r="B1345" s="87" t="s">
        <v>418</v>
      </c>
      <c r="C1345" s="182" t="s">
        <v>1177</v>
      </c>
      <c r="D1345" s="189" t="s">
        <v>1178</v>
      </c>
      <c r="E1345" s="87" t="s">
        <v>497</v>
      </c>
      <c r="F1345" s="88" t="s">
        <v>1179</v>
      </c>
      <c r="G1345" s="88" t="s">
        <v>1180</v>
      </c>
      <c r="H1345" s="87" t="s">
        <v>1181</v>
      </c>
      <c r="I1345" s="92">
        <v>1</v>
      </c>
      <c r="J1345" s="241" t="s">
        <v>392</v>
      </c>
      <c r="K1345" s="230"/>
      <c r="L1345" s="242" t="s">
        <v>397</v>
      </c>
      <c r="M1345" s="242" t="s">
        <v>384</v>
      </c>
      <c r="N1345" s="243">
        <v>0.1</v>
      </c>
      <c r="O1345" s="27">
        <f>IFERROR(+VLOOKUP(M1345,D.sign_Lista_Data[[RESPONSABLE]:[SOFTWARE 
VALOR HORA]],3,FALSE),"0")</f>
        <v>22796.352583586624</v>
      </c>
      <c r="P1345" s="3">
        <f t="shared" si="52"/>
        <v>2279.6352583586627</v>
      </c>
      <c r="Q1345" s="11">
        <f>IFERROR(+VLOOKUP(M1345,D.sign_Lista_Data[[RESPONSABLE]:[SOFTWARE 
VALOR HORA]],5,FALSE)*D.sign_Data[[#This Row],[TIEMPO (HORAS)]],0)</f>
        <v>253.29280648429585</v>
      </c>
      <c r="R1345" s="11">
        <f>IFERROR(+VLOOKUP(M1345,D.sign_Lista_Data[[RESPONSABLE]:[SOFTWARE 
VALOR HORA]],8,FALSE)*D.sign_Data[[#This Row],[TIEMPO (HORAS)]],0)</f>
        <v>341.08548871439837</v>
      </c>
      <c r="S1345" s="99"/>
      <c r="T1345" s="99"/>
      <c r="U1345" s="3">
        <f t="shared" si="53"/>
        <v>2874.0135535573568</v>
      </c>
      <c r="V1345" s="100">
        <f>D.sign_Data[[#This Row],[TIEMPO (HORAS)]]*Gastos_Operativos[[#Totals],[GASTOS HORA]]</f>
        <v>2778.9477072310401</v>
      </c>
      <c r="W1345" s="3">
        <f>+D.sign_Data[[#This Row],[COSTO 
DIRECTO ($COP)]]+D.sign_Data[[#This Row],[PRORRATEO GASTOS ($COP)]]</f>
        <v>5652.9612607883973</v>
      </c>
      <c r="X1345" s="101">
        <v>0.02</v>
      </c>
      <c r="Y1345" s="15">
        <f>+D.sign_Data[[#This Row],[COSTOS OPERACIONALES ($COP)]]*D.sign_Data[[#This Row],[DESFASE (%)]]</f>
        <v>113.05922521576795</v>
      </c>
      <c r="Z1345" s="101">
        <v>0.1</v>
      </c>
      <c r="AA1345" s="15">
        <f>+((D.sign_Data[[#This Row],[COSTOS OPERACIONALES ($COP)]]/(100%-D.sign_Data[[#This Row],[UTILIDAD (%)]])))-D.sign_Data[[#This Row],[COSTOS OPERACIONALES ($COP)]]</f>
        <v>628.10680675426647</v>
      </c>
      <c r="AB1345" s="3">
        <f>+D.sign_Data[[#This Row],[COSTOS OPERACIONALES ($COP)]]+D.sign_Data[[#This Row],[DESFASE ($COP)]]+D.sign_Data[[#This Row],[UTILIDAD ($COP)]]</f>
        <v>6394.1272927584314</v>
      </c>
      <c r="AC1345" s="101">
        <v>0</v>
      </c>
      <c r="AD1345" s="15">
        <f>+D.sign_Data[[#This Row],[VALOR NETO ($COP)]]/(100%-D.sign_Data[[#This Row],[MARGEN DE NEGOCIACIÓN (%)]])-D.sign_Data[[#This Row],[VALOR NETO ($COP)]]</f>
        <v>0</v>
      </c>
      <c r="AE1345" s="15">
        <f>+(D.sign_Data[[#This Row],[VALOR NETO ($COP)]]+D.sign_Data[[#This Row],[NEGOCIACIÓN ($COP)]])*1%</f>
        <v>63.941272927584315</v>
      </c>
      <c r="AF1345" s="15">
        <f>+(D.sign_Data[[#This Row],[VALOR NETO ($COP)]]+D.sign_Data[[#This Row],[NEGOCIACIÓN ($COP)]])*1%</f>
        <v>63.941272927584315</v>
      </c>
      <c r="AG1345" s="3">
        <f>+D.sign_Data[[#This Row],[VALOR NETO ($COP)]]+D.sign_Data[[#This Row],[NEGOCIACIÓN ($COP)]]+D.sign_Data[[#This Row],[ICA ($COP)]]+D.sign_Data[[#This Row],[4 * 1000 ($COP)]]</f>
        <v>6522.0098386136006</v>
      </c>
    </row>
    <row r="1346" spans="1:33" ht="60" hidden="1" customHeight="1" x14ac:dyDescent="0.25">
      <c r="A1346" s="14"/>
      <c r="B1346" s="87" t="s">
        <v>418</v>
      </c>
      <c r="C1346" s="182" t="s">
        <v>1177</v>
      </c>
      <c r="D1346" s="189" t="s">
        <v>1178</v>
      </c>
      <c r="E1346" s="87" t="s">
        <v>497</v>
      </c>
      <c r="F1346" s="88" t="s">
        <v>1179</v>
      </c>
      <c r="G1346" s="88" t="s">
        <v>1180</v>
      </c>
      <c r="H1346" s="87" t="s">
        <v>1181</v>
      </c>
      <c r="I1346" s="92">
        <v>1</v>
      </c>
      <c r="J1346" s="241" t="s">
        <v>392</v>
      </c>
      <c r="K1346" s="230"/>
      <c r="L1346" s="242" t="s">
        <v>399</v>
      </c>
      <c r="M1346" s="236" t="s">
        <v>472</v>
      </c>
      <c r="N1346" s="243">
        <v>0.1</v>
      </c>
      <c r="O1346" s="27">
        <f>IFERROR(+VLOOKUP(M1346,D.sign_Lista_Data[[RESPONSABLE]:[SOFTWARE 
VALOR HORA]],3,FALSE),"0")</f>
        <v>17730.496453900709</v>
      </c>
      <c r="P1346" s="3">
        <f t="shared" si="52"/>
        <v>1773.049645390071</v>
      </c>
      <c r="Q1346" s="11">
        <f>IFERROR(+VLOOKUP(M1346,D.sign_Lista_Data[[RESPONSABLE]:[SOFTWARE 
VALOR HORA]],5,FALSE)*D.sign_Data[[#This Row],[TIEMPO (HORAS)]],0)</f>
        <v>337.72374197906112</v>
      </c>
      <c r="R1346" s="11">
        <f>IFERROR(+VLOOKUP(M1346,D.sign_Lista_Data[[RESPONSABLE]:[SOFTWARE 
VALOR HORA]],8,FALSE)*D.sign_Data[[#This Row],[TIEMPO (HORAS)]],0)</f>
        <v>341.08548871439837</v>
      </c>
      <c r="S1346" s="99"/>
      <c r="T1346" s="99"/>
      <c r="U1346" s="3">
        <f t="shared" si="53"/>
        <v>2451.8588760835305</v>
      </c>
      <c r="V1346" s="100">
        <f>D.sign_Data[[#This Row],[TIEMPO (HORAS)]]*Gastos_Operativos[[#Totals],[GASTOS HORA]]</f>
        <v>2778.9477072310401</v>
      </c>
      <c r="W1346" s="3">
        <f>+D.sign_Data[[#This Row],[COSTO 
DIRECTO ($COP)]]+D.sign_Data[[#This Row],[PRORRATEO GASTOS ($COP)]]</f>
        <v>5230.8065833145702</v>
      </c>
      <c r="X1346" s="101">
        <v>0.02</v>
      </c>
      <c r="Y1346" s="15">
        <f>+D.sign_Data[[#This Row],[COSTOS OPERACIONALES ($COP)]]*D.sign_Data[[#This Row],[DESFASE (%)]]</f>
        <v>104.61613166629141</v>
      </c>
      <c r="Z1346" s="101">
        <v>0.1</v>
      </c>
      <c r="AA1346" s="15">
        <f>+((D.sign_Data[[#This Row],[COSTOS OPERACIONALES ($COP)]]/(100%-D.sign_Data[[#This Row],[UTILIDAD (%)]])))-D.sign_Data[[#This Row],[COSTOS OPERACIONALES ($COP)]]</f>
        <v>581.20073147939638</v>
      </c>
      <c r="AB1346" s="3">
        <f>+D.sign_Data[[#This Row],[COSTOS OPERACIONALES ($COP)]]+D.sign_Data[[#This Row],[DESFASE ($COP)]]+D.sign_Data[[#This Row],[UTILIDAD ($COP)]]</f>
        <v>5916.6234464602576</v>
      </c>
      <c r="AC1346" s="101">
        <v>0</v>
      </c>
      <c r="AD1346" s="15">
        <f>+D.sign_Data[[#This Row],[VALOR NETO ($COP)]]/(100%-D.sign_Data[[#This Row],[MARGEN DE NEGOCIACIÓN (%)]])-D.sign_Data[[#This Row],[VALOR NETO ($COP)]]</f>
        <v>0</v>
      </c>
      <c r="AE1346" s="15">
        <f>+(D.sign_Data[[#This Row],[VALOR NETO ($COP)]]+D.sign_Data[[#This Row],[NEGOCIACIÓN ($COP)]])*1%</f>
        <v>59.166234464602574</v>
      </c>
      <c r="AF1346" s="15">
        <f>+(D.sign_Data[[#This Row],[VALOR NETO ($COP)]]+D.sign_Data[[#This Row],[NEGOCIACIÓN ($COP)]])*1%</f>
        <v>59.166234464602574</v>
      </c>
      <c r="AG1346" s="3">
        <f>+D.sign_Data[[#This Row],[VALOR NETO ($COP)]]+D.sign_Data[[#This Row],[NEGOCIACIÓN ($COP)]]+D.sign_Data[[#This Row],[ICA ($COP)]]+D.sign_Data[[#This Row],[4 * 1000 ($COP)]]</f>
        <v>6034.9559153894634</v>
      </c>
    </row>
    <row r="1347" spans="1:33" ht="60" hidden="1" customHeight="1" x14ac:dyDescent="0.25">
      <c r="A1347" s="14"/>
      <c r="B1347" s="87" t="s">
        <v>418</v>
      </c>
      <c r="C1347" s="182" t="s">
        <v>1177</v>
      </c>
      <c r="D1347" s="189" t="s">
        <v>1178</v>
      </c>
      <c r="E1347" s="87" t="s">
        <v>497</v>
      </c>
      <c r="F1347" s="88" t="s">
        <v>1179</v>
      </c>
      <c r="G1347" s="88" t="s">
        <v>1180</v>
      </c>
      <c r="H1347" s="87" t="s">
        <v>1181</v>
      </c>
      <c r="I1347" s="92">
        <v>1</v>
      </c>
      <c r="J1347" s="241" t="s">
        <v>392</v>
      </c>
      <c r="K1347" s="230"/>
      <c r="L1347" s="242" t="s">
        <v>394</v>
      </c>
      <c r="M1347" s="244" t="s">
        <v>384</v>
      </c>
      <c r="N1347" s="243">
        <v>0.2</v>
      </c>
      <c r="O1347" s="27">
        <f>IFERROR(+VLOOKUP(M1347,D.sign_Lista_Data[[RESPONSABLE]:[SOFTWARE 
VALOR HORA]],3,FALSE),"0")</f>
        <v>22796.352583586624</v>
      </c>
      <c r="P1347" s="3">
        <f t="shared" si="52"/>
        <v>4559.2705167173253</v>
      </c>
      <c r="Q1347" s="11">
        <f>IFERROR(+VLOOKUP(M1347,D.sign_Lista_Data[[RESPONSABLE]:[SOFTWARE 
VALOR HORA]],5,FALSE)*D.sign_Data[[#This Row],[TIEMPO (HORAS)]],0)</f>
        <v>506.5856129685917</v>
      </c>
      <c r="R1347" s="11">
        <f>IFERROR(+VLOOKUP(M1347,D.sign_Lista_Data[[RESPONSABLE]:[SOFTWARE 
VALOR HORA]],8,FALSE)*D.sign_Data[[#This Row],[TIEMPO (HORAS)]],0)</f>
        <v>682.17097742879673</v>
      </c>
      <c r="S1347" s="99"/>
      <c r="T1347" s="99"/>
      <c r="U1347" s="3">
        <f t="shared" si="53"/>
        <v>5748.0271071147135</v>
      </c>
      <c r="V1347" s="100">
        <f>D.sign_Data[[#This Row],[TIEMPO (HORAS)]]*Gastos_Operativos[[#Totals],[GASTOS HORA]]</f>
        <v>5557.8954144620802</v>
      </c>
      <c r="W1347" s="3">
        <f>+D.sign_Data[[#This Row],[COSTO 
DIRECTO ($COP)]]+D.sign_Data[[#This Row],[PRORRATEO GASTOS ($COP)]]</f>
        <v>11305.922521576795</v>
      </c>
      <c r="X1347" s="101">
        <v>0.02</v>
      </c>
      <c r="Y1347" s="15">
        <f>+D.sign_Data[[#This Row],[COSTOS OPERACIONALES ($COP)]]*D.sign_Data[[#This Row],[DESFASE (%)]]</f>
        <v>226.1184504315359</v>
      </c>
      <c r="Z1347" s="101">
        <v>0.1</v>
      </c>
      <c r="AA1347" s="15">
        <f>+((D.sign_Data[[#This Row],[COSTOS OPERACIONALES ($COP)]]/(100%-D.sign_Data[[#This Row],[UTILIDAD (%)]])))-D.sign_Data[[#This Row],[COSTOS OPERACIONALES ($COP)]]</f>
        <v>1256.2136135085329</v>
      </c>
      <c r="AB1347" s="3">
        <f>+D.sign_Data[[#This Row],[COSTOS OPERACIONALES ($COP)]]+D.sign_Data[[#This Row],[DESFASE ($COP)]]+D.sign_Data[[#This Row],[UTILIDAD ($COP)]]</f>
        <v>12788.254585516863</v>
      </c>
      <c r="AC1347" s="101">
        <v>0</v>
      </c>
      <c r="AD1347" s="15">
        <f>+D.sign_Data[[#This Row],[VALOR NETO ($COP)]]/(100%-D.sign_Data[[#This Row],[MARGEN DE NEGOCIACIÓN (%)]])-D.sign_Data[[#This Row],[VALOR NETO ($COP)]]</f>
        <v>0</v>
      </c>
      <c r="AE1347" s="15">
        <f>+(D.sign_Data[[#This Row],[VALOR NETO ($COP)]]+D.sign_Data[[#This Row],[NEGOCIACIÓN ($COP)]])*1%</f>
        <v>127.88254585516863</v>
      </c>
      <c r="AF1347" s="15">
        <f>+(D.sign_Data[[#This Row],[VALOR NETO ($COP)]]+D.sign_Data[[#This Row],[NEGOCIACIÓN ($COP)]])*1%</f>
        <v>127.88254585516863</v>
      </c>
      <c r="AG1347" s="3">
        <f>+D.sign_Data[[#This Row],[VALOR NETO ($COP)]]+D.sign_Data[[#This Row],[NEGOCIACIÓN ($COP)]]+D.sign_Data[[#This Row],[ICA ($COP)]]+D.sign_Data[[#This Row],[4 * 1000 ($COP)]]</f>
        <v>13044.019677227201</v>
      </c>
    </row>
    <row r="1348" spans="1:33" ht="60" hidden="1" customHeight="1" x14ac:dyDescent="0.25">
      <c r="A1348" s="14"/>
      <c r="B1348" s="87" t="s">
        <v>418</v>
      </c>
      <c r="C1348" s="182" t="s">
        <v>1177</v>
      </c>
      <c r="D1348" s="189" t="s">
        <v>1178</v>
      </c>
      <c r="E1348" s="87" t="s">
        <v>497</v>
      </c>
      <c r="F1348" s="88" t="s">
        <v>1179</v>
      </c>
      <c r="G1348" s="88" t="s">
        <v>1180</v>
      </c>
      <c r="H1348" s="87" t="s">
        <v>1181</v>
      </c>
      <c r="I1348" s="92">
        <v>1</v>
      </c>
      <c r="J1348" s="241" t="s">
        <v>392</v>
      </c>
      <c r="K1348" s="230"/>
      <c r="L1348" s="242" t="s">
        <v>395</v>
      </c>
      <c r="M1348" s="236" t="s">
        <v>472</v>
      </c>
      <c r="N1348" s="243">
        <v>0.2</v>
      </c>
      <c r="O1348" s="27">
        <f>IFERROR(+VLOOKUP(M1348,D.sign_Lista_Data[[RESPONSABLE]:[SOFTWARE 
VALOR HORA]],3,FALSE),"0")</f>
        <v>17730.496453900709</v>
      </c>
      <c r="P1348" s="3">
        <f t="shared" si="52"/>
        <v>3546.0992907801419</v>
      </c>
      <c r="Q1348" s="11">
        <f>IFERROR(+VLOOKUP(M1348,D.sign_Lista_Data[[RESPONSABLE]:[SOFTWARE 
VALOR HORA]],5,FALSE)*D.sign_Data[[#This Row],[TIEMPO (HORAS)]],0)</f>
        <v>675.44748395812223</v>
      </c>
      <c r="R1348" s="11">
        <f>IFERROR(+VLOOKUP(M1348,D.sign_Lista_Data[[RESPONSABLE]:[SOFTWARE 
VALOR HORA]],8,FALSE)*D.sign_Data[[#This Row],[TIEMPO (HORAS)]],0)</f>
        <v>682.17097742879673</v>
      </c>
      <c r="S1348" s="99"/>
      <c r="T1348" s="99"/>
      <c r="U1348" s="3">
        <f t="shared" si="53"/>
        <v>4903.717752167061</v>
      </c>
      <c r="V1348" s="100">
        <f>D.sign_Data[[#This Row],[TIEMPO (HORAS)]]*Gastos_Operativos[[#Totals],[GASTOS HORA]]</f>
        <v>5557.8954144620802</v>
      </c>
      <c r="W1348" s="3">
        <f>+D.sign_Data[[#This Row],[COSTO 
DIRECTO ($COP)]]+D.sign_Data[[#This Row],[PRORRATEO GASTOS ($COP)]]</f>
        <v>10461.61316662914</v>
      </c>
      <c r="X1348" s="101">
        <v>0.02</v>
      </c>
      <c r="Y1348" s="15">
        <f>+D.sign_Data[[#This Row],[COSTOS OPERACIONALES ($COP)]]*D.sign_Data[[#This Row],[DESFASE (%)]]</f>
        <v>209.23226333258282</v>
      </c>
      <c r="Z1348" s="101">
        <v>0.1</v>
      </c>
      <c r="AA1348" s="15">
        <f>+((D.sign_Data[[#This Row],[COSTOS OPERACIONALES ($COP)]]/(100%-D.sign_Data[[#This Row],[UTILIDAD (%)]])))-D.sign_Data[[#This Row],[COSTOS OPERACIONALES ($COP)]]</f>
        <v>1162.4014629587928</v>
      </c>
      <c r="AB1348" s="3">
        <f>+D.sign_Data[[#This Row],[COSTOS OPERACIONALES ($COP)]]+D.sign_Data[[#This Row],[DESFASE ($COP)]]+D.sign_Data[[#This Row],[UTILIDAD ($COP)]]</f>
        <v>11833.246892920515</v>
      </c>
      <c r="AC1348" s="101">
        <v>0</v>
      </c>
      <c r="AD1348" s="15">
        <f>+D.sign_Data[[#This Row],[VALOR NETO ($COP)]]/(100%-D.sign_Data[[#This Row],[MARGEN DE NEGOCIACIÓN (%)]])-D.sign_Data[[#This Row],[VALOR NETO ($COP)]]</f>
        <v>0</v>
      </c>
      <c r="AE1348" s="15">
        <f>+(D.sign_Data[[#This Row],[VALOR NETO ($COP)]]+D.sign_Data[[#This Row],[NEGOCIACIÓN ($COP)]])*1%</f>
        <v>118.33246892920515</v>
      </c>
      <c r="AF1348" s="15">
        <f>+(D.sign_Data[[#This Row],[VALOR NETO ($COP)]]+D.sign_Data[[#This Row],[NEGOCIACIÓN ($COP)]])*1%</f>
        <v>118.33246892920515</v>
      </c>
      <c r="AG1348" s="3">
        <f>+D.sign_Data[[#This Row],[VALOR NETO ($COP)]]+D.sign_Data[[#This Row],[NEGOCIACIÓN ($COP)]]+D.sign_Data[[#This Row],[ICA ($COP)]]+D.sign_Data[[#This Row],[4 * 1000 ($COP)]]</f>
        <v>12069.911830778927</v>
      </c>
    </row>
    <row r="1349" spans="1:33" ht="60" hidden="1" customHeight="1" x14ac:dyDescent="0.25">
      <c r="A1349" s="14"/>
      <c r="B1349" s="87" t="s">
        <v>418</v>
      </c>
      <c r="C1349" s="182" t="s">
        <v>1177</v>
      </c>
      <c r="D1349" s="189" t="s">
        <v>1178</v>
      </c>
      <c r="E1349" s="87" t="s">
        <v>497</v>
      </c>
      <c r="F1349" s="88" t="s">
        <v>1179</v>
      </c>
      <c r="G1349" s="88" t="s">
        <v>1180</v>
      </c>
      <c r="H1349" s="87" t="s">
        <v>1181</v>
      </c>
      <c r="I1349" s="92">
        <v>1</v>
      </c>
      <c r="J1349" s="241" t="s">
        <v>392</v>
      </c>
      <c r="K1349" s="230"/>
      <c r="L1349" s="242" t="s">
        <v>398</v>
      </c>
      <c r="M1349" s="236" t="s">
        <v>472</v>
      </c>
      <c r="N1349" s="243">
        <v>0.1</v>
      </c>
      <c r="O1349" s="27">
        <f>IFERROR(+VLOOKUP(M1349,D.sign_Lista_Data[[RESPONSABLE]:[SOFTWARE 
VALOR HORA]],3,FALSE),"0")</f>
        <v>17730.496453900709</v>
      </c>
      <c r="P1349" s="3">
        <f t="shared" si="52"/>
        <v>1773.049645390071</v>
      </c>
      <c r="Q1349" s="11">
        <f>IFERROR(+VLOOKUP(M1349,D.sign_Lista_Data[[RESPONSABLE]:[SOFTWARE 
VALOR HORA]],5,FALSE)*D.sign_Data[[#This Row],[TIEMPO (HORAS)]],0)</f>
        <v>337.72374197906112</v>
      </c>
      <c r="R1349" s="11">
        <f>IFERROR(+VLOOKUP(M1349,D.sign_Lista_Data[[RESPONSABLE]:[SOFTWARE 
VALOR HORA]],8,FALSE)*D.sign_Data[[#This Row],[TIEMPO (HORAS)]],0)</f>
        <v>341.08548871439837</v>
      </c>
      <c r="S1349" s="99"/>
      <c r="T1349" s="99"/>
      <c r="U1349" s="3">
        <f t="shared" si="53"/>
        <v>2451.8588760835305</v>
      </c>
      <c r="V1349" s="100">
        <f>D.sign_Data[[#This Row],[TIEMPO (HORAS)]]*Gastos_Operativos[[#Totals],[GASTOS HORA]]</f>
        <v>2778.9477072310401</v>
      </c>
      <c r="W1349" s="3">
        <f>+D.sign_Data[[#This Row],[COSTO 
DIRECTO ($COP)]]+D.sign_Data[[#This Row],[PRORRATEO GASTOS ($COP)]]</f>
        <v>5230.8065833145702</v>
      </c>
      <c r="X1349" s="101">
        <v>0.02</v>
      </c>
      <c r="Y1349" s="15">
        <f>+D.sign_Data[[#This Row],[COSTOS OPERACIONALES ($COP)]]*D.sign_Data[[#This Row],[DESFASE (%)]]</f>
        <v>104.61613166629141</v>
      </c>
      <c r="Z1349" s="101">
        <v>0.1</v>
      </c>
      <c r="AA1349" s="15">
        <f>+((D.sign_Data[[#This Row],[COSTOS OPERACIONALES ($COP)]]/(100%-D.sign_Data[[#This Row],[UTILIDAD (%)]])))-D.sign_Data[[#This Row],[COSTOS OPERACIONALES ($COP)]]</f>
        <v>581.20073147939638</v>
      </c>
      <c r="AB1349" s="3">
        <f>+D.sign_Data[[#This Row],[COSTOS OPERACIONALES ($COP)]]+D.sign_Data[[#This Row],[DESFASE ($COP)]]+D.sign_Data[[#This Row],[UTILIDAD ($COP)]]</f>
        <v>5916.6234464602576</v>
      </c>
      <c r="AC1349" s="101">
        <v>0</v>
      </c>
      <c r="AD1349" s="15">
        <f>+D.sign_Data[[#This Row],[VALOR NETO ($COP)]]/(100%-D.sign_Data[[#This Row],[MARGEN DE NEGOCIACIÓN (%)]])-D.sign_Data[[#This Row],[VALOR NETO ($COP)]]</f>
        <v>0</v>
      </c>
      <c r="AE1349" s="15">
        <f>+(D.sign_Data[[#This Row],[VALOR NETO ($COP)]]+D.sign_Data[[#This Row],[NEGOCIACIÓN ($COP)]])*1%</f>
        <v>59.166234464602574</v>
      </c>
      <c r="AF1349" s="15">
        <f>+(D.sign_Data[[#This Row],[VALOR NETO ($COP)]]+D.sign_Data[[#This Row],[NEGOCIACIÓN ($COP)]])*1%</f>
        <v>59.166234464602574</v>
      </c>
      <c r="AG1349" s="3">
        <f>+D.sign_Data[[#This Row],[VALOR NETO ($COP)]]+D.sign_Data[[#This Row],[NEGOCIACIÓN ($COP)]]+D.sign_Data[[#This Row],[ICA ($COP)]]+D.sign_Data[[#This Row],[4 * 1000 ($COP)]]</f>
        <v>6034.9559153894634</v>
      </c>
    </row>
    <row r="1350" spans="1:33" ht="60" hidden="1" customHeight="1" x14ac:dyDescent="0.25">
      <c r="A1350" s="14"/>
      <c r="B1350" s="87" t="s">
        <v>418</v>
      </c>
      <c r="C1350" s="182" t="s">
        <v>1177</v>
      </c>
      <c r="D1350" s="189" t="s">
        <v>1178</v>
      </c>
      <c r="E1350" s="87" t="s">
        <v>497</v>
      </c>
      <c r="F1350" s="88" t="s">
        <v>1179</v>
      </c>
      <c r="G1350" s="88" t="s">
        <v>1180</v>
      </c>
      <c r="H1350" s="87" t="s">
        <v>1181</v>
      </c>
      <c r="I1350" s="92">
        <v>1</v>
      </c>
      <c r="J1350" s="241" t="s">
        <v>392</v>
      </c>
      <c r="K1350" s="230"/>
      <c r="L1350" s="242" t="s">
        <v>393</v>
      </c>
      <c r="M1350" s="236" t="s">
        <v>472</v>
      </c>
      <c r="N1350" s="243">
        <v>0.1</v>
      </c>
      <c r="O1350" s="27">
        <f>IFERROR(+VLOOKUP(M1350,D.sign_Lista_Data[[RESPONSABLE]:[SOFTWARE 
VALOR HORA]],3,FALSE),"0")</f>
        <v>17730.496453900709</v>
      </c>
      <c r="P1350" s="3">
        <f t="shared" si="52"/>
        <v>1773.049645390071</v>
      </c>
      <c r="Q1350" s="11">
        <f>IFERROR(+VLOOKUP(M1350,D.sign_Lista_Data[[RESPONSABLE]:[SOFTWARE 
VALOR HORA]],5,FALSE)*D.sign_Data[[#This Row],[TIEMPO (HORAS)]],0)</f>
        <v>337.72374197906112</v>
      </c>
      <c r="R1350" s="11">
        <f>IFERROR(+VLOOKUP(M1350,D.sign_Lista_Data[[RESPONSABLE]:[SOFTWARE 
VALOR HORA]],8,FALSE)*D.sign_Data[[#This Row],[TIEMPO (HORAS)]],0)</f>
        <v>341.08548871439837</v>
      </c>
      <c r="S1350" s="99"/>
      <c r="T1350" s="99"/>
      <c r="U1350" s="3">
        <f t="shared" si="53"/>
        <v>2451.8588760835305</v>
      </c>
      <c r="V1350" s="100">
        <f>D.sign_Data[[#This Row],[TIEMPO (HORAS)]]*Gastos_Operativos[[#Totals],[GASTOS HORA]]</f>
        <v>2778.9477072310401</v>
      </c>
      <c r="W1350" s="3">
        <f>+D.sign_Data[[#This Row],[COSTO 
DIRECTO ($COP)]]+D.sign_Data[[#This Row],[PRORRATEO GASTOS ($COP)]]</f>
        <v>5230.8065833145702</v>
      </c>
      <c r="X1350" s="101">
        <v>0.02</v>
      </c>
      <c r="Y1350" s="15">
        <f>+D.sign_Data[[#This Row],[COSTOS OPERACIONALES ($COP)]]*D.sign_Data[[#This Row],[DESFASE (%)]]</f>
        <v>104.61613166629141</v>
      </c>
      <c r="Z1350" s="101">
        <v>0.1</v>
      </c>
      <c r="AA1350" s="15">
        <f>+((D.sign_Data[[#This Row],[COSTOS OPERACIONALES ($COP)]]/(100%-D.sign_Data[[#This Row],[UTILIDAD (%)]])))-D.sign_Data[[#This Row],[COSTOS OPERACIONALES ($COP)]]</f>
        <v>581.20073147939638</v>
      </c>
      <c r="AB1350" s="3">
        <f>+D.sign_Data[[#This Row],[COSTOS OPERACIONALES ($COP)]]+D.sign_Data[[#This Row],[DESFASE ($COP)]]+D.sign_Data[[#This Row],[UTILIDAD ($COP)]]</f>
        <v>5916.6234464602576</v>
      </c>
      <c r="AC1350" s="101">
        <v>0</v>
      </c>
      <c r="AD1350" s="15">
        <f>+D.sign_Data[[#This Row],[VALOR NETO ($COP)]]/(100%-D.sign_Data[[#This Row],[MARGEN DE NEGOCIACIÓN (%)]])-D.sign_Data[[#This Row],[VALOR NETO ($COP)]]</f>
        <v>0</v>
      </c>
      <c r="AE1350" s="15">
        <f>+(D.sign_Data[[#This Row],[VALOR NETO ($COP)]]+D.sign_Data[[#This Row],[NEGOCIACIÓN ($COP)]])*1%</f>
        <v>59.166234464602574</v>
      </c>
      <c r="AF1350" s="15">
        <f>+(D.sign_Data[[#This Row],[VALOR NETO ($COP)]]+D.sign_Data[[#This Row],[NEGOCIACIÓN ($COP)]])*1%</f>
        <v>59.166234464602574</v>
      </c>
      <c r="AG1350" s="3">
        <f>+D.sign_Data[[#This Row],[VALOR NETO ($COP)]]+D.sign_Data[[#This Row],[NEGOCIACIÓN ($COP)]]+D.sign_Data[[#This Row],[ICA ($COP)]]+D.sign_Data[[#This Row],[4 * 1000 ($COP)]]</f>
        <v>6034.9559153894634</v>
      </c>
    </row>
    <row r="1351" spans="1:33" ht="60" hidden="1" customHeight="1" x14ac:dyDescent="0.25">
      <c r="A1351" s="14"/>
      <c r="B1351" s="87" t="s">
        <v>418</v>
      </c>
      <c r="C1351" s="182" t="s">
        <v>1177</v>
      </c>
      <c r="D1351" s="189" t="s">
        <v>1178</v>
      </c>
      <c r="E1351" s="87" t="s">
        <v>497</v>
      </c>
      <c r="F1351" s="88" t="s">
        <v>1179</v>
      </c>
      <c r="G1351" s="88" t="s">
        <v>1180</v>
      </c>
      <c r="H1351" s="87" t="s">
        <v>1181</v>
      </c>
      <c r="I1351" s="92">
        <v>1</v>
      </c>
      <c r="J1351" s="241" t="s">
        <v>392</v>
      </c>
      <c r="K1351" s="230"/>
      <c r="L1351" s="242" t="s">
        <v>400</v>
      </c>
      <c r="M1351" s="236" t="s">
        <v>472</v>
      </c>
      <c r="N1351" s="243">
        <v>0.1</v>
      </c>
      <c r="O1351" s="27">
        <f>IFERROR(+VLOOKUP(M1351,D.sign_Lista_Data[[RESPONSABLE]:[SOFTWARE 
VALOR HORA]],3,FALSE),"0")</f>
        <v>17730.496453900709</v>
      </c>
      <c r="P1351" s="3">
        <f t="shared" si="52"/>
        <v>1773.049645390071</v>
      </c>
      <c r="Q1351" s="11">
        <f>IFERROR(+VLOOKUP(M1351,D.sign_Lista_Data[[RESPONSABLE]:[SOFTWARE 
VALOR HORA]],5,FALSE)*D.sign_Data[[#This Row],[TIEMPO (HORAS)]],0)</f>
        <v>337.72374197906112</v>
      </c>
      <c r="R1351" s="11">
        <f>IFERROR(+VLOOKUP(M1351,D.sign_Lista_Data[[RESPONSABLE]:[SOFTWARE 
VALOR HORA]],8,FALSE)*D.sign_Data[[#This Row],[TIEMPO (HORAS)]],0)</f>
        <v>341.08548871439837</v>
      </c>
      <c r="S1351" s="99"/>
      <c r="T1351" s="99"/>
      <c r="U1351" s="3">
        <f t="shared" si="53"/>
        <v>2451.8588760835305</v>
      </c>
      <c r="V1351" s="100">
        <f>D.sign_Data[[#This Row],[TIEMPO (HORAS)]]*Gastos_Operativos[[#Totals],[GASTOS HORA]]</f>
        <v>2778.9477072310401</v>
      </c>
      <c r="W1351" s="3">
        <f>+D.sign_Data[[#This Row],[COSTO 
DIRECTO ($COP)]]+D.sign_Data[[#This Row],[PRORRATEO GASTOS ($COP)]]</f>
        <v>5230.8065833145702</v>
      </c>
      <c r="X1351" s="101">
        <v>0.02</v>
      </c>
      <c r="Y1351" s="15">
        <f>+D.sign_Data[[#This Row],[COSTOS OPERACIONALES ($COP)]]*D.sign_Data[[#This Row],[DESFASE (%)]]</f>
        <v>104.61613166629141</v>
      </c>
      <c r="Z1351" s="101">
        <v>0.1</v>
      </c>
      <c r="AA1351" s="15">
        <f>+((D.sign_Data[[#This Row],[COSTOS OPERACIONALES ($COP)]]/(100%-D.sign_Data[[#This Row],[UTILIDAD (%)]])))-D.sign_Data[[#This Row],[COSTOS OPERACIONALES ($COP)]]</f>
        <v>581.20073147939638</v>
      </c>
      <c r="AB1351" s="3">
        <f>+D.sign_Data[[#This Row],[COSTOS OPERACIONALES ($COP)]]+D.sign_Data[[#This Row],[DESFASE ($COP)]]+D.sign_Data[[#This Row],[UTILIDAD ($COP)]]</f>
        <v>5916.6234464602576</v>
      </c>
      <c r="AC1351" s="101">
        <v>0</v>
      </c>
      <c r="AD1351" s="15">
        <f>+D.sign_Data[[#This Row],[VALOR NETO ($COP)]]/(100%-D.sign_Data[[#This Row],[MARGEN DE NEGOCIACIÓN (%)]])-D.sign_Data[[#This Row],[VALOR NETO ($COP)]]</f>
        <v>0</v>
      </c>
      <c r="AE1351" s="15">
        <f>+(D.sign_Data[[#This Row],[VALOR NETO ($COP)]]+D.sign_Data[[#This Row],[NEGOCIACIÓN ($COP)]])*1%</f>
        <v>59.166234464602574</v>
      </c>
      <c r="AF1351" s="15">
        <f>+(D.sign_Data[[#This Row],[VALOR NETO ($COP)]]+D.sign_Data[[#This Row],[NEGOCIACIÓN ($COP)]])*1%</f>
        <v>59.166234464602574</v>
      </c>
      <c r="AG1351" s="3">
        <f>+D.sign_Data[[#This Row],[VALOR NETO ($COP)]]+D.sign_Data[[#This Row],[NEGOCIACIÓN ($COP)]]+D.sign_Data[[#This Row],[ICA ($COP)]]+D.sign_Data[[#This Row],[4 * 1000 ($COP)]]</f>
        <v>6034.9559153894634</v>
      </c>
    </row>
    <row r="1352" spans="1:33" ht="60" hidden="1" customHeight="1" x14ac:dyDescent="0.25">
      <c r="A1352" s="14"/>
      <c r="B1352" s="87" t="s">
        <v>418</v>
      </c>
      <c r="C1352" s="182" t="s">
        <v>1177</v>
      </c>
      <c r="D1352" s="189" t="s">
        <v>1178</v>
      </c>
      <c r="E1352" s="87" t="s">
        <v>497</v>
      </c>
      <c r="F1352" s="88" t="s">
        <v>1179</v>
      </c>
      <c r="G1352" s="88" t="s">
        <v>1180</v>
      </c>
      <c r="H1352" s="87" t="s">
        <v>1181</v>
      </c>
      <c r="I1352" s="92">
        <v>1</v>
      </c>
      <c r="J1352" s="241" t="s">
        <v>392</v>
      </c>
      <c r="K1352" s="230"/>
      <c r="L1352" s="242" t="s">
        <v>414</v>
      </c>
      <c r="M1352" s="242" t="s">
        <v>384</v>
      </c>
      <c r="N1352" s="243">
        <v>0.5</v>
      </c>
      <c r="O1352" s="27">
        <f>IFERROR(+VLOOKUP(M1352,D.sign_Lista_Data[[RESPONSABLE]:[SOFTWARE 
VALOR HORA]],3,FALSE),"0")</f>
        <v>22796.352583586624</v>
      </c>
      <c r="P1352" s="3">
        <f t="shared" si="52"/>
        <v>11398.176291793312</v>
      </c>
      <c r="Q1352" s="11">
        <f>IFERROR(+VLOOKUP(M1352,D.sign_Lista_Data[[RESPONSABLE]:[SOFTWARE 
VALOR HORA]],5,FALSE)*D.sign_Data[[#This Row],[TIEMPO (HORAS)]],0)</f>
        <v>1266.4640324214793</v>
      </c>
      <c r="R1352" s="11">
        <f>IFERROR(+VLOOKUP(M1352,D.sign_Lista_Data[[RESPONSABLE]:[SOFTWARE 
VALOR HORA]],8,FALSE)*D.sign_Data[[#This Row],[TIEMPO (HORAS)]],0)</f>
        <v>1705.4274435719917</v>
      </c>
      <c r="S1352" s="99"/>
      <c r="T1352" s="99"/>
      <c r="U1352" s="3">
        <f t="shared" si="53"/>
        <v>14370.067767786782</v>
      </c>
      <c r="V1352" s="100">
        <f>D.sign_Data[[#This Row],[TIEMPO (HORAS)]]*Gastos_Operativos[[#Totals],[GASTOS HORA]]</f>
        <v>13894.738536155201</v>
      </c>
      <c r="W1352" s="3">
        <f>+D.sign_Data[[#This Row],[COSTO 
DIRECTO ($COP)]]+D.sign_Data[[#This Row],[PRORRATEO GASTOS ($COP)]]</f>
        <v>28264.806303941983</v>
      </c>
      <c r="X1352" s="101">
        <v>0.02</v>
      </c>
      <c r="Y1352" s="15">
        <f>+D.sign_Data[[#This Row],[COSTOS OPERACIONALES ($COP)]]*D.sign_Data[[#This Row],[DESFASE (%)]]</f>
        <v>565.29612607883962</v>
      </c>
      <c r="Z1352" s="101">
        <v>0.1</v>
      </c>
      <c r="AA1352" s="15">
        <f>+((D.sign_Data[[#This Row],[COSTOS OPERACIONALES ($COP)]]/(100%-D.sign_Data[[#This Row],[UTILIDAD (%)]])))-D.sign_Data[[#This Row],[COSTOS OPERACIONALES ($COP)]]</f>
        <v>3140.5340337713315</v>
      </c>
      <c r="AB1352" s="3">
        <f>+D.sign_Data[[#This Row],[COSTOS OPERACIONALES ($COP)]]+D.sign_Data[[#This Row],[DESFASE ($COP)]]+D.sign_Data[[#This Row],[UTILIDAD ($COP)]]</f>
        <v>31970.636463792154</v>
      </c>
      <c r="AC1352" s="101">
        <v>0</v>
      </c>
      <c r="AD1352" s="15">
        <f>+D.sign_Data[[#This Row],[VALOR NETO ($COP)]]/(100%-D.sign_Data[[#This Row],[MARGEN DE NEGOCIACIÓN (%)]])-D.sign_Data[[#This Row],[VALOR NETO ($COP)]]</f>
        <v>0</v>
      </c>
      <c r="AE1352" s="15">
        <f>+(D.sign_Data[[#This Row],[VALOR NETO ($COP)]]+D.sign_Data[[#This Row],[NEGOCIACIÓN ($COP)]])*1%</f>
        <v>319.70636463792152</v>
      </c>
      <c r="AF1352" s="15">
        <f>+(D.sign_Data[[#This Row],[VALOR NETO ($COP)]]+D.sign_Data[[#This Row],[NEGOCIACIÓN ($COP)]])*1%</f>
        <v>319.70636463792152</v>
      </c>
      <c r="AG1352" s="3">
        <f>+D.sign_Data[[#This Row],[VALOR NETO ($COP)]]+D.sign_Data[[#This Row],[NEGOCIACIÓN ($COP)]]+D.sign_Data[[#This Row],[ICA ($COP)]]+D.sign_Data[[#This Row],[4 * 1000 ($COP)]]</f>
        <v>32610.049193067996</v>
      </c>
    </row>
    <row r="1353" spans="1:33" ht="60" hidden="1" customHeight="1" x14ac:dyDescent="0.25">
      <c r="A1353" s="14"/>
      <c r="B1353" s="87" t="s">
        <v>418</v>
      </c>
      <c r="C1353" s="182" t="s">
        <v>1177</v>
      </c>
      <c r="D1353" s="189" t="s">
        <v>1178</v>
      </c>
      <c r="E1353" s="87" t="s">
        <v>497</v>
      </c>
      <c r="F1353" s="88" t="s">
        <v>1179</v>
      </c>
      <c r="G1353" s="88" t="s">
        <v>1180</v>
      </c>
      <c r="H1353" s="87" t="s">
        <v>1181</v>
      </c>
      <c r="I1353" s="92">
        <v>1</v>
      </c>
      <c r="J1353" s="241" t="s">
        <v>404</v>
      </c>
      <c r="K1353" s="230"/>
      <c r="L1353" s="242" t="s">
        <v>408</v>
      </c>
      <c r="M1353" s="236" t="s">
        <v>472</v>
      </c>
      <c r="N1353" s="243">
        <v>0.2</v>
      </c>
      <c r="O1353" s="27">
        <f>IFERROR(+VLOOKUP(M1353,D.sign_Lista_Data[[RESPONSABLE]:[SOFTWARE 
VALOR HORA]],3,FALSE),"0")</f>
        <v>17730.496453900709</v>
      </c>
      <c r="P1353" s="3">
        <f t="shared" si="52"/>
        <v>3546.0992907801419</v>
      </c>
      <c r="Q1353" s="11">
        <f>IFERROR(+VLOOKUP(M1353,D.sign_Lista_Data[[RESPONSABLE]:[SOFTWARE 
VALOR HORA]],5,FALSE)*D.sign_Data[[#This Row],[TIEMPO (HORAS)]],0)</f>
        <v>675.44748395812223</v>
      </c>
      <c r="R1353" s="11">
        <f>IFERROR(+VLOOKUP(M1353,D.sign_Lista_Data[[RESPONSABLE]:[SOFTWARE 
VALOR HORA]],8,FALSE)*D.sign_Data[[#This Row],[TIEMPO (HORAS)]],0)</f>
        <v>682.17097742879673</v>
      </c>
      <c r="S1353" s="99"/>
      <c r="T1353" s="99"/>
      <c r="U1353" s="3">
        <f t="shared" si="53"/>
        <v>4903.717752167061</v>
      </c>
      <c r="V1353" s="100">
        <f>D.sign_Data[[#This Row],[TIEMPO (HORAS)]]*Gastos_Operativos[[#Totals],[GASTOS HORA]]</f>
        <v>5557.8954144620802</v>
      </c>
      <c r="W1353" s="3">
        <f>+D.sign_Data[[#This Row],[COSTO 
DIRECTO ($COP)]]+D.sign_Data[[#This Row],[PRORRATEO GASTOS ($COP)]]</f>
        <v>10461.61316662914</v>
      </c>
      <c r="X1353" s="101">
        <v>0.02</v>
      </c>
      <c r="Y1353" s="15">
        <f>+D.sign_Data[[#This Row],[COSTOS OPERACIONALES ($COP)]]*D.sign_Data[[#This Row],[DESFASE (%)]]</f>
        <v>209.23226333258282</v>
      </c>
      <c r="Z1353" s="101">
        <v>0.1</v>
      </c>
      <c r="AA1353" s="15">
        <f>+((D.sign_Data[[#This Row],[COSTOS OPERACIONALES ($COP)]]/(100%-D.sign_Data[[#This Row],[UTILIDAD (%)]])))-D.sign_Data[[#This Row],[COSTOS OPERACIONALES ($COP)]]</f>
        <v>1162.4014629587928</v>
      </c>
      <c r="AB1353" s="3">
        <f>+D.sign_Data[[#This Row],[COSTOS OPERACIONALES ($COP)]]+D.sign_Data[[#This Row],[DESFASE ($COP)]]+D.sign_Data[[#This Row],[UTILIDAD ($COP)]]</f>
        <v>11833.246892920515</v>
      </c>
      <c r="AC1353" s="101">
        <v>0</v>
      </c>
      <c r="AD1353" s="15">
        <f>+D.sign_Data[[#This Row],[VALOR NETO ($COP)]]/(100%-D.sign_Data[[#This Row],[MARGEN DE NEGOCIACIÓN (%)]])-D.sign_Data[[#This Row],[VALOR NETO ($COP)]]</f>
        <v>0</v>
      </c>
      <c r="AE1353" s="15">
        <f>+(D.sign_Data[[#This Row],[VALOR NETO ($COP)]]+D.sign_Data[[#This Row],[NEGOCIACIÓN ($COP)]])*1%</f>
        <v>118.33246892920515</v>
      </c>
      <c r="AF1353" s="15">
        <f>+(D.sign_Data[[#This Row],[VALOR NETO ($COP)]]+D.sign_Data[[#This Row],[NEGOCIACIÓN ($COP)]])*1%</f>
        <v>118.33246892920515</v>
      </c>
      <c r="AG1353" s="3">
        <f>+D.sign_Data[[#This Row],[VALOR NETO ($COP)]]+D.sign_Data[[#This Row],[NEGOCIACIÓN ($COP)]]+D.sign_Data[[#This Row],[ICA ($COP)]]+D.sign_Data[[#This Row],[4 * 1000 ($COP)]]</f>
        <v>12069.911830778927</v>
      </c>
    </row>
    <row r="1354" spans="1:33" ht="60" hidden="1" customHeight="1" x14ac:dyDescent="0.25">
      <c r="A1354" s="14"/>
      <c r="B1354" s="87" t="s">
        <v>418</v>
      </c>
      <c r="C1354" s="182" t="s">
        <v>1177</v>
      </c>
      <c r="D1354" s="189" t="s">
        <v>1178</v>
      </c>
      <c r="E1354" s="87" t="s">
        <v>497</v>
      </c>
      <c r="F1354" s="88" t="s">
        <v>1179</v>
      </c>
      <c r="G1354" s="88" t="s">
        <v>1180</v>
      </c>
      <c r="H1354" s="87" t="s">
        <v>1181</v>
      </c>
      <c r="I1354" s="92">
        <v>1</v>
      </c>
      <c r="J1354" s="241" t="s">
        <v>404</v>
      </c>
      <c r="K1354" s="230"/>
      <c r="L1354" s="242" t="s">
        <v>405</v>
      </c>
      <c r="M1354" s="236" t="s">
        <v>472</v>
      </c>
      <c r="N1354" s="243">
        <v>0.2</v>
      </c>
      <c r="O1354" s="27">
        <f>IFERROR(+VLOOKUP(M1354,D.sign_Lista_Data[[RESPONSABLE]:[SOFTWARE 
VALOR HORA]],3,FALSE),"0")</f>
        <v>17730.496453900709</v>
      </c>
      <c r="P1354" s="3">
        <f t="shared" si="52"/>
        <v>3546.0992907801419</v>
      </c>
      <c r="Q1354" s="11">
        <f>IFERROR(+VLOOKUP(M1354,D.sign_Lista_Data[[RESPONSABLE]:[SOFTWARE 
VALOR HORA]],5,FALSE)*D.sign_Data[[#This Row],[TIEMPO (HORAS)]],0)</f>
        <v>675.44748395812223</v>
      </c>
      <c r="R1354" s="11">
        <f>IFERROR(+VLOOKUP(M1354,D.sign_Lista_Data[[RESPONSABLE]:[SOFTWARE 
VALOR HORA]],8,FALSE)*D.sign_Data[[#This Row],[TIEMPO (HORAS)]],0)</f>
        <v>682.17097742879673</v>
      </c>
      <c r="S1354" s="99"/>
      <c r="T1354" s="99"/>
      <c r="U1354" s="3">
        <f t="shared" si="53"/>
        <v>4903.717752167061</v>
      </c>
      <c r="V1354" s="100">
        <f>D.sign_Data[[#This Row],[TIEMPO (HORAS)]]*Gastos_Operativos[[#Totals],[GASTOS HORA]]</f>
        <v>5557.8954144620802</v>
      </c>
      <c r="W1354" s="3">
        <f>+D.sign_Data[[#This Row],[COSTO 
DIRECTO ($COP)]]+D.sign_Data[[#This Row],[PRORRATEO GASTOS ($COP)]]</f>
        <v>10461.61316662914</v>
      </c>
      <c r="X1354" s="101">
        <v>0.02</v>
      </c>
      <c r="Y1354" s="15">
        <f>+D.sign_Data[[#This Row],[COSTOS OPERACIONALES ($COP)]]*D.sign_Data[[#This Row],[DESFASE (%)]]</f>
        <v>209.23226333258282</v>
      </c>
      <c r="Z1354" s="101">
        <v>0.1</v>
      </c>
      <c r="AA1354" s="15">
        <f>+((D.sign_Data[[#This Row],[COSTOS OPERACIONALES ($COP)]]/(100%-D.sign_Data[[#This Row],[UTILIDAD (%)]])))-D.sign_Data[[#This Row],[COSTOS OPERACIONALES ($COP)]]</f>
        <v>1162.4014629587928</v>
      </c>
      <c r="AB1354" s="3">
        <f>+D.sign_Data[[#This Row],[COSTOS OPERACIONALES ($COP)]]+D.sign_Data[[#This Row],[DESFASE ($COP)]]+D.sign_Data[[#This Row],[UTILIDAD ($COP)]]</f>
        <v>11833.246892920515</v>
      </c>
      <c r="AC1354" s="101">
        <v>0</v>
      </c>
      <c r="AD1354" s="15">
        <f>+D.sign_Data[[#This Row],[VALOR NETO ($COP)]]/(100%-D.sign_Data[[#This Row],[MARGEN DE NEGOCIACIÓN (%)]])-D.sign_Data[[#This Row],[VALOR NETO ($COP)]]</f>
        <v>0</v>
      </c>
      <c r="AE1354" s="15">
        <f>+(D.sign_Data[[#This Row],[VALOR NETO ($COP)]]+D.sign_Data[[#This Row],[NEGOCIACIÓN ($COP)]])*1%</f>
        <v>118.33246892920515</v>
      </c>
      <c r="AF1354" s="15">
        <f>+(D.sign_Data[[#This Row],[VALOR NETO ($COP)]]+D.sign_Data[[#This Row],[NEGOCIACIÓN ($COP)]])*1%</f>
        <v>118.33246892920515</v>
      </c>
      <c r="AG1354" s="3">
        <f>+D.sign_Data[[#This Row],[VALOR NETO ($COP)]]+D.sign_Data[[#This Row],[NEGOCIACIÓN ($COP)]]+D.sign_Data[[#This Row],[ICA ($COP)]]+D.sign_Data[[#This Row],[4 * 1000 ($COP)]]</f>
        <v>12069.911830778927</v>
      </c>
    </row>
    <row r="1355" spans="1:33" ht="60" hidden="1" customHeight="1" x14ac:dyDescent="0.25">
      <c r="A1355" s="14"/>
      <c r="B1355" s="87" t="s">
        <v>418</v>
      </c>
      <c r="C1355" s="182" t="s">
        <v>1177</v>
      </c>
      <c r="D1355" s="189" t="s">
        <v>1178</v>
      </c>
      <c r="E1355" s="87" t="s">
        <v>497</v>
      </c>
      <c r="F1355" s="88" t="s">
        <v>1179</v>
      </c>
      <c r="G1355" s="88" t="s">
        <v>1180</v>
      </c>
      <c r="H1355" s="87" t="s">
        <v>1181</v>
      </c>
      <c r="I1355" s="92">
        <v>1</v>
      </c>
      <c r="J1355" s="232" t="s">
        <v>1182</v>
      </c>
      <c r="K1355" s="233"/>
      <c r="L1355" s="234" t="s">
        <v>1183</v>
      </c>
      <c r="M1355" s="236" t="s">
        <v>472</v>
      </c>
      <c r="N1355" s="235">
        <v>2</v>
      </c>
      <c r="O1355" s="27">
        <f>IFERROR(+VLOOKUP(M1355,D.sign_Lista_Data[[RESPONSABLE]:[SOFTWARE 
VALOR HORA]],3,FALSE),"0")</f>
        <v>17730.496453900709</v>
      </c>
      <c r="P1355" s="3">
        <f t="shared" si="52"/>
        <v>35460.992907801417</v>
      </c>
      <c r="Q1355" s="11">
        <f>IFERROR(+VLOOKUP(M1355,D.sign_Lista_Data[[RESPONSABLE]:[SOFTWARE 
VALOR HORA]],5,FALSE)*D.sign_Data[[#This Row],[TIEMPO (HORAS)]],0)</f>
        <v>6754.4748395812221</v>
      </c>
      <c r="R1355" s="11">
        <f>IFERROR(+VLOOKUP(M1355,D.sign_Lista_Data[[RESPONSABLE]:[SOFTWARE 
VALOR HORA]],8,FALSE)*D.sign_Data[[#This Row],[TIEMPO (HORAS)]],0)</f>
        <v>6821.7097742879669</v>
      </c>
      <c r="S1355" s="99"/>
      <c r="T1355" s="99"/>
      <c r="U1355" s="3">
        <f t="shared" si="53"/>
        <v>49037.177521670601</v>
      </c>
      <c r="V1355" s="100">
        <f>D.sign_Data[[#This Row],[TIEMPO (HORAS)]]*Gastos_Operativos[[#Totals],[GASTOS HORA]]</f>
        <v>55578.954144620802</v>
      </c>
      <c r="W1355" s="3">
        <f>+D.sign_Data[[#This Row],[COSTO 
DIRECTO ($COP)]]+D.sign_Data[[#This Row],[PRORRATEO GASTOS ($COP)]]</f>
        <v>104616.1316662914</v>
      </c>
      <c r="X1355" s="101">
        <v>0.02</v>
      </c>
      <c r="Y1355" s="15">
        <f>+D.sign_Data[[#This Row],[COSTOS OPERACIONALES ($COP)]]*D.sign_Data[[#This Row],[DESFASE (%)]]</f>
        <v>2092.3226333258281</v>
      </c>
      <c r="Z1355" s="101">
        <v>0.15</v>
      </c>
      <c r="AA1355" s="15">
        <f>+((D.sign_Data[[#This Row],[COSTOS OPERACIONALES ($COP)]]/(100%-D.sign_Data[[#This Row],[UTILIDAD (%)]])))-D.sign_Data[[#This Row],[COSTOS OPERACIONALES ($COP)]]</f>
        <v>18461.670294051422</v>
      </c>
      <c r="AB1355" s="3">
        <f>+D.sign_Data[[#This Row],[COSTOS OPERACIONALES ($COP)]]+D.sign_Data[[#This Row],[DESFASE ($COP)]]+D.sign_Data[[#This Row],[UTILIDAD ($COP)]]</f>
        <v>125170.12459366866</v>
      </c>
      <c r="AC1355" s="101">
        <v>0</v>
      </c>
      <c r="AD1355" s="15">
        <f>+D.sign_Data[[#This Row],[VALOR NETO ($COP)]]/(100%-D.sign_Data[[#This Row],[MARGEN DE NEGOCIACIÓN (%)]])-D.sign_Data[[#This Row],[VALOR NETO ($COP)]]</f>
        <v>0</v>
      </c>
      <c r="AE1355" s="15">
        <f>+(D.sign_Data[[#This Row],[VALOR NETO ($COP)]]+D.sign_Data[[#This Row],[NEGOCIACIÓN ($COP)]])*1%</f>
        <v>1251.7012459366867</v>
      </c>
      <c r="AF1355" s="15">
        <f>+(D.sign_Data[[#This Row],[VALOR NETO ($COP)]]+D.sign_Data[[#This Row],[NEGOCIACIÓN ($COP)]])*1%</f>
        <v>1251.7012459366867</v>
      </c>
      <c r="AG1355" s="3">
        <f>+D.sign_Data[[#This Row],[VALOR NETO ($COP)]]+D.sign_Data[[#This Row],[NEGOCIACIÓN ($COP)]]+D.sign_Data[[#This Row],[ICA ($COP)]]+D.sign_Data[[#This Row],[4 * 1000 ($COP)]]</f>
        <v>127673.52708554202</v>
      </c>
    </row>
    <row r="1356" spans="1:33" ht="60" hidden="1" customHeight="1" x14ac:dyDescent="0.25">
      <c r="A1356" s="14"/>
      <c r="B1356" s="87" t="s">
        <v>418</v>
      </c>
      <c r="C1356" s="182" t="s">
        <v>1177</v>
      </c>
      <c r="D1356" s="189" t="s">
        <v>1178</v>
      </c>
      <c r="E1356" s="87" t="s">
        <v>497</v>
      </c>
      <c r="F1356" s="88" t="s">
        <v>1179</v>
      </c>
      <c r="G1356" s="88" t="s">
        <v>1180</v>
      </c>
      <c r="H1356" s="87" t="s">
        <v>1181</v>
      </c>
      <c r="I1356" s="92">
        <v>1</v>
      </c>
      <c r="J1356" s="232" t="s">
        <v>1184</v>
      </c>
      <c r="K1356" s="233"/>
      <c r="L1356" s="234" t="s">
        <v>1185</v>
      </c>
      <c r="M1356" s="236" t="s">
        <v>472</v>
      </c>
      <c r="N1356" s="235">
        <v>2</v>
      </c>
      <c r="O1356" s="27">
        <f>IFERROR(+VLOOKUP(M1356,D.sign_Lista_Data[[RESPONSABLE]:[SOFTWARE 
VALOR HORA]],3,FALSE),"0")</f>
        <v>17730.496453900709</v>
      </c>
      <c r="P1356" s="3">
        <f t="shared" si="52"/>
        <v>35460.992907801417</v>
      </c>
      <c r="Q1356" s="11">
        <f>IFERROR(+VLOOKUP(M1356,D.sign_Lista_Data[[RESPONSABLE]:[SOFTWARE 
VALOR HORA]],5,FALSE)*D.sign_Data[[#This Row],[TIEMPO (HORAS)]],0)</f>
        <v>6754.4748395812221</v>
      </c>
      <c r="R1356" s="11">
        <f>IFERROR(+VLOOKUP(M1356,D.sign_Lista_Data[[RESPONSABLE]:[SOFTWARE 
VALOR HORA]],8,FALSE)*D.sign_Data[[#This Row],[TIEMPO (HORAS)]],0)</f>
        <v>6821.7097742879669</v>
      </c>
      <c r="S1356" s="99"/>
      <c r="T1356" s="99"/>
      <c r="U1356" s="3">
        <f t="shared" si="53"/>
        <v>49037.177521670601</v>
      </c>
      <c r="V1356" s="100">
        <f>D.sign_Data[[#This Row],[TIEMPO (HORAS)]]*Gastos_Operativos[[#Totals],[GASTOS HORA]]</f>
        <v>55578.954144620802</v>
      </c>
      <c r="W1356" s="3">
        <f>+D.sign_Data[[#This Row],[COSTO 
DIRECTO ($COP)]]+D.sign_Data[[#This Row],[PRORRATEO GASTOS ($COP)]]</f>
        <v>104616.1316662914</v>
      </c>
      <c r="X1356" s="101">
        <v>0.02</v>
      </c>
      <c r="Y1356" s="15">
        <f>+D.sign_Data[[#This Row],[COSTOS OPERACIONALES ($COP)]]*D.sign_Data[[#This Row],[DESFASE (%)]]</f>
        <v>2092.3226333258281</v>
      </c>
      <c r="Z1356" s="101">
        <v>0.15</v>
      </c>
      <c r="AA1356" s="15">
        <f>+((D.sign_Data[[#This Row],[COSTOS OPERACIONALES ($COP)]]/(100%-D.sign_Data[[#This Row],[UTILIDAD (%)]])))-D.sign_Data[[#This Row],[COSTOS OPERACIONALES ($COP)]]</f>
        <v>18461.670294051422</v>
      </c>
      <c r="AB1356" s="3">
        <f>+D.sign_Data[[#This Row],[COSTOS OPERACIONALES ($COP)]]+D.sign_Data[[#This Row],[DESFASE ($COP)]]+D.sign_Data[[#This Row],[UTILIDAD ($COP)]]</f>
        <v>125170.12459366866</v>
      </c>
      <c r="AC1356" s="101">
        <v>0</v>
      </c>
      <c r="AD1356" s="15">
        <f>+D.sign_Data[[#This Row],[VALOR NETO ($COP)]]/(100%-D.sign_Data[[#This Row],[MARGEN DE NEGOCIACIÓN (%)]])-D.sign_Data[[#This Row],[VALOR NETO ($COP)]]</f>
        <v>0</v>
      </c>
      <c r="AE1356" s="15">
        <f>+(D.sign_Data[[#This Row],[VALOR NETO ($COP)]]+D.sign_Data[[#This Row],[NEGOCIACIÓN ($COP)]])*1%</f>
        <v>1251.7012459366867</v>
      </c>
      <c r="AF1356" s="15">
        <f>+(D.sign_Data[[#This Row],[VALOR NETO ($COP)]]+D.sign_Data[[#This Row],[NEGOCIACIÓN ($COP)]])*1%</f>
        <v>1251.7012459366867</v>
      </c>
      <c r="AG1356" s="3">
        <f>+D.sign_Data[[#This Row],[VALOR NETO ($COP)]]+D.sign_Data[[#This Row],[NEGOCIACIÓN ($COP)]]+D.sign_Data[[#This Row],[ICA ($COP)]]+D.sign_Data[[#This Row],[4 * 1000 ($COP)]]</f>
        <v>127673.52708554202</v>
      </c>
    </row>
    <row r="1357" spans="1:33" ht="60" hidden="1" customHeight="1" x14ac:dyDescent="0.25">
      <c r="A1357" s="14"/>
      <c r="B1357" s="87" t="s">
        <v>418</v>
      </c>
      <c r="C1357" s="182" t="s">
        <v>1177</v>
      </c>
      <c r="D1357" s="189" t="s">
        <v>1178</v>
      </c>
      <c r="E1357" s="87" t="s">
        <v>497</v>
      </c>
      <c r="F1357" s="88" t="s">
        <v>1179</v>
      </c>
      <c r="G1357" s="88" t="s">
        <v>1180</v>
      </c>
      <c r="H1357" s="87" t="s">
        <v>1181</v>
      </c>
      <c r="I1357" s="92">
        <v>1</v>
      </c>
      <c r="J1357" s="245" t="s">
        <v>409</v>
      </c>
      <c r="K1357" s="231"/>
      <c r="L1357" s="246" t="s">
        <v>1186</v>
      </c>
      <c r="M1357" s="236" t="s">
        <v>472</v>
      </c>
      <c r="N1357" s="247">
        <v>4</v>
      </c>
      <c r="O1357" s="27">
        <f>IFERROR(+VLOOKUP(M1357,D.sign_Lista_Data[[RESPONSABLE]:[SOFTWARE 
VALOR HORA]],3,FALSE),"0")</f>
        <v>17730.496453900709</v>
      </c>
      <c r="P1357" s="3">
        <f t="shared" si="52"/>
        <v>70921.985815602835</v>
      </c>
      <c r="Q1357" s="11">
        <f>IFERROR(+VLOOKUP(M1357,D.sign_Lista_Data[[RESPONSABLE]:[SOFTWARE 
VALOR HORA]],5,FALSE)*D.sign_Data[[#This Row],[TIEMPO (HORAS)]],0)</f>
        <v>13508.949679162444</v>
      </c>
      <c r="R1357" s="11">
        <f>IFERROR(+VLOOKUP(M1357,D.sign_Lista_Data[[RESPONSABLE]:[SOFTWARE 
VALOR HORA]],8,FALSE)*D.sign_Data[[#This Row],[TIEMPO (HORAS)]],0)</f>
        <v>13643.419548575934</v>
      </c>
      <c r="S1357" s="99">
        <v>70000</v>
      </c>
      <c r="T1357" s="99"/>
      <c r="U1357" s="3">
        <f t="shared" si="53"/>
        <v>168074.3550433412</v>
      </c>
      <c r="V1357" s="100">
        <f>D.sign_Data[[#This Row],[TIEMPO (HORAS)]]*Gastos_Operativos[[#Totals],[GASTOS HORA]]</f>
        <v>111157.9082892416</v>
      </c>
      <c r="W1357" s="3">
        <f>+D.sign_Data[[#This Row],[COSTO 
DIRECTO ($COP)]]+D.sign_Data[[#This Row],[PRORRATEO GASTOS ($COP)]]</f>
        <v>279232.26333258278</v>
      </c>
      <c r="X1357" s="101">
        <v>0.02</v>
      </c>
      <c r="Y1357" s="15">
        <f>+D.sign_Data[[#This Row],[COSTOS OPERACIONALES ($COP)]]*D.sign_Data[[#This Row],[DESFASE (%)]]</f>
        <v>5584.6452666516552</v>
      </c>
      <c r="Z1357" s="101">
        <v>0.15</v>
      </c>
      <c r="AA1357" s="15">
        <f>+((D.sign_Data[[#This Row],[COSTOS OPERACIONALES ($COP)]]/(100%-D.sign_Data[[#This Row],[UTILIDAD (%)]])))-D.sign_Data[[#This Row],[COSTOS OPERACIONALES ($COP)]]</f>
        <v>49276.281764573418</v>
      </c>
      <c r="AB1357" s="3">
        <f>+D.sign_Data[[#This Row],[COSTOS OPERACIONALES ($COP)]]+D.sign_Data[[#This Row],[DESFASE ($COP)]]+D.sign_Data[[#This Row],[UTILIDAD ($COP)]]</f>
        <v>334093.19036380784</v>
      </c>
      <c r="AC1357" s="101">
        <v>0</v>
      </c>
      <c r="AD1357" s="15">
        <f>+D.sign_Data[[#This Row],[VALOR NETO ($COP)]]/(100%-D.sign_Data[[#This Row],[MARGEN DE NEGOCIACIÓN (%)]])-D.sign_Data[[#This Row],[VALOR NETO ($COP)]]</f>
        <v>0</v>
      </c>
      <c r="AE1357" s="15">
        <f>+(D.sign_Data[[#This Row],[VALOR NETO ($COP)]]+D.sign_Data[[#This Row],[NEGOCIACIÓN ($COP)]])*1%</f>
        <v>3340.9319036380784</v>
      </c>
      <c r="AF1357" s="15">
        <f>+(D.sign_Data[[#This Row],[VALOR NETO ($COP)]]+D.sign_Data[[#This Row],[NEGOCIACIÓN ($COP)]])*1%</f>
        <v>3340.9319036380784</v>
      </c>
      <c r="AG1357" s="3">
        <f>+D.sign_Data[[#This Row],[VALOR NETO ($COP)]]+D.sign_Data[[#This Row],[NEGOCIACIÓN ($COP)]]+D.sign_Data[[#This Row],[ICA ($COP)]]+D.sign_Data[[#This Row],[4 * 1000 ($COP)]]</f>
        <v>340775.05417108396</v>
      </c>
    </row>
    <row r="1358" spans="1:33" ht="60" hidden="1" customHeight="1" x14ac:dyDescent="0.25">
      <c r="A1358" s="14"/>
      <c r="B1358" s="87" t="s">
        <v>418</v>
      </c>
      <c r="C1358" s="182" t="s">
        <v>1177</v>
      </c>
      <c r="D1358" s="189" t="s">
        <v>1178</v>
      </c>
      <c r="E1358" s="87" t="s">
        <v>497</v>
      </c>
      <c r="F1358" s="88" t="s">
        <v>1179</v>
      </c>
      <c r="G1358" s="88" t="s">
        <v>1180</v>
      </c>
      <c r="H1358" s="87" t="s">
        <v>1181</v>
      </c>
      <c r="I1358" s="92">
        <v>1</v>
      </c>
      <c r="J1358" s="88" t="s">
        <v>1187</v>
      </c>
      <c r="K1358" s="102"/>
      <c r="L1358" s="88" t="s">
        <v>1188</v>
      </c>
      <c r="M1358" s="236" t="s">
        <v>472</v>
      </c>
      <c r="N1358" s="90">
        <v>1</v>
      </c>
      <c r="O1358" s="27">
        <f>IFERROR(+VLOOKUP(M1358,D.sign_Lista_Data[[RESPONSABLE]:[SOFTWARE 
VALOR HORA]],3,FALSE),"0")</f>
        <v>17730.496453900709</v>
      </c>
      <c r="P1358" s="3">
        <f t="shared" si="52"/>
        <v>17730.496453900709</v>
      </c>
      <c r="Q1358" s="11">
        <f>IFERROR(+VLOOKUP(M1358,D.sign_Lista_Data[[RESPONSABLE]:[SOFTWARE 
VALOR HORA]],5,FALSE)*D.sign_Data[[#This Row],[TIEMPO (HORAS)]],0)</f>
        <v>3377.2374197906111</v>
      </c>
      <c r="R1358" s="11">
        <f>IFERROR(+VLOOKUP(M1358,D.sign_Lista_Data[[RESPONSABLE]:[SOFTWARE 
VALOR HORA]],8,FALSE)*D.sign_Data[[#This Row],[TIEMPO (HORAS)]],0)</f>
        <v>3410.8548871439834</v>
      </c>
      <c r="S1358" s="99"/>
      <c r="T1358" s="99"/>
      <c r="U1358" s="3">
        <f t="shared" si="53"/>
        <v>24518.5887608353</v>
      </c>
      <c r="V1358" s="100">
        <f>D.sign_Data[[#This Row],[TIEMPO (HORAS)]]*Gastos_Operativos[[#Totals],[GASTOS HORA]]</f>
        <v>27789.477072310401</v>
      </c>
      <c r="W1358" s="3">
        <f>+D.sign_Data[[#This Row],[COSTO 
DIRECTO ($COP)]]+D.sign_Data[[#This Row],[PRORRATEO GASTOS ($COP)]]</f>
        <v>52308.065833145702</v>
      </c>
      <c r="X1358" s="101">
        <v>0.02</v>
      </c>
      <c r="Y1358" s="15">
        <f>+D.sign_Data[[#This Row],[COSTOS OPERACIONALES ($COP)]]*D.sign_Data[[#This Row],[DESFASE (%)]]</f>
        <v>1046.161316662914</v>
      </c>
      <c r="Z1358" s="101">
        <v>0.15</v>
      </c>
      <c r="AA1358" s="15">
        <f>+((D.sign_Data[[#This Row],[COSTOS OPERACIONALES ($COP)]]/(100%-D.sign_Data[[#This Row],[UTILIDAD (%)]])))-D.sign_Data[[#This Row],[COSTOS OPERACIONALES ($COP)]]</f>
        <v>9230.8351470257112</v>
      </c>
      <c r="AB1358" s="3">
        <f>+D.sign_Data[[#This Row],[COSTOS OPERACIONALES ($COP)]]+D.sign_Data[[#This Row],[DESFASE ($COP)]]+D.sign_Data[[#This Row],[UTILIDAD ($COP)]]</f>
        <v>62585.06229683433</v>
      </c>
      <c r="AC1358" s="101">
        <v>0</v>
      </c>
      <c r="AD1358" s="15">
        <f>+D.sign_Data[[#This Row],[VALOR NETO ($COP)]]/(100%-D.sign_Data[[#This Row],[MARGEN DE NEGOCIACIÓN (%)]])-D.sign_Data[[#This Row],[VALOR NETO ($COP)]]</f>
        <v>0</v>
      </c>
      <c r="AE1358" s="15">
        <f>+(D.sign_Data[[#This Row],[VALOR NETO ($COP)]]+D.sign_Data[[#This Row],[NEGOCIACIÓN ($COP)]])*1%</f>
        <v>625.85062296834337</v>
      </c>
      <c r="AF1358" s="15">
        <f>+(D.sign_Data[[#This Row],[VALOR NETO ($COP)]]+D.sign_Data[[#This Row],[NEGOCIACIÓN ($COP)]])*1%</f>
        <v>625.85062296834337</v>
      </c>
      <c r="AG1358" s="3">
        <f>+D.sign_Data[[#This Row],[VALOR NETO ($COP)]]+D.sign_Data[[#This Row],[NEGOCIACIÓN ($COP)]]+D.sign_Data[[#This Row],[ICA ($COP)]]+D.sign_Data[[#This Row],[4 * 1000 ($COP)]]</f>
        <v>63836.763542771012</v>
      </c>
    </row>
    <row r="1359" spans="1:33" ht="60" hidden="1" customHeight="1" x14ac:dyDescent="0.25">
      <c r="A1359" s="14"/>
      <c r="B1359" s="87" t="s">
        <v>418</v>
      </c>
      <c r="C1359" s="182" t="s">
        <v>1177</v>
      </c>
      <c r="D1359" s="189" t="s">
        <v>1178</v>
      </c>
      <c r="E1359" s="87" t="s">
        <v>497</v>
      </c>
      <c r="F1359" s="88" t="s">
        <v>1179</v>
      </c>
      <c r="G1359" s="88" t="s">
        <v>1180</v>
      </c>
      <c r="H1359" s="87" t="s">
        <v>1181</v>
      </c>
      <c r="I1359" s="92">
        <v>1</v>
      </c>
      <c r="J1359" s="88" t="s">
        <v>1189</v>
      </c>
      <c r="K1359" s="102"/>
      <c r="L1359" s="88" t="s">
        <v>1190</v>
      </c>
      <c r="M1359" s="236" t="s">
        <v>472</v>
      </c>
      <c r="N1359" s="90">
        <v>1</v>
      </c>
      <c r="O1359" s="27">
        <f>IFERROR(+VLOOKUP(M1359,D.sign_Lista_Data[[RESPONSABLE]:[SOFTWARE 
VALOR HORA]],3,FALSE),"0")</f>
        <v>17730.496453900709</v>
      </c>
      <c r="P1359" s="3">
        <f t="shared" si="52"/>
        <v>17730.496453900709</v>
      </c>
      <c r="Q1359" s="11">
        <f>IFERROR(+VLOOKUP(M1359,D.sign_Lista_Data[[RESPONSABLE]:[SOFTWARE 
VALOR HORA]],5,FALSE)*D.sign_Data[[#This Row],[TIEMPO (HORAS)]],0)</f>
        <v>3377.2374197906111</v>
      </c>
      <c r="R1359" s="11">
        <f>IFERROR(+VLOOKUP(M1359,D.sign_Lista_Data[[RESPONSABLE]:[SOFTWARE 
VALOR HORA]],8,FALSE)*D.sign_Data[[#This Row],[TIEMPO (HORAS)]],0)</f>
        <v>3410.8548871439834</v>
      </c>
      <c r="S1359" s="99"/>
      <c r="T1359" s="99"/>
      <c r="U1359" s="3">
        <f t="shared" si="53"/>
        <v>24518.5887608353</v>
      </c>
      <c r="V1359" s="100">
        <f>D.sign_Data[[#This Row],[TIEMPO (HORAS)]]*Gastos_Operativos[[#Totals],[GASTOS HORA]]</f>
        <v>27789.477072310401</v>
      </c>
      <c r="W1359" s="3">
        <f>+D.sign_Data[[#This Row],[COSTO 
DIRECTO ($COP)]]+D.sign_Data[[#This Row],[PRORRATEO GASTOS ($COP)]]</f>
        <v>52308.065833145702</v>
      </c>
      <c r="X1359" s="101">
        <v>0.02</v>
      </c>
      <c r="Y1359" s="15">
        <f>+D.sign_Data[[#This Row],[COSTOS OPERACIONALES ($COP)]]*D.sign_Data[[#This Row],[DESFASE (%)]]</f>
        <v>1046.161316662914</v>
      </c>
      <c r="Z1359" s="101">
        <v>0.15</v>
      </c>
      <c r="AA1359" s="15">
        <f>+((D.sign_Data[[#This Row],[COSTOS OPERACIONALES ($COP)]]/(100%-D.sign_Data[[#This Row],[UTILIDAD (%)]])))-D.sign_Data[[#This Row],[COSTOS OPERACIONALES ($COP)]]</f>
        <v>9230.8351470257112</v>
      </c>
      <c r="AB1359" s="3">
        <f>+D.sign_Data[[#This Row],[COSTOS OPERACIONALES ($COP)]]+D.sign_Data[[#This Row],[DESFASE ($COP)]]+D.sign_Data[[#This Row],[UTILIDAD ($COP)]]</f>
        <v>62585.06229683433</v>
      </c>
      <c r="AC1359" s="101">
        <v>0</v>
      </c>
      <c r="AD1359" s="15">
        <f>+D.sign_Data[[#This Row],[VALOR NETO ($COP)]]/(100%-D.sign_Data[[#This Row],[MARGEN DE NEGOCIACIÓN (%)]])-D.sign_Data[[#This Row],[VALOR NETO ($COP)]]</f>
        <v>0</v>
      </c>
      <c r="AE1359" s="15">
        <f>+(D.sign_Data[[#This Row],[VALOR NETO ($COP)]]+D.sign_Data[[#This Row],[NEGOCIACIÓN ($COP)]])*1%</f>
        <v>625.85062296834337</v>
      </c>
      <c r="AF1359" s="15">
        <f>+(D.sign_Data[[#This Row],[VALOR NETO ($COP)]]+D.sign_Data[[#This Row],[NEGOCIACIÓN ($COP)]])*1%</f>
        <v>625.85062296834337</v>
      </c>
      <c r="AG1359" s="3">
        <f>+D.sign_Data[[#This Row],[VALOR NETO ($COP)]]+D.sign_Data[[#This Row],[NEGOCIACIÓN ($COP)]]+D.sign_Data[[#This Row],[ICA ($COP)]]+D.sign_Data[[#This Row],[4 * 1000 ($COP)]]</f>
        <v>63836.763542771012</v>
      </c>
    </row>
    <row r="1360" spans="1:33" ht="60" hidden="1" customHeight="1" x14ac:dyDescent="0.25">
      <c r="A1360" s="14"/>
      <c r="B1360" s="87" t="s">
        <v>418</v>
      </c>
      <c r="C1360" s="182" t="s">
        <v>1177</v>
      </c>
      <c r="D1360" s="189" t="s">
        <v>1178</v>
      </c>
      <c r="E1360" s="87" t="s">
        <v>497</v>
      </c>
      <c r="F1360" s="88" t="s">
        <v>1179</v>
      </c>
      <c r="G1360" s="88" t="s">
        <v>1180</v>
      </c>
      <c r="H1360" s="87" t="s">
        <v>1181</v>
      </c>
      <c r="I1360" s="92">
        <v>1</v>
      </c>
      <c r="J1360" s="88" t="s">
        <v>1189</v>
      </c>
      <c r="K1360" s="102"/>
      <c r="L1360" s="88" t="s">
        <v>1191</v>
      </c>
      <c r="M1360" s="236" t="s">
        <v>472</v>
      </c>
      <c r="N1360" s="90">
        <v>1</v>
      </c>
      <c r="O1360" s="27">
        <f>IFERROR(+VLOOKUP(M1360,D.sign_Lista_Data[[RESPONSABLE]:[SOFTWARE 
VALOR HORA]],3,FALSE),"0")</f>
        <v>17730.496453900709</v>
      </c>
      <c r="P1360" s="3">
        <f t="shared" si="52"/>
        <v>17730.496453900709</v>
      </c>
      <c r="Q1360" s="11">
        <f>IFERROR(+VLOOKUP(M1360,D.sign_Lista_Data[[RESPONSABLE]:[SOFTWARE 
VALOR HORA]],5,FALSE)*D.sign_Data[[#This Row],[TIEMPO (HORAS)]],0)</f>
        <v>3377.2374197906111</v>
      </c>
      <c r="R1360" s="11">
        <f>IFERROR(+VLOOKUP(M1360,D.sign_Lista_Data[[RESPONSABLE]:[SOFTWARE 
VALOR HORA]],8,FALSE)*D.sign_Data[[#This Row],[TIEMPO (HORAS)]],0)</f>
        <v>3410.8548871439834</v>
      </c>
      <c r="S1360" s="99"/>
      <c r="T1360" s="99"/>
      <c r="U1360" s="3">
        <f t="shared" si="53"/>
        <v>24518.5887608353</v>
      </c>
      <c r="V1360" s="100">
        <f>D.sign_Data[[#This Row],[TIEMPO (HORAS)]]*Gastos_Operativos[[#Totals],[GASTOS HORA]]</f>
        <v>27789.477072310401</v>
      </c>
      <c r="W1360" s="3">
        <f>+D.sign_Data[[#This Row],[COSTO 
DIRECTO ($COP)]]+D.sign_Data[[#This Row],[PRORRATEO GASTOS ($COP)]]</f>
        <v>52308.065833145702</v>
      </c>
      <c r="X1360" s="101">
        <v>0.02</v>
      </c>
      <c r="Y1360" s="15">
        <f>+D.sign_Data[[#This Row],[COSTOS OPERACIONALES ($COP)]]*D.sign_Data[[#This Row],[DESFASE (%)]]</f>
        <v>1046.161316662914</v>
      </c>
      <c r="Z1360" s="101">
        <v>0.15</v>
      </c>
      <c r="AA1360" s="15">
        <f>+((D.sign_Data[[#This Row],[COSTOS OPERACIONALES ($COP)]]/(100%-D.sign_Data[[#This Row],[UTILIDAD (%)]])))-D.sign_Data[[#This Row],[COSTOS OPERACIONALES ($COP)]]</f>
        <v>9230.8351470257112</v>
      </c>
      <c r="AB1360" s="3">
        <f>+D.sign_Data[[#This Row],[COSTOS OPERACIONALES ($COP)]]+D.sign_Data[[#This Row],[DESFASE ($COP)]]+D.sign_Data[[#This Row],[UTILIDAD ($COP)]]</f>
        <v>62585.06229683433</v>
      </c>
      <c r="AC1360" s="101">
        <v>0</v>
      </c>
      <c r="AD1360" s="15">
        <f>+D.sign_Data[[#This Row],[VALOR NETO ($COP)]]/(100%-D.sign_Data[[#This Row],[MARGEN DE NEGOCIACIÓN (%)]])-D.sign_Data[[#This Row],[VALOR NETO ($COP)]]</f>
        <v>0</v>
      </c>
      <c r="AE1360" s="15">
        <f>+(D.sign_Data[[#This Row],[VALOR NETO ($COP)]]+D.sign_Data[[#This Row],[NEGOCIACIÓN ($COP)]])*1%</f>
        <v>625.85062296834337</v>
      </c>
      <c r="AF1360" s="15">
        <f>+(D.sign_Data[[#This Row],[VALOR NETO ($COP)]]+D.sign_Data[[#This Row],[NEGOCIACIÓN ($COP)]])*1%</f>
        <v>625.85062296834337</v>
      </c>
      <c r="AG1360" s="3">
        <f>+D.sign_Data[[#This Row],[VALOR NETO ($COP)]]+D.sign_Data[[#This Row],[NEGOCIACIÓN ($COP)]]+D.sign_Data[[#This Row],[ICA ($COP)]]+D.sign_Data[[#This Row],[4 * 1000 ($COP)]]</f>
        <v>63836.763542771012</v>
      </c>
    </row>
    <row r="1361" spans="1:33" ht="60" hidden="1" customHeight="1" x14ac:dyDescent="0.25">
      <c r="A1361" s="14"/>
      <c r="B1361" s="87" t="s">
        <v>418</v>
      </c>
      <c r="C1361" s="182" t="s">
        <v>1192</v>
      </c>
      <c r="D1361" s="189" t="s">
        <v>1178</v>
      </c>
      <c r="E1361" s="87" t="s">
        <v>497</v>
      </c>
      <c r="F1361" s="88" t="s">
        <v>1179</v>
      </c>
      <c r="G1361" s="88" t="s">
        <v>1180</v>
      </c>
      <c r="H1361" s="87" t="s">
        <v>1181</v>
      </c>
      <c r="I1361" s="92">
        <v>1</v>
      </c>
      <c r="J1361" s="238" t="s">
        <v>392</v>
      </c>
      <c r="K1361" s="229"/>
      <c r="L1361" s="239" t="s">
        <v>396</v>
      </c>
      <c r="M1361" s="239" t="s">
        <v>384</v>
      </c>
      <c r="N1361" s="240">
        <v>0.1</v>
      </c>
      <c r="O1361" s="27">
        <f>IFERROR(+VLOOKUP(M1361,D.sign_Lista_Data[[RESPONSABLE]:[SOFTWARE 
VALOR HORA]],3,FALSE),"0")</f>
        <v>22796.352583586624</v>
      </c>
      <c r="P1361" s="3">
        <f t="shared" si="52"/>
        <v>2279.6352583586627</v>
      </c>
      <c r="Q1361" s="11">
        <f>IFERROR(+VLOOKUP(M1361,D.sign_Lista_Data[[RESPONSABLE]:[SOFTWARE 
VALOR HORA]],5,FALSE)*D.sign_Data[[#This Row],[TIEMPO (HORAS)]],0)</f>
        <v>253.29280648429585</v>
      </c>
      <c r="R1361" s="11">
        <f>IFERROR(+VLOOKUP(M1361,D.sign_Lista_Data[[RESPONSABLE]:[SOFTWARE 
VALOR HORA]],8,FALSE)*D.sign_Data[[#This Row],[TIEMPO (HORAS)]],0)</f>
        <v>341.08548871439837</v>
      </c>
      <c r="S1361" s="99"/>
      <c r="T1361" s="99"/>
      <c r="U1361" s="3">
        <f t="shared" si="53"/>
        <v>2874.0135535573568</v>
      </c>
      <c r="V1361" s="100">
        <f>D.sign_Data[[#This Row],[TIEMPO (HORAS)]]*Gastos_Operativos[[#Totals],[GASTOS HORA]]</f>
        <v>2778.9477072310401</v>
      </c>
      <c r="W1361" s="3">
        <f>+D.sign_Data[[#This Row],[COSTO 
DIRECTO ($COP)]]+D.sign_Data[[#This Row],[PRORRATEO GASTOS ($COP)]]</f>
        <v>5652.9612607883973</v>
      </c>
      <c r="X1361" s="101">
        <v>0.05</v>
      </c>
      <c r="Y1361" s="15">
        <f>+D.sign_Data[[#This Row],[COSTOS OPERACIONALES ($COP)]]*D.sign_Data[[#This Row],[DESFASE (%)]]</f>
        <v>282.64806303941987</v>
      </c>
      <c r="Z1361" s="101">
        <v>0.15</v>
      </c>
      <c r="AA1361" s="15">
        <f>+((D.sign_Data[[#This Row],[COSTOS OPERACIONALES ($COP)]]/(100%-D.sign_Data[[#This Row],[UTILIDAD (%)]])))-D.sign_Data[[#This Row],[COSTOS OPERACIONALES ($COP)]]</f>
        <v>997.58139896265857</v>
      </c>
      <c r="AB1361" s="3">
        <f>+D.sign_Data[[#This Row],[COSTOS OPERACIONALES ($COP)]]+D.sign_Data[[#This Row],[DESFASE ($COP)]]+D.sign_Data[[#This Row],[UTILIDAD ($COP)]]</f>
        <v>6933.1907227904758</v>
      </c>
      <c r="AC1361" s="101">
        <v>0</v>
      </c>
      <c r="AD1361" s="15">
        <f>+D.sign_Data[[#This Row],[VALOR NETO ($COP)]]/(100%-D.sign_Data[[#This Row],[MARGEN DE NEGOCIACIÓN (%)]])-D.sign_Data[[#This Row],[VALOR NETO ($COP)]]</f>
        <v>0</v>
      </c>
      <c r="AE1361" s="15">
        <f>+(D.sign_Data[[#This Row],[VALOR NETO ($COP)]]+D.sign_Data[[#This Row],[NEGOCIACIÓN ($COP)]])*1%</f>
        <v>69.331907227904765</v>
      </c>
      <c r="AF1361" s="15">
        <f>+(D.sign_Data[[#This Row],[VALOR NETO ($COP)]]+D.sign_Data[[#This Row],[NEGOCIACIÓN ($COP)]])*1%</f>
        <v>69.331907227904765</v>
      </c>
      <c r="AG1361" s="3">
        <f>+D.sign_Data[[#This Row],[VALOR NETO ($COP)]]+D.sign_Data[[#This Row],[NEGOCIACIÓN ($COP)]]+D.sign_Data[[#This Row],[ICA ($COP)]]+D.sign_Data[[#This Row],[4 * 1000 ($COP)]]</f>
        <v>7071.854537246285</v>
      </c>
    </row>
    <row r="1362" spans="1:33" ht="60" hidden="1" customHeight="1" x14ac:dyDescent="0.25">
      <c r="A1362" s="14"/>
      <c r="B1362" s="87" t="s">
        <v>418</v>
      </c>
      <c r="C1362" s="182" t="s">
        <v>1192</v>
      </c>
      <c r="D1362" s="189" t="s">
        <v>1178</v>
      </c>
      <c r="E1362" s="87" t="s">
        <v>497</v>
      </c>
      <c r="F1362" s="88" t="s">
        <v>1179</v>
      </c>
      <c r="G1362" s="88" t="s">
        <v>1180</v>
      </c>
      <c r="H1362" s="87" t="s">
        <v>1181</v>
      </c>
      <c r="I1362" s="92">
        <v>1</v>
      </c>
      <c r="J1362" s="241" t="s">
        <v>392</v>
      </c>
      <c r="K1362" s="230"/>
      <c r="L1362" s="242" t="s">
        <v>397</v>
      </c>
      <c r="M1362" s="242" t="s">
        <v>384</v>
      </c>
      <c r="N1362" s="243">
        <v>0.1</v>
      </c>
      <c r="O1362" s="27">
        <f>IFERROR(+VLOOKUP(M1362,D.sign_Lista_Data[[RESPONSABLE]:[SOFTWARE 
VALOR HORA]],3,FALSE),"0")</f>
        <v>22796.352583586624</v>
      </c>
      <c r="P1362" s="3">
        <f t="shared" si="52"/>
        <v>2279.6352583586627</v>
      </c>
      <c r="Q1362" s="11">
        <f>IFERROR(+VLOOKUP(M1362,D.sign_Lista_Data[[RESPONSABLE]:[SOFTWARE 
VALOR HORA]],5,FALSE)*D.sign_Data[[#This Row],[TIEMPO (HORAS)]],0)</f>
        <v>253.29280648429585</v>
      </c>
      <c r="R1362" s="11">
        <f>IFERROR(+VLOOKUP(M1362,D.sign_Lista_Data[[RESPONSABLE]:[SOFTWARE 
VALOR HORA]],8,FALSE)*D.sign_Data[[#This Row],[TIEMPO (HORAS)]],0)</f>
        <v>341.08548871439837</v>
      </c>
      <c r="S1362" s="99"/>
      <c r="T1362" s="99"/>
      <c r="U1362" s="3">
        <f t="shared" si="53"/>
        <v>2874.0135535573568</v>
      </c>
      <c r="V1362" s="100">
        <f>D.sign_Data[[#This Row],[TIEMPO (HORAS)]]*Gastos_Operativos[[#Totals],[GASTOS HORA]]</f>
        <v>2778.9477072310401</v>
      </c>
      <c r="W1362" s="3">
        <f>+D.sign_Data[[#This Row],[COSTO 
DIRECTO ($COP)]]+D.sign_Data[[#This Row],[PRORRATEO GASTOS ($COP)]]</f>
        <v>5652.9612607883973</v>
      </c>
      <c r="X1362" s="101">
        <v>0.05</v>
      </c>
      <c r="Y1362" s="15">
        <f>+D.sign_Data[[#This Row],[COSTOS OPERACIONALES ($COP)]]*D.sign_Data[[#This Row],[DESFASE (%)]]</f>
        <v>282.64806303941987</v>
      </c>
      <c r="Z1362" s="101">
        <v>0.15</v>
      </c>
      <c r="AA1362" s="15">
        <f>+((D.sign_Data[[#This Row],[COSTOS OPERACIONALES ($COP)]]/(100%-D.sign_Data[[#This Row],[UTILIDAD (%)]])))-D.sign_Data[[#This Row],[COSTOS OPERACIONALES ($COP)]]</f>
        <v>997.58139896265857</v>
      </c>
      <c r="AB1362" s="3">
        <f>+D.sign_Data[[#This Row],[COSTOS OPERACIONALES ($COP)]]+D.sign_Data[[#This Row],[DESFASE ($COP)]]+D.sign_Data[[#This Row],[UTILIDAD ($COP)]]</f>
        <v>6933.1907227904758</v>
      </c>
      <c r="AC1362" s="101">
        <v>0</v>
      </c>
      <c r="AD1362" s="15">
        <f>+D.sign_Data[[#This Row],[VALOR NETO ($COP)]]/(100%-D.sign_Data[[#This Row],[MARGEN DE NEGOCIACIÓN (%)]])-D.sign_Data[[#This Row],[VALOR NETO ($COP)]]</f>
        <v>0</v>
      </c>
      <c r="AE1362" s="15">
        <f>+(D.sign_Data[[#This Row],[VALOR NETO ($COP)]]+D.sign_Data[[#This Row],[NEGOCIACIÓN ($COP)]])*1%</f>
        <v>69.331907227904765</v>
      </c>
      <c r="AF1362" s="15">
        <f>+(D.sign_Data[[#This Row],[VALOR NETO ($COP)]]+D.sign_Data[[#This Row],[NEGOCIACIÓN ($COP)]])*1%</f>
        <v>69.331907227904765</v>
      </c>
      <c r="AG1362" s="3">
        <f>+D.sign_Data[[#This Row],[VALOR NETO ($COP)]]+D.sign_Data[[#This Row],[NEGOCIACIÓN ($COP)]]+D.sign_Data[[#This Row],[ICA ($COP)]]+D.sign_Data[[#This Row],[4 * 1000 ($COP)]]</f>
        <v>7071.854537246285</v>
      </c>
    </row>
    <row r="1363" spans="1:33" ht="60" hidden="1" customHeight="1" x14ac:dyDescent="0.25">
      <c r="A1363" s="14"/>
      <c r="B1363" s="87" t="s">
        <v>418</v>
      </c>
      <c r="C1363" s="182" t="s">
        <v>1192</v>
      </c>
      <c r="D1363" s="189" t="s">
        <v>1178</v>
      </c>
      <c r="E1363" s="87" t="s">
        <v>497</v>
      </c>
      <c r="F1363" s="88" t="s">
        <v>1179</v>
      </c>
      <c r="G1363" s="88" t="s">
        <v>1180</v>
      </c>
      <c r="H1363" s="87" t="s">
        <v>1181</v>
      </c>
      <c r="I1363" s="92">
        <v>1</v>
      </c>
      <c r="J1363" s="241" t="s">
        <v>392</v>
      </c>
      <c r="K1363" s="230"/>
      <c r="L1363" s="242" t="s">
        <v>399</v>
      </c>
      <c r="M1363" s="236" t="s">
        <v>472</v>
      </c>
      <c r="N1363" s="243">
        <v>0.1</v>
      </c>
      <c r="O1363" s="27">
        <f>IFERROR(+VLOOKUP(M1363,D.sign_Lista_Data[[RESPONSABLE]:[SOFTWARE 
VALOR HORA]],3,FALSE),"0")</f>
        <v>17730.496453900709</v>
      </c>
      <c r="P1363" s="3">
        <f t="shared" si="52"/>
        <v>1773.049645390071</v>
      </c>
      <c r="Q1363" s="11">
        <f>IFERROR(+VLOOKUP(M1363,D.sign_Lista_Data[[RESPONSABLE]:[SOFTWARE 
VALOR HORA]],5,FALSE)*D.sign_Data[[#This Row],[TIEMPO (HORAS)]],0)</f>
        <v>337.72374197906112</v>
      </c>
      <c r="R1363" s="11">
        <f>IFERROR(+VLOOKUP(M1363,D.sign_Lista_Data[[RESPONSABLE]:[SOFTWARE 
VALOR HORA]],8,FALSE)*D.sign_Data[[#This Row],[TIEMPO (HORAS)]],0)</f>
        <v>341.08548871439837</v>
      </c>
      <c r="S1363" s="99"/>
      <c r="T1363" s="99"/>
      <c r="U1363" s="3">
        <f t="shared" si="53"/>
        <v>2451.8588760835305</v>
      </c>
      <c r="V1363" s="100">
        <f>D.sign_Data[[#This Row],[TIEMPO (HORAS)]]*Gastos_Operativos[[#Totals],[GASTOS HORA]]</f>
        <v>2778.9477072310401</v>
      </c>
      <c r="W1363" s="3">
        <f>+D.sign_Data[[#This Row],[COSTO 
DIRECTO ($COP)]]+D.sign_Data[[#This Row],[PRORRATEO GASTOS ($COP)]]</f>
        <v>5230.8065833145702</v>
      </c>
      <c r="X1363" s="101">
        <v>0.05</v>
      </c>
      <c r="Y1363" s="15">
        <f>+D.sign_Data[[#This Row],[COSTOS OPERACIONALES ($COP)]]*D.sign_Data[[#This Row],[DESFASE (%)]]</f>
        <v>261.54032916572851</v>
      </c>
      <c r="Z1363" s="101">
        <v>0.15</v>
      </c>
      <c r="AA1363" s="15">
        <f>+((D.sign_Data[[#This Row],[COSTOS OPERACIONALES ($COP)]]/(100%-D.sign_Data[[#This Row],[UTILIDAD (%)]])))-D.sign_Data[[#This Row],[COSTOS OPERACIONALES ($COP)]]</f>
        <v>923.08351470257094</v>
      </c>
      <c r="AB1363" s="3">
        <f>+D.sign_Data[[#This Row],[COSTOS OPERACIONALES ($COP)]]+D.sign_Data[[#This Row],[DESFASE ($COP)]]+D.sign_Data[[#This Row],[UTILIDAD ($COP)]]</f>
        <v>6415.4304271828696</v>
      </c>
      <c r="AC1363" s="101">
        <v>0</v>
      </c>
      <c r="AD1363" s="15">
        <f>+D.sign_Data[[#This Row],[VALOR NETO ($COP)]]/(100%-D.sign_Data[[#This Row],[MARGEN DE NEGOCIACIÓN (%)]])-D.sign_Data[[#This Row],[VALOR NETO ($COP)]]</f>
        <v>0</v>
      </c>
      <c r="AE1363" s="15">
        <f>+(D.sign_Data[[#This Row],[VALOR NETO ($COP)]]+D.sign_Data[[#This Row],[NEGOCIACIÓN ($COP)]])*1%</f>
        <v>64.154304271828693</v>
      </c>
      <c r="AF1363" s="15">
        <f>+(D.sign_Data[[#This Row],[VALOR NETO ($COP)]]+D.sign_Data[[#This Row],[NEGOCIACIÓN ($COP)]])*1%</f>
        <v>64.154304271828693</v>
      </c>
      <c r="AG1363" s="3">
        <f>+D.sign_Data[[#This Row],[VALOR NETO ($COP)]]+D.sign_Data[[#This Row],[NEGOCIACIÓN ($COP)]]+D.sign_Data[[#This Row],[ICA ($COP)]]+D.sign_Data[[#This Row],[4 * 1000 ($COP)]]</f>
        <v>6543.7390357265267</v>
      </c>
    </row>
    <row r="1364" spans="1:33" ht="60" hidden="1" customHeight="1" x14ac:dyDescent="0.25">
      <c r="A1364" s="14"/>
      <c r="B1364" s="87" t="s">
        <v>418</v>
      </c>
      <c r="C1364" s="182" t="s">
        <v>1192</v>
      </c>
      <c r="D1364" s="189" t="s">
        <v>1178</v>
      </c>
      <c r="E1364" s="87" t="s">
        <v>497</v>
      </c>
      <c r="F1364" s="88" t="s">
        <v>1179</v>
      </c>
      <c r="G1364" s="88" t="s">
        <v>1180</v>
      </c>
      <c r="H1364" s="87" t="s">
        <v>1181</v>
      </c>
      <c r="I1364" s="92">
        <v>1</v>
      </c>
      <c r="J1364" s="241" t="s">
        <v>392</v>
      </c>
      <c r="K1364" s="230"/>
      <c r="L1364" s="242" t="s">
        <v>394</v>
      </c>
      <c r="M1364" s="244" t="s">
        <v>384</v>
      </c>
      <c r="N1364" s="243">
        <v>0.2</v>
      </c>
      <c r="O1364" s="27">
        <f>IFERROR(+VLOOKUP(M1364,D.sign_Lista_Data[[RESPONSABLE]:[SOFTWARE 
VALOR HORA]],3,FALSE),"0")</f>
        <v>22796.352583586624</v>
      </c>
      <c r="P1364" s="3">
        <f t="shared" si="52"/>
        <v>4559.2705167173253</v>
      </c>
      <c r="Q1364" s="11">
        <f>IFERROR(+VLOOKUP(M1364,D.sign_Lista_Data[[RESPONSABLE]:[SOFTWARE 
VALOR HORA]],5,FALSE)*D.sign_Data[[#This Row],[TIEMPO (HORAS)]],0)</f>
        <v>506.5856129685917</v>
      </c>
      <c r="R1364" s="11">
        <f>IFERROR(+VLOOKUP(M1364,D.sign_Lista_Data[[RESPONSABLE]:[SOFTWARE 
VALOR HORA]],8,FALSE)*D.sign_Data[[#This Row],[TIEMPO (HORAS)]],0)</f>
        <v>682.17097742879673</v>
      </c>
      <c r="S1364" s="99"/>
      <c r="T1364" s="99"/>
      <c r="U1364" s="3">
        <f t="shared" si="53"/>
        <v>5748.0271071147135</v>
      </c>
      <c r="V1364" s="100">
        <f>D.sign_Data[[#This Row],[TIEMPO (HORAS)]]*Gastos_Operativos[[#Totals],[GASTOS HORA]]</f>
        <v>5557.8954144620802</v>
      </c>
      <c r="W1364" s="3">
        <f>+D.sign_Data[[#This Row],[COSTO 
DIRECTO ($COP)]]+D.sign_Data[[#This Row],[PRORRATEO GASTOS ($COP)]]</f>
        <v>11305.922521576795</v>
      </c>
      <c r="X1364" s="101">
        <v>0.05</v>
      </c>
      <c r="Y1364" s="15">
        <f>+D.sign_Data[[#This Row],[COSTOS OPERACIONALES ($COP)]]*D.sign_Data[[#This Row],[DESFASE (%)]]</f>
        <v>565.29612607883973</v>
      </c>
      <c r="Z1364" s="101">
        <v>0.15</v>
      </c>
      <c r="AA1364" s="15">
        <f>+((D.sign_Data[[#This Row],[COSTOS OPERACIONALES ($COP)]]/(100%-D.sign_Data[[#This Row],[UTILIDAD (%)]])))-D.sign_Data[[#This Row],[COSTOS OPERACIONALES ($COP)]]</f>
        <v>1995.1627979253171</v>
      </c>
      <c r="AB1364" s="3">
        <f>+D.sign_Data[[#This Row],[COSTOS OPERACIONALES ($COP)]]+D.sign_Data[[#This Row],[DESFASE ($COP)]]+D.sign_Data[[#This Row],[UTILIDAD ($COP)]]</f>
        <v>13866.381445580952</v>
      </c>
      <c r="AC1364" s="101">
        <v>0</v>
      </c>
      <c r="AD1364" s="15">
        <f>+D.sign_Data[[#This Row],[VALOR NETO ($COP)]]/(100%-D.sign_Data[[#This Row],[MARGEN DE NEGOCIACIÓN (%)]])-D.sign_Data[[#This Row],[VALOR NETO ($COP)]]</f>
        <v>0</v>
      </c>
      <c r="AE1364" s="15">
        <f>+(D.sign_Data[[#This Row],[VALOR NETO ($COP)]]+D.sign_Data[[#This Row],[NEGOCIACIÓN ($COP)]])*1%</f>
        <v>138.66381445580953</v>
      </c>
      <c r="AF1364" s="15">
        <f>+(D.sign_Data[[#This Row],[VALOR NETO ($COP)]]+D.sign_Data[[#This Row],[NEGOCIACIÓN ($COP)]])*1%</f>
        <v>138.66381445580953</v>
      </c>
      <c r="AG1364" s="3">
        <f>+D.sign_Data[[#This Row],[VALOR NETO ($COP)]]+D.sign_Data[[#This Row],[NEGOCIACIÓN ($COP)]]+D.sign_Data[[#This Row],[ICA ($COP)]]+D.sign_Data[[#This Row],[4 * 1000 ($COP)]]</f>
        <v>14143.70907449257</v>
      </c>
    </row>
    <row r="1365" spans="1:33" ht="60" hidden="1" customHeight="1" x14ac:dyDescent="0.25">
      <c r="A1365" s="14"/>
      <c r="B1365" s="87" t="s">
        <v>418</v>
      </c>
      <c r="C1365" s="182" t="s">
        <v>1192</v>
      </c>
      <c r="D1365" s="189" t="s">
        <v>1178</v>
      </c>
      <c r="E1365" s="87" t="s">
        <v>497</v>
      </c>
      <c r="F1365" s="88" t="s">
        <v>1179</v>
      </c>
      <c r="G1365" s="88" t="s">
        <v>1180</v>
      </c>
      <c r="H1365" s="87" t="s">
        <v>1181</v>
      </c>
      <c r="I1365" s="92">
        <v>1</v>
      </c>
      <c r="J1365" s="241" t="s">
        <v>392</v>
      </c>
      <c r="K1365" s="230"/>
      <c r="L1365" s="242" t="s">
        <v>395</v>
      </c>
      <c r="M1365" s="236" t="s">
        <v>472</v>
      </c>
      <c r="N1365" s="243">
        <v>0.2</v>
      </c>
      <c r="O1365" s="27">
        <f>IFERROR(+VLOOKUP(M1365,D.sign_Lista_Data[[RESPONSABLE]:[SOFTWARE 
VALOR HORA]],3,FALSE),"0")</f>
        <v>17730.496453900709</v>
      </c>
      <c r="P1365" s="3">
        <f t="shared" si="52"/>
        <v>3546.0992907801419</v>
      </c>
      <c r="Q1365" s="11">
        <f>IFERROR(+VLOOKUP(M1365,D.sign_Lista_Data[[RESPONSABLE]:[SOFTWARE 
VALOR HORA]],5,FALSE)*D.sign_Data[[#This Row],[TIEMPO (HORAS)]],0)</f>
        <v>675.44748395812223</v>
      </c>
      <c r="R1365" s="11">
        <f>IFERROR(+VLOOKUP(M1365,D.sign_Lista_Data[[RESPONSABLE]:[SOFTWARE 
VALOR HORA]],8,FALSE)*D.sign_Data[[#This Row],[TIEMPO (HORAS)]],0)</f>
        <v>682.17097742879673</v>
      </c>
      <c r="S1365" s="99"/>
      <c r="T1365" s="99"/>
      <c r="U1365" s="3">
        <f t="shared" si="53"/>
        <v>4903.717752167061</v>
      </c>
      <c r="V1365" s="100">
        <f>D.sign_Data[[#This Row],[TIEMPO (HORAS)]]*Gastos_Operativos[[#Totals],[GASTOS HORA]]</f>
        <v>5557.8954144620802</v>
      </c>
      <c r="W1365" s="3">
        <f>+D.sign_Data[[#This Row],[COSTO 
DIRECTO ($COP)]]+D.sign_Data[[#This Row],[PRORRATEO GASTOS ($COP)]]</f>
        <v>10461.61316662914</v>
      </c>
      <c r="X1365" s="101">
        <v>0.05</v>
      </c>
      <c r="Y1365" s="15">
        <f>+D.sign_Data[[#This Row],[COSTOS OPERACIONALES ($COP)]]*D.sign_Data[[#This Row],[DESFASE (%)]]</f>
        <v>523.08065833145702</v>
      </c>
      <c r="Z1365" s="101">
        <v>0.15</v>
      </c>
      <c r="AA1365" s="15">
        <f>+((D.sign_Data[[#This Row],[COSTOS OPERACIONALES ($COP)]]/(100%-D.sign_Data[[#This Row],[UTILIDAD (%)]])))-D.sign_Data[[#This Row],[COSTOS OPERACIONALES ($COP)]]</f>
        <v>1846.1670294051419</v>
      </c>
      <c r="AB1365" s="3">
        <f>+D.sign_Data[[#This Row],[COSTOS OPERACIONALES ($COP)]]+D.sign_Data[[#This Row],[DESFASE ($COP)]]+D.sign_Data[[#This Row],[UTILIDAD ($COP)]]</f>
        <v>12830.860854365739</v>
      </c>
      <c r="AC1365" s="101">
        <v>0</v>
      </c>
      <c r="AD1365" s="15">
        <f>+D.sign_Data[[#This Row],[VALOR NETO ($COP)]]/(100%-D.sign_Data[[#This Row],[MARGEN DE NEGOCIACIÓN (%)]])-D.sign_Data[[#This Row],[VALOR NETO ($COP)]]</f>
        <v>0</v>
      </c>
      <c r="AE1365" s="15">
        <f>+(D.sign_Data[[#This Row],[VALOR NETO ($COP)]]+D.sign_Data[[#This Row],[NEGOCIACIÓN ($COP)]])*1%</f>
        <v>128.30860854365739</v>
      </c>
      <c r="AF1365" s="15">
        <f>+(D.sign_Data[[#This Row],[VALOR NETO ($COP)]]+D.sign_Data[[#This Row],[NEGOCIACIÓN ($COP)]])*1%</f>
        <v>128.30860854365739</v>
      </c>
      <c r="AG1365" s="3">
        <f>+D.sign_Data[[#This Row],[VALOR NETO ($COP)]]+D.sign_Data[[#This Row],[NEGOCIACIÓN ($COP)]]+D.sign_Data[[#This Row],[ICA ($COP)]]+D.sign_Data[[#This Row],[4 * 1000 ($COP)]]</f>
        <v>13087.478071453053</v>
      </c>
    </row>
    <row r="1366" spans="1:33" ht="60" hidden="1" customHeight="1" x14ac:dyDescent="0.25">
      <c r="A1366" s="14"/>
      <c r="B1366" s="87" t="s">
        <v>418</v>
      </c>
      <c r="C1366" s="182" t="s">
        <v>1192</v>
      </c>
      <c r="D1366" s="189" t="s">
        <v>1178</v>
      </c>
      <c r="E1366" s="87" t="s">
        <v>497</v>
      </c>
      <c r="F1366" s="88" t="s">
        <v>1179</v>
      </c>
      <c r="G1366" s="88" t="s">
        <v>1180</v>
      </c>
      <c r="H1366" s="87" t="s">
        <v>1181</v>
      </c>
      <c r="I1366" s="92">
        <v>1</v>
      </c>
      <c r="J1366" s="241" t="s">
        <v>392</v>
      </c>
      <c r="K1366" s="230"/>
      <c r="L1366" s="242" t="s">
        <v>398</v>
      </c>
      <c r="M1366" s="236" t="s">
        <v>472</v>
      </c>
      <c r="N1366" s="243">
        <v>0.1</v>
      </c>
      <c r="O1366" s="27">
        <f>IFERROR(+VLOOKUP(M1366,D.sign_Lista_Data[[RESPONSABLE]:[SOFTWARE 
VALOR HORA]],3,FALSE),"0")</f>
        <v>17730.496453900709</v>
      </c>
      <c r="P1366" s="3">
        <f t="shared" si="52"/>
        <v>1773.049645390071</v>
      </c>
      <c r="Q1366" s="11">
        <f>IFERROR(+VLOOKUP(M1366,D.sign_Lista_Data[[RESPONSABLE]:[SOFTWARE 
VALOR HORA]],5,FALSE)*D.sign_Data[[#This Row],[TIEMPO (HORAS)]],0)</f>
        <v>337.72374197906112</v>
      </c>
      <c r="R1366" s="11">
        <f>IFERROR(+VLOOKUP(M1366,D.sign_Lista_Data[[RESPONSABLE]:[SOFTWARE 
VALOR HORA]],8,FALSE)*D.sign_Data[[#This Row],[TIEMPO (HORAS)]],0)</f>
        <v>341.08548871439837</v>
      </c>
      <c r="S1366" s="99"/>
      <c r="T1366" s="99"/>
      <c r="U1366" s="3">
        <f t="shared" si="53"/>
        <v>2451.8588760835305</v>
      </c>
      <c r="V1366" s="100">
        <f>D.sign_Data[[#This Row],[TIEMPO (HORAS)]]*Gastos_Operativos[[#Totals],[GASTOS HORA]]</f>
        <v>2778.9477072310401</v>
      </c>
      <c r="W1366" s="3">
        <f>+D.sign_Data[[#This Row],[COSTO 
DIRECTO ($COP)]]+D.sign_Data[[#This Row],[PRORRATEO GASTOS ($COP)]]</f>
        <v>5230.8065833145702</v>
      </c>
      <c r="X1366" s="101">
        <v>0.05</v>
      </c>
      <c r="Y1366" s="15">
        <f>+D.sign_Data[[#This Row],[COSTOS OPERACIONALES ($COP)]]*D.sign_Data[[#This Row],[DESFASE (%)]]</f>
        <v>261.54032916572851</v>
      </c>
      <c r="Z1366" s="101">
        <v>0.15</v>
      </c>
      <c r="AA1366" s="15">
        <f>+((D.sign_Data[[#This Row],[COSTOS OPERACIONALES ($COP)]]/(100%-D.sign_Data[[#This Row],[UTILIDAD (%)]])))-D.sign_Data[[#This Row],[COSTOS OPERACIONALES ($COP)]]</f>
        <v>923.08351470257094</v>
      </c>
      <c r="AB1366" s="3">
        <f>+D.sign_Data[[#This Row],[COSTOS OPERACIONALES ($COP)]]+D.sign_Data[[#This Row],[DESFASE ($COP)]]+D.sign_Data[[#This Row],[UTILIDAD ($COP)]]</f>
        <v>6415.4304271828696</v>
      </c>
      <c r="AC1366" s="101">
        <v>0</v>
      </c>
      <c r="AD1366" s="15">
        <f>+D.sign_Data[[#This Row],[VALOR NETO ($COP)]]/(100%-D.sign_Data[[#This Row],[MARGEN DE NEGOCIACIÓN (%)]])-D.sign_Data[[#This Row],[VALOR NETO ($COP)]]</f>
        <v>0</v>
      </c>
      <c r="AE1366" s="15">
        <f>+(D.sign_Data[[#This Row],[VALOR NETO ($COP)]]+D.sign_Data[[#This Row],[NEGOCIACIÓN ($COP)]])*1%</f>
        <v>64.154304271828693</v>
      </c>
      <c r="AF1366" s="15">
        <f>+(D.sign_Data[[#This Row],[VALOR NETO ($COP)]]+D.sign_Data[[#This Row],[NEGOCIACIÓN ($COP)]])*1%</f>
        <v>64.154304271828693</v>
      </c>
      <c r="AG1366" s="3">
        <f>+D.sign_Data[[#This Row],[VALOR NETO ($COP)]]+D.sign_Data[[#This Row],[NEGOCIACIÓN ($COP)]]+D.sign_Data[[#This Row],[ICA ($COP)]]+D.sign_Data[[#This Row],[4 * 1000 ($COP)]]</f>
        <v>6543.7390357265267</v>
      </c>
    </row>
    <row r="1367" spans="1:33" ht="60" hidden="1" customHeight="1" x14ac:dyDescent="0.25">
      <c r="A1367" s="14"/>
      <c r="B1367" s="87" t="s">
        <v>418</v>
      </c>
      <c r="C1367" s="182" t="s">
        <v>1192</v>
      </c>
      <c r="D1367" s="189" t="s">
        <v>1178</v>
      </c>
      <c r="E1367" s="87" t="s">
        <v>497</v>
      </c>
      <c r="F1367" s="88" t="s">
        <v>1179</v>
      </c>
      <c r="G1367" s="88" t="s">
        <v>1180</v>
      </c>
      <c r="H1367" s="87" t="s">
        <v>1181</v>
      </c>
      <c r="I1367" s="92">
        <v>1</v>
      </c>
      <c r="J1367" s="241" t="s">
        <v>392</v>
      </c>
      <c r="K1367" s="230"/>
      <c r="L1367" s="242" t="s">
        <v>393</v>
      </c>
      <c r="M1367" s="236" t="s">
        <v>472</v>
      </c>
      <c r="N1367" s="243">
        <v>0.1</v>
      </c>
      <c r="O1367" s="27">
        <f>IFERROR(+VLOOKUP(M1367,D.sign_Lista_Data[[RESPONSABLE]:[SOFTWARE 
VALOR HORA]],3,FALSE),"0")</f>
        <v>17730.496453900709</v>
      </c>
      <c r="P1367" s="3">
        <f t="shared" si="52"/>
        <v>1773.049645390071</v>
      </c>
      <c r="Q1367" s="11">
        <f>IFERROR(+VLOOKUP(M1367,D.sign_Lista_Data[[RESPONSABLE]:[SOFTWARE 
VALOR HORA]],5,FALSE)*D.sign_Data[[#This Row],[TIEMPO (HORAS)]],0)</f>
        <v>337.72374197906112</v>
      </c>
      <c r="R1367" s="11">
        <f>IFERROR(+VLOOKUP(M1367,D.sign_Lista_Data[[RESPONSABLE]:[SOFTWARE 
VALOR HORA]],8,FALSE)*D.sign_Data[[#This Row],[TIEMPO (HORAS)]],0)</f>
        <v>341.08548871439837</v>
      </c>
      <c r="S1367" s="99"/>
      <c r="T1367" s="99"/>
      <c r="U1367" s="3">
        <f t="shared" si="53"/>
        <v>2451.8588760835305</v>
      </c>
      <c r="V1367" s="100">
        <f>D.sign_Data[[#This Row],[TIEMPO (HORAS)]]*Gastos_Operativos[[#Totals],[GASTOS HORA]]</f>
        <v>2778.9477072310401</v>
      </c>
      <c r="W1367" s="3">
        <f>+D.sign_Data[[#This Row],[COSTO 
DIRECTO ($COP)]]+D.sign_Data[[#This Row],[PRORRATEO GASTOS ($COP)]]</f>
        <v>5230.8065833145702</v>
      </c>
      <c r="X1367" s="101">
        <v>0.05</v>
      </c>
      <c r="Y1367" s="15">
        <f>+D.sign_Data[[#This Row],[COSTOS OPERACIONALES ($COP)]]*D.sign_Data[[#This Row],[DESFASE (%)]]</f>
        <v>261.54032916572851</v>
      </c>
      <c r="Z1367" s="101">
        <v>0.15</v>
      </c>
      <c r="AA1367" s="15">
        <f>+((D.sign_Data[[#This Row],[COSTOS OPERACIONALES ($COP)]]/(100%-D.sign_Data[[#This Row],[UTILIDAD (%)]])))-D.sign_Data[[#This Row],[COSTOS OPERACIONALES ($COP)]]</f>
        <v>923.08351470257094</v>
      </c>
      <c r="AB1367" s="3">
        <f>+D.sign_Data[[#This Row],[COSTOS OPERACIONALES ($COP)]]+D.sign_Data[[#This Row],[DESFASE ($COP)]]+D.sign_Data[[#This Row],[UTILIDAD ($COP)]]</f>
        <v>6415.4304271828696</v>
      </c>
      <c r="AC1367" s="101">
        <v>0</v>
      </c>
      <c r="AD1367" s="15">
        <f>+D.sign_Data[[#This Row],[VALOR NETO ($COP)]]/(100%-D.sign_Data[[#This Row],[MARGEN DE NEGOCIACIÓN (%)]])-D.sign_Data[[#This Row],[VALOR NETO ($COP)]]</f>
        <v>0</v>
      </c>
      <c r="AE1367" s="15">
        <f>+(D.sign_Data[[#This Row],[VALOR NETO ($COP)]]+D.sign_Data[[#This Row],[NEGOCIACIÓN ($COP)]])*1%</f>
        <v>64.154304271828693</v>
      </c>
      <c r="AF1367" s="15">
        <f>+(D.sign_Data[[#This Row],[VALOR NETO ($COP)]]+D.sign_Data[[#This Row],[NEGOCIACIÓN ($COP)]])*1%</f>
        <v>64.154304271828693</v>
      </c>
      <c r="AG1367" s="3">
        <f>+D.sign_Data[[#This Row],[VALOR NETO ($COP)]]+D.sign_Data[[#This Row],[NEGOCIACIÓN ($COP)]]+D.sign_Data[[#This Row],[ICA ($COP)]]+D.sign_Data[[#This Row],[4 * 1000 ($COP)]]</f>
        <v>6543.7390357265267</v>
      </c>
    </row>
    <row r="1368" spans="1:33" ht="60" hidden="1" customHeight="1" x14ac:dyDescent="0.25">
      <c r="A1368" s="14"/>
      <c r="B1368" s="87" t="s">
        <v>418</v>
      </c>
      <c r="C1368" s="182" t="s">
        <v>1192</v>
      </c>
      <c r="D1368" s="189" t="s">
        <v>1178</v>
      </c>
      <c r="E1368" s="87" t="s">
        <v>497</v>
      </c>
      <c r="F1368" s="88" t="s">
        <v>1179</v>
      </c>
      <c r="G1368" s="88" t="s">
        <v>1180</v>
      </c>
      <c r="H1368" s="87" t="s">
        <v>1181</v>
      </c>
      <c r="I1368" s="92">
        <v>1</v>
      </c>
      <c r="J1368" s="241" t="s">
        <v>392</v>
      </c>
      <c r="K1368" s="230"/>
      <c r="L1368" s="242" t="s">
        <v>400</v>
      </c>
      <c r="M1368" s="236" t="s">
        <v>472</v>
      </c>
      <c r="N1368" s="243">
        <v>0.1</v>
      </c>
      <c r="O1368" s="27">
        <f>IFERROR(+VLOOKUP(M1368,D.sign_Lista_Data[[RESPONSABLE]:[SOFTWARE 
VALOR HORA]],3,FALSE),"0")</f>
        <v>17730.496453900709</v>
      </c>
      <c r="P1368" s="3">
        <f t="shared" si="52"/>
        <v>1773.049645390071</v>
      </c>
      <c r="Q1368" s="11">
        <f>IFERROR(+VLOOKUP(M1368,D.sign_Lista_Data[[RESPONSABLE]:[SOFTWARE 
VALOR HORA]],5,FALSE)*D.sign_Data[[#This Row],[TIEMPO (HORAS)]],0)</f>
        <v>337.72374197906112</v>
      </c>
      <c r="R1368" s="11">
        <f>IFERROR(+VLOOKUP(M1368,D.sign_Lista_Data[[RESPONSABLE]:[SOFTWARE 
VALOR HORA]],8,FALSE)*D.sign_Data[[#This Row],[TIEMPO (HORAS)]],0)</f>
        <v>341.08548871439837</v>
      </c>
      <c r="S1368" s="99"/>
      <c r="T1368" s="99"/>
      <c r="U1368" s="3">
        <f t="shared" si="53"/>
        <v>2451.8588760835305</v>
      </c>
      <c r="V1368" s="100">
        <f>D.sign_Data[[#This Row],[TIEMPO (HORAS)]]*Gastos_Operativos[[#Totals],[GASTOS HORA]]</f>
        <v>2778.9477072310401</v>
      </c>
      <c r="W1368" s="3">
        <f>+D.sign_Data[[#This Row],[COSTO 
DIRECTO ($COP)]]+D.sign_Data[[#This Row],[PRORRATEO GASTOS ($COP)]]</f>
        <v>5230.8065833145702</v>
      </c>
      <c r="X1368" s="101">
        <v>0.05</v>
      </c>
      <c r="Y1368" s="15">
        <f>+D.sign_Data[[#This Row],[COSTOS OPERACIONALES ($COP)]]*D.sign_Data[[#This Row],[DESFASE (%)]]</f>
        <v>261.54032916572851</v>
      </c>
      <c r="Z1368" s="101">
        <v>0.15</v>
      </c>
      <c r="AA1368" s="15">
        <f>+((D.sign_Data[[#This Row],[COSTOS OPERACIONALES ($COP)]]/(100%-D.sign_Data[[#This Row],[UTILIDAD (%)]])))-D.sign_Data[[#This Row],[COSTOS OPERACIONALES ($COP)]]</f>
        <v>923.08351470257094</v>
      </c>
      <c r="AB1368" s="3">
        <f>+D.sign_Data[[#This Row],[COSTOS OPERACIONALES ($COP)]]+D.sign_Data[[#This Row],[DESFASE ($COP)]]+D.sign_Data[[#This Row],[UTILIDAD ($COP)]]</f>
        <v>6415.4304271828696</v>
      </c>
      <c r="AC1368" s="101">
        <v>0</v>
      </c>
      <c r="AD1368" s="15">
        <f>+D.sign_Data[[#This Row],[VALOR NETO ($COP)]]/(100%-D.sign_Data[[#This Row],[MARGEN DE NEGOCIACIÓN (%)]])-D.sign_Data[[#This Row],[VALOR NETO ($COP)]]</f>
        <v>0</v>
      </c>
      <c r="AE1368" s="15">
        <f>+(D.sign_Data[[#This Row],[VALOR NETO ($COP)]]+D.sign_Data[[#This Row],[NEGOCIACIÓN ($COP)]])*1%</f>
        <v>64.154304271828693</v>
      </c>
      <c r="AF1368" s="15">
        <f>+(D.sign_Data[[#This Row],[VALOR NETO ($COP)]]+D.sign_Data[[#This Row],[NEGOCIACIÓN ($COP)]])*1%</f>
        <v>64.154304271828693</v>
      </c>
      <c r="AG1368" s="3">
        <f>+D.sign_Data[[#This Row],[VALOR NETO ($COP)]]+D.sign_Data[[#This Row],[NEGOCIACIÓN ($COP)]]+D.sign_Data[[#This Row],[ICA ($COP)]]+D.sign_Data[[#This Row],[4 * 1000 ($COP)]]</f>
        <v>6543.7390357265267</v>
      </c>
    </row>
    <row r="1369" spans="1:33" ht="60" hidden="1" customHeight="1" x14ac:dyDescent="0.25">
      <c r="A1369" s="14"/>
      <c r="B1369" s="87" t="s">
        <v>418</v>
      </c>
      <c r="C1369" s="182" t="s">
        <v>1192</v>
      </c>
      <c r="D1369" s="189" t="s">
        <v>1178</v>
      </c>
      <c r="E1369" s="87" t="s">
        <v>497</v>
      </c>
      <c r="F1369" s="88" t="s">
        <v>1179</v>
      </c>
      <c r="G1369" s="88" t="s">
        <v>1180</v>
      </c>
      <c r="H1369" s="87" t="s">
        <v>1181</v>
      </c>
      <c r="I1369" s="92">
        <v>1</v>
      </c>
      <c r="J1369" s="241" t="s">
        <v>392</v>
      </c>
      <c r="K1369" s="230"/>
      <c r="L1369" s="242" t="s">
        <v>414</v>
      </c>
      <c r="M1369" s="242" t="s">
        <v>384</v>
      </c>
      <c r="N1369" s="243">
        <v>0.5</v>
      </c>
      <c r="O1369" s="27">
        <f>IFERROR(+VLOOKUP(M1369,D.sign_Lista_Data[[RESPONSABLE]:[SOFTWARE 
VALOR HORA]],3,FALSE),"0")</f>
        <v>22796.352583586624</v>
      </c>
      <c r="P1369" s="3">
        <f t="shared" si="52"/>
        <v>11398.176291793312</v>
      </c>
      <c r="Q1369" s="11">
        <f>IFERROR(+VLOOKUP(M1369,D.sign_Lista_Data[[RESPONSABLE]:[SOFTWARE 
VALOR HORA]],5,FALSE)*D.sign_Data[[#This Row],[TIEMPO (HORAS)]],0)</f>
        <v>1266.4640324214793</v>
      </c>
      <c r="R1369" s="11">
        <f>IFERROR(+VLOOKUP(M1369,D.sign_Lista_Data[[RESPONSABLE]:[SOFTWARE 
VALOR HORA]],8,FALSE)*D.sign_Data[[#This Row],[TIEMPO (HORAS)]],0)</f>
        <v>1705.4274435719917</v>
      </c>
      <c r="S1369" s="99"/>
      <c r="T1369" s="99"/>
      <c r="U1369" s="3">
        <f t="shared" si="53"/>
        <v>14370.067767786782</v>
      </c>
      <c r="V1369" s="100">
        <f>D.sign_Data[[#This Row],[TIEMPO (HORAS)]]*Gastos_Operativos[[#Totals],[GASTOS HORA]]</f>
        <v>13894.738536155201</v>
      </c>
      <c r="W1369" s="3">
        <f>+D.sign_Data[[#This Row],[COSTO 
DIRECTO ($COP)]]+D.sign_Data[[#This Row],[PRORRATEO GASTOS ($COP)]]</f>
        <v>28264.806303941983</v>
      </c>
      <c r="X1369" s="101">
        <v>0.05</v>
      </c>
      <c r="Y1369" s="15">
        <f>+D.sign_Data[[#This Row],[COSTOS OPERACIONALES ($COP)]]*D.sign_Data[[#This Row],[DESFASE (%)]]</f>
        <v>1413.2403151970993</v>
      </c>
      <c r="Z1369" s="101">
        <v>0.15</v>
      </c>
      <c r="AA1369" s="15">
        <f>+((D.sign_Data[[#This Row],[COSTOS OPERACIONALES ($COP)]]/(100%-D.sign_Data[[#This Row],[UTILIDAD (%)]])))-D.sign_Data[[#This Row],[COSTOS OPERACIONALES ($COP)]]</f>
        <v>4987.9069948132928</v>
      </c>
      <c r="AB1369" s="3">
        <f>+D.sign_Data[[#This Row],[COSTOS OPERACIONALES ($COP)]]+D.sign_Data[[#This Row],[DESFASE ($COP)]]+D.sign_Data[[#This Row],[UTILIDAD ($COP)]]</f>
        <v>34665.95361395237</v>
      </c>
      <c r="AC1369" s="101">
        <v>0</v>
      </c>
      <c r="AD1369" s="15">
        <f>+D.sign_Data[[#This Row],[VALOR NETO ($COP)]]/(100%-D.sign_Data[[#This Row],[MARGEN DE NEGOCIACIÓN (%)]])-D.sign_Data[[#This Row],[VALOR NETO ($COP)]]</f>
        <v>0</v>
      </c>
      <c r="AE1369" s="15">
        <f>+(D.sign_Data[[#This Row],[VALOR NETO ($COP)]]+D.sign_Data[[#This Row],[NEGOCIACIÓN ($COP)]])*1%</f>
        <v>346.65953613952371</v>
      </c>
      <c r="AF1369" s="15">
        <f>+(D.sign_Data[[#This Row],[VALOR NETO ($COP)]]+D.sign_Data[[#This Row],[NEGOCIACIÓN ($COP)]])*1%</f>
        <v>346.65953613952371</v>
      </c>
      <c r="AG1369" s="3">
        <f>+D.sign_Data[[#This Row],[VALOR NETO ($COP)]]+D.sign_Data[[#This Row],[NEGOCIACIÓN ($COP)]]+D.sign_Data[[#This Row],[ICA ($COP)]]+D.sign_Data[[#This Row],[4 * 1000 ($COP)]]</f>
        <v>35359.272686231416</v>
      </c>
    </row>
    <row r="1370" spans="1:33" ht="60" hidden="1" customHeight="1" x14ac:dyDescent="0.25">
      <c r="A1370" s="14"/>
      <c r="B1370" s="87" t="s">
        <v>418</v>
      </c>
      <c r="C1370" s="182" t="s">
        <v>1192</v>
      </c>
      <c r="D1370" s="189" t="s">
        <v>1178</v>
      </c>
      <c r="E1370" s="87" t="s">
        <v>497</v>
      </c>
      <c r="F1370" s="88" t="s">
        <v>1179</v>
      </c>
      <c r="G1370" s="88" t="s">
        <v>1180</v>
      </c>
      <c r="H1370" s="87" t="s">
        <v>1181</v>
      </c>
      <c r="I1370" s="92">
        <v>1</v>
      </c>
      <c r="J1370" s="241" t="s">
        <v>404</v>
      </c>
      <c r="K1370" s="230"/>
      <c r="L1370" s="242" t="s">
        <v>408</v>
      </c>
      <c r="M1370" s="236" t="s">
        <v>472</v>
      </c>
      <c r="N1370" s="243">
        <v>0.2</v>
      </c>
      <c r="O1370" s="27">
        <f>IFERROR(+VLOOKUP(M1370,D.sign_Lista_Data[[RESPONSABLE]:[SOFTWARE 
VALOR HORA]],3,FALSE),"0")</f>
        <v>17730.496453900709</v>
      </c>
      <c r="P1370" s="3">
        <f t="shared" si="52"/>
        <v>3546.0992907801419</v>
      </c>
      <c r="Q1370" s="11">
        <f>IFERROR(+VLOOKUP(M1370,D.sign_Lista_Data[[RESPONSABLE]:[SOFTWARE 
VALOR HORA]],5,FALSE)*D.sign_Data[[#This Row],[TIEMPO (HORAS)]],0)</f>
        <v>675.44748395812223</v>
      </c>
      <c r="R1370" s="11">
        <f>IFERROR(+VLOOKUP(M1370,D.sign_Lista_Data[[RESPONSABLE]:[SOFTWARE 
VALOR HORA]],8,FALSE)*D.sign_Data[[#This Row],[TIEMPO (HORAS)]],0)</f>
        <v>682.17097742879673</v>
      </c>
      <c r="S1370" s="99"/>
      <c r="T1370" s="99"/>
      <c r="U1370" s="3">
        <f t="shared" si="53"/>
        <v>4903.717752167061</v>
      </c>
      <c r="V1370" s="100">
        <f>D.sign_Data[[#This Row],[TIEMPO (HORAS)]]*Gastos_Operativos[[#Totals],[GASTOS HORA]]</f>
        <v>5557.8954144620802</v>
      </c>
      <c r="W1370" s="3">
        <f>+D.sign_Data[[#This Row],[COSTO 
DIRECTO ($COP)]]+D.sign_Data[[#This Row],[PRORRATEO GASTOS ($COP)]]</f>
        <v>10461.61316662914</v>
      </c>
      <c r="X1370" s="101">
        <v>0.05</v>
      </c>
      <c r="Y1370" s="15">
        <f>+D.sign_Data[[#This Row],[COSTOS OPERACIONALES ($COP)]]*D.sign_Data[[#This Row],[DESFASE (%)]]</f>
        <v>523.08065833145702</v>
      </c>
      <c r="Z1370" s="101">
        <v>0.15</v>
      </c>
      <c r="AA1370" s="15">
        <f>+((D.sign_Data[[#This Row],[COSTOS OPERACIONALES ($COP)]]/(100%-D.sign_Data[[#This Row],[UTILIDAD (%)]])))-D.sign_Data[[#This Row],[COSTOS OPERACIONALES ($COP)]]</f>
        <v>1846.1670294051419</v>
      </c>
      <c r="AB1370" s="3">
        <f>+D.sign_Data[[#This Row],[COSTOS OPERACIONALES ($COP)]]+D.sign_Data[[#This Row],[DESFASE ($COP)]]+D.sign_Data[[#This Row],[UTILIDAD ($COP)]]</f>
        <v>12830.860854365739</v>
      </c>
      <c r="AC1370" s="101">
        <v>0</v>
      </c>
      <c r="AD1370" s="15">
        <f>+D.sign_Data[[#This Row],[VALOR NETO ($COP)]]/(100%-D.sign_Data[[#This Row],[MARGEN DE NEGOCIACIÓN (%)]])-D.sign_Data[[#This Row],[VALOR NETO ($COP)]]</f>
        <v>0</v>
      </c>
      <c r="AE1370" s="15">
        <f>+(D.sign_Data[[#This Row],[VALOR NETO ($COP)]]+D.sign_Data[[#This Row],[NEGOCIACIÓN ($COP)]])*1%</f>
        <v>128.30860854365739</v>
      </c>
      <c r="AF1370" s="15">
        <f>+(D.sign_Data[[#This Row],[VALOR NETO ($COP)]]+D.sign_Data[[#This Row],[NEGOCIACIÓN ($COP)]])*1%</f>
        <v>128.30860854365739</v>
      </c>
      <c r="AG1370" s="3">
        <f>+D.sign_Data[[#This Row],[VALOR NETO ($COP)]]+D.sign_Data[[#This Row],[NEGOCIACIÓN ($COP)]]+D.sign_Data[[#This Row],[ICA ($COP)]]+D.sign_Data[[#This Row],[4 * 1000 ($COP)]]</f>
        <v>13087.478071453053</v>
      </c>
    </row>
    <row r="1371" spans="1:33" ht="60" hidden="1" customHeight="1" x14ac:dyDescent="0.25">
      <c r="A1371" s="14"/>
      <c r="B1371" s="87" t="s">
        <v>418</v>
      </c>
      <c r="C1371" s="182" t="s">
        <v>1192</v>
      </c>
      <c r="D1371" s="189" t="s">
        <v>1178</v>
      </c>
      <c r="E1371" s="87" t="s">
        <v>497</v>
      </c>
      <c r="F1371" s="88" t="s">
        <v>1179</v>
      </c>
      <c r="G1371" s="88" t="s">
        <v>1180</v>
      </c>
      <c r="H1371" s="87" t="s">
        <v>1181</v>
      </c>
      <c r="I1371" s="92">
        <v>1</v>
      </c>
      <c r="J1371" s="241" t="s">
        <v>404</v>
      </c>
      <c r="K1371" s="230"/>
      <c r="L1371" s="242" t="s">
        <v>405</v>
      </c>
      <c r="M1371" s="236" t="s">
        <v>472</v>
      </c>
      <c r="N1371" s="243">
        <v>0.2</v>
      </c>
      <c r="O1371" s="27">
        <f>IFERROR(+VLOOKUP(M1371,D.sign_Lista_Data[[RESPONSABLE]:[SOFTWARE 
VALOR HORA]],3,FALSE),"0")</f>
        <v>17730.496453900709</v>
      </c>
      <c r="P1371" s="3">
        <f t="shared" si="52"/>
        <v>3546.0992907801419</v>
      </c>
      <c r="Q1371" s="11">
        <f>IFERROR(+VLOOKUP(M1371,D.sign_Lista_Data[[RESPONSABLE]:[SOFTWARE 
VALOR HORA]],5,FALSE)*D.sign_Data[[#This Row],[TIEMPO (HORAS)]],0)</f>
        <v>675.44748395812223</v>
      </c>
      <c r="R1371" s="11">
        <f>IFERROR(+VLOOKUP(M1371,D.sign_Lista_Data[[RESPONSABLE]:[SOFTWARE 
VALOR HORA]],8,FALSE)*D.sign_Data[[#This Row],[TIEMPO (HORAS)]],0)</f>
        <v>682.17097742879673</v>
      </c>
      <c r="S1371" s="99"/>
      <c r="T1371" s="99"/>
      <c r="U1371" s="3">
        <f t="shared" si="53"/>
        <v>4903.717752167061</v>
      </c>
      <c r="V1371" s="100">
        <f>D.sign_Data[[#This Row],[TIEMPO (HORAS)]]*Gastos_Operativos[[#Totals],[GASTOS HORA]]</f>
        <v>5557.8954144620802</v>
      </c>
      <c r="W1371" s="3">
        <f>+D.sign_Data[[#This Row],[COSTO 
DIRECTO ($COP)]]+D.sign_Data[[#This Row],[PRORRATEO GASTOS ($COP)]]</f>
        <v>10461.61316662914</v>
      </c>
      <c r="X1371" s="101">
        <v>0.05</v>
      </c>
      <c r="Y1371" s="15">
        <f>+D.sign_Data[[#This Row],[COSTOS OPERACIONALES ($COP)]]*D.sign_Data[[#This Row],[DESFASE (%)]]</f>
        <v>523.08065833145702</v>
      </c>
      <c r="Z1371" s="101">
        <v>0.15</v>
      </c>
      <c r="AA1371" s="15">
        <f>+((D.sign_Data[[#This Row],[COSTOS OPERACIONALES ($COP)]]/(100%-D.sign_Data[[#This Row],[UTILIDAD (%)]])))-D.sign_Data[[#This Row],[COSTOS OPERACIONALES ($COP)]]</f>
        <v>1846.1670294051419</v>
      </c>
      <c r="AB1371" s="3">
        <f>+D.sign_Data[[#This Row],[COSTOS OPERACIONALES ($COP)]]+D.sign_Data[[#This Row],[DESFASE ($COP)]]+D.sign_Data[[#This Row],[UTILIDAD ($COP)]]</f>
        <v>12830.860854365739</v>
      </c>
      <c r="AC1371" s="101">
        <v>0</v>
      </c>
      <c r="AD1371" s="15">
        <f>+D.sign_Data[[#This Row],[VALOR NETO ($COP)]]/(100%-D.sign_Data[[#This Row],[MARGEN DE NEGOCIACIÓN (%)]])-D.sign_Data[[#This Row],[VALOR NETO ($COP)]]</f>
        <v>0</v>
      </c>
      <c r="AE1371" s="15">
        <f>+(D.sign_Data[[#This Row],[VALOR NETO ($COP)]]+D.sign_Data[[#This Row],[NEGOCIACIÓN ($COP)]])*1%</f>
        <v>128.30860854365739</v>
      </c>
      <c r="AF1371" s="15">
        <f>+(D.sign_Data[[#This Row],[VALOR NETO ($COP)]]+D.sign_Data[[#This Row],[NEGOCIACIÓN ($COP)]])*1%</f>
        <v>128.30860854365739</v>
      </c>
      <c r="AG1371" s="3">
        <f>+D.sign_Data[[#This Row],[VALOR NETO ($COP)]]+D.sign_Data[[#This Row],[NEGOCIACIÓN ($COP)]]+D.sign_Data[[#This Row],[ICA ($COP)]]+D.sign_Data[[#This Row],[4 * 1000 ($COP)]]</f>
        <v>13087.478071453053</v>
      </c>
    </row>
    <row r="1372" spans="1:33" ht="60" hidden="1" customHeight="1" x14ac:dyDescent="0.25">
      <c r="A1372" s="14"/>
      <c r="B1372" s="87" t="s">
        <v>418</v>
      </c>
      <c r="C1372" s="182" t="s">
        <v>1192</v>
      </c>
      <c r="D1372" s="189" t="s">
        <v>1178</v>
      </c>
      <c r="E1372" s="87" t="s">
        <v>497</v>
      </c>
      <c r="F1372" s="88" t="s">
        <v>1179</v>
      </c>
      <c r="G1372" s="88" t="s">
        <v>1180</v>
      </c>
      <c r="H1372" s="87" t="s">
        <v>1181</v>
      </c>
      <c r="I1372" s="92">
        <v>1</v>
      </c>
      <c r="J1372" s="232" t="s">
        <v>1182</v>
      </c>
      <c r="K1372" s="233"/>
      <c r="L1372" s="234" t="s">
        <v>1183</v>
      </c>
      <c r="M1372" s="236" t="s">
        <v>472</v>
      </c>
      <c r="N1372" s="235">
        <v>2</v>
      </c>
      <c r="O1372" s="27">
        <f>IFERROR(+VLOOKUP(M1372,D.sign_Lista_Data[[RESPONSABLE]:[SOFTWARE 
VALOR HORA]],3,FALSE),"0")</f>
        <v>17730.496453900709</v>
      </c>
      <c r="P1372" s="3">
        <f t="shared" si="52"/>
        <v>35460.992907801417</v>
      </c>
      <c r="Q1372" s="11">
        <f>IFERROR(+VLOOKUP(M1372,D.sign_Lista_Data[[RESPONSABLE]:[SOFTWARE 
VALOR HORA]],5,FALSE)*D.sign_Data[[#This Row],[TIEMPO (HORAS)]],0)</f>
        <v>6754.4748395812221</v>
      </c>
      <c r="R1372" s="11">
        <f>IFERROR(+VLOOKUP(M1372,D.sign_Lista_Data[[RESPONSABLE]:[SOFTWARE 
VALOR HORA]],8,FALSE)*D.sign_Data[[#This Row],[TIEMPO (HORAS)]],0)</f>
        <v>6821.7097742879669</v>
      </c>
      <c r="S1372" s="99"/>
      <c r="T1372" s="99"/>
      <c r="U1372" s="3">
        <f t="shared" si="53"/>
        <v>49037.177521670601</v>
      </c>
      <c r="V1372" s="100">
        <f>D.sign_Data[[#This Row],[TIEMPO (HORAS)]]*Gastos_Operativos[[#Totals],[GASTOS HORA]]</f>
        <v>55578.954144620802</v>
      </c>
      <c r="W1372" s="3">
        <f>+D.sign_Data[[#This Row],[COSTO 
DIRECTO ($COP)]]+D.sign_Data[[#This Row],[PRORRATEO GASTOS ($COP)]]</f>
        <v>104616.1316662914</v>
      </c>
      <c r="X1372" s="101">
        <v>0.05</v>
      </c>
      <c r="Y1372" s="15">
        <f>+D.sign_Data[[#This Row],[COSTOS OPERACIONALES ($COP)]]*D.sign_Data[[#This Row],[DESFASE (%)]]</f>
        <v>5230.8065833145702</v>
      </c>
      <c r="Z1372" s="101">
        <v>0.2</v>
      </c>
      <c r="AA1372" s="15">
        <f>+((D.sign_Data[[#This Row],[COSTOS OPERACIONALES ($COP)]]/(100%-D.sign_Data[[#This Row],[UTILIDAD (%)]])))-D.sign_Data[[#This Row],[COSTOS OPERACIONALES ($COP)]]</f>
        <v>26154.032916572847</v>
      </c>
      <c r="AB1372" s="3">
        <f>+D.sign_Data[[#This Row],[COSTOS OPERACIONALES ($COP)]]+D.sign_Data[[#This Row],[DESFASE ($COP)]]+D.sign_Data[[#This Row],[UTILIDAD ($COP)]]</f>
        <v>136000.97116617882</v>
      </c>
      <c r="AC1372" s="101">
        <v>0</v>
      </c>
      <c r="AD1372" s="15">
        <f>+D.sign_Data[[#This Row],[VALOR NETO ($COP)]]/(100%-D.sign_Data[[#This Row],[MARGEN DE NEGOCIACIÓN (%)]])-D.sign_Data[[#This Row],[VALOR NETO ($COP)]]</f>
        <v>0</v>
      </c>
      <c r="AE1372" s="15">
        <f>+(D.sign_Data[[#This Row],[VALOR NETO ($COP)]]+D.sign_Data[[#This Row],[NEGOCIACIÓN ($COP)]])*1%</f>
        <v>1360.0097116617883</v>
      </c>
      <c r="AF1372" s="15">
        <f>+(D.sign_Data[[#This Row],[VALOR NETO ($COP)]]+D.sign_Data[[#This Row],[NEGOCIACIÓN ($COP)]])*1%</f>
        <v>1360.0097116617883</v>
      </c>
      <c r="AG1372" s="3">
        <f>+D.sign_Data[[#This Row],[VALOR NETO ($COP)]]+D.sign_Data[[#This Row],[NEGOCIACIÓN ($COP)]]+D.sign_Data[[#This Row],[ICA ($COP)]]+D.sign_Data[[#This Row],[4 * 1000 ($COP)]]</f>
        <v>138720.99058950238</v>
      </c>
    </row>
    <row r="1373" spans="1:33" s="132" customFormat="1" ht="60" hidden="1" customHeight="1" x14ac:dyDescent="0.25">
      <c r="B1373" s="87" t="s">
        <v>418</v>
      </c>
      <c r="C1373" s="182" t="s">
        <v>1192</v>
      </c>
      <c r="D1373" s="189" t="s">
        <v>1178</v>
      </c>
      <c r="E1373" s="87" t="s">
        <v>497</v>
      </c>
      <c r="F1373" s="88" t="s">
        <v>1179</v>
      </c>
      <c r="G1373" s="88" t="s">
        <v>1180</v>
      </c>
      <c r="H1373" s="87" t="s">
        <v>1181</v>
      </c>
      <c r="I1373" s="92">
        <v>1</v>
      </c>
      <c r="J1373" s="232" t="s">
        <v>1184</v>
      </c>
      <c r="K1373" s="233"/>
      <c r="L1373" s="234" t="s">
        <v>1185</v>
      </c>
      <c r="M1373" s="236" t="s">
        <v>472</v>
      </c>
      <c r="N1373" s="235">
        <v>2</v>
      </c>
      <c r="O1373" s="27">
        <f>IFERROR(+VLOOKUP(M1373,D.sign_Lista_Data[[RESPONSABLE]:[SOFTWARE 
VALOR HORA]],3,FALSE),"0")</f>
        <v>17730.496453900709</v>
      </c>
      <c r="P1373" s="3">
        <f t="shared" si="52"/>
        <v>35460.992907801417</v>
      </c>
      <c r="Q1373" s="11">
        <f>IFERROR(+VLOOKUP(M1373,D.sign_Lista_Data[[RESPONSABLE]:[SOFTWARE 
VALOR HORA]],5,FALSE)*D.sign_Data[[#This Row],[TIEMPO (HORAS)]],0)</f>
        <v>6754.4748395812221</v>
      </c>
      <c r="R1373" s="11">
        <f>IFERROR(+VLOOKUP(M1373,D.sign_Lista_Data[[RESPONSABLE]:[SOFTWARE 
VALOR HORA]],8,FALSE)*D.sign_Data[[#This Row],[TIEMPO (HORAS)]],0)</f>
        <v>6821.7097742879669</v>
      </c>
      <c r="S1373" s="99"/>
      <c r="T1373" s="99"/>
      <c r="U1373" s="3">
        <f t="shared" si="53"/>
        <v>49037.177521670601</v>
      </c>
      <c r="V1373" s="100">
        <f>D.sign_Data[[#This Row],[TIEMPO (HORAS)]]*Gastos_Operativos[[#Totals],[GASTOS HORA]]</f>
        <v>55578.954144620802</v>
      </c>
      <c r="W1373" s="3">
        <f>+D.sign_Data[[#This Row],[COSTO 
DIRECTO ($COP)]]+D.sign_Data[[#This Row],[PRORRATEO GASTOS ($COP)]]</f>
        <v>104616.1316662914</v>
      </c>
      <c r="X1373" s="101">
        <v>0.05</v>
      </c>
      <c r="Y1373" s="15">
        <f>+D.sign_Data[[#This Row],[COSTOS OPERACIONALES ($COP)]]*D.sign_Data[[#This Row],[DESFASE (%)]]</f>
        <v>5230.8065833145702</v>
      </c>
      <c r="Z1373" s="101">
        <v>0.2</v>
      </c>
      <c r="AA1373" s="15">
        <f>+((D.sign_Data[[#This Row],[COSTOS OPERACIONALES ($COP)]]/(100%-D.sign_Data[[#This Row],[UTILIDAD (%)]])))-D.sign_Data[[#This Row],[COSTOS OPERACIONALES ($COP)]]</f>
        <v>26154.032916572847</v>
      </c>
      <c r="AB1373" s="3">
        <f>+D.sign_Data[[#This Row],[COSTOS OPERACIONALES ($COP)]]+D.sign_Data[[#This Row],[DESFASE ($COP)]]+D.sign_Data[[#This Row],[UTILIDAD ($COP)]]</f>
        <v>136000.97116617882</v>
      </c>
      <c r="AC1373" s="101">
        <v>0</v>
      </c>
      <c r="AD1373" s="15">
        <f>+D.sign_Data[[#This Row],[VALOR NETO ($COP)]]/(100%-D.sign_Data[[#This Row],[MARGEN DE NEGOCIACIÓN (%)]])-D.sign_Data[[#This Row],[VALOR NETO ($COP)]]</f>
        <v>0</v>
      </c>
      <c r="AE1373" s="15">
        <f>+(D.sign_Data[[#This Row],[VALOR NETO ($COP)]]+D.sign_Data[[#This Row],[NEGOCIACIÓN ($COP)]])*1%</f>
        <v>1360.0097116617883</v>
      </c>
      <c r="AF1373" s="15">
        <f>+(D.sign_Data[[#This Row],[VALOR NETO ($COP)]]+D.sign_Data[[#This Row],[NEGOCIACIÓN ($COP)]])*1%</f>
        <v>1360.0097116617883</v>
      </c>
      <c r="AG1373" s="3">
        <f>+D.sign_Data[[#This Row],[VALOR NETO ($COP)]]+D.sign_Data[[#This Row],[NEGOCIACIÓN ($COP)]]+D.sign_Data[[#This Row],[ICA ($COP)]]+D.sign_Data[[#This Row],[4 * 1000 ($COP)]]</f>
        <v>138720.99058950238</v>
      </c>
    </row>
    <row r="1374" spans="1:33" s="132" customFormat="1" ht="60" hidden="1" customHeight="1" x14ac:dyDescent="0.25">
      <c r="B1374" s="87" t="s">
        <v>418</v>
      </c>
      <c r="C1374" s="182" t="s">
        <v>1192</v>
      </c>
      <c r="D1374" s="189" t="s">
        <v>1178</v>
      </c>
      <c r="E1374" s="87" t="s">
        <v>497</v>
      </c>
      <c r="F1374" s="88" t="s">
        <v>1179</v>
      </c>
      <c r="G1374" s="88" t="s">
        <v>1180</v>
      </c>
      <c r="H1374" s="87" t="s">
        <v>1181</v>
      </c>
      <c r="I1374" s="92">
        <v>1</v>
      </c>
      <c r="J1374" s="88" t="s">
        <v>1193</v>
      </c>
      <c r="K1374" s="102"/>
      <c r="L1374" s="91" t="s">
        <v>1194</v>
      </c>
      <c r="M1374" s="236" t="s">
        <v>472</v>
      </c>
      <c r="N1374" s="90">
        <v>1</v>
      </c>
      <c r="O1374" s="27">
        <f>IFERROR(+VLOOKUP(M1374,D.sign_Lista_Data[[RESPONSABLE]:[SOFTWARE 
VALOR HORA]],3,FALSE),"0")</f>
        <v>17730.496453900709</v>
      </c>
      <c r="P1374" s="3">
        <f t="shared" si="52"/>
        <v>17730.496453900709</v>
      </c>
      <c r="Q1374" s="11">
        <f>IFERROR(+VLOOKUP(M1374,D.sign_Lista_Data[[RESPONSABLE]:[SOFTWARE 
VALOR HORA]],5,FALSE)*D.sign_Data[[#This Row],[TIEMPO (HORAS)]],0)</f>
        <v>3377.2374197906111</v>
      </c>
      <c r="R1374" s="11">
        <f>IFERROR(+VLOOKUP(M1374,D.sign_Lista_Data[[RESPONSABLE]:[SOFTWARE 
VALOR HORA]],8,FALSE)*D.sign_Data[[#This Row],[TIEMPO (HORAS)]],0)</f>
        <v>3410.8548871439834</v>
      </c>
      <c r="S1374" s="99"/>
      <c r="T1374" s="99"/>
      <c r="U1374" s="3">
        <f t="shared" si="53"/>
        <v>24518.5887608353</v>
      </c>
      <c r="V1374" s="100">
        <f>D.sign_Data[[#This Row],[TIEMPO (HORAS)]]*Gastos_Operativos[[#Totals],[GASTOS HORA]]</f>
        <v>27789.477072310401</v>
      </c>
      <c r="W1374" s="3">
        <f>+D.sign_Data[[#This Row],[COSTO 
DIRECTO ($COP)]]+D.sign_Data[[#This Row],[PRORRATEO GASTOS ($COP)]]</f>
        <v>52308.065833145702</v>
      </c>
      <c r="X1374" s="101">
        <v>0.05</v>
      </c>
      <c r="Y1374" s="15">
        <f>+D.sign_Data[[#This Row],[COSTOS OPERACIONALES ($COP)]]*D.sign_Data[[#This Row],[DESFASE (%)]]</f>
        <v>2615.4032916572851</v>
      </c>
      <c r="Z1374" s="101">
        <v>0.2</v>
      </c>
      <c r="AA1374" s="15">
        <f>+((D.sign_Data[[#This Row],[COSTOS OPERACIONALES ($COP)]]/(100%-D.sign_Data[[#This Row],[UTILIDAD (%)]])))-D.sign_Data[[#This Row],[COSTOS OPERACIONALES ($COP)]]</f>
        <v>13077.016458286424</v>
      </c>
      <c r="AB1374" s="3">
        <f>+D.sign_Data[[#This Row],[COSTOS OPERACIONALES ($COP)]]+D.sign_Data[[#This Row],[DESFASE ($COP)]]+D.sign_Data[[#This Row],[UTILIDAD ($COP)]]</f>
        <v>68000.485583089408</v>
      </c>
      <c r="AC1374" s="101">
        <v>0</v>
      </c>
      <c r="AD1374" s="15">
        <f>+D.sign_Data[[#This Row],[VALOR NETO ($COP)]]/(100%-D.sign_Data[[#This Row],[MARGEN DE NEGOCIACIÓN (%)]])-D.sign_Data[[#This Row],[VALOR NETO ($COP)]]</f>
        <v>0</v>
      </c>
      <c r="AE1374" s="15">
        <f>+(D.sign_Data[[#This Row],[VALOR NETO ($COP)]]+D.sign_Data[[#This Row],[NEGOCIACIÓN ($COP)]])*1%</f>
        <v>680.00485583089414</v>
      </c>
      <c r="AF1374" s="15">
        <f>+(D.sign_Data[[#This Row],[VALOR NETO ($COP)]]+D.sign_Data[[#This Row],[NEGOCIACIÓN ($COP)]])*1%</f>
        <v>680.00485583089414</v>
      </c>
      <c r="AG1374" s="3">
        <f>+D.sign_Data[[#This Row],[VALOR NETO ($COP)]]+D.sign_Data[[#This Row],[NEGOCIACIÓN ($COP)]]+D.sign_Data[[#This Row],[ICA ($COP)]]+D.sign_Data[[#This Row],[4 * 1000 ($COP)]]</f>
        <v>69360.495294751192</v>
      </c>
    </row>
    <row r="1375" spans="1:33" s="132" customFormat="1" ht="60" hidden="1" customHeight="1" x14ac:dyDescent="0.25">
      <c r="B1375" s="87" t="s">
        <v>418</v>
      </c>
      <c r="C1375" s="182" t="s">
        <v>1192</v>
      </c>
      <c r="D1375" s="189" t="str">
        <f>VLOOKUP(D.sign_Data[[#This Row],[CÓDIGO]],Descripciones[[CÓDIGO]:[NOMBRE DE SERVICIO]],3,FALSE)</f>
        <v>D3. Vivienda Campestre</v>
      </c>
      <c r="E1375" s="87" t="s">
        <v>497</v>
      </c>
      <c r="F1375" s="88" t="s">
        <v>1179</v>
      </c>
      <c r="G1375" s="88" t="s">
        <v>1180</v>
      </c>
      <c r="H1375" s="87" t="s">
        <v>1181</v>
      </c>
      <c r="I1375" s="92">
        <v>1</v>
      </c>
      <c r="J1375" s="88" t="s">
        <v>883</v>
      </c>
      <c r="K1375" s="102"/>
      <c r="L1375" s="91" t="s">
        <v>1195</v>
      </c>
      <c r="M1375" s="236" t="s">
        <v>472</v>
      </c>
      <c r="N1375" s="90">
        <v>1</v>
      </c>
      <c r="O1375" s="27">
        <f>IFERROR(+VLOOKUP(M1375,D.sign_Lista_Data[[RESPONSABLE]:[SOFTWARE 
VALOR HORA]],3,FALSE),"0")</f>
        <v>17730.496453900709</v>
      </c>
      <c r="P1375" s="3">
        <f t="shared" si="52"/>
        <v>17730.496453900709</v>
      </c>
      <c r="Q1375" s="11">
        <f>IFERROR(+VLOOKUP(M1375,D.sign_Lista_Data[[RESPONSABLE]:[SOFTWARE 
VALOR HORA]],5,FALSE)*D.sign_Data[[#This Row],[TIEMPO (HORAS)]],0)</f>
        <v>3377.2374197906111</v>
      </c>
      <c r="R1375" s="11">
        <f>IFERROR(+VLOOKUP(M1375,D.sign_Lista_Data[[RESPONSABLE]:[SOFTWARE 
VALOR HORA]],8,FALSE)*D.sign_Data[[#This Row],[TIEMPO (HORAS)]],0)</f>
        <v>3410.8548871439834</v>
      </c>
      <c r="S1375" s="99"/>
      <c r="T1375" s="99"/>
      <c r="U1375" s="3">
        <f t="shared" si="53"/>
        <v>24518.5887608353</v>
      </c>
      <c r="V1375" s="100">
        <f>D.sign_Data[[#This Row],[TIEMPO (HORAS)]]*Gastos_Operativos[[#Totals],[GASTOS HORA]]</f>
        <v>27789.477072310401</v>
      </c>
      <c r="W1375" s="3">
        <f>+D.sign_Data[[#This Row],[COSTO 
DIRECTO ($COP)]]+D.sign_Data[[#This Row],[PRORRATEO GASTOS ($COP)]]</f>
        <v>52308.065833145702</v>
      </c>
      <c r="X1375" s="101">
        <v>0.05</v>
      </c>
      <c r="Y1375" s="15">
        <f>+D.sign_Data[[#This Row],[COSTOS OPERACIONALES ($COP)]]*D.sign_Data[[#This Row],[DESFASE (%)]]</f>
        <v>2615.4032916572851</v>
      </c>
      <c r="Z1375" s="101">
        <v>0.2</v>
      </c>
      <c r="AA1375" s="15">
        <f>+((D.sign_Data[[#This Row],[COSTOS OPERACIONALES ($COP)]]/(100%-D.sign_Data[[#This Row],[UTILIDAD (%)]])))-D.sign_Data[[#This Row],[COSTOS OPERACIONALES ($COP)]]</f>
        <v>13077.016458286424</v>
      </c>
      <c r="AB1375" s="3">
        <f>+D.sign_Data[[#This Row],[COSTOS OPERACIONALES ($COP)]]+D.sign_Data[[#This Row],[DESFASE ($COP)]]+D.sign_Data[[#This Row],[UTILIDAD ($COP)]]</f>
        <v>68000.485583089408</v>
      </c>
      <c r="AC1375" s="101">
        <v>0</v>
      </c>
      <c r="AD1375" s="15">
        <f>+D.sign_Data[[#This Row],[VALOR NETO ($COP)]]/(100%-D.sign_Data[[#This Row],[MARGEN DE NEGOCIACIÓN (%)]])-D.sign_Data[[#This Row],[VALOR NETO ($COP)]]</f>
        <v>0</v>
      </c>
      <c r="AE1375" s="15">
        <f>+(D.sign_Data[[#This Row],[VALOR NETO ($COP)]]+D.sign_Data[[#This Row],[NEGOCIACIÓN ($COP)]])*1%</f>
        <v>680.00485583089414</v>
      </c>
      <c r="AF1375" s="15">
        <f>+(D.sign_Data[[#This Row],[VALOR NETO ($COP)]]+D.sign_Data[[#This Row],[NEGOCIACIÓN ($COP)]])*1%</f>
        <v>680.00485583089414</v>
      </c>
      <c r="AG1375" s="3">
        <f>+D.sign_Data[[#This Row],[VALOR NETO ($COP)]]+D.sign_Data[[#This Row],[NEGOCIACIÓN ($COP)]]+D.sign_Data[[#This Row],[ICA ($COP)]]+D.sign_Data[[#This Row],[4 * 1000 ($COP)]]</f>
        <v>69360.495294751192</v>
      </c>
    </row>
    <row r="1376" spans="1:33" ht="27.75" hidden="1" x14ac:dyDescent="0.25">
      <c r="B1376" s="87"/>
      <c r="C1376" s="182"/>
      <c r="D1376" s="189" t="e">
        <f>VLOOKUP(D.sign_Data[[#This Row],[CÓDIGO]],Descripciones[[CÓDIGO]:[NOMBRE DE SERVICIO]],3,FALSE)</f>
        <v>#N/A</v>
      </c>
      <c r="E1376" s="87"/>
      <c r="F1376" s="88"/>
      <c r="G1376" s="88"/>
      <c r="H1376" s="87"/>
      <c r="I1376" s="92"/>
      <c r="J1376" s="88"/>
      <c r="K1376" s="102"/>
      <c r="L1376" s="91"/>
      <c r="M1376" s="257"/>
      <c r="N1376" s="90"/>
      <c r="O1376" s="27" t="str">
        <f>IFERROR(+VLOOKUP(M1376,D.sign_Lista_Data[[RESPONSABLE]:[SOFTWARE 
VALOR HORA]],3,FALSE),"0")</f>
        <v>0</v>
      </c>
      <c r="P1376" s="3">
        <f>+O1376*N1376</f>
        <v>0</v>
      </c>
      <c r="Q1376" s="11">
        <f>IFERROR(+VLOOKUP(M1376,D.sign_Lista_Data[[RESPONSABLE]:[SOFTWARE 
VALOR HORA]],5,FALSE)*D.sign_Data[[#This Row],[TIEMPO (HORAS)]],0)</f>
        <v>0</v>
      </c>
      <c r="R1376" s="11">
        <f>IFERROR(+VLOOKUP(M1376,D.sign_Lista_Data[[RESPONSABLE]:[SOFTWARE 
VALOR HORA]],8,FALSE)*D.sign_Data[[#This Row],[TIEMPO (HORAS)]],0)</f>
        <v>0</v>
      </c>
      <c r="S1376" s="99"/>
      <c r="T1376" s="99"/>
      <c r="U1376" s="3">
        <f>SUM(P1376:T1376)</f>
        <v>0</v>
      </c>
      <c r="V1376" s="100">
        <f>D.sign_Data[[#This Row],[TIEMPO (HORAS)]]*Gastos_Operativos[[#Totals],[GASTOS HORA]]</f>
        <v>0</v>
      </c>
      <c r="W1376" s="3">
        <f>+D.sign_Data[[#This Row],[COSTO 
DIRECTO ($COP)]]+D.sign_Data[[#This Row],[PRORRATEO GASTOS ($COP)]]</f>
        <v>0</v>
      </c>
      <c r="X1376" s="101"/>
      <c r="Y1376" s="15">
        <f>+D.sign_Data[[#This Row],[COSTOS OPERACIONALES ($COP)]]*D.sign_Data[[#This Row],[DESFASE (%)]]</f>
        <v>0</v>
      </c>
      <c r="Z1376" s="101">
        <v>0.3</v>
      </c>
      <c r="AA1376" s="15">
        <f>+((D.sign_Data[[#This Row],[COSTOS OPERACIONALES ($COP)]]/(100%-D.sign_Data[[#This Row],[UTILIDAD (%)]])))-D.sign_Data[[#This Row],[COSTOS OPERACIONALES ($COP)]]</f>
        <v>0</v>
      </c>
      <c r="AB1376" s="3">
        <f>+D.sign_Data[[#This Row],[COSTOS OPERACIONALES ($COP)]]+D.sign_Data[[#This Row],[DESFASE ($COP)]]+D.sign_Data[[#This Row],[UTILIDAD ($COP)]]</f>
        <v>0</v>
      </c>
      <c r="AC1376" s="101"/>
      <c r="AD1376" s="15">
        <f>+D.sign_Data[[#This Row],[VALOR NETO ($COP)]]/(100%-D.sign_Data[[#This Row],[MARGEN DE NEGOCIACIÓN (%)]])-D.sign_Data[[#This Row],[VALOR NETO ($COP)]]</f>
        <v>0</v>
      </c>
      <c r="AE1376" s="15">
        <f>+(D.sign_Data[[#This Row],[VALOR NETO ($COP)]]+D.sign_Data[[#This Row],[NEGOCIACIÓN ($COP)]])*1%</f>
        <v>0</v>
      </c>
      <c r="AF1376" s="15">
        <f>+(D.sign_Data[[#This Row],[VALOR NETO ($COP)]]+D.sign_Data[[#This Row],[NEGOCIACIÓN ($COP)]])*1%</f>
        <v>0</v>
      </c>
      <c r="AG1376" s="3">
        <f>+D.sign_Data[[#This Row],[VALOR NETO ($COP)]]+D.sign_Data[[#This Row],[NEGOCIACIÓN ($COP)]]+D.sign_Data[[#This Row],[ICA ($COP)]]+D.sign_Data[[#This Row],[4 * 1000 ($COP)]]</f>
        <v>0</v>
      </c>
    </row>
    <row r="1377" spans="2:33" ht="23.25" x14ac:dyDescent="0.25">
      <c r="B1377" s="133">
        <f>SUBTOTAL(103,D.sign_Data[FASES])</f>
        <v>20</v>
      </c>
      <c r="C1377" s="183" t="s">
        <v>1196</v>
      </c>
      <c r="D1377" s="133">
        <f>SUBTOTAL(103,D.sign_Data[CATEGORÍA])</f>
        <v>20</v>
      </c>
      <c r="E1377" s="133">
        <f>SUBTOTAL(103,D.sign_Data[SUB CATEGORÍA])</f>
        <v>20</v>
      </c>
      <c r="F1377" s="133">
        <f>SUBTOTAL(103,D.sign_Data[NOMBRE DE SERVICIO])</f>
        <v>20</v>
      </c>
      <c r="G1377" s="133">
        <f>SUBTOTAL(103,D.sign_Data[ENTREGABLE])</f>
        <v>20</v>
      </c>
      <c r="H1377" s="133">
        <f>SUBTOTAL(103,D.sign_Data[UND ENTREGABLE])</f>
        <v>20</v>
      </c>
      <c r="I1377" s="133">
        <f>SUBTOTAL(103,D.sign_Data[CANTIDAD])</f>
        <v>19</v>
      </c>
      <c r="J1377" s="133">
        <f>SUBTOTAL(103,D.sign_Data[ACTIVIDADES CLAVES])</f>
        <v>20</v>
      </c>
      <c r="K1377" s="133">
        <f>SUBTOTAL(103,D.sign_Data['# 
ACCIONES])</f>
        <v>0</v>
      </c>
      <c r="L1377" s="133">
        <f>SUBTOTAL(103,D.sign_Data[ACCIONES CLAVES])</f>
        <v>20</v>
      </c>
      <c r="M1377" s="133">
        <f>SUBTOTAL(103,D.sign_Data[RESPONSABLE])</f>
        <v>20</v>
      </c>
      <c r="N1377" s="133">
        <f>SUBTOTAL(109,N5:N1376)</f>
        <v>46.6</v>
      </c>
      <c r="O1377" s="134">
        <f>SUBTOTAL(109,D.sign_Data[HONORARIOS POR HORA ($COP)])</f>
        <v>405268.49037487328</v>
      </c>
      <c r="P1377" s="135">
        <f>SUBTOTAL(109,D.sign_Data[SUBTOTAL 
HONORARIOS ($COP)])</f>
        <v>944275.58257345506</v>
      </c>
      <c r="Q1377" s="136">
        <f>SUBTOTAL(109,D.sign_Data[HARDWARE 
($ DEPRECIACIÓN)])</f>
        <v>196724.07970280305</v>
      </c>
      <c r="R1377" s="136">
        <f>SUBTOTAL(109,D.sign_Data[SOFTWARE (LICENCIAS)])</f>
        <v>158945.83774090963</v>
      </c>
      <c r="S1377" s="136">
        <f>SUBTOTAL(109,D.sign_Data[CONSUMIBLES ($ INSUMOS)])</f>
        <v>0</v>
      </c>
      <c r="T1377" s="136">
        <f>SUBTOTAL(109,D.sign_Data[SUBCONTRATOS])</f>
        <v>0</v>
      </c>
      <c r="U1377" s="135">
        <f>SUBTOTAL(109,D.sign_Data[COSTO 
DIRECTO ($COP)])</f>
        <v>1299945.500017168</v>
      </c>
      <c r="V1377" s="132">
        <f>SUBTOTAL(103,D.sign_Data[PRORRATEO GASTOS ($COP)])</f>
        <v>20</v>
      </c>
      <c r="W1377" s="135">
        <f>SUBTOTAL(109,D.sign_Data[COSTOS OPERACIONALES ($COP)])</f>
        <v>2594935.1315868329</v>
      </c>
      <c r="X1377" s="137">
        <f>SUBTOTAL(101,D.sign_Data[DESFASE (%)])</f>
        <v>0.15</v>
      </c>
      <c r="Y1377" s="138">
        <f>SUBTOTAL(109,D.sign_Data[DESFASE ($COP)])</f>
        <v>250583.86463821348</v>
      </c>
      <c r="Z1377" s="137">
        <f>SUBTOTAL(101,D.sign_Data[UTILIDAD (%)])</f>
        <v>0.2599999999999999</v>
      </c>
      <c r="AA1377" s="138">
        <f>SUBTOTAL(109,D.sign_Data[UTILIDAD ($COP)])</f>
        <v>813800.93182505504</v>
      </c>
      <c r="AB1377" s="135">
        <f>SUBTOTAL(109,D.sign_Data[VALOR NETO ($COP)])</f>
        <v>3659319.9280501008</v>
      </c>
      <c r="AC1377" s="137">
        <f>SUBTOTAL(101,D.sign_Data[MARGEN DE NEGOCIACIÓN (%)])</f>
        <v>4.9999999999999996E-2</v>
      </c>
      <c r="AD1377" s="138">
        <f>SUBTOTAL(109,D.sign_Data[NEGOCIACIÓN ($COP)])</f>
        <v>123093.82824333297</v>
      </c>
      <c r="AE1377" s="138">
        <f>SUBTOTAL(109,D.sign_Data[ICA ($COP)])</f>
        <v>37824.137562934346</v>
      </c>
      <c r="AF1377" s="138">
        <f>SUBTOTAL(109,D.sign_Data[4 * 1000 ($COP)])</f>
        <v>37824.137562934346</v>
      </c>
      <c r="AG1377" s="135">
        <f>SUBTOTAL(109,D.sign_Data[VALOR TOTAL SERVICIO ($COP)])</f>
        <v>3858062.0314193023</v>
      </c>
    </row>
    <row r="1380" spans="2:33" x14ac:dyDescent="0.25">
      <c r="G1380" s="2"/>
    </row>
  </sheetData>
  <sheetProtection insertRows="0" sort="0" autoFilter="0"/>
  <mergeCells count="4">
    <mergeCell ref="C2:I2"/>
    <mergeCell ref="K2:S2"/>
    <mergeCell ref="V2:Y2"/>
    <mergeCell ref="AC2:AD2"/>
  </mergeCells>
  <phoneticPr fontId="23" type="noConversion"/>
  <hyperlinks>
    <hyperlink ref="K1137" r:id="rId1" xr:uid="{4DBDCF46-60AC-4A7A-9343-F1C93E588AF5}"/>
  </hyperlinks>
  <pageMargins left="0.19685039370078741" right="0.19685039370078741" top="0.82677165354330717" bottom="0.19685039370078741" header="0" footer="0"/>
  <pageSetup scale="10" orientation="landscape" r:id="rId2"/>
  <drawing r:id="rId3"/>
  <tableParts count="1">
    <tablePart r:id="rId4"/>
  </tableParts>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821EF40-FFF5-413F-8D7F-02D2C1D6E7D8}">
          <x14:formula1>
            <xm:f>Listas!$C$13:$C$15</xm:f>
          </x14:formula1>
          <xm:sqref>B1181:B1194 B1013:B1019 B1021 B1023:B1024 B1047:B1057 B1156 B944:B965 B5:B774 B1117:B1154</xm:sqref>
        </x14:dataValidation>
        <x14:dataValidation type="list" allowBlank="1" showInputMessage="1" showErrorMessage="1" xr:uid="{861943B7-DC4D-4139-A268-2323A825CA87}">
          <x14:formula1>
            <xm:f>Listas!$D$13:$D$17</xm:f>
          </x14:formula1>
          <xm:sqref>M825:M841 M1013:M1020 M1036:M1056 M771:M774 M1022 M813:M818 M853:M865 M867:M874 M876:M882 M887:M894 M945:M951 M955:M961 M973:M979 M1058 M995:M1002 M1004:M1010 M981:M993 M795:M811 M1111:M1116 M1060:M1065 M1082:M1089 M1091:M1097 M1102:M1109 M783:M786 M1069:M1080 M1150:M1155 M963:M971 M1318:M1324 M1177:M1200 M1243:M1250 M1252:M1258 M1165:M1168 M1338:M1343 M1329:M1336 M1283:M1288 M1295:M1307 M1309:M1316 M1202:M1241 M843:M848 M896:M897 M913:M920 M922:M928 M933:M940 M942:M943 M900:M911 M1271:M1281 M1263:M1269 M5:M767 M1125:M1145</xm:sqref>
        </x14:dataValidation>
        <x14:dataValidation type="list" allowBlank="1" showErrorMessage="1" xr:uid="{FB4138E2-CE41-4BD6-A5D7-E199D2E1C3D3}">
          <x14:formula1>
            <xm:f>Listas!$B$13:$B$17</xm:f>
          </x14:formula1>
          <xm:sqref>E5:E1376</xm:sqref>
        </x14:dataValidation>
        <x14:dataValidation type="list" allowBlank="1" showInputMessage="1" showErrorMessage="1" xr:uid="{B19CDB7B-68B3-494E-91F7-487D57AAC46F}">
          <x14:formula1>
            <xm:f>Servicios!$F$3:$F$90</xm:f>
          </x14:formula1>
          <xm:sqref>C5:C1376</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F98E5-C029-4C6E-BA0D-487A0B15B98F}">
  <sheetPr>
    <tabColor rgb="FFFFC000"/>
  </sheetPr>
  <dimension ref="A1:I20"/>
  <sheetViews>
    <sheetView zoomScale="55" zoomScaleNormal="55" workbookViewId="0">
      <selection activeCell="D3" sqref="D3"/>
    </sheetView>
  </sheetViews>
  <sheetFormatPr baseColWidth="10" defaultColWidth="11.109375" defaultRowHeight="15" x14ac:dyDescent="0.25"/>
  <cols>
    <col min="1" max="1" width="24.88671875" style="118" bestFit="1" customWidth="1"/>
    <col min="2" max="2" width="16" style="118" bestFit="1" customWidth="1"/>
    <col min="3" max="3" width="26.109375" style="118" bestFit="1" customWidth="1"/>
    <col min="4" max="4" width="53" style="118" customWidth="1"/>
    <col min="5" max="5" width="82.88671875" style="118" customWidth="1"/>
    <col min="6" max="6" width="67.88671875" style="118" customWidth="1"/>
    <col min="7" max="7" width="14.109375" style="118" bestFit="1" customWidth="1"/>
    <col min="8" max="8" width="17.109375" style="118" bestFit="1" customWidth="1"/>
    <col min="9" max="9" width="14.88671875" style="118" bestFit="1" customWidth="1"/>
    <col min="10" max="16384" width="11.109375" style="118"/>
  </cols>
  <sheetData>
    <row r="1" spans="1:9" ht="39" thickBot="1" x14ac:dyDescent="0.3">
      <c r="A1" s="121" t="s">
        <v>1197</v>
      </c>
      <c r="B1" s="279"/>
      <c r="C1" s="280"/>
      <c r="D1" s="280"/>
      <c r="E1" s="280"/>
      <c r="F1" s="280"/>
      <c r="G1" s="280"/>
      <c r="H1" s="280"/>
      <c r="I1" s="280"/>
    </row>
    <row r="3" spans="1:9" ht="37.5" x14ac:dyDescent="0.25">
      <c r="A3" s="126" t="s">
        <v>0</v>
      </c>
      <c r="B3" s="127" t="s">
        <v>1</v>
      </c>
      <c r="C3" s="127" t="s">
        <v>2</v>
      </c>
      <c r="D3" s="252" t="s">
        <v>1198</v>
      </c>
      <c r="E3" s="127" t="s">
        <v>4</v>
      </c>
      <c r="F3" s="128" t="s">
        <v>5</v>
      </c>
      <c r="G3" s="128" t="s">
        <v>6</v>
      </c>
      <c r="H3" s="128" t="s">
        <v>7</v>
      </c>
      <c r="I3" s="129" t="s">
        <v>8</v>
      </c>
    </row>
    <row r="4" spans="1:9" ht="45" x14ac:dyDescent="0.25">
      <c r="A4" s="120" t="str">
        <f t="array" ref="A4:I20">_xlfn._xlws.FILTER(Dolores_Deseos[],ISNUMBER(SEARCH(B1,Dolores_Deseos[FEDPICA
(Emoción | Dolor | frustra, enoja, desespera, preocupa, incomoda, cansancio o angustia )])))</f>
        <v>B2B</v>
      </c>
      <c r="B4" s="120" t="str">
        <v>Necesidad</v>
      </c>
      <c r="C4" s="26">
        <v>0</v>
      </c>
      <c r="D4" s="122" t="str">
        <v>Tengo planimetría o diseño del proyecto y quiero entenderlo mejor antes de comenzar a construir.</v>
      </c>
      <c r="E4" s="122">
        <v>0</v>
      </c>
      <c r="F4" s="122">
        <v>0</v>
      </c>
      <c r="G4" s="119" t="str">
        <v>D.sign</v>
      </c>
      <c r="H4" s="118" t="str">
        <v>Visualiza tu proyecto
(Modela con Renders ilimitados)</v>
      </c>
      <c r="I4" s="130" t="str">
        <v>V1</v>
      </c>
    </row>
    <row r="5" spans="1:9" ht="37.5" x14ac:dyDescent="0.25">
      <c r="A5" s="120" t="str">
        <v>B2B</v>
      </c>
      <c r="B5" s="120" t="str">
        <v>Necesidad</v>
      </c>
      <c r="C5" s="26">
        <v>0</v>
      </c>
      <c r="D5" s="122" t="str">
        <v>Soy un diseñador o arquitecto y no se nada de software, quiero apoyo en esto.</v>
      </c>
      <c r="E5" s="122">
        <v>0</v>
      </c>
      <c r="F5" s="122">
        <v>0</v>
      </c>
      <c r="G5" s="119" t="str">
        <v>D.sign</v>
      </c>
      <c r="H5" s="118">
        <v>0</v>
      </c>
      <c r="I5" s="130" t="str">
        <v>V2</v>
      </c>
    </row>
    <row r="6" spans="1:9" ht="56.25" x14ac:dyDescent="0.25">
      <c r="A6" s="120" t="str">
        <v>B2B</v>
      </c>
      <c r="B6" s="120" t="str">
        <v>Necesidad</v>
      </c>
      <c r="C6" s="26">
        <v>0</v>
      </c>
      <c r="D6" s="122" t="str">
        <v>Tengo un proyecto con renders insuficientes o de mala calidad y eso hace que mis ventas no sean eficientes. Necesita mayor impacto.</v>
      </c>
      <c r="E6" s="122">
        <v>0</v>
      </c>
      <c r="F6" s="122">
        <v>0</v>
      </c>
      <c r="G6" s="119" t="str">
        <v>D.sign</v>
      </c>
      <c r="H6" s="118">
        <v>0</v>
      </c>
      <c r="I6" s="130" t="str">
        <v>V3</v>
      </c>
    </row>
    <row r="7" spans="1:9" ht="37.5" x14ac:dyDescent="0.25">
      <c r="A7" s="120" t="str">
        <v>B2B</v>
      </c>
      <c r="B7" s="120" t="str">
        <v>Necesidad</v>
      </c>
      <c r="C7" s="26" t="str">
        <v>Calidad en el diseño</v>
      </c>
      <c r="D7" s="122" t="str">
        <v>No es solo un proyecto wellness
Debe ser el mejor proyecto wellness</v>
      </c>
      <c r="E7" s="122" t="str">
        <v xml:space="preserve">Todos los días nacen nuevos proyectos orientados al bienestar, y la diferenciación es clave en cualquier proyecto inmobiliario. La categoría Wellness no es la excepción. </v>
      </c>
      <c r="F7" s="122" t="str">
        <v>Somos especialistas en crear espacios únicos, con ADN propio, que crean tendencias.</v>
      </c>
      <c r="G7" s="119" t="str">
        <v>D.sign</v>
      </c>
      <c r="H7" s="118">
        <v>0</v>
      </c>
      <c r="I7" s="130">
        <v>0</v>
      </c>
    </row>
    <row r="8" spans="1:9" ht="56.25" x14ac:dyDescent="0.25">
      <c r="A8" s="120" t="str">
        <v>B2B</v>
      </c>
      <c r="B8" s="120" t="str">
        <v>Necesidad</v>
      </c>
      <c r="C8" s="26" t="str">
        <v>Falta de detalle y experiencia en el proceso constructivo</v>
      </c>
      <c r="D8" s="122" t="str">
        <v>Cuando el arquitecto no piensa en el detalle, nos toca solucionarlo en obra.</v>
      </c>
      <c r="E8" s="122" t="str">
        <v>El detalle es aquello que no se aprecia en el proceso de diseño, pero es evidente en el espacio cuando no se hace. En un proyecto orientado al bienestar, los pequeños detalles generan grandes resultados. Todo debe pensarse en equilibrio.</v>
      </c>
      <c r="F8" s="122" t="str">
        <v>Somos apasionados y meticulosos por el detalle, entendemos su importancia y cuidamos su ejecución.</v>
      </c>
      <c r="G8" s="119" t="str">
        <v>D.sign</v>
      </c>
      <c r="H8" s="118">
        <v>0</v>
      </c>
      <c r="I8" s="130">
        <v>0</v>
      </c>
    </row>
    <row r="9" spans="1:9" ht="56.25" x14ac:dyDescent="0.25">
      <c r="A9" s="120" t="str">
        <v>B2B</v>
      </c>
      <c r="B9" s="120" t="str">
        <v>Necesidad</v>
      </c>
      <c r="C9" s="26" t="str">
        <v>Experiencia única e hiper-personalizada</v>
      </c>
      <c r="D9" s="122" t="str">
        <v>Un servicio exclusivo y adaptado a los tiempos y 100% en la nube</v>
      </c>
      <c r="E9" s="122" t="str">
        <v xml:space="preserve">Estructurar y diseñar un proyecto inmobiliario es un proceso personal y exclusivo. No es posible copiar y pegar un proyecto. Se trata de hacerlo a la medida y en los tiempos en los que se requiere. </v>
      </c>
      <c r="F9" s="122" t="str">
        <v xml:space="preserve">Un servicio exclusivo y adaptado a los tiempos y 100% en la nube. </v>
      </c>
      <c r="G9" s="119" t="str">
        <v>D.sign</v>
      </c>
      <c r="H9" s="118">
        <v>0</v>
      </c>
      <c r="I9" s="130">
        <v>0</v>
      </c>
    </row>
    <row r="10" spans="1:9" ht="56.25" x14ac:dyDescent="0.25">
      <c r="A10" s="120" t="str">
        <v>B2B</v>
      </c>
      <c r="B10" s="120" t="str">
        <v>Necesidad</v>
      </c>
      <c r="C10" s="26" t="str">
        <v>Lo complejo que es capacitar equipos comerciales</v>
      </c>
      <c r="D10" s="122" t="str">
        <v>Capacitar equipos comerciales -técnicos es riesgoso, lento y costoso.</v>
      </c>
      <c r="E10" s="122" t="str">
        <v>Crear un equipo comercial, que venda con seguridad técnica y claridad arquitectónica, no es fácil de hacer. Sabemos que las imprecisiones o faltas de claridad pueden generar inconvenientes con los clientes.</v>
      </c>
      <c r="F10" s="122" t="str">
        <v>Somos comunicadores a partir del diseño y la construcción, nuestra especialidad es acompañar a los clientes en el diseño y construcción de su proyecto. Somos expertos en vivienda campestre.</v>
      </c>
      <c r="G10" s="119" t="str">
        <v>Sales</v>
      </c>
      <c r="H10" s="118">
        <v>0</v>
      </c>
      <c r="I10" s="130">
        <v>0</v>
      </c>
    </row>
    <row r="11" spans="1:9" ht="56.25" x14ac:dyDescent="0.25">
      <c r="A11" s="120" t="str">
        <v>B2B</v>
      </c>
      <c r="B11" s="120" t="str">
        <v>Necesidad</v>
      </c>
      <c r="C11" s="26" t="str">
        <v>Lentitud en los procesos y pérdida de ventas</v>
      </c>
      <c r="D11" s="122" t="str">
        <v>Un equipo comercial sin conocimiento técnico hace lentos los procesos y deja “enfríar” un cliente</v>
      </c>
      <c r="E11" s="122" t="str">
        <v>En las ventas, la agilidad, el servicio oportuno y una asesoría técnica es clave para transmitir confianza, y la confianza genera compras.</v>
      </c>
      <c r="F11" s="122" t="str">
        <v>Somos profesionales de la arquitectura, apasionados por las ventas. Nuestro conocimiento nos permite ser ágiles en las respuestas y asesorar muy bien al cliente en su proceso de compra.</v>
      </c>
      <c r="G11" s="119" t="str">
        <v>Sales</v>
      </c>
      <c r="H11" s="118">
        <v>0</v>
      </c>
      <c r="I11" s="130">
        <v>0</v>
      </c>
    </row>
    <row r="12" spans="1:9" ht="75" x14ac:dyDescent="0.25">
      <c r="A12" s="120" t="str">
        <v>B2B</v>
      </c>
      <c r="B12" s="120" t="str">
        <v>Necesidad</v>
      </c>
      <c r="C12" s="26" t="str">
        <v>El diseño es estándar y siempre surgen cambios</v>
      </c>
      <c r="D12" s="122" t="str">
        <v>El diseño es una camisa de fuerza, los clientes siempre quieren hacer cambios.</v>
      </c>
      <c r="E12" s="122" t="str">
        <v>El diseño de las viviendas campestres siempre estarán ligadas a las particularidades y sueños de cada familia, por eso la personalización es clave para dentro de la experiencia de compra de una vivienda campestre.</v>
      </c>
      <c r="F12" s="122" t="str">
        <v>Somos diseñadores especializados en hiper-personalización de espacios con tecnología,. Nos apasiona acompañar a los clientes en ese proceso de personalización y cambios, y hacer que sus viviendas sean lo que siempre han soñado para su familia.</v>
      </c>
      <c r="G12" s="119" t="str">
        <v>D.sign</v>
      </c>
      <c r="H12" s="118">
        <v>0</v>
      </c>
      <c r="I12" s="130">
        <v>0</v>
      </c>
    </row>
    <row r="13" spans="1:9" ht="75" x14ac:dyDescent="0.25">
      <c r="A13" s="120" t="str">
        <v>B2B</v>
      </c>
      <c r="B13" s="120" t="str">
        <v>Necesidad</v>
      </c>
      <c r="C13" s="26" t="str">
        <v>Una vivienda no solo debe funcionar, debe emocionar.</v>
      </c>
      <c r="D13" s="122" t="str">
        <v>Calidad en el producto | Sé que las viviendas que tenemos hoy pueden tener un diseño de fachada más impactante y comercial sin perder la distribución ni el concepto del proyecto.</v>
      </c>
      <c r="E13" s="122" t="str">
        <v>Las viviendas campestres son parte del sueño colombiano de vivir en el nuevo lujo, el campo, sin embargo, cada vivienda debe ser en si misma una aspiración para quien la ve, una emoción, un deseo.</v>
      </c>
      <c r="F13" s="122" t="str">
        <v>Somos especialistas en crear espacios únicos, con ADN propio, espacios que funcionan pero también que emocionan.</v>
      </c>
      <c r="G13" s="119" t="str">
        <v>D.sign</v>
      </c>
      <c r="H13" s="118">
        <v>0</v>
      </c>
      <c r="I13" s="130">
        <v>0</v>
      </c>
    </row>
    <row r="14" spans="1:9" ht="60" x14ac:dyDescent="0.25">
      <c r="A14" s="120" t="str">
        <v>B2B</v>
      </c>
      <c r="B14" s="120" t="str">
        <v>Necesidad</v>
      </c>
      <c r="C14" s="26" t="str">
        <v>La velocidad es clave al comercializar una vivienda sobre planos, una respuesta tardía deja “enfríar” un cliente</v>
      </c>
      <c r="D14" s="122" t="str">
        <v>Velocidad | El equipo de diseño de LAR no tiene la velocidad de respuesta para la velocidad que requieren este tipo de servicios.</v>
      </c>
      <c r="E14" s="122" t="str">
        <v>En las ventas de arquitectura doméstica la agilidad, el servicio oportuno y una asesoría técnica es clave para transmitir confianza, y la confianza genera compras.</v>
      </c>
      <c r="F14" s="122" t="str">
        <v>Somos profesionales de la arquitectura, apasionados por las ventas. Nuestro conocimiento nos permite ser ágiles en las respuestas y asesorar muy bien al cliente en su proceso de compra.</v>
      </c>
      <c r="G14" s="119" t="str">
        <v>Sales</v>
      </c>
      <c r="H14" s="118">
        <v>0</v>
      </c>
      <c r="I14" s="130">
        <v>0</v>
      </c>
    </row>
    <row r="15" spans="1:9" ht="75" x14ac:dyDescent="0.25">
      <c r="A15" s="120" t="str">
        <v>B2B</v>
      </c>
      <c r="B15" s="120" t="str">
        <v>Necesidad</v>
      </c>
      <c r="C15" s="26" t="str">
        <v>Si la experiencia del cliente al conocer el proyecto no es emocionante, la venta es mas dificil.</v>
      </c>
      <c r="D15" s="122" t="str">
        <v>Experiencia de Usuario | El equipo de diseño no sabe comunicar bien, y esto no nos permite comercializar a la velocidad y asertividad que necesitamos.</v>
      </c>
      <c r="E15" s="122" t="str">
        <v>En la comercialización de vivienda campestre, importa el fondo y la forma, la experiencia del cliente al conocer el proyecto, la visualización y la información debe ser memorable y emocionante.</v>
      </c>
      <c r="F15" s="122" t="str">
        <v>Somos un equipo de arquitectura que entiende que, si los proyectos no emocionan, no venden. Nos hemos especializado en la construcción de estrategias de comunicación arquitectónicas para comunicar y vender mejor.</v>
      </c>
      <c r="G15" s="119" t="str">
        <v>Sales</v>
      </c>
      <c r="H15" s="118">
        <v>0</v>
      </c>
      <c r="I15" s="130">
        <v>0</v>
      </c>
    </row>
    <row r="16" spans="1:9" ht="75" x14ac:dyDescent="0.25">
      <c r="A16" s="120" t="str">
        <v>B2C</v>
      </c>
      <c r="B16" s="120" t="str">
        <v>Necesidad</v>
      </c>
      <c r="C16" s="26" t="str">
        <v>Una casa de diseño es como un traductor, conjugamos en un mismo diseño, deseos que la familia tiene en la cabeza con la funcionalidad y la estética.</v>
      </c>
      <c r="D16" s="122" t="str">
        <v>Le preocupa que su arquitecto no pueda interpretar y seguir su lista de deseos al pié de la letra y que le falte algún espacio que se sueña en su vivienda.</v>
      </c>
      <c r="E16" s="122" t="str">
        <v>Una vivienda que no tiene los espacios solicitados, es como el traje que se encarga a un sastre y queda pequeño.</v>
      </c>
      <c r="F16" s="122" t="str">
        <v xml:space="preserve">La buena arquitectura, fuera de emocionar y funcionar, debe ser como un traje a medida. </v>
      </c>
      <c r="G16" s="119" t="str">
        <v>D.sign</v>
      </c>
      <c r="H16" s="118">
        <v>0</v>
      </c>
      <c r="I16" s="130" t="str">
        <v>V4</v>
      </c>
    </row>
    <row r="17" spans="1:9" ht="56.25" x14ac:dyDescent="0.25">
      <c r="A17" s="120" t="str">
        <v>B2C</v>
      </c>
      <c r="B17" s="120" t="str">
        <v>Necesidad</v>
      </c>
      <c r="C17" s="26" t="str">
        <v>La tecnología es un vehiculo para ver la casa terminada, antes de ser construida.</v>
      </c>
      <c r="D17" s="122" t="str">
        <v>Le preocupa que su diseño no se parezca a la construcción real del proyecto, o que como se vea en los renders no sea igual a lo recibido.</v>
      </c>
      <c r="E17" s="122" t="str">
        <v>El presupuesto, los materiales que no eran lo esperado y el tamaño de los espacios, son decisiones que no pueden dejarse a solo un plano.</v>
      </c>
      <c r="F17" s="122" t="str">
        <v>Hemos desarrollado experiencias digitales para que la toma de desiciones en la mesa de diseño, sea emocionante, y asertado.</v>
      </c>
      <c r="G17" s="119" t="str">
        <v>V.sual</v>
      </c>
      <c r="H17" s="118">
        <v>0</v>
      </c>
      <c r="I17" s="130" t="str">
        <v>V5</v>
      </c>
    </row>
    <row r="18" spans="1:9" ht="56.25" x14ac:dyDescent="0.25">
      <c r="A18" s="120" t="str">
        <v>B2C</v>
      </c>
      <c r="B18" s="120" t="str">
        <v>Necesidad</v>
      </c>
      <c r="C18" s="26" t="str">
        <v>Calidad y asertividad en el diseño</v>
      </c>
      <c r="D18" s="122" t="str">
        <v>Lo frustraría mucho que sus espacios sean mas pequeños o poco iluminados a lo que está acostumbrado. Su vivienda actual es su punto de referencia.</v>
      </c>
      <c r="E18" s="122">
        <v>0</v>
      </c>
      <c r="F18" s="122">
        <v>0</v>
      </c>
      <c r="G18" s="119" t="str">
        <v>D.sign</v>
      </c>
      <c r="H18" s="118">
        <v>0</v>
      </c>
      <c r="I18" s="130" t="str">
        <v>V6</v>
      </c>
    </row>
    <row r="19" spans="1:9" ht="75" x14ac:dyDescent="0.25">
      <c r="A19" s="120" t="str">
        <v>B2C</v>
      </c>
      <c r="B19" s="120" t="str">
        <v>Deseo</v>
      </c>
      <c r="C19" s="26" t="str">
        <v>Confianza y Calidad en el diseño</v>
      </c>
      <c r="D19" s="122" t="str">
        <v>Lo emociona que sus espacios se parezcan a sus referentes de diseño, a sus espacios soñados, al estilo que mas le gusta. El cliente ya sabe que quiere, necesita un arquitecto que le ayude a plasmarlo.</v>
      </c>
      <c r="E19" s="122">
        <v>0</v>
      </c>
      <c r="F19" s="122">
        <v>0</v>
      </c>
      <c r="G19" s="119" t="str">
        <v>D.sign</v>
      </c>
      <c r="H19" s="118">
        <v>0</v>
      </c>
      <c r="I19" s="130" t="str">
        <v>V7</v>
      </c>
    </row>
    <row r="20" spans="1:9" ht="56.25" x14ac:dyDescent="0.25">
      <c r="A20" s="120" t="str">
        <v>B2C</v>
      </c>
      <c r="B20" s="120" t="str">
        <v>Necesidad</v>
      </c>
      <c r="C20" s="26" t="str">
        <v>Disrupción y Calidad en el diseño</v>
      </c>
      <c r="D20" s="122" t="str">
        <v>Le incomoda que su casa se vea igual a las de sus vecinos. Quiere algo disruptivo, una vivienda que lo emocione, que le haga sentir orgullo. Que la pueda mostrar como un trofeo.</v>
      </c>
      <c r="E20" s="122">
        <v>0</v>
      </c>
      <c r="F20" s="122">
        <v>0</v>
      </c>
      <c r="G20" s="119" t="str">
        <v>D.sign</v>
      </c>
      <c r="H20" s="118">
        <v>0</v>
      </c>
      <c r="I20" s="130" t="str">
        <v>V8</v>
      </c>
    </row>
  </sheetData>
  <mergeCells count="1">
    <mergeCell ref="B1:I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tabColor theme="1"/>
  </sheetPr>
  <dimension ref="A1:Q997"/>
  <sheetViews>
    <sheetView zoomScale="80" zoomScaleNormal="80" workbookViewId="0">
      <selection activeCell="E4" sqref="E4"/>
    </sheetView>
  </sheetViews>
  <sheetFormatPr baseColWidth="10" defaultColWidth="11.33203125" defaultRowHeight="15" customHeight="1" x14ac:dyDescent="0.25"/>
  <cols>
    <col min="1" max="1" width="23.109375" style="26" bestFit="1" customWidth="1"/>
    <col min="2" max="2" width="20.44140625" style="26" bestFit="1" customWidth="1"/>
    <col min="3" max="3" width="21.88671875" style="26" bestFit="1" customWidth="1"/>
    <col min="4" max="4" width="23.44140625" style="26" bestFit="1" customWidth="1"/>
    <col min="5" max="5" width="27.109375" style="26" bestFit="1" customWidth="1"/>
    <col min="6" max="6" width="17.109375" style="26" bestFit="1" customWidth="1"/>
    <col min="7" max="7" width="21.109375" style="26" bestFit="1" customWidth="1"/>
    <col min="8" max="8" width="19.44140625" style="26" bestFit="1" customWidth="1"/>
    <col min="9" max="9" width="15.33203125" style="26" bestFit="1" customWidth="1"/>
    <col min="10" max="10" width="18.109375" style="26" bestFit="1" customWidth="1"/>
    <col min="11" max="11" width="16.88671875" style="26" bestFit="1" customWidth="1"/>
    <col min="12" max="12" width="9.6640625" style="26" customWidth="1"/>
    <col min="13" max="13" width="25.88671875" style="119" bestFit="1" customWidth="1"/>
    <col min="14" max="14" width="23.88671875" style="26" customWidth="1"/>
    <col min="15" max="16" width="9.6640625" style="26" customWidth="1"/>
    <col min="17" max="17" width="10.109375" style="26" customWidth="1"/>
    <col min="18" max="16384" width="11.33203125" style="26"/>
  </cols>
  <sheetData>
    <row r="1" spans="1:17" ht="50.1" customHeight="1" x14ac:dyDescent="0.25">
      <c r="A1" s="281" t="s">
        <v>1199</v>
      </c>
      <c r="B1" s="281"/>
      <c r="C1" s="281"/>
      <c r="D1" s="281"/>
      <c r="E1" s="281"/>
      <c r="F1" s="281"/>
      <c r="G1" s="281"/>
      <c r="H1" s="281"/>
      <c r="I1" s="281"/>
      <c r="J1" s="281"/>
      <c r="K1" s="281"/>
      <c r="L1" s="29"/>
      <c r="M1" s="281" t="s">
        <v>1200</v>
      </c>
      <c r="N1" s="281"/>
      <c r="O1" s="29"/>
      <c r="P1" s="29"/>
      <c r="Q1" s="29"/>
    </row>
    <row r="2" spans="1:17" s="33" customFormat="1" ht="30" customHeight="1" x14ac:dyDescent="0.25">
      <c r="A2" s="30" t="s">
        <v>1201</v>
      </c>
      <c r="B2" s="30" t="s">
        <v>78</v>
      </c>
      <c r="C2" s="30" t="s">
        <v>79</v>
      </c>
      <c r="D2" s="30" t="s">
        <v>1202</v>
      </c>
      <c r="E2" s="31" t="s">
        <v>1203</v>
      </c>
      <c r="F2" s="31" t="s">
        <v>1204</v>
      </c>
      <c r="G2" s="30" t="s">
        <v>1205</v>
      </c>
      <c r="H2" s="145" t="s">
        <v>91</v>
      </c>
      <c r="I2" s="30" t="s">
        <v>1206</v>
      </c>
      <c r="J2" s="31" t="s">
        <v>1207</v>
      </c>
      <c r="K2" s="31" t="s">
        <v>1208</v>
      </c>
      <c r="M2" s="213" t="s">
        <v>1209</v>
      </c>
      <c r="N2" s="30" t="s">
        <v>1210</v>
      </c>
    </row>
    <row r="3" spans="1:17" ht="15.75" customHeight="1" x14ac:dyDescent="0.25">
      <c r="A3" s="48" t="s">
        <v>1211</v>
      </c>
      <c r="B3" s="49" t="s">
        <v>109</v>
      </c>
      <c r="C3" s="49" t="s">
        <v>125</v>
      </c>
      <c r="D3" s="50" t="s">
        <v>183</v>
      </c>
      <c r="E3" s="51">
        <v>4500000</v>
      </c>
      <c r="F3" s="32">
        <f>+E3/21/9.4</f>
        <v>22796.352583586624</v>
      </c>
      <c r="G3" s="52">
        <v>10000000</v>
      </c>
      <c r="H3" s="53">
        <f>+G3/12/21/9.4</f>
        <v>4221.5467747382636</v>
      </c>
      <c r="I3" s="54" t="s">
        <v>1212</v>
      </c>
      <c r="J3" s="55">
        <v>1425790.47</v>
      </c>
      <c r="K3" s="56">
        <f t="shared" ref="K3:K8" si="0">+$J$9/12/21/9.4/3</f>
        <v>3410.8548871439834</v>
      </c>
      <c r="L3" s="29"/>
      <c r="M3" s="214">
        <v>0</v>
      </c>
      <c r="N3" s="215" t="s">
        <v>423</v>
      </c>
      <c r="O3" s="29"/>
      <c r="P3" s="29"/>
    </row>
    <row r="4" spans="1:17" ht="15.75" customHeight="1" x14ac:dyDescent="0.25">
      <c r="A4" s="48" t="s">
        <v>1213</v>
      </c>
      <c r="B4" s="49" t="s">
        <v>144</v>
      </c>
      <c r="C4" s="49" t="s">
        <v>110</v>
      </c>
      <c r="D4" s="50" t="s">
        <v>116</v>
      </c>
      <c r="E4" s="51">
        <v>3500000</v>
      </c>
      <c r="F4" s="32">
        <f>+E4/21/9.4</f>
        <v>17730.496453900709</v>
      </c>
      <c r="G4" s="52">
        <v>10000000</v>
      </c>
      <c r="H4" s="53">
        <f>+G4/12/21/9.4</f>
        <v>4221.5467747382636</v>
      </c>
      <c r="I4" s="54" t="s">
        <v>1214</v>
      </c>
      <c r="J4" s="55">
        <v>6645205.0599999996</v>
      </c>
      <c r="K4" s="56">
        <f t="shared" si="0"/>
        <v>3410.8548871439834</v>
      </c>
      <c r="L4" s="29"/>
      <c r="M4" s="214">
        <v>1</v>
      </c>
      <c r="N4" s="215" t="s">
        <v>1215</v>
      </c>
      <c r="O4" s="29"/>
      <c r="P4" s="29"/>
    </row>
    <row r="5" spans="1:17" ht="26.25" customHeight="1" x14ac:dyDescent="0.25">
      <c r="A5" s="48" t="s">
        <v>1216</v>
      </c>
      <c r="B5" s="49" t="s">
        <v>216</v>
      </c>
      <c r="C5" s="49" t="s">
        <v>181</v>
      </c>
      <c r="D5" s="50" t="s">
        <v>119</v>
      </c>
      <c r="E5" s="51">
        <v>3000000</v>
      </c>
      <c r="F5" s="32">
        <f>+E5/21/9.4</f>
        <v>15197.568389057751</v>
      </c>
      <c r="G5" s="52">
        <v>8500000</v>
      </c>
      <c r="H5" s="53">
        <f>+G5/12/21/9.4</f>
        <v>3588.3147585275251</v>
      </c>
      <c r="I5" s="54" t="s">
        <v>1217</v>
      </c>
      <c r="J5" s="55">
        <v>3313174.64</v>
      </c>
      <c r="K5" s="56">
        <f t="shared" si="0"/>
        <v>3410.8548871439834</v>
      </c>
      <c r="L5" s="29"/>
      <c r="M5" s="214">
        <v>2</v>
      </c>
      <c r="N5" s="215" t="s">
        <v>1218</v>
      </c>
      <c r="O5" s="29"/>
      <c r="P5" s="29"/>
    </row>
    <row r="6" spans="1:17" ht="15.75" customHeight="1" x14ac:dyDescent="0.25">
      <c r="A6" s="48"/>
      <c r="B6" s="49" t="s">
        <v>252</v>
      </c>
      <c r="C6" s="49" t="s">
        <v>190</v>
      </c>
      <c r="D6" s="50" t="s">
        <v>150</v>
      </c>
      <c r="E6" s="51">
        <v>0</v>
      </c>
      <c r="F6" s="32">
        <v>10000</v>
      </c>
      <c r="G6" s="51">
        <v>8000000</v>
      </c>
      <c r="H6" s="53">
        <f>+G6/12/21/9.4</f>
        <v>3377.2374197906111</v>
      </c>
      <c r="I6" s="54" t="s">
        <v>1219</v>
      </c>
      <c r="J6" s="55">
        <v>12402905</v>
      </c>
      <c r="K6" s="56">
        <f t="shared" si="0"/>
        <v>3410.8548871439834</v>
      </c>
      <c r="L6" s="29"/>
      <c r="M6" s="214">
        <v>3</v>
      </c>
      <c r="N6" s="215" t="s">
        <v>1220</v>
      </c>
      <c r="O6" s="29"/>
      <c r="P6" s="29"/>
    </row>
    <row r="7" spans="1:17" ht="15.75" customHeight="1" x14ac:dyDescent="0.25">
      <c r="A7" s="48"/>
      <c r="B7" s="49" t="s">
        <v>270</v>
      </c>
      <c r="C7" s="49"/>
      <c r="D7" s="50" t="s">
        <v>258</v>
      </c>
      <c r="E7" s="51">
        <v>0</v>
      </c>
      <c r="F7" s="32"/>
      <c r="G7" s="51"/>
      <c r="H7" s="32"/>
      <c r="I7" s="54" t="s">
        <v>1221</v>
      </c>
      <c r="J7" s="55">
        <v>451824</v>
      </c>
      <c r="K7" s="56">
        <f t="shared" si="0"/>
        <v>3410.8548871439834</v>
      </c>
      <c r="L7" s="29"/>
      <c r="M7" s="214">
        <v>4</v>
      </c>
      <c r="N7" s="215" t="s">
        <v>1222</v>
      </c>
      <c r="O7" s="29"/>
      <c r="P7" s="29"/>
    </row>
    <row r="8" spans="1:17" ht="15.75" customHeight="1" x14ac:dyDescent="0.25">
      <c r="A8" s="48"/>
      <c r="B8" s="49" t="s">
        <v>302</v>
      </c>
      <c r="C8" s="49"/>
      <c r="D8" s="50"/>
      <c r="E8" s="51"/>
      <c r="F8" s="32"/>
      <c r="G8" s="51"/>
      <c r="H8" s="32"/>
      <c r="I8" s="54"/>
      <c r="J8" s="55"/>
      <c r="K8" s="56">
        <f t="shared" si="0"/>
        <v>3410.8548871439834</v>
      </c>
      <c r="L8" s="29"/>
      <c r="M8" s="214">
        <v>5</v>
      </c>
      <c r="N8" s="215" t="s">
        <v>1223</v>
      </c>
      <c r="O8" s="29"/>
      <c r="P8" s="29"/>
    </row>
    <row r="9" spans="1:17" s="63" customFormat="1" ht="18.75" x14ac:dyDescent="0.25">
      <c r="A9" s="57" t="s">
        <v>1224</v>
      </c>
      <c r="B9" s="57"/>
      <c r="C9" s="58">
        <f>SUBTOTAL(103,V.sual_Lista_Data[SUB CATEGORÍA])</f>
        <v>4</v>
      </c>
      <c r="D9" s="59">
        <f>SUBTOTAL(103,V.sual_Lista_Data[EQUIPO VISUAL])</f>
        <v>5</v>
      </c>
      <c r="E9" s="60">
        <f>SUBTOTAL(109,V.sual_Lista_Data[HONORARIOS MENSUALES])</f>
        <v>11000000</v>
      </c>
      <c r="F9" s="60">
        <f>SUBTOTAL(109,V.sual_Lista_Data[HONORARIOS 
HORA])</f>
        <v>65724.417426545086</v>
      </c>
      <c r="G9" s="60">
        <f>SUBTOTAL(109,V.sual_Lista_Data[VALOR HARDWARE])</f>
        <v>36500000</v>
      </c>
      <c r="H9" s="61">
        <f>SUBTOTAL(109,V.sual_Lista_Data[HARDWARE 
($ DEPRECIACIÓN)])</f>
        <v>15408.645727794665</v>
      </c>
      <c r="I9" s="58">
        <f>SUBTOTAL(103,V.sual_Lista_Data[SOFTWARE])</f>
        <v>5</v>
      </c>
      <c r="J9" s="60">
        <f>SUBTOTAL(109,V.sual_Lista_Data[SOFTWARE 
VALOR ANUAL])</f>
        <v>24238899.170000002</v>
      </c>
      <c r="K9" s="60">
        <f>SUBTOTAL(109,V.sual_Lista_Data[SOFTWARE 
VALOR HORA])</f>
        <v>20465.129322863904</v>
      </c>
      <c r="L9" s="62"/>
      <c r="M9" s="214">
        <v>6</v>
      </c>
      <c r="N9" s="215" t="s">
        <v>1225</v>
      </c>
      <c r="O9" s="62"/>
    </row>
    <row r="10" spans="1:17" ht="15.75" x14ac:dyDescent="0.25">
      <c r="A10" s="29"/>
      <c r="B10" s="64"/>
      <c r="C10" s="29"/>
      <c r="D10" s="65"/>
      <c r="E10" s="65"/>
      <c r="F10" s="66"/>
      <c r="G10" s="66"/>
      <c r="H10" s="66"/>
      <c r="I10" s="67"/>
      <c r="J10" s="67"/>
      <c r="K10" s="67"/>
      <c r="L10" s="29"/>
      <c r="M10" s="214">
        <v>7</v>
      </c>
      <c r="N10" s="215" t="s">
        <v>1226</v>
      </c>
      <c r="O10" s="29"/>
      <c r="P10" s="29"/>
    </row>
    <row r="11" spans="1:17" ht="50.1" customHeight="1" x14ac:dyDescent="0.25">
      <c r="A11" s="281" t="s">
        <v>1227</v>
      </c>
      <c r="B11" s="281"/>
      <c r="C11" s="281"/>
      <c r="D11" s="281"/>
      <c r="E11" s="281"/>
      <c r="F11" s="281"/>
      <c r="G11" s="281"/>
      <c r="H11" s="281"/>
      <c r="I11" s="281"/>
      <c r="J11" s="281"/>
      <c r="K11" s="281"/>
      <c r="L11" s="29"/>
      <c r="M11" s="214">
        <v>8</v>
      </c>
      <c r="N11" s="215" t="s">
        <v>1228</v>
      </c>
      <c r="O11" s="29"/>
      <c r="P11" s="29"/>
    </row>
    <row r="12" spans="1:17" ht="30" customHeight="1" x14ac:dyDescent="0.25">
      <c r="A12" s="30" t="s">
        <v>78</v>
      </c>
      <c r="B12" s="30" t="s">
        <v>79</v>
      </c>
      <c r="C12" s="30" t="s">
        <v>416</v>
      </c>
      <c r="D12" s="30" t="s">
        <v>87</v>
      </c>
      <c r="E12" s="31" t="s">
        <v>1203</v>
      </c>
      <c r="F12" s="31" t="s">
        <v>1204</v>
      </c>
      <c r="G12" s="30" t="s">
        <v>1205</v>
      </c>
      <c r="H12" s="145" t="s">
        <v>91</v>
      </c>
      <c r="I12" s="30" t="s">
        <v>1206</v>
      </c>
      <c r="J12" s="31" t="s">
        <v>1229</v>
      </c>
      <c r="K12" s="31" t="s">
        <v>1208</v>
      </c>
      <c r="L12" s="29"/>
      <c r="M12" s="214">
        <v>9</v>
      </c>
      <c r="N12" s="215" t="s">
        <v>1230</v>
      </c>
    </row>
    <row r="13" spans="1:17" ht="15.75" customHeight="1" x14ac:dyDescent="0.25">
      <c r="A13" s="68" t="s">
        <v>1231</v>
      </c>
      <c r="B13" s="69" t="s">
        <v>1046</v>
      </c>
      <c r="C13" s="68" t="s">
        <v>418</v>
      </c>
      <c r="D13" s="70" t="s">
        <v>384</v>
      </c>
      <c r="E13" s="71">
        <v>4500000</v>
      </c>
      <c r="F13" s="32">
        <f>+E13/21/9.4</f>
        <v>22796.352583586624</v>
      </c>
      <c r="G13" s="52">
        <v>6000000</v>
      </c>
      <c r="H13" s="53">
        <f>+G13/12/21/9.4</f>
        <v>2532.9280648429585</v>
      </c>
      <c r="I13" s="54" t="s">
        <v>1212</v>
      </c>
      <c r="J13" s="72">
        <v>1425790.47</v>
      </c>
      <c r="K13" s="56">
        <f t="shared" ref="K13:K19" si="1">+$J$23/12/21/9.4/3</f>
        <v>3410.8548871439834</v>
      </c>
      <c r="L13" s="29"/>
      <c r="M13" s="211"/>
      <c r="N13" s="29"/>
    </row>
    <row r="14" spans="1:17" ht="27" customHeight="1" x14ac:dyDescent="0.25">
      <c r="A14" s="68" t="s">
        <v>1232</v>
      </c>
      <c r="B14" s="69" t="s">
        <v>420</v>
      </c>
      <c r="C14" s="68" t="s">
        <v>442</v>
      </c>
      <c r="D14" s="70" t="s">
        <v>381</v>
      </c>
      <c r="E14" s="71">
        <v>4000000</v>
      </c>
      <c r="F14" s="32">
        <f>+E14/21/9.4</f>
        <v>20263.424518743668</v>
      </c>
      <c r="G14" s="52">
        <v>10000000</v>
      </c>
      <c r="H14" s="53">
        <f>+G14/12/21/9.4</f>
        <v>4221.5467747382636</v>
      </c>
      <c r="I14" s="54" t="s">
        <v>1214</v>
      </c>
      <c r="J14" s="72">
        <v>6645205.0599999996</v>
      </c>
      <c r="K14" s="56">
        <f t="shared" si="1"/>
        <v>3410.8548871439834</v>
      </c>
      <c r="L14" s="29"/>
      <c r="M14" s="211"/>
      <c r="N14" s="29"/>
    </row>
    <row r="15" spans="1:17" ht="33.75" customHeight="1" x14ac:dyDescent="0.25">
      <c r="A15" s="68" t="s">
        <v>1233</v>
      </c>
      <c r="B15" s="69" t="s">
        <v>497</v>
      </c>
      <c r="C15" s="68" t="s">
        <v>493</v>
      </c>
      <c r="D15" s="70" t="s">
        <v>472</v>
      </c>
      <c r="E15" s="71">
        <v>3500000</v>
      </c>
      <c r="F15" s="32">
        <f>+E15/21/9.4</f>
        <v>17730.496453900709</v>
      </c>
      <c r="G15" s="51">
        <v>8000000</v>
      </c>
      <c r="H15" s="53">
        <f>+G15/12/21/9.4</f>
        <v>3377.2374197906111</v>
      </c>
      <c r="I15" s="54" t="s">
        <v>1217</v>
      </c>
      <c r="J15" s="72">
        <v>3313174.64</v>
      </c>
      <c r="K15" s="56">
        <f t="shared" si="1"/>
        <v>3410.8548871439834</v>
      </c>
      <c r="L15" s="29"/>
      <c r="M15" s="211"/>
      <c r="N15" s="29"/>
    </row>
    <row r="16" spans="1:17" ht="22.5" customHeight="1" x14ac:dyDescent="0.25">
      <c r="A16" s="68" t="s">
        <v>1178</v>
      </c>
      <c r="B16" s="69" t="s">
        <v>467</v>
      </c>
      <c r="C16" s="68"/>
      <c r="D16" s="70" t="s">
        <v>1234</v>
      </c>
      <c r="E16" s="71">
        <v>2300000</v>
      </c>
      <c r="F16" s="32">
        <f>+E16/21/9.4</f>
        <v>11651.469098277608</v>
      </c>
      <c r="G16" s="51">
        <v>6000000</v>
      </c>
      <c r="H16" s="53">
        <f>+G16/12/21/9.4</f>
        <v>2532.9280648429585</v>
      </c>
      <c r="I16" s="54" t="s">
        <v>1219</v>
      </c>
      <c r="J16" s="72">
        <v>12402905</v>
      </c>
      <c r="K16" s="56">
        <f t="shared" si="1"/>
        <v>3410.8548871439834</v>
      </c>
      <c r="L16" s="29"/>
      <c r="M16" s="211"/>
      <c r="N16" s="29"/>
    </row>
    <row r="17" spans="1:17" ht="15.75" customHeight="1" x14ac:dyDescent="0.25">
      <c r="A17" s="68" t="s">
        <v>1235</v>
      </c>
      <c r="B17" s="69" t="s">
        <v>1104</v>
      </c>
      <c r="C17" s="68"/>
      <c r="D17" s="70" t="s">
        <v>1236</v>
      </c>
      <c r="E17" s="71">
        <v>2000000</v>
      </c>
      <c r="F17" s="32">
        <f>+E17/21/9.4</f>
        <v>10131.712259371834</v>
      </c>
      <c r="G17" s="51">
        <v>6000000</v>
      </c>
      <c r="H17" s="53">
        <f>+G17/12/21/9.4</f>
        <v>2532.9280648429585</v>
      </c>
      <c r="I17" s="54" t="s">
        <v>1221</v>
      </c>
      <c r="J17" s="72">
        <v>451824</v>
      </c>
      <c r="K17" s="56">
        <f t="shared" si="1"/>
        <v>3410.8548871439834</v>
      </c>
      <c r="L17" s="29"/>
      <c r="M17" s="211"/>
      <c r="N17" s="29"/>
    </row>
    <row r="18" spans="1:17" ht="15.75" customHeight="1" x14ac:dyDescent="0.25">
      <c r="A18" s="68" t="s">
        <v>1237</v>
      </c>
      <c r="B18" s="69"/>
      <c r="C18" s="68"/>
      <c r="D18" s="73"/>
      <c r="E18" s="71"/>
      <c r="F18" s="184"/>
      <c r="G18" s="185"/>
      <c r="H18" s="66"/>
      <c r="I18" s="76"/>
      <c r="J18" s="77"/>
      <c r="K18" s="67">
        <f>+$J$23/12/21/9.4/3</f>
        <v>3410.8548871439834</v>
      </c>
      <c r="L18" s="29"/>
      <c r="M18" s="211"/>
      <c r="N18" s="29"/>
    </row>
    <row r="19" spans="1:17" ht="15.75" customHeight="1" x14ac:dyDescent="0.25">
      <c r="A19" s="68" t="s">
        <v>1238</v>
      </c>
      <c r="B19" s="69"/>
      <c r="C19" s="68"/>
      <c r="D19" s="73"/>
      <c r="E19" s="74"/>
      <c r="F19" s="66"/>
      <c r="G19" s="75"/>
      <c r="H19" s="66"/>
      <c r="I19" s="54"/>
      <c r="J19" s="72"/>
      <c r="K19" s="56">
        <f t="shared" si="1"/>
        <v>3410.8548871439834</v>
      </c>
      <c r="L19" s="29"/>
      <c r="M19" s="211"/>
      <c r="N19" s="29"/>
    </row>
    <row r="20" spans="1:17" ht="15.75" customHeight="1" x14ac:dyDescent="0.25">
      <c r="A20" s="68" t="s">
        <v>1239</v>
      </c>
      <c r="B20" s="69"/>
      <c r="C20" s="68"/>
      <c r="D20" s="73"/>
      <c r="E20" s="74"/>
      <c r="F20" s="66"/>
      <c r="G20" s="75"/>
      <c r="H20" s="66"/>
      <c r="I20" s="76"/>
      <c r="J20" s="77"/>
      <c r="K20" s="56"/>
      <c r="L20" s="29"/>
      <c r="M20" s="211"/>
      <c r="N20" s="29"/>
    </row>
    <row r="21" spans="1:17" ht="15.75" customHeight="1" x14ac:dyDescent="0.25">
      <c r="A21" s="68" t="s">
        <v>1240</v>
      </c>
      <c r="B21" s="69"/>
      <c r="C21" s="68"/>
      <c r="D21" s="73"/>
      <c r="E21" s="74"/>
      <c r="F21" s="66"/>
      <c r="G21" s="75"/>
      <c r="H21" s="66"/>
      <c r="I21" s="76"/>
      <c r="J21" s="77"/>
      <c r="K21" s="67">
        <f>+$J$23/12/21/9.4/3</f>
        <v>3410.8548871439834</v>
      </c>
      <c r="L21" s="29"/>
      <c r="M21" s="211"/>
      <c r="N21" s="29"/>
    </row>
    <row r="22" spans="1:17" ht="15.75" customHeight="1" x14ac:dyDescent="0.25">
      <c r="A22" s="68" t="s">
        <v>1241</v>
      </c>
      <c r="B22" s="69"/>
      <c r="C22" s="68"/>
      <c r="D22" s="73"/>
      <c r="E22" s="74"/>
      <c r="F22" s="66"/>
      <c r="G22" s="75"/>
      <c r="H22" s="66"/>
      <c r="I22" s="76"/>
      <c r="J22" s="77"/>
      <c r="K22" s="56"/>
      <c r="L22" s="29"/>
      <c r="M22" s="211"/>
      <c r="N22" s="29"/>
    </row>
    <row r="23" spans="1:17" s="63" customFormat="1" ht="18.75" x14ac:dyDescent="0.25">
      <c r="A23" s="57">
        <f>SUBTOTAL(103,D.sign_Lista_Data[CATEGORÍA])</f>
        <v>10</v>
      </c>
      <c r="B23" s="58">
        <f>SUBTOTAL(103,D.sign_Lista_Data[SUB CATEGORÍA])</f>
        <v>5</v>
      </c>
      <c r="C23" s="58">
        <f>SUBTOTAL(103,D.sign_Lista_Data[FASES])</f>
        <v>3</v>
      </c>
      <c r="D23" s="59">
        <f>SUBTOTAL(103,D.sign_Lista_Data[RESPONSABLE])</f>
        <v>5</v>
      </c>
      <c r="E23" s="60">
        <f>SUBTOTAL(109,D.sign_Lista_Data[HONORARIOS MENSUALES])</f>
        <v>16300000</v>
      </c>
      <c r="F23" s="60">
        <f>SUBTOTAL(109,D.sign_Lista_Data[HONORARIOS 
HORA])</f>
        <v>82573.454913880443</v>
      </c>
      <c r="G23" s="60">
        <f>SUBTOTAL(109,D.sign_Lista_Data[VALOR HARDWARE])</f>
        <v>36000000</v>
      </c>
      <c r="H23" s="61">
        <f>SUBTOTAL(109,D.sign_Lista_Data[HARDWARE 
($ DEPRECIACIÓN)])</f>
        <v>15197.568389057753</v>
      </c>
      <c r="I23" s="58">
        <f>SUBTOTAL(103,D.sign_Lista_Data[SOFTWARE])</f>
        <v>5</v>
      </c>
      <c r="J23" s="60">
        <f>SUBTOTAL(109,D.sign_Lista_Data[SOFTWARE
VALOR ANUAL])</f>
        <v>24238899.170000002</v>
      </c>
      <c r="K23" s="60">
        <f>SUBTOTAL(109,D.sign_Lista_Data[SOFTWARE 
VALOR HORA])</f>
        <v>27286.839097151875</v>
      </c>
      <c r="L23" s="62"/>
      <c r="M23" s="211"/>
      <c r="N23" s="62"/>
      <c r="O23" s="62"/>
    </row>
    <row r="24" spans="1:17" ht="15.75" customHeight="1" x14ac:dyDescent="0.25">
      <c r="A24" s="29"/>
      <c r="B24" s="64"/>
      <c r="C24" s="29"/>
      <c r="D24" s="65"/>
      <c r="E24" s="65"/>
      <c r="F24" s="66"/>
      <c r="G24" s="66"/>
      <c r="H24" s="66"/>
      <c r="I24" s="67"/>
      <c r="J24" s="78"/>
      <c r="K24" s="78"/>
      <c r="L24" s="29"/>
      <c r="M24" s="211"/>
      <c r="N24" s="29"/>
      <c r="O24" s="29"/>
      <c r="P24" s="29"/>
      <c r="Q24" s="29"/>
    </row>
    <row r="25" spans="1:17" ht="30" customHeight="1" x14ac:dyDescent="0.25">
      <c r="A25" s="29"/>
      <c r="B25" s="64"/>
      <c r="C25" s="79" t="s">
        <v>1242</v>
      </c>
      <c r="D25" s="79" t="s">
        <v>1243</v>
      </c>
      <c r="E25" s="47" t="s">
        <v>1244</v>
      </c>
      <c r="F25" s="66"/>
      <c r="G25" s="66"/>
      <c r="H25" s="66"/>
      <c r="I25" s="67"/>
      <c r="J25" s="67"/>
      <c r="K25" s="67"/>
      <c r="L25" s="29"/>
      <c r="M25" s="211"/>
      <c r="N25" s="29"/>
      <c r="O25" s="29"/>
      <c r="P25" s="29"/>
      <c r="Q25" s="29"/>
    </row>
    <row r="26" spans="1:17" ht="18.75" x14ac:dyDescent="0.3">
      <c r="A26" s="29"/>
      <c r="B26" s="64"/>
      <c r="C26" s="80" t="s">
        <v>1245</v>
      </c>
      <c r="D26" s="55">
        <v>15187526</v>
      </c>
      <c r="E26" s="65">
        <f>+Gastos_Operativos[[#This Row],[GASTOS MENSUALES]]/21/9/6</f>
        <v>13392.880070546737</v>
      </c>
      <c r="F26" s="66"/>
      <c r="G26" s="66"/>
      <c r="H26" s="66"/>
      <c r="I26" s="67"/>
      <c r="J26" s="67"/>
      <c r="K26" s="67"/>
      <c r="L26" s="29"/>
      <c r="M26" s="211"/>
      <c r="N26" s="29"/>
      <c r="O26" s="29"/>
      <c r="P26" s="29"/>
      <c r="Q26" s="29"/>
    </row>
    <row r="27" spans="1:17" ht="18.75" x14ac:dyDescent="0.3">
      <c r="A27" s="29"/>
      <c r="B27" s="64"/>
      <c r="C27" s="80" t="s">
        <v>1246</v>
      </c>
      <c r="D27" s="55">
        <v>12995741</v>
      </c>
      <c r="E27" s="65">
        <f>+Gastos_Operativos[[#This Row],[GASTOS MENSUALES]]/21/9/6</f>
        <v>11460.08906525573</v>
      </c>
      <c r="F27" s="66"/>
      <c r="G27" s="66"/>
      <c r="H27" s="66"/>
      <c r="I27" s="67"/>
      <c r="J27" s="67"/>
      <c r="K27" s="67"/>
      <c r="L27" s="29"/>
      <c r="M27" s="211"/>
      <c r="N27" s="29"/>
      <c r="O27" s="29"/>
      <c r="P27" s="29"/>
      <c r="Q27" s="29"/>
    </row>
    <row r="28" spans="1:17" ht="18.75" x14ac:dyDescent="0.3">
      <c r="A28" s="29"/>
      <c r="B28" s="64"/>
      <c r="C28" s="80" t="s">
        <v>1247</v>
      </c>
      <c r="D28" s="55">
        <v>3330000</v>
      </c>
      <c r="E28" s="65">
        <f>+Gastos_Operativos[[#This Row],[GASTOS MENSUALES]]/21/9/6</f>
        <v>2936.5079365079364</v>
      </c>
      <c r="F28" s="66"/>
      <c r="G28" s="66"/>
      <c r="H28" s="66"/>
      <c r="I28" s="67"/>
      <c r="J28" s="67"/>
      <c r="K28" s="67"/>
      <c r="L28" s="29"/>
      <c r="M28" s="211"/>
      <c r="N28" s="29"/>
      <c r="O28" s="29"/>
      <c r="P28" s="29"/>
      <c r="Q28" s="29"/>
    </row>
    <row r="29" spans="1:17" s="81" customFormat="1" ht="18.75" x14ac:dyDescent="0.25">
      <c r="B29" s="82"/>
      <c r="C29" s="57" t="s">
        <v>1224</v>
      </c>
      <c r="D29" s="83">
        <f>SUBTOTAL(109,Gastos_Operativos[GASTOS MENSUALES])</f>
        <v>31513267</v>
      </c>
      <c r="E29" s="83">
        <f>SUBTOTAL(109,Gastos_Operativos[GASTOS HORA])</f>
        <v>27789.477072310401</v>
      </c>
      <c r="F29" s="84"/>
      <c r="G29" s="84"/>
      <c r="H29" s="84"/>
      <c r="I29" s="85"/>
      <c r="J29" s="85"/>
      <c r="K29" s="85"/>
      <c r="M29" s="212"/>
    </row>
    <row r="30" spans="1:17" ht="15.75" customHeight="1" x14ac:dyDescent="0.25">
      <c r="A30" s="29"/>
      <c r="B30" s="64"/>
      <c r="C30" s="29"/>
      <c r="D30" s="65"/>
      <c r="E30" s="65"/>
      <c r="F30" s="66"/>
      <c r="G30" s="66"/>
      <c r="H30" s="66"/>
      <c r="I30" s="67"/>
      <c r="J30" s="67"/>
      <c r="K30" s="67"/>
      <c r="L30" s="29"/>
      <c r="M30" s="211"/>
      <c r="N30" s="29"/>
      <c r="O30" s="29"/>
      <c r="P30" s="29"/>
      <c r="Q30" s="29"/>
    </row>
    <row r="31" spans="1:17" ht="15.75" customHeight="1" x14ac:dyDescent="0.25">
      <c r="A31" s="29"/>
      <c r="B31" s="64"/>
      <c r="C31" s="29"/>
      <c r="D31" s="65"/>
      <c r="E31" s="65"/>
      <c r="F31" s="66"/>
      <c r="G31" s="66"/>
      <c r="H31" s="66"/>
      <c r="I31" s="67"/>
      <c r="J31" s="67"/>
      <c r="K31" s="67"/>
      <c r="L31" s="29"/>
      <c r="M31" s="211"/>
      <c r="N31" s="29"/>
      <c r="O31" s="29"/>
      <c r="P31" s="29"/>
      <c r="Q31" s="29"/>
    </row>
    <row r="32" spans="1:17" ht="15.75" customHeight="1" x14ac:dyDescent="0.25">
      <c r="A32" s="29"/>
      <c r="B32" s="64"/>
      <c r="C32" s="29"/>
      <c r="D32" s="65"/>
      <c r="E32" s="65"/>
      <c r="F32" s="66"/>
      <c r="G32" s="66"/>
      <c r="H32" s="66"/>
      <c r="I32" s="67"/>
      <c r="J32" s="67"/>
      <c r="K32" s="67"/>
      <c r="L32" s="29"/>
      <c r="M32" s="211"/>
      <c r="N32" s="29"/>
      <c r="O32" s="29"/>
      <c r="P32" s="29"/>
      <c r="Q32" s="29"/>
    </row>
    <row r="33" spans="1:17" ht="15.75" customHeight="1" x14ac:dyDescent="0.25">
      <c r="A33" s="29"/>
      <c r="B33" s="64"/>
      <c r="C33" s="29"/>
      <c r="D33" s="65"/>
      <c r="E33" s="65"/>
      <c r="F33" s="66"/>
      <c r="G33" s="66"/>
      <c r="H33" s="66"/>
      <c r="I33" s="67"/>
      <c r="J33" s="67"/>
      <c r="K33" s="67"/>
      <c r="L33" s="29"/>
      <c r="M33" s="211"/>
      <c r="N33" s="29"/>
      <c r="O33" s="29"/>
      <c r="P33" s="29"/>
      <c r="Q33" s="29"/>
    </row>
    <row r="34" spans="1:17" ht="15.75" customHeight="1" x14ac:dyDescent="0.25">
      <c r="A34" s="29"/>
      <c r="B34" s="64"/>
      <c r="C34" s="29"/>
      <c r="D34" s="65"/>
      <c r="E34" s="65"/>
      <c r="F34" s="66"/>
      <c r="G34" s="66"/>
      <c r="H34" s="66"/>
      <c r="I34" s="67"/>
      <c r="J34" s="67"/>
      <c r="K34" s="67"/>
      <c r="L34" s="29"/>
      <c r="M34" s="211"/>
      <c r="N34" s="29"/>
      <c r="O34" s="29"/>
      <c r="P34" s="29"/>
      <c r="Q34" s="29"/>
    </row>
    <row r="35" spans="1:17" ht="15.75" customHeight="1" x14ac:dyDescent="0.25">
      <c r="A35" s="29"/>
      <c r="B35" s="64"/>
      <c r="C35" s="29"/>
      <c r="D35" s="65"/>
      <c r="E35" s="65"/>
      <c r="F35" s="66"/>
      <c r="G35" s="66"/>
      <c r="H35" s="66"/>
      <c r="I35" s="67"/>
      <c r="J35" s="67"/>
      <c r="K35" s="67"/>
      <c r="L35" s="29"/>
      <c r="M35" s="211"/>
      <c r="N35" s="29"/>
      <c r="O35" s="29"/>
      <c r="P35" s="29"/>
      <c r="Q35" s="29"/>
    </row>
    <row r="36" spans="1:17" ht="15.75" customHeight="1" x14ac:dyDescent="0.25">
      <c r="A36" s="29"/>
      <c r="B36" s="64"/>
      <c r="C36" s="29"/>
      <c r="D36" s="65"/>
      <c r="E36" s="65"/>
      <c r="F36" s="66"/>
      <c r="G36" s="66"/>
      <c r="H36" s="66"/>
      <c r="I36" s="67"/>
      <c r="J36" s="67"/>
      <c r="K36" s="67"/>
      <c r="L36" s="29"/>
      <c r="M36" s="211"/>
      <c r="N36" s="29"/>
      <c r="O36" s="29"/>
      <c r="P36" s="29"/>
      <c r="Q36" s="29"/>
    </row>
    <row r="37" spans="1:17" ht="15.75" customHeight="1" x14ac:dyDescent="0.25">
      <c r="A37" s="29"/>
      <c r="B37" s="64"/>
      <c r="C37" s="29"/>
      <c r="D37" s="65"/>
      <c r="E37" s="65"/>
      <c r="F37" s="66"/>
      <c r="G37" s="66"/>
      <c r="H37" s="66"/>
      <c r="I37" s="67"/>
      <c r="J37" s="67"/>
      <c r="K37" s="67"/>
      <c r="L37" s="29"/>
      <c r="M37" s="211"/>
      <c r="N37" s="29"/>
      <c r="O37" s="29"/>
      <c r="P37" s="29"/>
      <c r="Q37" s="29"/>
    </row>
    <row r="38" spans="1:17" ht="15.75" customHeight="1" x14ac:dyDescent="0.25">
      <c r="A38" s="29"/>
      <c r="B38" s="64"/>
      <c r="C38" s="29"/>
      <c r="D38" s="65"/>
      <c r="E38" s="65"/>
      <c r="F38" s="66"/>
      <c r="G38" s="66"/>
      <c r="H38" s="66"/>
      <c r="I38" s="67"/>
      <c r="J38" s="67"/>
      <c r="K38" s="67"/>
      <c r="L38" s="29"/>
      <c r="M38" s="211"/>
      <c r="N38" s="29"/>
      <c r="O38" s="29"/>
      <c r="P38" s="29"/>
      <c r="Q38" s="29"/>
    </row>
    <row r="39" spans="1:17" ht="15.75" customHeight="1" x14ac:dyDescent="0.25">
      <c r="A39" s="29"/>
      <c r="B39" s="64"/>
      <c r="C39" s="29"/>
      <c r="D39" s="65"/>
      <c r="E39" s="65"/>
      <c r="F39" s="66"/>
      <c r="G39" s="66"/>
      <c r="H39" s="66"/>
      <c r="I39" s="67"/>
      <c r="J39" s="67"/>
      <c r="K39" s="67"/>
      <c r="L39" s="29"/>
      <c r="M39" s="211"/>
      <c r="N39" s="29"/>
      <c r="O39" s="29"/>
      <c r="P39" s="29"/>
      <c r="Q39" s="29"/>
    </row>
    <row r="40" spans="1:17" ht="15.75" customHeight="1" x14ac:dyDescent="0.25">
      <c r="A40" s="29"/>
      <c r="B40" s="64"/>
      <c r="C40" s="29"/>
      <c r="D40" s="65"/>
      <c r="E40" s="65"/>
      <c r="F40" s="66"/>
      <c r="G40" s="66"/>
      <c r="H40" s="66"/>
      <c r="I40" s="67"/>
      <c r="J40" s="67"/>
      <c r="K40" s="67"/>
      <c r="L40" s="29"/>
      <c r="M40" s="211"/>
      <c r="N40" s="29"/>
      <c r="O40" s="29"/>
      <c r="P40" s="29"/>
      <c r="Q40" s="29"/>
    </row>
    <row r="41" spans="1:17" ht="15.75" customHeight="1" x14ac:dyDescent="0.25">
      <c r="A41" s="29"/>
      <c r="B41" s="64"/>
      <c r="C41" s="29"/>
      <c r="D41" s="65"/>
      <c r="E41" s="65"/>
      <c r="F41" s="66"/>
      <c r="G41" s="66"/>
      <c r="H41" s="66"/>
      <c r="I41" s="67"/>
      <c r="J41" s="67"/>
      <c r="K41" s="67"/>
      <c r="L41" s="29"/>
      <c r="M41" s="211"/>
      <c r="N41" s="29"/>
      <c r="O41" s="29"/>
      <c r="P41" s="29"/>
      <c r="Q41" s="29"/>
    </row>
    <row r="42" spans="1:17" ht="15.75" customHeight="1" x14ac:dyDescent="0.25">
      <c r="A42" s="29"/>
      <c r="B42" s="64"/>
      <c r="C42" s="29"/>
      <c r="D42" s="65"/>
      <c r="E42" s="65"/>
      <c r="F42" s="66"/>
      <c r="G42" s="66"/>
      <c r="H42" s="66"/>
      <c r="I42" s="67"/>
      <c r="J42" s="67"/>
      <c r="K42" s="67"/>
      <c r="L42" s="29"/>
      <c r="M42" s="211"/>
      <c r="N42" s="29"/>
      <c r="O42" s="29"/>
      <c r="P42" s="29"/>
      <c r="Q42" s="29"/>
    </row>
    <row r="43" spans="1:17" ht="15.75" customHeight="1" x14ac:dyDescent="0.25">
      <c r="A43" s="29"/>
      <c r="B43" s="64"/>
      <c r="C43" s="29"/>
      <c r="D43" s="65"/>
      <c r="E43" s="65"/>
      <c r="F43" s="66"/>
      <c r="G43" s="66"/>
      <c r="H43" s="66"/>
      <c r="I43" s="67"/>
      <c r="J43" s="67"/>
      <c r="K43" s="67"/>
      <c r="L43" s="29"/>
      <c r="M43" s="211"/>
      <c r="N43" s="29"/>
      <c r="O43" s="29"/>
      <c r="P43" s="29"/>
      <c r="Q43" s="29"/>
    </row>
    <row r="44" spans="1:17" ht="15.75" customHeight="1" x14ac:dyDescent="0.25">
      <c r="A44" s="29"/>
      <c r="B44" s="64"/>
      <c r="C44" s="29"/>
      <c r="D44" s="65"/>
      <c r="E44" s="65"/>
      <c r="F44" s="66"/>
      <c r="G44" s="66"/>
      <c r="H44" s="66"/>
      <c r="I44" s="67"/>
      <c r="J44" s="67"/>
      <c r="K44" s="67"/>
      <c r="L44" s="29"/>
      <c r="M44" s="211"/>
      <c r="N44" s="29"/>
      <c r="O44" s="29"/>
      <c r="P44" s="29"/>
      <c r="Q44" s="29"/>
    </row>
    <row r="45" spans="1:17" ht="15.75" customHeight="1" x14ac:dyDescent="0.25">
      <c r="A45" s="29"/>
      <c r="B45" s="64"/>
      <c r="C45" s="29"/>
      <c r="D45" s="65"/>
      <c r="E45" s="65"/>
      <c r="F45" s="66"/>
      <c r="G45" s="66"/>
      <c r="H45" s="66"/>
      <c r="I45" s="67"/>
      <c r="J45" s="67"/>
      <c r="K45" s="67"/>
      <c r="L45" s="29"/>
      <c r="M45" s="211"/>
      <c r="N45" s="29"/>
      <c r="O45" s="29"/>
      <c r="P45" s="29"/>
      <c r="Q45" s="29"/>
    </row>
    <row r="46" spans="1:17" ht="15.75" customHeight="1" x14ac:dyDescent="0.25">
      <c r="A46" s="29"/>
      <c r="B46" s="64"/>
      <c r="C46" s="29"/>
      <c r="D46" s="65"/>
      <c r="E46" s="65"/>
      <c r="F46" s="66"/>
      <c r="G46" s="66"/>
      <c r="H46" s="66"/>
      <c r="I46" s="67"/>
      <c r="J46" s="67"/>
      <c r="K46" s="67"/>
      <c r="L46" s="29"/>
      <c r="M46" s="211"/>
      <c r="N46" s="29"/>
      <c r="O46" s="29"/>
      <c r="P46" s="29"/>
      <c r="Q46" s="29"/>
    </row>
    <row r="47" spans="1:17" ht="15.75" customHeight="1" x14ac:dyDescent="0.25">
      <c r="A47" s="29"/>
      <c r="B47" s="64"/>
      <c r="C47" s="29"/>
      <c r="D47" s="65"/>
      <c r="E47" s="65"/>
      <c r="F47" s="66"/>
      <c r="G47" s="66"/>
      <c r="H47" s="66"/>
      <c r="I47" s="67"/>
      <c r="J47" s="67"/>
      <c r="K47" s="67"/>
      <c r="L47" s="29"/>
      <c r="M47" s="211"/>
      <c r="N47" s="29"/>
      <c r="O47" s="29"/>
      <c r="P47" s="29"/>
      <c r="Q47" s="29"/>
    </row>
    <row r="48" spans="1:17" ht="15.75" customHeight="1" x14ac:dyDescent="0.25">
      <c r="A48" s="29"/>
      <c r="B48" s="64"/>
      <c r="C48" s="29"/>
      <c r="D48" s="65"/>
      <c r="E48" s="65"/>
      <c r="F48" s="66"/>
      <c r="G48" s="66"/>
      <c r="H48" s="66"/>
      <c r="I48" s="67"/>
      <c r="J48" s="67"/>
      <c r="K48" s="67"/>
      <c r="L48" s="29"/>
      <c r="M48" s="211"/>
      <c r="N48" s="29"/>
      <c r="O48" s="29"/>
      <c r="P48" s="29"/>
      <c r="Q48" s="29"/>
    </row>
    <row r="49" spans="1:17" ht="15.75" customHeight="1" x14ac:dyDescent="0.25">
      <c r="A49" s="29"/>
      <c r="B49" s="64"/>
      <c r="C49" s="29"/>
      <c r="D49" s="65"/>
      <c r="E49" s="65"/>
      <c r="F49" s="66"/>
      <c r="G49" s="66"/>
      <c r="H49" s="66"/>
      <c r="I49" s="67"/>
      <c r="J49" s="67"/>
      <c r="K49" s="67"/>
      <c r="L49" s="29"/>
      <c r="M49" s="211"/>
      <c r="N49" s="29"/>
      <c r="O49" s="29"/>
      <c r="P49" s="29"/>
      <c r="Q49" s="29"/>
    </row>
    <row r="50" spans="1:17" ht="15.75" customHeight="1" x14ac:dyDescent="0.25">
      <c r="A50" s="29"/>
      <c r="B50" s="64"/>
      <c r="C50" s="29"/>
      <c r="D50" s="65"/>
      <c r="E50" s="65"/>
      <c r="F50" s="66"/>
      <c r="G50" s="66"/>
      <c r="H50" s="66"/>
      <c r="I50" s="67"/>
      <c r="J50" s="67"/>
      <c r="K50" s="67"/>
      <c r="L50" s="29"/>
      <c r="M50" s="211"/>
      <c r="N50" s="29"/>
      <c r="O50" s="29"/>
      <c r="P50" s="29"/>
      <c r="Q50" s="29"/>
    </row>
    <row r="51" spans="1:17" ht="15.75" customHeight="1" x14ac:dyDescent="0.25">
      <c r="A51" s="29"/>
      <c r="B51" s="64"/>
      <c r="C51" s="29"/>
      <c r="D51" s="65"/>
      <c r="E51" s="65"/>
      <c r="F51" s="66"/>
      <c r="G51" s="66"/>
      <c r="H51" s="66"/>
      <c r="I51" s="67"/>
      <c r="J51" s="67"/>
      <c r="K51" s="67"/>
      <c r="L51" s="29"/>
      <c r="M51" s="211"/>
      <c r="N51" s="29"/>
      <c r="O51" s="29"/>
      <c r="P51" s="29"/>
      <c r="Q51" s="29"/>
    </row>
    <row r="52" spans="1:17" ht="15.75" customHeight="1" x14ac:dyDescent="0.25">
      <c r="A52" s="29"/>
      <c r="B52" s="64"/>
      <c r="C52" s="29"/>
      <c r="D52" s="65"/>
      <c r="E52" s="65"/>
      <c r="F52" s="66"/>
      <c r="G52" s="66"/>
      <c r="H52" s="66"/>
      <c r="I52" s="67"/>
      <c r="J52" s="67"/>
      <c r="K52" s="67"/>
      <c r="L52" s="29"/>
      <c r="M52" s="211"/>
      <c r="N52" s="29"/>
      <c r="O52" s="29"/>
      <c r="P52" s="29"/>
      <c r="Q52" s="29"/>
    </row>
    <row r="53" spans="1:17" ht="15.75" customHeight="1" x14ac:dyDescent="0.25">
      <c r="A53" s="29"/>
      <c r="B53" s="64"/>
      <c r="C53" s="29"/>
      <c r="D53" s="65"/>
      <c r="E53" s="65"/>
      <c r="F53" s="66"/>
      <c r="G53" s="66"/>
      <c r="H53" s="66"/>
      <c r="I53" s="67"/>
      <c r="J53" s="67"/>
      <c r="K53" s="67"/>
      <c r="L53" s="29"/>
      <c r="M53" s="211"/>
      <c r="N53" s="29"/>
      <c r="O53" s="29"/>
      <c r="P53" s="29"/>
      <c r="Q53" s="29"/>
    </row>
    <row r="54" spans="1:17" ht="15.75" customHeight="1" x14ac:dyDescent="0.25">
      <c r="A54" s="29"/>
      <c r="B54" s="64"/>
      <c r="C54" s="29"/>
      <c r="D54" s="65"/>
      <c r="E54" s="65"/>
      <c r="F54" s="66"/>
      <c r="G54" s="66"/>
      <c r="H54" s="66"/>
      <c r="I54" s="67"/>
      <c r="J54" s="67"/>
      <c r="K54" s="67"/>
      <c r="L54" s="29"/>
      <c r="M54" s="211"/>
      <c r="N54" s="29"/>
      <c r="O54" s="29"/>
      <c r="P54" s="29"/>
      <c r="Q54" s="29"/>
    </row>
    <row r="55" spans="1:17" ht="15.75" customHeight="1" x14ac:dyDescent="0.25">
      <c r="A55" s="29"/>
      <c r="B55" s="64"/>
      <c r="C55" s="29"/>
      <c r="D55" s="65"/>
      <c r="E55" s="65"/>
      <c r="F55" s="66"/>
      <c r="G55" s="66"/>
      <c r="H55" s="66"/>
      <c r="I55" s="67"/>
      <c r="J55" s="67"/>
      <c r="K55" s="67"/>
      <c r="L55" s="29"/>
      <c r="M55" s="211"/>
      <c r="N55" s="29"/>
      <c r="O55" s="29"/>
      <c r="P55" s="29"/>
      <c r="Q55" s="29"/>
    </row>
    <row r="56" spans="1:17" ht="15.75" customHeight="1" x14ac:dyDescent="0.25">
      <c r="A56" s="29"/>
      <c r="B56" s="64"/>
      <c r="C56" s="29"/>
      <c r="D56" s="65"/>
      <c r="E56" s="65"/>
      <c r="F56" s="66"/>
      <c r="G56" s="66"/>
      <c r="H56" s="66"/>
      <c r="I56" s="67"/>
      <c r="J56" s="67"/>
      <c r="K56" s="67"/>
      <c r="L56" s="29"/>
      <c r="M56" s="211"/>
      <c r="N56" s="29"/>
      <c r="O56" s="29"/>
      <c r="P56" s="29"/>
      <c r="Q56" s="29"/>
    </row>
    <row r="57" spans="1:17" ht="15.75" customHeight="1" x14ac:dyDescent="0.25">
      <c r="A57" s="29"/>
      <c r="B57" s="64"/>
      <c r="C57" s="29"/>
      <c r="D57" s="65"/>
      <c r="E57" s="65"/>
      <c r="F57" s="66"/>
      <c r="G57" s="66"/>
      <c r="H57" s="66"/>
      <c r="I57" s="67"/>
      <c r="J57" s="67"/>
      <c r="K57" s="67"/>
      <c r="L57" s="29"/>
      <c r="M57" s="211"/>
      <c r="N57" s="29"/>
      <c r="O57" s="29"/>
      <c r="P57" s="29"/>
      <c r="Q57" s="29"/>
    </row>
    <row r="58" spans="1:17" ht="15.75" customHeight="1" x14ac:dyDescent="0.25">
      <c r="A58" s="29"/>
      <c r="B58" s="64"/>
      <c r="C58" s="29"/>
      <c r="D58" s="65"/>
      <c r="E58" s="65"/>
      <c r="F58" s="66"/>
      <c r="G58" s="66"/>
      <c r="H58" s="66"/>
      <c r="I58" s="67"/>
      <c r="J58" s="67"/>
      <c r="K58" s="67"/>
      <c r="L58" s="29"/>
      <c r="M58" s="211"/>
      <c r="N58" s="29"/>
      <c r="O58" s="29"/>
      <c r="P58" s="29"/>
      <c r="Q58" s="29"/>
    </row>
    <row r="59" spans="1:17" ht="15.75" customHeight="1" x14ac:dyDescent="0.25">
      <c r="A59" s="29"/>
      <c r="B59" s="64"/>
      <c r="C59" s="29"/>
      <c r="D59" s="65"/>
      <c r="E59" s="65"/>
      <c r="F59" s="66"/>
      <c r="G59" s="66"/>
      <c r="H59" s="66"/>
      <c r="I59" s="67"/>
      <c r="J59" s="67"/>
      <c r="K59" s="67"/>
      <c r="L59" s="29"/>
      <c r="M59" s="211"/>
      <c r="N59" s="29"/>
      <c r="O59" s="29"/>
      <c r="P59" s="29"/>
      <c r="Q59" s="29"/>
    </row>
    <row r="60" spans="1:17" ht="15.75" customHeight="1" x14ac:dyDescent="0.25">
      <c r="A60" s="29"/>
      <c r="B60" s="64"/>
      <c r="C60" s="29"/>
      <c r="D60" s="65"/>
      <c r="E60" s="65"/>
      <c r="F60" s="66"/>
      <c r="G60" s="66"/>
      <c r="H60" s="66"/>
      <c r="I60" s="67"/>
      <c r="J60" s="67"/>
      <c r="K60" s="67"/>
      <c r="L60" s="29"/>
      <c r="M60" s="211"/>
      <c r="N60" s="29"/>
      <c r="O60" s="29"/>
      <c r="P60" s="29"/>
      <c r="Q60" s="29"/>
    </row>
    <row r="61" spans="1:17" ht="15.75" customHeight="1" x14ac:dyDescent="0.25">
      <c r="A61" s="29"/>
      <c r="B61" s="64"/>
      <c r="C61" s="29"/>
      <c r="D61" s="65"/>
      <c r="E61" s="65"/>
      <c r="F61" s="66"/>
      <c r="G61" s="66"/>
      <c r="H61" s="66"/>
      <c r="I61" s="67"/>
      <c r="J61" s="67"/>
      <c r="K61" s="67"/>
      <c r="L61" s="29"/>
      <c r="M61" s="211"/>
      <c r="N61" s="29"/>
      <c r="O61" s="29"/>
      <c r="P61" s="29"/>
      <c r="Q61" s="29"/>
    </row>
    <row r="62" spans="1:17" ht="15.75" customHeight="1" x14ac:dyDescent="0.25">
      <c r="A62" s="29"/>
      <c r="B62" s="64"/>
      <c r="C62" s="29"/>
      <c r="D62" s="65"/>
      <c r="E62" s="65"/>
      <c r="F62" s="66"/>
      <c r="G62" s="66"/>
      <c r="H62" s="66"/>
      <c r="I62" s="67"/>
      <c r="J62" s="67"/>
      <c r="K62" s="67"/>
      <c r="L62" s="29"/>
      <c r="M62" s="211"/>
      <c r="N62" s="29"/>
      <c r="O62" s="29"/>
      <c r="P62" s="29"/>
      <c r="Q62" s="29"/>
    </row>
    <row r="63" spans="1:17" ht="15.75" customHeight="1" x14ac:dyDescent="0.25">
      <c r="A63" s="29"/>
      <c r="B63" s="64"/>
      <c r="C63" s="29"/>
      <c r="D63" s="65"/>
      <c r="E63" s="65"/>
      <c r="F63" s="66"/>
      <c r="G63" s="66"/>
      <c r="H63" s="66"/>
      <c r="I63" s="67"/>
      <c r="J63" s="67"/>
      <c r="K63" s="67"/>
      <c r="L63" s="29"/>
      <c r="M63" s="211"/>
      <c r="N63" s="29"/>
      <c r="O63" s="29"/>
      <c r="P63" s="29"/>
      <c r="Q63" s="29"/>
    </row>
    <row r="64" spans="1:17" ht="15.75" customHeight="1" x14ac:dyDescent="0.25">
      <c r="A64" s="29"/>
      <c r="B64" s="64"/>
      <c r="C64" s="29"/>
      <c r="D64" s="65"/>
      <c r="E64" s="65"/>
      <c r="F64" s="66"/>
      <c r="G64" s="66"/>
      <c r="H64" s="66"/>
      <c r="I64" s="67"/>
      <c r="J64" s="67"/>
      <c r="K64" s="67"/>
      <c r="L64" s="29"/>
      <c r="M64" s="211"/>
      <c r="N64" s="29"/>
      <c r="O64" s="29"/>
      <c r="P64" s="29"/>
      <c r="Q64" s="29"/>
    </row>
    <row r="65" spans="1:17" ht="15.75" customHeight="1" x14ac:dyDescent="0.25">
      <c r="A65" s="29"/>
      <c r="B65" s="64"/>
      <c r="C65" s="29"/>
      <c r="D65" s="65"/>
      <c r="E65" s="65"/>
      <c r="F65" s="66"/>
      <c r="G65" s="66"/>
      <c r="H65" s="66"/>
      <c r="I65" s="67"/>
      <c r="J65" s="67"/>
      <c r="K65" s="67"/>
      <c r="L65" s="29"/>
      <c r="M65" s="211"/>
      <c r="N65" s="29"/>
      <c r="O65" s="29"/>
      <c r="P65" s="29"/>
      <c r="Q65" s="29"/>
    </row>
    <row r="66" spans="1:17" ht="15.75" customHeight="1" x14ac:dyDescent="0.25">
      <c r="A66" s="29"/>
      <c r="B66" s="64"/>
      <c r="C66" s="29"/>
      <c r="D66" s="65"/>
      <c r="E66" s="65"/>
      <c r="F66" s="66"/>
      <c r="G66" s="66"/>
      <c r="H66" s="66"/>
      <c r="I66" s="67"/>
      <c r="J66" s="67"/>
      <c r="K66" s="67"/>
      <c r="L66" s="29"/>
      <c r="M66" s="211"/>
      <c r="N66" s="29"/>
      <c r="O66" s="29"/>
      <c r="P66" s="29"/>
      <c r="Q66" s="29"/>
    </row>
    <row r="67" spans="1:17" ht="15.75" customHeight="1" x14ac:dyDescent="0.25">
      <c r="A67" s="29"/>
      <c r="B67" s="64"/>
      <c r="C67" s="29"/>
      <c r="D67" s="65"/>
      <c r="E67" s="65"/>
      <c r="F67" s="66"/>
      <c r="G67" s="66"/>
      <c r="H67" s="66"/>
      <c r="I67" s="67"/>
      <c r="J67" s="67"/>
      <c r="K67" s="67"/>
      <c r="L67" s="29"/>
      <c r="M67" s="211"/>
      <c r="N67" s="29"/>
      <c r="O67" s="29"/>
      <c r="P67" s="29"/>
      <c r="Q67" s="29"/>
    </row>
    <row r="68" spans="1:17" ht="15.75" customHeight="1" x14ac:dyDescent="0.25">
      <c r="A68" s="29"/>
      <c r="B68" s="64"/>
      <c r="C68" s="29"/>
      <c r="D68" s="65"/>
      <c r="E68" s="65"/>
      <c r="F68" s="66"/>
      <c r="G68" s="66"/>
      <c r="H68" s="66"/>
      <c r="I68" s="67"/>
      <c r="J68" s="67"/>
      <c r="K68" s="67"/>
      <c r="L68" s="29"/>
      <c r="M68" s="211"/>
      <c r="N68" s="29"/>
      <c r="O68" s="29"/>
      <c r="P68" s="29"/>
      <c r="Q68" s="29"/>
    </row>
    <row r="69" spans="1:17" ht="15.75" customHeight="1" x14ac:dyDescent="0.25">
      <c r="A69" s="29"/>
      <c r="B69" s="64"/>
      <c r="C69" s="29"/>
      <c r="D69" s="65"/>
      <c r="E69" s="65"/>
      <c r="F69" s="66"/>
      <c r="G69" s="66"/>
      <c r="H69" s="66"/>
      <c r="I69" s="67"/>
      <c r="J69" s="67"/>
      <c r="K69" s="67"/>
      <c r="L69" s="29"/>
      <c r="M69" s="211"/>
      <c r="N69" s="29"/>
      <c r="O69" s="29"/>
      <c r="P69" s="29"/>
      <c r="Q69" s="29"/>
    </row>
    <row r="70" spans="1:17" ht="15.75" customHeight="1" x14ac:dyDescent="0.25">
      <c r="A70" s="29"/>
      <c r="B70" s="64"/>
      <c r="C70" s="29"/>
      <c r="D70" s="65"/>
      <c r="E70" s="65"/>
      <c r="F70" s="66"/>
      <c r="G70" s="66"/>
      <c r="H70" s="66"/>
      <c r="I70" s="67"/>
      <c r="J70" s="67"/>
      <c r="K70" s="67"/>
      <c r="L70" s="29"/>
      <c r="M70" s="211"/>
      <c r="N70" s="29"/>
      <c r="O70" s="29"/>
      <c r="P70" s="29"/>
      <c r="Q70" s="29"/>
    </row>
    <row r="71" spans="1:17" ht="15.75" customHeight="1" x14ac:dyDescent="0.25">
      <c r="A71" s="29"/>
      <c r="B71" s="64"/>
      <c r="C71" s="29"/>
      <c r="D71" s="65"/>
      <c r="E71" s="65"/>
      <c r="F71" s="66"/>
      <c r="G71" s="66"/>
      <c r="H71" s="66"/>
      <c r="I71" s="67"/>
      <c r="J71" s="67"/>
      <c r="K71" s="67"/>
      <c r="L71" s="29"/>
      <c r="M71" s="211"/>
      <c r="N71" s="29"/>
      <c r="O71" s="29"/>
      <c r="P71" s="29"/>
      <c r="Q71" s="29"/>
    </row>
    <row r="72" spans="1:17" ht="15.75" customHeight="1" x14ac:dyDescent="0.25">
      <c r="A72" s="29"/>
      <c r="B72" s="64"/>
      <c r="C72" s="29"/>
      <c r="D72" s="65"/>
      <c r="E72" s="65"/>
      <c r="F72" s="66"/>
      <c r="G72" s="66"/>
      <c r="H72" s="66"/>
      <c r="I72" s="67"/>
      <c r="J72" s="67"/>
      <c r="K72" s="67"/>
      <c r="L72" s="29"/>
      <c r="M72" s="211"/>
      <c r="N72" s="29"/>
      <c r="O72" s="29"/>
      <c r="P72" s="29"/>
      <c r="Q72" s="29"/>
    </row>
    <row r="73" spans="1:17" ht="15.75" customHeight="1" x14ac:dyDescent="0.25">
      <c r="A73" s="29"/>
      <c r="B73" s="64"/>
      <c r="C73" s="29"/>
      <c r="D73" s="65"/>
      <c r="E73" s="65"/>
      <c r="F73" s="66"/>
      <c r="G73" s="66"/>
      <c r="H73" s="66"/>
      <c r="I73" s="67"/>
      <c r="J73" s="67"/>
      <c r="K73" s="67"/>
      <c r="L73" s="29"/>
      <c r="M73" s="211"/>
      <c r="N73" s="29"/>
      <c r="O73" s="29"/>
      <c r="P73" s="29"/>
      <c r="Q73" s="29"/>
    </row>
    <row r="74" spans="1:17" ht="15.75" customHeight="1" x14ac:dyDescent="0.25">
      <c r="A74" s="29"/>
      <c r="B74" s="64"/>
      <c r="C74" s="29"/>
      <c r="D74" s="65"/>
      <c r="E74" s="65"/>
      <c r="F74" s="66"/>
      <c r="G74" s="66"/>
      <c r="H74" s="66"/>
      <c r="I74" s="67"/>
      <c r="J74" s="67"/>
      <c r="K74" s="67"/>
      <c r="L74" s="29"/>
      <c r="M74" s="211"/>
      <c r="N74" s="29"/>
      <c r="O74" s="29"/>
      <c r="P74" s="29"/>
      <c r="Q74" s="29"/>
    </row>
    <row r="75" spans="1:17" ht="15.75" customHeight="1" x14ac:dyDescent="0.25">
      <c r="A75" s="29"/>
      <c r="B75" s="64"/>
      <c r="C75" s="29"/>
      <c r="D75" s="65"/>
      <c r="E75" s="65"/>
      <c r="F75" s="66"/>
      <c r="G75" s="66"/>
      <c r="H75" s="66"/>
      <c r="I75" s="67"/>
      <c r="J75" s="67"/>
      <c r="K75" s="67"/>
      <c r="L75" s="29"/>
      <c r="M75" s="211"/>
      <c r="N75" s="29"/>
      <c r="O75" s="29"/>
      <c r="P75" s="29"/>
      <c r="Q75" s="29"/>
    </row>
    <row r="76" spans="1:17" ht="15.75" customHeight="1" x14ac:dyDescent="0.25">
      <c r="A76" s="29"/>
      <c r="B76" s="64"/>
      <c r="C76" s="29"/>
      <c r="D76" s="65"/>
      <c r="E76" s="65"/>
      <c r="F76" s="66"/>
      <c r="G76" s="66"/>
      <c r="H76" s="66"/>
      <c r="I76" s="67"/>
      <c r="J76" s="67"/>
      <c r="K76" s="67"/>
      <c r="L76" s="29"/>
      <c r="M76" s="211"/>
      <c r="N76" s="29"/>
      <c r="O76" s="29"/>
      <c r="P76" s="29"/>
      <c r="Q76" s="29"/>
    </row>
    <row r="77" spans="1:17" ht="15.75" customHeight="1" x14ac:dyDescent="0.25">
      <c r="A77" s="29"/>
      <c r="B77" s="64"/>
      <c r="C77" s="29"/>
      <c r="D77" s="65"/>
      <c r="E77" s="65"/>
      <c r="F77" s="66"/>
      <c r="G77" s="66"/>
      <c r="H77" s="66"/>
      <c r="I77" s="67"/>
      <c r="J77" s="67"/>
      <c r="K77" s="67"/>
      <c r="L77" s="29"/>
      <c r="M77" s="211"/>
      <c r="N77" s="29"/>
      <c r="O77" s="29"/>
      <c r="P77" s="29"/>
      <c r="Q77" s="29"/>
    </row>
    <row r="78" spans="1:17" ht="15.75" customHeight="1" x14ac:dyDescent="0.25">
      <c r="A78" s="29"/>
      <c r="B78" s="64"/>
      <c r="C78" s="29"/>
      <c r="D78" s="65"/>
      <c r="E78" s="65"/>
      <c r="F78" s="66"/>
      <c r="G78" s="66"/>
      <c r="H78" s="66"/>
      <c r="I78" s="67"/>
      <c r="J78" s="67"/>
      <c r="K78" s="67"/>
      <c r="L78" s="29"/>
      <c r="M78" s="211"/>
      <c r="N78" s="29"/>
      <c r="O78" s="29"/>
      <c r="P78" s="29"/>
      <c r="Q78" s="29"/>
    </row>
    <row r="79" spans="1:17" ht="15.75" customHeight="1" x14ac:dyDescent="0.25">
      <c r="A79" s="29"/>
      <c r="B79" s="64"/>
      <c r="C79" s="29"/>
      <c r="D79" s="65"/>
      <c r="E79" s="65"/>
      <c r="F79" s="66"/>
      <c r="G79" s="66"/>
      <c r="H79" s="66"/>
      <c r="I79" s="67"/>
      <c r="J79" s="67"/>
      <c r="K79" s="67"/>
      <c r="L79" s="29"/>
      <c r="M79" s="211"/>
      <c r="N79" s="29"/>
      <c r="O79" s="29"/>
      <c r="P79" s="29"/>
      <c r="Q79" s="29"/>
    </row>
    <row r="80" spans="1:17" ht="15.75" customHeight="1" x14ac:dyDescent="0.25">
      <c r="A80" s="29"/>
      <c r="B80" s="64"/>
      <c r="C80" s="29"/>
      <c r="D80" s="65"/>
      <c r="E80" s="65"/>
      <c r="F80" s="66"/>
      <c r="G80" s="66"/>
      <c r="H80" s="66"/>
      <c r="I80" s="67"/>
      <c r="J80" s="67"/>
      <c r="K80" s="67"/>
      <c r="L80" s="29"/>
      <c r="M80" s="211"/>
      <c r="N80" s="29"/>
      <c r="O80" s="29"/>
      <c r="P80" s="29"/>
      <c r="Q80" s="29"/>
    </row>
    <row r="81" spans="1:17" ht="15.75" customHeight="1" x14ac:dyDescent="0.25">
      <c r="A81" s="29"/>
      <c r="B81" s="64"/>
      <c r="C81" s="29"/>
      <c r="D81" s="65"/>
      <c r="E81" s="65"/>
      <c r="F81" s="66"/>
      <c r="G81" s="66"/>
      <c r="H81" s="66"/>
      <c r="I81" s="67"/>
      <c r="J81" s="67"/>
      <c r="K81" s="67"/>
      <c r="L81" s="29"/>
      <c r="M81" s="211"/>
      <c r="N81" s="29"/>
      <c r="O81" s="29"/>
      <c r="P81" s="29"/>
      <c r="Q81" s="29"/>
    </row>
    <row r="82" spans="1:17" ht="15.75" customHeight="1" x14ac:dyDescent="0.25">
      <c r="A82" s="29"/>
      <c r="B82" s="64"/>
      <c r="C82" s="29"/>
      <c r="D82" s="65"/>
      <c r="E82" s="65"/>
      <c r="F82" s="66"/>
      <c r="G82" s="66"/>
      <c r="H82" s="66"/>
      <c r="I82" s="67"/>
      <c r="J82" s="67"/>
      <c r="K82" s="67"/>
      <c r="L82" s="29"/>
      <c r="M82" s="211"/>
      <c r="N82" s="29"/>
      <c r="O82" s="29"/>
      <c r="P82" s="29"/>
      <c r="Q82" s="29"/>
    </row>
    <row r="83" spans="1:17" ht="15.75" customHeight="1" x14ac:dyDescent="0.25">
      <c r="A83" s="29"/>
      <c r="B83" s="64"/>
      <c r="C83" s="29"/>
      <c r="D83" s="65"/>
      <c r="E83" s="65"/>
      <c r="F83" s="66"/>
      <c r="G83" s="66"/>
      <c r="H83" s="66"/>
      <c r="I83" s="67"/>
      <c r="J83" s="67"/>
      <c r="K83" s="67"/>
      <c r="L83" s="29"/>
      <c r="M83" s="211"/>
      <c r="N83" s="29"/>
      <c r="O83" s="29"/>
      <c r="P83" s="29"/>
      <c r="Q83" s="29"/>
    </row>
    <row r="84" spans="1:17" ht="15.75" customHeight="1" x14ac:dyDescent="0.25">
      <c r="A84" s="29"/>
      <c r="B84" s="64"/>
      <c r="C84" s="29"/>
      <c r="D84" s="65"/>
      <c r="E84" s="65"/>
      <c r="F84" s="66"/>
      <c r="G84" s="66"/>
      <c r="H84" s="66"/>
      <c r="I84" s="67"/>
      <c r="J84" s="67"/>
      <c r="K84" s="67"/>
      <c r="L84" s="29"/>
      <c r="M84" s="211"/>
      <c r="N84" s="29"/>
      <c r="O84" s="29"/>
      <c r="P84" s="29"/>
      <c r="Q84" s="29"/>
    </row>
    <row r="85" spans="1:17" ht="15.75" customHeight="1" x14ac:dyDescent="0.25">
      <c r="A85" s="29"/>
      <c r="B85" s="64"/>
      <c r="C85" s="29"/>
      <c r="D85" s="65"/>
      <c r="E85" s="65"/>
      <c r="F85" s="66"/>
      <c r="G85" s="66"/>
      <c r="H85" s="66"/>
      <c r="I85" s="67"/>
      <c r="J85" s="67"/>
      <c r="K85" s="67"/>
      <c r="L85" s="29"/>
      <c r="M85" s="211"/>
      <c r="N85" s="29"/>
      <c r="O85" s="29"/>
      <c r="P85" s="29"/>
      <c r="Q85" s="29"/>
    </row>
    <row r="86" spans="1:17" ht="15.75" customHeight="1" x14ac:dyDescent="0.25">
      <c r="A86" s="29"/>
      <c r="B86" s="64"/>
      <c r="C86" s="29"/>
      <c r="D86" s="65"/>
      <c r="E86" s="65"/>
      <c r="F86" s="66"/>
      <c r="G86" s="66"/>
      <c r="H86" s="66"/>
      <c r="I86" s="67"/>
      <c r="J86" s="67"/>
      <c r="K86" s="67"/>
      <c r="L86" s="29"/>
      <c r="M86" s="211"/>
      <c r="N86" s="29"/>
      <c r="O86" s="29"/>
      <c r="P86" s="29"/>
      <c r="Q86" s="29"/>
    </row>
    <row r="87" spans="1:17" ht="15.75" customHeight="1" x14ac:dyDescent="0.25">
      <c r="A87" s="29"/>
      <c r="B87" s="64"/>
      <c r="C87" s="29"/>
      <c r="D87" s="65"/>
      <c r="E87" s="65"/>
      <c r="F87" s="66"/>
      <c r="G87" s="66"/>
      <c r="H87" s="66"/>
      <c r="I87" s="67"/>
      <c r="J87" s="67"/>
      <c r="K87" s="67"/>
      <c r="L87" s="29"/>
      <c r="M87" s="211"/>
      <c r="N87" s="29"/>
      <c r="O87" s="29"/>
      <c r="P87" s="29"/>
      <c r="Q87" s="29"/>
    </row>
    <row r="88" spans="1:17" ht="15.75" customHeight="1" x14ac:dyDescent="0.25">
      <c r="A88" s="29"/>
      <c r="B88" s="64"/>
      <c r="C88" s="29"/>
      <c r="D88" s="65"/>
      <c r="E88" s="65"/>
      <c r="F88" s="66"/>
      <c r="G88" s="66"/>
      <c r="H88" s="66"/>
      <c r="I88" s="67"/>
      <c r="J88" s="67"/>
      <c r="K88" s="67"/>
      <c r="L88" s="29"/>
      <c r="M88" s="211"/>
      <c r="N88" s="29"/>
      <c r="O88" s="29"/>
      <c r="P88" s="29"/>
      <c r="Q88" s="29"/>
    </row>
    <row r="89" spans="1:17" ht="15.75" customHeight="1" x14ac:dyDescent="0.25">
      <c r="A89" s="29"/>
      <c r="B89" s="64"/>
      <c r="C89" s="29"/>
      <c r="D89" s="65"/>
      <c r="E89" s="65"/>
      <c r="F89" s="66"/>
      <c r="G89" s="66"/>
      <c r="H89" s="66"/>
      <c r="I89" s="67"/>
      <c r="J89" s="67"/>
      <c r="K89" s="67"/>
      <c r="L89" s="29"/>
      <c r="M89" s="211"/>
      <c r="N89" s="29"/>
      <c r="O89" s="29"/>
      <c r="P89" s="29"/>
      <c r="Q89" s="29"/>
    </row>
    <row r="90" spans="1:17" ht="15.75" customHeight="1" x14ac:dyDescent="0.25">
      <c r="A90" s="29"/>
      <c r="B90" s="64"/>
      <c r="C90" s="29"/>
      <c r="D90" s="65"/>
      <c r="E90" s="65"/>
      <c r="F90" s="66"/>
      <c r="G90" s="66"/>
      <c r="H90" s="66"/>
      <c r="I90" s="67"/>
      <c r="J90" s="67"/>
      <c r="K90" s="67"/>
      <c r="L90" s="29"/>
      <c r="M90" s="211"/>
      <c r="N90" s="29"/>
      <c r="O90" s="29"/>
      <c r="P90" s="29"/>
      <c r="Q90" s="29"/>
    </row>
    <row r="91" spans="1:17" ht="15.75" customHeight="1" x14ac:dyDescent="0.25">
      <c r="A91" s="29"/>
      <c r="B91" s="64"/>
      <c r="C91" s="29"/>
      <c r="D91" s="65"/>
      <c r="E91" s="65"/>
      <c r="F91" s="66"/>
      <c r="G91" s="66"/>
      <c r="H91" s="66"/>
      <c r="I91" s="67"/>
      <c r="J91" s="67"/>
      <c r="K91" s="67"/>
      <c r="L91" s="29"/>
      <c r="M91" s="211"/>
      <c r="N91" s="29"/>
      <c r="O91" s="29"/>
      <c r="P91" s="29"/>
      <c r="Q91" s="29"/>
    </row>
    <row r="92" spans="1:17" ht="15.75" customHeight="1" x14ac:dyDescent="0.25">
      <c r="A92" s="29"/>
      <c r="B92" s="64"/>
      <c r="C92" s="29"/>
      <c r="D92" s="65"/>
      <c r="E92" s="65"/>
      <c r="F92" s="66"/>
      <c r="G92" s="66"/>
      <c r="H92" s="66"/>
      <c r="I92" s="67"/>
      <c r="J92" s="67"/>
      <c r="K92" s="67"/>
      <c r="L92" s="29"/>
      <c r="M92" s="211"/>
      <c r="N92" s="29"/>
      <c r="O92" s="29"/>
      <c r="P92" s="29"/>
      <c r="Q92" s="29"/>
    </row>
    <row r="93" spans="1:17" ht="15.75" customHeight="1" x14ac:dyDescent="0.25">
      <c r="A93" s="29"/>
      <c r="B93" s="64"/>
      <c r="C93" s="29"/>
      <c r="D93" s="65"/>
      <c r="E93" s="65"/>
      <c r="F93" s="66"/>
      <c r="G93" s="66"/>
      <c r="H93" s="66"/>
      <c r="I93" s="67"/>
      <c r="J93" s="67"/>
      <c r="K93" s="67"/>
      <c r="L93" s="29"/>
      <c r="M93" s="211"/>
      <c r="N93" s="29"/>
      <c r="O93" s="29"/>
      <c r="P93" s="29"/>
      <c r="Q93" s="29"/>
    </row>
    <row r="94" spans="1:17" ht="15.75" customHeight="1" x14ac:dyDescent="0.25">
      <c r="A94" s="29"/>
      <c r="B94" s="64"/>
      <c r="C94" s="29"/>
      <c r="D94" s="65"/>
      <c r="E94" s="65"/>
      <c r="F94" s="66"/>
      <c r="G94" s="66"/>
      <c r="H94" s="66"/>
      <c r="I94" s="67"/>
      <c r="J94" s="67"/>
      <c r="K94" s="67"/>
      <c r="L94" s="29"/>
      <c r="M94" s="211"/>
      <c r="N94" s="29"/>
      <c r="O94" s="29"/>
      <c r="P94" s="29"/>
      <c r="Q94" s="29"/>
    </row>
    <row r="95" spans="1:17" ht="15.75" customHeight="1" x14ac:dyDescent="0.25">
      <c r="A95" s="29"/>
      <c r="B95" s="64"/>
      <c r="C95" s="29"/>
      <c r="D95" s="65"/>
      <c r="E95" s="65"/>
      <c r="F95" s="66"/>
      <c r="G95" s="66"/>
      <c r="H95" s="66"/>
      <c r="I95" s="67"/>
      <c r="J95" s="67"/>
      <c r="K95" s="67"/>
      <c r="L95" s="29"/>
      <c r="M95" s="211"/>
      <c r="N95" s="29"/>
      <c r="O95" s="29"/>
      <c r="P95" s="29"/>
      <c r="Q95" s="29"/>
    </row>
    <row r="96" spans="1:17" ht="15.75" customHeight="1" x14ac:dyDescent="0.25">
      <c r="A96" s="29"/>
      <c r="B96" s="64"/>
      <c r="C96" s="29"/>
      <c r="D96" s="65"/>
      <c r="E96" s="65"/>
      <c r="F96" s="66"/>
      <c r="G96" s="66"/>
      <c r="H96" s="66"/>
      <c r="I96" s="67"/>
      <c r="J96" s="67"/>
      <c r="K96" s="67"/>
      <c r="L96" s="29"/>
      <c r="M96" s="211"/>
      <c r="N96" s="29"/>
      <c r="O96" s="29"/>
      <c r="P96" s="29"/>
      <c r="Q96" s="29"/>
    </row>
    <row r="97" spans="1:17" ht="15.75" customHeight="1" x14ac:dyDescent="0.25">
      <c r="A97" s="29"/>
      <c r="B97" s="64"/>
      <c r="C97" s="29"/>
      <c r="D97" s="65"/>
      <c r="E97" s="65"/>
      <c r="F97" s="66"/>
      <c r="G97" s="66"/>
      <c r="H97" s="66"/>
      <c r="I97" s="67"/>
      <c r="J97" s="67"/>
      <c r="K97" s="67"/>
      <c r="L97" s="29"/>
      <c r="M97" s="211"/>
      <c r="N97" s="29"/>
      <c r="O97" s="29"/>
      <c r="P97" s="29"/>
      <c r="Q97" s="29"/>
    </row>
    <row r="98" spans="1:17" ht="15.75" customHeight="1" x14ac:dyDescent="0.25">
      <c r="A98" s="29"/>
      <c r="B98" s="64"/>
      <c r="C98" s="29"/>
      <c r="D98" s="65"/>
      <c r="E98" s="65"/>
      <c r="F98" s="66"/>
      <c r="G98" s="66"/>
      <c r="H98" s="66"/>
      <c r="I98" s="67"/>
      <c r="J98" s="67"/>
      <c r="K98" s="67"/>
      <c r="L98" s="29"/>
      <c r="M98" s="211"/>
      <c r="N98" s="29"/>
      <c r="O98" s="29"/>
      <c r="P98" s="29"/>
      <c r="Q98" s="29"/>
    </row>
    <row r="99" spans="1:17" ht="15.75" customHeight="1" x14ac:dyDescent="0.25">
      <c r="A99" s="29"/>
      <c r="B99" s="64"/>
      <c r="C99" s="29"/>
      <c r="D99" s="65"/>
      <c r="E99" s="65"/>
      <c r="F99" s="66"/>
      <c r="G99" s="66"/>
      <c r="H99" s="66"/>
      <c r="I99" s="67"/>
      <c r="J99" s="67"/>
      <c r="K99" s="67"/>
      <c r="L99" s="29"/>
      <c r="M99" s="211"/>
      <c r="N99" s="29"/>
      <c r="O99" s="29"/>
      <c r="P99" s="29"/>
      <c r="Q99" s="29"/>
    </row>
    <row r="100" spans="1:17" ht="15.75" customHeight="1" x14ac:dyDescent="0.25">
      <c r="A100" s="29"/>
      <c r="B100" s="64"/>
      <c r="C100" s="29"/>
      <c r="D100" s="65"/>
      <c r="E100" s="65"/>
      <c r="F100" s="66"/>
      <c r="G100" s="66"/>
      <c r="H100" s="66"/>
      <c r="I100" s="67"/>
      <c r="J100" s="67"/>
      <c r="K100" s="67"/>
      <c r="L100" s="29"/>
      <c r="M100" s="211"/>
      <c r="N100" s="29"/>
      <c r="O100" s="29"/>
      <c r="P100" s="29"/>
      <c r="Q100" s="29"/>
    </row>
    <row r="101" spans="1:17" ht="15.75" customHeight="1" x14ac:dyDescent="0.25">
      <c r="A101" s="29"/>
      <c r="B101" s="64"/>
      <c r="C101" s="29"/>
      <c r="D101" s="65"/>
      <c r="E101" s="65"/>
      <c r="F101" s="66"/>
      <c r="G101" s="66"/>
      <c r="H101" s="66"/>
      <c r="I101" s="67"/>
      <c r="J101" s="67"/>
      <c r="K101" s="67"/>
      <c r="L101" s="29"/>
      <c r="M101" s="211"/>
      <c r="N101" s="29"/>
      <c r="O101" s="29"/>
      <c r="P101" s="29"/>
      <c r="Q101" s="29"/>
    </row>
    <row r="102" spans="1:17" ht="15.75" customHeight="1" x14ac:dyDescent="0.25">
      <c r="A102" s="29"/>
      <c r="B102" s="64"/>
      <c r="C102" s="29"/>
      <c r="D102" s="65"/>
      <c r="E102" s="65"/>
      <c r="F102" s="66"/>
      <c r="G102" s="66"/>
      <c r="H102" s="66"/>
      <c r="I102" s="67"/>
      <c r="J102" s="67"/>
      <c r="K102" s="67"/>
      <c r="L102" s="29"/>
      <c r="M102" s="211"/>
      <c r="N102" s="29"/>
      <c r="O102" s="29"/>
      <c r="P102" s="29"/>
      <c r="Q102" s="29"/>
    </row>
    <row r="103" spans="1:17" ht="15.75" customHeight="1" x14ac:dyDescent="0.25">
      <c r="A103" s="29"/>
      <c r="B103" s="64"/>
      <c r="C103" s="29"/>
      <c r="D103" s="65"/>
      <c r="E103" s="65"/>
      <c r="F103" s="66"/>
      <c r="G103" s="66"/>
      <c r="H103" s="66"/>
      <c r="I103" s="67"/>
      <c r="J103" s="67"/>
      <c r="K103" s="67"/>
      <c r="L103" s="29"/>
      <c r="M103" s="211"/>
      <c r="N103" s="29"/>
      <c r="O103" s="29"/>
      <c r="P103" s="29"/>
      <c r="Q103" s="29"/>
    </row>
    <row r="104" spans="1:17" ht="15.75" customHeight="1" x14ac:dyDescent="0.25">
      <c r="A104" s="29"/>
      <c r="B104" s="64"/>
      <c r="C104" s="29"/>
      <c r="D104" s="65"/>
      <c r="E104" s="65"/>
      <c r="F104" s="66"/>
      <c r="G104" s="66"/>
      <c r="H104" s="66"/>
      <c r="I104" s="67"/>
      <c r="J104" s="67"/>
      <c r="K104" s="67"/>
      <c r="L104" s="29"/>
      <c r="M104" s="211"/>
      <c r="N104" s="29"/>
      <c r="O104" s="29"/>
      <c r="P104" s="29"/>
      <c r="Q104" s="29"/>
    </row>
    <row r="105" spans="1:17" ht="15.75" customHeight="1" x14ac:dyDescent="0.25">
      <c r="A105" s="29"/>
      <c r="B105" s="64"/>
      <c r="C105" s="29"/>
      <c r="D105" s="65"/>
      <c r="E105" s="65"/>
      <c r="F105" s="66"/>
      <c r="G105" s="66"/>
      <c r="H105" s="66"/>
      <c r="I105" s="67"/>
      <c r="J105" s="67"/>
      <c r="K105" s="67"/>
      <c r="L105" s="29"/>
      <c r="M105" s="211"/>
      <c r="N105" s="29"/>
      <c r="O105" s="29"/>
      <c r="P105" s="29"/>
      <c r="Q105" s="29"/>
    </row>
    <row r="106" spans="1:17" ht="15.75" customHeight="1" x14ac:dyDescent="0.25">
      <c r="A106" s="29"/>
      <c r="B106" s="64"/>
      <c r="C106" s="29"/>
      <c r="D106" s="65"/>
      <c r="E106" s="65"/>
      <c r="F106" s="66"/>
      <c r="G106" s="66"/>
      <c r="H106" s="66"/>
      <c r="I106" s="67"/>
      <c r="J106" s="67"/>
      <c r="K106" s="67"/>
      <c r="L106" s="29"/>
      <c r="M106" s="211"/>
      <c r="N106" s="29"/>
      <c r="O106" s="29"/>
      <c r="P106" s="29"/>
      <c r="Q106" s="29"/>
    </row>
    <row r="107" spans="1:17" ht="15.75" customHeight="1" x14ac:dyDescent="0.25">
      <c r="A107" s="29"/>
      <c r="B107" s="64"/>
      <c r="C107" s="29"/>
      <c r="D107" s="65"/>
      <c r="E107" s="65"/>
      <c r="F107" s="66"/>
      <c r="G107" s="66"/>
      <c r="H107" s="66"/>
      <c r="I107" s="67"/>
      <c r="J107" s="67"/>
      <c r="K107" s="67"/>
      <c r="L107" s="29"/>
      <c r="M107" s="211"/>
      <c r="N107" s="29"/>
      <c r="O107" s="29"/>
      <c r="P107" s="29"/>
      <c r="Q107" s="29"/>
    </row>
    <row r="108" spans="1:17" ht="15.75" customHeight="1" x14ac:dyDescent="0.25">
      <c r="A108" s="29"/>
      <c r="B108" s="64"/>
      <c r="C108" s="29"/>
      <c r="D108" s="65"/>
      <c r="E108" s="65"/>
      <c r="F108" s="66"/>
      <c r="G108" s="66"/>
      <c r="H108" s="66"/>
      <c r="I108" s="67"/>
      <c r="J108" s="67"/>
      <c r="K108" s="67"/>
      <c r="L108" s="29"/>
      <c r="M108" s="211"/>
      <c r="N108" s="29"/>
      <c r="O108" s="29"/>
      <c r="P108" s="29"/>
      <c r="Q108" s="29"/>
    </row>
    <row r="109" spans="1:17" ht="15.75" customHeight="1" x14ac:dyDescent="0.25">
      <c r="A109" s="29"/>
      <c r="B109" s="64"/>
      <c r="C109" s="29"/>
      <c r="D109" s="65"/>
      <c r="E109" s="65"/>
      <c r="F109" s="66"/>
      <c r="G109" s="66"/>
      <c r="H109" s="66"/>
      <c r="I109" s="67"/>
      <c r="J109" s="67"/>
      <c r="K109" s="67"/>
      <c r="L109" s="29"/>
      <c r="M109" s="211"/>
      <c r="N109" s="29"/>
      <c r="O109" s="29"/>
      <c r="P109" s="29"/>
      <c r="Q109" s="29"/>
    </row>
    <row r="110" spans="1:17" ht="15.75" customHeight="1" x14ac:dyDescent="0.25">
      <c r="A110" s="29"/>
      <c r="B110" s="64"/>
      <c r="C110" s="29"/>
      <c r="D110" s="65"/>
      <c r="E110" s="65"/>
      <c r="F110" s="66"/>
      <c r="G110" s="66"/>
      <c r="H110" s="66"/>
      <c r="I110" s="67"/>
      <c r="J110" s="67"/>
      <c r="K110" s="67"/>
      <c r="L110" s="29"/>
      <c r="M110" s="211"/>
      <c r="N110" s="29"/>
      <c r="O110" s="29"/>
      <c r="P110" s="29"/>
      <c r="Q110" s="29"/>
    </row>
    <row r="111" spans="1:17" ht="15.75" customHeight="1" x14ac:dyDescent="0.25">
      <c r="A111" s="29"/>
      <c r="B111" s="64"/>
      <c r="C111" s="29"/>
      <c r="D111" s="65"/>
      <c r="E111" s="65"/>
      <c r="F111" s="66"/>
      <c r="G111" s="66"/>
      <c r="H111" s="66"/>
      <c r="I111" s="67"/>
      <c r="J111" s="67"/>
      <c r="K111" s="67"/>
      <c r="L111" s="29"/>
      <c r="M111" s="211"/>
      <c r="N111" s="29"/>
      <c r="O111" s="29"/>
      <c r="P111" s="29"/>
      <c r="Q111" s="29"/>
    </row>
    <row r="112" spans="1:17" ht="15.75" customHeight="1" x14ac:dyDescent="0.25">
      <c r="A112" s="29"/>
      <c r="B112" s="64"/>
      <c r="C112" s="29"/>
      <c r="D112" s="65"/>
      <c r="E112" s="65"/>
      <c r="F112" s="66"/>
      <c r="G112" s="66"/>
      <c r="H112" s="66"/>
      <c r="I112" s="67"/>
      <c r="J112" s="67"/>
      <c r="K112" s="67"/>
      <c r="L112" s="29"/>
      <c r="M112" s="211"/>
      <c r="N112" s="29"/>
      <c r="O112" s="29"/>
      <c r="P112" s="29"/>
      <c r="Q112" s="29"/>
    </row>
    <row r="113" spans="1:17" ht="15.75" customHeight="1" x14ac:dyDescent="0.25">
      <c r="A113" s="29"/>
      <c r="B113" s="64"/>
      <c r="C113" s="29"/>
      <c r="D113" s="65"/>
      <c r="E113" s="65"/>
      <c r="F113" s="66"/>
      <c r="G113" s="66"/>
      <c r="H113" s="66"/>
      <c r="I113" s="67"/>
      <c r="J113" s="67"/>
      <c r="K113" s="67"/>
      <c r="L113" s="29"/>
      <c r="M113" s="211"/>
      <c r="N113" s="29"/>
      <c r="O113" s="29"/>
      <c r="P113" s="29"/>
      <c r="Q113" s="29"/>
    </row>
    <row r="114" spans="1:17" ht="15.75" customHeight="1" x14ac:dyDescent="0.25">
      <c r="A114" s="29"/>
      <c r="B114" s="64"/>
      <c r="C114" s="29"/>
      <c r="D114" s="65"/>
      <c r="E114" s="65"/>
      <c r="F114" s="66"/>
      <c r="G114" s="66"/>
      <c r="H114" s="66"/>
      <c r="I114" s="67"/>
      <c r="J114" s="67"/>
      <c r="K114" s="67"/>
      <c r="L114" s="29"/>
      <c r="M114" s="211"/>
      <c r="N114" s="29"/>
      <c r="O114" s="29"/>
      <c r="P114" s="29"/>
      <c r="Q114" s="29"/>
    </row>
    <row r="115" spans="1:17" ht="15.75" customHeight="1" x14ac:dyDescent="0.25">
      <c r="A115" s="29"/>
      <c r="B115" s="64"/>
      <c r="C115" s="29"/>
      <c r="D115" s="65"/>
      <c r="E115" s="65"/>
      <c r="F115" s="66"/>
      <c r="G115" s="66"/>
      <c r="H115" s="66"/>
      <c r="I115" s="67"/>
      <c r="J115" s="67"/>
      <c r="K115" s="67"/>
      <c r="L115" s="29"/>
      <c r="M115" s="211"/>
      <c r="N115" s="29"/>
      <c r="O115" s="29"/>
      <c r="P115" s="29"/>
      <c r="Q115" s="29"/>
    </row>
    <row r="116" spans="1:17" ht="15.75" customHeight="1" x14ac:dyDescent="0.25">
      <c r="A116" s="29"/>
      <c r="B116" s="64"/>
      <c r="C116" s="29"/>
      <c r="D116" s="65"/>
      <c r="E116" s="65"/>
      <c r="F116" s="66"/>
      <c r="G116" s="66"/>
      <c r="H116" s="66"/>
      <c r="I116" s="67"/>
      <c r="J116" s="67"/>
      <c r="K116" s="67"/>
      <c r="L116" s="29"/>
      <c r="M116" s="211"/>
      <c r="N116" s="29"/>
      <c r="O116" s="29"/>
      <c r="P116" s="29"/>
      <c r="Q116" s="29"/>
    </row>
    <row r="117" spans="1:17" ht="15.75" customHeight="1" x14ac:dyDescent="0.25">
      <c r="A117" s="29"/>
      <c r="B117" s="64"/>
      <c r="C117" s="29"/>
      <c r="D117" s="65"/>
      <c r="E117" s="65"/>
      <c r="F117" s="66"/>
      <c r="G117" s="66"/>
      <c r="H117" s="66"/>
      <c r="I117" s="67"/>
      <c r="J117" s="67"/>
      <c r="K117" s="67"/>
      <c r="L117" s="29"/>
      <c r="M117" s="211"/>
      <c r="N117" s="29"/>
      <c r="O117" s="29"/>
      <c r="P117" s="29"/>
      <c r="Q117" s="29"/>
    </row>
    <row r="118" spans="1:17" ht="15.75" customHeight="1" x14ac:dyDescent="0.25">
      <c r="A118" s="29"/>
      <c r="B118" s="64"/>
      <c r="C118" s="29"/>
      <c r="D118" s="65"/>
      <c r="E118" s="65"/>
      <c r="F118" s="66"/>
      <c r="G118" s="66"/>
      <c r="H118" s="66"/>
      <c r="I118" s="67"/>
      <c r="J118" s="67"/>
      <c r="K118" s="67"/>
      <c r="L118" s="29"/>
      <c r="M118" s="211"/>
      <c r="N118" s="29"/>
      <c r="O118" s="29"/>
      <c r="P118" s="29"/>
      <c r="Q118" s="29"/>
    </row>
    <row r="119" spans="1:17" ht="15.75" customHeight="1" x14ac:dyDescent="0.25">
      <c r="A119" s="29"/>
      <c r="B119" s="64"/>
      <c r="C119" s="29"/>
      <c r="D119" s="65"/>
      <c r="E119" s="65"/>
      <c r="F119" s="66"/>
      <c r="G119" s="66"/>
      <c r="H119" s="66"/>
      <c r="I119" s="67"/>
      <c r="J119" s="67"/>
      <c r="K119" s="67"/>
      <c r="L119" s="29"/>
      <c r="M119" s="211"/>
      <c r="N119" s="29"/>
      <c r="O119" s="29"/>
      <c r="P119" s="29"/>
      <c r="Q119" s="29"/>
    </row>
    <row r="120" spans="1:17" ht="15.75" customHeight="1" x14ac:dyDescent="0.25">
      <c r="A120" s="29"/>
      <c r="B120" s="64"/>
      <c r="C120" s="29"/>
      <c r="D120" s="65"/>
      <c r="E120" s="65"/>
      <c r="F120" s="66"/>
      <c r="G120" s="66"/>
      <c r="H120" s="66"/>
      <c r="I120" s="67"/>
      <c r="J120" s="67"/>
      <c r="K120" s="67"/>
      <c r="L120" s="29"/>
      <c r="M120" s="211"/>
      <c r="N120" s="29"/>
      <c r="O120" s="29"/>
      <c r="P120" s="29"/>
      <c r="Q120" s="29"/>
    </row>
    <row r="121" spans="1:17" ht="15.75" customHeight="1" x14ac:dyDescent="0.25">
      <c r="A121" s="29"/>
      <c r="B121" s="64"/>
      <c r="C121" s="29"/>
      <c r="D121" s="65"/>
      <c r="E121" s="65"/>
      <c r="F121" s="66"/>
      <c r="G121" s="66"/>
      <c r="H121" s="66"/>
      <c r="I121" s="67"/>
      <c r="J121" s="67"/>
      <c r="K121" s="67"/>
      <c r="L121" s="29"/>
      <c r="M121" s="211"/>
      <c r="N121" s="29"/>
      <c r="O121" s="29"/>
      <c r="P121" s="29"/>
      <c r="Q121" s="29"/>
    </row>
    <row r="122" spans="1:17" ht="15.75" customHeight="1" x14ac:dyDescent="0.25">
      <c r="A122" s="29"/>
      <c r="B122" s="64"/>
      <c r="C122" s="29"/>
      <c r="D122" s="65"/>
      <c r="E122" s="65"/>
      <c r="F122" s="66"/>
      <c r="G122" s="66"/>
      <c r="H122" s="66"/>
      <c r="I122" s="67"/>
      <c r="J122" s="67"/>
      <c r="K122" s="67"/>
      <c r="L122" s="29"/>
      <c r="M122" s="211"/>
      <c r="N122" s="29"/>
      <c r="O122" s="29"/>
      <c r="P122" s="29"/>
      <c r="Q122" s="29"/>
    </row>
    <row r="123" spans="1:17" ht="15.75" customHeight="1" x14ac:dyDescent="0.25">
      <c r="A123" s="29"/>
      <c r="B123" s="64"/>
      <c r="C123" s="29"/>
      <c r="D123" s="65"/>
      <c r="E123" s="65"/>
      <c r="F123" s="66"/>
      <c r="G123" s="66"/>
      <c r="H123" s="66"/>
      <c r="I123" s="67"/>
      <c r="J123" s="67"/>
      <c r="K123" s="67"/>
      <c r="L123" s="29"/>
      <c r="M123" s="211"/>
      <c r="N123" s="29"/>
      <c r="O123" s="29"/>
      <c r="P123" s="29"/>
      <c r="Q123" s="29"/>
    </row>
    <row r="124" spans="1:17" ht="15.75" customHeight="1" x14ac:dyDescent="0.25">
      <c r="A124" s="29"/>
      <c r="B124" s="64"/>
      <c r="C124" s="29"/>
      <c r="D124" s="65"/>
      <c r="E124" s="65"/>
      <c r="F124" s="66"/>
      <c r="G124" s="66"/>
      <c r="H124" s="66"/>
      <c r="I124" s="67"/>
      <c r="J124" s="67"/>
      <c r="K124" s="67"/>
      <c r="L124" s="29"/>
      <c r="M124" s="211"/>
      <c r="N124" s="29"/>
      <c r="O124" s="29"/>
      <c r="P124" s="29"/>
      <c r="Q124" s="29"/>
    </row>
    <row r="125" spans="1:17" ht="15.75" customHeight="1" x14ac:dyDescent="0.25">
      <c r="A125" s="29"/>
      <c r="B125" s="64"/>
      <c r="C125" s="29"/>
      <c r="D125" s="65"/>
      <c r="E125" s="65"/>
      <c r="F125" s="66"/>
      <c r="G125" s="66"/>
      <c r="H125" s="66"/>
      <c r="I125" s="67"/>
      <c r="J125" s="67"/>
      <c r="K125" s="67"/>
      <c r="L125" s="29"/>
      <c r="M125" s="211"/>
      <c r="N125" s="29"/>
      <c r="O125" s="29"/>
      <c r="P125" s="29"/>
      <c r="Q125" s="29"/>
    </row>
    <row r="126" spans="1:17" ht="15.75" customHeight="1" x14ac:dyDescent="0.25">
      <c r="A126" s="29"/>
      <c r="B126" s="64"/>
      <c r="C126" s="29"/>
      <c r="D126" s="65"/>
      <c r="E126" s="65"/>
      <c r="F126" s="66"/>
      <c r="G126" s="66"/>
      <c r="H126" s="66"/>
      <c r="I126" s="67"/>
      <c r="J126" s="67"/>
      <c r="K126" s="67"/>
      <c r="L126" s="29"/>
      <c r="M126" s="211"/>
      <c r="N126" s="29"/>
      <c r="O126" s="29"/>
      <c r="P126" s="29"/>
      <c r="Q126" s="29"/>
    </row>
    <row r="127" spans="1:17" ht="15.75" customHeight="1" x14ac:dyDescent="0.25">
      <c r="A127" s="29"/>
      <c r="B127" s="64"/>
      <c r="C127" s="29"/>
      <c r="D127" s="65"/>
      <c r="E127" s="65"/>
      <c r="F127" s="66"/>
      <c r="G127" s="66"/>
      <c r="H127" s="66"/>
      <c r="I127" s="67"/>
      <c r="J127" s="67"/>
      <c r="K127" s="67"/>
      <c r="L127" s="29"/>
      <c r="M127" s="211"/>
      <c r="N127" s="29"/>
      <c r="O127" s="29"/>
      <c r="P127" s="29"/>
      <c r="Q127" s="29"/>
    </row>
    <row r="128" spans="1:17" ht="15.75" customHeight="1" x14ac:dyDescent="0.25">
      <c r="A128" s="29"/>
      <c r="B128" s="64"/>
      <c r="C128" s="29"/>
      <c r="D128" s="65"/>
      <c r="E128" s="65"/>
      <c r="F128" s="66"/>
      <c r="G128" s="66"/>
      <c r="H128" s="66"/>
      <c r="I128" s="67"/>
      <c r="J128" s="67"/>
      <c r="K128" s="67"/>
      <c r="L128" s="29"/>
      <c r="M128" s="211"/>
      <c r="N128" s="29"/>
      <c r="O128" s="29"/>
      <c r="P128" s="29"/>
      <c r="Q128" s="29"/>
    </row>
    <row r="129" spans="1:17" ht="15.75" customHeight="1" x14ac:dyDescent="0.25">
      <c r="A129" s="29"/>
      <c r="B129" s="64"/>
      <c r="C129" s="29"/>
      <c r="D129" s="65"/>
      <c r="E129" s="65"/>
      <c r="F129" s="66"/>
      <c r="G129" s="66"/>
      <c r="H129" s="66"/>
      <c r="I129" s="67"/>
      <c r="J129" s="67"/>
      <c r="K129" s="67"/>
      <c r="L129" s="29"/>
      <c r="M129" s="211"/>
      <c r="N129" s="29"/>
      <c r="O129" s="29"/>
      <c r="P129" s="29"/>
      <c r="Q129" s="29"/>
    </row>
    <row r="130" spans="1:17" ht="15.75" customHeight="1" x14ac:dyDescent="0.25">
      <c r="A130" s="29"/>
      <c r="B130" s="64"/>
      <c r="C130" s="29"/>
      <c r="D130" s="65"/>
      <c r="E130" s="65"/>
      <c r="F130" s="66"/>
      <c r="G130" s="66"/>
      <c r="H130" s="66"/>
      <c r="I130" s="67"/>
      <c r="J130" s="67"/>
      <c r="K130" s="67"/>
      <c r="L130" s="29"/>
      <c r="M130" s="211"/>
      <c r="N130" s="29"/>
      <c r="O130" s="29"/>
      <c r="P130" s="29"/>
      <c r="Q130" s="29"/>
    </row>
    <row r="131" spans="1:17" ht="15.75" customHeight="1" x14ac:dyDescent="0.25">
      <c r="A131" s="29"/>
      <c r="B131" s="64"/>
      <c r="C131" s="29"/>
      <c r="D131" s="65"/>
      <c r="E131" s="65"/>
      <c r="F131" s="66"/>
      <c r="G131" s="66"/>
      <c r="H131" s="66"/>
      <c r="I131" s="67"/>
      <c r="J131" s="67"/>
      <c r="K131" s="67"/>
      <c r="L131" s="29"/>
      <c r="M131" s="211"/>
      <c r="N131" s="29"/>
      <c r="O131" s="29"/>
      <c r="P131" s="29"/>
      <c r="Q131" s="29"/>
    </row>
    <row r="132" spans="1:17" ht="15.75" customHeight="1" x14ac:dyDescent="0.25">
      <c r="A132" s="29"/>
      <c r="B132" s="64"/>
      <c r="C132" s="29"/>
      <c r="D132" s="65"/>
      <c r="E132" s="65"/>
      <c r="F132" s="66"/>
      <c r="G132" s="66"/>
      <c r="H132" s="66"/>
      <c r="I132" s="67"/>
      <c r="J132" s="67"/>
      <c r="K132" s="67"/>
      <c r="L132" s="29"/>
      <c r="M132" s="211"/>
      <c r="N132" s="29"/>
      <c r="O132" s="29"/>
      <c r="P132" s="29"/>
      <c r="Q132" s="29"/>
    </row>
    <row r="133" spans="1:17" ht="15.75" customHeight="1" x14ac:dyDescent="0.25">
      <c r="A133" s="29"/>
      <c r="B133" s="64"/>
      <c r="C133" s="29"/>
      <c r="D133" s="65"/>
      <c r="E133" s="65"/>
      <c r="F133" s="66"/>
      <c r="G133" s="66"/>
      <c r="H133" s="66"/>
      <c r="I133" s="67"/>
      <c r="J133" s="67"/>
      <c r="K133" s="67"/>
      <c r="L133" s="29"/>
      <c r="M133" s="211"/>
      <c r="N133" s="29"/>
      <c r="O133" s="29"/>
      <c r="P133" s="29"/>
      <c r="Q133" s="29"/>
    </row>
    <row r="134" spans="1:17" ht="15.75" customHeight="1" x14ac:dyDescent="0.25">
      <c r="A134" s="29"/>
      <c r="B134" s="64"/>
      <c r="C134" s="29"/>
      <c r="D134" s="65"/>
      <c r="E134" s="65"/>
      <c r="F134" s="66"/>
      <c r="G134" s="66"/>
      <c r="H134" s="66"/>
      <c r="I134" s="67"/>
      <c r="J134" s="67"/>
      <c r="K134" s="67"/>
      <c r="L134" s="29"/>
      <c r="M134" s="211"/>
      <c r="N134" s="29"/>
      <c r="O134" s="29"/>
      <c r="P134" s="29"/>
      <c r="Q134" s="29"/>
    </row>
    <row r="135" spans="1:17" ht="15.75" customHeight="1" x14ac:dyDescent="0.25">
      <c r="A135" s="29"/>
      <c r="B135" s="64"/>
      <c r="C135" s="29"/>
      <c r="D135" s="65"/>
      <c r="E135" s="65"/>
      <c r="F135" s="66"/>
      <c r="G135" s="66"/>
      <c r="H135" s="66"/>
      <c r="I135" s="67"/>
      <c r="J135" s="67"/>
      <c r="K135" s="67"/>
      <c r="L135" s="29"/>
      <c r="M135" s="211"/>
      <c r="N135" s="29"/>
      <c r="O135" s="29"/>
      <c r="P135" s="29"/>
      <c r="Q135" s="29"/>
    </row>
    <row r="136" spans="1:17" ht="15.75" customHeight="1" x14ac:dyDescent="0.25">
      <c r="A136" s="29"/>
      <c r="B136" s="64"/>
      <c r="C136" s="29"/>
      <c r="D136" s="65"/>
      <c r="E136" s="65"/>
      <c r="F136" s="66"/>
      <c r="G136" s="66"/>
      <c r="H136" s="66"/>
      <c r="I136" s="67"/>
      <c r="J136" s="67"/>
      <c r="K136" s="67"/>
      <c r="L136" s="29"/>
      <c r="M136" s="211"/>
      <c r="N136" s="29"/>
      <c r="O136" s="29"/>
      <c r="P136" s="29"/>
      <c r="Q136" s="29"/>
    </row>
    <row r="137" spans="1:17" ht="15.75" customHeight="1" x14ac:dyDescent="0.25">
      <c r="A137" s="29"/>
      <c r="B137" s="64"/>
      <c r="C137" s="29"/>
      <c r="D137" s="65"/>
      <c r="E137" s="65"/>
      <c r="F137" s="66"/>
      <c r="G137" s="66"/>
      <c r="H137" s="66"/>
      <c r="I137" s="67"/>
      <c r="J137" s="67"/>
      <c r="K137" s="67"/>
      <c r="L137" s="29"/>
      <c r="M137" s="211"/>
      <c r="N137" s="29"/>
      <c r="O137" s="29"/>
      <c r="P137" s="29"/>
      <c r="Q137" s="29"/>
    </row>
    <row r="138" spans="1:17" ht="15.75" customHeight="1" x14ac:dyDescent="0.25">
      <c r="A138" s="29"/>
      <c r="B138" s="64"/>
      <c r="C138" s="29"/>
      <c r="D138" s="65"/>
      <c r="E138" s="65"/>
      <c r="F138" s="66"/>
      <c r="G138" s="66"/>
      <c r="H138" s="66"/>
      <c r="I138" s="67"/>
      <c r="J138" s="67"/>
      <c r="K138" s="67"/>
      <c r="L138" s="29"/>
      <c r="M138" s="211"/>
      <c r="N138" s="29"/>
      <c r="O138" s="29"/>
      <c r="P138" s="29"/>
      <c r="Q138" s="29"/>
    </row>
    <row r="139" spans="1:17" ht="15.75" customHeight="1" x14ac:dyDescent="0.25">
      <c r="A139" s="29"/>
      <c r="B139" s="64"/>
      <c r="C139" s="29"/>
      <c r="D139" s="65"/>
      <c r="E139" s="65"/>
      <c r="F139" s="66"/>
      <c r="G139" s="66"/>
      <c r="H139" s="66"/>
      <c r="I139" s="67"/>
      <c r="J139" s="67"/>
      <c r="K139" s="67"/>
      <c r="L139" s="29"/>
      <c r="M139" s="211"/>
      <c r="N139" s="29"/>
      <c r="O139" s="29"/>
      <c r="P139" s="29"/>
      <c r="Q139" s="29"/>
    </row>
    <row r="140" spans="1:17" ht="15.75" customHeight="1" x14ac:dyDescent="0.25">
      <c r="A140" s="29"/>
      <c r="B140" s="64"/>
      <c r="C140" s="29"/>
      <c r="D140" s="65"/>
      <c r="E140" s="65"/>
      <c r="F140" s="66"/>
      <c r="G140" s="66"/>
      <c r="H140" s="66"/>
      <c r="I140" s="67"/>
      <c r="J140" s="67"/>
      <c r="K140" s="67"/>
      <c r="L140" s="29"/>
      <c r="M140" s="211"/>
      <c r="N140" s="29"/>
      <c r="O140" s="29"/>
      <c r="P140" s="29"/>
      <c r="Q140" s="29"/>
    </row>
    <row r="141" spans="1:17" ht="15.75" customHeight="1" x14ac:dyDescent="0.25">
      <c r="A141" s="29"/>
      <c r="B141" s="64"/>
      <c r="C141" s="29"/>
      <c r="D141" s="65"/>
      <c r="E141" s="65"/>
      <c r="F141" s="66"/>
      <c r="G141" s="66"/>
      <c r="H141" s="66"/>
      <c r="I141" s="67"/>
      <c r="J141" s="67"/>
      <c r="K141" s="67"/>
      <c r="L141" s="29"/>
      <c r="M141" s="211"/>
      <c r="N141" s="29"/>
      <c r="O141" s="29"/>
      <c r="P141" s="29"/>
      <c r="Q141" s="29"/>
    </row>
    <row r="142" spans="1:17" ht="15.75" customHeight="1" x14ac:dyDescent="0.25">
      <c r="A142" s="29"/>
      <c r="B142" s="64"/>
      <c r="C142" s="29"/>
      <c r="D142" s="65"/>
      <c r="E142" s="65"/>
      <c r="F142" s="66"/>
      <c r="G142" s="66"/>
      <c r="H142" s="66"/>
      <c r="I142" s="67"/>
      <c r="J142" s="67"/>
      <c r="K142" s="67"/>
      <c r="L142" s="29"/>
      <c r="M142" s="211"/>
      <c r="N142" s="29"/>
      <c r="O142" s="29"/>
      <c r="P142" s="29"/>
      <c r="Q142" s="29"/>
    </row>
    <row r="143" spans="1:17" ht="15.75" customHeight="1" x14ac:dyDescent="0.25">
      <c r="A143" s="29"/>
      <c r="B143" s="64"/>
      <c r="C143" s="29"/>
      <c r="D143" s="65"/>
      <c r="E143" s="65"/>
      <c r="F143" s="66"/>
      <c r="G143" s="66"/>
      <c r="H143" s="66"/>
      <c r="I143" s="67"/>
      <c r="J143" s="67"/>
      <c r="K143" s="67"/>
      <c r="L143" s="29"/>
      <c r="M143" s="211"/>
      <c r="N143" s="29"/>
      <c r="O143" s="29"/>
      <c r="P143" s="29"/>
      <c r="Q143" s="29"/>
    </row>
    <row r="144" spans="1:17" ht="15.75" customHeight="1" x14ac:dyDescent="0.25">
      <c r="A144" s="29"/>
      <c r="B144" s="64"/>
      <c r="C144" s="29"/>
      <c r="D144" s="65"/>
      <c r="E144" s="65"/>
      <c r="F144" s="66"/>
      <c r="G144" s="66"/>
      <c r="H144" s="66"/>
      <c r="I144" s="67"/>
      <c r="J144" s="67"/>
      <c r="K144" s="67"/>
      <c r="L144" s="29"/>
      <c r="M144" s="211"/>
      <c r="N144" s="29"/>
      <c r="O144" s="29"/>
      <c r="P144" s="29"/>
      <c r="Q144" s="29"/>
    </row>
    <row r="145" spans="1:17" ht="15.75" customHeight="1" x14ac:dyDescent="0.25">
      <c r="A145" s="29"/>
      <c r="B145" s="64"/>
      <c r="C145" s="29"/>
      <c r="D145" s="65"/>
      <c r="E145" s="65"/>
      <c r="F145" s="66"/>
      <c r="G145" s="66"/>
      <c r="H145" s="66"/>
      <c r="I145" s="67"/>
      <c r="J145" s="67"/>
      <c r="K145" s="67"/>
      <c r="L145" s="29"/>
      <c r="M145" s="211"/>
      <c r="N145" s="29"/>
      <c r="O145" s="29"/>
      <c r="P145" s="29"/>
      <c r="Q145" s="29"/>
    </row>
    <row r="146" spans="1:17" ht="15.75" customHeight="1" x14ac:dyDescent="0.25">
      <c r="A146" s="29"/>
      <c r="B146" s="64"/>
      <c r="C146" s="29"/>
      <c r="D146" s="65"/>
      <c r="E146" s="65"/>
      <c r="F146" s="66"/>
      <c r="G146" s="66"/>
      <c r="H146" s="66"/>
      <c r="I146" s="67"/>
      <c r="J146" s="67"/>
      <c r="K146" s="67"/>
      <c r="L146" s="29"/>
      <c r="M146" s="211"/>
      <c r="N146" s="29"/>
      <c r="O146" s="29"/>
      <c r="P146" s="29"/>
      <c r="Q146" s="29"/>
    </row>
    <row r="147" spans="1:17" ht="15.75" customHeight="1" x14ac:dyDescent="0.25">
      <c r="A147" s="29"/>
      <c r="B147" s="64"/>
      <c r="C147" s="29"/>
      <c r="D147" s="65"/>
      <c r="E147" s="65"/>
      <c r="F147" s="66"/>
      <c r="G147" s="66"/>
      <c r="H147" s="66"/>
      <c r="I147" s="67"/>
      <c r="J147" s="67"/>
      <c r="K147" s="67"/>
      <c r="L147" s="29"/>
      <c r="M147" s="211"/>
      <c r="N147" s="29"/>
      <c r="O147" s="29"/>
      <c r="P147" s="29"/>
      <c r="Q147" s="29"/>
    </row>
    <row r="148" spans="1:17" ht="15.75" customHeight="1" x14ac:dyDescent="0.25">
      <c r="A148" s="29"/>
      <c r="B148" s="64"/>
      <c r="C148" s="29"/>
      <c r="D148" s="65"/>
      <c r="E148" s="65"/>
      <c r="F148" s="66"/>
      <c r="G148" s="66"/>
      <c r="H148" s="66"/>
      <c r="I148" s="67"/>
      <c r="J148" s="67"/>
      <c r="K148" s="67"/>
      <c r="L148" s="29"/>
      <c r="M148" s="211"/>
      <c r="N148" s="29"/>
      <c r="O148" s="29"/>
      <c r="P148" s="29"/>
      <c r="Q148" s="29"/>
    </row>
    <row r="149" spans="1:17" ht="15.75" customHeight="1" x14ac:dyDescent="0.25">
      <c r="A149" s="29"/>
      <c r="B149" s="64"/>
      <c r="C149" s="29"/>
      <c r="D149" s="65"/>
      <c r="E149" s="65"/>
      <c r="F149" s="66"/>
      <c r="G149" s="66"/>
      <c r="H149" s="66"/>
      <c r="I149" s="67"/>
      <c r="J149" s="67"/>
      <c r="K149" s="67"/>
      <c r="L149" s="29"/>
      <c r="M149" s="211"/>
      <c r="N149" s="29"/>
      <c r="O149" s="29"/>
      <c r="P149" s="29"/>
      <c r="Q149" s="29"/>
    </row>
    <row r="150" spans="1:17" ht="15.75" customHeight="1" x14ac:dyDescent="0.25">
      <c r="A150" s="29"/>
      <c r="B150" s="64"/>
      <c r="C150" s="29"/>
      <c r="D150" s="65"/>
      <c r="E150" s="65"/>
      <c r="F150" s="66"/>
      <c r="G150" s="66"/>
      <c r="H150" s="66"/>
      <c r="I150" s="67"/>
      <c r="J150" s="67"/>
      <c r="K150" s="67"/>
      <c r="L150" s="29"/>
      <c r="M150" s="211"/>
      <c r="N150" s="29"/>
      <c r="O150" s="29"/>
      <c r="P150" s="29"/>
      <c r="Q150" s="29"/>
    </row>
    <row r="151" spans="1:17" ht="15.75" customHeight="1" x14ac:dyDescent="0.25">
      <c r="A151" s="29"/>
      <c r="B151" s="64"/>
      <c r="C151" s="29"/>
      <c r="D151" s="65"/>
      <c r="E151" s="65"/>
      <c r="F151" s="66"/>
      <c r="G151" s="66"/>
      <c r="H151" s="66"/>
      <c r="I151" s="67"/>
      <c r="J151" s="67"/>
      <c r="K151" s="67"/>
      <c r="L151" s="29"/>
      <c r="M151" s="211"/>
      <c r="N151" s="29"/>
      <c r="O151" s="29"/>
      <c r="P151" s="29"/>
      <c r="Q151" s="29"/>
    </row>
    <row r="152" spans="1:17" ht="15.75" customHeight="1" x14ac:dyDescent="0.25">
      <c r="A152" s="29"/>
      <c r="B152" s="64"/>
      <c r="C152" s="29"/>
      <c r="D152" s="65"/>
      <c r="E152" s="65"/>
      <c r="F152" s="66"/>
      <c r="G152" s="66"/>
      <c r="H152" s="66"/>
      <c r="I152" s="67"/>
      <c r="J152" s="67"/>
      <c r="K152" s="67"/>
      <c r="L152" s="29"/>
      <c r="M152" s="211"/>
      <c r="N152" s="29"/>
      <c r="O152" s="29"/>
      <c r="P152" s="29"/>
      <c r="Q152" s="29"/>
    </row>
    <row r="153" spans="1:17" ht="15.75" customHeight="1" x14ac:dyDescent="0.25">
      <c r="A153" s="29"/>
      <c r="B153" s="64"/>
      <c r="C153" s="29"/>
      <c r="D153" s="65"/>
      <c r="E153" s="65"/>
      <c r="F153" s="66"/>
      <c r="G153" s="66"/>
      <c r="H153" s="66"/>
      <c r="I153" s="67"/>
      <c r="J153" s="67"/>
      <c r="K153" s="67"/>
      <c r="L153" s="29"/>
      <c r="M153" s="211"/>
      <c r="N153" s="29"/>
      <c r="O153" s="29"/>
      <c r="P153" s="29"/>
      <c r="Q153" s="29"/>
    </row>
    <row r="154" spans="1:17" ht="15.75" customHeight="1" x14ac:dyDescent="0.25">
      <c r="A154" s="29"/>
      <c r="B154" s="64"/>
      <c r="C154" s="29"/>
      <c r="D154" s="65"/>
      <c r="E154" s="65"/>
      <c r="F154" s="66"/>
      <c r="G154" s="66"/>
      <c r="H154" s="66"/>
      <c r="I154" s="67"/>
      <c r="J154" s="67"/>
      <c r="K154" s="67"/>
      <c r="L154" s="29"/>
      <c r="M154" s="211"/>
      <c r="N154" s="29"/>
      <c r="O154" s="29"/>
      <c r="P154" s="29"/>
      <c r="Q154" s="29"/>
    </row>
    <row r="155" spans="1:17" ht="15.75" customHeight="1" x14ac:dyDescent="0.25">
      <c r="A155" s="29"/>
      <c r="B155" s="64"/>
      <c r="C155" s="29"/>
      <c r="D155" s="65"/>
      <c r="E155" s="65"/>
      <c r="F155" s="66"/>
      <c r="G155" s="66"/>
      <c r="H155" s="66"/>
      <c r="I155" s="67"/>
      <c r="J155" s="67"/>
      <c r="K155" s="67"/>
      <c r="L155" s="29"/>
      <c r="M155" s="211"/>
      <c r="N155" s="29"/>
      <c r="O155" s="29"/>
      <c r="P155" s="29"/>
      <c r="Q155" s="29"/>
    </row>
    <row r="156" spans="1:17" ht="15.75" customHeight="1" x14ac:dyDescent="0.25">
      <c r="A156" s="29"/>
      <c r="B156" s="64"/>
      <c r="C156" s="29"/>
      <c r="D156" s="65"/>
      <c r="E156" s="65"/>
      <c r="F156" s="66"/>
      <c r="G156" s="66"/>
      <c r="H156" s="66"/>
      <c r="I156" s="67"/>
      <c r="J156" s="67"/>
      <c r="K156" s="67"/>
      <c r="L156" s="29"/>
      <c r="M156" s="211"/>
      <c r="N156" s="29"/>
      <c r="O156" s="29"/>
      <c r="P156" s="29"/>
      <c r="Q156" s="29"/>
    </row>
    <row r="157" spans="1:17" ht="15.75" customHeight="1" x14ac:dyDescent="0.25">
      <c r="A157" s="29"/>
      <c r="B157" s="64"/>
      <c r="C157" s="29"/>
      <c r="D157" s="65"/>
      <c r="E157" s="65"/>
      <c r="F157" s="66"/>
      <c r="G157" s="66"/>
      <c r="H157" s="66"/>
      <c r="I157" s="67"/>
      <c r="J157" s="67"/>
      <c r="K157" s="67"/>
      <c r="L157" s="29"/>
      <c r="M157" s="211"/>
      <c r="N157" s="29"/>
      <c r="O157" s="29"/>
      <c r="P157" s="29"/>
      <c r="Q157" s="29"/>
    </row>
    <row r="158" spans="1:17" ht="15.75" customHeight="1" x14ac:dyDescent="0.25">
      <c r="A158" s="29"/>
      <c r="B158" s="64"/>
      <c r="C158" s="29"/>
      <c r="D158" s="65"/>
      <c r="E158" s="65"/>
      <c r="F158" s="66"/>
      <c r="G158" s="66"/>
      <c r="H158" s="66"/>
      <c r="I158" s="67"/>
      <c r="J158" s="67"/>
      <c r="K158" s="67"/>
      <c r="L158" s="29"/>
      <c r="M158" s="211"/>
      <c r="N158" s="29"/>
      <c r="O158" s="29"/>
      <c r="P158" s="29"/>
      <c r="Q158" s="29"/>
    </row>
    <row r="159" spans="1:17" ht="15.75" customHeight="1" x14ac:dyDescent="0.25">
      <c r="A159" s="29"/>
      <c r="B159" s="64"/>
      <c r="C159" s="29"/>
      <c r="D159" s="65"/>
      <c r="E159" s="65"/>
      <c r="F159" s="66"/>
      <c r="G159" s="66"/>
      <c r="H159" s="66"/>
      <c r="I159" s="67"/>
      <c r="J159" s="67"/>
      <c r="K159" s="67"/>
      <c r="L159" s="29"/>
      <c r="M159" s="211"/>
      <c r="N159" s="29"/>
      <c r="O159" s="29"/>
      <c r="P159" s="29"/>
      <c r="Q159" s="29"/>
    </row>
    <row r="160" spans="1:17" ht="15.75" customHeight="1" x14ac:dyDescent="0.25">
      <c r="A160" s="29"/>
      <c r="B160" s="64"/>
      <c r="C160" s="29"/>
      <c r="D160" s="65"/>
      <c r="E160" s="65"/>
      <c r="F160" s="66"/>
      <c r="G160" s="66"/>
      <c r="H160" s="66"/>
      <c r="I160" s="67"/>
      <c r="J160" s="67"/>
      <c r="K160" s="67"/>
      <c r="L160" s="29"/>
      <c r="M160" s="211"/>
      <c r="N160" s="29"/>
      <c r="O160" s="29"/>
      <c r="P160" s="29"/>
      <c r="Q160" s="29"/>
    </row>
    <row r="161" spans="1:17" ht="15.75" customHeight="1" x14ac:dyDescent="0.25">
      <c r="A161" s="29"/>
      <c r="B161" s="64"/>
      <c r="C161" s="29"/>
      <c r="D161" s="65"/>
      <c r="E161" s="65"/>
      <c r="F161" s="66"/>
      <c r="G161" s="66"/>
      <c r="H161" s="66"/>
      <c r="I161" s="67"/>
      <c r="J161" s="67"/>
      <c r="K161" s="67"/>
      <c r="L161" s="29"/>
      <c r="M161" s="211"/>
      <c r="N161" s="29"/>
      <c r="O161" s="29"/>
      <c r="P161" s="29"/>
      <c r="Q161" s="29"/>
    </row>
    <row r="162" spans="1:17" ht="15.75" customHeight="1" x14ac:dyDescent="0.25">
      <c r="A162" s="29"/>
      <c r="B162" s="64"/>
      <c r="C162" s="29"/>
      <c r="D162" s="65"/>
      <c r="E162" s="65"/>
      <c r="F162" s="66"/>
      <c r="G162" s="66"/>
      <c r="H162" s="66"/>
      <c r="I162" s="67"/>
      <c r="J162" s="67"/>
      <c r="K162" s="67"/>
      <c r="L162" s="29"/>
      <c r="M162" s="211"/>
      <c r="N162" s="29"/>
      <c r="O162" s="29"/>
      <c r="P162" s="29"/>
      <c r="Q162" s="29"/>
    </row>
    <row r="163" spans="1:17" ht="15.75" customHeight="1" x14ac:dyDescent="0.25">
      <c r="A163" s="29"/>
      <c r="B163" s="64"/>
      <c r="C163" s="29"/>
      <c r="D163" s="65"/>
      <c r="E163" s="65"/>
      <c r="F163" s="66"/>
      <c r="G163" s="66"/>
      <c r="H163" s="66"/>
      <c r="I163" s="67"/>
      <c r="J163" s="67"/>
      <c r="K163" s="67"/>
      <c r="L163" s="29"/>
      <c r="M163" s="211"/>
      <c r="N163" s="29"/>
      <c r="O163" s="29"/>
      <c r="P163" s="29"/>
      <c r="Q163" s="29"/>
    </row>
    <row r="164" spans="1:17" ht="15.75" customHeight="1" x14ac:dyDescent="0.25">
      <c r="A164" s="29"/>
      <c r="B164" s="64"/>
      <c r="C164" s="29"/>
      <c r="D164" s="65"/>
      <c r="E164" s="65"/>
      <c r="F164" s="66"/>
      <c r="G164" s="66"/>
      <c r="H164" s="66"/>
      <c r="I164" s="67"/>
      <c r="J164" s="67"/>
      <c r="K164" s="67"/>
      <c r="L164" s="29"/>
      <c r="M164" s="211"/>
      <c r="N164" s="29"/>
      <c r="O164" s="29"/>
      <c r="P164" s="29"/>
      <c r="Q164" s="29"/>
    </row>
    <row r="165" spans="1:17" ht="15.75" customHeight="1" x14ac:dyDescent="0.25">
      <c r="A165" s="29"/>
      <c r="B165" s="64"/>
      <c r="C165" s="29"/>
      <c r="D165" s="65"/>
      <c r="E165" s="65"/>
      <c r="F165" s="66"/>
      <c r="G165" s="66"/>
      <c r="H165" s="66"/>
      <c r="I165" s="67"/>
      <c r="J165" s="67"/>
      <c r="K165" s="67"/>
      <c r="L165" s="29"/>
      <c r="M165" s="211"/>
      <c r="N165" s="29"/>
      <c r="O165" s="29"/>
      <c r="P165" s="29"/>
      <c r="Q165" s="29"/>
    </row>
    <row r="166" spans="1:17" ht="15.75" customHeight="1" x14ac:dyDescent="0.25">
      <c r="A166" s="29"/>
      <c r="B166" s="64"/>
      <c r="C166" s="29"/>
      <c r="D166" s="65"/>
      <c r="E166" s="65"/>
      <c r="F166" s="66"/>
      <c r="G166" s="66"/>
      <c r="H166" s="66"/>
      <c r="I166" s="67"/>
      <c r="J166" s="67"/>
      <c r="K166" s="67"/>
      <c r="L166" s="29"/>
      <c r="M166" s="211"/>
      <c r="N166" s="29"/>
      <c r="O166" s="29"/>
      <c r="P166" s="29"/>
      <c r="Q166" s="29"/>
    </row>
    <row r="167" spans="1:17" ht="15.75" customHeight="1" x14ac:dyDescent="0.25">
      <c r="A167" s="29"/>
      <c r="B167" s="64"/>
      <c r="C167" s="29"/>
      <c r="D167" s="65"/>
      <c r="E167" s="65"/>
      <c r="F167" s="66"/>
      <c r="G167" s="66"/>
      <c r="H167" s="66"/>
      <c r="I167" s="67"/>
      <c r="J167" s="67"/>
      <c r="K167" s="67"/>
      <c r="L167" s="29"/>
      <c r="M167" s="211"/>
      <c r="N167" s="29"/>
      <c r="O167" s="29"/>
      <c r="P167" s="29"/>
      <c r="Q167" s="29"/>
    </row>
    <row r="168" spans="1:17" ht="15.75" customHeight="1" x14ac:dyDescent="0.25">
      <c r="A168" s="29"/>
      <c r="B168" s="64"/>
      <c r="C168" s="29"/>
      <c r="D168" s="65"/>
      <c r="E168" s="65"/>
      <c r="F168" s="66"/>
      <c r="G168" s="66"/>
      <c r="H168" s="66"/>
      <c r="I168" s="67"/>
      <c r="J168" s="67"/>
      <c r="K168" s="67"/>
      <c r="L168" s="29"/>
      <c r="M168" s="211"/>
      <c r="N168" s="29"/>
      <c r="O168" s="29"/>
      <c r="P168" s="29"/>
      <c r="Q168" s="29"/>
    </row>
    <row r="169" spans="1:17" ht="15.75" customHeight="1" x14ac:dyDescent="0.25">
      <c r="A169" s="29"/>
      <c r="B169" s="64"/>
      <c r="C169" s="29"/>
      <c r="D169" s="65"/>
      <c r="E169" s="65"/>
      <c r="F169" s="66"/>
      <c r="G169" s="66"/>
      <c r="H169" s="66"/>
      <c r="I169" s="67"/>
      <c r="J169" s="67"/>
      <c r="K169" s="67"/>
      <c r="L169" s="29"/>
      <c r="M169" s="211"/>
      <c r="N169" s="29"/>
      <c r="O169" s="29"/>
      <c r="P169" s="29"/>
      <c r="Q169" s="29"/>
    </row>
    <row r="170" spans="1:17" ht="15.75" customHeight="1" x14ac:dyDescent="0.25">
      <c r="A170" s="29"/>
      <c r="B170" s="64"/>
      <c r="C170" s="29"/>
      <c r="D170" s="65"/>
      <c r="E170" s="65"/>
      <c r="F170" s="66"/>
      <c r="G170" s="66"/>
      <c r="H170" s="66"/>
      <c r="I170" s="67"/>
      <c r="J170" s="67"/>
      <c r="K170" s="67"/>
      <c r="L170" s="29"/>
      <c r="M170" s="211"/>
      <c r="N170" s="29"/>
      <c r="O170" s="29"/>
      <c r="P170" s="29"/>
      <c r="Q170" s="29"/>
    </row>
    <row r="171" spans="1:17" ht="15.75" customHeight="1" x14ac:dyDescent="0.25">
      <c r="A171" s="29"/>
      <c r="B171" s="64"/>
      <c r="C171" s="29"/>
      <c r="D171" s="65"/>
      <c r="E171" s="65"/>
      <c r="F171" s="66"/>
      <c r="G171" s="66"/>
      <c r="H171" s="66"/>
      <c r="I171" s="67"/>
      <c r="J171" s="67"/>
      <c r="K171" s="67"/>
      <c r="L171" s="29"/>
      <c r="M171" s="211"/>
      <c r="N171" s="29"/>
      <c r="O171" s="29"/>
      <c r="P171" s="29"/>
      <c r="Q171" s="29"/>
    </row>
    <row r="172" spans="1:17" ht="15.75" customHeight="1" x14ac:dyDescent="0.25">
      <c r="A172" s="29"/>
      <c r="B172" s="64"/>
      <c r="C172" s="29"/>
      <c r="D172" s="65"/>
      <c r="E172" s="65"/>
      <c r="F172" s="66"/>
      <c r="G172" s="66"/>
      <c r="H172" s="66"/>
      <c r="I172" s="67"/>
      <c r="J172" s="67"/>
      <c r="K172" s="67"/>
      <c r="L172" s="29"/>
      <c r="M172" s="211"/>
      <c r="N172" s="29"/>
      <c r="O172" s="29"/>
      <c r="P172" s="29"/>
      <c r="Q172" s="29"/>
    </row>
    <row r="173" spans="1:17" ht="15.75" customHeight="1" x14ac:dyDescent="0.25">
      <c r="A173" s="29"/>
      <c r="B173" s="64"/>
      <c r="C173" s="29"/>
      <c r="D173" s="65"/>
      <c r="E173" s="65"/>
      <c r="F173" s="66"/>
      <c r="G173" s="66"/>
      <c r="H173" s="66"/>
      <c r="I173" s="67"/>
      <c r="J173" s="67"/>
      <c r="K173" s="67"/>
      <c r="L173" s="29"/>
      <c r="M173" s="211"/>
      <c r="N173" s="29"/>
      <c r="O173" s="29"/>
      <c r="P173" s="29"/>
      <c r="Q173" s="29"/>
    </row>
    <row r="174" spans="1:17" ht="15.75" customHeight="1" x14ac:dyDescent="0.25">
      <c r="A174" s="29"/>
      <c r="B174" s="64"/>
      <c r="C174" s="29"/>
      <c r="D174" s="65"/>
      <c r="E174" s="65"/>
      <c r="F174" s="66"/>
      <c r="G174" s="66"/>
      <c r="H174" s="66"/>
      <c r="I174" s="67"/>
      <c r="J174" s="67"/>
      <c r="K174" s="67"/>
      <c r="L174" s="29"/>
      <c r="M174" s="211"/>
      <c r="N174" s="29"/>
      <c r="O174" s="29"/>
      <c r="P174" s="29"/>
      <c r="Q174" s="29"/>
    </row>
    <row r="175" spans="1:17" ht="15.75" customHeight="1" x14ac:dyDescent="0.25">
      <c r="A175" s="29"/>
      <c r="B175" s="64"/>
      <c r="C175" s="29"/>
      <c r="D175" s="65"/>
      <c r="E175" s="65"/>
      <c r="F175" s="66"/>
      <c r="G175" s="66"/>
      <c r="H175" s="66"/>
      <c r="I175" s="67"/>
      <c r="J175" s="67"/>
      <c r="K175" s="67"/>
      <c r="L175" s="29"/>
      <c r="M175" s="211"/>
      <c r="N175" s="29"/>
      <c r="O175" s="29"/>
      <c r="P175" s="29"/>
      <c r="Q175" s="29"/>
    </row>
    <row r="176" spans="1:17" ht="15.75" customHeight="1" x14ac:dyDescent="0.25">
      <c r="A176" s="29"/>
      <c r="B176" s="64"/>
      <c r="C176" s="29"/>
      <c r="D176" s="65"/>
      <c r="E176" s="65"/>
      <c r="F176" s="66"/>
      <c r="G176" s="66"/>
      <c r="H176" s="66"/>
      <c r="I176" s="67"/>
      <c r="J176" s="67"/>
      <c r="K176" s="67"/>
      <c r="L176" s="29"/>
      <c r="M176" s="211"/>
      <c r="N176" s="29"/>
      <c r="O176" s="29"/>
      <c r="P176" s="29"/>
      <c r="Q176" s="29"/>
    </row>
    <row r="177" spans="1:17" ht="15.75" customHeight="1" x14ac:dyDescent="0.25">
      <c r="A177" s="29"/>
      <c r="B177" s="64"/>
      <c r="C177" s="29"/>
      <c r="D177" s="65"/>
      <c r="E177" s="65"/>
      <c r="F177" s="66"/>
      <c r="G177" s="66"/>
      <c r="H177" s="66"/>
      <c r="I177" s="67"/>
      <c r="J177" s="67"/>
      <c r="K177" s="67"/>
      <c r="L177" s="29"/>
      <c r="M177" s="211"/>
      <c r="N177" s="29"/>
      <c r="O177" s="29"/>
      <c r="P177" s="29"/>
      <c r="Q177" s="29"/>
    </row>
    <row r="178" spans="1:17" ht="15.75" customHeight="1" x14ac:dyDescent="0.25">
      <c r="A178" s="29"/>
      <c r="B178" s="64"/>
      <c r="C178" s="29"/>
      <c r="D178" s="65"/>
      <c r="E178" s="65"/>
      <c r="F178" s="66"/>
      <c r="G178" s="66"/>
      <c r="H178" s="66"/>
      <c r="I178" s="67"/>
      <c r="J178" s="67"/>
      <c r="K178" s="67"/>
      <c r="L178" s="29"/>
      <c r="M178" s="211"/>
      <c r="N178" s="29"/>
      <c r="O178" s="29"/>
      <c r="P178" s="29"/>
      <c r="Q178" s="29"/>
    </row>
    <row r="179" spans="1:17" ht="15.75" customHeight="1" x14ac:dyDescent="0.25">
      <c r="A179" s="29"/>
      <c r="B179" s="64"/>
      <c r="C179" s="29"/>
      <c r="D179" s="65"/>
      <c r="E179" s="65"/>
      <c r="F179" s="66"/>
      <c r="G179" s="66"/>
      <c r="H179" s="66"/>
      <c r="I179" s="67"/>
      <c r="J179" s="67"/>
      <c r="K179" s="67"/>
      <c r="L179" s="29"/>
      <c r="M179" s="211"/>
      <c r="N179" s="29"/>
      <c r="O179" s="29"/>
      <c r="P179" s="29"/>
      <c r="Q179" s="29"/>
    </row>
    <row r="180" spans="1:17" ht="15.75" customHeight="1" x14ac:dyDescent="0.25">
      <c r="A180" s="29"/>
      <c r="B180" s="64"/>
      <c r="C180" s="29"/>
      <c r="D180" s="65"/>
      <c r="E180" s="65"/>
      <c r="F180" s="66"/>
      <c r="G180" s="66"/>
      <c r="H180" s="66"/>
      <c r="I180" s="67"/>
      <c r="J180" s="67"/>
      <c r="K180" s="67"/>
      <c r="L180" s="29"/>
      <c r="M180" s="211"/>
      <c r="N180" s="29"/>
      <c r="O180" s="29"/>
      <c r="P180" s="29"/>
      <c r="Q180" s="29"/>
    </row>
    <row r="181" spans="1:17" ht="15.75" customHeight="1" x14ac:dyDescent="0.25">
      <c r="A181" s="29"/>
      <c r="B181" s="64"/>
      <c r="C181" s="29"/>
      <c r="D181" s="65"/>
      <c r="E181" s="65"/>
      <c r="F181" s="66"/>
      <c r="G181" s="66"/>
      <c r="H181" s="66"/>
      <c r="I181" s="67"/>
      <c r="J181" s="67"/>
      <c r="K181" s="67"/>
      <c r="L181" s="29"/>
      <c r="M181" s="211"/>
      <c r="N181" s="29"/>
      <c r="O181" s="29"/>
      <c r="P181" s="29"/>
      <c r="Q181" s="29"/>
    </row>
    <row r="182" spans="1:17" ht="15.75" customHeight="1" x14ac:dyDescent="0.25">
      <c r="A182" s="29"/>
      <c r="B182" s="64"/>
      <c r="C182" s="29"/>
      <c r="D182" s="65"/>
      <c r="E182" s="65"/>
      <c r="F182" s="66"/>
      <c r="G182" s="66"/>
      <c r="H182" s="66"/>
      <c r="I182" s="67"/>
      <c r="J182" s="67"/>
      <c r="K182" s="67"/>
      <c r="L182" s="29"/>
      <c r="M182" s="211"/>
      <c r="N182" s="29"/>
      <c r="O182" s="29"/>
      <c r="P182" s="29"/>
      <c r="Q182" s="29"/>
    </row>
    <row r="183" spans="1:17" ht="15.75" customHeight="1" x14ac:dyDescent="0.25">
      <c r="A183" s="29"/>
      <c r="B183" s="64"/>
      <c r="C183" s="29"/>
      <c r="D183" s="65"/>
      <c r="E183" s="65"/>
      <c r="F183" s="66"/>
      <c r="G183" s="66"/>
      <c r="H183" s="66"/>
      <c r="I183" s="67"/>
      <c r="J183" s="67"/>
      <c r="K183" s="67"/>
      <c r="L183" s="29"/>
      <c r="M183" s="211"/>
      <c r="N183" s="29"/>
      <c r="O183" s="29"/>
      <c r="P183" s="29"/>
      <c r="Q183" s="29"/>
    </row>
    <row r="184" spans="1:17" ht="15.75" customHeight="1" x14ac:dyDescent="0.25">
      <c r="A184" s="29"/>
      <c r="B184" s="64"/>
      <c r="C184" s="29"/>
      <c r="D184" s="65"/>
      <c r="E184" s="65"/>
      <c r="F184" s="66"/>
      <c r="G184" s="66"/>
      <c r="H184" s="66"/>
      <c r="I184" s="67"/>
      <c r="J184" s="67"/>
      <c r="K184" s="67"/>
      <c r="L184" s="29"/>
      <c r="M184" s="211"/>
      <c r="N184" s="29"/>
      <c r="O184" s="29"/>
      <c r="P184" s="29"/>
      <c r="Q184" s="29"/>
    </row>
    <row r="185" spans="1:17" ht="15.75" customHeight="1" x14ac:dyDescent="0.25">
      <c r="A185" s="29"/>
      <c r="B185" s="64"/>
      <c r="C185" s="29"/>
      <c r="D185" s="65"/>
      <c r="E185" s="65"/>
      <c r="F185" s="66"/>
      <c r="G185" s="66"/>
      <c r="H185" s="66"/>
      <c r="I185" s="67"/>
      <c r="J185" s="67"/>
      <c r="K185" s="67"/>
      <c r="L185" s="29"/>
      <c r="M185" s="211"/>
      <c r="N185" s="29"/>
      <c r="O185" s="29"/>
      <c r="P185" s="29"/>
      <c r="Q185" s="29"/>
    </row>
    <row r="186" spans="1:17" ht="15.75" customHeight="1" x14ac:dyDescent="0.25">
      <c r="A186" s="29"/>
      <c r="B186" s="64"/>
      <c r="C186" s="29"/>
      <c r="D186" s="65"/>
      <c r="E186" s="65"/>
      <c r="F186" s="66"/>
      <c r="G186" s="66"/>
      <c r="H186" s="66"/>
      <c r="I186" s="67"/>
      <c r="J186" s="67"/>
      <c r="K186" s="67"/>
      <c r="L186" s="29"/>
      <c r="M186" s="211"/>
      <c r="N186" s="29"/>
      <c r="O186" s="29"/>
      <c r="P186" s="29"/>
      <c r="Q186" s="29"/>
    </row>
    <row r="187" spans="1:17" ht="15.75" customHeight="1" x14ac:dyDescent="0.25">
      <c r="A187" s="29"/>
      <c r="B187" s="64"/>
      <c r="C187" s="29"/>
      <c r="D187" s="65"/>
      <c r="E187" s="65"/>
      <c r="F187" s="66"/>
      <c r="G187" s="66"/>
      <c r="H187" s="66"/>
      <c r="I187" s="67"/>
      <c r="J187" s="67"/>
      <c r="K187" s="67"/>
      <c r="L187" s="29"/>
      <c r="M187" s="211"/>
      <c r="N187" s="29"/>
      <c r="O187" s="29"/>
      <c r="P187" s="29"/>
      <c r="Q187" s="29"/>
    </row>
    <row r="188" spans="1:17" ht="15.75" customHeight="1" x14ac:dyDescent="0.25">
      <c r="A188" s="29"/>
      <c r="B188" s="64"/>
      <c r="C188" s="29"/>
      <c r="D188" s="65"/>
      <c r="E188" s="65"/>
      <c r="F188" s="66"/>
      <c r="G188" s="66"/>
      <c r="H188" s="66"/>
      <c r="I188" s="67"/>
      <c r="J188" s="67"/>
      <c r="K188" s="67"/>
      <c r="L188" s="29"/>
      <c r="M188" s="211"/>
      <c r="N188" s="29"/>
      <c r="O188" s="29"/>
      <c r="P188" s="29"/>
      <c r="Q188" s="29"/>
    </row>
    <row r="189" spans="1:17" ht="15.75" customHeight="1" x14ac:dyDescent="0.25">
      <c r="A189" s="29"/>
      <c r="B189" s="64"/>
      <c r="C189" s="29"/>
      <c r="D189" s="65"/>
      <c r="E189" s="65"/>
      <c r="F189" s="66"/>
      <c r="G189" s="66"/>
      <c r="H189" s="66"/>
      <c r="I189" s="67"/>
      <c r="J189" s="67"/>
      <c r="K189" s="67"/>
      <c r="L189" s="29"/>
      <c r="M189" s="211"/>
      <c r="N189" s="29"/>
      <c r="O189" s="29"/>
      <c r="P189" s="29"/>
      <c r="Q189" s="29"/>
    </row>
    <row r="190" spans="1:17" ht="15.75" customHeight="1" x14ac:dyDescent="0.25">
      <c r="A190" s="29"/>
      <c r="B190" s="64"/>
      <c r="C190" s="29"/>
      <c r="D190" s="65"/>
      <c r="E190" s="65"/>
      <c r="F190" s="66"/>
      <c r="G190" s="66"/>
      <c r="H190" s="66"/>
      <c r="I190" s="67"/>
      <c r="J190" s="67"/>
      <c r="K190" s="67"/>
      <c r="L190" s="29"/>
      <c r="M190" s="211"/>
      <c r="N190" s="29"/>
      <c r="O190" s="29"/>
      <c r="P190" s="29"/>
      <c r="Q190" s="29"/>
    </row>
    <row r="191" spans="1:17" ht="15.75" customHeight="1" x14ac:dyDescent="0.25">
      <c r="A191" s="29"/>
      <c r="B191" s="64"/>
      <c r="C191" s="29"/>
      <c r="D191" s="65"/>
      <c r="E191" s="65"/>
      <c r="F191" s="66"/>
      <c r="G191" s="66"/>
      <c r="H191" s="66"/>
      <c r="I191" s="67"/>
      <c r="J191" s="67"/>
      <c r="K191" s="67"/>
      <c r="L191" s="29"/>
      <c r="M191" s="211"/>
      <c r="N191" s="29"/>
      <c r="O191" s="29"/>
      <c r="P191" s="29"/>
      <c r="Q191" s="29"/>
    </row>
    <row r="192" spans="1:17" ht="15.75" customHeight="1" x14ac:dyDescent="0.25">
      <c r="A192" s="29"/>
      <c r="B192" s="64"/>
      <c r="C192" s="29"/>
      <c r="D192" s="65"/>
      <c r="E192" s="65"/>
      <c r="F192" s="66"/>
      <c r="G192" s="66"/>
      <c r="H192" s="66"/>
      <c r="I192" s="67"/>
      <c r="J192" s="67"/>
      <c r="K192" s="67"/>
      <c r="L192" s="29"/>
      <c r="M192" s="211"/>
      <c r="N192" s="29"/>
      <c r="O192" s="29"/>
      <c r="P192" s="29"/>
      <c r="Q192" s="29"/>
    </row>
    <row r="193" spans="1:17" ht="15.75" customHeight="1" x14ac:dyDescent="0.25">
      <c r="A193" s="29"/>
      <c r="B193" s="64"/>
      <c r="C193" s="29"/>
      <c r="D193" s="65"/>
      <c r="E193" s="65"/>
      <c r="F193" s="66"/>
      <c r="G193" s="66"/>
      <c r="H193" s="66"/>
      <c r="I193" s="67"/>
      <c r="J193" s="67"/>
      <c r="K193" s="67"/>
      <c r="L193" s="29"/>
      <c r="M193" s="211"/>
      <c r="N193" s="29"/>
      <c r="O193" s="29"/>
      <c r="P193" s="29"/>
      <c r="Q193" s="29"/>
    </row>
    <row r="194" spans="1:17" ht="15.75" customHeight="1" x14ac:dyDescent="0.25">
      <c r="A194" s="29"/>
      <c r="B194" s="64"/>
      <c r="C194" s="29"/>
      <c r="D194" s="65"/>
      <c r="E194" s="65"/>
      <c r="F194" s="66"/>
      <c r="G194" s="66"/>
      <c r="H194" s="66"/>
      <c r="I194" s="67"/>
      <c r="J194" s="67"/>
      <c r="K194" s="67"/>
      <c r="L194" s="29"/>
      <c r="M194" s="211"/>
      <c r="N194" s="29"/>
      <c r="O194" s="29"/>
      <c r="P194" s="29"/>
      <c r="Q194" s="29"/>
    </row>
    <row r="195" spans="1:17" ht="15.75" customHeight="1" x14ac:dyDescent="0.25">
      <c r="A195" s="29"/>
      <c r="B195" s="64"/>
      <c r="C195" s="29"/>
      <c r="D195" s="65"/>
      <c r="E195" s="65"/>
      <c r="F195" s="66"/>
      <c r="G195" s="66"/>
      <c r="H195" s="66"/>
      <c r="I195" s="67"/>
      <c r="J195" s="67"/>
      <c r="K195" s="67"/>
      <c r="L195" s="29"/>
      <c r="M195" s="211"/>
      <c r="N195" s="29"/>
      <c r="O195" s="29"/>
      <c r="P195" s="29"/>
      <c r="Q195" s="29"/>
    </row>
    <row r="196" spans="1:17" ht="15.75" customHeight="1" x14ac:dyDescent="0.25">
      <c r="A196" s="29"/>
      <c r="B196" s="64"/>
      <c r="C196" s="29"/>
      <c r="D196" s="65"/>
      <c r="E196" s="65"/>
      <c r="F196" s="66"/>
      <c r="G196" s="66"/>
      <c r="H196" s="66"/>
      <c r="I196" s="67"/>
      <c r="J196" s="67"/>
      <c r="K196" s="67"/>
      <c r="L196" s="29"/>
      <c r="M196" s="211"/>
      <c r="N196" s="29"/>
      <c r="O196" s="29"/>
      <c r="P196" s="29"/>
      <c r="Q196" s="29"/>
    </row>
    <row r="197" spans="1:17" ht="15.75" customHeight="1" x14ac:dyDescent="0.25">
      <c r="A197" s="29"/>
      <c r="B197" s="64"/>
      <c r="C197" s="29"/>
      <c r="D197" s="65"/>
      <c r="E197" s="65"/>
      <c r="F197" s="66"/>
      <c r="G197" s="66"/>
      <c r="H197" s="66"/>
      <c r="I197" s="67"/>
      <c r="J197" s="67"/>
      <c r="K197" s="67"/>
      <c r="L197" s="29"/>
      <c r="M197" s="211"/>
      <c r="N197" s="29"/>
      <c r="O197" s="29"/>
      <c r="P197" s="29"/>
      <c r="Q197" s="29"/>
    </row>
    <row r="198" spans="1:17" ht="15.75" customHeight="1" x14ac:dyDescent="0.25">
      <c r="A198" s="29"/>
      <c r="B198" s="64"/>
      <c r="C198" s="29"/>
      <c r="D198" s="65"/>
      <c r="E198" s="65"/>
      <c r="F198" s="66"/>
      <c r="G198" s="66"/>
      <c r="H198" s="66"/>
      <c r="I198" s="67"/>
      <c r="J198" s="67"/>
      <c r="K198" s="67"/>
      <c r="L198" s="29"/>
      <c r="M198" s="211"/>
      <c r="N198" s="29"/>
      <c r="O198" s="29"/>
      <c r="P198" s="29"/>
      <c r="Q198" s="29"/>
    </row>
    <row r="199" spans="1:17" ht="15.75" customHeight="1" x14ac:dyDescent="0.25">
      <c r="A199" s="29"/>
      <c r="B199" s="64"/>
      <c r="C199" s="29"/>
      <c r="D199" s="65"/>
      <c r="E199" s="65"/>
      <c r="F199" s="66"/>
      <c r="G199" s="66"/>
      <c r="H199" s="66"/>
      <c r="I199" s="67"/>
      <c r="J199" s="67"/>
      <c r="K199" s="67"/>
      <c r="L199" s="29"/>
      <c r="M199" s="211"/>
      <c r="N199" s="29"/>
      <c r="O199" s="29"/>
      <c r="P199" s="29"/>
      <c r="Q199" s="29"/>
    </row>
    <row r="200" spans="1:17" ht="15.75" customHeight="1" x14ac:dyDescent="0.25">
      <c r="A200" s="29"/>
      <c r="B200" s="64"/>
      <c r="C200" s="29"/>
      <c r="D200" s="65"/>
      <c r="E200" s="65"/>
      <c r="F200" s="66"/>
      <c r="G200" s="66"/>
      <c r="H200" s="66"/>
      <c r="I200" s="67"/>
      <c r="J200" s="67"/>
      <c r="K200" s="67"/>
      <c r="L200" s="29"/>
      <c r="M200" s="211"/>
      <c r="N200" s="29"/>
      <c r="O200" s="29"/>
      <c r="P200" s="29"/>
      <c r="Q200" s="29"/>
    </row>
    <row r="201" spans="1:17" ht="15.75" customHeight="1" x14ac:dyDescent="0.25">
      <c r="A201" s="29"/>
      <c r="B201" s="64"/>
      <c r="C201" s="29"/>
      <c r="D201" s="65"/>
      <c r="E201" s="65"/>
      <c r="F201" s="66"/>
      <c r="G201" s="66"/>
      <c r="H201" s="66"/>
      <c r="I201" s="67"/>
      <c r="J201" s="67"/>
      <c r="K201" s="67"/>
      <c r="L201" s="29"/>
      <c r="M201" s="211"/>
      <c r="N201" s="29"/>
      <c r="O201" s="29"/>
      <c r="P201" s="29"/>
      <c r="Q201" s="29"/>
    </row>
    <row r="202" spans="1:17" ht="15.75" customHeight="1" x14ac:dyDescent="0.25">
      <c r="A202" s="29"/>
      <c r="B202" s="64"/>
      <c r="C202" s="29"/>
      <c r="D202" s="65"/>
      <c r="E202" s="65"/>
      <c r="F202" s="66"/>
      <c r="G202" s="66"/>
      <c r="H202" s="66"/>
      <c r="I202" s="67"/>
      <c r="J202" s="67"/>
      <c r="K202" s="67"/>
      <c r="L202" s="29"/>
      <c r="M202" s="211"/>
      <c r="N202" s="29"/>
      <c r="O202" s="29"/>
      <c r="P202" s="29"/>
      <c r="Q202" s="29"/>
    </row>
    <row r="203" spans="1:17" ht="15.75" customHeight="1" x14ac:dyDescent="0.25">
      <c r="A203" s="29"/>
      <c r="B203" s="64"/>
      <c r="C203" s="29"/>
      <c r="D203" s="65"/>
      <c r="E203" s="65"/>
      <c r="F203" s="66"/>
      <c r="G203" s="66"/>
      <c r="H203" s="66"/>
      <c r="I203" s="67"/>
      <c r="J203" s="67"/>
      <c r="K203" s="67"/>
      <c r="L203" s="29"/>
      <c r="M203" s="211"/>
      <c r="N203" s="29"/>
      <c r="O203" s="29"/>
      <c r="P203" s="29"/>
      <c r="Q203" s="29"/>
    </row>
    <row r="204" spans="1:17" ht="15.75" customHeight="1" x14ac:dyDescent="0.25">
      <c r="A204" s="29"/>
      <c r="B204" s="64"/>
      <c r="C204" s="29"/>
      <c r="D204" s="65"/>
      <c r="E204" s="65"/>
      <c r="F204" s="66"/>
      <c r="G204" s="66"/>
      <c r="H204" s="66"/>
      <c r="I204" s="67"/>
      <c r="J204" s="67"/>
      <c r="K204" s="67"/>
      <c r="L204" s="29"/>
      <c r="M204" s="211"/>
      <c r="N204" s="29"/>
      <c r="O204" s="29"/>
      <c r="P204" s="29"/>
      <c r="Q204" s="29"/>
    </row>
    <row r="205" spans="1:17" ht="15.75" customHeight="1" x14ac:dyDescent="0.25">
      <c r="A205" s="29"/>
      <c r="B205" s="64"/>
      <c r="C205" s="29"/>
      <c r="D205" s="65"/>
      <c r="E205" s="65"/>
      <c r="F205" s="66"/>
      <c r="G205" s="66"/>
      <c r="H205" s="66"/>
      <c r="I205" s="67"/>
      <c r="J205" s="67"/>
      <c r="K205" s="67"/>
      <c r="L205" s="29"/>
      <c r="M205" s="211"/>
      <c r="N205" s="29"/>
      <c r="O205" s="29"/>
      <c r="P205" s="29"/>
      <c r="Q205" s="29"/>
    </row>
    <row r="206" spans="1:17" ht="15.75" customHeight="1" x14ac:dyDescent="0.25">
      <c r="A206" s="29"/>
      <c r="B206" s="64"/>
      <c r="C206" s="29"/>
      <c r="D206" s="65"/>
      <c r="E206" s="65"/>
      <c r="F206" s="66"/>
      <c r="G206" s="66"/>
      <c r="H206" s="66"/>
      <c r="I206" s="67"/>
      <c r="J206" s="67"/>
      <c r="K206" s="67"/>
      <c r="L206" s="29"/>
      <c r="M206" s="211"/>
      <c r="N206" s="29"/>
      <c r="O206" s="29"/>
      <c r="P206" s="29"/>
      <c r="Q206" s="29"/>
    </row>
    <row r="207" spans="1:17" ht="15.75" customHeight="1" x14ac:dyDescent="0.25">
      <c r="A207" s="29"/>
      <c r="B207" s="64"/>
      <c r="C207" s="29"/>
      <c r="D207" s="65"/>
      <c r="E207" s="65"/>
      <c r="F207" s="66"/>
      <c r="G207" s="66"/>
      <c r="H207" s="66"/>
      <c r="I207" s="67"/>
      <c r="J207" s="67"/>
      <c r="K207" s="67"/>
      <c r="L207" s="29"/>
      <c r="M207" s="211"/>
      <c r="N207" s="29"/>
      <c r="O207" s="29"/>
      <c r="P207" s="29"/>
      <c r="Q207" s="29"/>
    </row>
    <row r="208" spans="1:17" ht="15.75" customHeight="1" x14ac:dyDescent="0.25">
      <c r="A208" s="29"/>
      <c r="B208" s="64"/>
      <c r="C208" s="29"/>
      <c r="D208" s="65"/>
      <c r="E208" s="65"/>
      <c r="F208" s="66"/>
      <c r="G208" s="66"/>
      <c r="H208" s="66"/>
      <c r="I208" s="67"/>
      <c r="J208" s="67"/>
      <c r="K208" s="67"/>
      <c r="L208" s="29"/>
      <c r="M208" s="211"/>
      <c r="N208" s="29"/>
      <c r="O208" s="29"/>
      <c r="P208" s="29"/>
      <c r="Q208" s="29"/>
    </row>
    <row r="209" spans="1:17" ht="15.75" customHeight="1" x14ac:dyDescent="0.25">
      <c r="A209" s="29"/>
      <c r="B209" s="64"/>
      <c r="C209" s="29"/>
      <c r="D209" s="65"/>
      <c r="E209" s="65"/>
      <c r="F209" s="66"/>
      <c r="G209" s="66"/>
      <c r="H209" s="66"/>
      <c r="I209" s="67"/>
      <c r="J209" s="67"/>
      <c r="K209" s="67"/>
      <c r="L209" s="29"/>
      <c r="M209" s="211"/>
      <c r="N209" s="29"/>
      <c r="O209" s="29"/>
      <c r="P209" s="29"/>
      <c r="Q209" s="29"/>
    </row>
    <row r="210" spans="1:17" ht="15.75" customHeight="1" x14ac:dyDescent="0.25">
      <c r="A210" s="29"/>
      <c r="B210" s="64"/>
      <c r="C210" s="29"/>
      <c r="D210" s="65"/>
      <c r="E210" s="65"/>
      <c r="F210" s="66"/>
      <c r="G210" s="66"/>
      <c r="H210" s="66"/>
      <c r="I210" s="67"/>
      <c r="J210" s="67"/>
      <c r="K210" s="67"/>
      <c r="L210" s="29"/>
      <c r="M210" s="211"/>
      <c r="N210" s="29"/>
      <c r="O210" s="29"/>
      <c r="P210" s="29"/>
      <c r="Q210" s="29"/>
    </row>
    <row r="211" spans="1:17" ht="15.75" customHeight="1" x14ac:dyDescent="0.25">
      <c r="A211" s="29"/>
      <c r="B211" s="64"/>
      <c r="C211" s="29"/>
      <c r="D211" s="65"/>
      <c r="E211" s="65"/>
      <c r="F211" s="66"/>
      <c r="G211" s="66"/>
      <c r="H211" s="66"/>
      <c r="I211" s="67"/>
      <c r="J211" s="67"/>
      <c r="K211" s="67"/>
      <c r="L211" s="29"/>
      <c r="M211" s="211"/>
      <c r="N211" s="29"/>
      <c r="O211" s="29"/>
      <c r="P211" s="29"/>
      <c r="Q211" s="29"/>
    </row>
    <row r="212" spans="1:17" ht="15.75" customHeight="1" x14ac:dyDescent="0.25">
      <c r="A212" s="29"/>
      <c r="B212" s="64"/>
      <c r="C212" s="29"/>
      <c r="D212" s="65"/>
      <c r="E212" s="65"/>
      <c r="F212" s="66"/>
      <c r="G212" s="66"/>
      <c r="H212" s="66"/>
      <c r="I212" s="67"/>
      <c r="J212" s="67"/>
      <c r="K212" s="67"/>
      <c r="L212" s="29"/>
      <c r="M212" s="211"/>
      <c r="N212" s="29"/>
      <c r="O212" s="29"/>
      <c r="P212" s="29"/>
      <c r="Q212" s="29"/>
    </row>
    <row r="213" spans="1:17" ht="15.75" customHeight="1" x14ac:dyDescent="0.25">
      <c r="A213" s="29"/>
      <c r="B213" s="64"/>
      <c r="C213" s="29"/>
      <c r="D213" s="65"/>
      <c r="E213" s="65"/>
      <c r="F213" s="66"/>
      <c r="G213" s="66"/>
      <c r="H213" s="66"/>
      <c r="I213" s="67"/>
      <c r="J213" s="67"/>
      <c r="K213" s="67"/>
      <c r="L213" s="29"/>
      <c r="M213" s="211"/>
      <c r="N213" s="29"/>
      <c r="O213" s="29"/>
      <c r="P213" s="29"/>
      <c r="Q213" s="29"/>
    </row>
    <row r="214" spans="1:17" ht="15.75" customHeight="1" x14ac:dyDescent="0.25">
      <c r="A214" s="29"/>
      <c r="B214" s="64"/>
      <c r="C214" s="29"/>
      <c r="D214" s="65"/>
      <c r="E214" s="65"/>
      <c r="F214" s="66"/>
      <c r="G214" s="66"/>
      <c r="H214" s="66"/>
      <c r="I214" s="67"/>
      <c r="J214" s="67"/>
      <c r="K214" s="67"/>
      <c r="L214" s="29"/>
      <c r="M214" s="211"/>
      <c r="N214" s="29"/>
      <c r="O214" s="29"/>
      <c r="P214" s="29"/>
      <c r="Q214" s="29"/>
    </row>
    <row r="215" spans="1:17" ht="15.75" customHeight="1" x14ac:dyDescent="0.25">
      <c r="A215" s="29"/>
      <c r="B215" s="64"/>
      <c r="C215" s="29"/>
      <c r="D215" s="65"/>
      <c r="E215" s="65"/>
      <c r="F215" s="66"/>
      <c r="G215" s="66"/>
      <c r="H215" s="66"/>
      <c r="I215" s="67"/>
      <c r="J215" s="67"/>
      <c r="K215" s="67"/>
      <c r="L215" s="29"/>
      <c r="M215" s="211"/>
      <c r="N215" s="29"/>
      <c r="O215" s="29"/>
      <c r="P215" s="29"/>
      <c r="Q215" s="29"/>
    </row>
    <row r="216" spans="1:17" ht="15.75" customHeight="1" x14ac:dyDescent="0.25">
      <c r="A216" s="29"/>
      <c r="B216" s="64"/>
      <c r="C216" s="29"/>
      <c r="D216" s="65"/>
      <c r="E216" s="65"/>
      <c r="F216" s="66"/>
      <c r="G216" s="66"/>
      <c r="H216" s="66"/>
      <c r="I216" s="67"/>
      <c r="J216" s="67"/>
      <c r="K216" s="67"/>
      <c r="L216" s="29"/>
      <c r="M216" s="211"/>
      <c r="N216" s="29"/>
      <c r="O216" s="29"/>
      <c r="P216" s="29"/>
      <c r="Q216" s="29"/>
    </row>
    <row r="217" spans="1:17" ht="15.75" customHeight="1" x14ac:dyDescent="0.25">
      <c r="A217" s="29"/>
      <c r="B217" s="64"/>
      <c r="C217" s="29"/>
      <c r="D217" s="65"/>
      <c r="E217" s="65"/>
      <c r="F217" s="66"/>
      <c r="G217" s="66"/>
      <c r="H217" s="66"/>
      <c r="I217" s="67"/>
      <c r="J217" s="67"/>
      <c r="K217" s="67"/>
      <c r="L217" s="29"/>
      <c r="M217" s="211"/>
      <c r="N217" s="29"/>
      <c r="O217" s="29"/>
      <c r="P217" s="29"/>
      <c r="Q217" s="29"/>
    </row>
    <row r="218" spans="1:17" ht="15.75" customHeight="1" x14ac:dyDescent="0.25">
      <c r="A218" s="29"/>
      <c r="B218" s="64"/>
      <c r="C218" s="29"/>
      <c r="D218" s="65"/>
      <c r="E218" s="65"/>
      <c r="F218" s="66"/>
      <c r="G218" s="66"/>
      <c r="H218" s="66"/>
      <c r="I218" s="67"/>
      <c r="J218" s="67"/>
      <c r="K218" s="67"/>
      <c r="L218" s="29"/>
      <c r="M218" s="211"/>
      <c r="N218" s="29"/>
      <c r="O218" s="29"/>
      <c r="P218" s="29"/>
      <c r="Q218" s="29"/>
    </row>
    <row r="219" spans="1:17" ht="15.75" customHeight="1" x14ac:dyDescent="0.25">
      <c r="A219" s="29"/>
      <c r="B219" s="64"/>
      <c r="C219" s="29"/>
      <c r="D219" s="65"/>
      <c r="E219" s="65"/>
      <c r="F219" s="66"/>
      <c r="G219" s="66"/>
      <c r="H219" s="66"/>
      <c r="I219" s="67"/>
      <c r="J219" s="67"/>
      <c r="K219" s="67"/>
      <c r="L219" s="29"/>
      <c r="M219" s="211"/>
      <c r="N219" s="29"/>
      <c r="O219" s="29"/>
      <c r="P219" s="29"/>
      <c r="Q219" s="29"/>
    </row>
    <row r="220" spans="1:17" ht="15.75" customHeight="1" x14ac:dyDescent="0.25">
      <c r="A220" s="29"/>
      <c r="B220" s="64"/>
      <c r="C220" s="29"/>
      <c r="D220" s="65"/>
      <c r="E220" s="65"/>
      <c r="F220" s="66"/>
      <c r="G220" s="66"/>
      <c r="H220" s="66"/>
      <c r="I220" s="67"/>
      <c r="J220" s="67"/>
      <c r="K220" s="67"/>
      <c r="L220" s="29"/>
      <c r="M220" s="211"/>
      <c r="N220" s="29"/>
      <c r="O220" s="29"/>
      <c r="P220" s="29"/>
      <c r="Q220" s="29"/>
    </row>
    <row r="221" spans="1:17" ht="15.75" customHeight="1" x14ac:dyDescent="0.25">
      <c r="A221" s="29"/>
      <c r="B221" s="64"/>
      <c r="C221" s="29"/>
      <c r="D221" s="65"/>
      <c r="E221" s="65"/>
      <c r="F221" s="66"/>
      <c r="G221" s="66"/>
      <c r="H221" s="66"/>
      <c r="I221" s="67"/>
      <c r="J221" s="67"/>
      <c r="K221" s="67"/>
      <c r="L221" s="29"/>
      <c r="M221" s="211"/>
      <c r="N221" s="29"/>
      <c r="O221" s="29"/>
      <c r="P221" s="29"/>
      <c r="Q221" s="29"/>
    </row>
    <row r="222" spans="1:17" ht="15.75" customHeight="1" x14ac:dyDescent="0.25">
      <c r="A222" s="29"/>
      <c r="B222" s="64"/>
      <c r="C222" s="29"/>
      <c r="D222" s="65"/>
      <c r="E222" s="65"/>
      <c r="F222" s="66"/>
      <c r="G222" s="66"/>
      <c r="H222" s="66"/>
      <c r="I222" s="67"/>
      <c r="J222" s="67"/>
      <c r="K222" s="67"/>
      <c r="L222" s="29"/>
      <c r="M222" s="211"/>
      <c r="N222" s="29"/>
      <c r="O222" s="29"/>
      <c r="P222" s="29"/>
      <c r="Q222" s="29"/>
    </row>
    <row r="223" spans="1:17" ht="15.75" customHeight="1" x14ac:dyDescent="0.25">
      <c r="A223" s="29"/>
      <c r="B223" s="64"/>
      <c r="C223" s="29"/>
      <c r="D223" s="65"/>
      <c r="E223" s="65"/>
      <c r="F223" s="66"/>
      <c r="G223" s="66"/>
      <c r="H223" s="66"/>
      <c r="I223" s="67"/>
      <c r="J223" s="67"/>
      <c r="K223" s="67"/>
      <c r="L223" s="29"/>
      <c r="M223" s="211"/>
      <c r="N223" s="29"/>
      <c r="O223" s="29"/>
      <c r="P223" s="29"/>
      <c r="Q223" s="29"/>
    </row>
    <row r="224" spans="1:17" ht="15.75" customHeight="1" x14ac:dyDescent="0.25">
      <c r="A224" s="29"/>
      <c r="B224" s="64"/>
      <c r="C224" s="29"/>
      <c r="D224" s="65"/>
      <c r="E224" s="65"/>
      <c r="F224" s="66"/>
      <c r="G224" s="66"/>
      <c r="H224" s="66"/>
      <c r="I224" s="67"/>
      <c r="J224" s="67"/>
      <c r="K224" s="67"/>
      <c r="L224" s="29"/>
      <c r="M224" s="211"/>
      <c r="N224" s="29"/>
      <c r="O224" s="29"/>
      <c r="P224" s="29"/>
      <c r="Q224" s="29"/>
    </row>
    <row r="225" spans="1:17" ht="15.75" customHeight="1" x14ac:dyDescent="0.25">
      <c r="A225" s="29"/>
      <c r="B225" s="64"/>
      <c r="C225" s="29"/>
      <c r="D225" s="65"/>
      <c r="E225" s="65"/>
      <c r="F225" s="66"/>
      <c r="G225" s="66"/>
      <c r="H225" s="66"/>
      <c r="I225" s="67"/>
      <c r="J225" s="67"/>
      <c r="K225" s="67"/>
      <c r="L225" s="29"/>
      <c r="M225" s="211"/>
      <c r="N225" s="29"/>
      <c r="O225" s="29"/>
      <c r="P225" s="29"/>
      <c r="Q225" s="29"/>
    </row>
    <row r="226" spans="1:17" ht="15.75" customHeight="1" x14ac:dyDescent="0.25">
      <c r="A226" s="29"/>
      <c r="B226" s="64"/>
      <c r="C226" s="29"/>
      <c r="D226" s="65"/>
      <c r="E226" s="65"/>
      <c r="F226" s="66"/>
      <c r="G226" s="66"/>
      <c r="H226" s="66"/>
      <c r="I226" s="67"/>
      <c r="J226" s="67"/>
      <c r="K226" s="67"/>
      <c r="L226" s="29"/>
      <c r="M226" s="211"/>
      <c r="N226" s="29"/>
      <c r="O226" s="29"/>
      <c r="P226" s="29"/>
      <c r="Q226" s="29"/>
    </row>
    <row r="227" spans="1:17" ht="15.75" customHeight="1" x14ac:dyDescent="0.25">
      <c r="A227" s="29"/>
      <c r="B227" s="64"/>
      <c r="C227" s="29"/>
      <c r="D227" s="65"/>
      <c r="E227" s="65"/>
      <c r="F227" s="66"/>
      <c r="G227" s="66"/>
      <c r="H227" s="66"/>
      <c r="I227" s="67"/>
      <c r="J227" s="67"/>
      <c r="K227" s="67"/>
      <c r="L227" s="29"/>
      <c r="M227" s="211"/>
      <c r="N227" s="29"/>
      <c r="O227" s="29"/>
      <c r="P227" s="29"/>
      <c r="Q227" s="29"/>
    </row>
    <row r="228" spans="1:17" ht="15.75" customHeight="1" x14ac:dyDescent="0.25">
      <c r="A228" s="29"/>
      <c r="B228" s="64"/>
      <c r="C228" s="29"/>
      <c r="D228" s="65"/>
      <c r="E228" s="65"/>
      <c r="F228" s="66"/>
      <c r="G228" s="66"/>
      <c r="H228" s="66"/>
      <c r="I228" s="67"/>
      <c r="J228" s="67"/>
      <c r="K228" s="67"/>
      <c r="L228" s="29"/>
      <c r="M228" s="211"/>
      <c r="N228" s="29"/>
      <c r="O228" s="29"/>
      <c r="P228" s="29"/>
      <c r="Q228" s="29"/>
    </row>
    <row r="229" spans="1:17" ht="15.75" customHeight="1" x14ac:dyDescent="0.25">
      <c r="A229" s="29"/>
      <c r="B229" s="64"/>
      <c r="C229" s="29"/>
      <c r="D229" s="65"/>
      <c r="E229" s="65"/>
      <c r="F229" s="66"/>
      <c r="G229" s="66"/>
      <c r="H229" s="66"/>
      <c r="I229" s="67"/>
      <c r="J229" s="67"/>
      <c r="K229" s="67"/>
      <c r="L229" s="29"/>
      <c r="M229" s="211"/>
      <c r="N229" s="29"/>
      <c r="O229" s="29"/>
      <c r="P229" s="29"/>
      <c r="Q229" s="29"/>
    </row>
    <row r="230" spans="1:17" ht="15.75" customHeight="1" x14ac:dyDescent="0.25">
      <c r="A230" s="29"/>
      <c r="B230" s="64"/>
      <c r="C230" s="29"/>
      <c r="D230" s="65"/>
      <c r="E230" s="65"/>
      <c r="F230" s="66"/>
      <c r="G230" s="66"/>
      <c r="H230" s="66"/>
      <c r="I230" s="67"/>
      <c r="J230" s="67"/>
      <c r="K230" s="67"/>
      <c r="L230" s="29"/>
      <c r="M230" s="211"/>
      <c r="N230" s="29"/>
      <c r="O230" s="29"/>
      <c r="P230" s="29"/>
      <c r="Q230" s="29"/>
    </row>
    <row r="231" spans="1:17" ht="15.75" customHeight="1" x14ac:dyDescent="0.25">
      <c r="A231" s="29"/>
      <c r="B231" s="64"/>
      <c r="C231" s="29"/>
      <c r="D231" s="65"/>
      <c r="E231" s="65"/>
      <c r="F231" s="66"/>
      <c r="G231" s="66"/>
      <c r="H231" s="66"/>
      <c r="I231" s="67"/>
      <c r="J231" s="67"/>
      <c r="K231" s="67"/>
      <c r="L231" s="29"/>
      <c r="M231" s="211"/>
      <c r="N231" s="29"/>
      <c r="O231" s="29"/>
      <c r="P231" s="29"/>
      <c r="Q231" s="29"/>
    </row>
    <row r="232" spans="1:17" ht="15.75" customHeight="1" x14ac:dyDescent="0.25">
      <c r="A232" s="29"/>
      <c r="B232" s="64"/>
      <c r="C232" s="29"/>
      <c r="D232" s="65"/>
      <c r="E232" s="65"/>
      <c r="F232" s="66"/>
      <c r="G232" s="66"/>
      <c r="H232" s="66"/>
      <c r="I232" s="67"/>
      <c r="J232" s="67"/>
      <c r="K232" s="67"/>
      <c r="L232" s="29"/>
      <c r="M232" s="211"/>
      <c r="N232" s="29"/>
      <c r="O232" s="29"/>
      <c r="P232" s="29"/>
      <c r="Q232" s="29"/>
    </row>
    <row r="233" spans="1:17" ht="15.75" customHeight="1" x14ac:dyDescent="0.25">
      <c r="A233" s="29"/>
      <c r="B233" s="64"/>
      <c r="C233" s="29"/>
      <c r="D233" s="65"/>
      <c r="E233" s="65"/>
      <c r="F233" s="66"/>
      <c r="G233" s="66"/>
      <c r="H233" s="66"/>
      <c r="I233" s="67"/>
      <c r="J233" s="67"/>
      <c r="K233" s="67"/>
      <c r="L233" s="29"/>
      <c r="M233" s="211"/>
      <c r="N233" s="29"/>
      <c r="O233" s="29"/>
      <c r="P233" s="29"/>
      <c r="Q233" s="29"/>
    </row>
    <row r="234" spans="1:17" ht="15.75" customHeight="1" x14ac:dyDescent="0.25">
      <c r="A234" s="29"/>
      <c r="B234" s="64"/>
      <c r="C234" s="29"/>
      <c r="D234" s="65"/>
      <c r="E234" s="65"/>
      <c r="F234" s="66"/>
      <c r="G234" s="66"/>
      <c r="H234" s="66"/>
      <c r="I234" s="67"/>
      <c r="J234" s="67"/>
      <c r="K234" s="67"/>
      <c r="L234" s="29"/>
      <c r="M234" s="211"/>
      <c r="N234" s="29"/>
      <c r="O234" s="29"/>
      <c r="P234" s="29"/>
      <c r="Q234" s="29"/>
    </row>
    <row r="235" spans="1:17" ht="15.75" customHeight="1" x14ac:dyDescent="0.25">
      <c r="A235" s="29"/>
      <c r="B235" s="64"/>
      <c r="C235" s="29"/>
      <c r="D235" s="65"/>
      <c r="E235" s="65"/>
      <c r="F235" s="66"/>
      <c r="G235" s="66"/>
      <c r="H235" s="66"/>
      <c r="I235" s="67"/>
      <c r="J235" s="67"/>
      <c r="K235" s="67"/>
      <c r="L235" s="29"/>
      <c r="M235" s="211"/>
      <c r="N235" s="29"/>
      <c r="O235" s="29"/>
      <c r="P235" s="29"/>
      <c r="Q235" s="29"/>
    </row>
    <row r="236" spans="1:17" ht="15.75" customHeight="1" x14ac:dyDescent="0.25">
      <c r="A236" s="29"/>
      <c r="B236" s="64"/>
      <c r="C236" s="29"/>
      <c r="D236" s="65"/>
      <c r="E236" s="65"/>
      <c r="F236" s="66"/>
      <c r="G236" s="66"/>
      <c r="H236" s="66"/>
      <c r="I236" s="67"/>
      <c r="J236" s="67"/>
      <c r="K236" s="67"/>
      <c r="L236" s="29"/>
      <c r="M236" s="211"/>
      <c r="N236" s="29"/>
      <c r="O236" s="29"/>
      <c r="P236" s="29"/>
      <c r="Q236" s="29"/>
    </row>
    <row r="237" spans="1:17" ht="15.75" customHeight="1" x14ac:dyDescent="0.25">
      <c r="A237" s="29"/>
      <c r="B237" s="64"/>
      <c r="C237" s="29"/>
      <c r="D237" s="65"/>
      <c r="E237" s="65"/>
      <c r="F237" s="66"/>
      <c r="G237" s="66"/>
      <c r="H237" s="66"/>
      <c r="I237" s="67"/>
      <c r="J237" s="67"/>
      <c r="K237" s="67"/>
      <c r="L237" s="29"/>
      <c r="M237" s="211"/>
      <c r="N237" s="29"/>
      <c r="O237" s="29"/>
      <c r="P237" s="29"/>
      <c r="Q237" s="29"/>
    </row>
    <row r="238" spans="1:17" ht="15.75" customHeight="1" x14ac:dyDescent="0.25">
      <c r="A238" s="29"/>
      <c r="B238" s="64"/>
      <c r="C238" s="29"/>
      <c r="D238" s="65"/>
      <c r="E238" s="65"/>
      <c r="F238" s="66"/>
      <c r="G238" s="66"/>
      <c r="H238" s="66"/>
      <c r="I238" s="67"/>
      <c r="J238" s="67"/>
      <c r="K238" s="67"/>
      <c r="L238" s="29"/>
      <c r="M238" s="211"/>
      <c r="N238" s="29"/>
      <c r="O238" s="29"/>
      <c r="P238" s="29"/>
      <c r="Q238" s="29"/>
    </row>
    <row r="239" spans="1:17" ht="15.75" customHeight="1" x14ac:dyDescent="0.25">
      <c r="A239" s="29"/>
      <c r="B239" s="64"/>
      <c r="C239" s="29"/>
      <c r="D239" s="65"/>
      <c r="E239" s="65"/>
      <c r="F239" s="66"/>
      <c r="G239" s="66"/>
      <c r="H239" s="66"/>
      <c r="I239" s="67"/>
      <c r="J239" s="67"/>
      <c r="K239" s="67"/>
      <c r="L239" s="29"/>
      <c r="M239" s="211"/>
      <c r="N239" s="29"/>
      <c r="O239" s="29"/>
      <c r="P239" s="29"/>
      <c r="Q239" s="29"/>
    </row>
    <row r="240" spans="1:17" ht="15.75" customHeight="1" x14ac:dyDescent="0.25">
      <c r="A240" s="29"/>
      <c r="B240" s="64"/>
      <c r="C240" s="29"/>
      <c r="D240" s="65"/>
      <c r="E240" s="65"/>
      <c r="F240" s="66"/>
      <c r="G240" s="66"/>
      <c r="H240" s="66"/>
      <c r="I240" s="67"/>
      <c r="J240" s="67"/>
      <c r="K240" s="67"/>
      <c r="L240" s="29"/>
      <c r="M240" s="211"/>
      <c r="N240" s="29"/>
      <c r="O240" s="29"/>
      <c r="P240" s="29"/>
      <c r="Q240" s="29"/>
    </row>
    <row r="241" spans="1:17" ht="15.75" customHeight="1" x14ac:dyDescent="0.25">
      <c r="A241" s="29"/>
      <c r="B241" s="64"/>
      <c r="C241" s="29"/>
      <c r="D241" s="65"/>
      <c r="E241" s="65"/>
      <c r="F241" s="66"/>
      <c r="G241" s="66"/>
      <c r="H241" s="66"/>
      <c r="I241" s="67"/>
      <c r="J241" s="67"/>
      <c r="K241" s="67"/>
      <c r="L241" s="29"/>
      <c r="M241" s="211"/>
      <c r="N241" s="29"/>
      <c r="O241" s="29"/>
      <c r="P241" s="29"/>
      <c r="Q241" s="29"/>
    </row>
    <row r="242" spans="1:17" ht="15.75" customHeight="1" x14ac:dyDescent="0.25">
      <c r="A242" s="29"/>
      <c r="B242" s="64"/>
      <c r="C242" s="29"/>
      <c r="D242" s="65"/>
      <c r="E242" s="65"/>
      <c r="F242" s="66"/>
      <c r="G242" s="66"/>
      <c r="H242" s="66"/>
      <c r="I242" s="67"/>
      <c r="J242" s="67"/>
      <c r="K242" s="67"/>
      <c r="L242" s="29"/>
      <c r="M242" s="211"/>
      <c r="N242" s="29"/>
      <c r="O242" s="29"/>
      <c r="P242" s="29"/>
      <c r="Q242" s="29"/>
    </row>
    <row r="243" spans="1:17" ht="15.75" customHeight="1" x14ac:dyDescent="0.25">
      <c r="A243" s="29"/>
      <c r="B243" s="64"/>
      <c r="C243" s="29"/>
      <c r="D243" s="65"/>
      <c r="E243" s="65"/>
      <c r="F243" s="66"/>
      <c r="G243" s="66"/>
      <c r="H243" s="66"/>
      <c r="I243" s="67"/>
      <c r="J243" s="67"/>
      <c r="K243" s="67"/>
      <c r="L243" s="29"/>
      <c r="M243" s="211"/>
      <c r="N243" s="29"/>
      <c r="O243" s="29"/>
      <c r="P243" s="29"/>
      <c r="Q243" s="29"/>
    </row>
    <row r="244" spans="1:17" ht="15.75" customHeight="1" x14ac:dyDescent="0.25">
      <c r="A244" s="29"/>
      <c r="B244" s="64"/>
      <c r="C244" s="29"/>
      <c r="D244" s="65"/>
      <c r="E244" s="65"/>
      <c r="F244" s="66"/>
      <c r="G244" s="66"/>
      <c r="H244" s="66"/>
      <c r="I244" s="67"/>
      <c r="J244" s="67"/>
      <c r="K244" s="67"/>
      <c r="L244" s="29"/>
      <c r="M244" s="211"/>
      <c r="N244" s="29"/>
      <c r="O244" s="29"/>
      <c r="P244" s="29"/>
      <c r="Q244" s="29"/>
    </row>
    <row r="245" spans="1:17" ht="15.75" customHeight="1" x14ac:dyDescent="0.25">
      <c r="A245" s="29"/>
      <c r="B245" s="64"/>
      <c r="C245" s="29"/>
      <c r="D245" s="65"/>
      <c r="E245" s="65"/>
      <c r="F245" s="66"/>
      <c r="G245" s="66"/>
      <c r="H245" s="66"/>
      <c r="I245" s="67"/>
      <c r="J245" s="67"/>
      <c r="K245" s="67"/>
      <c r="L245" s="29"/>
      <c r="M245" s="211"/>
      <c r="N245" s="29"/>
      <c r="O245" s="29"/>
      <c r="P245" s="29"/>
      <c r="Q245" s="29"/>
    </row>
    <row r="246" spans="1:17" ht="15.75" customHeight="1" x14ac:dyDescent="0.25">
      <c r="A246" s="29"/>
      <c r="B246" s="64"/>
      <c r="C246" s="29"/>
      <c r="D246" s="65"/>
      <c r="E246" s="65"/>
      <c r="F246" s="66"/>
      <c r="G246" s="66"/>
      <c r="H246" s="66"/>
      <c r="I246" s="67"/>
      <c r="J246" s="67"/>
      <c r="K246" s="67"/>
      <c r="L246" s="29"/>
      <c r="M246" s="211"/>
      <c r="N246" s="29"/>
      <c r="O246" s="29"/>
      <c r="P246" s="29"/>
      <c r="Q246" s="29"/>
    </row>
    <row r="247" spans="1:17" ht="15.75" customHeight="1" x14ac:dyDescent="0.25">
      <c r="A247" s="29"/>
      <c r="B247" s="64"/>
      <c r="C247" s="29"/>
      <c r="D247" s="65"/>
      <c r="E247" s="65"/>
      <c r="F247" s="66"/>
      <c r="G247" s="66"/>
      <c r="H247" s="66"/>
      <c r="I247" s="67"/>
      <c r="J247" s="67"/>
      <c r="K247" s="67"/>
      <c r="L247" s="29"/>
      <c r="M247" s="211"/>
      <c r="N247" s="29"/>
      <c r="O247" s="29"/>
      <c r="P247" s="29"/>
      <c r="Q247" s="29"/>
    </row>
    <row r="248" spans="1:17" ht="15.75" customHeight="1" x14ac:dyDescent="0.25">
      <c r="A248" s="29"/>
      <c r="B248" s="64"/>
      <c r="C248" s="29"/>
      <c r="D248" s="65"/>
      <c r="E248" s="65"/>
      <c r="F248" s="66"/>
      <c r="G248" s="66"/>
      <c r="H248" s="66"/>
      <c r="I248" s="67"/>
      <c r="J248" s="67"/>
      <c r="K248" s="67"/>
      <c r="L248" s="29"/>
      <c r="M248" s="211"/>
      <c r="N248" s="29"/>
      <c r="O248" s="29"/>
      <c r="P248" s="29"/>
      <c r="Q248" s="29"/>
    </row>
    <row r="249" spans="1:17" ht="15.75" customHeight="1" x14ac:dyDescent="0.25">
      <c r="A249" s="29"/>
      <c r="B249" s="64"/>
      <c r="C249" s="29"/>
      <c r="D249" s="65"/>
      <c r="E249" s="65"/>
      <c r="F249" s="66"/>
      <c r="G249" s="66"/>
      <c r="H249" s="66"/>
      <c r="I249" s="67"/>
      <c r="J249" s="67"/>
      <c r="K249" s="67"/>
      <c r="L249" s="29"/>
      <c r="M249" s="211"/>
      <c r="N249" s="29"/>
      <c r="O249" s="29"/>
      <c r="P249" s="29"/>
      <c r="Q249" s="29"/>
    </row>
    <row r="250" spans="1:17" ht="15.75" customHeight="1" x14ac:dyDescent="0.25">
      <c r="A250" s="29"/>
      <c r="B250" s="64"/>
      <c r="C250" s="29"/>
      <c r="D250" s="65"/>
      <c r="E250" s="65"/>
      <c r="F250" s="66"/>
      <c r="G250" s="66"/>
      <c r="H250" s="66"/>
      <c r="I250" s="67"/>
      <c r="J250" s="67"/>
      <c r="K250" s="67"/>
      <c r="L250" s="29"/>
      <c r="M250" s="211"/>
      <c r="N250" s="29"/>
      <c r="O250" s="29"/>
      <c r="P250" s="29"/>
      <c r="Q250" s="29"/>
    </row>
    <row r="251" spans="1:17" ht="15.75" customHeight="1" x14ac:dyDescent="0.25">
      <c r="A251" s="29"/>
      <c r="B251" s="64"/>
      <c r="C251" s="29"/>
      <c r="D251" s="65"/>
      <c r="E251" s="65"/>
      <c r="F251" s="66"/>
      <c r="G251" s="66"/>
      <c r="H251" s="66"/>
      <c r="I251" s="67"/>
      <c r="J251" s="67"/>
      <c r="K251" s="67"/>
      <c r="L251" s="29"/>
      <c r="M251" s="211"/>
      <c r="N251" s="29"/>
      <c r="O251" s="29"/>
      <c r="P251" s="29"/>
      <c r="Q251" s="29"/>
    </row>
    <row r="252" spans="1:17" ht="15.75" customHeight="1" x14ac:dyDescent="0.25">
      <c r="A252" s="29"/>
      <c r="B252" s="64"/>
      <c r="C252" s="29"/>
      <c r="D252" s="65"/>
      <c r="E252" s="65"/>
      <c r="F252" s="66"/>
      <c r="G252" s="66"/>
      <c r="H252" s="66"/>
      <c r="I252" s="67"/>
      <c r="J252" s="67"/>
      <c r="K252" s="67"/>
      <c r="L252" s="29"/>
      <c r="M252" s="211"/>
      <c r="N252" s="29"/>
      <c r="O252" s="29"/>
      <c r="P252" s="29"/>
      <c r="Q252" s="29"/>
    </row>
    <row r="253" spans="1:17" ht="15.75" customHeight="1" x14ac:dyDescent="0.25">
      <c r="A253" s="29"/>
      <c r="B253" s="64"/>
      <c r="C253" s="29"/>
      <c r="D253" s="65"/>
      <c r="E253" s="65"/>
      <c r="F253" s="66"/>
      <c r="G253" s="66"/>
      <c r="H253" s="66"/>
      <c r="I253" s="67"/>
      <c r="J253" s="67"/>
      <c r="K253" s="67"/>
      <c r="L253" s="29"/>
      <c r="M253" s="211"/>
      <c r="N253" s="29"/>
      <c r="O253" s="29"/>
      <c r="P253" s="29"/>
      <c r="Q253" s="29"/>
    </row>
    <row r="254" spans="1:17" ht="15.75" customHeight="1" x14ac:dyDescent="0.25">
      <c r="A254" s="29"/>
      <c r="B254" s="64"/>
      <c r="C254" s="29"/>
      <c r="D254" s="65"/>
      <c r="E254" s="65"/>
      <c r="F254" s="66"/>
      <c r="G254" s="66"/>
      <c r="H254" s="66"/>
      <c r="I254" s="67"/>
      <c r="J254" s="67"/>
      <c r="K254" s="67"/>
      <c r="L254" s="29"/>
      <c r="M254" s="211"/>
      <c r="N254" s="29"/>
      <c r="O254" s="29"/>
      <c r="P254" s="29"/>
      <c r="Q254" s="29"/>
    </row>
    <row r="255" spans="1:17" ht="15.75" customHeight="1" x14ac:dyDescent="0.25">
      <c r="A255" s="29"/>
      <c r="B255" s="64"/>
      <c r="C255" s="29"/>
      <c r="D255" s="65"/>
      <c r="E255" s="65"/>
      <c r="F255" s="66"/>
      <c r="G255" s="66"/>
      <c r="H255" s="66"/>
      <c r="I255" s="67"/>
      <c r="J255" s="67"/>
      <c r="K255" s="67"/>
      <c r="L255" s="29"/>
      <c r="M255" s="211"/>
      <c r="N255" s="29"/>
      <c r="O255" s="29"/>
      <c r="P255" s="29"/>
      <c r="Q255" s="29"/>
    </row>
    <row r="256" spans="1:17" ht="15.75" customHeight="1" x14ac:dyDescent="0.25">
      <c r="A256" s="29"/>
      <c r="B256" s="64"/>
      <c r="C256" s="29"/>
      <c r="D256" s="65"/>
      <c r="E256" s="65"/>
      <c r="F256" s="66"/>
      <c r="G256" s="66"/>
      <c r="H256" s="66"/>
      <c r="I256" s="67"/>
      <c r="J256" s="67"/>
      <c r="K256" s="67"/>
      <c r="L256" s="29"/>
      <c r="M256" s="211"/>
      <c r="N256" s="29"/>
      <c r="O256" s="29"/>
      <c r="P256" s="29"/>
      <c r="Q256" s="29"/>
    </row>
    <row r="257" spans="1:17" ht="15.75" customHeight="1" x14ac:dyDescent="0.25">
      <c r="A257" s="29"/>
      <c r="B257" s="64"/>
      <c r="C257" s="29"/>
      <c r="D257" s="65"/>
      <c r="E257" s="65"/>
      <c r="F257" s="66"/>
      <c r="G257" s="66"/>
      <c r="H257" s="66"/>
      <c r="I257" s="67"/>
      <c r="J257" s="67"/>
      <c r="K257" s="67"/>
      <c r="L257" s="29"/>
      <c r="M257" s="211"/>
      <c r="N257" s="29"/>
      <c r="O257" s="29"/>
      <c r="P257" s="29"/>
      <c r="Q257" s="29"/>
    </row>
    <row r="258" spans="1:17" ht="15.75" customHeight="1" x14ac:dyDescent="0.25">
      <c r="A258" s="29"/>
      <c r="B258" s="64"/>
      <c r="C258" s="29"/>
      <c r="D258" s="65"/>
      <c r="E258" s="65"/>
      <c r="F258" s="66"/>
      <c r="G258" s="66"/>
      <c r="H258" s="66"/>
      <c r="I258" s="67"/>
      <c r="J258" s="67"/>
      <c r="K258" s="67"/>
      <c r="L258" s="29"/>
      <c r="M258" s="211"/>
      <c r="N258" s="29"/>
      <c r="O258" s="29"/>
      <c r="P258" s="29"/>
      <c r="Q258" s="29"/>
    </row>
    <row r="259" spans="1:17" ht="15.75" customHeight="1" x14ac:dyDescent="0.25">
      <c r="A259" s="29"/>
      <c r="B259" s="64"/>
      <c r="C259" s="29"/>
      <c r="D259" s="65"/>
      <c r="E259" s="65"/>
      <c r="F259" s="66"/>
      <c r="G259" s="66"/>
      <c r="H259" s="66"/>
      <c r="I259" s="67"/>
      <c r="J259" s="67"/>
      <c r="K259" s="67"/>
      <c r="L259" s="29"/>
      <c r="M259" s="211"/>
      <c r="N259" s="29"/>
      <c r="O259" s="29"/>
      <c r="P259" s="29"/>
      <c r="Q259" s="29"/>
    </row>
    <row r="260" spans="1:17" ht="15.75" customHeight="1" x14ac:dyDescent="0.25">
      <c r="A260" s="29"/>
      <c r="B260" s="64"/>
      <c r="C260" s="29"/>
      <c r="D260" s="65"/>
      <c r="E260" s="65"/>
      <c r="F260" s="66"/>
      <c r="G260" s="66"/>
      <c r="H260" s="66"/>
      <c r="I260" s="67"/>
      <c r="J260" s="67"/>
      <c r="K260" s="67"/>
      <c r="L260" s="29"/>
      <c r="M260" s="211"/>
      <c r="N260" s="29"/>
      <c r="O260" s="29"/>
      <c r="P260" s="29"/>
      <c r="Q260" s="29"/>
    </row>
    <row r="261" spans="1:17" ht="15.75" customHeight="1" x14ac:dyDescent="0.25">
      <c r="A261" s="29"/>
      <c r="B261" s="64"/>
      <c r="C261" s="29"/>
      <c r="D261" s="65"/>
      <c r="E261" s="65"/>
      <c r="F261" s="66"/>
      <c r="G261" s="66"/>
      <c r="H261" s="66"/>
      <c r="I261" s="67"/>
      <c r="J261" s="67"/>
      <c r="K261" s="67"/>
      <c r="L261" s="29"/>
      <c r="M261" s="211"/>
      <c r="N261" s="29"/>
      <c r="O261" s="29"/>
      <c r="P261" s="29"/>
      <c r="Q261" s="29"/>
    </row>
    <row r="262" spans="1:17" ht="15.75" customHeight="1" x14ac:dyDescent="0.25">
      <c r="A262" s="29"/>
      <c r="B262" s="64"/>
      <c r="C262" s="29"/>
      <c r="D262" s="65"/>
      <c r="E262" s="65"/>
      <c r="F262" s="66"/>
      <c r="G262" s="66"/>
      <c r="H262" s="66"/>
      <c r="I262" s="67"/>
      <c r="J262" s="67"/>
      <c r="K262" s="67"/>
      <c r="L262" s="29"/>
      <c r="M262" s="211"/>
      <c r="N262" s="29"/>
      <c r="O262" s="29"/>
      <c r="P262" s="29"/>
      <c r="Q262" s="29"/>
    </row>
    <row r="263" spans="1:17" ht="15.75" customHeight="1" x14ac:dyDescent="0.25">
      <c r="A263" s="29"/>
      <c r="B263" s="64"/>
      <c r="C263" s="29"/>
      <c r="D263" s="65"/>
      <c r="E263" s="65"/>
      <c r="F263" s="66"/>
      <c r="G263" s="66"/>
      <c r="H263" s="66"/>
      <c r="I263" s="67"/>
      <c r="J263" s="67"/>
      <c r="K263" s="67"/>
      <c r="L263" s="29"/>
      <c r="M263" s="211"/>
      <c r="N263" s="29"/>
      <c r="O263" s="29"/>
      <c r="P263" s="29"/>
      <c r="Q263" s="29"/>
    </row>
    <row r="264" spans="1:17" ht="15.75" customHeight="1" x14ac:dyDescent="0.25">
      <c r="A264" s="29"/>
      <c r="B264" s="64"/>
      <c r="C264" s="29"/>
      <c r="D264" s="65"/>
      <c r="E264" s="65"/>
      <c r="F264" s="66"/>
      <c r="G264" s="66"/>
      <c r="H264" s="66"/>
      <c r="I264" s="67"/>
      <c r="J264" s="67"/>
      <c r="K264" s="67"/>
      <c r="L264" s="29"/>
      <c r="M264" s="211"/>
      <c r="N264" s="29"/>
      <c r="O264" s="29"/>
      <c r="P264" s="29"/>
      <c r="Q264" s="29"/>
    </row>
    <row r="265" spans="1:17" ht="15.75" customHeight="1" x14ac:dyDescent="0.25">
      <c r="A265" s="29"/>
      <c r="B265" s="64"/>
      <c r="C265" s="29"/>
      <c r="D265" s="65"/>
      <c r="E265" s="65"/>
      <c r="F265" s="66"/>
      <c r="G265" s="66"/>
      <c r="H265" s="66"/>
      <c r="I265" s="67"/>
      <c r="J265" s="67"/>
      <c r="K265" s="67"/>
      <c r="L265" s="29"/>
      <c r="M265" s="211"/>
      <c r="N265" s="29"/>
      <c r="O265" s="29"/>
      <c r="P265" s="29"/>
      <c r="Q265" s="29"/>
    </row>
    <row r="266" spans="1:17" ht="15.75" customHeight="1" x14ac:dyDescent="0.25">
      <c r="A266" s="29"/>
      <c r="B266" s="64"/>
      <c r="C266" s="29"/>
      <c r="D266" s="65"/>
      <c r="E266" s="65"/>
      <c r="F266" s="66"/>
      <c r="G266" s="66"/>
      <c r="H266" s="66"/>
      <c r="I266" s="67"/>
      <c r="J266" s="67"/>
      <c r="K266" s="67"/>
      <c r="L266" s="29"/>
      <c r="M266" s="211"/>
      <c r="N266" s="29"/>
      <c r="O266" s="29"/>
      <c r="P266" s="29"/>
      <c r="Q266" s="29"/>
    </row>
    <row r="267" spans="1:17" ht="15.75" customHeight="1" x14ac:dyDescent="0.25">
      <c r="A267" s="29"/>
      <c r="B267" s="64"/>
      <c r="C267" s="29"/>
      <c r="D267" s="65"/>
      <c r="E267" s="65"/>
      <c r="F267" s="66"/>
      <c r="G267" s="66"/>
      <c r="H267" s="66"/>
      <c r="I267" s="67"/>
      <c r="J267" s="67"/>
      <c r="K267" s="67"/>
      <c r="L267" s="29"/>
      <c r="M267" s="211"/>
      <c r="N267" s="29"/>
      <c r="O267" s="29"/>
      <c r="P267" s="29"/>
      <c r="Q267" s="29"/>
    </row>
    <row r="268" spans="1:17" ht="15.75" customHeight="1" x14ac:dyDescent="0.25">
      <c r="A268" s="29"/>
      <c r="B268" s="64"/>
      <c r="C268" s="29"/>
      <c r="D268" s="65"/>
      <c r="E268" s="65"/>
      <c r="F268" s="66"/>
      <c r="G268" s="66"/>
      <c r="H268" s="66"/>
      <c r="I268" s="67"/>
      <c r="J268" s="67"/>
      <c r="K268" s="67"/>
      <c r="L268" s="29"/>
      <c r="M268" s="211"/>
      <c r="N268" s="29"/>
      <c r="O268" s="29"/>
      <c r="P268" s="29"/>
      <c r="Q268" s="29"/>
    </row>
    <row r="269" spans="1:17" ht="15.75" customHeight="1" x14ac:dyDescent="0.25">
      <c r="A269" s="29"/>
      <c r="B269" s="64"/>
      <c r="C269" s="29"/>
      <c r="D269" s="65"/>
      <c r="E269" s="65"/>
      <c r="F269" s="66"/>
      <c r="G269" s="66"/>
      <c r="H269" s="66"/>
      <c r="I269" s="67"/>
      <c r="J269" s="67"/>
      <c r="K269" s="67"/>
      <c r="L269" s="29"/>
      <c r="M269" s="211"/>
      <c r="N269" s="29"/>
      <c r="O269" s="29"/>
      <c r="P269" s="29"/>
      <c r="Q269" s="29"/>
    </row>
    <row r="270" spans="1:17" ht="15.75" customHeight="1" x14ac:dyDescent="0.25">
      <c r="A270" s="29"/>
      <c r="B270" s="64"/>
      <c r="C270" s="29"/>
      <c r="D270" s="65"/>
      <c r="E270" s="65"/>
      <c r="F270" s="66"/>
      <c r="G270" s="66"/>
      <c r="H270" s="66"/>
      <c r="I270" s="67"/>
      <c r="J270" s="67"/>
      <c r="K270" s="67"/>
      <c r="L270" s="29"/>
      <c r="M270" s="211"/>
      <c r="N270" s="29"/>
      <c r="O270" s="29"/>
      <c r="P270" s="29"/>
      <c r="Q270" s="29"/>
    </row>
    <row r="271" spans="1:17" ht="15.75" customHeight="1" x14ac:dyDescent="0.25">
      <c r="A271" s="29"/>
      <c r="B271" s="64"/>
      <c r="C271" s="29"/>
      <c r="D271" s="65"/>
      <c r="E271" s="65"/>
      <c r="F271" s="66"/>
      <c r="G271" s="66"/>
      <c r="H271" s="66"/>
      <c r="I271" s="67"/>
      <c r="J271" s="67"/>
      <c r="K271" s="67"/>
      <c r="L271" s="29"/>
      <c r="M271" s="211"/>
      <c r="N271" s="29"/>
      <c r="O271" s="29"/>
      <c r="P271" s="29"/>
      <c r="Q271" s="29"/>
    </row>
    <row r="272" spans="1:17" ht="15.75" customHeight="1" x14ac:dyDescent="0.25">
      <c r="A272" s="29"/>
      <c r="B272" s="64"/>
      <c r="C272" s="29"/>
      <c r="D272" s="65"/>
      <c r="E272" s="65"/>
      <c r="F272" s="66"/>
      <c r="G272" s="66"/>
      <c r="H272" s="66"/>
      <c r="I272" s="67"/>
      <c r="J272" s="67"/>
      <c r="K272" s="67"/>
      <c r="L272" s="29"/>
      <c r="M272" s="211"/>
      <c r="N272" s="29"/>
      <c r="O272" s="29"/>
      <c r="P272" s="29"/>
      <c r="Q272" s="29"/>
    </row>
    <row r="273" spans="1:17" ht="15.75" customHeight="1" x14ac:dyDescent="0.25">
      <c r="A273" s="29"/>
      <c r="B273" s="64"/>
      <c r="C273" s="29"/>
      <c r="D273" s="65"/>
      <c r="E273" s="65"/>
      <c r="F273" s="66"/>
      <c r="G273" s="66"/>
      <c r="H273" s="66"/>
      <c r="I273" s="67"/>
      <c r="J273" s="67"/>
      <c r="K273" s="67"/>
      <c r="L273" s="29"/>
      <c r="M273" s="211"/>
      <c r="N273" s="29"/>
      <c r="O273" s="29"/>
      <c r="P273" s="29"/>
      <c r="Q273" s="29"/>
    </row>
    <row r="274" spans="1:17" ht="15.75" customHeight="1" x14ac:dyDescent="0.25">
      <c r="A274" s="29"/>
      <c r="B274" s="64"/>
      <c r="C274" s="29"/>
      <c r="D274" s="65"/>
      <c r="E274" s="65"/>
      <c r="F274" s="66"/>
      <c r="G274" s="66"/>
      <c r="H274" s="66"/>
      <c r="I274" s="67"/>
      <c r="J274" s="67"/>
      <c r="K274" s="67"/>
      <c r="L274" s="29"/>
      <c r="M274" s="211"/>
      <c r="N274" s="29"/>
      <c r="O274" s="29"/>
      <c r="P274" s="29"/>
      <c r="Q274" s="29"/>
    </row>
    <row r="275" spans="1:17" ht="15.75" customHeight="1" x14ac:dyDescent="0.25">
      <c r="A275" s="29"/>
      <c r="B275" s="64"/>
      <c r="C275" s="29"/>
      <c r="D275" s="65"/>
      <c r="E275" s="65"/>
      <c r="F275" s="66"/>
      <c r="G275" s="66"/>
      <c r="H275" s="66"/>
      <c r="I275" s="67"/>
      <c r="J275" s="67"/>
      <c r="K275" s="67"/>
      <c r="L275" s="29"/>
      <c r="M275" s="211"/>
      <c r="N275" s="29"/>
      <c r="O275" s="29"/>
      <c r="P275" s="29"/>
      <c r="Q275" s="29"/>
    </row>
    <row r="276" spans="1:17" ht="15.75" customHeight="1" x14ac:dyDescent="0.25">
      <c r="A276" s="29"/>
      <c r="B276" s="64"/>
      <c r="C276" s="29"/>
      <c r="D276" s="65"/>
      <c r="E276" s="65"/>
      <c r="F276" s="66"/>
      <c r="G276" s="66"/>
      <c r="H276" s="66"/>
      <c r="I276" s="67"/>
      <c r="J276" s="67"/>
      <c r="K276" s="67"/>
      <c r="L276" s="29"/>
      <c r="M276" s="211"/>
      <c r="N276" s="29"/>
      <c r="O276" s="29"/>
      <c r="P276" s="29"/>
      <c r="Q276" s="29"/>
    </row>
    <row r="277" spans="1:17" ht="15.75" customHeight="1" x14ac:dyDescent="0.25">
      <c r="A277" s="29"/>
      <c r="B277" s="64"/>
      <c r="C277" s="29"/>
      <c r="D277" s="65"/>
      <c r="E277" s="65"/>
      <c r="F277" s="66"/>
      <c r="G277" s="66"/>
      <c r="H277" s="66"/>
      <c r="I277" s="67"/>
      <c r="J277" s="67"/>
      <c r="K277" s="67"/>
      <c r="L277" s="29"/>
      <c r="M277" s="211"/>
      <c r="N277" s="29"/>
      <c r="O277" s="29"/>
      <c r="P277" s="29"/>
      <c r="Q277" s="29"/>
    </row>
    <row r="278" spans="1:17" ht="15.75" customHeight="1" x14ac:dyDescent="0.25">
      <c r="A278" s="29"/>
      <c r="B278" s="64"/>
      <c r="C278" s="29"/>
      <c r="D278" s="65"/>
      <c r="E278" s="65"/>
      <c r="F278" s="66"/>
      <c r="G278" s="66"/>
      <c r="H278" s="66"/>
      <c r="I278" s="67"/>
      <c r="J278" s="67"/>
      <c r="K278" s="67"/>
      <c r="L278" s="29"/>
      <c r="M278" s="211"/>
      <c r="N278" s="29"/>
      <c r="O278" s="29"/>
      <c r="P278" s="29"/>
      <c r="Q278" s="29"/>
    </row>
    <row r="279" spans="1:17" ht="15.75" customHeight="1" x14ac:dyDescent="0.25">
      <c r="A279" s="29"/>
      <c r="B279" s="64"/>
      <c r="C279" s="29"/>
      <c r="D279" s="65"/>
      <c r="E279" s="65"/>
      <c r="F279" s="66"/>
      <c r="G279" s="66"/>
      <c r="H279" s="66"/>
      <c r="I279" s="67"/>
      <c r="J279" s="67"/>
      <c r="K279" s="67"/>
      <c r="L279" s="29"/>
      <c r="M279" s="211"/>
      <c r="N279" s="29"/>
      <c r="O279" s="29"/>
      <c r="P279" s="29"/>
      <c r="Q279" s="29"/>
    </row>
    <row r="280" spans="1:17" ht="15.75" customHeight="1" x14ac:dyDescent="0.25">
      <c r="A280" s="29"/>
      <c r="B280" s="64"/>
      <c r="C280" s="29"/>
      <c r="D280" s="65"/>
      <c r="E280" s="65"/>
      <c r="F280" s="66"/>
      <c r="G280" s="66"/>
      <c r="H280" s="66"/>
      <c r="I280" s="67"/>
      <c r="J280" s="67"/>
      <c r="K280" s="67"/>
      <c r="L280" s="29"/>
      <c r="M280" s="211"/>
      <c r="N280" s="29"/>
      <c r="O280" s="29"/>
      <c r="P280" s="29"/>
      <c r="Q280" s="29"/>
    </row>
    <row r="281" spans="1:17" ht="15.75" customHeight="1" x14ac:dyDescent="0.25">
      <c r="A281" s="29"/>
      <c r="B281" s="64"/>
      <c r="C281" s="29"/>
      <c r="D281" s="65"/>
      <c r="E281" s="65"/>
      <c r="F281" s="66"/>
      <c r="G281" s="66"/>
      <c r="H281" s="66"/>
      <c r="I281" s="67"/>
      <c r="J281" s="67"/>
      <c r="K281" s="67"/>
      <c r="L281" s="29"/>
      <c r="M281" s="211"/>
      <c r="N281" s="29"/>
      <c r="O281" s="29"/>
      <c r="P281" s="29"/>
      <c r="Q281" s="29"/>
    </row>
    <row r="282" spans="1:17" ht="15.75" customHeight="1" x14ac:dyDescent="0.25">
      <c r="A282" s="29"/>
      <c r="B282" s="64"/>
      <c r="C282" s="29"/>
      <c r="D282" s="65"/>
      <c r="E282" s="65"/>
      <c r="F282" s="66"/>
      <c r="G282" s="66"/>
      <c r="H282" s="66"/>
      <c r="I282" s="67"/>
      <c r="J282" s="67"/>
      <c r="K282" s="67"/>
      <c r="L282" s="29"/>
      <c r="M282" s="211"/>
      <c r="N282" s="29"/>
      <c r="O282" s="29"/>
      <c r="P282" s="29"/>
      <c r="Q282" s="29"/>
    </row>
    <row r="283" spans="1:17" ht="15.75" customHeight="1" x14ac:dyDescent="0.25">
      <c r="A283" s="29"/>
      <c r="B283" s="64"/>
      <c r="C283" s="29"/>
      <c r="D283" s="65"/>
      <c r="E283" s="65"/>
      <c r="F283" s="66"/>
      <c r="G283" s="66"/>
      <c r="H283" s="66"/>
      <c r="I283" s="67"/>
      <c r="J283" s="67"/>
      <c r="K283" s="67"/>
      <c r="L283" s="29"/>
      <c r="M283" s="211"/>
      <c r="N283" s="29"/>
      <c r="O283" s="29"/>
      <c r="P283" s="29"/>
      <c r="Q283" s="29"/>
    </row>
    <row r="284" spans="1:17" ht="15.75" customHeight="1" x14ac:dyDescent="0.25">
      <c r="A284" s="29"/>
      <c r="B284" s="64"/>
      <c r="C284" s="29"/>
      <c r="D284" s="65"/>
      <c r="E284" s="65"/>
      <c r="F284" s="66"/>
      <c r="G284" s="66"/>
      <c r="H284" s="66"/>
      <c r="I284" s="67"/>
      <c r="J284" s="67"/>
      <c r="K284" s="67"/>
      <c r="L284" s="29"/>
      <c r="M284" s="211"/>
      <c r="N284" s="29"/>
      <c r="O284" s="29"/>
      <c r="P284" s="29"/>
      <c r="Q284" s="29"/>
    </row>
    <row r="285" spans="1:17" ht="15.75" customHeight="1" x14ac:dyDescent="0.25">
      <c r="A285" s="29"/>
      <c r="B285" s="64"/>
      <c r="C285" s="29"/>
      <c r="D285" s="65"/>
      <c r="E285" s="65"/>
      <c r="F285" s="66"/>
      <c r="G285" s="66"/>
      <c r="H285" s="66"/>
      <c r="I285" s="67"/>
      <c r="J285" s="67"/>
      <c r="K285" s="67"/>
      <c r="L285" s="29"/>
      <c r="M285" s="211"/>
      <c r="N285" s="29"/>
      <c r="O285" s="29"/>
      <c r="P285" s="29"/>
      <c r="Q285" s="29"/>
    </row>
    <row r="286" spans="1:17" ht="15.75" customHeight="1" x14ac:dyDescent="0.25">
      <c r="A286" s="29"/>
      <c r="B286" s="64"/>
      <c r="C286" s="29"/>
      <c r="D286" s="65"/>
      <c r="E286" s="65"/>
      <c r="F286" s="66"/>
      <c r="G286" s="66"/>
      <c r="H286" s="66"/>
      <c r="I286" s="67"/>
      <c r="J286" s="67"/>
      <c r="K286" s="67"/>
      <c r="L286" s="29"/>
      <c r="M286" s="211"/>
      <c r="N286" s="29"/>
      <c r="O286" s="29"/>
      <c r="P286" s="29"/>
      <c r="Q286" s="29"/>
    </row>
    <row r="287" spans="1:17" ht="15.75" customHeight="1" x14ac:dyDescent="0.25">
      <c r="A287" s="29"/>
      <c r="B287" s="64"/>
      <c r="C287" s="29"/>
      <c r="D287" s="65"/>
      <c r="E287" s="65"/>
      <c r="F287" s="66"/>
      <c r="G287" s="66"/>
      <c r="H287" s="66"/>
      <c r="I287" s="67"/>
      <c r="J287" s="67"/>
      <c r="K287" s="67"/>
      <c r="L287" s="29"/>
      <c r="M287" s="211"/>
      <c r="N287" s="29"/>
      <c r="O287" s="29"/>
      <c r="P287" s="29"/>
      <c r="Q287" s="29"/>
    </row>
    <row r="288" spans="1:17" ht="15.75" customHeight="1" x14ac:dyDescent="0.25">
      <c r="A288" s="29"/>
      <c r="B288" s="64"/>
      <c r="C288" s="29"/>
      <c r="D288" s="65"/>
      <c r="E288" s="65"/>
      <c r="F288" s="66"/>
      <c r="G288" s="66"/>
      <c r="H288" s="66"/>
      <c r="I288" s="67"/>
      <c r="J288" s="67"/>
      <c r="K288" s="67"/>
      <c r="L288" s="29"/>
      <c r="M288" s="211"/>
      <c r="N288" s="29"/>
      <c r="O288" s="29"/>
      <c r="P288" s="29"/>
      <c r="Q288" s="29"/>
    </row>
    <row r="289" spans="1:17" ht="15.75" customHeight="1" x14ac:dyDescent="0.25">
      <c r="A289" s="29"/>
      <c r="B289" s="64"/>
      <c r="C289" s="29"/>
      <c r="D289" s="65"/>
      <c r="E289" s="65"/>
      <c r="F289" s="66"/>
      <c r="G289" s="66"/>
      <c r="H289" s="66"/>
      <c r="I289" s="67"/>
      <c r="J289" s="67"/>
      <c r="K289" s="67"/>
      <c r="L289" s="29"/>
      <c r="M289" s="211"/>
      <c r="N289" s="29"/>
      <c r="O289" s="29"/>
      <c r="P289" s="29"/>
      <c r="Q289" s="29"/>
    </row>
    <row r="290" spans="1:17" ht="15.75" customHeight="1" x14ac:dyDescent="0.25">
      <c r="A290" s="29"/>
      <c r="B290" s="64"/>
      <c r="C290" s="29"/>
      <c r="D290" s="65"/>
      <c r="E290" s="65"/>
      <c r="F290" s="66"/>
      <c r="G290" s="66"/>
      <c r="H290" s="66"/>
      <c r="I290" s="67"/>
      <c r="J290" s="67"/>
      <c r="K290" s="67"/>
      <c r="L290" s="29"/>
      <c r="M290" s="211"/>
      <c r="N290" s="29"/>
      <c r="O290" s="29"/>
      <c r="P290" s="29"/>
      <c r="Q290" s="29"/>
    </row>
    <row r="291" spans="1:17" ht="15.75" customHeight="1" x14ac:dyDescent="0.25">
      <c r="A291" s="29"/>
      <c r="B291" s="64"/>
      <c r="C291" s="29"/>
      <c r="D291" s="65"/>
      <c r="E291" s="65"/>
      <c r="F291" s="66"/>
      <c r="G291" s="66"/>
      <c r="H291" s="66"/>
      <c r="I291" s="67"/>
      <c r="J291" s="67"/>
      <c r="K291" s="67"/>
      <c r="L291" s="29"/>
      <c r="M291" s="211"/>
      <c r="N291" s="29"/>
      <c r="O291" s="29"/>
      <c r="P291" s="29"/>
      <c r="Q291" s="29"/>
    </row>
    <row r="292" spans="1:17" ht="15.75" customHeight="1" x14ac:dyDescent="0.25">
      <c r="A292" s="29"/>
      <c r="B292" s="64"/>
      <c r="C292" s="29"/>
      <c r="D292" s="65"/>
      <c r="E292" s="65"/>
      <c r="F292" s="66"/>
      <c r="G292" s="66"/>
      <c r="H292" s="66"/>
      <c r="I292" s="67"/>
      <c r="J292" s="67"/>
      <c r="K292" s="67"/>
      <c r="L292" s="29"/>
      <c r="M292" s="211"/>
      <c r="N292" s="29"/>
      <c r="O292" s="29"/>
      <c r="P292" s="29"/>
      <c r="Q292" s="29"/>
    </row>
    <row r="293" spans="1:17" ht="15.75" customHeight="1" x14ac:dyDescent="0.25">
      <c r="A293" s="29"/>
      <c r="B293" s="64"/>
      <c r="C293" s="29"/>
      <c r="D293" s="65"/>
      <c r="E293" s="65"/>
      <c r="F293" s="66"/>
      <c r="G293" s="66"/>
      <c r="H293" s="66"/>
      <c r="I293" s="67"/>
      <c r="J293" s="67"/>
      <c r="K293" s="67"/>
      <c r="L293" s="29"/>
      <c r="M293" s="211"/>
      <c r="N293" s="29"/>
      <c r="O293" s="29"/>
      <c r="P293" s="29"/>
      <c r="Q293" s="29"/>
    </row>
    <row r="294" spans="1:17" ht="15.75" customHeight="1" x14ac:dyDescent="0.25">
      <c r="A294" s="29"/>
      <c r="B294" s="64"/>
      <c r="C294" s="29"/>
      <c r="D294" s="65"/>
      <c r="E294" s="65"/>
      <c r="F294" s="66"/>
      <c r="G294" s="66"/>
      <c r="H294" s="66"/>
      <c r="I294" s="67"/>
      <c r="J294" s="67"/>
      <c r="K294" s="67"/>
      <c r="L294" s="29"/>
      <c r="M294" s="211"/>
      <c r="N294" s="29"/>
      <c r="O294" s="29"/>
      <c r="P294" s="29"/>
      <c r="Q294" s="29"/>
    </row>
    <row r="295" spans="1:17" ht="15.75" customHeight="1" x14ac:dyDescent="0.25">
      <c r="A295" s="29"/>
      <c r="B295" s="64"/>
      <c r="C295" s="29"/>
      <c r="D295" s="65"/>
      <c r="E295" s="65"/>
      <c r="F295" s="66"/>
      <c r="G295" s="66"/>
      <c r="H295" s="66"/>
      <c r="I295" s="67"/>
      <c r="J295" s="67"/>
      <c r="K295" s="67"/>
      <c r="L295" s="29"/>
      <c r="M295" s="211"/>
      <c r="N295" s="29"/>
      <c r="O295" s="29"/>
      <c r="P295" s="29"/>
      <c r="Q295" s="29"/>
    </row>
    <row r="296" spans="1:17" ht="15.75" customHeight="1" x14ac:dyDescent="0.25">
      <c r="A296" s="29"/>
      <c r="B296" s="64"/>
      <c r="C296" s="29"/>
      <c r="D296" s="65"/>
      <c r="E296" s="65"/>
      <c r="F296" s="66"/>
      <c r="G296" s="66"/>
      <c r="H296" s="66"/>
      <c r="I296" s="67"/>
      <c r="J296" s="67"/>
      <c r="K296" s="67"/>
      <c r="L296" s="29"/>
      <c r="M296" s="211"/>
      <c r="N296" s="29"/>
      <c r="O296" s="29"/>
      <c r="P296" s="29"/>
      <c r="Q296" s="29"/>
    </row>
    <row r="297" spans="1:17" ht="15.75" customHeight="1" x14ac:dyDescent="0.25">
      <c r="A297" s="29"/>
      <c r="B297" s="64"/>
      <c r="C297" s="29"/>
      <c r="D297" s="65"/>
      <c r="E297" s="65"/>
      <c r="F297" s="66"/>
      <c r="G297" s="66"/>
      <c r="H297" s="66"/>
      <c r="I297" s="67"/>
      <c r="J297" s="67"/>
      <c r="K297" s="67"/>
      <c r="L297" s="29"/>
      <c r="M297" s="211"/>
      <c r="N297" s="29"/>
      <c r="O297" s="29"/>
      <c r="P297" s="29"/>
      <c r="Q297" s="29"/>
    </row>
    <row r="298" spans="1:17" ht="15.75" customHeight="1" x14ac:dyDescent="0.25">
      <c r="A298" s="29"/>
      <c r="B298" s="64"/>
      <c r="C298" s="29"/>
      <c r="D298" s="65"/>
      <c r="E298" s="65"/>
      <c r="F298" s="66"/>
      <c r="G298" s="66"/>
      <c r="H298" s="66"/>
      <c r="I298" s="67"/>
      <c r="J298" s="67"/>
      <c r="K298" s="67"/>
      <c r="L298" s="29"/>
      <c r="M298" s="211"/>
      <c r="N298" s="29"/>
      <c r="O298" s="29"/>
      <c r="P298" s="29"/>
      <c r="Q298" s="29"/>
    </row>
    <row r="299" spans="1:17" ht="15.75" customHeight="1" x14ac:dyDescent="0.25">
      <c r="A299" s="29"/>
      <c r="B299" s="64"/>
      <c r="C299" s="29"/>
      <c r="D299" s="65"/>
      <c r="E299" s="65"/>
      <c r="F299" s="66"/>
      <c r="G299" s="66"/>
      <c r="H299" s="66"/>
      <c r="I299" s="67"/>
      <c r="J299" s="67"/>
      <c r="K299" s="67"/>
      <c r="L299" s="29"/>
      <c r="M299" s="211"/>
      <c r="N299" s="29"/>
      <c r="O299" s="29"/>
      <c r="P299" s="29"/>
      <c r="Q299" s="29"/>
    </row>
    <row r="300" spans="1:17" ht="15.75" customHeight="1" x14ac:dyDescent="0.25">
      <c r="A300" s="29"/>
      <c r="B300" s="64"/>
      <c r="C300" s="29"/>
      <c r="D300" s="65"/>
      <c r="E300" s="65"/>
      <c r="F300" s="66"/>
      <c r="G300" s="66"/>
      <c r="H300" s="66"/>
      <c r="I300" s="67"/>
      <c r="J300" s="67"/>
      <c r="K300" s="67"/>
      <c r="L300" s="29"/>
      <c r="M300" s="211"/>
      <c r="N300" s="29"/>
      <c r="O300" s="29"/>
      <c r="P300" s="29"/>
      <c r="Q300" s="29"/>
    </row>
    <row r="301" spans="1:17" ht="15.75" customHeight="1" x14ac:dyDescent="0.25">
      <c r="A301" s="29"/>
      <c r="B301" s="64"/>
      <c r="C301" s="29"/>
      <c r="D301" s="65"/>
      <c r="E301" s="65"/>
      <c r="F301" s="66"/>
      <c r="G301" s="66"/>
      <c r="H301" s="66"/>
      <c r="I301" s="67"/>
      <c r="J301" s="67"/>
      <c r="K301" s="67"/>
      <c r="L301" s="29"/>
      <c r="M301" s="211"/>
      <c r="N301" s="29"/>
      <c r="O301" s="29"/>
      <c r="P301" s="29"/>
      <c r="Q301" s="29"/>
    </row>
    <row r="302" spans="1:17" ht="15.75" customHeight="1" x14ac:dyDescent="0.25">
      <c r="A302" s="29"/>
      <c r="B302" s="64"/>
      <c r="C302" s="29"/>
      <c r="D302" s="65"/>
      <c r="E302" s="65"/>
      <c r="F302" s="66"/>
      <c r="G302" s="66"/>
      <c r="H302" s="66"/>
      <c r="I302" s="67"/>
      <c r="J302" s="67"/>
      <c r="K302" s="67"/>
      <c r="L302" s="29"/>
      <c r="M302" s="211"/>
      <c r="N302" s="29"/>
      <c r="O302" s="29"/>
      <c r="P302" s="29"/>
      <c r="Q302" s="29"/>
    </row>
    <row r="303" spans="1:17" ht="15.75" customHeight="1" x14ac:dyDescent="0.25">
      <c r="A303" s="29"/>
      <c r="B303" s="64"/>
      <c r="C303" s="29"/>
      <c r="D303" s="65"/>
      <c r="E303" s="65"/>
      <c r="F303" s="66"/>
      <c r="G303" s="66"/>
      <c r="H303" s="66"/>
      <c r="I303" s="67"/>
      <c r="J303" s="67"/>
      <c r="K303" s="67"/>
      <c r="L303" s="29"/>
      <c r="M303" s="211"/>
      <c r="N303" s="29"/>
      <c r="O303" s="29"/>
      <c r="P303" s="29"/>
      <c r="Q303" s="29"/>
    </row>
    <row r="304" spans="1:17" ht="15.75" customHeight="1" x14ac:dyDescent="0.25">
      <c r="A304" s="29"/>
      <c r="B304" s="64"/>
      <c r="C304" s="29"/>
      <c r="D304" s="65"/>
      <c r="E304" s="65"/>
      <c r="F304" s="66"/>
      <c r="G304" s="66"/>
      <c r="H304" s="66"/>
      <c r="I304" s="67"/>
      <c r="J304" s="67"/>
      <c r="K304" s="67"/>
      <c r="L304" s="29"/>
      <c r="M304" s="211"/>
      <c r="N304" s="29"/>
      <c r="O304" s="29"/>
      <c r="P304" s="29"/>
      <c r="Q304" s="29"/>
    </row>
    <row r="305" spans="1:17" ht="15.75" customHeight="1" x14ac:dyDescent="0.25">
      <c r="A305" s="29"/>
      <c r="B305" s="64"/>
      <c r="C305" s="29"/>
      <c r="D305" s="65"/>
      <c r="E305" s="65"/>
      <c r="F305" s="66"/>
      <c r="G305" s="66"/>
      <c r="H305" s="66"/>
      <c r="I305" s="67"/>
      <c r="J305" s="67"/>
      <c r="K305" s="67"/>
      <c r="L305" s="29"/>
      <c r="M305" s="211"/>
      <c r="N305" s="29"/>
      <c r="O305" s="29"/>
      <c r="P305" s="29"/>
      <c r="Q305" s="29"/>
    </row>
    <row r="306" spans="1:17" ht="15.75" customHeight="1" x14ac:dyDescent="0.25">
      <c r="A306" s="29"/>
      <c r="B306" s="64"/>
      <c r="C306" s="29"/>
      <c r="D306" s="65"/>
      <c r="E306" s="65"/>
      <c r="F306" s="66"/>
      <c r="G306" s="66"/>
      <c r="H306" s="66"/>
      <c r="I306" s="67"/>
      <c r="J306" s="67"/>
      <c r="K306" s="67"/>
      <c r="L306" s="29"/>
      <c r="M306" s="211"/>
      <c r="N306" s="29"/>
      <c r="O306" s="29"/>
      <c r="P306" s="29"/>
      <c r="Q306" s="29"/>
    </row>
    <row r="307" spans="1:17" ht="15.75" customHeight="1" x14ac:dyDescent="0.25">
      <c r="A307" s="29"/>
      <c r="B307" s="64"/>
      <c r="C307" s="29"/>
      <c r="D307" s="65"/>
      <c r="E307" s="65"/>
      <c r="F307" s="66"/>
      <c r="G307" s="66"/>
      <c r="H307" s="66"/>
      <c r="I307" s="67"/>
      <c r="J307" s="67"/>
      <c r="K307" s="67"/>
      <c r="L307" s="29"/>
      <c r="M307" s="211"/>
      <c r="N307" s="29"/>
      <c r="O307" s="29"/>
      <c r="P307" s="29"/>
      <c r="Q307" s="29"/>
    </row>
    <row r="308" spans="1:17" ht="15.75" customHeight="1" x14ac:dyDescent="0.25">
      <c r="A308" s="29"/>
      <c r="B308" s="64"/>
      <c r="C308" s="29"/>
      <c r="D308" s="65"/>
      <c r="E308" s="65"/>
      <c r="F308" s="66"/>
      <c r="G308" s="66"/>
      <c r="H308" s="66"/>
      <c r="I308" s="67"/>
      <c r="J308" s="67"/>
      <c r="K308" s="67"/>
      <c r="L308" s="29"/>
      <c r="M308" s="211"/>
      <c r="N308" s="29"/>
      <c r="O308" s="29"/>
      <c r="P308" s="29"/>
      <c r="Q308" s="29"/>
    </row>
    <row r="309" spans="1:17" ht="15.75" customHeight="1" x14ac:dyDescent="0.25">
      <c r="A309" s="29"/>
      <c r="B309" s="64"/>
      <c r="C309" s="29"/>
      <c r="D309" s="65"/>
      <c r="E309" s="65"/>
      <c r="F309" s="66"/>
      <c r="G309" s="66"/>
      <c r="H309" s="66"/>
      <c r="I309" s="67"/>
      <c r="J309" s="67"/>
      <c r="K309" s="67"/>
      <c r="L309" s="29"/>
      <c r="M309" s="211"/>
      <c r="N309" s="29"/>
      <c r="O309" s="29"/>
      <c r="P309" s="29"/>
      <c r="Q309" s="29"/>
    </row>
    <row r="310" spans="1:17" ht="15.75" customHeight="1" x14ac:dyDescent="0.25">
      <c r="A310" s="29"/>
      <c r="B310" s="64"/>
      <c r="C310" s="29"/>
      <c r="D310" s="65"/>
      <c r="E310" s="65"/>
      <c r="F310" s="66"/>
      <c r="G310" s="66"/>
      <c r="H310" s="66"/>
      <c r="I310" s="67"/>
      <c r="J310" s="67"/>
      <c r="K310" s="67"/>
      <c r="L310" s="29"/>
      <c r="M310" s="211"/>
      <c r="N310" s="29"/>
      <c r="O310" s="29"/>
      <c r="P310" s="29"/>
      <c r="Q310" s="29"/>
    </row>
    <row r="311" spans="1:17" ht="15.75" customHeight="1" x14ac:dyDescent="0.25">
      <c r="A311" s="29"/>
      <c r="B311" s="64"/>
      <c r="C311" s="29"/>
      <c r="D311" s="65"/>
      <c r="E311" s="65"/>
      <c r="F311" s="66"/>
      <c r="G311" s="66"/>
      <c r="H311" s="66"/>
      <c r="I311" s="67"/>
      <c r="J311" s="67"/>
      <c r="K311" s="67"/>
      <c r="L311" s="29"/>
      <c r="M311" s="211"/>
      <c r="N311" s="29"/>
      <c r="O311" s="29"/>
      <c r="P311" s="29"/>
      <c r="Q311" s="29"/>
    </row>
    <row r="312" spans="1:17" ht="15.75" customHeight="1" x14ac:dyDescent="0.25">
      <c r="A312" s="29"/>
      <c r="B312" s="64"/>
      <c r="C312" s="29"/>
      <c r="D312" s="65"/>
      <c r="E312" s="65"/>
      <c r="F312" s="66"/>
      <c r="G312" s="66"/>
      <c r="H312" s="66"/>
      <c r="I312" s="67"/>
      <c r="J312" s="67"/>
      <c r="K312" s="67"/>
      <c r="L312" s="29"/>
      <c r="M312" s="211"/>
      <c r="N312" s="29"/>
      <c r="O312" s="29"/>
      <c r="P312" s="29"/>
      <c r="Q312" s="29"/>
    </row>
    <row r="313" spans="1:17" ht="15.75" customHeight="1" x14ac:dyDescent="0.25">
      <c r="A313" s="29"/>
      <c r="B313" s="64"/>
      <c r="C313" s="29"/>
      <c r="D313" s="65"/>
      <c r="E313" s="65"/>
      <c r="F313" s="66"/>
      <c r="G313" s="66"/>
      <c r="H313" s="66"/>
      <c r="I313" s="67"/>
      <c r="J313" s="67"/>
      <c r="K313" s="67"/>
      <c r="L313" s="29"/>
      <c r="M313" s="211"/>
      <c r="N313" s="29"/>
      <c r="O313" s="29"/>
      <c r="P313" s="29"/>
      <c r="Q313" s="29"/>
    </row>
    <row r="314" spans="1:17" ht="15.75" customHeight="1" x14ac:dyDescent="0.25">
      <c r="A314" s="29"/>
      <c r="B314" s="64"/>
      <c r="C314" s="29"/>
      <c r="D314" s="65"/>
      <c r="E314" s="65"/>
      <c r="F314" s="66"/>
      <c r="G314" s="66"/>
      <c r="H314" s="66"/>
      <c r="I314" s="67"/>
      <c r="J314" s="67"/>
      <c r="K314" s="67"/>
      <c r="L314" s="29"/>
      <c r="M314" s="211"/>
      <c r="N314" s="29"/>
      <c r="O314" s="29"/>
      <c r="P314" s="29"/>
      <c r="Q314" s="29"/>
    </row>
    <row r="315" spans="1:17" ht="15.75" customHeight="1" x14ac:dyDescent="0.25">
      <c r="A315" s="29"/>
      <c r="B315" s="64"/>
      <c r="C315" s="29"/>
      <c r="D315" s="65"/>
      <c r="E315" s="65"/>
      <c r="F315" s="66"/>
      <c r="G315" s="66"/>
      <c r="H315" s="66"/>
      <c r="I315" s="67"/>
      <c r="J315" s="67"/>
      <c r="K315" s="67"/>
      <c r="L315" s="29"/>
      <c r="M315" s="211"/>
      <c r="N315" s="29"/>
      <c r="O315" s="29"/>
      <c r="P315" s="29"/>
      <c r="Q315" s="29"/>
    </row>
    <row r="316" spans="1:17" ht="15.75" customHeight="1" x14ac:dyDescent="0.25">
      <c r="A316" s="29"/>
      <c r="B316" s="64"/>
      <c r="C316" s="29"/>
      <c r="D316" s="65"/>
      <c r="E316" s="65"/>
      <c r="F316" s="66"/>
      <c r="G316" s="66"/>
      <c r="H316" s="66"/>
      <c r="I316" s="67"/>
      <c r="J316" s="67"/>
      <c r="K316" s="67"/>
      <c r="L316" s="29"/>
      <c r="M316" s="211"/>
      <c r="N316" s="29"/>
      <c r="O316" s="29"/>
      <c r="P316" s="29"/>
      <c r="Q316" s="29"/>
    </row>
    <row r="317" spans="1:17" ht="15.75" customHeight="1" x14ac:dyDescent="0.25">
      <c r="A317" s="29"/>
      <c r="B317" s="64"/>
      <c r="C317" s="29"/>
      <c r="D317" s="65"/>
      <c r="E317" s="65"/>
      <c r="F317" s="66"/>
      <c r="G317" s="66"/>
      <c r="H317" s="66"/>
      <c r="I317" s="67"/>
      <c r="J317" s="67"/>
      <c r="K317" s="67"/>
      <c r="L317" s="29"/>
      <c r="M317" s="211"/>
      <c r="N317" s="29"/>
      <c r="O317" s="29"/>
      <c r="P317" s="29"/>
      <c r="Q317" s="29"/>
    </row>
    <row r="318" spans="1:17" ht="15.75" customHeight="1" x14ac:dyDescent="0.25">
      <c r="A318" s="29"/>
      <c r="B318" s="64"/>
      <c r="C318" s="29"/>
      <c r="D318" s="65"/>
      <c r="E318" s="65"/>
      <c r="F318" s="66"/>
      <c r="G318" s="66"/>
      <c r="H318" s="66"/>
      <c r="I318" s="67"/>
      <c r="J318" s="67"/>
      <c r="K318" s="67"/>
      <c r="L318" s="29"/>
      <c r="M318" s="211"/>
      <c r="N318" s="29"/>
      <c r="O318" s="29"/>
      <c r="P318" s="29"/>
      <c r="Q318" s="29"/>
    </row>
    <row r="319" spans="1:17" ht="15.75" customHeight="1" x14ac:dyDescent="0.25">
      <c r="A319" s="29"/>
      <c r="B319" s="64"/>
      <c r="C319" s="29"/>
      <c r="D319" s="65"/>
      <c r="E319" s="65"/>
      <c r="F319" s="66"/>
      <c r="G319" s="66"/>
      <c r="H319" s="66"/>
      <c r="I319" s="67"/>
      <c r="J319" s="67"/>
      <c r="K319" s="67"/>
      <c r="L319" s="29"/>
      <c r="M319" s="211"/>
      <c r="N319" s="29"/>
      <c r="O319" s="29"/>
      <c r="P319" s="29"/>
      <c r="Q319" s="29"/>
    </row>
    <row r="320" spans="1:17" ht="15.75" customHeight="1" x14ac:dyDescent="0.25">
      <c r="A320" s="29"/>
      <c r="B320" s="64"/>
      <c r="C320" s="29"/>
      <c r="D320" s="65"/>
      <c r="E320" s="65"/>
      <c r="F320" s="66"/>
      <c r="G320" s="66"/>
      <c r="H320" s="66"/>
      <c r="I320" s="67"/>
      <c r="J320" s="67"/>
      <c r="K320" s="67"/>
      <c r="L320" s="29"/>
      <c r="M320" s="211"/>
      <c r="N320" s="29"/>
      <c r="O320" s="29"/>
      <c r="P320" s="29"/>
      <c r="Q320" s="29"/>
    </row>
    <row r="321" spans="1:17" ht="15.75" customHeight="1" x14ac:dyDescent="0.25">
      <c r="A321" s="29"/>
      <c r="B321" s="64"/>
      <c r="C321" s="29"/>
      <c r="D321" s="65"/>
      <c r="E321" s="65"/>
      <c r="F321" s="66"/>
      <c r="G321" s="66"/>
      <c r="H321" s="66"/>
      <c r="I321" s="67"/>
      <c r="J321" s="67"/>
      <c r="K321" s="67"/>
      <c r="L321" s="29"/>
      <c r="M321" s="211"/>
      <c r="N321" s="29"/>
      <c r="O321" s="29"/>
      <c r="P321" s="29"/>
      <c r="Q321" s="29"/>
    </row>
    <row r="322" spans="1:17" ht="15.75" customHeight="1" x14ac:dyDescent="0.25">
      <c r="A322" s="29"/>
      <c r="B322" s="64"/>
      <c r="C322" s="29"/>
      <c r="D322" s="65"/>
      <c r="E322" s="65"/>
      <c r="F322" s="66"/>
      <c r="G322" s="66"/>
      <c r="H322" s="66"/>
      <c r="I322" s="67"/>
      <c r="J322" s="67"/>
      <c r="K322" s="67"/>
      <c r="L322" s="29"/>
      <c r="M322" s="211"/>
      <c r="N322" s="29"/>
      <c r="O322" s="29"/>
      <c r="P322" s="29"/>
      <c r="Q322" s="29"/>
    </row>
    <row r="323" spans="1:17" ht="15.75" customHeight="1" x14ac:dyDescent="0.25">
      <c r="A323" s="29"/>
      <c r="B323" s="64"/>
      <c r="C323" s="29"/>
      <c r="D323" s="65"/>
      <c r="E323" s="65"/>
      <c r="F323" s="66"/>
      <c r="G323" s="66"/>
      <c r="H323" s="66"/>
      <c r="I323" s="67"/>
      <c r="J323" s="67"/>
      <c r="K323" s="67"/>
      <c r="L323" s="29"/>
      <c r="M323" s="211"/>
      <c r="N323" s="29"/>
      <c r="O323" s="29"/>
      <c r="P323" s="29"/>
      <c r="Q323" s="29"/>
    </row>
    <row r="324" spans="1:17" ht="15.75" customHeight="1" x14ac:dyDescent="0.25">
      <c r="A324" s="29"/>
      <c r="B324" s="64"/>
      <c r="C324" s="29"/>
      <c r="D324" s="65"/>
      <c r="E324" s="65"/>
      <c r="F324" s="66"/>
      <c r="G324" s="66"/>
      <c r="H324" s="66"/>
      <c r="I324" s="67"/>
      <c r="J324" s="67"/>
      <c r="K324" s="67"/>
      <c r="L324" s="29"/>
      <c r="M324" s="211"/>
      <c r="N324" s="29"/>
      <c r="O324" s="29"/>
      <c r="P324" s="29"/>
      <c r="Q324" s="29"/>
    </row>
    <row r="325" spans="1:17" ht="15.75" customHeight="1" x14ac:dyDescent="0.25">
      <c r="A325" s="29"/>
      <c r="B325" s="64"/>
      <c r="C325" s="29"/>
      <c r="D325" s="65"/>
      <c r="E325" s="65"/>
      <c r="F325" s="66"/>
      <c r="G325" s="66"/>
      <c r="H325" s="66"/>
      <c r="I325" s="67"/>
      <c r="J325" s="67"/>
      <c r="K325" s="67"/>
      <c r="L325" s="29"/>
      <c r="M325" s="211"/>
      <c r="N325" s="29"/>
      <c r="O325" s="29"/>
      <c r="P325" s="29"/>
      <c r="Q325" s="29"/>
    </row>
    <row r="326" spans="1:17" ht="15.75" customHeight="1" x14ac:dyDescent="0.25">
      <c r="A326" s="29"/>
      <c r="B326" s="64"/>
      <c r="C326" s="29"/>
      <c r="D326" s="65"/>
      <c r="E326" s="65"/>
      <c r="F326" s="66"/>
      <c r="G326" s="66"/>
      <c r="H326" s="66"/>
      <c r="I326" s="67"/>
      <c r="J326" s="67"/>
      <c r="K326" s="67"/>
      <c r="L326" s="29"/>
      <c r="M326" s="211"/>
      <c r="N326" s="29"/>
      <c r="O326" s="29"/>
      <c r="P326" s="29"/>
      <c r="Q326" s="29"/>
    </row>
    <row r="327" spans="1:17" ht="15.75" customHeight="1" x14ac:dyDescent="0.25">
      <c r="A327" s="29"/>
      <c r="B327" s="64"/>
      <c r="C327" s="29"/>
      <c r="D327" s="65"/>
      <c r="E327" s="65"/>
      <c r="F327" s="66"/>
      <c r="G327" s="66"/>
      <c r="H327" s="66"/>
      <c r="I327" s="67"/>
      <c r="J327" s="67"/>
      <c r="K327" s="67"/>
      <c r="L327" s="29"/>
      <c r="M327" s="211"/>
      <c r="N327" s="29"/>
      <c r="O327" s="29"/>
      <c r="P327" s="29"/>
      <c r="Q327" s="29"/>
    </row>
    <row r="328" spans="1:17" ht="15.75" customHeight="1" x14ac:dyDescent="0.25">
      <c r="A328" s="29"/>
      <c r="B328" s="64"/>
      <c r="C328" s="29"/>
      <c r="D328" s="65"/>
      <c r="E328" s="65"/>
      <c r="F328" s="66"/>
      <c r="G328" s="66"/>
      <c r="H328" s="66"/>
      <c r="I328" s="67"/>
      <c r="J328" s="67"/>
      <c r="K328" s="67"/>
      <c r="L328" s="29"/>
      <c r="M328" s="211"/>
      <c r="N328" s="29"/>
      <c r="O328" s="29"/>
      <c r="P328" s="29"/>
      <c r="Q328" s="29"/>
    </row>
    <row r="329" spans="1:17" ht="15.75" customHeight="1" x14ac:dyDescent="0.25">
      <c r="A329" s="29"/>
      <c r="B329" s="64"/>
      <c r="C329" s="29"/>
      <c r="D329" s="65"/>
      <c r="E329" s="65"/>
      <c r="F329" s="66"/>
      <c r="G329" s="66"/>
      <c r="H329" s="66"/>
      <c r="I329" s="67"/>
      <c r="J329" s="67"/>
      <c r="K329" s="67"/>
      <c r="L329" s="29"/>
      <c r="M329" s="211"/>
      <c r="N329" s="29"/>
      <c r="O329" s="29"/>
      <c r="P329" s="29"/>
      <c r="Q329" s="29"/>
    </row>
    <row r="330" spans="1:17" ht="15.75" customHeight="1" x14ac:dyDescent="0.25">
      <c r="A330" s="29"/>
      <c r="B330" s="64"/>
      <c r="C330" s="29"/>
      <c r="D330" s="65"/>
      <c r="E330" s="65"/>
      <c r="F330" s="66"/>
      <c r="G330" s="66"/>
      <c r="H330" s="66"/>
      <c r="I330" s="67"/>
      <c r="J330" s="67"/>
      <c r="K330" s="67"/>
      <c r="L330" s="29"/>
      <c r="M330" s="211"/>
      <c r="N330" s="29"/>
      <c r="O330" s="29"/>
      <c r="P330" s="29"/>
      <c r="Q330" s="29"/>
    </row>
    <row r="331" spans="1:17" ht="15.75" customHeight="1" x14ac:dyDescent="0.25">
      <c r="A331" s="29"/>
      <c r="B331" s="64"/>
      <c r="C331" s="29"/>
      <c r="D331" s="65"/>
      <c r="E331" s="65"/>
      <c r="F331" s="66"/>
      <c r="G331" s="66"/>
      <c r="H331" s="66"/>
      <c r="I331" s="67"/>
      <c r="J331" s="67"/>
      <c r="K331" s="67"/>
      <c r="L331" s="29"/>
      <c r="M331" s="211"/>
      <c r="N331" s="29"/>
      <c r="O331" s="29"/>
      <c r="P331" s="29"/>
      <c r="Q331" s="29"/>
    </row>
    <row r="332" spans="1:17" ht="15.75" customHeight="1" x14ac:dyDescent="0.25">
      <c r="A332" s="29"/>
      <c r="B332" s="64"/>
      <c r="C332" s="29"/>
      <c r="D332" s="65"/>
      <c r="E332" s="65"/>
      <c r="F332" s="66"/>
      <c r="G332" s="66"/>
      <c r="H332" s="66"/>
      <c r="I332" s="67"/>
      <c r="J332" s="67"/>
      <c r="K332" s="67"/>
      <c r="L332" s="29"/>
      <c r="M332" s="211"/>
      <c r="N332" s="29"/>
      <c r="O332" s="29"/>
      <c r="P332" s="29"/>
      <c r="Q332" s="29"/>
    </row>
    <row r="333" spans="1:17" ht="15.75" customHeight="1" x14ac:dyDescent="0.25">
      <c r="A333" s="29"/>
      <c r="B333" s="64"/>
      <c r="C333" s="29"/>
      <c r="D333" s="65"/>
      <c r="E333" s="65"/>
      <c r="F333" s="66"/>
      <c r="G333" s="66"/>
      <c r="H333" s="66"/>
      <c r="I333" s="67"/>
      <c r="J333" s="67"/>
      <c r="K333" s="67"/>
      <c r="L333" s="29"/>
      <c r="M333" s="211"/>
      <c r="N333" s="29"/>
      <c r="O333" s="29"/>
      <c r="P333" s="29"/>
      <c r="Q333" s="29"/>
    </row>
    <row r="334" spans="1:17" ht="15.75" customHeight="1" x14ac:dyDescent="0.25">
      <c r="A334" s="29"/>
      <c r="B334" s="64"/>
      <c r="C334" s="29"/>
      <c r="D334" s="65"/>
      <c r="E334" s="65"/>
      <c r="F334" s="66"/>
      <c r="G334" s="66"/>
      <c r="H334" s="66"/>
      <c r="I334" s="67"/>
      <c r="J334" s="67"/>
      <c r="K334" s="67"/>
      <c r="L334" s="29"/>
      <c r="M334" s="211"/>
      <c r="N334" s="29"/>
      <c r="O334" s="29"/>
      <c r="P334" s="29"/>
      <c r="Q334" s="29"/>
    </row>
    <row r="335" spans="1:17" ht="15.75" customHeight="1" x14ac:dyDescent="0.25">
      <c r="A335" s="29"/>
      <c r="B335" s="64"/>
      <c r="C335" s="29"/>
      <c r="D335" s="65"/>
      <c r="E335" s="65"/>
      <c r="F335" s="66"/>
      <c r="G335" s="66"/>
      <c r="H335" s="66"/>
      <c r="I335" s="67"/>
      <c r="J335" s="67"/>
      <c r="K335" s="67"/>
      <c r="L335" s="29"/>
      <c r="M335" s="211"/>
      <c r="N335" s="29"/>
      <c r="O335" s="29"/>
      <c r="P335" s="29"/>
      <c r="Q335" s="29"/>
    </row>
    <row r="336" spans="1:17" ht="15.75" customHeight="1" x14ac:dyDescent="0.25">
      <c r="A336" s="29"/>
      <c r="B336" s="64"/>
      <c r="C336" s="29"/>
      <c r="D336" s="65"/>
      <c r="E336" s="65"/>
      <c r="F336" s="66"/>
      <c r="G336" s="66"/>
      <c r="H336" s="66"/>
      <c r="I336" s="67"/>
      <c r="J336" s="67"/>
      <c r="K336" s="67"/>
      <c r="L336" s="29"/>
      <c r="M336" s="211"/>
      <c r="N336" s="29"/>
      <c r="O336" s="29"/>
      <c r="P336" s="29"/>
      <c r="Q336" s="29"/>
    </row>
    <row r="337" spans="1:17" ht="15.75" customHeight="1" x14ac:dyDescent="0.25">
      <c r="A337" s="29"/>
      <c r="B337" s="64"/>
      <c r="C337" s="29"/>
      <c r="D337" s="65"/>
      <c r="E337" s="65"/>
      <c r="F337" s="66"/>
      <c r="G337" s="66"/>
      <c r="H337" s="66"/>
      <c r="I337" s="67"/>
      <c r="J337" s="67"/>
      <c r="K337" s="67"/>
      <c r="L337" s="29"/>
      <c r="M337" s="211"/>
      <c r="N337" s="29"/>
      <c r="O337" s="29"/>
      <c r="P337" s="29"/>
      <c r="Q337" s="29"/>
    </row>
    <row r="338" spans="1:17" ht="15.75" customHeight="1" x14ac:dyDescent="0.25">
      <c r="A338" s="29"/>
      <c r="B338" s="64"/>
      <c r="C338" s="29"/>
      <c r="D338" s="65"/>
      <c r="E338" s="65"/>
      <c r="F338" s="66"/>
      <c r="G338" s="66"/>
      <c r="H338" s="66"/>
      <c r="I338" s="67"/>
      <c r="J338" s="67"/>
      <c r="K338" s="67"/>
      <c r="L338" s="29"/>
      <c r="M338" s="211"/>
      <c r="N338" s="29"/>
      <c r="O338" s="29"/>
      <c r="P338" s="29"/>
      <c r="Q338" s="29"/>
    </row>
    <row r="339" spans="1:17" ht="15.75" customHeight="1" x14ac:dyDescent="0.25">
      <c r="A339" s="29"/>
      <c r="B339" s="64"/>
      <c r="C339" s="29"/>
      <c r="D339" s="65"/>
      <c r="E339" s="65"/>
      <c r="F339" s="66"/>
      <c r="G339" s="66"/>
      <c r="H339" s="66"/>
      <c r="I339" s="67"/>
      <c r="J339" s="67"/>
      <c r="K339" s="67"/>
      <c r="L339" s="29"/>
      <c r="M339" s="211"/>
      <c r="N339" s="29"/>
      <c r="O339" s="29"/>
      <c r="P339" s="29"/>
      <c r="Q339" s="29"/>
    </row>
    <row r="340" spans="1:17" ht="15.75" customHeight="1" x14ac:dyDescent="0.25">
      <c r="A340" s="29"/>
      <c r="B340" s="64"/>
      <c r="C340" s="29"/>
      <c r="D340" s="65"/>
      <c r="E340" s="65"/>
      <c r="F340" s="66"/>
      <c r="G340" s="66"/>
      <c r="H340" s="66"/>
      <c r="I340" s="67"/>
      <c r="J340" s="67"/>
      <c r="K340" s="67"/>
      <c r="L340" s="29"/>
      <c r="M340" s="211"/>
      <c r="N340" s="29"/>
      <c r="O340" s="29"/>
      <c r="P340" s="29"/>
      <c r="Q340" s="29"/>
    </row>
    <row r="341" spans="1:17" ht="15.75" customHeight="1" x14ac:dyDescent="0.25">
      <c r="A341" s="29"/>
      <c r="B341" s="64"/>
      <c r="C341" s="29"/>
      <c r="D341" s="65"/>
      <c r="E341" s="65"/>
      <c r="F341" s="66"/>
      <c r="G341" s="66"/>
      <c r="H341" s="66"/>
      <c r="I341" s="67"/>
      <c r="J341" s="67"/>
      <c r="K341" s="67"/>
      <c r="L341" s="29"/>
      <c r="M341" s="211"/>
      <c r="N341" s="29"/>
      <c r="O341" s="29"/>
      <c r="P341" s="29"/>
      <c r="Q341" s="29"/>
    </row>
    <row r="342" spans="1:17" ht="15.75" customHeight="1" x14ac:dyDescent="0.25">
      <c r="A342" s="29"/>
      <c r="B342" s="64"/>
      <c r="C342" s="29"/>
      <c r="D342" s="65"/>
      <c r="E342" s="65"/>
      <c r="F342" s="66"/>
      <c r="G342" s="66"/>
      <c r="H342" s="66"/>
      <c r="I342" s="67"/>
      <c r="J342" s="67"/>
      <c r="K342" s="67"/>
      <c r="L342" s="29"/>
      <c r="M342" s="211"/>
      <c r="N342" s="29"/>
      <c r="O342" s="29"/>
      <c r="P342" s="29"/>
      <c r="Q342" s="29"/>
    </row>
    <row r="343" spans="1:17" ht="15.75" customHeight="1" x14ac:dyDescent="0.25">
      <c r="A343" s="29"/>
      <c r="B343" s="64"/>
      <c r="C343" s="29"/>
      <c r="D343" s="65"/>
      <c r="E343" s="65"/>
      <c r="F343" s="66"/>
      <c r="G343" s="66"/>
      <c r="H343" s="66"/>
      <c r="I343" s="67"/>
      <c r="J343" s="67"/>
      <c r="K343" s="67"/>
      <c r="L343" s="29"/>
      <c r="M343" s="211"/>
      <c r="N343" s="29"/>
      <c r="O343" s="29"/>
      <c r="P343" s="29"/>
      <c r="Q343" s="29"/>
    </row>
    <row r="344" spans="1:17" ht="15.75" customHeight="1" x14ac:dyDescent="0.25">
      <c r="A344" s="29"/>
      <c r="B344" s="64"/>
      <c r="C344" s="29"/>
      <c r="D344" s="65"/>
      <c r="E344" s="65"/>
      <c r="F344" s="66"/>
      <c r="G344" s="66"/>
      <c r="H344" s="66"/>
      <c r="I344" s="67"/>
      <c r="J344" s="67"/>
      <c r="K344" s="67"/>
      <c r="L344" s="29"/>
      <c r="M344" s="211"/>
      <c r="N344" s="29"/>
      <c r="O344" s="29"/>
      <c r="P344" s="29"/>
      <c r="Q344" s="29"/>
    </row>
    <row r="345" spans="1:17" ht="15.75" customHeight="1" x14ac:dyDescent="0.25">
      <c r="A345" s="29"/>
      <c r="B345" s="64"/>
      <c r="C345" s="29"/>
      <c r="D345" s="65"/>
      <c r="E345" s="65"/>
      <c r="F345" s="66"/>
      <c r="G345" s="66"/>
      <c r="H345" s="66"/>
      <c r="I345" s="67"/>
      <c r="J345" s="67"/>
      <c r="K345" s="67"/>
      <c r="L345" s="29"/>
      <c r="M345" s="211"/>
      <c r="N345" s="29"/>
      <c r="O345" s="29"/>
      <c r="P345" s="29"/>
      <c r="Q345" s="29"/>
    </row>
    <row r="346" spans="1:17" ht="15.75" customHeight="1" x14ac:dyDescent="0.25">
      <c r="A346" s="29"/>
      <c r="B346" s="64"/>
      <c r="C346" s="29"/>
      <c r="D346" s="65"/>
      <c r="E346" s="65"/>
      <c r="F346" s="66"/>
      <c r="G346" s="66"/>
      <c r="H346" s="66"/>
      <c r="I346" s="67"/>
      <c r="J346" s="67"/>
      <c r="K346" s="67"/>
      <c r="L346" s="29"/>
      <c r="M346" s="211"/>
      <c r="N346" s="29"/>
      <c r="O346" s="29"/>
      <c r="P346" s="29"/>
      <c r="Q346" s="29"/>
    </row>
    <row r="347" spans="1:17" ht="15.75" customHeight="1" x14ac:dyDescent="0.25">
      <c r="A347" s="29"/>
      <c r="B347" s="64"/>
      <c r="C347" s="29"/>
      <c r="D347" s="65"/>
      <c r="E347" s="65"/>
      <c r="F347" s="66"/>
      <c r="G347" s="66"/>
      <c r="H347" s="66"/>
      <c r="I347" s="67"/>
      <c r="J347" s="67"/>
      <c r="K347" s="67"/>
      <c r="L347" s="29"/>
      <c r="M347" s="211"/>
      <c r="N347" s="29"/>
      <c r="O347" s="29"/>
      <c r="P347" s="29"/>
      <c r="Q347" s="29"/>
    </row>
    <row r="348" spans="1:17" ht="15.75" customHeight="1" x14ac:dyDescent="0.25">
      <c r="A348" s="29"/>
      <c r="B348" s="64"/>
      <c r="C348" s="29"/>
      <c r="D348" s="65"/>
      <c r="E348" s="65"/>
      <c r="F348" s="66"/>
      <c r="G348" s="66"/>
      <c r="H348" s="66"/>
      <c r="I348" s="67"/>
      <c r="J348" s="67"/>
      <c r="K348" s="67"/>
      <c r="L348" s="29"/>
      <c r="M348" s="211"/>
      <c r="N348" s="29"/>
      <c r="O348" s="29"/>
      <c r="P348" s="29"/>
      <c r="Q348" s="29"/>
    </row>
    <row r="349" spans="1:17" ht="15.75" customHeight="1" x14ac:dyDescent="0.25">
      <c r="A349" s="29"/>
      <c r="B349" s="64"/>
      <c r="C349" s="29"/>
      <c r="D349" s="65"/>
      <c r="E349" s="65"/>
      <c r="F349" s="66"/>
      <c r="G349" s="66"/>
      <c r="H349" s="66"/>
      <c r="I349" s="67"/>
      <c r="J349" s="67"/>
      <c r="K349" s="67"/>
      <c r="L349" s="29"/>
      <c r="M349" s="211"/>
      <c r="N349" s="29"/>
      <c r="O349" s="29"/>
      <c r="P349" s="29"/>
      <c r="Q349" s="29"/>
    </row>
    <row r="350" spans="1:17" ht="15.75" customHeight="1" x14ac:dyDescent="0.25">
      <c r="A350" s="29"/>
      <c r="B350" s="64"/>
      <c r="C350" s="29"/>
      <c r="D350" s="65"/>
      <c r="E350" s="65"/>
      <c r="F350" s="66"/>
      <c r="G350" s="66"/>
      <c r="H350" s="66"/>
      <c r="I350" s="67"/>
      <c r="J350" s="67"/>
      <c r="K350" s="67"/>
      <c r="L350" s="29"/>
      <c r="M350" s="211"/>
      <c r="N350" s="29"/>
      <c r="O350" s="29"/>
      <c r="P350" s="29"/>
      <c r="Q350" s="29"/>
    </row>
    <row r="351" spans="1:17" ht="15.75" customHeight="1" x14ac:dyDescent="0.25">
      <c r="A351" s="29"/>
      <c r="B351" s="64"/>
      <c r="C351" s="29"/>
      <c r="D351" s="65"/>
      <c r="E351" s="65"/>
      <c r="F351" s="66"/>
      <c r="G351" s="66"/>
      <c r="H351" s="66"/>
      <c r="I351" s="67"/>
      <c r="J351" s="67"/>
      <c r="K351" s="67"/>
      <c r="L351" s="29"/>
      <c r="M351" s="211"/>
      <c r="N351" s="29"/>
      <c r="O351" s="29"/>
      <c r="P351" s="29"/>
      <c r="Q351" s="29"/>
    </row>
    <row r="352" spans="1:17" ht="15.75" customHeight="1" x14ac:dyDescent="0.25">
      <c r="A352" s="29"/>
      <c r="B352" s="64"/>
      <c r="C352" s="29"/>
      <c r="D352" s="65"/>
      <c r="E352" s="65"/>
      <c r="F352" s="66"/>
      <c r="G352" s="66"/>
      <c r="H352" s="66"/>
      <c r="I352" s="67"/>
      <c r="J352" s="67"/>
      <c r="K352" s="67"/>
      <c r="L352" s="29"/>
      <c r="M352" s="211"/>
      <c r="N352" s="29"/>
      <c r="O352" s="29"/>
      <c r="P352" s="29"/>
      <c r="Q352" s="29"/>
    </row>
    <row r="353" spans="1:17" ht="15.75" customHeight="1" x14ac:dyDescent="0.25">
      <c r="A353" s="29"/>
      <c r="B353" s="64"/>
      <c r="C353" s="29"/>
      <c r="D353" s="65"/>
      <c r="E353" s="65"/>
      <c r="F353" s="66"/>
      <c r="G353" s="66"/>
      <c r="H353" s="66"/>
      <c r="I353" s="67"/>
      <c r="J353" s="67"/>
      <c r="K353" s="67"/>
      <c r="L353" s="29"/>
      <c r="M353" s="211"/>
      <c r="N353" s="29"/>
      <c r="O353" s="29"/>
      <c r="P353" s="29"/>
      <c r="Q353" s="29"/>
    </row>
    <row r="354" spans="1:17" ht="15.75" customHeight="1" x14ac:dyDescent="0.25">
      <c r="A354" s="29"/>
      <c r="B354" s="64"/>
      <c r="C354" s="29"/>
      <c r="D354" s="65"/>
      <c r="E354" s="65"/>
      <c r="F354" s="66"/>
      <c r="G354" s="66"/>
      <c r="H354" s="66"/>
      <c r="I354" s="67"/>
      <c r="J354" s="67"/>
      <c r="K354" s="67"/>
      <c r="L354" s="29"/>
      <c r="M354" s="211"/>
      <c r="N354" s="29"/>
      <c r="O354" s="29"/>
      <c r="P354" s="29"/>
      <c r="Q354" s="29"/>
    </row>
    <row r="355" spans="1:17" ht="15.75" customHeight="1" x14ac:dyDescent="0.25">
      <c r="A355" s="29"/>
      <c r="B355" s="64"/>
      <c r="C355" s="29"/>
      <c r="D355" s="65"/>
      <c r="E355" s="65"/>
      <c r="F355" s="66"/>
      <c r="G355" s="66"/>
      <c r="H355" s="66"/>
      <c r="I355" s="67"/>
      <c r="J355" s="67"/>
      <c r="K355" s="67"/>
      <c r="L355" s="29"/>
      <c r="M355" s="211"/>
      <c r="N355" s="29"/>
      <c r="O355" s="29"/>
      <c r="P355" s="29"/>
      <c r="Q355" s="29"/>
    </row>
    <row r="356" spans="1:17" ht="15.75" customHeight="1" x14ac:dyDescent="0.25">
      <c r="A356" s="29"/>
      <c r="B356" s="64"/>
      <c r="C356" s="29"/>
      <c r="D356" s="65"/>
      <c r="E356" s="65"/>
      <c r="F356" s="66"/>
      <c r="G356" s="66"/>
      <c r="H356" s="66"/>
      <c r="I356" s="67"/>
      <c r="J356" s="67"/>
      <c r="K356" s="67"/>
      <c r="L356" s="29"/>
      <c r="M356" s="211"/>
      <c r="N356" s="29"/>
      <c r="O356" s="29"/>
      <c r="P356" s="29"/>
      <c r="Q356" s="29"/>
    </row>
    <row r="357" spans="1:17" ht="15.75" customHeight="1" x14ac:dyDescent="0.25">
      <c r="A357" s="29"/>
      <c r="B357" s="64"/>
      <c r="C357" s="29"/>
      <c r="D357" s="65"/>
      <c r="E357" s="65"/>
      <c r="F357" s="66"/>
      <c r="G357" s="66"/>
      <c r="H357" s="66"/>
      <c r="I357" s="67"/>
      <c r="J357" s="67"/>
      <c r="K357" s="67"/>
      <c r="L357" s="29"/>
      <c r="M357" s="211"/>
      <c r="N357" s="29"/>
      <c r="O357" s="29"/>
      <c r="P357" s="29"/>
      <c r="Q357" s="29"/>
    </row>
    <row r="358" spans="1:17" ht="15.75" customHeight="1" x14ac:dyDescent="0.25">
      <c r="A358" s="29"/>
      <c r="B358" s="64"/>
      <c r="C358" s="29"/>
      <c r="D358" s="65"/>
      <c r="E358" s="65"/>
      <c r="F358" s="66"/>
      <c r="G358" s="66"/>
      <c r="H358" s="66"/>
      <c r="I358" s="67"/>
      <c r="J358" s="67"/>
      <c r="K358" s="67"/>
      <c r="L358" s="29"/>
      <c r="M358" s="211"/>
      <c r="N358" s="29"/>
      <c r="O358" s="29"/>
      <c r="P358" s="29"/>
      <c r="Q358" s="29"/>
    </row>
    <row r="359" spans="1:17" ht="15.75" customHeight="1" x14ac:dyDescent="0.25">
      <c r="A359" s="29"/>
      <c r="B359" s="64"/>
      <c r="C359" s="29"/>
      <c r="D359" s="65"/>
      <c r="E359" s="65"/>
      <c r="F359" s="66"/>
      <c r="G359" s="66"/>
      <c r="H359" s="66"/>
      <c r="I359" s="67"/>
      <c r="J359" s="67"/>
      <c r="K359" s="67"/>
      <c r="L359" s="29"/>
      <c r="M359" s="211"/>
      <c r="N359" s="29"/>
      <c r="O359" s="29"/>
      <c r="P359" s="29"/>
      <c r="Q359" s="29"/>
    </row>
    <row r="360" spans="1:17" ht="15.75" customHeight="1" x14ac:dyDescent="0.25">
      <c r="A360" s="29"/>
      <c r="B360" s="64"/>
      <c r="C360" s="29"/>
      <c r="D360" s="65"/>
      <c r="E360" s="65"/>
      <c r="F360" s="66"/>
      <c r="G360" s="66"/>
      <c r="H360" s="66"/>
      <c r="I360" s="67"/>
      <c r="J360" s="67"/>
      <c r="K360" s="67"/>
      <c r="L360" s="29"/>
      <c r="M360" s="211"/>
      <c r="N360" s="29"/>
      <c r="O360" s="29"/>
      <c r="P360" s="29"/>
      <c r="Q360" s="29"/>
    </row>
    <row r="361" spans="1:17" ht="15.75" customHeight="1" x14ac:dyDescent="0.25">
      <c r="A361" s="29"/>
      <c r="B361" s="64"/>
      <c r="C361" s="29"/>
      <c r="D361" s="65"/>
      <c r="E361" s="65"/>
      <c r="F361" s="66"/>
      <c r="G361" s="66"/>
      <c r="H361" s="66"/>
      <c r="I361" s="67"/>
      <c r="J361" s="67"/>
      <c r="K361" s="67"/>
      <c r="L361" s="29"/>
      <c r="M361" s="211"/>
      <c r="N361" s="29"/>
      <c r="O361" s="29"/>
      <c r="P361" s="29"/>
      <c r="Q361" s="29"/>
    </row>
    <row r="362" spans="1:17" ht="15.75" customHeight="1" x14ac:dyDescent="0.25">
      <c r="A362" s="29"/>
      <c r="B362" s="64"/>
      <c r="C362" s="29"/>
      <c r="D362" s="65"/>
      <c r="E362" s="65"/>
      <c r="F362" s="66"/>
      <c r="G362" s="66"/>
      <c r="H362" s="66"/>
      <c r="I362" s="67"/>
      <c r="J362" s="67"/>
      <c r="K362" s="67"/>
      <c r="L362" s="29"/>
      <c r="M362" s="211"/>
      <c r="N362" s="29"/>
      <c r="O362" s="29"/>
      <c r="P362" s="29"/>
      <c r="Q362" s="29"/>
    </row>
    <row r="363" spans="1:17" ht="15.75" customHeight="1" x14ac:dyDescent="0.25">
      <c r="A363" s="29"/>
      <c r="B363" s="64"/>
      <c r="C363" s="29"/>
      <c r="D363" s="65"/>
      <c r="E363" s="65"/>
      <c r="F363" s="66"/>
      <c r="G363" s="66"/>
      <c r="H363" s="66"/>
      <c r="I363" s="67"/>
      <c r="J363" s="67"/>
      <c r="K363" s="67"/>
      <c r="L363" s="29"/>
      <c r="M363" s="211"/>
      <c r="N363" s="29"/>
      <c r="O363" s="29"/>
      <c r="P363" s="29"/>
      <c r="Q363" s="29"/>
    </row>
    <row r="364" spans="1:17" ht="15.75" customHeight="1" x14ac:dyDescent="0.25">
      <c r="A364" s="29"/>
      <c r="B364" s="64"/>
      <c r="C364" s="29"/>
      <c r="D364" s="65"/>
      <c r="E364" s="65"/>
      <c r="F364" s="66"/>
      <c r="G364" s="66"/>
      <c r="H364" s="66"/>
      <c r="I364" s="67"/>
      <c r="J364" s="67"/>
      <c r="K364" s="67"/>
      <c r="L364" s="29"/>
      <c r="M364" s="211"/>
      <c r="N364" s="29"/>
      <c r="O364" s="29"/>
      <c r="P364" s="29"/>
      <c r="Q364" s="29"/>
    </row>
    <row r="365" spans="1:17" ht="15.75" customHeight="1" x14ac:dyDescent="0.25">
      <c r="A365" s="29"/>
      <c r="B365" s="64"/>
      <c r="C365" s="29"/>
      <c r="D365" s="65"/>
      <c r="E365" s="65"/>
      <c r="F365" s="66"/>
      <c r="G365" s="66"/>
      <c r="H365" s="66"/>
      <c r="I365" s="67"/>
      <c r="J365" s="67"/>
      <c r="K365" s="67"/>
      <c r="L365" s="29"/>
      <c r="M365" s="211"/>
      <c r="N365" s="29"/>
      <c r="O365" s="29"/>
      <c r="P365" s="29"/>
      <c r="Q365" s="29"/>
    </row>
    <row r="366" spans="1:17" ht="15.75" customHeight="1" x14ac:dyDescent="0.25">
      <c r="A366" s="29"/>
      <c r="B366" s="64"/>
      <c r="C366" s="29"/>
      <c r="D366" s="65"/>
      <c r="E366" s="65"/>
      <c r="F366" s="66"/>
      <c r="G366" s="66"/>
      <c r="H366" s="66"/>
      <c r="I366" s="67"/>
      <c r="J366" s="67"/>
      <c r="K366" s="67"/>
      <c r="L366" s="29"/>
      <c r="M366" s="211"/>
      <c r="N366" s="29"/>
      <c r="O366" s="29"/>
      <c r="P366" s="29"/>
      <c r="Q366" s="29"/>
    </row>
    <row r="367" spans="1:17" ht="15.75" customHeight="1" x14ac:dyDescent="0.25">
      <c r="A367" s="29"/>
      <c r="B367" s="64"/>
      <c r="C367" s="29"/>
      <c r="D367" s="65"/>
      <c r="E367" s="65"/>
      <c r="F367" s="66"/>
      <c r="G367" s="66"/>
      <c r="H367" s="66"/>
      <c r="I367" s="67"/>
      <c r="J367" s="67"/>
      <c r="K367" s="67"/>
      <c r="L367" s="29"/>
      <c r="M367" s="211"/>
      <c r="N367" s="29"/>
      <c r="O367" s="29"/>
      <c r="P367" s="29"/>
      <c r="Q367" s="29"/>
    </row>
    <row r="368" spans="1:17" ht="15.75" customHeight="1" x14ac:dyDescent="0.25">
      <c r="A368" s="29"/>
      <c r="B368" s="64"/>
      <c r="C368" s="29"/>
      <c r="D368" s="65"/>
      <c r="E368" s="65"/>
      <c r="F368" s="66"/>
      <c r="G368" s="66"/>
      <c r="H368" s="66"/>
      <c r="I368" s="67"/>
      <c r="J368" s="67"/>
      <c r="K368" s="67"/>
      <c r="L368" s="29"/>
      <c r="M368" s="211"/>
      <c r="N368" s="29"/>
      <c r="O368" s="29"/>
      <c r="P368" s="29"/>
      <c r="Q368" s="29"/>
    </row>
    <row r="369" spans="1:17" ht="15.75" customHeight="1" x14ac:dyDescent="0.25">
      <c r="A369" s="29"/>
      <c r="B369" s="64"/>
      <c r="C369" s="29"/>
      <c r="D369" s="65"/>
      <c r="E369" s="65"/>
      <c r="F369" s="66"/>
      <c r="G369" s="66"/>
      <c r="H369" s="66"/>
      <c r="I369" s="67"/>
      <c r="J369" s="67"/>
      <c r="K369" s="67"/>
      <c r="L369" s="29"/>
      <c r="M369" s="211"/>
      <c r="N369" s="29"/>
      <c r="O369" s="29"/>
      <c r="P369" s="29"/>
      <c r="Q369" s="29"/>
    </row>
    <row r="370" spans="1:17" ht="15.75" customHeight="1" x14ac:dyDescent="0.25">
      <c r="A370" s="29"/>
      <c r="B370" s="64"/>
      <c r="C370" s="29"/>
      <c r="D370" s="65"/>
      <c r="E370" s="65"/>
      <c r="F370" s="66"/>
      <c r="G370" s="66"/>
      <c r="H370" s="66"/>
      <c r="I370" s="67"/>
      <c r="J370" s="67"/>
      <c r="K370" s="67"/>
      <c r="L370" s="29"/>
      <c r="M370" s="211"/>
      <c r="N370" s="29"/>
      <c r="O370" s="29"/>
      <c r="P370" s="29"/>
      <c r="Q370" s="29"/>
    </row>
    <row r="371" spans="1:17" ht="15.75" customHeight="1" x14ac:dyDescent="0.25">
      <c r="A371" s="29"/>
      <c r="B371" s="64"/>
      <c r="C371" s="29"/>
      <c r="D371" s="65"/>
      <c r="E371" s="65"/>
      <c r="F371" s="66"/>
      <c r="G371" s="66"/>
      <c r="H371" s="66"/>
      <c r="I371" s="67"/>
      <c r="J371" s="67"/>
      <c r="K371" s="67"/>
      <c r="L371" s="29"/>
      <c r="M371" s="211"/>
      <c r="N371" s="29"/>
      <c r="O371" s="29"/>
      <c r="P371" s="29"/>
      <c r="Q371" s="29"/>
    </row>
    <row r="372" spans="1:17" ht="15.75" customHeight="1" x14ac:dyDescent="0.25">
      <c r="A372" s="29"/>
      <c r="B372" s="64"/>
      <c r="C372" s="29"/>
      <c r="D372" s="65"/>
      <c r="E372" s="65"/>
      <c r="F372" s="66"/>
      <c r="G372" s="66"/>
      <c r="H372" s="66"/>
      <c r="I372" s="67"/>
      <c r="J372" s="67"/>
      <c r="K372" s="67"/>
      <c r="L372" s="29"/>
      <c r="M372" s="211"/>
      <c r="N372" s="29"/>
      <c r="O372" s="29"/>
      <c r="P372" s="29"/>
      <c r="Q372" s="29"/>
    </row>
    <row r="373" spans="1:17" ht="15.75" customHeight="1" x14ac:dyDescent="0.25">
      <c r="A373" s="29"/>
      <c r="B373" s="64"/>
      <c r="C373" s="29"/>
      <c r="D373" s="65"/>
      <c r="E373" s="65"/>
      <c r="F373" s="66"/>
      <c r="G373" s="66"/>
      <c r="H373" s="66"/>
      <c r="I373" s="67"/>
      <c r="J373" s="67"/>
      <c r="K373" s="67"/>
      <c r="L373" s="29"/>
      <c r="M373" s="211"/>
      <c r="N373" s="29"/>
      <c r="O373" s="29"/>
      <c r="P373" s="29"/>
      <c r="Q373" s="29"/>
    </row>
    <row r="374" spans="1:17" ht="15.75" customHeight="1" x14ac:dyDescent="0.25">
      <c r="A374" s="29"/>
      <c r="B374" s="64"/>
      <c r="C374" s="29"/>
      <c r="D374" s="65"/>
      <c r="E374" s="65"/>
      <c r="F374" s="66"/>
      <c r="G374" s="66"/>
      <c r="H374" s="66"/>
      <c r="I374" s="67"/>
      <c r="J374" s="67"/>
      <c r="K374" s="67"/>
      <c r="L374" s="29"/>
      <c r="M374" s="211"/>
      <c r="N374" s="29"/>
      <c r="O374" s="29"/>
      <c r="P374" s="29"/>
      <c r="Q374" s="29"/>
    </row>
    <row r="375" spans="1:17" ht="15.75" customHeight="1" x14ac:dyDescent="0.25">
      <c r="A375" s="29"/>
      <c r="B375" s="64"/>
      <c r="C375" s="29"/>
      <c r="D375" s="65"/>
      <c r="E375" s="65"/>
      <c r="F375" s="66"/>
      <c r="G375" s="66"/>
      <c r="H375" s="66"/>
      <c r="I375" s="67"/>
      <c r="J375" s="67"/>
      <c r="K375" s="67"/>
      <c r="L375" s="29"/>
      <c r="M375" s="211"/>
      <c r="N375" s="29"/>
      <c r="O375" s="29"/>
      <c r="P375" s="29"/>
      <c r="Q375" s="29"/>
    </row>
    <row r="376" spans="1:17" ht="15.75" customHeight="1" x14ac:dyDescent="0.25">
      <c r="A376" s="29"/>
      <c r="B376" s="64"/>
      <c r="C376" s="29"/>
      <c r="D376" s="65"/>
      <c r="E376" s="65"/>
      <c r="F376" s="66"/>
      <c r="G376" s="66"/>
      <c r="H376" s="66"/>
      <c r="I376" s="67"/>
      <c r="J376" s="67"/>
      <c r="K376" s="67"/>
      <c r="L376" s="29"/>
      <c r="M376" s="211"/>
      <c r="N376" s="29"/>
      <c r="O376" s="29"/>
      <c r="P376" s="29"/>
      <c r="Q376" s="29"/>
    </row>
    <row r="377" spans="1:17" ht="15.75" customHeight="1" x14ac:dyDescent="0.25">
      <c r="A377" s="29"/>
      <c r="B377" s="64"/>
      <c r="C377" s="29"/>
      <c r="D377" s="65"/>
      <c r="E377" s="65"/>
      <c r="F377" s="66"/>
      <c r="G377" s="66"/>
      <c r="H377" s="66"/>
      <c r="I377" s="67"/>
      <c r="J377" s="67"/>
      <c r="K377" s="67"/>
      <c r="L377" s="29"/>
      <c r="M377" s="211"/>
      <c r="N377" s="29"/>
      <c r="O377" s="29"/>
      <c r="P377" s="29"/>
      <c r="Q377" s="29"/>
    </row>
    <row r="378" spans="1:17" ht="15.75" customHeight="1" x14ac:dyDescent="0.25">
      <c r="A378" s="29"/>
      <c r="B378" s="64"/>
      <c r="C378" s="29"/>
      <c r="D378" s="65"/>
      <c r="E378" s="65"/>
      <c r="F378" s="66"/>
      <c r="G378" s="66"/>
      <c r="H378" s="66"/>
      <c r="I378" s="67"/>
      <c r="J378" s="67"/>
      <c r="K378" s="67"/>
      <c r="L378" s="29"/>
      <c r="M378" s="211"/>
      <c r="N378" s="29"/>
      <c r="O378" s="29"/>
      <c r="P378" s="29"/>
      <c r="Q378" s="29"/>
    </row>
    <row r="379" spans="1:17" ht="15.75" customHeight="1" x14ac:dyDescent="0.25">
      <c r="A379" s="29"/>
      <c r="B379" s="64"/>
      <c r="C379" s="29"/>
      <c r="D379" s="65"/>
      <c r="E379" s="65"/>
      <c r="F379" s="66"/>
      <c r="G379" s="66"/>
      <c r="H379" s="66"/>
      <c r="I379" s="67"/>
      <c r="J379" s="67"/>
      <c r="K379" s="67"/>
      <c r="L379" s="29"/>
      <c r="M379" s="211"/>
      <c r="N379" s="29"/>
      <c r="O379" s="29"/>
      <c r="P379" s="29"/>
      <c r="Q379" s="29"/>
    </row>
    <row r="380" spans="1:17" ht="15.75" customHeight="1" x14ac:dyDescent="0.25">
      <c r="A380" s="29"/>
      <c r="B380" s="64"/>
      <c r="C380" s="29"/>
      <c r="D380" s="65"/>
      <c r="E380" s="65"/>
      <c r="F380" s="66"/>
      <c r="G380" s="66"/>
      <c r="H380" s="66"/>
      <c r="I380" s="67"/>
      <c r="J380" s="67"/>
      <c r="K380" s="67"/>
      <c r="L380" s="29"/>
      <c r="M380" s="211"/>
      <c r="N380" s="29"/>
      <c r="O380" s="29"/>
      <c r="P380" s="29"/>
      <c r="Q380" s="29"/>
    </row>
    <row r="381" spans="1:17" ht="15.75" customHeight="1" x14ac:dyDescent="0.25">
      <c r="A381" s="29"/>
      <c r="B381" s="64"/>
      <c r="C381" s="29"/>
      <c r="D381" s="65"/>
      <c r="E381" s="65"/>
      <c r="F381" s="66"/>
      <c r="G381" s="66"/>
      <c r="H381" s="66"/>
      <c r="I381" s="67"/>
      <c r="J381" s="67"/>
      <c r="K381" s="67"/>
      <c r="L381" s="29"/>
      <c r="M381" s="211"/>
      <c r="N381" s="29"/>
      <c r="O381" s="29"/>
      <c r="P381" s="29"/>
      <c r="Q381" s="29"/>
    </row>
    <row r="382" spans="1:17" ht="15.75" customHeight="1" x14ac:dyDescent="0.25">
      <c r="A382" s="29"/>
      <c r="B382" s="64"/>
      <c r="C382" s="29"/>
      <c r="D382" s="65"/>
      <c r="E382" s="65"/>
      <c r="F382" s="66"/>
      <c r="G382" s="66"/>
      <c r="H382" s="66"/>
      <c r="I382" s="67"/>
      <c r="J382" s="67"/>
      <c r="K382" s="67"/>
      <c r="L382" s="29"/>
      <c r="M382" s="211"/>
      <c r="N382" s="29"/>
      <c r="O382" s="29"/>
      <c r="P382" s="29"/>
      <c r="Q382" s="29"/>
    </row>
    <row r="383" spans="1:17" ht="15.75" customHeight="1" x14ac:dyDescent="0.25">
      <c r="A383" s="29"/>
      <c r="B383" s="64"/>
      <c r="C383" s="29"/>
      <c r="D383" s="65"/>
      <c r="E383" s="65"/>
      <c r="F383" s="66"/>
      <c r="G383" s="66"/>
      <c r="H383" s="66"/>
      <c r="I383" s="67"/>
      <c r="J383" s="67"/>
      <c r="K383" s="67"/>
      <c r="L383" s="29"/>
      <c r="M383" s="211"/>
      <c r="N383" s="29"/>
      <c r="O383" s="29"/>
      <c r="P383" s="29"/>
      <c r="Q383" s="29"/>
    </row>
    <row r="384" spans="1:17" ht="15.75" customHeight="1" x14ac:dyDescent="0.25">
      <c r="A384" s="29"/>
      <c r="B384" s="64"/>
      <c r="C384" s="29"/>
      <c r="D384" s="65"/>
      <c r="E384" s="65"/>
      <c r="F384" s="66"/>
      <c r="G384" s="66"/>
      <c r="H384" s="66"/>
      <c r="I384" s="67"/>
      <c r="J384" s="67"/>
      <c r="K384" s="67"/>
      <c r="L384" s="29"/>
      <c r="M384" s="211"/>
      <c r="N384" s="29"/>
      <c r="O384" s="29"/>
      <c r="P384" s="29"/>
      <c r="Q384" s="29"/>
    </row>
    <row r="385" spans="1:17" ht="15.75" customHeight="1" x14ac:dyDescent="0.25">
      <c r="A385" s="29"/>
      <c r="B385" s="64"/>
      <c r="C385" s="29"/>
      <c r="D385" s="65"/>
      <c r="E385" s="65"/>
      <c r="F385" s="66"/>
      <c r="G385" s="66"/>
      <c r="H385" s="66"/>
      <c r="I385" s="67"/>
      <c r="J385" s="67"/>
      <c r="K385" s="67"/>
      <c r="L385" s="29"/>
      <c r="M385" s="211"/>
      <c r="N385" s="29"/>
      <c r="O385" s="29"/>
      <c r="P385" s="29"/>
      <c r="Q385" s="29"/>
    </row>
    <row r="386" spans="1:17" ht="15.75" customHeight="1" x14ac:dyDescent="0.25">
      <c r="A386" s="29"/>
      <c r="B386" s="64"/>
      <c r="C386" s="29"/>
      <c r="D386" s="65"/>
      <c r="E386" s="65"/>
      <c r="F386" s="66"/>
      <c r="G386" s="66"/>
      <c r="H386" s="66"/>
      <c r="I386" s="67"/>
      <c r="J386" s="67"/>
      <c r="K386" s="67"/>
      <c r="L386" s="29"/>
      <c r="M386" s="211"/>
      <c r="N386" s="29"/>
      <c r="O386" s="29"/>
      <c r="P386" s="29"/>
      <c r="Q386" s="29"/>
    </row>
    <row r="387" spans="1:17" ht="15.75" customHeight="1" x14ac:dyDescent="0.25">
      <c r="A387" s="29"/>
      <c r="B387" s="64"/>
      <c r="C387" s="29"/>
      <c r="D387" s="65"/>
      <c r="E387" s="65"/>
      <c r="F387" s="66"/>
      <c r="G387" s="66"/>
      <c r="H387" s="66"/>
      <c r="I387" s="67"/>
      <c r="J387" s="67"/>
      <c r="K387" s="67"/>
      <c r="L387" s="29"/>
      <c r="M387" s="211"/>
      <c r="N387" s="29"/>
      <c r="O387" s="29"/>
      <c r="P387" s="29"/>
      <c r="Q387" s="29"/>
    </row>
    <row r="388" spans="1:17" ht="15.75" customHeight="1" x14ac:dyDescent="0.25">
      <c r="A388" s="29"/>
      <c r="B388" s="64"/>
      <c r="C388" s="29"/>
      <c r="D388" s="65"/>
      <c r="E388" s="65"/>
      <c r="F388" s="66"/>
      <c r="G388" s="66"/>
      <c r="H388" s="66"/>
      <c r="I388" s="67"/>
      <c r="J388" s="67"/>
      <c r="K388" s="67"/>
      <c r="L388" s="29"/>
      <c r="M388" s="211"/>
      <c r="N388" s="29"/>
      <c r="O388" s="29"/>
      <c r="P388" s="29"/>
      <c r="Q388" s="29"/>
    </row>
    <row r="389" spans="1:17" ht="15.75" customHeight="1" x14ac:dyDescent="0.25">
      <c r="A389" s="29"/>
      <c r="B389" s="64"/>
      <c r="C389" s="29"/>
      <c r="D389" s="65"/>
      <c r="E389" s="65"/>
      <c r="F389" s="66"/>
      <c r="G389" s="66"/>
      <c r="H389" s="66"/>
      <c r="I389" s="67"/>
      <c r="J389" s="67"/>
      <c r="K389" s="67"/>
      <c r="L389" s="29"/>
      <c r="M389" s="211"/>
      <c r="N389" s="29"/>
      <c r="O389" s="29"/>
      <c r="P389" s="29"/>
      <c r="Q389" s="29"/>
    </row>
    <row r="390" spans="1:17" ht="15.75" customHeight="1" x14ac:dyDescent="0.25">
      <c r="A390" s="29"/>
      <c r="B390" s="64"/>
      <c r="C390" s="29"/>
      <c r="D390" s="65"/>
      <c r="E390" s="65"/>
      <c r="F390" s="66"/>
      <c r="G390" s="66"/>
      <c r="H390" s="66"/>
      <c r="I390" s="67"/>
      <c r="J390" s="67"/>
      <c r="K390" s="67"/>
      <c r="L390" s="29"/>
      <c r="M390" s="211"/>
      <c r="N390" s="29"/>
      <c r="O390" s="29"/>
      <c r="P390" s="29"/>
      <c r="Q390" s="29"/>
    </row>
    <row r="391" spans="1:17" ht="15.75" customHeight="1" x14ac:dyDescent="0.25">
      <c r="A391" s="29"/>
      <c r="B391" s="64"/>
      <c r="C391" s="29"/>
      <c r="D391" s="65"/>
      <c r="E391" s="65"/>
      <c r="F391" s="66"/>
      <c r="G391" s="66"/>
      <c r="H391" s="66"/>
      <c r="I391" s="67"/>
      <c r="J391" s="67"/>
      <c r="K391" s="67"/>
      <c r="L391" s="29"/>
      <c r="M391" s="211"/>
      <c r="N391" s="29"/>
      <c r="O391" s="29"/>
      <c r="P391" s="29"/>
      <c r="Q391" s="29"/>
    </row>
    <row r="392" spans="1:17" ht="15.75" customHeight="1" x14ac:dyDescent="0.25">
      <c r="A392" s="29"/>
      <c r="B392" s="64"/>
      <c r="C392" s="29"/>
      <c r="D392" s="65"/>
      <c r="E392" s="65"/>
      <c r="F392" s="66"/>
      <c r="G392" s="66"/>
      <c r="H392" s="66"/>
      <c r="I392" s="67"/>
      <c r="J392" s="67"/>
      <c r="K392" s="67"/>
      <c r="L392" s="29"/>
      <c r="M392" s="211"/>
      <c r="N392" s="29"/>
      <c r="O392" s="29"/>
      <c r="P392" s="29"/>
      <c r="Q392" s="29"/>
    </row>
    <row r="393" spans="1:17" ht="15.75" customHeight="1" x14ac:dyDescent="0.25">
      <c r="A393" s="29"/>
      <c r="B393" s="64"/>
      <c r="C393" s="29"/>
      <c r="D393" s="65"/>
      <c r="E393" s="65"/>
      <c r="F393" s="66"/>
      <c r="G393" s="66"/>
      <c r="H393" s="66"/>
      <c r="I393" s="67"/>
      <c r="J393" s="67"/>
      <c r="K393" s="67"/>
      <c r="L393" s="29"/>
      <c r="M393" s="211"/>
      <c r="N393" s="29"/>
      <c r="O393" s="29"/>
      <c r="P393" s="29"/>
      <c r="Q393" s="29"/>
    </row>
    <row r="394" spans="1:17" ht="15.75" customHeight="1" x14ac:dyDescent="0.25">
      <c r="A394" s="29"/>
      <c r="B394" s="64"/>
      <c r="C394" s="29"/>
      <c r="D394" s="65"/>
      <c r="E394" s="65"/>
      <c r="F394" s="66"/>
      <c r="G394" s="66"/>
      <c r="H394" s="66"/>
      <c r="I394" s="67"/>
      <c r="J394" s="67"/>
      <c r="K394" s="67"/>
      <c r="L394" s="29"/>
      <c r="M394" s="211"/>
      <c r="N394" s="29"/>
      <c r="O394" s="29"/>
      <c r="P394" s="29"/>
      <c r="Q394" s="29"/>
    </row>
    <row r="395" spans="1:17" ht="15.75" customHeight="1" x14ac:dyDescent="0.25">
      <c r="A395" s="29"/>
      <c r="B395" s="64"/>
      <c r="C395" s="29"/>
      <c r="D395" s="65"/>
      <c r="E395" s="65"/>
      <c r="F395" s="66"/>
      <c r="G395" s="66"/>
      <c r="H395" s="66"/>
      <c r="I395" s="67"/>
      <c r="J395" s="67"/>
      <c r="K395" s="67"/>
      <c r="L395" s="29"/>
      <c r="M395" s="211"/>
      <c r="N395" s="29"/>
      <c r="O395" s="29"/>
      <c r="P395" s="29"/>
      <c r="Q395" s="29"/>
    </row>
    <row r="396" spans="1:17" ht="15.75" customHeight="1" x14ac:dyDescent="0.25">
      <c r="A396" s="29"/>
      <c r="B396" s="64"/>
      <c r="C396" s="29"/>
      <c r="D396" s="65"/>
      <c r="E396" s="65"/>
      <c r="F396" s="66"/>
      <c r="G396" s="66"/>
      <c r="H396" s="66"/>
      <c r="I396" s="67"/>
      <c r="J396" s="67"/>
      <c r="K396" s="67"/>
      <c r="L396" s="29"/>
      <c r="M396" s="211"/>
      <c r="N396" s="29"/>
      <c r="O396" s="29"/>
      <c r="P396" s="29"/>
      <c r="Q396" s="29"/>
    </row>
    <row r="397" spans="1:17" ht="15.75" customHeight="1" x14ac:dyDescent="0.25">
      <c r="A397" s="29"/>
      <c r="B397" s="64"/>
      <c r="C397" s="29"/>
      <c r="D397" s="65"/>
      <c r="E397" s="65"/>
      <c r="F397" s="66"/>
      <c r="G397" s="66"/>
      <c r="H397" s="66"/>
      <c r="I397" s="67"/>
      <c r="J397" s="67"/>
      <c r="K397" s="67"/>
      <c r="L397" s="29"/>
      <c r="M397" s="211"/>
      <c r="N397" s="29"/>
      <c r="O397" s="29"/>
      <c r="P397" s="29"/>
      <c r="Q397" s="29"/>
    </row>
    <row r="398" spans="1:17" ht="15.75" customHeight="1" x14ac:dyDescent="0.25">
      <c r="A398" s="29"/>
      <c r="B398" s="64"/>
      <c r="C398" s="29"/>
      <c r="D398" s="65"/>
      <c r="E398" s="65"/>
      <c r="F398" s="66"/>
      <c r="G398" s="66"/>
      <c r="H398" s="66"/>
      <c r="I398" s="67"/>
      <c r="J398" s="67"/>
      <c r="K398" s="67"/>
      <c r="L398" s="29"/>
      <c r="M398" s="211"/>
      <c r="N398" s="29"/>
      <c r="O398" s="29"/>
      <c r="P398" s="29"/>
      <c r="Q398" s="29"/>
    </row>
    <row r="399" spans="1:17" ht="15.75" customHeight="1" x14ac:dyDescent="0.25">
      <c r="A399" s="29"/>
      <c r="B399" s="64"/>
      <c r="C399" s="29"/>
      <c r="D399" s="65"/>
      <c r="E399" s="65"/>
      <c r="F399" s="66"/>
      <c r="G399" s="66"/>
      <c r="H399" s="66"/>
      <c r="I399" s="67"/>
      <c r="J399" s="67"/>
      <c r="K399" s="67"/>
      <c r="L399" s="29"/>
      <c r="M399" s="211"/>
      <c r="N399" s="29"/>
      <c r="O399" s="29"/>
      <c r="P399" s="29"/>
      <c r="Q399" s="29"/>
    </row>
    <row r="400" spans="1:17" ht="15.75" customHeight="1" x14ac:dyDescent="0.25">
      <c r="A400" s="29"/>
      <c r="B400" s="64"/>
      <c r="C400" s="29"/>
      <c r="D400" s="65"/>
      <c r="E400" s="65"/>
      <c r="F400" s="66"/>
      <c r="G400" s="66"/>
      <c r="H400" s="66"/>
      <c r="I400" s="67"/>
      <c r="J400" s="67"/>
      <c r="K400" s="67"/>
      <c r="L400" s="29"/>
      <c r="M400" s="211"/>
      <c r="N400" s="29"/>
      <c r="O400" s="29"/>
      <c r="P400" s="29"/>
      <c r="Q400" s="29"/>
    </row>
    <row r="401" spans="1:17" ht="15.75" customHeight="1" x14ac:dyDescent="0.25">
      <c r="A401" s="29"/>
      <c r="B401" s="64"/>
      <c r="C401" s="29"/>
      <c r="D401" s="65"/>
      <c r="E401" s="65"/>
      <c r="F401" s="66"/>
      <c r="G401" s="66"/>
      <c r="H401" s="66"/>
      <c r="I401" s="67"/>
      <c r="J401" s="67"/>
      <c r="K401" s="67"/>
      <c r="L401" s="29"/>
      <c r="M401" s="211"/>
      <c r="N401" s="29"/>
      <c r="O401" s="29"/>
      <c r="P401" s="29"/>
      <c r="Q401" s="29"/>
    </row>
    <row r="402" spans="1:17" ht="15.75" customHeight="1" x14ac:dyDescent="0.25">
      <c r="A402" s="29"/>
      <c r="B402" s="64"/>
      <c r="C402" s="29"/>
      <c r="D402" s="65"/>
      <c r="E402" s="65"/>
      <c r="F402" s="66"/>
      <c r="G402" s="66"/>
      <c r="H402" s="66"/>
      <c r="I402" s="67"/>
      <c r="J402" s="67"/>
      <c r="K402" s="67"/>
      <c r="L402" s="29"/>
      <c r="M402" s="211"/>
      <c r="N402" s="29"/>
      <c r="O402" s="29"/>
      <c r="P402" s="29"/>
      <c r="Q402" s="29"/>
    </row>
    <row r="403" spans="1:17" ht="15.75" customHeight="1" x14ac:dyDescent="0.25">
      <c r="A403" s="29"/>
      <c r="B403" s="64"/>
      <c r="C403" s="29"/>
      <c r="D403" s="65"/>
      <c r="E403" s="65"/>
      <c r="F403" s="66"/>
      <c r="G403" s="66"/>
      <c r="H403" s="66"/>
      <c r="I403" s="67"/>
      <c r="J403" s="67"/>
      <c r="K403" s="67"/>
      <c r="L403" s="29"/>
      <c r="M403" s="211"/>
      <c r="N403" s="29"/>
      <c r="O403" s="29"/>
      <c r="P403" s="29"/>
      <c r="Q403" s="29"/>
    </row>
    <row r="404" spans="1:17" ht="15.75" customHeight="1" x14ac:dyDescent="0.25">
      <c r="A404" s="29"/>
      <c r="B404" s="64"/>
      <c r="C404" s="29"/>
      <c r="D404" s="65"/>
      <c r="E404" s="65"/>
      <c r="F404" s="66"/>
      <c r="G404" s="66"/>
      <c r="H404" s="66"/>
      <c r="I404" s="67"/>
      <c r="J404" s="67"/>
      <c r="K404" s="67"/>
      <c r="L404" s="29"/>
      <c r="M404" s="211"/>
      <c r="N404" s="29"/>
      <c r="O404" s="29"/>
      <c r="P404" s="29"/>
      <c r="Q404" s="29"/>
    </row>
    <row r="405" spans="1:17" ht="15.75" customHeight="1" x14ac:dyDescent="0.25">
      <c r="A405" s="29"/>
      <c r="B405" s="64"/>
      <c r="C405" s="29"/>
      <c r="D405" s="65"/>
      <c r="E405" s="65"/>
      <c r="F405" s="66"/>
      <c r="G405" s="66"/>
      <c r="H405" s="66"/>
      <c r="I405" s="67"/>
      <c r="J405" s="67"/>
      <c r="K405" s="67"/>
      <c r="L405" s="29"/>
      <c r="M405" s="211"/>
      <c r="N405" s="29"/>
      <c r="O405" s="29"/>
      <c r="P405" s="29"/>
      <c r="Q405" s="29"/>
    </row>
    <row r="406" spans="1:17" ht="15.75" customHeight="1" x14ac:dyDescent="0.25">
      <c r="A406" s="29"/>
      <c r="B406" s="64"/>
      <c r="C406" s="29"/>
      <c r="D406" s="65"/>
      <c r="E406" s="65"/>
      <c r="F406" s="66"/>
      <c r="G406" s="66"/>
      <c r="H406" s="66"/>
      <c r="I406" s="67"/>
      <c r="J406" s="67"/>
      <c r="K406" s="67"/>
      <c r="L406" s="29"/>
      <c r="M406" s="211"/>
      <c r="N406" s="29"/>
      <c r="O406" s="29"/>
      <c r="P406" s="29"/>
      <c r="Q406" s="29"/>
    </row>
    <row r="407" spans="1:17" ht="15.75" customHeight="1" x14ac:dyDescent="0.25">
      <c r="A407" s="29"/>
      <c r="B407" s="64"/>
      <c r="C407" s="29"/>
      <c r="D407" s="65"/>
      <c r="E407" s="65"/>
      <c r="F407" s="66"/>
      <c r="G407" s="66"/>
      <c r="H407" s="66"/>
      <c r="I407" s="67"/>
      <c r="J407" s="67"/>
      <c r="K407" s="67"/>
      <c r="L407" s="29"/>
      <c r="M407" s="211"/>
      <c r="N407" s="29"/>
      <c r="O407" s="29"/>
      <c r="P407" s="29"/>
      <c r="Q407" s="29"/>
    </row>
    <row r="408" spans="1:17" ht="15.75" customHeight="1" x14ac:dyDescent="0.25">
      <c r="A408" s="29"/>
      <c r="B408" s="64"/>
      <c r="C408" s="29"/>
      <c r="D408" s="65"/>
      <c r="E408" s="65"/>
      <c r="F408" s="66"/>
      <c r="G408" s="66"/>
      <c r="H408" s="66"/>
      <c r="I408" s="67"/>
      <c r="J408" s="67"/>
      <c r="K408" s="67"/>
      <c r="L408" s="29"/>
      <c r="M408" s="211"/>
      <c r="N408" s="29"/>
      <c r="O408" s="29"/>
      <c r="P408" s="29"/>
      <c r="Q408" s="29"/>
    </row>
    <row r="409" spans="1:17" ht="15.75" customHeight="1" x14ac:dyDescent="0.25">
      <c r="A409" s="29"/>
      <c r="B409" s="64"/>
      <c r="C409" s="29"/>
      <c r="D409" s="65"/>
      <c r="E409" s="65"/>
      <c r="F409" s="66"/>
      <c r="G409" s="66"/>
      <c r="H409" s="66"/>
      <c r="I409" s="67"/>
      <c r="J409" s="67"/>
      <c r="K409" s="67"/>
      <c r="L409" s="29"/>
      <c r="M409" s="211"/>
      <c r="N409" s="29"/>
      <c r="O409" s="29"/>
      <c r="P409" s="29"/>
      <c r="Q409" s="29"/>
    </row>
    <row r="410" spans="1:17" ht="15.75" customHeight="1" x14ac:dyDescent="0.25">
      <c r="A410" s="29"/>
      <c r="B410" s="64"/>
      <c r="C410" s="29"/>
      <c r="D410" s="65"/>
      <c r="E410" s="65"/>
      <c r="F410" s="66"/>
      <c r="G410" s="66"/>
      <c r="H410" s="66"/>
      <c r="I410" s="67"/>
      <c r="J410" s="67"/>
      <c r="K410" s="67"/>
      <c r="L410" s="29"/>
      <c r="M410" s="211"/>
      <c r="N410" s="29"/>
      <c r="O410" s="29"/>
      <c r="P410" s="29"/>
      <c r="Q410" s="29"/>
    </row>
    <row r="411" spans="1:17" ht="15.75" customHeight="1" x14ac:dyDescent="0.25">
      <c r="A411" s="29"/>
      <c r="B411" s="64"/>
      <c r="C411" s="29"/>
      <c r="D411" s="65"/>
      <c r="E411" s="65"/>
      <c r="F411" s="66"/>
      <c r="G411" s="66"/>
      <c r="H411" s="66"/>
      <c r="I411" s="67"/>
      <c r="J411" s="67"/>
      <c r="K411" s="67"/>
      <c r="L411" s="29"/>
      <c r="M411" s="211"/>
      <c r="N411" s="29"/>
      <c r="O411" s="29"/>
      <c r="P411" s="29"/>
      <c r="Q411" s="29"/>
    </row>
    <row r="412" spans="1:17" ht="15.75" customHeight="1" x14ac:dyDescent="0.25">
      <c r="A412" s="29"/>
      <c r="B412" s="64"/>
      <c r="C412" s="29"/>
      <c r="D412" s="65"/>
      <c r="E412" s="65"/>
      <c r="F412" s="66"/>
      <c r="G412" s="66"/>
      <c r="H412" s="66"/>
      <c r="I412" s="67"/>
      <c r="J412" s="67"/>
      <c r="K412" s="67"/>
      <c r="L412" s="29"/>
      <c r="M412" s="211"/>
      <c r="N412" s="29"/>
      <c r="O412" s="29"/>
      <c r="P412" s="29"/>
      <c r="Q412" s="29"/>
    </row>
    <row r="413" spans="1:17" ht="15.75" customHeight="1" x14ac:dyDescent="0.25">
      <c r="A413" s="29"/>
      <c r="B413" s="64"/>
      <c r="C413" s="29"/>
      <c r="D413" s="65"/>
      <c r="E413" s="65"/>
      <c r="F413" s="66"/>
      <c r="G413" s="66"/>
      <c r="H413" s="66"/>
      <c r="I413" s="67"/>
      <c r="J413" s="67"/>
      <c r="K413" s="67"/>
      <c r="L413" s="29"/>
      <c r="M413" s="211"/>
      <c r="N413" s="29"/>
      <c r="O413" s="29"/>
      <c r="P413" s="29"/>
      <c r="Q413" s="29"/>
    </row>
    <row r="414" spans="1:17" ht="15.75" customHeight="1" x14ac:dyDescent="0.25">
      <c r="A414" s="29"/>
      <c r="B414" s="64"/>
      <c r="C414" s="29"/>
      <c r="D414" s="65"/>
      <c r="E414" s="65"/>
      <c r="F414" s="66"/>
      <c r="G414" s="66"/>
      <c r="H414" s="66"/>
      <c r="I414" s="67"/>
      <c r="J414" s="67"/>
      <c r="K414" s="67"/>
      <c r="L414" s="29"/>
      <c r="M414" s="211"/>
      <c r="N414" s="29"/>
      <c r="O414" s="29"/>
      <c r="P414" s="29"/>
      <c r="Q414" s="29"/>
    </row>
    <row r="415" spans="1:17" ht="15.75" customHeight="1" x14ac:dyDescent="0.25">
      <c r="A415" s="29"/>
      <c r="B415" s="64"/>
      <c r="C415" s="29"/>
      <c r="D415" s="65"/>
      <c r="E415" s="65"/>
      <c r="F415" s="66"/>
      <c r="G415" s="66"/>
      <c r="H415" s="66"/>
      <c r="I415" s="67"/>
      <c r="J415" s="67"/>
      <c r="K415" s="67"/>
      <c r="L415" s="29"/>
      <c r="M415" s="211"/>
      <c r="N415" s="29"/>
      <c r="O415" s="29"/>
      <c r="P415" s="29"/>
      <c r="Q415" s="29"/>
    </row>
    <row r="416" spans="1:17" ht="15.75" customHeight="1" x14ac:dyDescent="0.25">
      <c r="A416" s="29"/>
      <c r="B416" s="64"/>
      <c r="C416" s="29"/>
      <c r="D416" s="65"/>
      <c r="E416" s="65"/>
      <c r="F416" s="66"/>
      <c r="G416" s="66"/>
      <c r="H416" s="66"/>
      <c r="I416" s="67"/>
      <c r="J416" s="67"/>
      <c r="K416" s="67"/>
      <c r="L416" s="29"/>
      <c r="M416" s="211"/>
      <c r="N416" s="29"/>
      <c r="O416" s="29"/>
      <c r="P416" s="29"/>
      <c r="Q416" s="29"/>
    </row>
    <row r="417" spans="1:17" ht="15.75" customHeight="1" x14ac:dyDescent="0.25">
      <c r="A417" s="29"/>
      <c r="B417" s="64"/>
      <c r="C417" s="29"/>
      <c r="D417" s="65"/>
      <c r="E417" s="65"/>
      <c r="F417" s="66"/>
      <c r="G417" s="66"/>
      <c r="H417" s="66"/>
      <c r="I417" s="67"/>
      <c r="J417" s="67"/>
      <c r="K417" s="67"/>
      <c r="L417" s="29"/>
      <c r="M417" s="211"/>
      <c r="N417" s="29"/>
      <c r="O417" s="29"/>
      <c r="P417" s="29"/>
      <c r="Q417" s="29"/>
    </row>
    <row r="418" spans="1:17" ht="15.75" customHeight="1" x14ac:dyDescent="0.25">
      <c r="A418" s="29"/>
      <c r="B418" s="64"/>
      <c r="C418" s="29"/>
      <c r="D418" s="65"/>
      <c r="E418" s="65"/>
      <c r="F418" s="66"/>
      <c r="G418" s="66"/>
      <c r="H418" s="66"/>
      <c r="I418" s="67"/>
      <c r="J418" s="67"/>
      <c r="K418" s="67"/>
      <c r="L418" s="29"/>
      <c r="M418" s="211"/>
      <c r="N418" s="29"/>
      <c r="O418" s="29"/>
      <c r="P418" s="29"/>
      <c r="Q418" s="29"/>
    </row>
    <row r="419" spans="1:17" ht="15.75" customHeight="1" x14ac:dyDescent="0.25">
      <c r="A419" s="29"/>
      <c r="B419" s="64"/>
      <c r="C419" s="29"/>
      <c r="D419" s="65"/>
      <c r="E419" s="65"/>
      <c r="F419" s="66"/>
      <c r="G419" s="66"/>
      <c r="H419" s="66"/>
      <c r="I419" s="67"/>
      <c r="J419" s="67"/>
      <c r="K419" s="67"/>
      <c r="L419" s="29"/>
      <c r="M419" s="211"/>
      <c r="N419" s="29"/>
      <c r="O419" s="29"/>
      <c r="P419" s="29"/>
      <c r="Q419" s="29"/>
    </row>
    <row r="420" spans="1:17" ht="15.75" customHeight="1" x14ac:dyDescent="0.25">
      <c r="A420" s="29"/>
      <c r="B420" s="64"/>
      <c r="C420" s="29"/>
      <c r="D420" s="65"/>
      <c r="E420" s="65"/>
      <c r="F420" s="66"/>
      <c r="G420" s="66"/>
      <c r="H420" s="66"/>
      <c r="I420" s="67"/>
      <c r="J420" s="67"/>
      <c r="K420" s="67"/>
      <c r="L420" s="29"/>
      <c r="M420" s="211"/>
      <c r="N420" s="29"/>
      <c r="O420" s="29"/>
      <c r="P420" s="29"/>
      <c r="Q420" s="29"/>
    </row>
    <row r="421" spans="1:17" ht="15.75" customHeight="1" x14ac:dyDescent="0.25">
      <c r="A421" s="29"/>
      <c r="B421" s="64"/>
      <c r="C421" s="29"/>
      <c r="D421" s="65"/>
      <c r="E421" s="65"/>
      <c r="F421" s="66"/>
      <c r="G421" s="66"/>
      <c r="H421" s="66"/>
      <c r="I421" s="67"/>
      <c r="J421" s="67"/>
      <c r="K421" s="67"/>
      <c r="L421" s="29"/>
      <c r="M421" s="211"/>
      <c r="N421" s="29"/>
      <c r="O421" s="29"/>
      <c r="P421" s="29"/>
      <c r="Q421" s="29"/>
    </row>
    <row r="422" spans="1:17" ht="15.75" customHeight="1" x14ac:dyDescent="0.25">
      <c r="A422" s="29"/>
      <c r="B422" s="64"/>
      <c r="C422" s="29"/>
      <c r="D422" s="65"/>
      <c r="E422" s="65"/>
      <c r="F422" s="66"/>
      <c r="G422" s="66"/>
      <c r="H422" s="66"/>
      <c r="I422" s="67"/>
      <c r="J422" s="67"/>
      <c r="K422" s="67"/>
      <c r="L422" s="29"/>
      <c r="M422" s="211"/>
      <c r="N422" s="29"/>
      <c r="O422" s="29"/>
      <c r="P422" s="29"/>
      <c r="Q422" s="29"/>
    </row>
    <row r="423" spans="1:17" ht="15.75" customHeight="1" x14ac:dyDescent="0.25">
      <c r="A423" s="29"/>
      <c r="B423" s="64"/>
      <c r="C423" s="29"/>
      <c r="D423" s="65"/>
      <c r="E423" s="65"/>
      <c r="F423" s="66"/>
      <c r="G423" s="66"/>
      <c r="H423" s="66"/>
      <c r="I423" s="67"/>
      <c r="J423" s="67"/>
      <c r="K423" s="67"/>
      <c r="L423" s="29"/>
      <c r="M423" s="211"/>
      <c r="N423" s="29"/>
      <c r="O423" s="29"/>
      <c r="P423" s="29"/>
      <c r="Q423" s="29"/>
    </row>
    <row r="424" spans="1:17" ht="15.75" customHeight="1" x14ac:dyDescent="0.25">
      <c r="A424" s="29"/>
      <c r="B424" s="64"/>
      <c r="C424" s="29"/>
      <c r="D424" s="65"/>
      <c r="E424" s="65"/>
      <c r="F424" s="66"/>
      <c r="G424" s="66"/>
      <c r="H424" s="66"/>
      <c r="I424" s="67"/>
      <c r="J424" s="67"/>
      <c r="K424" s="67"/>
      <c r="L424" s="29"/>
      <c r="M424" s="211"/>
      <c r="N424" s="29"/>
      <c r="O424" s="29"/>
      <c r="P424" s="29"/>
      <c r="Q424" s="29"/>
    </row>
    <row r="425" spans="1:17" ht="15.75" customHeight="1" x14ac:dyDescent="0.25">
      <c r="A425" s="29"/>
      <c r="B425" s="64"/>
      <c r="C425" s="29"/>
      <c r="D425" s="65"/>
      <c r="E425" s="65"/>
      <c r="F425" s="66"/>
      <c r="G425" s="66"/>
      <c r="H425" s="66"/>
      <c r="I425" s="67"/>
      <c r="J425" s="67"/>
      <c r="K425" s="67"/>
      <c r="L425" s="29"/>
      <c r="M425" s="211"/>
      <c r="N425" s="29"/>
      <c r="O425" s="29"/>
      <c r="P425" s="29"/>
      <c r="Q425" s="29"/>
    </row>
    <row r="426" spans="1:17" ht="15.75" customHeight="1" x14ac:dyDescent="0.25">
      <c r="A426" s="29"/>
      <c r="B426" s="64"/>
      <c r="C426" s="29"/>
      <c r="D426" s="65"/>
      <c r="E426" s="65"/>
      <c r="F426" s="66"/>
      <c r="G426" s="66"/>
      <c r="H426" s="66"/>
      <c r="I426" s="67"/>
      <c r="J426" s="67"/>
      <c r="K426" s="67"/>
      <c r="L426" s="29"/>
      <c r="M426" s="211"/>
      <c r="N426" s="29"/>
      <c r="O426" s="29"/>
      <c r="P426" s="29"/>
      <c r="Q426" s="29"/>
    </row>
    <row r="427" spans="1:17" ht="15.75" customHeight="1" x14ac:dyDescent="0.25">
      <c r="A427" s="29"/>
      <c r="B427" s="64"/>
      <c r="C427" s="29"/>
      <c r="D427" s="65"/>
      <c r="E427" s="65"/>
      <c r="F427" s="66"/>
      <c r="G427" s="66"/>
      <c r="H427" s="66"/>
      <c r="I427" s="67"/>
      <c r="J427" s="67"/>
      <c r="K427" s="67"/>
      <c r="L427" s="29"/>
      <c r="M427" s="211"/>
      <c r="N427" s="29"/>
      <c r="O427" s="29"/>
      <c r="P427" s="29"/>
      <c r="Q427" s="29"/>
    </row>
    <row r="428" spans="1:17" ht="15.75" customHeight="1" x14ac:dyDescent="0.25">
      <c r="A428" s="29"/>
      <c r="B428" s="64"/>
      <c r="C428" s="29"/>
      <c r="D428" s="65"/>
      <c r="E428" s="65"/>
      <c r="F428" s="66"/>
      <c r="G428" s="66"/>
      <c r="H428" s="66"/>
      <c r="I428" s="67"/>
      <c r="J428" s="67"/>
      <c r="K428" s="67"/>
      <c r="L428" s="29"/>
      <c r="M428" s="211"/>
      <c r="N428" s="29"/>
      <c r="O428" s="29"/>
      <c r="P428" s="29"/>
      <c r="Q428" s="29"/>
    </row>
    <row r="429" spans="1:17" ht="15.75" customHeight="1" x14ac:dyDescent="0.25">
      <c r="A429" s="29"/>
      <c r="B429" s="64"/>
      <c r="C429" s="29"/>
      <c r="D429" s="65"/>
      <c r="E429" s="65"/>
      <c r="F429" s="66"/>
      <c r="G429" s="66"/>
      <c r="H429" s="66"/>
      <c r="I429" s="67"/>
      <c r="J429" s="67"/>
      <c r="K429" s="67"/>
      <c r="L429" s="29"/>
      <c r="M429" s="211"/>
      <c r="N429" s="29"/>
      <c r="O429" s="29"/>
      <c r="P429" s="29"/>
      <c r="Q429" s="29"/>
    </row>
    <row r="430" spans="1:17" ht="15.75" customHeight="1" x14ac:dyDescent="0.25">
      <c r="A430" s="29"/>
      <c r="B430" s="64"/>
      <c r="C430" s="29"/>
      <c r="D430" s="65"/>
      <c r="E430" s="65"/>
      <c r="F430" s="66"/>
      <c r="G430" s="66"/>
      <c r="H430" s="66"/>
      <c r="I430" s="67"/>
      <c r="J430" s="67"/>
      <c r="K430" s="67"/>
      <c r="L430" s="29"/>
      <c r="M430" s="211"/>
      <c r="N430" s="29"/>
      <c r="O430" s="29"/>
      <c r="P430" s="29"/>
      <c r="Q430" s="29"/>
    </row>
    <row r="431" spans="1:17" ht="15.75" customHeight="1" x14ac:dyDescent="0.25">
      <c r="A431" s="29"/>
      <c r="B431" s="64"/>
      <c r="C431" s="29"/>
      <c r="D431" s="65"/>
      <c r="E431" s="65"/>
      <c r="F431" s="66"/>
      <c r="G431" s="66"/>
      <c r="H431" s="66"/>
      <c r="I431" s="67"/>
      <c r="J431" s="67"/>
      <c r="K431" s="67"/>
      <c r="L431" s="29"/>
      <c r="M431" s="211"/>
      <c r="N431" s="29"/>
      <c r="O431" s="29"/>
      <c r="P431" s="29"/>
      <c r="Q431" s="29"/>
    </row>
    <row r="432" spans="1:17" ht="15.75" customHeight="1" x14ac:dyDescent="0.25">
      <c r="A432" s="29"/>
      <c r="B432" s="64"/>
      <c r="C432" s="29"/>
      <c r="D432" s="65"/>
      <c r="E432" s="65"/>
      <c r="F432" s="66"/>
      <c r="G432" s="66"/>
      <c r="H432" s="66"/>
      <c r="I432" s="67"/>
      <c r="J432" s="67"/>
      <c r="K432" s="67"/>
      <c r="L432" s="29"/>
      <c r="M432" s="211"/>
      <c r="N432" s="29"/>
      <c r="O432" s="29"/>
      <c r="P432" s="29"/>
      <c r="Q432" s="29"/>
    </row>
    <row r="433" spans="1:17" ht="15.75" customHeight="1" x14ac:dyDescent="0.25">
      <c r="A433" s="29"/>
      <c r="B433" s="64"/>
      <c r="C433" s="29"/>
      <c r="D433" s="65"/>
      <c r="E433" s="65"/>
      <c r="F433" s="66"/>
      <c r="G433" s="66"/>
      <c r="H433" s="66"/>
      <c r="I433" s="67"/>
      <c r="J433" s="67"/>
      <c r="K433" s="67"/>
      <c r="L433" s="29"/>
      <c r="M433" s="211"/>
      <c r="N433" s="29"/>
      <c r="O433" s="29"/>
      <c r="P433" s="29"/>
      <c r="Q433" s="29"/>
    </row>
    <row r="434" spans="1:17" ht="15.75" customHeight="1" x14ac:dyDescent="0.25">
      <c r="A434" s="29"/>
      <c r="B434" s="64"/>
      <c r="C434" s="29"/>
      <c r="D434" s="65"/>
      <c r="E434" s="65"/>
      <c r="F434" s="66"/>
      <c r="G434" s="66"/>
      <c r="H434" s="66"/>
      <c r="I434" s="67"/>
      <c r="J434" s="67"/>
      <c r="K434" s="67"/>
      <c r="L434" s="29"/>
      <c r="M434" s="211"/>
      <c r="N434" s="29"/>
      <c r="O434" s="29"/>
      <c r="P434" s="29"/>
      <c r="Q434" s="29"/>
    </row>
    <row r="435" spans="1:17" ht="15.75" customHeight="1" x14ac:dyDescent="0.25">
      <c r="A435" s="29"/>
      <c r="B435" s="64"/>
      <c r="C435" s="29"/>
      <c r="D435" s="65"/>
      <c r="E435" s="65"/>
      <c r="F435" s="66"/>
      <c r="G435" s="66"/>
      <c r="H435" s="66"/>
      <c r="I435" s="67"/>
      <c r="J435" s="67"/>
      <c r="K435" s="67"/>
      <c r="L435" s="29"/>
      <c r="M435" s="211"/>
      <c r="N435" s="29"/>
      <c r="O435" s="29"/>
      <c r="P435" s="29"/>
      <c r="Q435" s="29"/>
    </row>
    <row r="436" spans="1:17" ht="15.75" customHeight="1" x14ac:dyDescent="0.25">
      <c r="A436" s="29"/>
      <c r="B436" s="64"/>
      <c r="C436" s="29"/>
      <c r="D436" s="65"/>
      <c r="E436" s="65"/>
      <c r="F436" s="66"/>
      <c r="G436" s="66"/>
      <c r="H436" s="66"/>
      <c r="I436" s="67"/>
      <c r="J436" s="67"/>
      <c r="K436" s="67"/>
      <c r="L436" s="29"/>
      <c r="M436" s="211"/>
      <c r="N436" s="29"/>
      <c r="O436" s="29"/>
      <c r="P436" s="29"/>
      <c r="Q436" s="29"/>
    </row>
    <row r="437" spans="1:17" ht="15.75" customHeight="1" x14ac:dyDescent="0.25">
      <c r="A437" s="29"/>
      <c r="B437" s="64"/>
      <c r="C437" s="29"/>
      <c r="D437" s="65"/>
      <c r="E437" s="65"/>
      <c r="F437" s="66"/>
      <c r="G437" s="66"/>
      <c r="H437" s="66"/>
      <c r="I437" s="67"/>
      <c r="J437" s="67"/>
      <c r="K437" s="67"/>
      <c r="L437" s="29"/>
      <c r="M437" s="211"/>
      <c r="N437" s="29"/>
      <c r="O437" s="29"/>
      <c r="P437" s="29"/>
      <c r="Q437" s="29"/>
    </row>
    <row r="438" spans="1:17" ht="15.75" customHeight="1" x14ac:dyDescent="0.25">
      <c r="A438" s="29"/>
      <c r="B438" s="64"/>
      <c r="C438" s="29"/>
      <c r="D438" s="65"/>
      <c r="E438" s="65"/>
      <c r="F438" s="66"/>
      <c r="G438" s="66"/>
      <c r="H438" s="66"/>
      <c r="I438" s="67"/>
      <c r="J438" s="67"/>
      <c r="K438" s="67"/>
      <c r="L438" s="29"/>
      <c r="M438" s="211"/>
      <c r="N438" s="29"/>
      <c r="O438" s="29"/>
      <c r="P438" s="29"/>
      <c r="Q438" s="29"/>
    </row>
    <row r="439" spans="1:17" ht="15.75" customHeight="1" x14ac:dyDescent="0.25">
      <c r="A439" s="29"/>
      <c r="B439" s="64"/>
      <c r="C439" s="29"/>
      <c r="D439" s="65"/>
      <c r="E439" s="65"/>
      <c r="F439" s="66"/>
      <c r="G439" s="66"/>
      <c r="H439" s="66"/>
      <c r="I439" s="67"/>
      <c r="J439" s="67"/>
      <c r="K439" s="67"/>
      <c r="L439" s="29"/>
      <c r="M439" s="211"/>
      <c r="N439" s="29"/>
      <c r="O439" s="29"/>
      <c r="P439" s="29"/>
      <c r="Q439" s="29"/>
    </row>
    <row r="440" spans="1:17" ht="15.75" customHeight="1" x14ac:dyDescent="0.25">
      <c r="A440" s="29"/>
      <c r="B440" s="64"/>
      <c r="C440" s="29"/>
      <c r="D440" s="65"/>
      <c r="E440" s="65"/>
      <c r="F440" s="66"/>
      <c r="G440" s="66"/>
      <c r="H440" s="66"/>
      <c r="I440" s="67"/>
      <c r="J440" s="67"/>
      <c r="K440" s="67"/>
      <c r="L440" s="29"/>
      <c r="M440" s="211"/>
      <c r="N440" s="29"/>
      <c r="O440" s="29"/>
      <c r="P440" s="29"/>
      <c r="Q440" s="29"/>
    </row>
    <row r="441" spans="1:17" ht="15.75" customHeight="1" x14ac:dyDescent="0.25">
      <c r="A441" s="29"/>
      <c r="B441" s="64"/>
      <c r="C441" s="29"/>
      <c r="D441" s="65"/>
      <c r="E441" s="65"/>
      <c r="F441" s="66"/>
      <c r="G441" s="66"/>
      <c r="H441" s="66"/>
      <c r="I441" s="67"/>
      <c r="J441" s="67"/>
      <c r="K441" s="67"/>
      <c r="L441" s="29"/>
      <c r="M441" s="211"/>
      <c r="N441" s="29"/>
      <c r="O441" s="29"/>
      <c r="P441" s="29"/>
      <c r="Q441" s="29"/>
    </row>
    <row r="442" spans="1:17" ht="15.75" customHeight="1" x14ac:dyDescent="0.25">
      <c r="A442" s="29"/>
      <c r="B442" s="64"/>
      <c r="C442" s="29"/>
      <c r="D442" s="65"/>
      <c r="E442" s="65"/>
      <c r="F442" s="66"/>
      <c r="G442" s="66"/>
      <c r="H442" s="66"/>
      <c r="I442" s="67"/>
      <c r="J442" s="67"/>
      <c r="K442" s="67"/>
      <c r="L442" s="29"/>
      <c r="M442" s="211"/>
      <c r="N442" s="29"/>
      <c r="O442" s="29"/>
      <c r="P442" s="29"/>
      <c r="Q442" s="29"/>
    </row>
    <row r="443" spans="1:17" ht="15.75" customHeight="1" x14ac:dyDescent="0.25">
      <c r="A443" s="29"/>
      <c r="B443" s="64"/>
      <c r="C443" s="29"/>
      <c r="D443" s="65"/>
      <c r="E443" s="65"/>
      <c r="F443" s="66"/>
      <c r="G443" s="66"/>
      <c r="H443" s="66"/>
      <c r="I443" s="67"/>
      <c r="J443" s="67"/>
      <c r="K443" s="67"/>
      <c r="L443" s="29"/>
      <c r="M443" s="211"/>
      <c r="N443" s="29"/>
      <c r="O443" s="29"/>
      <c r="P443" s="29"/>
      <c r="Q443" s="29"/>
    </row>
    <row r="444" spans="1:17" ht="15.75" customHeight="1" x14ac:dyDescent="0.25">
      <c r="A444" s="29"/>
      <c r="B444" s="64"/>
      <c r="C444" s="29"/>
      <c r="D444" s="65"/>
      <c r="E444" s="65"/>
      <c r="F444" s="66"/>
      <c r="G444" s="66"/>
      <c r="H444" s="66"/>
      <c r="I444" s="67"/>
      <c r="J444" s="67"/>
      <c r="K444" s="67"/>
      <c r="L444" s="29"/>
      <c r="M444" s="211"/>
      <c r="N444" s="29"/>
      <c r="O444" s="29"/>
      <c r="P444" s="29"/>
      <c r="Q444" s="29"/>
    </row>
    <row r="445" spans="1:17" ht="15.75" customHeight="1" x14ac:dyDescent="0.25">
      <c r="A445" s="29"/>
      <c r="B445" s="64"/>
      <c r="C445" s="29"/>
      <c r="D445" s="65"/>
      <c r="E445" s="65"/>
      <c r="F445" s="66"/>
      <c r="G445" s="66"/>
      <c r="H445" s="66"/>
      <c r="I445" s="67"/>
      <c r="J445" s="67"/>
      <c r="K445" s="67"/>
      <c r="L445" s="29"/>
      <c r="M445" s="211"/>
      <c r="N445" s="29"/>
      <c r="O445" s="29"/>
      <c r="P445" s="29"/>
      <c r="Q445" s="29"/>
    </row>
    <row r="446" spans="1:17" ht="15.75" customHeight="1" x14ac:dyDescent="0.25">
      <c r="A446" s="29"/>
      <c r="B446" s="64"/>
      <c r="C446" s="29"/>
      <c r="D446" s="65"/>
      <c r="E446" s="65"/>
      <c r="F446" s="66"/>
      <c r="G446" s="66"/>
      <c r="H446" s="66"/>
      <c r="I446" s="67"/>
      <c r="J446" s="67"/>
      <c r="K446" s="67"/>
      <c r="L446" s="29"/>
      <c r="M446" s="211"/>
      <c r="N446" s="29"/>
      <c r="O446" s="29"/>
      <c r="P446" s="29"/>
      <c r="Q446" s="29"/>
    </row>
    <row r="447" spans="1:17" ht="15.75" customHeight="1" x14ac:dyDescent="0.25">
      <c r="A447" s="29"/>
      <c r="B447" s="64"/>
      <c r="C447" s="29"/>
      <c r="D447" s="65"/>
      <c r="E447" s="65"/>
      <c r="F447" s="66"/>
      <c r="G447" s="66"/>
      <c r="H447" s="66"/>
      <c r="I447" s="67"/>
      <c r="J447" s="67"/>
      <c r="K447" s="67"/>
      <c r="L447" s="29"/>
      <c r="M447" s="211"/>
      <c r="N447" s="29"/>
      <c r="O447" s="29"/>
      <c r="P447" s="29"/>
      <c r="Q447" s="29"/>
    </row>
    <row r="448" spans="1:17" ht="15.75" customHeight="1" x14ac:dyDescent="0.25">
      <c r="A448" s="29"/>
      <c r="B448" s="64"/>
      <c r="C448" s="29"/>
      <c r="D448" s="65"/>
      <c r="E448" s="65"/>
      <c r="F448" s="66"/>
      <c r="G448" s="66"/>
      <c r="H448" s="66"/>
      <c r="I448" s="67"/>
      <c r="J448" s="67"/>
      <c r="K448" s="67"/>
      <c r="L448" s="29"/>
      <c r="M448" s="211"/>
      <c r="N448" s="29"/>
      <c r="O448" s="29"/>
      <c r="P448" s="29"/>
      <c r="Q448" s="29"/>
    </row>
    <row r="449" spans="1:17" ht="15.75" customHeight="1" x14ac:dyDescent="0.25">
      <c r="A449" s="29"/>
      <c r="B449" s="64"/>
      <c r="C449" s="29"/>
      <c r="D449" s="65"/>
      <c r="E449" s="65"/>
      <c r="F449" s="66"/>
      <c r="G449" s="66"/>
      <c r="H449" s="66"/>
      <c r="I449" s="67"/>
      <c r="J449" s="67"/>
      <c r="K449" s="67"/>
      <c r="L449" s="29"/>
      <c r="M449" s="211"/>
      <c r="N449" s="29"/>
      <c r="O449" s="29"/>
      <c r="P449" s="29"/>
      <c r="Q449" s="29"/>
    </row>
    <row r="450" spans="1:17" ht="15.75" customHeight="1" x14ac:dyDescent="0.25">
      <c r="A450" s="29"/>
      <c r="B450" s="64"/>
      <c r="C450" s="29"/>
      <c r="D450" s="65"/>
      <c r="E450" s="65"/>
      <c r="F450" s="66"/>
      <c r="G450" s="66"/>
      <c r="H450" s="66"/>
      <c r="I450" s="67"/>
      <c r="J450" s="67"/>
      <c r="K450" s="67"/>
      <c r="L450" s="29"/>
      <c r="M450" s="211"/>
      <c r="N450" s="29"/>
      <c r="O450" s="29"/>
      <c r="P450" s="29"/>
      <c r="Q450" s="29"/>
    </row>
    <row r="451" spans="1:17" ht="15.75" customHeight="1" x14ac:dyDescent="0.25">
      <c r="A451" s="29"/>
      <c r="B451" s="64"/>
      <c r="C451" s="29"/>
      <c r="D451" s="65"/>
      <c r="E451" s="65"/>
      <c r="F451" s="66"/>
      <c r="G451" s="66"/>
      <c r="H451" s="66"/>
      <c r="I451" s="67"/>
      <c r="J451" s="67"/>
      <c r="K451" s="67"/>
      <c r="L451" s="29"/>
      <c r="M451" s="211"/>
      <c r="N451" s="29"/>
      <c r="O451" s="29"/>
      <c r="P451" s="29"/>
      <c r="Q451" s="29"/>
    </row>
    <row r="452" spans="1:17" ht="15.75" customHeight="1" x14ac:dyDescent="0.25">
      <c r="A452" s="29"/>
      <c r="B452" s="64"/>
      <c r="C452" s="29"/>
      <c r="D452" s="65"/>
      <c r="E452" s="65"/>
      <c r="F452" s="66"/>
      <c r="G452" s="66"/>
      <c r="H452" s="66"/>
      <c r="I452" s="67"/>
      <c r="J452" s="67"/>
      <c r="K452" s="67"/>
      <c r="L452" s="29"/>
      <c r="M452" s="211"/>
      <c r="N452" s="29"/>
      <c r="O452" s="29"/>
      <c r="P452" s="29"/>
      <c r="Q452" s="29"/>
    </row>
    <row r="453" spans="1:17" ht="15.75" customHeight="1" x14ac:dyDescent="0.25">
      <c r="A453" s="29"/>
      <c r="B453" s="64"/>
      <c r="C453" s="29"/>
      <c r="D453" s="65"/>
      <c r="E453" s="65"/>
      <c r="F453" s="66"/>
      <c r="G453" s="66"/>
      <c r="H453" s="66"/>
      <c r="I453" s="67"/>
      <c r="J453" s="67"/>
      <c r="K453" s="67"/>
      <c r="L453" s="29"/>
      <c r="M453" s="211"/>
      <c r="N453" s="29"/>
      <c r="O453" s="29"/>
      <c r="P453" s="29"/>
      <c r="Q453" s="29"/>
    </row>
    <row r="454" spans="1:17" ht="15.75" customHeight="1" x14ac:dyDescent="0.25">
      <c r="A454" s="29"/>
      <c r="B454" s="64"/>
      <c r="C454" s="29"/>
      <c r="D454" s="65"/>
      <c r="E454" s="65"/>
      <c r="F454" s="66"/>
      <c r="G454" s="66"/>
      <c r="H454" s="66"/>
      <c r="I454" s="67"/>
      <c r="J454" s="67"/>
      <c r="K454" s="67"/>
      <c r="L454" s="29"/>
      <c r="M454" s="211"/>
      <c r="N454" s="29"/>
      <c r="O454" s="29"/>
      <c r="P454" s="29"/>
      <c r="Q454" s="29"/>
    </row>
    <row r="455" spans="1:17" ht="15.75" customHeight="1" x14ac:dyDescent="0.25">
      <c r="A455" s="29"/>
      <c r="B455" s="64"/>
      <c r="C455" s="29"/>
      <c r="D455" s="65"/>
      <c r="E455" s="65"/>
      <c r="F455" s="66"/>
      <c r="G455" s="66"/>
      <c r="H455" s="66"/>
      <c r="I455" s="67"/>
      <c r="J455" s="67"/>
      <c r="K455" s="67"/>
      <c r="L455" s="29"/>
      <c r="M455" s="211"/>
      <c r="N455" s="29"/>
      <c r="O455" s="29"/>
      <c r="P455" s="29"/>
      <c r="Q455" s="29"/>
    </row>
    <row r="456" spans="1:17" ht="15.75" customHeight="1" x14ac:dyDescent="0.25">
      <c r="A456" s="29"/>
      <c r="B456" s="64"/>
      <c r="C456" s="29"/>
      <c r="D456" s="65"/>
      <c r="E456" s="65"/>
      <c r="F456" s="66"/>
      <c r="G456" s="66"/>
      <c r="H456" s="66"/>
      <c r="I456" s="67"/>
      <c r="J456" s="67"/>
      <c r="K456" s="67"/>
      <c r="L456" s="29"/>
      <c r="M456" s="211"/>
      <c r="N456" s="29"/>
      <c r="O456" s="29"/>
      <c r="P456" s="29"/>
      <c r="Q456" s="29"/>
    </row>
    <row r="457" spans="1:17" ht="15.75" customHeight="1" x14ac:dyDescent="0.25">
      <c r="A457" s="29"/>
      <c r="B457" s="64"/>
      <c r="C457" s="29"/>
      <c r="D457" s="65"/>
      <c r="E457" s="65"/>
      <c r="F457" s="66"/>
      <c r="G457" s="66"/>
      <c r="H457" s="66"/>
      <c r="I457" s="67"/>
      <c r="J457" s="67"/>
      <c r="K457" s="67"/>
      <c r="L457" s="29"/>
      <c r="M457" s="211"/>
      <c r="N457" s="29"/>
      <c r="O457" s="29"/>
      <c r="P457" s="29"/>
      <c r="Q457" s="29"/>
    </row>
    <row r="458" spans="1:17" ht="15.75" customHeight="1" x14ac:dyDescent="0.25">
      <c r="A458" s="29"/>
      <c r="B458" s="64"/>
      <c r="C458" s="29"/>
      <c r="D458" s="65"/>
      <c r="E458" s="65"/>
      <c r="F458" s="66"/>
      <c r="G458" s="66"/>
      <c r="H458" s="66"/>
      <c r="I458" s="67"/>
      <c r="J458" s="67"/>
      <c r="K458" s="67"/>
      <c r="L458" s="29"/>
      <c r="M458" s="211"/>
      <c r="N458" s="29"/>
      <c r="O458" s="29"/>
      <c r="P458" s="29"/>
      <c r="Q458" s="29"/>
    </row>
    <row r="459" spans="1:17" ht="15.75" customHeight="1" x14ac:dyDescent="0.25">
      <c r="A459" s="29"/>
      <c r="B459" s="64"/>
      <c r="C459" s="29"/>
      <c r="D459" s="65"/>
      <c r="E459" s="65"/>
      <c r="F459" s="66"/>
      <c r="G459" s="66"/>
      <c r="H459" s="66"/>
      <c r="I459" s="67"/>
      <c r="J459" s="67"/>
      <c r="K459" s="67"/>
      <c r="L459" s="29"/>
      <c r="M459" s="211"/>
      <c r="N459" s="29"/>
      <c r="O459" s="29"/>
      <c r="P459" s="29"/>
      <c r="Q459" s="29"/>
    </row>
    <row r="460" spans="1:17" ht="15.75" customHeight="1" x14ac:dyDescent="0.25">
      <c r="A460" s="29"/>
      <c r="B460" s="64"/>
      <c r="C460" s="29"/>
      <c r="D460" s="65"/>
      <c r="E460" s="65"/>
      <c r="F460" s="66"/>
      <c r="G460" s="66"/>
      <c r="H460" s="66"/>
      <c r="I460" s="67"/>
      <c r="J460" s="67"/>
      <c r="K460" s="67"/>
      <c r="L460" s="29"/>
      <c r="M460" s="211"/>
      <c r="N460" s="29"/>
      <c r="O460" s="29"/>
      <c r="P460" s="29"/>
      <c r="Q460" s="29"/>
    </row>
    <row r="461" spans="1:17" ht="15.75" customHeight="1" x14ac:dyDescent="0.25">
      <c r="A461" s="29"/>
      <c r="B461" s="64"/>
      <c r="C461" s="29"/>
      <c r="D461" s="65"/>
      <c r="E461" s="65"/>
      <c r="F461" s="66"/>
      <c r="G461" s="66"/>
      <c r="H461" s="66"/>
      <c r="I461" s="67"/>
      <c r="J461" s="67"/>
      <c r="K461" s="67"/>
      <c r="L461" s="29"/>
      <c r="M461" s="211"/>
      <c r="N461" s="29"/>
      <c r="O461" s="29"/>
      <c r="P461" s="29"/>
      <c r="Q461" s="29"/>
    </row>
    <row r="462" spans="1:17" ht="15.75" customHeight="1" x14ac:dyDescent="0.25">
      <c r="A462" s="29"/>
      <c r="B462" s="64"/>
      <c r="C462" s="29"/>
      <c r="D462" s="65"/>
      <c r="E462" s="65"/>
      <c r="F462" s="66"/>
      <c r="G462" s="66"/>
      <c r="H462" s="66"/>
      <c r="I462" s="67"/>
      <c r="J462" s="67"/>
      <c r="K462" s="67"/>
      <c r="L462" s="29"/>
      <c r="M462" s="211"/>
      <c r="N462" s="29"/>
      <c r="O462" s="29"/>
      <c r="P462" s="29"/>
      <c r="Q462" s="29"/>
    </row>
    <row r="463" spans="1:17" ht="15.75" customHeight="1" x14ac:dyDescent="0.25">
      <c r="A463" s="29"/>
      <c r="B463" s="64"/>
      <c r="C463" s="29"/>
      <c r="D463" s="65"/>
      <c r="E463" s="65"/>
      <c r="F463" s="66"/>
      <c r="G463" s="66"/>
      <c r="H463" s="66"/>
      <c r="I463" s="67"/>
      <c r="J463" s="67"/>
      <c r="K463" s="67"/>
      <c r="L463" s="29"/>
      <c r="M463" s="211"/>
      <c r="N463" s="29"/>
      <c r="O463" s="29"/>
      <c r="P463" s="29"/>
      <c r="Q463" s="29"/>
    </row>
    <row r="464" spans="1:17" ht="15.75" customHeight="1" x14ac:dyDescent="0.25">
      <c r="A464" s="29"/>
      <c r="B464" s="64"/>
      <c r="C464" s="29"/>
      <c r="D464" s="65"/>
      <c r="E464" s="65"/>
      <c r="F464" s="66"/>
      <c r="G464" s="66"/>
      <c r="H464" s="66"/>
      <c r="I464" s="67"/>
      <c r="J464" s="67"/>
      <c r="K464" s="67"/>
      <c r="L464" s="29"/>
      <c r="M464" s="211"/>
      <c r="N464" s="29"/>
      <c r="O464" s="29"/>
      <c r="P464" s="29"/>
      <c r="Q464" s="29"/>
    </row>
    <row r="465" spans="1:17" ht="15.75" customHeight="1" x14ac:dyDescent="0.25">
      <c r="A465" s="29"/>
      <c r="B465" s="64"/>
      <c r="C465" s="29"/>
      <c r="D465" s="65"/>
      <c r="E465" s="65"/>
      <c r="F465" s="66"/>
      <c r="G465" s="66"/>
      <c r="H465" s="66"/>
      <c r="I465" s="67"/>
      <c r="J465" s="67"/>
      <c r="K465" s="67"/>
      <c r="L465" s="29"/>
      <c r="M465" s="211"/>
      <c r="N465" s="29"/>
      <c r="O465" s="29"/>
      <c r="P465" s="29"/>
      <c r="Q465" s="29"/>
    </row>
    <row r="466" spans="1:17" ht="15.75" customHeight="1" x14ac:dyDescent="0.25">
      <c r="A466" s="29"/>
      <c r="B466" s="64"/>
      <c r="C466" s="29"/>
      <c r="D466" s="65"/>
      <c r="E466" s="65"/>
      <c r="F466" s="66"/>
      <c r="G466" s="66"/>
      <c r="H466" s="66"/>
      <c r="I466" s="67"/>
      <c r="J466" s="67"/>
      <c r="K466" s="67"/>
      <c r="L466" s="29"/>
      <c r="M466" s="211"/>
      <c r="N466" s="29"/>
      <c r="O466" s="29"/>
      <c r="P466" s="29"/>
      <c r="Q466" s="29"/>
    </row>
    <row r="467" spans="1:17" ht="15.75" customHeight="1" x14ac:dyDescent="0.25">
      <c r="A467" s="29"/>
      <c r="B467" s="64"/>
      <c r="C467" s="29"/>
      <c r="D467" s="65"/>
      <c r="E467" s="65"/>
      <c r="F467" s="66"/>
      <c r="G467" s="66"/>
      <c r="H467" s="66"/>
      <c r="I467" s="67"/>
      <c r="J467" s="67"/>
      <c r="K467" s="67"/>
      <c r="L467" s="29"/>
      <c r="M467" s="211"/>
      <c r="N467" s="29"/>
      <c r="O467" s="29"/>
      <c r="P467" s="29"/>
      <c r="Q467" s="29"/>
    </row>
    <row r="468" spans="1:17" ht="15.75" customHeight="1" x14ac:dyDescent="0.25">
      <c r="A468" s="29"/>
      <c r="B468" s="64"/>
      <c r="C468" s="29"/>
      <c r="D468" s="65"/>
      <c r="E468" s="65"/>
      <c r="F468" s="66"/>
      <c r="G468" s="66"/>
      <c r="H468" s="66"/>
      <c r="I468" s="67"/>
      <c r="J468" s="67"/>
      <c r="K468" s="67"/>
      <c r="L468" s="29"/>
      <c r="M468" s="211"/>
      <c r="N468" s="29"/>
      <c r="O468" s="29"/>
      <c r="P468" s="29"/>
      <c r="Q468" s="29"/>
    </row>
    <row r="469" spans="1:17" ht="15.75" customHeight="1" x14ac:dyDescent="0.25">
      <c r="A469" s="29"/>
      <c r="B469" s="64"/>
      <c r="C469" s="29"/>
      <c r="D469" s="65"/>
      <c r="E469" s="65"/>
      <c r="F469" s="66"/>
      <c r="G469" s="66"/>
      <c r="H469" s="66"/>
      <c r="I469" s="67"/>
      <c r="J469" s="67"/>
      <c r="K469" s="67"/>
      <c r="L469" s="29"/>
      <c r="M469" s="211"/>
      <c r="N469" s="29"/>
      <c r="O469" s="29"/>
      <c r="P469" s="29"/>
      <c r="Q469" s="29"/>
    </row>
    <row r="470" spans="1:17" ht="15.75" customHeight="1" x14ac:dyDescent="0.25">
      <c r="A470" s="29"/>
      <c r="B470" s="64"/>
      <c r="C470" s="29"/>
      <c r="D470" s="65"/>
      <c r="E470" s="65"/>
      <c r="F470" s="66"/>
      <c r="G470" s="66"/>
      <c r="H470" s="66"/>
      <c r="I470" s="67"/>
      <c r="J470" s="67"/>
      <c r="K470" s="67"/>
      <c r="L470" s="29"/>
      <c r="M470" s="211"/>
      <c r="N470" s="29"/>
      <c r="O470" s="29"/>
      <c r="P470" s="29"/>
      <c r="Q470" s="29"/>
    </row>
    <row r="471" spans="1:17" ht="15.75" customHeight="1" x14ac:dyDescent="0.25">
      <c r="A471" s="29"/>
      <c r="B471" s="64"/>
      <c r="C471" s="29"/>
      <c r="D471" s="65"/>
      <c r="E471" s="65"/>
      <c r="F471" s="66"/>
      <c r="G471" s="66"/>
      <c r="H471" s="66"/>
      <c r="I471" s="67"/>
      <c r="J471" s="67"/>
      <c r="K471" s="67"/>
      <c r="L471" s="29"/>
      <c r="M471" s="211"/>
      <c r="N471" s="29"/>
      <c r="O471" s="29"/>
      <c r="P471" s="29"/>
      <c r="Q471" s="29"/>
    </row>
    <row r="472" spans="1:17" ht="15.75" customHeight="1" x14ac:dyDescent="0.25">
      <c r="A472" s="29"/>
      <c r="B472" s="64"/>
      <c r="C472" s="29"/>
      <c r="D472" s="65"/>
      <c r="E472" s="65"/>
      <c r="F472" s="66"/>
      <c r="G472" s="66"/>
      <c r="H472" s="66"/>
      <c r="I472" s="67"/>
      <c r="J472" s="67"/>
      <c r="K472" s="67"/>
      <c r="L472" s="29"/>
      <c r="M472" s="211"/>
      <c r="N472" s="29"/>
      <c r="O472" s="29"/>
      <c r="P472" s="29"/>
      <c r="Q472" s="29"/>
    </row>
    <row r="473" spans="1:17" ht="15.75" customHeight="1" x14ac:dyDescent="0.25">
      <c r="A473" s="29"/>
      <c r="B473" s="64"/>
      <c r="C473" s="29"/>
      <c r="D473" s="65"/>
      <c r="E473" s="65"/>
      <c r="F473" s="66"/>
      <c r="G473" s="66"/>
      <c r="H473" s="66"/>
      <c r="I473" s="67"/>
      <c r="J473" s="67"/>
      <c r="K473" s="67"/>
      <c r="L473" s="29"/>
      <c r="M473" s="211"/>
      <c r="N473" s="29"/>
      <c r="O473" s="29"/>
      <c r="P473" s="29"/>
      <c r="Q473" s="29"/>
    </row>
    <row r="474" spans="1:17" ht="15.75" customHeight="1" x14ac:dyDescent="0.25">
      <c r="A474" s="29"/>
      <c r="B474" s="64"/>
      <c r="C474" s="29"/>
      <c r="D474" s="65"/>
      <c r="E474" s="65"/>
      <c r="F474" s="66"/>
      <c r="G474" s="66"/>
      <c r="H474" s="66"/>
      <c r="I474" s="67"/>
      <c r="J474" s="67"/>
      <c r="K474" s="67"/>
      <c r="L474" s="29"/>
      <c r="M474" s="211"/>
      <c r="N474" s="29"/>
      <c r="O474" s="29"/>
      <c r="P474" s="29"/>
      <c r="Q474" s="29"/>
    </row>
    <row r="475" spans="1:17" ht="15.75" customHeight="1" x14ac:dyDescent="0.25">
      <c r="A475" s="29"/>
      <c r="B475" s="64"/>
      <c r="C475" s="29"/>
      <c r="D475" s="65"/>
      <c r="E475" s="65"/>
      <c r="F475" s="66"/>
      <c r="G475" s="66"/>
      <c r="H475" s="66"/>
      <c r="I475" s="67"/>
      <c r="J475" s="67"/>
      <c r="K475" s="67"/>
      <c r="L475" s="29"/>
      <c r="M475" s="211"/>
      <c r="N475" s="29"/>
      <c r="O475" s="29"/>
      <c r="P475" s="29"/>
      <c r="Q475" s="29"/>
    </row>
    <row r="476" spans="1:17" ht="15.75" customHeight="1" x14ac:dyDescent="0.25">
      <c r="A476" s="29"/>
      <c r="B476" s="64"/>
      <c r="C476" s="29"/>
      <c r="D476" s="65"/>
      <c r="E476" s="65"/>
      <c r="F476" s="66"/>
      <c r="G476" s="66"/>
      <c r="H476" s="66"/>
      <c r="I476" s="67"/>
      <c r="J476" s="67"/>
      <c r="K476" s="67"/>
      <c r="L476" s="29"/>
      <c r="M476" s="211"/>
      <c r="N476" s="29"/>
      <c r="O476" s="29"/>
      <c r="P476" s="29"/>
      <c r="Q476" s="29"/>
    </row>
    <row r="477" spans="1:17" ht="15.75" customHeight="1" x14ac:dyDescent="0.25">
      <c r="A477" s="29"/>
      <c r="B477" s="64"/>
      <c r="C477" s="29"/>
      <c r="D477" s="65"/>
      <c r="E477" s="65"/>
      <c r="F477" s="66"/>
      <c r="G477" s="66"/>
      <c r="H477" s="66"/>
      <c r="I477" s="67"/>
      <c r="J477" s="67"/>
      <c r="K477" s="67"/>
      <c r="L477" s="29"/>
      <c r="M477" s="211"/>
      <c r="N477" s="29"/>
      <c r="O477" s="29"/>
      <c r="P477" s="29"/>
      <c r="Q477" s="29"/>
    </row>
    <row r="478" spans="1:17" ht="15.75" customHeight="1" x14ac:dyDescent="0.25">
      <c r="A478" s="29"/>
      <c r="B478" s="64"/>
      <c r="C478" s="29"/>
      <c r="D478" s="65"/>
      <c r="E478" s="65"/>
      <c r="F478" s="66"/>
      <c r="G478" s="66"/>
      <c r="H478" s="66"/>
      <c r="I478" s="67"/>
      <c r="J478" s="67"/>
      <c r="K478" s="67"/>
      <c r="L478" s="29"/>
      <c r="M478" s="211"/>
      <c r="N478" s="29"/>
      <c r="O478" s="29"/>
      <c r="P478" s="29"/>
      <c r="Q478" s="29"/>
    </row>
    <row r="479" spans="1:17" ht="15.75" customHeight="1" x14ac:dyDescent="0.25">
      <c r="A479" s="29"/>
      <c r="B479" s="64"/>
      <c r="C479" s="29"/>
      <c r="D479" s="65"/>
      <c r="E479" s="65"/>
      <c r="F479" s="66"/>
      <c r="G479" s="66"/>
      <c r="H479" s="66"/>
      <c r="I479" s="67"/>
      <c r="J479" s="67"/>
      <c r="K479" s="67"/>
      <c r="L479" s="29"/>
      <c r="M479" s="211"/>
      <c r="N479" s="29"/>
      <c r="O479" s="29"/>
      <c r="P479" s="29"/>
      <c r="Q479" s="29"/>
    </row>
    <row r="480" spans="1:17" ht="15.75" customHeight="1" x14ac:dyDescent="0.25">
      <c r="A480" s="29"/>
      <c r="B480" s="64"/>
      <c r="C480" s="29"/>
      <c r="D480" s="65"/>
      <c r="E480" s="65"/>
      <c r="F480" s="66"/>
      <c r="G480" s="66"/>
      <c r="H480" s="66"/>
      <c r="I480" s="67"/>
      <c r="J480" s="67"/>
      <c r="K480" s="67"/>
      <c r="L480" s="29"/>
      <c r="M480" s="211"/>
      <c r="N480" s="29"/>
      <c r="O480" s="29"/>
      <c r="P480" s="29"/>
      <c r="Q480" s="29"/>
    </row>
    <row r="481" spans="1:17" ht="15.75" customHeight="1" x14ac:dyDescent="0.25">
      <c r="A481" s="29"/>
      <c r="B481" s="64"/>
      <c r="C481" s="29"/>
      <c r="D481" s="65"/>
      <c r="E481" s="65"/>
      <c r="F481" s="66"/>
      <c r="G481" s="66"/>
      <c r="H481" s="66"/>
      <c r="I481" s="67"/>
      <c r="J481" s="67"/>
      <c r="K481" s="67"/>
      <c r="L481" s="29"/>
      <c r="M481" s="211"/>
      <c r="N481" s="29"/>
      <c r="O481" s="29"/>
      <c r="P481" s="29"/>
      <c r="Q481" s="29"/>
    </row>
    <row r="482" spans="1:17" ht="15.75" customHeight="1" x14ac:dyDescent="0.25">
      <c r="A482" s="29"/>
      <c r="B482" s="64"/>
      <c r="C482" s="29"/>
      <c r="D482" s="65"/>
      <c r="E482" s="65"/>
      <c r="F482" s="66"/>
      <c r="G482" s="66"/>
      <c r="H482" s="66"/>
      <c r="I482" s="67"/>
      <c r="J482" s="67"/>
      <c r="K482" s="67"/>
      <c r="L482" s="29"/>
      <c r="M482" s="211"/>
      <c r="N482" s="29"/>
      <c r="O482" s="29"/>
      <c r="P482" s="29"/>
      <c r="Q482" s="29"/>
    </row>
    <row r="483" spans="1:17" ht="15.75" customHeight="1" x14ac:dyDescent="0.25">
      <c r="A483" s="29"/>
      <c r="B483" s="64"/>
      <c r="C483" s="29"/>
      <c r="D483" s="65"/>
      <c r="E483" s="65"/>
      <c r="F483" s="66"/>
      <c r="G483" s="66"/>
      <c r="H483" s="66"/>
      <c r="I483" s="67"/>
      <c r="J483" s="67"/>
      <c r="K483" s="67"/>
      <c r="L483" s="29"/>
      <c r="M483" s="211"/>
      <c r="N483" s="29"/>
      <c r="O483" s="29"/>
      <c r="P483" s="29"/>
      <c r="Q483" s="29"/>
    </row>
    <row r="484" spans="1:17" ht="15.75" customHeight="1" x14ac:dyDescent="0.25">
      <c r="A484" s="29"/>
      <c r="B484" s="64"/>
      <c r="C484" s="29"/>
      <c r="D484" s="65"/>
      <c r="E484" s="65"/>
      <c r="F484" s="66"/>
      <c r="G484" s="66"/>
      <c r="H484" s="66"/>
      <c r="I484" s="67"/>
      <c r="J484" s="67"/>
      <c r="K484" s="67"/>
      <c r="L484" s="29"/>
      <c r="M484" s="211"/>
      <c r="N484" s="29"/>
      <c r="O484" s="29"/>
      <c r="P484" s="29"/>
      <c r="Q484" s="29"/>
    </row>
    <row r="485" spans="1:17" ht="15.75" customHeight="1" x14ac:dyDescent="0.25">
      <c r="A485" s="29"/>
      <c r="B485" s="64"/>
      <c r="C485" s="29"/>
      <c r="D485" s="65"/>
      <c r="E485" s="65"/>
      <c r="F485" s="66"/>
      <c r="G485" s="66"/>
      <c r="H485" s="66"/>
      <c r="I485" s="67"/>
      <c r="J485" s="67"/>
      <c r="K485" s="67"/>
      <c r="L485" s="29"/>
      <c r="M485" s="211"/>
      <c r="N485" s="29"/>
      <c r="O485" s="29"/>
      <c r="P485" s="29"/>
      <c r="Q485" s="29"/>
    </row>
    <row r="486" spans="1:17" ht="15.75" customHeight="1" x14ac:dyDescent="0.25">
      <c r="A486" s="29"/>
      <c r="B486" s="64"/>
      <c r="C486" s="29"/>
      <c r="D486" s="65"/>
      <c r="E486" s="65"/>
      <c r="F486" s="66"/>
      <c r="G486" s="66"/>
      <c r="H486" s="66"/>
      <c r="I486" s="67"/>
      <c r="J486" s="67"/>
      <c r="K486" s="67"/>
      <c r="L486" s="29"/>
      <c r="M486" s="211"/>
      <c r="N486" s="29"/>
      <c r="O486" s="29"/>
      <c r="P486" s="29"/>
      <c r="Q486" s="29"/>
    </row>
    <row r="487" spans="1:17" ht="15.75" customHeight="1" x14ac:dyDescent="0.25">
      <c r="A487" s="29"/>
      <c r="B487" s="64"/>
      <c r="C487" s="29"/>
      <c r="D487" s="65"/>
      <c r="E487" s="65"/>
      <c r="F487" s="66"/>
      <c r="G487" s="66"/>
      <c r="H487" s="66"/>
      <c r="I487" s="67"/>
      <c r="J487" s="67"/>
      <c r="K487" s="67"/>
      <c r="L487" s="29"/>
      <c r="M487" s="211"/>
      <c r="N487" s="29"/>
      <c r="O487" s="29"/>
      <c r="P487" s="29"/>
      <c r="Q487" s="29"/>
    </row>
    <row r="488" spans="1:17" ht="15.75" customHeight="1" x14ac:dyDescent="0.25">
      <c r="A488" s="29"/>
      <c r="B488" s="64"/>
      <c r="C488" s="29"/>
      <c r="D488" s="65"/>
      <c r="E488" s="65"/>
      <c r="F488" s="66"/>
      <c r="G488" s="66"/>
      <c r="H488" s="66"/>
      <c r="I488" s="67"/>
      <c r="J488" s="67"/>
      <c r="K488" s="67"/>
      <c r="L488" s="29"/>
      <c r="M488" s="211"/>
      <c r="N488" s="29"/>
      <c r="O488" s="29"/>
      <c r="P488" s="29"/>
      <c r="Q488" s="29"/>
    </row>
    <row r="489" spans="1:17" ht="15.75" customHeight="1" x14ac:dyDescent="0.25">
      <c r="A489" s="29"/>
      <c r="B489" s="64"/>
      <c r="C489" s="29"/>
      <c r="D489" s="65"/>
      <c r="E489" s="65"/>
      <c r="F489" s="66"/>
      <c r="G489" s="66"/>
      <c r="H489" s="66"/>
      <c r="I489" s="67"/>
      <c r="J489" s="67"/>
      <c r="K489" s="67"/>
      <c r="L489" s="29"/>
      <c r="M489" s="211"/>
      <c r="N489" s="29"/>
      <c r="O489" s="29"/>
      <c r="P489" s="29"/>
      <c r="Q489" s="29"/>
    </row>
    <row r="490" spans="1:17" ht="15.75" customHeight="1" x14ac:dyDescent="0.25">
      <c r="A490" s="29"/>
      <c r="B490" s="64"/>
      <c r="C490" s="29"/>
      <c r="D490" s="65"/>
      <c r="E490" s="65"/>
      <c r="F490" s="66"/>
      <c r="G490" s="66"/>
      <c r="H490" s="66"/>
      <c r="I490" s="67"/>
      <c r="J490" s="67"/>
      <c r="K490" s="67"/>
      <c r="L490" s="29"/>
      <c r="M490" s="211"/>
      <c r="N490" s="29"/>
      <c r="O490" s="29"/>
      <c r="P490" s="29"/>
      <c r="Q490" s="29"/>
    </row>
    <row r="491" spans="1:17" ht="15.75" customHeight="1" x14ac:dyDescent="0.25">
      <c r="A491" s="29"/>
      <c r="B491" s="64"/>
      <c r="C491" s="29"/>
      <c r="D491" s="65"/>
      <c r="E491" s="65"/>
      <c r="F491" s="66"/>
      <c r="G491" s="66"/>
      <c r="H491" s="66"/>
      <c r="I491" s="67"/>
      <c r="J491" s="67"/>
      <c r="K491" s="67"/>
      <c r="L491" s="29"/>
      <c r="M491" s="211"/>
      <c r="N491" s="29"/>
      <c r="O491" s="29"/>
      <c r="P491" s="29"/>
      <c r="Q491" s="29"/>
    </row>
    <row r="492" spans="1:17" ht="15.75" customHeight="1" x14ac:dyDescent="0.25">
      <c r="A492" s="29"/>
      <c r="B492" s="64"/>
      <c r="C492" s="29"/>
      <c r="D492" s="65"/>
      <c r="E492" s="65"/>
      <c r="F492" s="66"/>
      <c r="G492" s="66"/>
      <c r="H492" s="66"/>
      <c r="I492" s="67"/>
      <c r="J492" s="67"/>
      <c r="K492" s="67"/>
      <c r="L492" s="29"/>
      <c r="M492" s="211"/>
      <c r="N492" s="29"/>
      <c r="O492" s="29"/>
      <c r="P492" s="29"/>
      <c r="Q492" s="29"/>
    </row>
    <row r="493" spans="1:17" ht="15.75" customHeight="1" x14ac:dyDescent="0.25">
      <c r="A493" s="29"/>
      <c r="B493" s="64"/>
      <c r="C493" s="29"/>
      <c r="D493" s="65"/>
      <c r="E493" s="65"/>
      <c r="F493" s="66"/>
      <c r="G493" s="66"/>
      <c r="H493" s="66"/>
      <c r="I493" s="67"/>
      <c r="J493" s="67"/>
      <c r="K493" s="67"/>
      <c r="L493" s="29"/>
      <c r="M493" s="211"/>
      <c r="N493" s="29"/>
      <c r="O493" s="29"/>
      <c r="P493" s="29"/>
      <c r="Q493" s="29"/>
    </row>
    <row r="494" spans="1:17" ht="15.75" customHeight="1" x14ac:dyDescent="0.25">
      <c r="A494" s="29"/>
      <c r="B494" s="64"/>
      <c r="C494" s="29"/>
      <c r="D494" s="65"/>
      <c r="E494" s="65"/>
      <c r="F494" s="66"/>
      <c r="G494" s="66"/>
      <c r="H494" s="66"/>
      <c r="I494" s="67"/>
      <c r="J494" s="67"/>
      <c r="K494" s="67"/>
      <c r="L494" s="29"/>
      <c r="M494" s="211"/>
      <c r="N494" s="29"/>
      <c r="O494" s="29"/>
      <c r="P494" s="29"/>
      <c r="Q494" s="29"/>
    </row>
    <row r="495" spans="1:17" ht="15.75" customHeight="1" x14ac:dyDescent="0.25">
      <c r="A495" s="29"/>
      <c r="B495" s="64"/>
      <c r="C495" s="29"/>
      <c r="D495" s="65"/>
      <c r="E495" s="65"/>
      <c r="F495" s="66"/>
      <c r="G495" s="66"/>
      <c r="H495" s="66"/>
      <c r="I495" s="67"/>
      <c r="J495" s="67"/>
      <c r="K495" s="67"/>
      <c r="L495" s="29"/>
      <c r="M495" s="211"/>
      <c r="N495" s="29"/>
      <c r="O495" s="29"/>
      <c r="P495" s="29"/>
      <c r="Q495" s="29"/>
    </row>
    <row r="496" spans="1:17" ht="15.75" customHeight="1" x14ac:dyDescent="0.25">
      <c r="A496" s="29"/>
      <c r="B496" s="64"/>
      <c r="C496" s="29"/>
      <c r="D496" s="65"/>
      <c r="E496" s="65"/>
      <c r="F496" s="66"/>
      <c r="G496" s="66"/>
      <c r="H496" s="66"/>
      <c r="I496" s="67"/>
      <c r="J496" s="67"/>
      <c r="K496" s="67"/>
      <c r="L496" s="29"/>
      <c r="M496" s="211"/>
      <c r="N496" s="29"/>
      <c r="O496" s="29"/>
      <c r="P496" s="29"/>
      <c r="Q496" s="29"/>
    </row>
    <row r="497" spans="1:17" ht="15.75" customHeight="1" x14ac:dyDescent="0.25">
      <c r="A497" s="29"/>
      <c r="B497" s="64"/>
      <c r="C497" s="29"/>
      <c r="D497" s="65"/>
      <c r="E497" s="65"/>
      <c r="F497" s="66"/>
      <c r="G497" s="66"/>
      <c r="H497" s="66"/>
      <c r="I497" s="67"/>
      <c r="J497" s="67"/>
      <c r="K497" s="67"/>
      <c r="L497" s="29"/>
      <c r="M497" s="211"/>
      <c r="N497" s="29"/>
      <c r="O497" s="29"/>
      <c r="P497" s="29"/>
      <c r="Q497" s="29"/>
    </row>
    <row r="498" spans="1:17" ht="15.75" customHeight="1" x14ac:dyDescent="0.25">
      <c r="A498" s="29"/>
      <c r="B498" s="64"/>
      <c r="C498" s="29"/>
      <c r="D498" s="65"/>
      <c r="E498" s="65"/>
      <c r="F498" s="66"/>
      <c r="G498" s="66"/>
      <c r="H498" s="66"/>
      <c r="I498" s="67"/>
      <c r="J498" s="67"/>
      <c r="K498" s="67"/>
      <c r="L498" s="29"/>
      <c r="M498" s="211"/>
      <c r="N498" s="29"/>
      <c r="O498" s="29"/>
      <c r="P498" s="29"/>
      <c r="Q498" s="29"/>
    </row>
    <row r="499" spans="1:17" ht="15.75" customHeight="1" x14ac:dyDescent="0.25">
      <c r="A499" s="29"/>
      <c r="B499" s="64"/>
      <c r="C499" s="29"/>
      <c r="D499" s="65"/>
      <c r="E499" s="65"/>
      <c r="F499" s="66"/>
      <c r="G499" s="66"/>
      <c r="H499" s="66"/>
      <c r="I499" s="67"/>
      <c r="J499" s="67"/>
      <c r="K499" s="67"/>
      <c r="L499" s="29"/>
      <c r="M499" s="211"/>
      <c r="N499" s="29"/>
      <c r="O499" s="29"/>
      <c r="P499" s="29"/>
      <c r="Q499" s="29"/>
    </row>
    <row r="500" spans="1:17" ht="15.75" customHeight="1" x14ac:dyDescent="0.25">
      <c r="A500" s="29"/>
      <c r="B500" s="64"/>
      <c r="C500" s="29"/>
      <c r="D500" s="65"/>
      <c r="E500" s="65"/>
      <c r="F500" s="66"/>
      <c r="G500" s="66"/>
      <c r="H500" s="66"/>
      <c r="I500" s="67"/>
      <c r="J500" s="67"/>
      <c r="K500" s="67"/>
      <c r="L500" s="29"/>
      <c r="M500" s="211"/>
      <c r="N500" s="29"/>
      <c r="O500" s="29"/>
      <c r="P500" s="29"/>
      <c r="Q500" s="29"/>
    </row>
    <row r="501" spans="1:17" ht="15.75" customHeight="1" x14ac:dyDescent="0.25">
      <c r="A501" s="29"/>
      <c r="B501" s="64"/>
      <c r="C501" s="29"/>
      <c r="D501" s="65"/>
      <c r="E501" s="65"/>
      <c r="F501" s="66"/>
      <c r="G501" s="66"/>
      <c r="H501" s="66"/>
      <c r="I501" s="67"/>
      <c r="J501" s="67"/>
      <c r="K501" s="67"/>
      <c r="L501" s="29"/>
      <c r="M501" s="211"/>
      <c r="N501" s="29"/>
      <c r="O501" s="29"/>
      <c r="P501" s="29"/>
      <c r="Q501" s="29"/>
    </row>
    <row r="502" spans="1:17" ht="15.75" customHeight="1" x14ac:dyDescent="0.25">
      <c r="A502" s="29"/>
      <c r="B502" s="64"/>
      <c r="C502" s="29"/>
      <c r="D502" s="65"/>
      <c r="E502" s="65"/>
      <c r="F502" s="66"/>
      <c r="G502" s="66"/>
      <c r="H502" s="66"/>
      <c r="I502" s="67"/>
      <c r="J502" s="67"/>
      <c r="K502" s="67"/>
      <c r="L502" s="29"/>
      <c r="M502" s="211"/>
      <c r="N502" s="29"/>
      <c r="O502" s="29"/>
      <c r="P502" s="29"/>
      <c r="Q502" s="29"/>
    </row>
    <row r="503" spans="1:17" ht="15.75" customHeight="1" x14ac:dyDescent="0.25">
      <c r="A503" s="29"/>
      <c r="B503" s="64"/>
      <c r="C503" s="29"/>
      <c r="D503" s="65"/>
      <c r="E503" s="65"/>
      <c r="F503" s="66"/>
      <c r="G503" s="66"/>
      <c r="H503" s="66"/>
      <c r="I503" s="67"/>
      <c r="J503" s="67"/>
      <c r="K503" s="67"/>
      <c r="L503" s="29"/>
      <c r="M503" s="211"/>
      <c r="N503" s="29"/>
      <c r="O503" s="29"/>
      <c r="P503" s="29"/>
      <c r="Q503" s="29"/>
    </row>
    <row r="504" spans="1:17" ht="15.75" customHeight="1" x14ac:dyDescent="0.25">
      <c r="A504" s="29"/>
      <c r="B504" s="64"/>
      <c r="C504" s="29"/>
      <c r="D504" s="65"/>
      <c r="E504" s="65"/>
      <c r="F504" s="66"/>
      <c r="G504" s="66"/>
      <c r="H504" s="66"/>
      <c r="I504" s="67"/>
      <c r="J504" s="67"/>
      <c r="K504" s="67"/>
      <c r="L504" s="29"/>
      <c r="M504" s="211"/>
      <c r="N504" s="29"/>
      <c r="O504" s="29"/>
      <c r="P504" s="29"/>
      <c r="Q504" s="29"/>
    </row>
    <row r="505" spans="1:17" ht="15.75" customHeight="1" x14ac:dyDescent="0.25">
      <c r="A505" s="29"/>
      <c r="B505" s="64"/>
      <c r="C505" s="29"/>
      <c r="D505" s="65"/>
      <c r="E505" s="65"/>
      <c r="F505" s="66"/>
      <c r="G505" s="66"/>
      <c r="H505" s="66"/>
      <c r="I505" s="67"/>
      <c r="J505" s="67"/>
      <c r="K505" s="67"/>
      <c r="L505" s="29"/>
      <c r="M505" s="211"/>
      <c r="N505" s="29"/>
      <c r="O505" s="29"/>
      <c r="P505" s="29"/>
      <c r="Q505" s="29"/>
    </row>
    <row r="506" spans="1:17" ht="15.75" customHeight="1" x14ac:dyDescent="0.25">
      <c r="A506" s="29"/>
      <c r="B506" s="64"/>
      <c r="C506" s="29"/>
      <c r="D506" s="65"/>
      <c r="E506" s="65"/>
      <c r="F506" s="66"/>
      <c r="G506" s="66"/>
      <c r="H506" s="66"/>
      <c r="I506" s="67"/>
      <c r="J506" s="67"/>
      <c r="K506" s="67"/>
      <c r="L506" s="29"/>
      <c r="M506" s="211"/>
      <c r="N506" s="29"/>
      <c r="O506" s="29"/>
      <c r="P506" s="29"/>
      <c r="Q506" s="29"/>
    </row>
    <row r="507" spans="1:17" ht="15.75" customHeight="1" x14ac:dyDescent="0.25">
      <c r="A507" s="29"/>
      <c r="B507" s="64"/>
      <c r="C507" s="29"/>
      <c r="D507" s="65"/>
      <c r="E507" s="65"/>
      <c r="F507" s="66"/>
      <c r="G507" s="66"/>
      <c r="H507" s="66"/>
      <c r="I507" s="67"/>
      <c r="J507" s="67"/>
      <c r="K507" s="67"/>
      <c r="L507" s="29"/>
      <c r="M507" s="211"/>
      <c r="N507" s="29"/>
      <c r="O507" s="29"/>
      <c r="P507" s="29"/>
      <c r="Q507" s="29"/>
    </row>
    <row r="508" spans="1:17" ht="15.75" customHeight="1" x14ac:dyDescent="0.25">
      <c r="A508" s="29"/>
      <c r="B508" s="64"/>
      <c r="C508" s="29"/>
      <c r="D508" s="65"/>
      <c r="E508" s="65"/>
      <c r="F508" s="66"/>
      <c r="G508" s="66"/>
      <c r="H508" s="66"/>
      <c r="I508" s="67"/>
      <c r="J508" s="67"/>
      <c r="K508" s="67"/>
      <c r="L508" s="29"/>
      <c r="M508" s="211"/>
      <c r="N508" s="29"/>
      <c r="O508" s="29"/>
      <c r="P508" s="29"/>
      <c r="Q508" s="29"/>
    </row>
    <row r="509" spans="1:17" ht="15.75" customHeight="1" x14ac:dyDescent="0.25">
      <c r="A509" s="29"/>
      <c r="B509" s="64"/>
      <c r="C509" s="29"/>
      <c r="D509" s="65"/>
      <c r="E509" s="65"/>
      <c r="F509" s="66"/>
      <c r="G509" s="66"/>
      <c r="H509" s="66"/>
      <c r="I509" s="67"/>
      <c r="J509" s="67"/>
      <c r="K509" s="67"/>
      <c r="L509" s="29"/>
      <c r="M509" s="211"/>
      <c r="N509" s="29"/>
      <c r="O509" s="29"/>
      <c r="P509" s="29"/>
      <c r="Q509" s="29"/>
    </row>
    <row r="510" spans="1:17" ht="15.75" customHeight="1" x14ac:dyDescent="0.25">
      <c r="A510" s="29"/>
      <c r="B510" s="64"/>
      <c r="C510" s="29"/>
      <c r="D510" s="65"/>
      <c r="E510" s="65"/>
      <c r="F510" s="66"/>
      <c r="G510" s="66"/>
      <c r="H510" s="66"/>
      <c r="I510" s="67"/>
      <c r="J510" s="67"/>
      <c r="K510" s="67"/>
      <c r="L510" s="29"/>
      <c r="M510" s="211"/>
      <c r="N510" s="29"/>
      <c r="O510" s="29"/>
      <c r="P510" s="29"/>
      <c r="Q510" s="29"/>
    </row>
    <row r="511" spans="1:17" ht="15.75" customHeight="1" x14ac:dyDescent="0.25">
      <c r="A511" s="29"/>
      <c r="B511" s="64"/>
      <c r="C511" s="29"/>
      <c r="D511" s="65"/>
      <c r="E511" s="65"/>
      <c r="F511" s="66"/>
      <c r="G511" s="66"/>
      <c r="H511" s="66"/>
      <c r="I511" s="67"/>
      <c r="J511" s="67"/>
      <c r="K511" s="67"/>
      <c r="L511" s="29"/>
      <c r="M511" s="211"/>
      <c r="N511" s="29"/>
      <c r="O511" s="29"/>
      <c r="P511" s="29"/>
      <c r="Q511" s="29"/>
    </row>
    <row r="512" spans="1:17" ht="15.75" customHeight="1" x14ac:dyDescent="0.25">
      <c r="A512" s="29"/>
      <c r="B512" s="64"/>
      <c r="C512" s="29"/>
      <c r="D512" s="65"/>
      <c r="E512" s="65"/>
      <c r="F512" s="66"/>
      <c r="G512" s="66"/>
      <c r="H512" s="66"/>
      <c r="I512" s="67"/>
      <c r="J512" s="67"/>
      <c r="K512" s="67"/>
      <c r="L512" s="29"/>
      <c r="M512" s="211"/>
      <c r="N512" s="29"/>
      <c r="O512" s="29"/>
      <c r="P512" s="29"/>
      <c r="Q512" s="29"/>
    </row>
    <row r="513" spans="1:17" ht="15.75" customHeight="1" x14ac:dyDescent="0.25">
      <c r="A513" s="29"/>
      <c r="B513" s="64"/>
      <c r="C513" s="29"/>
      <c r="D513" s="65"/>
      <c r="E513" s="65"/>
      <c r="F513" s="66"/>
      <c r="G513" s="66"/>
      <c r="H513" s="66"/>
      <c r="I513" s="67"/>
      <c r="J513" s="67"/>
      <c r="K513" s="67"/>
      <c r="L513" s="29"/>
      <c r="M513" s="211"/>
      <c r="N513" s="29"/>
      <c r="O513" s="29"/>
      <c r="P513" s="29"/>
      <c r="Q513" s="29"/>
    </row>
    <row r="514" spans="1:17" ht="15.75" customHeight="1" x14ac:dyDescent="0.25">
      <c r="A514" s="29"/>
      <c r="B514" s="64"/>
      <c r="C514" s="29"/>
      <c r="D514" s="65"/>
      <c r="E514" s="65"/>
      <c r="F514" s="66"/>
      <c r="G514" s="66"/>
      <c r="H514" s="66"/>
      <c r="I514" s="67"/>
      <c r="J514" s="67"/>
      <c r="K514" s="67"/>
      <c r="L514" s="29"/>
      <c r="M514" s="211"/>
      <c r="N514" s="29"/>
      <c r="O514" s="29"/>
      <c r="P514" s="29"/>
      <c r="Q514" s="29"/>
    </row>
    <row r="515" spans="1:17" ht="15.75" customHeight="1" x14ac:dyDescent="0.25">
      <c r="A515" s="29"/>
      <c r="B515" s="64"/>
      <c r="C515" s="29"/>
      <c r="D515" s="65"/>
      <c r="E515" s="65"/>
      <c r="F515" s="66"/>
      <c r="G515" s="66"/>
      <c r="H515" s="66"/>
      <c r="I515" s="67"/>
      <c r="J515" s="67"/>
      <c r="K515" s="67"/>
      <c r="L515" s="29"/>
      <c r="M515" s="211"/>
      <c r="N515" s="29"/>
      <c r="O515" s="29"/>
      <c r="P515" s="29"/>
      <c r="Q515" s="29"/>
    </row>
    <row r="516" spans="1:17" ht="15.75" customHeight="1" x14ac:dyDescent="0.25">
      <c r="A516" s="29"/>
      <c r="B516" s="64"/>
      <c r="C516" s="29"/>
      <c r="D516" s="65"/>
      <c r="E516" s="65"/>
      <c r="F516" s="66"/>
      <c r="G516" s="66"/>
      <c r="H516" s="66"/>
      <c r="I516" s="67"/>
      <c r="J516" s="67"/>
      <c r="K516" s="67"/>
      <c r="L516" s="29"/>
      <c r="M516" s="211"/>
      <c r="N516" s="29"/>
      <c r="O516" s="29"/>
      <c r="P516" s="29"/>
      <c r="Q516" s="29"/>
    </row>
    <row r="517" spans="1:17" ht="15.75" customHeight="1" x14ac:dyDescent="0.25">
      <c r="A517" s="29"/>
      <c r="B517" s="64"/>
      <c r="C517" s="29"/>
      <c r="D517" s="65"/>
      <c r="E517" s="65"/>
      <c r="F517" s="66"/>
      <c r="G517" s="66"/>
      <c r="H517" s="66"/>
      <c r="I517" s="67"/>
      <c r="J517" s="67"/>
      <c r="K517" s="67"/>
      <c r="L517" s="29"/>
      <c r="M517" s="211"/>
      <c r="N517" s="29"/>
      <c r="O517" s="29"/>
      <c r="P517" s="29"/>
      <c r="Q517" s="29"/>
    </row>
    <row r="518" spans="1:17" ht="15.75" customHeight="1" x14ac:dyDescent="0.25">
      <c r="A518" s="29"/>
      <c r="B518" s="64"/>
      <c r="C518" s="29"/>
      <c r="D518" s="65"/>
      <c r="E518" s="65"/>
      <c r="F518" s="66"/>
      <c r="G518" s="66"/>
      <c r="H518" s="66"/>
      <c r="I518" s="67"/>
      <c r="J518" s="67"/>
      <c r="K518" s="67"/>
      <c r="L518" s="29"/>
      <c r="M518" s="211"/>
      <c r="N518" s="29"/>
      <c r="O518" s="29"/>
      <c r="P518" s="29"/>
      <c r="Q518" s="29"/>
    </row>
    <row r="519" spans="1:17" ht="15.75" customHeight="1" x14ac:dyDescent="0.25">
      <c r="A519" s="29"/>
      <c r="B519" s="64"/>
      <c r="C519" s="29"/>
      <c r="D519" s="65"/>
      <c r="E519" s="65"/>
      <c r="F519" s="66"/>
      <c r="G519" s="66"/>
      <c r="H519" s="66"/>
      <c r="I519" s="67"/>
      <c r="J519" s="67"/>
      <c r="K519" s="67"/>
      <c r="L519" s="29"/>
      <c r="M519" s="211"/>
      <c r="N519" s="29"/>
      <c r="O519" s="29"/>
      <c r="P519" s="29"/>
      <c r="Q519" s="29"/>
    </row>
    <row r="520" spans="1:17" ht="15.75" customHeight="1" x14ac:dyDescent="0.25">
      <c r="A520" s="29"/>
      <c r="B520" s="64"/>
      <c r="C520" s="29"/>
      <c r="D520" s="65"/>
      <c r="E520" s="65"/>
      <c r="F520" s="66"/>
      <c r="G520" s="66"/>
      <c r="H520" s="66"/>
      <c r="I520" s="67"/>
      <c r="J520" s="67"/>
      <c r="K520" s="67"/>
      <c r="L520" s="29"/>
      <c r="M520" s="211"/>
      <c r="N520" s="29"/>
      <c r="O520" s="29"/>
      <c r="P520" s="29"/>
      <c r="Q520" s="29"/>
    </row>
    <row r="521" spans="1:17" ht="15.75" customHeight="1" x14ac:dyDescent="0.25">
      <c r="A521" s="29"/>
      <c r="B521" s="64"/>
      <c r="C521" s="29"/>
      <c r="D521" s="65"/>
      <c r="E521" s="65"/>
      <c r="F521" s="66"/>
      <c r="G521" s="66"/>
      <c r="H521" s="66"/>
      <c r="I521" s="67"/>
      <c r="J521" s="67"/>
      <c r="K521" s="67"/>
      <c r="L521" s="29"/>
      <c r="M521" s="211"/>
      <c r="N521" s="29"/>
      <c r="O521" s="29"/>
      <c r="P521" s="29"/>
      <c r="Q521" s="29"/>
    </row>
    <row r="522" spans="1:17" ht="15.75" customHeight="1" x14ac:dyDescent="0.25">
      <c r="A522" s="29"/>
      <c r="B522" s="64"/>
      <c r="C522" s="29"/>
      <c r="D522" s="65"/>
      <c r="E522" s="65"/>
      <c r="F522" s="66"/>
      <c r="G522" s="66"/>
      <c r="H522" s="66"/>
      <c r="I522" s="67"/>
      <c r="J522" s="67"/>
      <c r="K522" s="67"/>
      <c r="L522" s="29"/>
      <c r="M522" s="211"/>
      <c r="N522" s="29"/>
      <c r="O522" s="29"/>
      <c r="P522" s="29"/>
      <c r="Q522" s="29"/>
    </row>
    <row r="523" spans="1:17" ht="15.75" customHeight="1" x14ac:dyDescent="0.25">
      <c r="A523" s="29"/>
      <c r="B523" s="64"/>
      <c r="C523" s="29"/>
      <c r="D523" s="65"/>
      <c r="E523" s="65"/>
      <c r="F523" s="66"/>
      <c r="G523" s="66"/>
      <c r="H523" s="66"/>
      <c r="I523" s="67"/>
      <c r="J523" s="67"/>
      <c r="K523" s="67"/>
      <c r="L523" s="29"/>
      <c r="M523" s="211"/>
      <c r="N523" s="29"/>
      <c r="O523" s="29"/>
      <c r="P523" s="29"/>
      <c r="Q523" s="29"/>
    </row>
    <row r="524" spans="1:17" ht="15.75" customHeight="1" x14ac:dyDescent="0.25">
      <c r="A524" s="29"/>
      <c r="B524" s="64"/>
      <c r="C524" s="29"/>
      <c r="D524" s="65"/>
      <c r="E524" s="65"/>
      <c r="F524" s="66"/>
      <c r="G524" s="66"/>
      <c r="H524" s="66"/>
      <c r="I524" s="67"/>
      <c r="J524" s="67"/>
      <c r="K524" s="67"/>
      <c r="L524" s="29"/>
      <c r="M524" s="211"/>
      <c r="N524" s="29"/>
      <c r="O524" s="29"/>
      <c r="P524" s="29"/>
      <c r="Q524" s="29"/>
    </row>
    <row r="525" spans="1:17" ht="15.75" customHeight="1" x14ac:dyDescent="0.25">
      <c r="A525" s="29"/>
      <c r="B525" s="64"/>
      <c r="C525" s="29"/>
      <c r="D525" s="65"/>
      <c r="E525" s="65"/>
      <c r="F525" s="66"/>
      <c r="G525" s="66"/>
      <c r="H525" s="66"/>
      <c r="I525" s="67"/>
      <c r="J525" s="67"/>
      <c r="K525" s="67"/>
      <c r="L525" s="29"/>
      <c r="M525" s="211"/>
      <c r="N525" s="29"/>
      <c r="O525" s="29"/>
      <c r="P525" s="29"/>
      <c r="Q525" s="29"/>
    </row>
    <row r="526" spans="1:17" ht="15.75" customHeight="1" x14ac:dyDescent="0.25">
      <c r="A526" s="29"/>
      <c r="B526" s="64"/>
      <c r="C526" s="29"/>
      <c r="D526" s="65"/>
      <c r="E526" s="65"/>
      <c r="F526" s="66"/>
      <c r="G526" s="66"/>
      <c r="H526" s="66"/>
      <c r="I526" s="67"/>
      <c r="J526" s="67"/>
      <c r="K526" s="67"/>
      <c r="L526" s="29"/>
      <c r="M526" s="211"/>
      <c r="N526" s="29"/>
      <c r="O526" s="29"/>
      <c r="P526" s="29"/>
      <c r="Q526" s="29"/>
    </row>
    <row r="527" spans="1:17" ht="15.75" customHeight="1" x14ac:dyDescent="0.25">
      <c r="A527" s="29"/>
      <c r="B527" s="64"/>
      <c r="C527" s="29"/>
      <c r="D527" s="65"/>
      <c r="E527" s="65"/>
      <c r="F527" s="66"/>
      <c r="G527" s="66"/>
      <c r="H527" s="66"/>
      <c r="I527" s="67"/>
      <c r="J527" s="67"/>
      <c r="K527" s="67"/>
      <c r="L527" s="29"/>
      <c r="M527" s="211"/>
      <c r="N527" s="29"/>
      <c r="O527" s="29"/>
      <c r="P527" s="29"/>
      <c r="Q527" s="29"/>
    </row>
    <row r="528" spans="1:17" ht="15.75" customHeight="1" x14ac:dyDescent="0.25">
      <c r="A528" s="29"/>
      <c r="B528" s="64"/>
      <c r="C528" s="29"/>
      <c r="D528" s="65"/>
      <c r="E528" s="65"/>
      <c r="F528" s="66"/>
      <c r="G528" s="66"/>
      <c r="H528" s="66"/>
      <c r="I528" s="67"/>
      <c r="J528" s="67"/>
      <c r="K528" s="67"/>
      <c r="L528" s="29"/>
      <c r="M528" s="211"/>
      <c r="N528" s="29"/>
      <c r="O528" s="29"/>
      <c r="P528" s="29"/>
      <c r="Q528" s="29"/>
    </row>
    <row r="529" spans="1:17" ht="15.75" customHeight="1" x14ac:dyDescent="0.25">
      <c r="A529" s="29"/>
      <c r="B529" s="64"/>
      <c r="C529" s="29"/>
      <c r="D529" s="65"/>
      <c r="E529" s="65"/>
      <c r="F529" s="66"/>
      <c r="G529" s="66"/>
      <c r="H529" s="66"/>
      <c r="I529" s="67"/>
      <c r="J529" s="67"/>
      <c r="K529" s="67"/>
      <c r="L529" s="29"/>
      <c r="M529" s="211"/>
      <c r="N529" s="29"/>
      <c r="O529" s="29"/>
      <c r="P529" s="29"/>
      <c r="Q529" s="29"/>
    </row>
    <row r="530" spans="1:17" ht="15.75" customHeight="1" x14ac:dyDescent="0.25">
      <c r="A530" s="29"/>
      <c r="B530" s="64"/>
      <c r="C530" s="29"/>
      <c r="D530" s="65"/>
      <c r="E530" s="65"/>
      <c r="F530" s="66"/>
      <c r="G530" s="66"/>
      <c r="H530" s="66"/>
      <c r="I530" s="67"/>
      <c r="J530" s="67"/>
      <c r="K530" s="67"/>
      <c r="L530" s="29"/>
      <c r="M530" s="211"/>
      <c r="N530" s="29"/>
      <c r="O530" s="29"/>
      <c r="P530" s="29"/>
      <c r="Q530" s="29"/>
    </row>
    <row r="531" spans="1:17" ht="15.75" customHeight="1" x14ac:dyDescent="0.25">
      <c r="A531" s="29"/>
      <c r="B531" s="64"/>
      <c r="C531" s="29"/>
      <c r="D531" s="65"/>
      <c r="E531" s="65"/>
      <c r="F531" s="66"/>
      <c r="G531" s="66"/>
      <c r="H531" s="66"/>
      <c r="I531" s="67"/>
      <c r="J531" s="67"/>
      <c r="K531" s="67"/>
      <c r="L531" s="29"/>
      <c r="M531" s="211"/>
      <c r="N531" s="29"/>
      <c r="O531" s="29"/>
      <c r="P531" s="29"/>
      <c r="Q531" s="29"/>
    </row>
    <row r="532" spans="1:17" ht="15.75" customHeight="1" x14ac:dyDescent="0.25">
      <c r="A532" s="29"/>
      <c r="B532" s="64"/>
      <c r="C532" s="29"/>
      <c r="D532" s="65"/>
      <c r="E532" s="65"/>
      <c r="F532" s="66"/>
      <c r="G532" s="66"/>
      <c r="H532" s="66"/>
      <c r="I532" s="67"/>
      <c r="J532" s="67"/>
      <c r="K532" s="67"/>
      <c r="L532" s="29"/>
      <c r="M532" s="211"/>
      <c r="N532" s="29"/>
      <c r="O532" s="29"/>
      <c r="P532" s="29"/>
      <c r="Q532" s="29"/>
    </row>
    <row r="533" spans="1:17" ht="15.75" customHeight="1" x14ac:dyDescent="0.25">
      <c r="A533" s="29"/>
      <c r="B533" s="64"/>
      <c r="C533" s="29"/>
      <c r="D533" s="65"/>
      <c r="E533" s="65"/>
      <c r="F533" s="66"/>
      <c r="G533" s="66"/>
      <c r="H533" s="66"/>
      <c r="I533" s="67"/>
      <c r="J533" s="67"/>
      <c r="K533" s="67"/>
      <c r="L533" s="29"/>
      <c r="M533" s="211"/>
      <c r="N533" s="29"/>
      <c r="O533" s="29"/>
      <c r="P533" s="29"/>
      <c r="Q533" s="29"/>
    </row>
    <row r="534" spans="1:17" ht="15.75" customHeight="1" x14ac:dyDescent="0.25">
      <c r="A534" s="29"/>
      <c r="B534" s="64"/>
      <c r="C534" s="29"/>
      <c r="D534" s="65"/>
      <c r="E534" s="65"/>
      <c r="F534" s="66"/>
      <c r="G534" s="66"/>
      <c r="H534" s="66"/>
      <c r="I534" s="67"/>
      <c r="J534" s="67"/>
      <c r="K534" s="67"/>
      <c r="L534" s="29"/>
      <c r="M534" s="211"/>
      <c r="N534" s="29"/>
      <c r="O534" s="29"/>
      <c r="P534" s="29"/>
      <c r="Q534" s="29"/>
    </row>
    <row r="535" spans="1:17" ht="15.75" customHeight="1" x14ac:dyDescent="0.25">
      <c r="A535" s="29"/>
      <c r="B535" s="64"/>
      <c r="C535" s="29"/>
      <c r="D535" s="65"/>
      <c r="E535" s="65"/>
      <c r="F535" s="66"/>
      <c r="G535" s="66"/>
      <c r="H535" s="66"/>
      <c r="I535" s="67"/>
      <c r="J535" s="67"/>
      <c r="K535" s="67"/>
      <c r="L535" s="29"/>
      <c r="M535" s="211"/>
      <c r="N535" s="29"/>
      <c r="O535" s="29"/>
      <c r="P535" s="29"/>
      <c r="Q535" s="29"/>
    </row>
    <row r="536" spans="1:17" ht="15.75" customHeight="1" x14ac:dyDescent="0.25">
      <c r="A536" s="29"/>
      <c r="B536" s="64"/>
      <c r="C536" s="29"/>
      <c r="D536" s="65"/>
      <c r="E536" s="65"/>
      <c r="F536" s="66"/>
      <c r="G536" s="66"/>
      <c r="H536" s="66"/>
      <c r="I536" s="67"/>
      <c r="J536" s="67"/>
      <c r="K536" s="67"/>
      <c r="L536" s="29"/>
      <c r="M536" s="211"/>
      <c r="N536" s="29"/>
      <c r="O536" s="29"/>
      <c r="P536" s="29"/>
      <c r="Q536" s="29"/>
    </row>
    <row r="537" spans="1:17" ht="15.75" customHeight="1" x14ac:dyDescent="0.25">
      <c r="A537" s="29"/>
      <c r="B537" s="64"/>
      <c r="C537" s="29"/>
      <c r="D537" s="65"/>
      <c r="E537" s="65"/>
      <c r="F537" s="66"/>
      <c r="G537" s="66"/>
      <c r="H537" s="66"/>
      <c r="I537" s="67"/>
      <c r="J537" s="67"/>
      <c r="K537" s="67"/>
      <c r="L537" s="29"/>
      <c r="M537" s="211"/>
      <c r="N537" s="29"/>
      <c r="O537" s="29"/>
      <c r="P537" s="29"/>
      <c r="Q537" s="29"/>
    </row>
    <row r="538" spans="1:17" ht="15.75" customHeight="1" x14ac:dyDescent="0.25">
      <c r="A538" s="29"/>
      <c r="B538" s="64"/>
      <c r="C538" s="29"/>
      <c r="D538" s="65"/>
      <c r="E538" s="65"/>
      <c r="F538" s="66"/>
      <c r="G538" s="66"/>
      <c r="H538" s="66"/>
      <c r="I538" s="67"/>
      <c r="J538" s="67"/>
      <c r="K538" s="67"/>
      <c r="L538" s="29"/>
      <c r="M538" s="211"/>
      <c r="N538" s="29"/>
      <c r="O538" s="29"/>
      <c r="P538" s="29"/>
      <c r="Q538" s="29"/>
    </row>
    <row r="539" spans="1:17" ht="15.75" customHeight="1" x14ac:dyDescent="0.25">
      <c r="A539" s="29"/>
      <c r="B539" s="64"/>
      <c r="C539" s="29"/>
      <c r="D539" s="65"/>
      <c r="E539" s="65"/>
      <c r="F539" s="66"/>
      <c r="G539" s="66"/>
      <c r="H539" s="66"/>
      <c r="I539" s="67"/>
      <c r="J539" s="67"/>
      <c r="K539" s="67"/>
      <c r="L539" s="29"/>
      <c r="M539" s="211"/>
      <c r="N539" s="29"/>
      <c r="O539" s="29"/>
      <c r="P539" s="29"/>
      <c r="Q539" s="29"/>
    </row>
    <row r="540" spans="1:17" ht="15.75" customHeight="1" x14ac:dyDescent="0.25">
      <c r="A540" s="29"/>
      <c r="B540" s="64"/>
      <c r="C540" s="29"/>
      <c r="D540" s="65"/>
      <c r="E540" s="65"/>
      <c r="F540" s="66"/>
      <c r="G540" s="66"/>
      <c r="H540" s="66"/>
      <c r="I540" s="67"/>
      <c r="J540" s="67"/>
      <c r="K540" s="67"/>
      <c r="L540" s="29"/>
      <c r="M540" s="211"/>
      <c r="N540" s="29"/>
      <c r="O540" s="29"/>
      <c r="P540" s="29"/>
      <c r="Q540" s="29"/>
    </row>
    <row r="541" spans="1:17" ht="15.75" customHeight="1" x14ac:dyDescent="0.25">
      <c r="A541" s="29"/>
      <c r="B541" s="64"/>
      <c r="C541" s="29"/>
      <c r="D541" s="65"/>
      <c r="E541" s="65"/>
      <c r="F541" s="66"/>
      <c r="G541" s="66"/>
      <c r="H541" s="66"/>
      <c r="I541" s="67"/>
      <c r="J541" s="67"/>
      <c r="K541" s="67"/>
      <c r="L541" s="29"/>
      <c r="M541" s="211"/>
      <c r="N541" s="29"/>
      <c r="O541" s="29"/>
      <c r="P541" s="29"/>
      <c r="Q541" s="29"/>
    </row>
    <row r="542" spans="1:17" ht="15.75" customHeight="1" x14ac:dyDescent="0.25">
      <c r="A542" s="29"/>
      <c r="B542" s="64"/>
      <c r="C542" s="29"/>
      <c r="D542" s="65"/>
      <c r="E542" s="65"/>
      <c r="F542" s="66"/>
      <c r="G542" s="66"/>
      <c r="H542" s="66"/>
      <c r="I542" s="67"/>
      <c r="J542" s="67"/>
      <c r="K542" s="67"/>
      <c r="L542" s="29"/>
      <c r="M542" s="211"/>
      <c r="N542" s="29"/>
      <c r="O542" s="29"/>
      <c r="P542" s="29"/>
      <c r="Q542" s="29"/>
    </row>
    <row r="543" spans="1:17" ht="15.75" customHeight="1" x14ac:dyDescent="0.25">
      <c r="A543" s="29"/>
      <c r="B543" s="64"/>
      <c r="C543" s="29"/>
      <c r="D543" s="65"/>
      <c r="E543" s="65"/>
      <c r="F543" s="66"/>
      <c r="G543" s="66"/>
      <c r="H543" s="66"/>
      <c r="I543" s="67"/>
      <c r="J543" s="67"/>
      <c r="K543" s="67"/>
      <c r="L543" s="29"/>
      <c r="M543" s="211"/>
      <c r="N543" s="29"/>
      <c r="O543" s="29"/>
      <c r="P543" s="29"/>
      <c r="Q543" s="29"/>
    </row>
    <row r="544" spans="1:17" ht="15.75" customHeight="1" x14ac:dyDescent="0.25">
      <c r="A544" s="29"/>
      <c r="B544" s="64"/>
      <c r="C544" s="29"/>
      <c r="D544" s="65"/>
      <c r="E544" s="65"/>
      <c r="F544" s="66"/>
      <c r="G544" s="66"/>
      <c r="H544" s="66"/>
      <c r="I544" s="67"/>
      <c r="J544" s="67"/>
      <c r="K544" s="67"/>
      <c r="L544" s="29"/>
      <c r="M544" s="211"/>
      <c r="N544" s="29"/>
      <c r="O544" s="29"/>
      <c r="P544" s="29"/>
      <c r="Q544" s="29"/>
    </row>
    <row r="545" spans="1:17" ht="15.75" customHeight="1" x14ac:dyDescent="0.25">
      <c r="A545" s="29"/>
      <c r="B545" s="64"/>
      <c r="C545" s="29"/>
      <c r="D545" s="65"/>
      <c r="E545" s="65"/>
      <c r="F545" s="66"/>
      <c r="G545" s="66"/>
      <c r="H545" s="66"/>
      <c r="I545" s="67"/>
      <c r="J545" s="67"/>
      <c r="K545" s="67"/>
      <c r="L545" s="29"/>
      <c r="M545" s="211"/>
      <c r="N545" s="29"/>
      <c r="O545" s="29"/>
      <c r="P545" s="29"/>
      <c r="Q545" s="29"/>
    </row>
    <row r="546" spans="1:17" ht="15.75" customHeight="1" x14ac:dyDescent="0.25">
      <c r="A546" s="29"/>
      <c r="B546" s="64"/>
      <c r="C546" s="29"/>
      <c r="D546" s="65"/>
      <c r="E546" s="65"/>
      <c r="F546" s="66"/>
      <c r="G546" s="66"/>
      <c r="H546" s="66"/>
      <c r="I546" s="67"/>
      <c r="J546" s="67"/>
      <c r="K546" s="67"/>
      <c r="L546" s="29"/>
      <c r="M546" s="211"/>
      <c r="N546" s="29"/>
      <c r="O546" s="29"/>
      <c r="P546" s="29"/>
      <c r="Q546" s="29"/>
    </row>
    <row r="547" spans="1:17" ht="15.75" customHeight="1" x14ac:dyDescent="0.25">
      <c r="A547" s="29"/>
      <c r="B547" s="64"/>
      <c r="C547" s="29"/>
      <c r="D547" s="65"/>
      <c r="E547" s="65"/>
      <c r="F547" s="66"/>
      <c r="G547" s="66"/>
      <c r="H547" s="66"/>
      <c r="I547" s="67"/>
      <c r="J547" s="67"/>
      <c r="K547" s="67"/>
      <c r="L547" s="29"/>
      <c r="M547" s="211"/>
      <c r="N547" s="29"/>
      <c r="O547" s="29"/>
      <c r="P547" s="29"/>
      <c r="Q547" s="29"/>
    </row>
    <row r="548" spans="1:17" ht="15.75" customHeight="1" x14ac:dyDescent="0.25">
      <c r="A548" s="29"/>
      <c r="B548" s="64"/>
      <c r="C548" s="29"/>
      <c r="D548" s="65"/>
      <c r="E548" s="65"/>
      <c r="F548" s="66"/>
      <c r="G548" s="66"/>
      <c r="H548" s="66"/>
      <c r="I548" s="67"/>
      <c r="J548" s="67"/>
      <c r="K548" s="67"/>
      <c r="L548" s="29"/>
      <c r="M548" s="211"/>
      <c r="N548" s="29"/>
      <c r="O548" s="29"/>
      <c r="P548" s="29"/>
      <c r="Q548" s="29"/>
    </row>
    <row r="549" spans="1:17" ht="15.75" customHeight="1" x14ac:dyDescent="0.25">
      <c r="A549" s="29"/>
      <c r="B549" s="64"/>
      <c r="C549" s="29"/>
      <c r="D549" s="65"/>
      <c r="E549" s="65"/>
      <c r="F549" s="66"/>
      <c r="G549" s="66"/>
      <c r="H549" s="66"/>
      <c r="I549" s="67"/>
      <c r="J549" s="67"/>
      <c r="K549" s="67"/>
      <c r="L549" s="29"/>
      <c r="M549" s="211"/>
      <c r="N549" s="29"/>
      <c r="O549" s="29"/>
      <c r="P549" s="29"/>
      <c r="Q549" s="29"/>
    </row>
    <row r="550" spans="1:17" ht="15.75" customHeight="1" x14ac:dyDescent="0.25">
      <c r="A550" s="29"/>
      <c r="B550" s="64"/>
      <c r="C550" s="29"/>
      <c r="D550" s="65"/>
      <c r="E550" s="65"/>
      <c r="F550" s="66"/>
      <c r="G550" s="66"/>
      <c r="H550" s="66"/>
      <c r="I550" s="67"/>
      <c r="J550" s="67"/>
      <c r="K550" s="67"/>
      <c r="L550" s="29"/>
      <c r="M550" s="211"/>
      <c r="N550" s="29"/>
      <c r="O550" s="29"/>
      <c r="P550" s="29"/>
      <c r="Q550" s="29"/>
    </row>
    <row r="551" spans="1:17" ht="15.75" customHeight="1" x14ac:dyDescent="0.25">
      <c r="A551" s="29"/>
      <c r="B551" s="64"/>
      <c r="C551" s="29"/>
      <c r="D551" s="65"/>
      <c r="E551" s="65"/>
      <c r="F551" s="66"/>
      <c r="G551" s="66"/>
      <c r="H551" s="66"/>
      <c r="I551" s="67"/>
      <c r="J551" s="67"/>
      <c r="K551" s="67"/>
      <c r="L551" s="29"/>
      <c r="M551" s="211"/>
      <c r="N551" s="29"/>
      <c r="O551" s="29"/>
      <c r="P551" s="29"/>
      <c r="Q551" s="29"/>
    </row>
    <row r="552" spans="1:17" ht="15.75" customHeight="1" x14ac:dyDescent="0.25">
      <c r="A552" s="29"/>
      <c r="B552" s="64"/>
      <c r="C552" s="29"/>
      <c r="D552" s="65"/>
      <c r="E552" s="65"/>
      <c r="F552" s="66"/>
      <c r="G552" s="66"/>
      <c r="H552" s="66"/>
      <c r="I552" s="67"/>
      <c r="J552" s="67"/>
      <c r="K552" s="67"/>
      <c r="L552" s="29"/>
      <c r="M552" s="211"/>
      <c r="N552" s="29"/>
      <c r="O552" s="29"/>
      <c r="P552" s="29"/>
      <c r="Q552" s="29"/>
    </row>
    <row r="553" spans="1:17" ht="15.75" customHeight="1" x14ac:dyDescent="0.25">
      <c r="A553" s="29"/>
      <c r="B553" s="64"/>
      <c r="C553" s="29"/>
      <c r="D553" s="65"/>
      <c r="E553" s="65"/>
      <c r="F553" s="66"/>
      <c r="G553" s="66"/>
      <c r="H553" s="66"/>
      <c r="I553" s="67"/>
      <c r="J553" s="67"/>
      <c r="K553" s="67"/>
      <c r="L553" s="29"/>
      <c r="M553" s="211"/>
      <c r="N553" s="29"/>
      <c r="O553" s="29"/>
      <c r="P553" s="29"/>
      <c r="Q553" s="29"/>
    </row>
    <row r="554" spans="1:17" ht="15.75" customHeight="1" x14ac:dyDescent="0.25">
      <c r="A554" s="29"/>
      <c r="B554" s="64"/>
      <c r="C554" s="29"/>
      <c r="D554" s="65"/>
      <c r="E554" s="65"/>
      <c r="F554" s="66"/>
      <c r="G554" s="66"/>
      <c r="H554" s="66"/>
      <c r="I554" s="67"/>
      <c r="J554" s="67"/>
      <c r="K554" s="67"/>
      <c r="L554" s="29"/>
      <c r="M554" s="211"/>
      <c r="N554" s="29"/>
      <c r="O554" s="29"/>
      <c r="P554" s="29"/>
      <c r="Q554" s="29"/>
    </row>
    <row r="555" spans="1:17" ht="15.75" customHeight="1" x14ac:dyDescent="0.25">
      <c r="A555" s="29"/>
      <c r="B555" s="64"/>
      <c r="C555" s="29"/>
      <c r="D555" s="65"/>
      <c r="E555" s="65"/>
      <c r="F555" s="66"/>
      <c r="G555" s="66"/>
      <c r="H555" s="66"/>
      <c r="I555" s="67"/>
      <c r="J555" s="67"/>
      <c r="K555" s="67"/>
      <c r="L555" s="29"/>
      <c r="M555" s="211"/>
      <c r="N555" s="29"/>
      <c r="O555" s="29"/>
      <c r="P555" s="29"/>
      <c r="Q555" s="29"/>
    </row>
    <row r="556" spans="1:17" ht="15.75" customHeight="1" x14ac:dyDescent="0.25">
      <c r="A556" s="29"/>
      <c r="B556" s="64"/>
      <c r="C556" s="29"/>
      <c r="D556" s="65"/>
      <c r="E556" s="65"/>
      <c r="F556" s="66"/>
      <c r="G556" s="66"/>
      <c r="H556" s="66"/>
      <c r="I556" s="67"/>
      <c r="J556" s="67"/>
      <c r="K556" s="67"/>
      <c r="L556" s="29"/>
      <c r="M556" s="211"/>
      <c r="N556" s="29"/>
      <c r="O556" s="29"/>
      <c r="P556" s="29"/>
      <c r="Q556" s="29"/>
    </row>
    <row r="557" spans="1:17" ht="15.75" customHeight="1" x14ac:dyDescent="0.25">
      <c r="A557" s="29"/>
      <c r="B557" s="64"/>
      <c r="C557" s="29"/>
      <c r="D557" s="65"/>
      <c r="E557" s="65"/>
      <c r="F557" s="66"/>
      <c r="G557" s="66"/>
      <c r="H557" s="66"/>
      <c r="I557" s="67"/>
      <c r="J557" s="67"/>
      <c r="K557" s="67"/>
      <c r="L557" s="29"/>
      <c r="M557" s="211"/>
      <c r="N557" s="29"/>
      <c r="O557" s="29"/>
      <c r="P557" s="29"/>
      <c r="Q557" s="29"/>
    </row>
    <row r="558" spans="1:17" ht="15.75" customHeight="1" x14ac:dyDescent="0.25">
      <c r="A558" s="29"/>
      <c r="B558" s="64"/>
      <c r="C558" s="29"/>
      <c r="D558" s="65"/>
      <c r="E558" s="65"/>
      <c r="F558" s="66"/>
      <c r="G558" s="66"/>
      <c r="H558" s="66"/>
      <c r="I558" s="67"/>
      <c r="J558" s="67"/>
      <c r="K558" s="67"/>
      <c r="L558" s="29"/>
      <c r="M558" s="211"/>
      <c r="N558" s="29"/>
      <c r="O558" s="29"/>
      <c r="P558" s="29"/>
      <c r="Q558" s="29"/>
    </row>
    <row r="559" spans="1:17" ht="15.75" customHeight="1" x14ac:dyDescent="0.25">
      <c r="A559" s="29"/>
      <c r="B559" s="64"/>
      <c r="C559" s="29"/>
      <c r="D559" s="65"/>
      <c r="E559" s="65"/>
      <c r="F559" s="66"/>
      <c r="G559" s="66"/>
      <c r="H559" s="66"/>
      <c r="I559" s="67"/>
      <c r="J559" s="67"/>
      <c r="K559" s="67"/>
      <c r="L559" s="29"/>
      <c r="M559" s="211"/>
      <c r="N559" s="29"/>
      <c r="O559" s="29"/>
      <c r="P559" s="29"/>
      <c r="Q559" s="29"/>
    </row>
    <row r="560" spans="1:17" ht="15.75" customHeight="1" x14ac:dyDescent="0.25">
      <c r="A560" s="29"/>
      <c r="B560" s="64"/>
      <c r="C560" s="29"/>
      <c r="D560" s="65"/>
      <c r="E560" s="65"/>
      <c r="F560" s="66"/>
      <c r="G560" s="66"/>
      <c r="H560" s="66"/>
      <c r="I560" s="67"/>
      <c r="J560" s="67"/>
      <c r="K560" s="67"/>
      <c r="L560" s="29"/>
      <c r="M560" s="211"/>
      <c r="N560" s="29"/>
      <c r="O560" s="29"/>
      <c r="P560" s="29"/>
      <c r="Q560" s="29"/>
    </row>
    <row r="561" spans="1:17" ht="15.75" customHeight="1" x14ac:dyDescent="0.25">
      <c r="A561" s="29"/>
      <c r="B561" s="64"/>
      <c r="C561" s="29"/>
      <c r="D561" s="65"/>
      <c r="E561" s="65"/>
      <c r="F561" s="66"/>
      <c r="G561" s="66"/>
      <c r="H561" s="66"/>
      <c r="I561" s="67"/>
      <c r="J561" s="67"/>
      <c r="K561" s="67"/>
      <c r="L561" s="29"/>
      <c r="M561" s="211"/>
      <c r="N561" s="29"/>
      <c r="O561" s="29"/>
      <c r="P561" s="29"/>
      <c r="Q561" s="29"/>
    </row>
    <row r="562" spans="1:17" ht="15.75" customHeight="1" x14ac:dyDescent="0.25">
      <c r="A562" s="29"/>
      <c r="B562" s="64"/>
      <c r="C562" s="29"/>
      <c r="D562" s="65"/>
      <c r="E562" s="65"/>
      <c r="F562" s="66"/>
      <c r="G562" s="66"/>
      <c r="H562" s="66"/>
      <c r="I562" s="67"/>
      <c r="J562" s="67"/>
      <c r="K562" s="67"/>
      <c r="L562" s="29"/>
      <c r="M562" s="211"/>
      <c r="N562" s="29"/>
      <c r="O562" s="29"/>
      <c r="P562" s="29"/>
      <c r="Q562" s="29"/>
    </row>
    <row r="563" spans="1:17" ht="15.75" customHeight="1" x14ac:dyDescent="0.25">
      <c r="A563" s="29"/>
      <c r="B563" s="64"/>
      <c r="C563" s="29"/>
      <c r="D563" s="65"/>
      <c r="E563" s="65"/>
      <c r="F563" s="66"/>
      <c r="G563" s="66"/>
      <c r="H563" s="66"/>
      <c r="I563" s="67"/>
      <c r="J563" s="67"/>
      <c r="K563" s="67"/>
      <c r="L563" s="29"/>
      <c r="M563" s="211"/>
      <c r="N563" s="29"/>
      <c r="O563" s="29"/>
      <c r="P563" s="29"/>
      <c r="Q563" s="29"/>
    </row>
    <row r="564" spans="1:17" ht="15.75" customHeight="1" x14ac:dyDescent="0.25">
      <c r="A564" s="29"/>
      <c r="B564" s="64"/>
      <c r="C564" s="29"/>
      <c r="D564" s="65"/>
      <c r="E564" s="65"/>
      <c r="F564" s="66"/>
      <c r="G564" s="66"/>
      <c r="H564" s="66"/>
      <c r="I564" s="67"/>
      <c r="J564" s="67"/>
      <c r="K564" s="67"/>
      <c r="L564" s="29"/>
      <c r="M564" s="211"/>
      <c r="N564" s="29"/>
      <c r="O564" s="29"/>
      <c r="P564" s="29"/>
      <c r="Q564" s="29"/>
    </row>
    <row r="565" spans="1:17" ht="15.75" customHeight="1" x14ac:dyDescent="0.25">
      <c r="A565" s="29"/>
      <c r="B565" s="64"/>
      <c r="C565" s="29"/>
      <c r="D565" s="65"/>
      <c r="E565" s="65"/>
      <c r="F565" s="66"/>
      <c r="G565" s="66"/>
      <c r="H565" s="66"/>
      <c r="I565" s="67"/>
      <c r="J565" s="67"/>
      <c r="K565" s="67"/>
      <c r="L565" s="29"/>
      <c r="M565" s="211"/>
      <c r="N565" s="29"/>
      <c r="O565" s="29"/>
      <c r="P565" s="29"/>
      <c r="Q565" s="29"/>
    </row>
    <row r="566" spans="1:17" ht="15.75" customHeight="1" x14ac:dyDescent="0.25">
      <c r="A566" s="29"/>
      <c r="B566" s="64"/>
      <c r="C566" s="29"/>
      <c r="D566" s="65"/>
      <c r="E566" s="65"/>
      <c r="F566" s="66"/>
      <c r="G566" s="66"/>
      <c r="H566" s="66"/>
      <c r="I566" s="67"/>
      <c r="J566" s="67"/>
      <c r="K566" s="67"/>
      <c r="L566" s="29"/>
      <c r="M566" s="211"/>
      <c r="N566" s="29"/>
      <c r="O566" s="29"/>
      <c r="P566" s="29"/>
      <c r="Q566" s="29"/>
    </row>
    <row r="567" spans="1:17" ht="15.75" customHeight="1" x14ac:dyDescent="0.25">
      <c r="A567" s="29"/>
      <c r="B567" s="64"/>
      <c r="C567" s="29"/>
      <c r="D567" s="65"/>
      <c r="E567" s="65"/>
      <c r="F567" s="66"/>
      <c r="G567" s="66"/>
      <c r="H567" s="66"/>
      <c r="I567" s="67"/>
      <c r="J567" s="67"/>
      <c r="K567" s="67"/>
      <c r="L567" s="29"/>
      <c r="M567" s="211"/>
      <c r="N567" s="29"/>
      <c r="O567" s="29"/>
      <c r="P567" s="29"/>
      <c r="Q567" s="29"/>
    </row>
    <row r="568" spans="1:17" ht="15.75" customHeight="1" x14ac:dyDescent="0.25">
      <c r="A568" s="29"/>
      <c r="B568" s="64"/>
      <c r="C568" s="29"/>
      <c r="D568" s="65"/>
      <c r="E568" s="65"/>
      <c r="F568" s="66"/>
      <c r="G568" s="66"/>
      <c r="H568" s="66"/>
      <c r="I568" s="67"/>
      <c r="J568" s="67"/>
      <c r="K568" s="67"/>
      <c r="L568" s="29"/>
      <c r="M568" s="211"/>
      <c r="N568" s="29"/>
      <c r="O568" s="29"/>
      <c r="P568" s="29"/>
      <c r="Q568" s="29"/>
    </row>
    <row r="569" spans="1:17" ht="15.75" customHeight="1" x14ac:dyDescent="0.25">
      <c r="A569" s="29"/>
      <c r="B569" s="64"/>
      <c r="C569" s="29"/>
      <c r="D569" s="65"/>
      <c r="E569" s="65"/>
      <c r="F569" s="66"/>
      <c r="G569" s="66"/>
      <c r="H569" s="66"/>
      <c r="I569" s="67"/>
      <c r="J569" s="67"/>
      <c r="K569" s="67"/>
      <c r="L569" s="29"/>
      <c r="M569" s="211"/>
      <c r="N569" s="29"/>
      <c r="O569" s="29"/>
      <c r="P569" s="29"/>
      <c r="Q569" s="29"/>
    </row>
    <row r="570" spans="1:17" ht="15.75" customHeight="1" x14ac:dyDescent="0.25">
      <c r="A570" s="29"/>
      <c r="B570" s="64"/>
      <c r="C570" s="29"/>
      <c r="D570" s="65"/>
      <c r="E570" s="65"/>
      <c r="F570" s="66"/>
      <c r="G570" s="66"/>
      <c r="H570" s="66"/>
      <c r="I570" s="67"/>
      <c r="J570" s="67"/>
      <c r="K570" s="67"/>
      <c r="L570" s="29"/>
      <c r="M570" s="211"/>
      <c r="N570" s="29"/>
      <c r="O570" s="29"/>
      <c r="P570" s="29"/>
      <c r="Q570" s="29"/>
    </row>
    <row r="571" spans="1:17" ht="15.75" customHeight="1" x14ac:dyDescent="0.25">
      <c r="A571" s="29"/>
      <c r="B571" s="64"/>
      <c r="C571" s="29"/>
      <c r="D571" s="65"/>
      <c r="E571" s="65"/>
      <c r="F571" s="66"/>
      <c r="G571" s="66"/>
      <c r="H571" s="66"/>
      <c r="I571" s="67"/>
      <c r="J571" s="67"/>
      <c r="K571" s="67"/>
      <c r="L571" s="29"/>
      <c r="M571" s="211"/>
      <c r="N571" s="29"/>
      <c r="O571" s="29"/>
      <c r="P571" s="29"/>
      <c r="Q571" s="29"/>
    </row>
    <row r="572" spans="1:17" ht="15.75" customHeight="1" x14ac:dyDescent="0.25">
      <c r="A572" s="29"/>
      <c r="B572" s="64"/>
      <c r="C572" s="29"/>
      <c r="D572" s="65"/>
      <c r="E572" s="65"/>
      <c r="F572" s="66"/>
      <c r="G572" s="66"/>
      <c r="H572" s="66"/>
      <c r="I572" s="67"/>
      <c r="J572" s="67"/>
      <c r="K572" s="67"/>
      <c r="L572" s="29"/>
      <c r="M572" s="211"/>
      <c r="N572" s="29"/>
      <c r="O572" s="29"/>
      <c r="P572" s="29"/>
      <c r="Q572" s="29"/>
    </row>
    <row r="573" spans="1:17" ht="15.75" customHeight="1" x14ac:dyDescent="0.25">
      <c r="A573" s="29"/>
      <c r="B573" s="64"/>
      <c r="C573" s="29"/>
      <c r="D573" s="65"/>
      <c r="E573" s="65"/>
      <c r="F573" s="66"/>
      <c r="G573" s="66"/>
      <c r="H573" s="66"/>
      <c r="I573" s="67"/>
      <c r="J573" s="67"/>
      <c r="K573" s="67"/>
      <c r="L573" s="29"/>
      <c r="M573" s="211"/>
      <c r="N573" s="29"/>
      <c r="O573" s="29"/>
      <c r="P573" s="29"/>
      <c r="Q573" s="29"/>
    </row>
    <row r="574" spans="1:17" ht="15.75" customHeight="1" x14ac:dyDescent="0.25">
      <c r="A574" s="29"/>
      <c r="B574" s="64"/>
      <c r="C574" s="29"/>
      <c r="D574" s="65"/>
      <c r="E574" s="65"/>
      <c r="F574" s="66"/>
      <c r="G574" s="66"/>
      <c r="H574" s="66"/>
      <c r="I574" s="67"/>
      <c r="J574" s="67"/>
      <c r="K574" s="67"/>
      <c r="L574" s="29"/>
      <c r="M574" s="211"/>
      <c r="N574" s="29"/>
      <c r="O574" s="29"/>
      <c r="P574" s="29"/>
      <c r="Q574" s="29"/>
    </row>
    <row r="575" spans="1:17" ht="15.75" customHeight="1" x14ac:dyDescent="0.25">
      <c r="A575" s="29"/>
      <c r="B575" s="64"/>
      <c r="C575" s="29"/>
      <c r="D575" s="65"/>
      <c r="E575" s="65"/>
      <c r="F575" s="66"/>
      <c r="G575" s="66"/>
      <c r="H575" s="66"/>
      <c r="I575" s="67"/>
      <c r="J575" s="67"/>
      <c r="K575" s="67"/>
      <c r="L575" s="29"/>
      <c r="M575" s="211"/>
      <c r="N575" s="29"/>
      <c r="O575" s="29"/>
      <c r="P575" s="29"/>
      <c r="Q575" s="29"/>
    </row>
    <row r="576" spans="1:17" ht="15.75" customHeight="1" x14ac:dyDescent="0.25">
      <c r="A576" s="29"/>
      <c r="B576" s="64"/>
      <c r="C576" s="29"/>
      <c r="D576" s="65"/>
      <c r="E576" s="65"/>
      <c r="F576" s="66"/>
      <c r="G576" s="66"/>
      <c r="H576" s="66"/>
      <c r="I576" s="67"/>
      <c r="J576" s="67"/>
      <c r="K576" s="67"/>
      <c r="L576" s="29"/>
      <c r="M576" s="211"/>
      <c r="N576" s="29"/>
      <c r="O576" s="29"/>
      <c r="P576" s="29"/>
      <c r="Q576" s="29"/>
    </row>
    <row r="577" spans="1:17" ht="15.75" customHeight="1" x14ac:dyDescent="0.25">
      <c r="A577" s="29"/>
      <c r="B577" s="64"/>
      <c r="C577" s="29"/>
      <c r="D577" s="65"/>
      <c r="E577" s="65"/>
      <c r="F577" s="66"/>
      <c r="G577" s="66"/>
      <c r="H577" s="66"/>
      <c r="I577" s="67"/>
      <c r="J577" s="67"/>
      <c r="K577" s="67"/>
      <c r="L577" s="29"/>
      <c r="M577" s="211"/>
      <c r="N577" s="29"/>
      <c r="O577" s="29"/>
      <c r="P577" s="29"/>
      <c r="Q577" s="29"/>
    </row>
    <row r="578" spans="1:17" ht="15.75" customHeight="1" x14ac:dyDescent="0.25">
      <c r="A578" s="29"/>
      <c r="B578" s="64"/>
      <c r="C578" s="29"/>
      <c r="D578" s="65"/>
      <c r="E578" s="65"/>
      <c r="F578" s="66"/>
      <c r="G578" s="66"/>
      <c r="H578" s="66"/>
      <c r="I578" s="67"/>
      <c r="J578" s="67"/>
      <c r="K578" s="67"/>
      <c r="L578" s="29"/>
      <c r="M578" s="211"/>
      <c r="N578" s="29"/>
      <c r="O578" s="29"/>
      <c r="P578" s="29"/>
      <c r="Q578" s="29"/>
    </row>
    <row r="579" spans="1:17" ht="15.75" customHeight="1" x14ac:dyDescent="0.25">
      <c r="A579" s="29"/>
      <c r="B579" s="64"/>
      <c r="C579" s="29"/>
      <c r="D579" s="65"/>
      <c r="E579" s="65"/>
      <c r="F579" s="66"/>
      <c r="G579" s="66"/>
      <c r="H579" s="66"/>
      <c r="I579" s="67"/>
      <c r="J579" s="67"/>
      <c r="K579" s="67"/>
      <c r="L579" s="29"/>
      <c r="M579" s="211"/>
      <c r="N579" s="29"/>
      <c r="O579" s="29"/>
      <c r="P579" s="29"/>
      <c r="Q579" s="29"/>
    </row>
    <row r="580" spans="1:17" ht="15.75" customHeight="1" x14ac:dyDescent="0.25">
      <c r="A580" s="29"/>
      <c r="B580" s="64"/>
      <c r="C580" s="29"/>
      <c r="D580" s="65"/>
      <c r="E580" s="65"/>
      <c r="F580" s="66"/>
      <c r="G580" s="66"/>
      <c r="H580" s="66"/>
      <c r="I580" s="67"/>
      <c r="J580" s="67"/>
      <c r="K580" s="67"/>
      <c r="L580" s="29"/>
      <c r="M580" s="211"/>
      <c r="N580" s="29"/>
      <c r="O580" s="29"/>
      <c r="P580" s="29"/>
      <c r="Q580" s="29"/>
    </row>
    <row r="581" spans="1:17" ht="15.75" customHeight="1" x14ac:dyDescent="0.25">
      <c r="A581" s="29"/>
      <c r="B581" s="64"/>
      <c r="C581" s="29"/>
      <c r="D581" s="65"/>
      <c r="E581" s="65"/>
      <c r="F581" s="66"/>
      <c r="G581" s="66"/>
      <c r="H581" s="66"/>
      <c r="I581" s="67"/>
      <c r="J581" s="67"/>
      <c r="K581" s="67"/>
      <c r="L581" s="29"/>
      <c r="M581" s="211"/>
      <c r="N581" s="29"/>
      <c r="O581" s="29"/>
      <c r="P581" s="29"/>
      <c r="Q581" s="29"/>
    </row>
    <row r="582" spans="1:17" ht="15.75" customHeight="1" x14ac:dyDescent="0.25">
      <c r="A582" s="29"/>
      <c r="B582" s="64"/>
      <c r="C582" s="29"/>
      <c r="D582" s="65"/>
      <c r="E582" s="65"/>
      <c r="F582" s="66"/>
      <c r="G582" s="66"/>
      <c r="H582" s="66"/>
      <c r="I582" s="67"/>
      <c r="J582" s="67"/>
      <c r="K582" s="67"/>
      <c r="L582" s="29"/>
      <c r="M582" s="211"/>
      <c r="N582" s="29"/>
      <c r="O582" s="29"/>
      <c r="P582" s="29"/>
      <c r="Q582" s="29"/>
    </row>
    <row r="583" spans="1:17" ht="15.75" customHeight="1" x14ac:dyDescent="0.25">
      <c r="A583" s="29"/>
      <c r="B583" s="64"/>
      <c r="C583" s="29"/>
      <c r="D583" s="65"/>
      <c r="E583" s="65"/>
      <c r="F583" s="66"/>
      <c r="G583" s="66"/>
      <c r="H583" s="66"/>
      <c r="I583" s="67"/>
      <c r="J583" s="67"/>
      <c r="K583" s="67"/>
      <c r="L583" s="29"/>
      <c r="M583" s="211"/>
      <c r="N583" s="29"/>
      <c r="O583" s="29"/>
      <c r="P583" s="29"/>
      <c r="Q583" s="29"/>
    </row>
    <row r="584" spans="1:17" ht="15.75" customHeight="1" x14ac:dyDescent="0.25">
      <c r="A584" s="29"/>
      <c r="B584" s="64"/>
      <c r="C584" s="29"/>
      <c r="D584" s="65"/>
      <c r="E584" s="65"/>
      <c r="F584" s="66"/>
      <c r="G584" s="66"/>
      <c r="H584" s="66"/>
      <c r="I584" s="67"/>
      <c r="J584" s="67"/>
      <c r="K584" s="67"/>
      <c r="L584" s="29"/>
      <c r="M584" s="211"/>
      <c r="N584" s="29"/>
      <c r="O584" s="29"/>
      <c r="P584" s="29"/>
      <c r="Q584" s="29"/>
    </row>
    <row r="585" spans="1:17" ht="15.75" customHeight="1" x14ac:dyDescent="0.25">
      <c r="A585" s="29"/>
      <c r="B585" s="64"/>
      <c r="C585" s="29"/>
      <c r="D585" s="65"/>
      <c r="E585" s="65"/>
      <c r="F585" s="66"/>
      <c r="G585" s="66"/>
      <c r="H585" s="66"/>
      <c r="I585" s="67"/>
      <c r="J585" s="67"/>
      <c r="K585" s="67"/>
      <c r="L585" s="29"/>
      <c r="M585" s="211"/>
      <c r="N585" s="29"/>
      <c r="O585" s="29"/>
      <c r="P585" s="29"/>
      <c r="Q585" s="29"/>
    </row>
    <row r="586" spans="1:17" ht="15.75" customHeight="1" x14ac:dyDescent="0.25">
      <c r="A586" s="29"/>
      <c r="B586" s="64"/>
      <c r="C586" s="29"/>
      <c r="D586" s="65"/>
      <c r="E586" s="65"/>
      <c r="F586" s="66"/>
      <c r="G586" s="66"/>
      <c r="H586" s="66"/>
      <c r="I586" s="67"/>
      <c r="J586" s="67"/>
      <c r="K586" s="67"/>
      <c r="L586" s="29"/>
      <c r="M586" s="211"/>
      <c r="N586" s="29"/>
      <c r="O586" s="29"/>
      <c r="P586" s="29"/>
      <c r="Q586" s="29"/>
    </row>
    <row r="587" spans="1:17" ht="15.75" customHeight="1" x14ac:dyDescent="0.25">
      <c r="A587" s="29"/>
      <c r="B587" s="64"/>
      <c r="C587" s="29"/>
      <c r="D587" s="65"/>
      <c r="E587" s="65"/>
      <c r="F587" s="66"/>
      <c r="G587" s="66"/>
      <c r="H587" s="66"/>
      <c r="I587" s="67"/>
      <c r="J587" s="67"/>
      <c r="K587" s="67"/>
      <c r="L587" s="29"/>
      <c r="M587" s="211"/>
      <c r="N587" s="29"/>
      <c r="O587" s="29"/>
      <c r="P587" s="29"/>
      <c r="Q587" s="29"/>
    </row>
    <row r="588" spans="1:17" ht="15.75" customHeight="1" x14ac:dyDescent="0.25">
      <c r="A588" s="29"/>
      <c r="B588" s="64"/>
      <c r="C588" s="29"/>
      <c r="D588" s="65"/>
      <c r="E588" s="65"/>
      <c r="F588" s="66"/>
      <c r="G588" s="66"/>
      <c r="H588" s="66"/>
      <c r="I588" s="67"/>
      <c r="J588" s="67"/>
      <c r="K588" s="67"/>
      <c r="L588" s="29"/>
      <c r="M588" s="211"/>
      <c r="N588" s="29"/>
      <c r="O588" s="29"/>
      <c r="P588" s="29"/>
      <c r="Q588" s="29"/>
    </row>
    <row r="589" spans="1:17" ht="15.75" customHeight="1" x14ac:dyDescent="0.25">
      <c r="A589" s="29"/>
      <c r="B589" s="64"/>
      <c r="C589" s="29"/>
      <c r="D589" s="65"/>
      <c r="E589" s="65"/>
      <c r="F589" s="66"/>
      <c r="G589" s="66"/>
      <c r="H589" s="66"/>
      <c r="I589" s="67"/>
      <c r="J589" s="67"/>
      <c r="K589" s="67"/>
      <c r="L589" s="29"/>
      <c r="M589" s="211"/>
      <c r="N589" s="29"/>
      <c r="O589" s="29"/>
      <c r="P589" s="29"/>
      <c r="Q589" s="29"/>
    </row>
    <row r="590" spans="1:17" ht="15.75" customHeight="1" x14ac:dyDescent="0.25">
      <c r="A590" s="29"/>
      <c r="B590" s="64"/>
      <c r="C590" s="29"/>
      <c r="D590" s="65"/>
      <c r="E590" s="65"/>
      <c r="F590" s="66"/>
      <c r="G590" s="66"/>
      <c r="H590" s="66"/>
      <c r="I590" s="67"/>
      <c r="J590" s="67"/>
      <c r="K590" s="67"/>
      <c r="L590" s="29"/>
      <c r="M590" s="211"/>
      <c r="N590" s="29"/>
      <c r="O590" s="29"/>
      <c r="P590" s="29"/>
      <c r="Q590" s="29"/>
    </row>
    <row r="591" spans="1:17" ht="15.75" customHeight="1" x14ac:dyDescent="0.25">
      <c r="A591" s="29"/>
      <c r="B591" s="64"/>
      <c r="C591" s="29"/>
      <c r="D591" s="65"/>
      <c r="E591" s="65"/>
      <c r="F591" s="66"/>
      <c r="G591" s="66"/>
      <c r="H591" s="66"/>
      <c r="I591" s="67"/>
      <c r="J591" s="67"/>
      <c r="K591" s="67"/>
      <c r="L591" s="29"/>
      <c r="M591" s="211"/>
      <c r="N591" s="29"/>
      <c r="O591" s="29"/>
      <c r="P591" s="29"/>
      <c r="Q591" s="29"/>
    </row>
    <row r="592" spans="1:17" ht="15.75" customHeight="1" x14ac:dyDescent="0.25">
      <c r="A592" s="29"/>
      <c r="B592" s="64"/>
      <c r="C592" s="29"/>
      <c r="D592" s="65"/>
      <c r="E592" s="65"/>
      <c r="F592" s="66"/>
      <c r="G592" s="66"/>
      <c r="H592" s="66"/>
      <c r="I592" s="67"/>
      <c r="J592" s="67"/>
      <c r="K592" s="67"/>
      <c r="L592" s="29"/>
      <c r="M592" s="211"/>
      <c r="N592" s="29"/>
      <c r="O592" s="29"/>
      <c r="P592" s="29"/>
      <c r="Q592" s="29"/>
    </row>
    <row r="593" spans="1:17" ht="15.75" customHeight="1" x14ac:dyDescent="0.25">
      <c r="A593" s="29"/>
      <c r="B593" s="64"/>
      <c r="C593" s="29"/>
      <c r="D593" s="65"/>
      <c r="E593" s="65"/>
      <c r="F593" s="66"/>
      <c r="G593" s="66"/>
      <c r="H593" s="66"/>
      <c r="I593" s="67"/>
      <c r="J593" s="67"/>
      <c r="K593" s="67"/>
      <c r="L593" s="29"/>
      <c r="M593" s="211"/>
      <c r="N593" s="29"/>
      <c r="O593" s="29"/>
      <c r="P593" s="29"/>
      <c r="Q593" s="29"/>
    </row>
    <row r="594" spans="1:17" ht="15.75" customHeight="1" x14ac:dyDescent="0.25">
      <c r="A594" s="29"/>
      <c r="B594" s="64"/>
      <c r="C594" s="29"/>
      <c r="D594" s="65"/>
      <c r="E594" s="65"/>
      <c r="F594" s="66"/>
      <c r="G594" s="66"/>
      <c r="H594" s="66"/>
      <c r="I594" s="67"/>
      <c r="J594" s="67"/>
      <c r="K594" s="67"/>
      <c r="L594" s="29"/>
      <c r="M594" s="211"/>
      <c r="N594" s="29"/>
      <c r="O594" s="29"/>
      <c r="P594" s="29"/>
      <c r="Q594" s="29"/>
    </row>
    <row r="595" spans="1:17" ht="15.75" customHeight="1" x14ac:dyDescent="0.25">
      <c r="A595" s="29"/>
      <c r="B595" s="64"/>
      <c r="C595" s="29"/>
      <c r="D595" s="65"/>
      <c r="E595" s="65"/>
      <c r="F595" s="66"/>
      <c r="G595" s="66"/>
      <c r="H595" s="66"/>
      <c r="I595" s="67"/>
      <c r="J595" s="67"/>
      <c r="K595" s="67"/>
      <c r="L595" s="29"/>
      <c r="M595" s="211"/>
      <c r="N595" s="29"/>
      <c r="O595" s="29"/>
      <c r="P595" s="29"/>
      <c r="Q595" s="29"/>
    </row>
    <row r="596" spans="1:17" ht="15.75" customHeight="1" x14ac:dyDescent="0.25">
      <c r="A596" s="29"/>
      <c r="B596" s="64"/>
      <c r="C596" s="29"/>
      <c r="D596" s="65"/>
      <c r="E596" s="65"/>
      <c r="F596" s="66"/>
      <c r="G596" s="66"/>
      <c r="H596" s="66"/>
      <c r="I596" s="67"/>
      <c r="J596" s="67"/>
      <c r="K596" s="67"/>
      <c r="L596" s="29"/>
      <c r="M596" s="211"/>
      <c r="N596" s="29"/>
      <c r="O596" s="29"/>
      <c r="P596" s="29"/>
      <c r="Q596" s="29"/>
    </row>
    <row r="597" spans="1:17" ht="15.75" customHeight="1" x14ac:dyDescent="0.25">
      <c r="A597" s="29"/>
      <c r="B597" s="64"/>
      <c r="C597" s="29"/>
      <c r="D597" s="65"/>
      <c r="E597" s="65"/>
      <c r="F597" s="66"/>
      <c r="G597" s="66"/>
      <c r="H597" s="66"/>
      <c r="I597" s="67"/>
      <c r="J597" s="67"/>
      <c r="K597" s="67"/>
      <c r="L597" s="29"/>
      <c r="M597" s="211"/>
      <c r="N597" s="29"/>
      <c r="O597" s="29"/>
      <c r="P597" s="29"/>
      <c r="Q597" s="29"/>
    </row>
    <row r="598" spans="1:17" ht="15.75" customHeight="1" x14ac:dyDescent="0.25">
      <c r="A598" s="29"/>
      <c r="B598" s="64"/>
      <c r="C598" s="29"/>
      <c r="D598" s="65"/>
      <c r="E598" s="65"/>
      <c r="F598" s="66"/>
      <c r="G598" s="66"/>
      <c r="H598" s="66"/>
      <c r="I598" s="67"/>
      <c r="J598" s="67"/>
      <c r="K598" s="67"/>
      <c r="L598" s="29"/>
      <c r="M598" s="211"/>
      <c r="N598" s="29"/>
      <c r="O598" s="29"/>
      <c r="P598" s="29"/>
      <c r="Q598" s="29"/>
    </row>
    <row r="599" spans="1:17" ht="15.75" customHeight="1" x14ac:dyDescent="0.25">
      <c r="A599" s="29"/>
      <c r="B599" s="64"/>
      <c r="C599" s="29"/>
      <c r="D599" s="65"/>
      <c r="E599" s="65"/>
      <c r="F599" s="66"/>
      <c r="G599" s="66"/>
      <c r="H599" s="66"/>
      <c r="I599" s="67"/>
      <c r="J599" s="67"/>
      <c r="K599" s="67"/>
      <c r="L599" s="29"/>
      <c r="M599" s="211"/>
      <c r="N599" s="29"/>
      <c r="O599" s="29"/>
      <c r="P599" s="29"/>
      <c r="Q599" s="29"/>
    </row>
    <row r="600" spans="1:17" ht="15.75" customHeight="1" x14ac:dyDescent="0.25">
      <c r="A600" s="29"/>
      <c r="B600" s="64"/>
      <c r="C600" s="29"/>
      <c r="D600" s="65"/>
      <c r="E600" s="65"/>
      <c r="F600" s="66"/>
      <c r="G600" s="66"/>
      <c r="H600" s="66"/>
      <c r="I600" s="67"/>
      <c r="J600" s="67"/>
      <c r="K600" s="67"/>
      <c r="L600" s="29"/>
      <c r="M600" s="211"/>
      <c r="N600" s="29"/>
      <c r="O600" s="29"/>
      <c r="P600" s="29"/>
      <c r="Q600" s="29"/>
    </row>
    <row r="601" spans="1:17" ht="15.75" customHeight="1" x14ac:dyDescent="0.25">
      <c r="A601" s="29"/>
      <c r="B601" s="64"/>
      <c r="C601" s="29"/>
      <c r="D601" s="65"/>
      <c r="E601" s="65"/>
      <c r="F601" s="66"/>
      <c r="G601" s="66"/>
      <c r="H601" s="66"/>
      <c r="I601" s="67"/>
      <c r="J601" s="67"/>
      <c r="K601" s="67"/>
      <c r="L601" s="29"/>
      <c r="M601" s="211"/>
      <c r="N601" s="29"/>
      <c r="O601" s="29"/>
      <c r="P601" s="29"/>
      <c r="Q601" s="29"/>
    </row>
    <row r="602" spans="1:17" ht="15.75" customHeight="1" x14ac:dyDescent="0.25">
      <c r="A602" s="29"/>
      <c r="B602" s="64"/>
      <c r="C602" s="29"/>
      <c r="D602" s="65"/>
      <c r="E602" s="65"/>
      <c r="F602" s="66"/>
      <c r="G602" s="66"/>
      <c r="H602" s="66"/>
      <c r="I602" s="67"/>
      <c r="J602" s="67"/>
      <c r="K602" s="67"/>
      <c r="L602" s="29"/>
      <c r="M602" s="211"/>
      <c r="N602" s="29"/>
      <c r="O602" s="29"/>
      <c r="P602" s="29"/>
      <c r="Q602" s="29"/>
    </row>
    <row r="603" spans="1:17" ht="15.75" customHeight="1" x14ac:dyDescent="0.25">
      <c r="A603" s="29"/>
      <c r="B603" s="64"/>
      <c r="C603" s="29"/>
      <c r="D603" s="65"/>
      <c r="E603" s="65"/>
      <c r="F603" s="66"/>
      <c r="G603" s="66"/>
      <c r="H603" s="66"/>
      <c r="I603" s="67"/>
      <c r="J603" s="67"/>
      <c r="K603" s="67"/>
      <c r="L603" s="29"/>
      <c r="M603" s="211"/>
      <c r="N603" s="29"/>
      <c r="O603" s="29"/>
      <c r="P603" s="29"/>
      <c r="Q603" s="29"/>
    </row>
    <row r="604" spans="1:17" ht="15.75" customHeight="1" x14ac:dyDescent="0.25">
      <c r="A604" s="29"/>
      <c r="B604" s="64"/>
      <c r="C604" s="29"/>
      <c r="D604" s="65"/>
      <c r="E604" s="65"/>
      <c r="F604" s="66"/>
      <c r="G604" s="66"/>
      <c r="H604" s="66"/>
      <c r="I604" s="67"/>
      <c r="J604" s="67"/>
      <c r="K604" s="67"/>
      <c r="L604" s="29"/>
      <c r="M604" s="211"/>
      <c r="N604" s="29"/>
      <c r="O604" s="29"/>
      <c r="P604" s="29"/>
      <c r="Q604" s="29"/>
    </row>
    <row r="605" spans="1:17" ht="15.75" customHeight="1" x14ac:dyDescent="0.25">
      <c r="A605" s="29"/>
      <c r="B605" s="64"/>
      <c r="C605" s="29"/>
      <c r="D605" s="65"/>
      <c r="E605" s="65"/>
      <c r="F605" s="66"/>
      <c r="G605" s="66"/>
      <c r="H605" s="66"/>
      <c r="I605" s="67"/>
      <c r="J605" s="67"/>
      <c r="K605" s="67"/>
      <c r="L605" s="29"/>
      <c r="M605" s="211"/>
      <c r="N605" s="29"/>
      <c r="O605" s="29"/>
      <c r="P605" s="29"/>
      <c r="Q605" s="29"/>
    </row>
    <row r="606" spans="1:17" ht="15.75" customHeight="1" x14ac:dyDescent="0.25">
      <c r="A606" s="29"/>
      <c r="B606" s="64"/>
      <c r="C606" s="29"/>
      <c r="D606" s="65"/>
      <c r="E606" s="65"/>
      <c r="F606" s="66"/>
      <c r="G606" s="66"/>
      <c r="H606" s="66"/>
      <c r="I606" s="67"/>
      <c r="J606" s="67"/>
      <c r="K606" s="67"/>
      <c r="L606" s="29"/>
      <c r="M606" s="211"/>
      <c r="N606" s="29"/>
      <c r="O606" s="29"/>
      <c r="P606" s="29"/>
      <c r="Q606" s="29"/>
    </row>
    <row r="607" spans="1:17" ht="15.75" customHeight="1" x14ac:dyDescent="0.25">
      <c r="A607" s="29"/>
      <c r="B607" s="64"/>
      <c r="C607" s="29"/>
      <c r="D607" s="65"/>
      <c r="E607" s="65"/>
      <c r="F607" s="66"/>
      <c r="G607" s="66"/>
      <c r="H607" s="66"/>
      <c r="I607" s="67"/>
      <c r="J607" s="67"/>
      <c r="K607" s="67"/>
      <c r="L607" s="29"/>
      <c r="M607" s="211"/>
      <c r="N607" s="29"/>
      <c r="O607" s="29"/>
      <c r="P607" s="29"/>
      <c r="Q607" s="29"/>
    </row>
    <row r="608" spans="1:17" ht="15.75" customHeight="1" x14ac:dyDescent="0.25">
      <c r="A608" s="29"/>
      <c r="B608" s="64"/>
      <c r="C608" s="29"/>
      <c r="D608" s="65"/>
      <c r="E608" s="65"/>
      <c r="F608" s="66"/>
      <c r="G608" s="66"/>
      <c r="H608" s="66"/>
      <c r="I608" s="67"/>
      <c r="J608" s="67"/>
      <c r="K608" s="67"/>
      <c r="L608" s="29"/>
      <c r="M608" s="211"/>
      <c r="N608" s="29"/>
      <c r="O608" s="29"/>
      <c r="P608" s="29"/>
      <c r="Q608" s="29"/>
    </row>
    <row r="609" spans="1:17" ht="15.75" customHeight="1" x14ac:dyDescent="0.25">
      <c r="A609" s="29"/>
      <c r="B609" s="64"/>
      <c r="C609" s="29"/>
      <c r="D609" s="65"/>
      <c r="E609" s="65"/>
      <c r="F609" s="66"/>
      <c r="G609" s="66"/>
      <c r="H609" s="66"/>
      <c r="I609" s="67"/>
      <c r="J609" s="67"/>
      <c r="K609" s="67"/>
      <c r="L609" s="29"/>
      <c r="M609" s="211"/>
      <c r="N609" s="29"/>
      <c r="O609" s="29"/>
      <c r="P609" s="29"/>
      <c r="Q609" s="29"/>
    </row>
    <row r="610" spans="1:17" ht="15.75" customHeight="1" x14ac:dyDescent="0.25">
      <c r="A610" s="29"/>
      <c r="B610" s="64"/>
      <c r="C610" s="29"/>
      <c r="D610" s="65"/>
      <c r="E610" s="65"/>
      <c r="F610" s="66"/>
      <c r="G610" s="66"/>
      <c r="H610" s="66"/>
      <c r="I610" s="67"/>
      <c r="J610" s="67"/>
      <c r="K610" s="67"/>
      <c r="L610" s="29"/>
      <c r="M610" s="211"/>
      <c r="N610" s="29"/>
      <c r="O610" s="29"/>
      <c r="P610" s="29"/>
      <c r="Q610" s="29"/>
    </row>
    <row r="611" spans="1:17" ht="15.75" customHeight="1" x14ac:dyDescent="0.25">
      <c r="A611" s="29"/>
      <c r="B611" s="64"/>
      <c r="C611" s="29"/>
      <c r="D611" s="65"/>
      <c r="E611" s="65"/>
      <c r="F611" s="66"/>
      <c r="G611" s="66"/>
      <c r="H611" s="66"/>
      <c r="I611" s="67"/>
      <c r="J611" s="67"/>
      <c r="K611" s="67"/>
      <c r="L611" s="29"/>
      <c r="M611" s="211"/>
      <c r="N611" s="29"/>
      <c r="O611" s="29"/>
      <c r="P611" s="29"/>
      <c r="Q611" s="29"/>
    </row>
    <row r="612" spans="1:17" ht="15.75" customHeight="1" x14ac:dyDescent="0.25">
      <c r="A612" s="29"/>
      <c r="B612" s="64"/>
      <c r="C612" s="29"/>
      <c r="D612" s="65"/>
      <c r="E612" s="65"/>
      <c r="F612" s="66"/>
      <c r="G612" s="66"/>
      <c r="H612" s="66"/>
      <c r="I612" s="67"/>
      <c r="J612" s="67"/>
      <c r="K612" s="67"/>
      <c r="L612" s="29"/>
      <c r="M612" s="211"/>
      <c r="N612" s="29"/>
      <c r="O612" s="29"/>
      <c r="P612" s="29"/>
      <c r="Q612" s="29"/>
    </row>
    <row r="613" spans="1:17" ht="15.75" customHeight="1" x14ac:dyDescent="0.25">
      <c r="A613" s="29"/>
      <c r="B613" s="64"/>
      <c r="C613" s="29"/>
      <c r="D613" s="65"/>
      <c r="E613" s="65"/>
      <c r="F613" s="66"/>
      <c r="G613" s="66"/>
      <c r="H613" s="66"/>
      <c r="I613" s="67"/>
      <c r="J613" s="67"/>
      <c r="K613" s="67"/>
      <c r="L613" s="29"/>
      <c r="M613" s="211"/>
      <c r="N613" s="29"/>
      <c r="O613" s="29"/>
      <c r="P613" s="29"/>
      <c r="Q613" s="29"/>
    </row>
    <row r="614" spans="1:17" ht="15.75" customHeight="1" x14ac:dyDescent="0.25">
      <c r="A614" s="29"/>
      <c r="B614" s="64"/>
      <c r="C614" s="29"/>
      <c r="D614" s="65"/>
      <c r="E614" s="65"/>
      <c r="F614" s="66"/>
      <c r="G614" s="66"/>
      <c r="H614" s="66"/>
      <c r="I614" s="67"/>
      <c r="J614" s="67"/>
      <c r="K614" s="67"/>
      <c r="L614" s="29"/>
      <c r="M614" s="211"/>
      <c r="N614" s="29"/>
      <c r="O614" s="29"/>
      <c r="P614" s="29"/>
      <c r="Q614" s="29"/>
    </row>
    <row r="615" spans="1:17" ht="15.75" customHeight="1" x14ac:dyDescent="0.25">
      <c r="A615" s="29"/>
      <c r="B615" s="64"/>
      <c r="C615" s="29"/>
      <c r="D615" s="65"/>
      <c r="E615" s="65"/>
      <c r="F615" s="66"/>
      <c r="G615" s="66"/>
      <c r="H615" s="66"/>
      <c r="I615" s="67"/>
      <c r="J615" s="67"/>
      <c r="K615" s="67"/>
      <c r="L615" s="29"/>
      <c r="M615" s="211"/>
      <c r="N615" s="29"/>
      <c r="O615" s="29"/>
      <c r="P615" s="29"/>
      <c r="Q615" s="29"/>
    </row>
    <row r="616" spans="1:17" ht="15.75" customHeight="1" x14ac:dyDescent="0.25">
      <c r="A616" s="29"/>
      <c r="B616" s="64"/>
      <c r="C616" s="29"/>
      <c r="D616" s="65"/>
      <c r="E616" s="65"/>
      <c r="F616" s="66"/>
      <c r="G616" s="66"/>
      <c r="H616" s="66"/>
      <c r="I616" s="67"/>
      <c r="J616" s="67"/>
      <c r="K616" s="67"/>
      <c r="L616" s="29"/>
      <c r="M616" s="211"/>
      <c r="N616" s="29"/>
      <c r="O616" s="29"/>
      <c r="P616" s="29"/>
      <c r="Q616" s="29"/>
    </row>
    <row r="617" spans="1:17" ht="15.75" customHeight="1" x14ac:dyDescent="0.25">
      <c r="A617" s="29"/>
      <c r="B617" s="64"/>
      <c r="C617" s="29"/>
      <c r="D617" s="65"/>
      <c r="E617" s="65"/>
      <c r="F617" s="66"/>
      <c r="G617" s="66"/>
      <c r="H617" s="66"/>
      <c r="I617" s="67"/>
      <c r="J617" s="67"/>
      <c r="K617" s="67"/>
      <c r="L617" s="29"/>
      <c r="M617" s="211"/>
      <c r="N617" s="29"/>
      <c r="O617" s="29"/>
      <c r="P617" s="29"/>
      <c r="Q617" s="29"/>
    </row>
    <row r="618" spans="1:17" ht="15.75" customHeight="1" x14ac:dyDescent="0.25">
      <c r="A618" s="29"/>
      <c r="B618" s="64"/>
      <c r="C618" s="29"/>
      <c r="D618" s="65"/>
      <c r="E618" s="65"/>
      <c r="F618" s="66"/>
      <c r="G618" s="66"/>
      <c r="H618" s="66"/>
      <c r="I618" s="67"/>
      <c r="J618" s="67"/>
      <c r="K618" s="67"/>
      <c r="L618" s="29"/>
      <c r="M618" s="211"/>
      <c r="N618" s="29"/>
      <c r="O618" s="29"/>
      <c r="P618" s="29"/>
      <c r="Q618" s="29"/>
    </row>
    <row r="619" spans="1:17" ht="15.75" customHeight="1" x14ac:dyDescent="0.25">
      <c r="A619" s="29"/>
      <c r="B619" s="64"/>
      <c r="C619" s="29"/>
      <c r="D619" s="65"/>
      <c r="E619" s="65"/>
      <c r="F619" s="66"/>
      <c r="G619" s="66"/>
      <c r="H619" s="66"/>
      <c r="I619" s="67"/>
      <c r="J619" s="67"/>
      <c r="K619" s="67"/>
      <c r="L619" s="29"/>
      <c r="M619" s="211"/>
      <c r="N619" s="29"/>
      <c r="O619" s="29"/>
      <c r="P619" s="29"/>
      <c r="Q619" s="29"/>
    </row>
    <row r="620" spans="1:17" ht="15.75" customHeight="1" x14ac:dyDescent="0.25">
      <c r="A620" s="29"/>
      <c r="B620" s="64"/>
      <c r="C620" s="29"/>
      <c r="D620" s="65"/>
      <c r="E620" s="65"/>
      <c r="F620" s="66"/>
      <c r="G620" s="66"/>
      <c r="H620" s="66"/>
      <c r="I620" s="67"/>
      <c r="J620" s="67"/>
      <c r="K620" s="67"/>
      <c r="L620" s="29"/>
      <c r="M620" s="211"/>
      <c r="N620" s="29"/>
      <c r="O620" s="29"/>
      <c r="P620" s="29"/>
      <c r="Q620" s="29"/>
    </row>
    <row r="621" spans="1:17" ht="15.75" customHeight="1" x14ac:dyDescent="0.25">
      <c r="A621" s="29"/>
      <c r="B621" s="64"/>
      <c r="C621" s="29"/>
      <c r="D621" s="65"/>
      <c r="E621" s="65"/>
      <c r="F621" s="66"/>
      <c r="G621" s="66"/>
      <c r="H621" s="66"/>
      <c r="I621" s="67"/>
      <c r="J621" s="67"/>
      <c r="K621" s="67"/>
      <c r="L621" s="29"/>
      <c r="M621" s="211"/>
      <c r="N621" s="29"/>
      <c r="O621" s="29"/>
      <c r="P621" s="29"/>
      <c r="Q621" s="29"/>
    </row>
    <row r="622" spans="1:17" ht="15.75" customHeight="1" x14ac:dyDescent="0.25">
      <c r="A622" s="29"/>
      <c r="B622" s="64"/>
      <c r="C622" s="29"/>
      <c r="D622" s="65"/>
      <c r="E622" s="65"/>
      <c r="F622" s="66"/>
      <c r="G622" s="66"/>
      <c r="H622" s="66"/>
      <c r="I622" s="67"/>
      <c r="J622" s="67"/>
      <c r="K622" s="67"/>
      <c r="L622" s="29"/>
      <c r="M622" s="211"/>
      <c r="N622" s="29"/>
      <c r="O622" s="29"/>
      <c r="P622" s="29"/>
      <c r="Q622" s="29"/>
    </row>
    <row r="623" spans="1:17" ht="15.75" customHeight="1" x14ac:dyDescent="0.25">
      <c r="A623" s="29"/>
      <c r="B623" s="64"/>
      <c r="C623" s="29"/>
      <c r="D623" s="65"/>
      <c r="E623" s="65"/>
      <c r="F623" s="66"/>
      <c r="G623" s="66"/>
      <c r="H623" s="66"/>
      <c r="I623" s="67"/>
      <c r="J623" s="67"/>
      <c r="K623" s="67"/>
      <c r="L623" s="29"/>
      <c r="M623" s="211"/>
      <c r="N623" s="29"/>
      <c r="O623" s="29"/>
      <c r="P623" s="29"/>
      <c r="Q623" s="29"/>
    </row>
    <row r="624" spans="1:17" ht="15.75" customHeight="1" x14ac:dyDescent="0.25">
      <c r="A624" s="29"/>
      <c r="B624" s="64"/>
      <c r="C624" s="29"/>
      <c r="D624" s="65"/>
      <c r="E624" s="65"/>
      <c r="F624" s="66"/>
      <c r="G624" s="66"/>
      <c r="H624" s="66"/>
      <c r="I624" s="67"/>
      <c r="J624" s="67"/>
      <c r="K624" s="67"/>
      <c r="L624" s="29"/>
      <c r="M624" s="211"/>
      <c r="N624" s="29"/>
      <c r="O624" s="29"/>
      <c r="P624" s="29"/>
      <c r="Q624" s="29"/>
    </row>
    <row r="625" spans="1:17" ht="15.75" customHeight="1" x14ac:dyDescent="0.25">
      <c r="A625" s="29"/>
      <c r="B625" s="64"/>
      <c r="C625" s="29"/>
      <c r="D625" s="65"/>
      <c r="E625" s="65"/>
      <c r="F625" s="66"/>
      <c r="G625" s="66"/>
      <c r="H625" s="66"/>
      <c r="I625" s="67"/>
      <c r="J625" s="67"/>
      <c r="K625" s="67"/>
      <c r="L625" s="29"/>
      <c r="M625" s="211"/>
      <c r="N625" s="29"/>
      <c r="O625" s="29"/>
      <c r="P625" s="29"/>
      <c r="Q625" s="29"/>
    </row>
    <row r="626" spans="1:17" ht="15.75" customHeight="1" x14ac:dyDescent="0.25">
      <c r="A626" s="29"/>
      <c r="B626" s="64"/>
      <c r="C626" s="29"/>
      <c r="D626" s="65"/>
      <c r="E626" s="65"/>
      <c r="F626" s="66"/>
      <c r="G626" s="66"/>
      <c r="H626" s="66"/>
      <c r="I626" s="67"/>
      <c r="J626" s="67"/>
      <c r="K626" s="67"/>
      <c r="L626" s="29"/>
      <c r="M626" s="211"/>
      <c r="N626" s="29"/>
      <c r="O626" s="29"/>
      <c r="P626" s="29"/>
      <c r="Q626" s="29"/>
    </row>
    <row r="627" spans="1:17" ht="15.75" customHeight="1" x14ac:dyDescent="0.25">
      <c r="A627" s="29"/>
      <c r="B627" s="64"/>
      <c r="C627" s="29"/>
      <c r="D627" s="65"/>
      <c r="E627" s="65"/>
      <c r="F627" s="66"/>
      <c r="G627" s="66"/>
      <c r="H627" s="66"/>
      <c r="I627" s="67"/>
      <c r="J627" s="67"/>
      <c r="K627" s="67"/>
      <c r="L627" s="29"/>
      <c r="M627" s="211"/>
      <c r="N627" s="29"/>
      <c r="O627" s="29"/>
      <c r="P627" s="29"/>
      <c r="Q627" s="29"/>
    </row>
    <row r="628" spans="1:17" ht="15.75" customHeight="1" x14ac:dyDescent="0.25">
      <c r="A628" s="29"/>
      <c r="B628" s="64"/>
      <c r="C628" s="29"/>
      <c r="D628" s="65"/>
      <c r="E628" s="65"/>
      <c r="F628" s="66"/>
      <c r="G628" s="66"/>
      <c r="H628" s="66"/>
      <c r="I628" s="67"/>
      <c r="J628" s="67"/>
      <c r="K628" s="67"/>
      <c r="L628" s="29"/>
      <c r="M628" s="211"/>
      <c r="N628" s="29"/>
      <c r="O628" s="29"/>
      <c r="P628" s="29"/>
      <c r="Q628" s="29"/>
    </row>
    <row r="629" spans="1:17" ht="15.75" customHeight="1" x14ac:dyDescent="0.25">
      <c r="A629" s="29"/>
      <c r="B629" s="64"/>
      <c r="C629" s="29"/>
      <c r="D629" s="65"/>
      <c r="E629" s="65"/>
      <c r="F629" s="66"/>
      <c r="G629" s="66"/>
      <c r="H629" s="66"/>
      <c r="I629" s="67"/>
      <c r="J629" s="67"/>
      <c r="K629" s="67"/>
      <c r="L629" s="29"/>
      <c r="M629" s="211"/>
      <c r="N629" s="29"/>
      <c r="O629" s="29"/>
      <c r="P629" s="29"/>
      <c r="Q629" s="29"/>
    </row>
    <row r="630" spans="1:17" ht="15.75" customHeight="1" x14ac:dyDescent="0.25">
      <c r="A630" s="29"/>
      <c r="B630" s="64"/>
      <c r="C630" s="29"/>
      <c r="D630" s="65"/>
      <c r="E630" s="65"/>
      <c r="F630" s="66"/>
      <c r="G630" s="66"/>
      <c r="H630" s="66"/>
      <c r="I630" s="67"/>
      <c r="J630" s="67"/>
      <c r="K630" s="67"/>
      <c r="L630" s="29"/>
      <c r="M630" s="211"/>
      <c r="N630" s="29"/>
      <c r="O630" s="29"/>
      <c r="P630" s="29"/>
      <c r="Q630" s="29"/>
    </row>
    <row r="631" spans="1:17" ht="15.75" customHeight="1" x14ac:dyDescent="0.25">
      <c r="A631" s="29"/>
      <c r="B631" s="64"/>
      <c r="C631" s="29"/>
      <c r="D631" s="65"/>
      <c r="E631" s="65"/>
      <c r="F631" s="66"/>
      <c r="G631" s="66"/>
      <c r="H631" s="66"/>
      <c r="I631" s="67"/>
      <c r="J631" s="67"/>
      <c r="K631" s="67"/>
      <c r="L631" s="29"/>
      <c r="M631" s="211"/>
      <c r="N631" s="29"/>
      <c r="O631" s="29"/>
      <c r="P631" s="29"/>
      <c r="Q631" s="29"/>
    </row>
    <row r="632" spans="1:17" ht="15.75" customHeight="1" x14ac:dyDescent="0.25">
      <c r="A632" s="29"/>
      <c r="B632" s="64"/>
      <c r="C632" s="29"/>
      <c r="D632" s="65"/>
      <c r="E632" s="65"/>
      <c r="F632" s="66"/>
      <c r="G632" s="66"/>
      <c r="H632" s="66"/>
      <c r="I632" s="67"/>
      <c r="J632" s="67"/>
      <c r="K632" s="67"/>
      <c r="L632" s="29"/>
      <c r="M632" s="211"/>
      <c r="N632" s="29"/>
      <c r="O632" s="29"/>
      <c r="P632" s="29"/>
      <c r="Q632" s="29"/>
    </row>
    <row r="633" spans="1:17" ht="15.75" customHeight="1" x14ac:dyDescent="0.25">
      <c r="A633" s="29"/>
      <c r="B633" s="64"/>
      <c r="C633" s="29"/>
      <c r="D633" s="65"/>
      <c r="E633" s="65"/>
      <c r="F633" s="66"/>
      <c r="G633" s="66"/>
      <c r="H633" s="66"/>
      <c r="I633" s="67"/>
      <c r="J633" s="67"/>
      <c r="K633" s="67"/>
      <c r="L633" s="29"/>
      <c r="M633" s="211"/>
      <c r="N633" s="29"/>
      <c r="O633" s="29"/>
      <c r="P633" s="29"/>
      <c r="Q633" s="29"/>
    </row>
    <row r="634" spans="1:17" ht="15.75" customHeight="1" x14ac:dyDescent="0.25">
      <c r="A634" s="29"/>
      <c r="B634" s="64"/>
      <c r="C634" s="29"/>
      <c r="D634" s="65"/>
      <c r="E634" s="65"/>
      <c r="F634" s="66"/>
      <c r="G634" s="66"/>
      <c r="H634" s="66"/>
      <c r="I634" s="67"/>
      <c r="J634" s="67"/>
      <c r="K634" s="67"/>
      <c r="L634" s="29"/>
      <c r="M634" s="211"/>
      <c r="N634" s="29"/>
      <c r="O634" s="29"/>
      <c r="P634" s="29"/>
      <c r="Q634" s="29"/>
    </row>
    <row r="635" spans="1:17" ht="15.75" customHeight="1" x14ac:dyDescent="0.25">
      <c r="A635" s="29"/>
      <c r="B635" s="64"/>
      <c r="C635" s="29"/>
      <c r="D635" s="65"/>
      <c r="E635" s="65"/>
      <c r="F635" s="66"/>
      <c r="G635" s="66"/>
      <c r="H635" s="66"/>
      <c r="I635" s="67"/>
      <c r="J635" s="67"/>
      <c r="K635" s="67"/>
      <c r="L635" s="29"/>
      <c r="M635" s="211"/>
      <c r="N635" s="29"/>
      <c r="O635" s="29"/>
      <c r="P635" s="29"/>
      <c r="Q635" s="29"/>
    </row>
    <row r="636" spans="1:17" ht="15.75" customHeight="1" x14ac:dyDescent="0.25">
      <c r="A636" s="29"/>
      <c r="B636" s="64"/>
      <c r="C636" s="29"/>
      <c r="D636" s="65"/>
      <c r="E636" s="65"/>
      <c r="F636" s="66"/>
      <c r="G636" s="66"/>
      <c r="H636" s="66"/>
      <c r="I636" s="67"/>
      <c r="J636" s="67"/>
      <c r="K636" s="67"/>
      <c r="L636" s="29"/>
      <c r="M636" s="211"/>
      <c r="N636" s="29"/>
      <c r="O636" s="29"/>
      <c r="P636" s="29"/>
      <c r="Q636" s="29"/>
    </row>
    <row r="637" spans="1:17" ht="15.75" customHeight="1" x14ac:dyDescent="0.25">
      <c r="A637" s="29"/>
      <c r="B637" s="64"/>
      <c r="C637" s="29"/>
      <c r="D637" s="65"/>
      <c r="E637" s="65"/>
      <c r="F637" s="66"/>
      <c r="G637" s="66"/>
      <c r="H637" s="66"/>
      <c r="I637" s="67"/>
      <c r="J637" s="67"/>
      <c r="K637" s="67"/>
      <c r="L637" s="29"/>
      <c r="M637" s="211"/>
      <c r="N637" s="29"/>
      <c r="O637" s="29"/>
      <c r="P637" s="29"/>
      <c r="Q637" s="29"/>
    </row>
    <row r="638" spans="1:17" ht="15.75" customHeight="1" x14ac:dyDescent="0.25">
      <c r="A638" s="29"/>
      <c r="B638" s="64"/>
      <c r="C638" s="29"/>
      <c r="D638" s="65"/>
      <c r="E638" s="65"/>
      <c r="F638" s="66"/>
      <c r="G638" s="66"/>
      <c r="H638" s="66"/>
      <c r="I638" s="67"/>
      <c r="J638" s="67"/>
      <c r="K638" s="67"/>
      <c r="L638" s="29"/>
      <c r="M638" s="211"/>
      <c r="N638" s="29"/>
      <c r="O638" s="29"/>
      <c r="P638" s="29"/>
      <c r="Q638" s="29"/>
    </row>
    <row r="639" spans="1:17" ht="15.75" customHeight="1" x14ac:dyDescent="0.25">
      <c r="A639" s="29"/>
      <c r="B639" s="64"/>
      <c r="C639" s="29"/>
      <c r="D639" s="65"/>
      <c r="E639" s="65"/>
      <c r="F639" s="66"/>
      <c r="G639" s="66"/>
      <c r="H639" s="66"/>
      <c r="I639" s="67"/>
      <c r="J639" s="67"/>
      <c r="K639" s="67"/>
      <c r="L639" s="29"/>
      <c r="M639" s="211"/>
      <c r="N639" s="29"/>
      <c r="O639" s="29"/>
      <c r="P639" s="29"/>
      <c r="Q639" s="29"/>
    </row>
    <row r="640" spans="1:17" ht="15.75" customHeight="1" x14ac:dyDescent="0.25">
      <c r="A640" s="29"/>
      <c r="B640" s="64"/>
      <c r="C640" s="29"/>
      <c r="D640" s="65"/>
      <c r="E640" s="65"/>
      <c r="F640" s="66"/>
      <c r="G640" s="66"/>
      <c r="H640" s="66"/>
      <c r="I640" s="67"/>
      <c r="J640" s="67"/>
      <c r="K640" s="67"/>
      <c r="L640" s="29"/>
      <c r="M640" s="211"/>
      <c r="N640" s="29"/>
      <c r="O640" s="29"/>
      <c r="P640" s="29"/>
      <c r="Q640" s="29"/>
    </row>
    <row r="641" spans="1:17" ht="15.75" customHeight="1" x14ac:dyDescent="0.25">
      <c r="A641" s="29"/>
      <c r="B641" s="64"/>
      <c r="C641" s="29"/>
      <c r="D641" s="65"/>
      <c r="E641" s="65"/>
      <c r="F641" s="66"/>
      <c r="G641" s="66"/>
      <c r="H641" s="66"/>
      <c r="I641" s="67"/>
      <c r="J641" s="67"/>
      <c r="K641" s="67"/>
      <c r="L641" s="29"/>
      <c r="M641" s="211"/>
      <c r="N641" s="29"/>
      <c r="O641" s="29"/>
      <c r="P641" s="29"/>
      <c r="Q641" s="29"/>
    </row>
    <row r="642" spans="1:17" ht="15.75" customHeight="1" x14ac:dyDescent="0.25">
      <c r="A642" s="29"/>
      <c r="B642" s="64"/>
      <c r="C642" s="29"/>
      <c r="D642" s="65"/>
      <c r="E642" s="65"/>
      <c r="F642" s="66"/>
      <c r="G642" s="66"/>
      <c r="H642" s="66"/>
      <c r="I642" s="67"/>
      <c r="J642" s="67"/>
      <c r="K642" s="67"/>
      <c r="L642" s="29"/>
      <c r="M642" s="211"/>
      <c r="N642" s="29"/>
      <c r="O642" s="29"/>
      <c r="P642" s="29"/>
      <c r="Q642" s="29"/>
    </row>
    <row r="643" spans="1:17" ht="15.75" customHeight="1" x14ac:dyDescent="0.25">
      <c r="A643" s="29"/>
      <c r="B643" s="64"/>
      <c r="C643" s="29"/>
      <c r="D643" s="65"/>
      <c r="E643" s="65"/>
      <c r="F643" s="66"/>
      <c r="G643" s="66"/>
      <c r="H643" s="66"/>
      <c r="I643" s="67"/>
      <c r="J643" s="67"/>
      <c r="K643" s="67"/>
      <c r="L643" s="29"/>
      <c r="M643" s="211"/>
      <c r="N643" s="29"/>
      <c r="O643" s="29"/>
      <c r="P643" s="29"/>
      <c r="Q643" s="29"/>
    </row>
    <row r="644" spans="1:17" ht="15.75" customHeight="1" x14ac:dyDescent="0.25">
      <c r="A644" s="29"/>
      <c r="B644" s="64"/>
      <c r="C644" s="29"/>
      <c r="D644" s="65"/>
      <c r="E644" s="65"/>
      <c r="F644" s="66"/>
      <c r="G644" s="66"/>
      <c r="H644" s="66"/>
      <c r="I644" s="67"/>
      <c r="J644" s="67"/>
      <c r="K644" s="67"/>
      <c r="L644" s="29"/>
      <c r="M644" s="211"/>
      <c r="N644" s="29"/>
      <c r="O644" s="29"/>
      <c r="P644" s="29"/>
      <c r="Q644" s="29"/>
    </row>
    <row r="645" spans="1:17" ht="15.75" customHeight="1" x14ac:dyDescent="0.25">
      <c r="A645" s="29"/>
      <c r="B645" s="64"/>
      <c r="C645" s="29"/>
      <c r="D645" s="65"/>
      <c r="E645" s="65"/>
      <c r="F645" s="66"/>
      <c r="G645" s="66"/>
      <c r="H645" s="66"/>
      <c r="I645" s="67"/>
      <c r="J645" s="67"/>
      <c r="K645" s="67"/>
      <c r="L645" s="29"/>
      <c r="M645" s="211"/>
      <c r="N645" s="29"/>
      <c r="O645" s="29"/>
      <c r="P645" s="29"/>
      <c r="Q645" s="29"/>
    </row>
    <row r="646" spans="1:17" ht="15.75" customHeight="1" x14ac:dyDescent="0.25">
      <c r="A646" s="29"/>
      <c r="B646" s="64"/>
      <c r="C646" s="29"/>
      <c r="D646" s="65"/>
      <c r="E646" s="65"/>
      <c r="F646" s="66"/>
      <c r="G646" s="66"/>
      <c r="H646" s="66"/>
      <c r="I646" s="67"/>
      <c r="J646" s="67"/>
      <c r="K646" s="67"/>
      <c r="L646" s="29"/>
      <c r="M646" s="211"/>
      <c r="N646" s="29"/>
      <c r="O646" s="29"/>
      <c r="P646" s="29"/>
      <c r="Q646" s="29"/>
    </row>
    <row r="647" spans="1:17" ht="15.75" customHeight="1" x14ac:dyDescent="0.25">
      <c r="A647" s="29"/>
      <c r="B647" s="64"/>
      <c r="C647" s="29"/>
      <c r="D647" s="65"/>
      <c r="E647" s="65"/>
      <c r="F647" s="66"/>
      <c r="G647" s="66"/>
      <c r="H647" s="66"/>
      <c r="I647" s="67"/>
      <c r="J647" s="67"/>
      <c r="K647" s="67"/>
      <c r="L647" s="29"/>
      <c r="M647" s="211"/>
      <c r="N647" s="29"/>
      <c r="O647" s="29"/>
      <c r="P647" s="29"/>
      <c r="Q647" s="29"/>
    </row>
    <row r="648" spans="1:17" ht="15.75" customHeight="1" x14ac:dyDescent="0.25">
      <c r="A648" s="29"/>
      <c r="B648" s="64"/>
      <c r="C648" s="29"/>
      <c r="D648" s="65"/>
      <c r="E648" s="65"/>
      <c r="F648" s="66"/>
      <c r="G648" s="66"/>
      <c r="H648" s="66"/>
      <c r="I648" s="67"/>
      <c r="J648" s="67"/>
      <c r="K648" s="67"/>
      <c r="L648" s="29"/>
      <c r="M648" s="211"/>
      <c r="N648" s="29"/>
      <c r="O648" s="29"/>
      <c r="P648" s="29"/>
      <c r="Q648" s="29"/>
    </row>
    <row r="649" spans="1:17" ht="15.75" customHeight="1" x14ac:dyDescent="0.25">
      <c r="A649" s="29"/>
      <c r="B649" s="64"/>
      <c r="C649" s="29"/>
      <c r="D649" s="65"/>
      <c r="E649" s="65"/>
      <c r="F649" s="66"/>
      <c r="G649" s="66"/>
      <c r="H649" s="66"/>
      <c r="I649" s="67"/>
      <c r="J649" s="67"/>
      <c r="K649" s="67"/>
      <c r="L649" s="29"/>
      <c r="M649" s="211"/>
      <c r="N649" s="29"/>
      <c r="O649" s="29"/>
      <c r="P649" s="29"/>
      <c r="Q649" s="29"/>
    </row>
    <row r="650" spans="1:17" ht="15.75" customHeight="1" x14ac:dyDescent="0.25">
      <c r="A650" s="29"/>
      <c r="B650" s="64"/>
      <c r="C650" s="29"/>
      <c r="D650" s="65"/>
      <c r="E650" s="65"/>
      <c r="F650" s="66"/>
      <c r="G650" s="66"/>
      <c r="H650" s="66"/>
      <c r="I650" s="67"/>
      <c r="J650" s="67"/>
      <c r="K650" s="67"/>
      <c r="L650" s="29"/>
      <c r="M650" s="211"/>
      <c r="N650" s="29"/>
      <c r="O650" s="29"/>
      <c r="P650" s="29"/>
      <c r="Q650" s="29"/>
    </row>
    <row r="651" spans="1:17" ht="15.75" customHeight="1" x14ac:dyDescent="0.25">
      <c r="A651" s="29"/>
      <c r="B651" s="64"/>
      <c r="C651" s="29"/>
      <c r="D651" s="65"/>
      <c r="E651" s="65"/>
      <c r="F651" s="66"/>
      <c r="G651" s="66"/>
      <c r="H651" s="66"/>
      <c r="I651" s="67"/>
      <c r="J651" s="67"/>
      <c r="K651" s="67"/>
      <c r="L651" s="29"/>
      <c r="M651" s="211"/>
      <c r="N651" s="29"/>
      <c r="O651" s="29"/>
      <c r="P651" s="29"/>
      <c r="Q651" s="29"/>
    </row>
    <row r="652" spans="1:17" ht="15.75" customHeight="1" x14ac:dyDescent="0.25">
      <c r="A652" s="29"/>
      <c r="B652" s="64"/>
      <c r="C652" s="29"/>
      <c r="D652" s="65"/>
      <c r="E652" s="65"/>
      <c r="F652" s="66"/>
      <c r="G652" s="66"/>
      <c r="H652" s="66"/>
      <c r="I652" s="67"/>
      <c r="J652" s="67"/>
      <c r="K652" s="67"/>
      <c r="L652" s="29"/>
      <c r="M652" s="211"/>
      <c r="N652" s="29"/>
      <c r="O652" s="29"/>
      <c r="P652" s="29"/>
      <c r="Q652" s="29"/>
    </row>
    <row r="653" spans="1:17" ht="15.75" customHeight="1" x14ac:dyDescent="0.25">
      <c r="A653" s="29"/>
      <c r="B653" s="64"/>
      <c r="C653" s="29"/>
      <c r="D653" s="65"/>
      <c r="E653" s="65"/>
      <c r="F653" s="66"/>
      <c r="G653" s="66"/>
      <c r="H653" s="66"/>
      <c r="I653" s="67"/>
      <c r="J653" s="67"/>
      <c r="K653" s="67"/>
      <c r="L653" s="29"/>
      <c r="M653" s="211"/>
      <c r="N653" s="29"/>
      <c r="O653" s="29"/>
      <c r="P653" s="29"/>
      <c r="Q653" s="29"/>
    </row>
    <row r="654" spans="1:17" ht="15.75" customHeight="1" x14ac:dyDescent="0.25">
      <c r="A654" s="29"/>
      <c r="B654" s="64"/>
      <c r="C654" s="29"/>
      <c r="D654" s="65"/>
      <c r="E654" s="65"/>
      <c r="F654" s="66"/>
      <c r="G654" s="66"/>
      <c r="H654" s="66"/>
      <c r="I654" s="67"/>
      <c r="J654" s="67"/>
      <c r="K654" s="67"/>
      <c r="L654" s="29"/>
      <c r="M654" s="211"/>
      <c r="N654" s="29"/>
      <c r="O654" s="29"/>
      <c r="P654" s="29"/>
      <c r="Q654" s="29"/>
    </row>
    <row r="655" spans="1:17" ht="15.75" customHeight="1" x14ac:dyDescent="0.25">
      <c r="A655" s="29"/>
      <c r="B655" s="64"/>
      <c r="C655" s="29"/>
      <c r="D655" s="65"/>
      <c r="E655" s="65"/>
      <c r="F655" s="66"/>
      <c r="G655" s="66"/>
      <c r="H655" s="66"/>
      <c r="I655" s="67"/>
      <c r="J655" s="67"/>
      <c r="K655" s="67"/>
      <c r="L655" s="29"/>
      <c r="M655" s="211"/>
      <c r="N655" s="29"/>
      <c r="O655" s="29"/>
      <c r="P655" s="29"/>
      <c r="Q655" s="29"/>
    </row>
    <row r="656" spans="1:17" ht="15.75" customHeight="1" x14ac:dyDescent="0.25">
      <c r="A656" s="29"/>
      <c r="B656" s="64"/>
      <c r="C656" s="29"/>
      <c r="D656" s="65"/>
      <c r="E656" s="65"/>
      <c r="F656" s="66"/>
      <c r="G656" s="66"/>
      <c r="H656" s="66"/>
      <c r="I656" s="67"/>
      <c r="J656" s="67"/>
      <c r="K656" s="67"/>
      <c r="L656" s="29"/>
      <c r="M656" s="211"/>
      <c r="N656" s="29"/>
      <c r="O656" s="29"/>
      <c r="P656" s="29"/>
      <c r="Q656" s="29"/>
    </row>
    <row r="657" spans="1:17" ht="15.75" customHeight="1" x14ac:dyDescent="0.25">
      <c r="A657" s="29"/>
      <c r="B657" s="64"/>
      <c r="C657" s="29"/>
      <c r="D657" s="65"/>
      <c r="E657" s="65"/>
      <c r="F657" s="66"/>
      <c r="G657" s="66"/>
      <c r="H657" s="66"/>
      <c r="I657" s="67"/>
      <c r="J657" s="67"/>
      <c r="K657" s="67"/>
      <c r="L657" s="29"/>
      <c r="M657" s="211"/>
      <c r="N657" s="29"/>
      <c r="O657" s="29"/>
      <c r="P657" s="29"/>
      <c r="Q657" s="29"/>
    </row>
    <row r="658" spans="1:17" ht="15.75" customHeight="1" x14ac:dyDescent="0.25">
      <c r="A658" s="29"/>
      <c r="B658" s="64"/>
      <c r="C658" s="29"/>
      <c r="D658" s="65"/>
      <c r="E658" s="65"/>
      <c r="F658" s="66"/>
      <c r="G658" s="66"/>
      <c r="H658" s="66"/>
      <c r="I658" s="67"/>
      <c r="J658" s="67"/>
      <c r="K658" s="67"/>
      <c r="L658" s="29"/>
      <c r="M658" s="211"/>
      <c r="N658" s="29"/>
      <c r="O658" s="29"/>
      <c r="P658" s="29"/>
      <c r="Q658" s="29"/>
    </row>
    <row r="659" spans="1:17" ht="15.75" customHeight="1" x14ac:dyDescent="0.25">
      <c r="A659" s="29"/>
      <c r="B659" s="64"/>
      <c r="C659" s="29"/>
      <c r="D659" s="65"/>
      <c r="E659" s="65"/>
      <c r="F659" s="66"/>
      <c r="G659" s="66"/>
      <c r="H659" s="66"/>
      <c r="I659" s="67"/>
      <c r="J659" s="67"/>
      <c r="K659" s="67"/>
      <c r="L659" s="29"/>
      <c r="M659" s="211"/>
      <c r="N659" s="29"/>
      <c r="O659" s="29"/>
      <c r="P659" s="29"/>
      <c r="Q659" s="29"/>
    </row>
    <row r="660" spans="1:17" ht="15.75" customHeight="1" x14ac:dyDescent="0.25">
      <c r="A660" s="29"/>
      <c r="B660" s="64"/>
      <c r="C660" s="29"/>
      <c r="D660" s="65"/>
      <c r="E660" s="65"/>
      <c r="F660" s="66"/>
      <c r="G660" s="66"/>
      <c r="H660" s="66"/>
      <c r="I660" s="67"/>
      <c r="J660" s="67"/>
      <c r="K660" s="67"/>
      <c r="L660" s="29"/>
      <c r="M660" s="211"/>
      <c r="N660" s="29"/>
      <c r="O660" s="29"/>
      <c r="P660" s="29"/>
      <c r="Q660" s="29"/>
    </row>
    <row r="661" spans="1:17" ht="15.75" customHeight="1" x14ac:dyDescent="0.25">
      <c r="A661" s="29"/>
      <c r="B661" s="64"/>
      <c r="C661" s="29"/>
      <c r="D661" s="65"/>
      <c r="E661" s="65"/>
      <c r="F661" s="66"/>
      <c r="G661" s="66"/>
      <c r="H661" s="66"/>
      <c r="I661" s="67"/>
      <c r="J661" s="67"/>
      <c r="K661" s="67"/>
      <c r="L661" s="29"/>
      <c r="M661" s="211"/>
      <c r="N661" s="29"/>
      <c r="O661" s="29"/>
      <c r="P661" s="29"/>
      <c r="Q661" s="29"/>
    </row>
    <row r="662" spans="1:17" ht="15.75" customHeight="1" x14ac:dyDescent="0.25">
      <c r="A662" s="29"/>
      <c r="B662" s="64"/>
      <c r="C662" s="29"/>
      <c r="D662" s="65"/>
      <c r="E662" s="65"/>
      <c r="F662" s="66"/>
      <c r="G662" s="66"/>
      <c r="H662" s="66"/>
      <c r="I662" s="67"/>
      <c r="J662" s="67"/>
      <c r="K662" s="67"/>
      <c r="L662" s="29"/>
      <c r="M662" s="211"/>
      <c r="N662" s="29"/>
      <c r="O662" s="29"/>
      <c r="P662" s="29"/>
      <c r="Q662" s="29"/>
    </row>
    <row r="663" spans="1:17" ht="15.75" customHeight="1" x14ac:dyDescent="0.25">
      <c r="A663" s="29"/>
      <c r="B663" s="64"/>
      <c r="C663" s="29"/>
      <c r="D663" s="65"/>
      <c r="E663" s="65"/>
      <c r="F663" s="66"/>
      <c r="G663" s="66"/>
      <c r="H663" s="66"/>
      <c r="I663" s="67"/>
      <c r="J663" s="67"/>
      <c r="K663" s="67"/>
      <c r="L663" s="29"/>
      <c r="M663" s="211"/>
      <c r="N663" s="29"/>
      <c r="O663" s="29"/>
      <c r="P663" s="29"/>
      <c r="Q663" s="29"/>
    </row>
    <row r="664" spans="1:17" ht="15.75" customHeight="1" x14ac:dyDescent="0.25">
      <c r="A664" s="29"/>
      <c r="B664" s="64"/>
      <c r="C664" s="29"/>
      <c r="D664" s="65"/>
      <c r="E664" s="65"/>
      <c r="F664" s="66"/>
      <c r="G664" s="66"/>
      <c r="H664" s="66"/>
      <c r="I664" s="67"/>
      <c r="J664" s="67"/>
      <c r="K664" s="67"/>
      <c r="L664" s="29"/>
      <c r="M664" s="211"/>
      <c r="N664" s="29"/>
      <c r="O664" s="29"/>
      <c r="P664" s="29"/>
      <c r="Q664" s="29"/>
    </row>
    <row r="665" spans="1:17" ht="15.75" customHeight="1" x14ac:dyDescent="0.25">
      <c r="A665" s="29"/>
      <c r="B665" s="64"/>
      <c r="C665" s="29"/>
      <c r="D665" s="65"/>
      <c r="E665" s="65"/>
      <c r="F665" s="66"/>
      <c r="G665" s="66"/>
      <c r="H665" s="66"/>
      <c r="I665" s="67"/>
      <c r="J665" s="67"/>
      <c r="K665" s="67"/>
      <c r="L665" s="29"/>
      <c r="M665" s="211"/>
      <c r="N665" s="29"/>
      <c r="O665" s="29"/>
      <c r="P665" s="29"/>
      <c r="Q665" s="29"/>
    </row>
    <row r="666" spans="1:17" ht="15.75" customHeight="1" x14ac:dyDescent="0.25">
      <c r="A666" s="29"/>
      <c r="B666" s="64"/>
      <c r="C666" s="29"/>
      <c r="D666" s="65"/>
      <c r="E666" s="65"/>
      <c r="F666" s="66"/>
      <c r="G666" s="66"/>
      <c r="H666" s="66"/>
      <c r="I666" s="67"/>
      <c r="J666" s="67"/>
      <c r="K666" s="67"/>
      <c r="L666" s="29"/>
      <c r="M666" s="211"/>
      <c r="N666" s="29"/>
      <c r="O666" s="29"/>
      <c r="P666" s="29"/>
      <c r="Q666" s="29"/>
    </row>
    <row r="667" spans="1:17" ht="15.75" customHeight="1" x14ac:dyDescent="0.25">
      <c r="A667" s="29"/>
      <c r="B667" s="64"/>
      <c r="C667" s="29"/>
      <c r="D667" s="65"/>
      <c r="E667" s="65"/>
      <c r="F667" s="66"/>
      <c r="G667" s="66"/>
      <c r="H667" s="66"/>
      <c r="I667" s="67"/>
      <c r="J667" s="67"/>
      <c r="K667" s="67"/>
      <c r="L667" s="29"/>
      <c r="M667" s="211"/>
      <c r="N667" s="29"/>
      <c r="O667" s="29"/>
      <c r="P667" s="29"/>
      <c r="Q667" s="29"/>
    </row>
    <row r="668" spans="1:17" ht="15.75" customHeight="1" x14ac:dyDescent="0.25">
      <c r="A668" s="29"/>
      <c r="B668" s="64"/>
      <c r="C668" s="29"/>
      <c r="D668" s="65"/>
      <c r="E668" s="65"/>
      <c r="F668" s="66"/>
      <c r="G668" s="66"/>
      <c r="H668" s="66"/>
      <c r="I668" s="67"/>
      <c r="J668" s="67"/>
      <c r="K668" s="67"/>
      <c r="L668" s="29"/>
      <c r="M668" s="211"/>
      <c r="N668" s="29"/>
      <c r="O668" s="29"/>
      <c r="P668" s="29"/>
      <c r="Q668" s="29"/>
    </row>
    <row r="669" spans="1:17" ht="15.75" customHeight="1" x14ac:dyDescent="0.25">
      <c r="A669" s="29"/>
      <c r="B669" s="64"/>
      <c r="C669" s="29"/>
      <c r="D669" s="65"/>
      <c r="E669" s="65"/>
      <c r="F669" s="66"/>
      <c r="G669" s="66"/>
      <c r="H669" s="66"/>
      <c r="I669" s="67"/>
      <c r="J669" s="67"/>
      <c r="K669" s="67"/>
      <c r="L669" s="29"/>
      <c r="M669" s="211"/>
      <c r="N669" s="29"/>
      <c r="O669" s="29"/>
      <c r="P669" s="29"/>
      <c r="Q669" s="29"/>
    </row>
    <row r="670" spans="1:17" ht="15.75" customHeight="1" x14ac:dyDescent="0.25">
      <c r="A670" s="29"/>
      <c r="B670" s="64"/>
      <c r="C670" s="29"/>
      <c r="D670" s="65"/>
      <c r="E670" s="65"/>
      <c r="F670" s="66"/>
      <c r="G670" s="66"/>
      <c r="H670" s="66"/>
      <c r="I670" s="67"/>
      <c r="J670" s="67"/>
      <c r="K670" s="67"/>
      <c r="L670" s="29"/>
      <c r="M670" s="211"/>
      <c r="N670" s="29"/>
      <c r="O670" s="29"/>
      <c r="P670" s="29"/>
      <c r="Q670" s="29"/>
    </row>
    <row r="671" spans="1:17" ht="15.75" customHeight="1" x14ac:dyDescent="0.25">
      <c r="A671" s="29"/>
      <c r="B671" s="64"/>
      <c r="C671" s="29"/>
      <c r="D671" s="65"/>
      <c r="E671" s="65"/>
      <c r="F671" s="66"/>
      <c r="G671" s="66"/>
      <c r="H671" s="66"/>
      <c r="I671" s="67"/>
      <c r="J671" s="67"/>
      <c r="K671" s="67"/>
      <c r="L671" s="29"/>
      <c r="M671" s="211"/>
      <c r="N671" s="29"/>
      <c r="O671" s="29"/>
      <c r="P671" s="29"/>
      <c r="Q671" s="29"/>
    </row>
    <row r="672" spans="1:17" ht="15.75" customHeight="1" x14ac:dyDescent="0.25">
      <c r="A672" s="29"/>
      <c r="B672" s="64"/>
      <c r="C672" s="29"/>
      <c r="D672" s="65"/>
      <c r="E672" s="65"/>
      <c r="F672" s="66"/>
      <c r="G672" s="66"/>
      <c r="H672" s="66"/>
      <c r="I672" s="67"/>
      <c r="J672" s="67"/>
      <c r="K672" s="67"/>
      <c r="L672" s="29"/>
      <c r="M672" s="211"/>
      <c r="N672" s="29"/>
      <c r="O672" s="29"/>
      <c r="P672" s="29"/>
      <c r="Q672" s="29"/>
    </row>
    <row r="673" spans="1:17" ht="15.75" customHeight="1" x14ac:dyDescent="0.25">
      <c r="A673" s="29"/>
      <c r="B673" s="64"/>
      <c r="C673" s="29"/>
      <c r="D673" s="65"/>
      <c r="E673" s="65"/>
      <c r="F673" s="66"/>
      <c r="G673" s="66"/>
      <c r="H673" s="66"/>
      <c r="I673" s="67"/>
      <c r="J673" s="67"/>
      <c r="K673" s="67"/>
      <c r="L673" s="29"/>
      <c r="M673" s="211"/>
      <c r="N673" s="29"/>
      <c r="O673" s="29"/>
      <c r="P673" s="29"/>
      <c r="Q673" s="29"/>
    </row>
    <row r="674" spans="1:17" ht="15.75" customHeight="1" x14ac:dyDescent="0.25">
      <c r="A674" s="29"/>
      <c r="B674" s="64"/>
      <c r="C674" s="29"/>
      <c r="D674" s="65"/>
      <c r="E674" s="65"/>
      <c r="F674" s="66"/>
      <c r="G674" s="66"/>
      <c r="H674" s="66"/>
      <c r="I674" s="67"/>
      <c r="J674" s="67"/>
      <c r="K674" s="67"/>
      <c r="L674" s="29"/>
      <c r="M674" s="211"/>
      <c r="N674" s="29"/>
      <c r="O674" s="29"/>
      <c r="P674" s="29"/>
      <c r="Q674" s="29"/>
    </row>
    <row r="675" spans="1:17" ht="15.75" customHeight="1" x14ac:dyDescent="0.25">
      <c r="A675" s="29"/>
      <c r="B675" s="64"/>
      <c r="C675" s="29"/>
      <c r="D675" s="65"/>
      <c r="E675" s="65"/>
      <c r="F675" s="66"/>
      <c r="G675" s="66"/>
      <c r="H675" s="66"/>
      <c r="I675" s="67"/>
      <c r="J675" s="67"/>
      <c r="K675" s="67"/>
      <c r="L675" s="29"/>
      <c r="M675" s="211"/>
      <c r="N675" s="29"/>
      <c r="O675" s="29"/>
      <c r="P675" s="29"/>
      <c r="Q675" s="29"/>
    </row>
    <row r="676" spans="1:17" ht="15.75" customHeight="1" x14ac:dyDescent="0.25">
      <c r="A676" s="29"/>
      <c r="B676" s="64"/>
      <c r="C676" s="29"/>
      <c r="D676" s="65"/>
      <c r="E676" s="65"/>
      <c r="F676" s="66"/>
      <c r="G676" s="66"/>
      <c r="H676" s="66"/>
      <c r="I676" s="67"/>
      <c r="J676" s="67"/>
      <c r="K676" s="67"/>
      <c r="L676" s="29"/>
      <c r="M676" s="211"/>
      <c r="N676" s="29"/>
      <c r="O676" s="29"/>
      <c r="P676" s="29"/>
      <c r="Q676" s="29"/>
    </row>
    <row r="677" spans="1:17" ht="15.75" customHeight="1" x14ac:dyDescent="0.25">
      <c r="A677" s="29"/>
      <c r="B677" s="64"/>
      <c r="C677" s="29"/>
      <c r="D677" s="65"/>
      <c r="E677" s="65"/>
      <c r="F677" s="66"/>
      <c r="G677" s="66"/>
      <c r="H677" s="66"/>
      <c r="I677" s="67"/>
      <c r="J677" s="67"/>
      <c r="K677" s="67"/>
      <c r="L677" s="29"/>
      <c r="M677" s="211"/>
      <c r="N677" s="29"/>
      <c r="O677" s="29"/>
      <c r="P677" s="29"/>
      <c r="Q677" s="29"/>
    </row>
    <row r="678" spans="1:17" ht="15.75" customHeight="1" x14ac:dyDescent="0.25">
      <c r="A678" s="29"/>
      <c r="B678" s="64"/>
      <c r="C678" s="29"/>
      <c r="D678" s="65"/>
      <c r="E678" s="65"/>
      <c r="F678" s="66"/>
      <c r="G678" s="66"/>
      <c r="H678" s="66"/>
      <c r="I678" s="67"/>
      <c r="J678" s="67"/>
      <c r="K678" s="67"/>
      <c r="L678" s="29"/>
      <c r="M678" s="211"/>
      <c r="N678" s="29"/>
      <c r="O678" s="29"/>
      <c r="P678" s="29"/>
      <c r="Q678" s="29"/>
    </row>
    <row r="679" spans="1:17" ht="15.75" customHeight="1" x14ac:dyDescent="0.25">
      <c r="A679" s="29"/>
      <c r="B679" s="64"/>
      <c r="C679" s="29"/>
      <c r="D679" s="65"/>
      <c r="E679" s="65"/>
      <c r="F679" s="66"/>
      <c r="G679" s="66"/>
      <c r="H679" s="66"/>
      <c r="I679" s="67"/>
      <c r="J679" s="67"/>
      <c r="K679" s="67"/>
      <c r="L679" s="29"/>
      <c r="M679" s="211"/>
      <c r="N679" s="29"/>
      <c r="O679" s="29"/>
      <c r="P679" s="29"/>
      <c r="Q679" s="29"/>
    </row>
    <row r="680" spans="1:17" ht="15.75" customHeight="1" x14ac:dyDescent="0.25">
      <c r="A680" s="29"/>
      <c r="B680" s="64"/>
      <c r="C680" s="29"/>
      <c r="D680" s="65"/>
      <c r="E680" s="65"/>
      <c r="F680" s="66"/>
      <c r="G680" s="66"/>
      <c r="H680" s="66"/>
      <c r="I680" s="67"/>
      <c r="J680" s="67"/>
      <c r="K680" s="67"/>
      <c r="L680" s="29"/>
      <c r="M680" s="211"/>
      <c r="N680" s="29"/>
      <c r="O680" s="29"/>
      <c r="P680" s="29"/>
      <c r="Q680" s="29"/>
    </row>
    <row r="681" spans="1:17" ht="15.75" customHeight="1" x14ac:dyDescent="0.25">
      <c r="A681" s="29"/>
      <c r="B681" s="64"/>
      <c r="C681" s="29"/>
      <c r="D681" s="65"/>
      <c r="E681" s="65"/>
      <c r="F681" s="66"/>
      <c r="G681" s="66"/>
      <c r="H681" s="66"/>
      <c r="I681" s="67"/>
      <c r="J681" s="67"/>
      <c r="K681" s="67"/>
      <c r="L681" s="29"/>
      <c r="M681" s="211"/>
      <c r="N681" s="29"/>
      <c r="O681" s="29"/>
      <c r="P681" s="29"/>
      <c r="Q681" s="29"/>
    </row>
    <row r="682" spans="1:17" ht="15.75" customHeight="1" x14ac:dyDescent="0.25">
      <c r="A682" s="29"/>
      <c r="B682" s="64"/>
      <c r="C682" s="29"/>
      <c r="D682" s="65"/>
      <c r="E682" s="65"/>
      <c r="F682" s="66"/>
      <c r="G682" s="66"/>
      <c r="H682" s="66"/>
      <c r="I682" s="67"/>
      <c r="J682" s="67"/>
      <c r="K682" s="67"/>
      <c r="L682" s="29"/>
      <c r="M682" s="211"/>
      <c r="N682" s="29"/>
      <c r="O682" s="29"/>
      <c r="P682" s="29"/>
      <c r="Q682" s="29"/>
    </row>
    <row r="683" spans="1:17" ht="15.75" customHeight="1" x14ac:dyDescent="0.25">
      <c r="A683" s="29"/>
      <c r="B683" s="64"/>
      <c r="C683" s="29"/>
      <c r="D683" s="65"/>
      <c r="E683" s="65"/>
      <c r="F683" s="66"/>
      <c r="G683" s="66"/>
      <c r="H683" s="66"/>
      <c r="I683" s="67"/>
      <c r="J683" s="67"/>
      <c r="K683" s="67"/>
      <c r="L683" s="29"/>
      <c r="M683" s="211"/>
      <c r="N683" s="29"/>
      <c r="O683" s="29"/>
      <c r="P683" s="29"/>
      <c r="Q683" s="29"/>
    </row>
    <row r="684" spans="1:17" ht="15.75" customHeight="1" x14ac:dyDescent="0.25">
      <c r="A684" s="29"/>
      <c r="B684" s="64"/>
      <c r="C684" s="29"/>
      <c r="D684" s="65"/>
      <c r="E684" s="65"/>
      <c r="F684" s="66"/>
      <c r="G684" s="66"/>
      <c r="H684" s="66"/>
      <c r="I684" s="67"/>
      <c r="J684" s="67"/>
      <c r="K684" s="67"/>
      <c r="L684" s="29"/>
      <c r="M684" s="211"/>
      <c r="N684" s="29"/>
      <c r="O684" s="29"/>
      <c r="P684" s="29"/>
      <c r="Q684" s="29"/>
    </row>
    <row r="685" spans="1:17" ht="15.75" customHeight="1" x14ac:dyDescent="0.25">
      <c r="A685" s="29"/>
      <c r="B685" s="64"/>
      <c r="C685" s="29"/>
      <c r="D685" s="65"/>
      <c r="E685" s="65"/>
      <c r="F685" s="66"/>
      <c r="G685" s="66"/>
      <c r="H685" s="66"/>
      <c r="I685" s="67"/>
      <c r="J685" s="67"/>
      <c r="K685" s="67"/>
      <c r="L685" s="29"/>
      <c r="M685" s="211"/>
      <c r="N685" s="29"/>
      <c r="O685" s="29"/>
      <c r="P685" s="29"/>
      <c r="Q685" s="29"/>
    </row>
    <row r="686" spans="1:17" ht="15.75" customHeight="1" x14ac:dyDescent="0.25">
      <c r="A686" s="29"/>
      <c r="B686" s="64"/>
      <c r="C686" s="29"/>
      <c r="D686" s="65"/>
      <c r="E686" s="65"/>
      <c r="F686" s="66"/>
      <c r="G686" s="66"/>
      <c r="H686" s="66"/>
      <c r="I686" s="67"/>
      <c r="J686" s="67"/>
      <c r="K686" s="67"/>
      <c r="L686" s="29"/>
      <c r="M686" s="211"/>
      <c r="N686" s="29"/>
      <c r="O686" s="29"/>
      <c r="P686" s="29"/>
      <c r="Q686" s="29"/>
    </row>
    <row r="687" spans="1:17" ht="15.75" customHeight="1" x14ac:dyDescent="0.25">
      <c r="A687" s="29"/>
      <c r="B687" s="64"/>
      <c r="C687" s="29"/>
      <c r="D687" s="65"/>
      <c r="E687" s="65"/>
      <c r="F687" s="66"/>
      <c r="G687" s="66"/>
      <c r="H687" s="66"/>
      <c r="I687" s="67"/>
      <c r="J687" s="67"/>
      <c r="K687" s="67"/>
      <c r="L687" s="29"/>
      <c r="M687" s="211"/>
      <c r="N687" s="29"/>
      <c r="O687" s="29"/>
      <c r="P687" s="29"/>
      <c r="Q687" s="29"/>
    </row>
    <row r="688" spans="1:17" ht="15.75" customHeight="1" x14ac:dyDescent="0.25">
      <c r="A688" s="29"/>
      <c r="B688" s="64"/>
      <c r="C688" s="29"/>
      <c r="D688" s="65"/>
      <c r="E688" s="65"/>
      <c r="F688" s="66"/>
      <c r="G688" s="66"/>
      <c r="H688" s="66"/>
      <c r="I688" s="67"/>
      <c r="J688" s="67"/>
      <c r="K688" s="67"/>
      <c r="L688" s="29"/>
      <c r="M688" s="211"/>
      <c r="N688" s="29"/>
      <c r="O688" s="29"/>
      <c r="P688" s="29"/>
      <c r="Q688" s="29"/>
    </row>
    <row r="689" spans="1:17" ht="15.75" customHeight="1" x14ac:dyDescent="0.25">
      <c r="A689" s="29"/>
      <c r="B689" s="64"/>
      <c r="C689" s="29"/>
      <c r="D689" s="65"/>
      <c r="E689" s="65"/>
      <c r="F689" s="66"/>
      <c r="G689" s="66"/>
      <c r="H689" s="66"/>
      <c r="I689" s="67"/>
      <c r="J689" s="67"/>
      <c r="K689" s="67"/>
      <c r="L689" s="29"/>
      <c r="M689" s="211"/>
      <c r="N689" s="29"/>
      <c r="O689" s="29"/>
      <c r="P689" s="29"/>
      <c r="Q689" s="29"/>
    </row>
    <row r="690" spans="1:17" ht="15.75" customHeight="1" x14ac:dyDescent="0.25">
      <c r="A690" s="29"/>
      <c r="B690" s="64"/>
      <c r="C690" s="29"/>
      <c r="D690" s="65"/>
      <c r="E690" s="65"/>
      <c r="F690" s="66"/>
      <c r="G690" s="66"/>
      <c r="H690" s="66"/>
      <c r="I690" s="67"/>
      <c r="J690" s="67"/>
      <c r="K690" s="67"/>
      <c r="L690" s="29"/>
      <c r="M690" s="211"/>
      <c r="N690" s="29"/>
      <c r="O690" s="29"/>
      <c r="P690" s="29"/>
      <c r="Q690" s="29"/>
    </row>
    <row r="691" spans="1:17" ht="15.75" customHeight="1" x14ac:dyDescent="0.25">
      <c r="A691" s="29"/>
      <c r="B691" s="64"/>
      <c r="C691" s="29"/>
      <c r="D691" s="65"/>
      <c r="E691" s="65"/>
      <c r="F691" s="66"/>
      <c r="G691" s="66"/>
      <c r="H691" s="66"/>
      <c r="I691" s="67"/>
      <c r="J691" s="67"/>
      <c r="K691" s="67"/>
      <c r="L691" s="29"/>
      <c r="M691" s="211"/>
      <c r="N691" s="29"/>
      <c r="O691" s="29"/>
      <c r="P691" s="29"/>
      <c r="Q691" s="29"/>
    </row>
    <row r="692" spans="1:17" ht="15.75" customHeight="1" x14ac:dyDescent="0.25">
      <c r="A692" s="29"/>
      <c r="B692" s="64"/>
      <c r="C692" s="29"/>
      <c r="D692" s="65"/>
      <c r="E692" s="65"/>
      <c r="F692" s="66"/>
      <c r="G692" s="66"/>
      <c r="H692" s="66"/>
      <c r="I692" s="67"/>
      <c r="J692" s="67"/>
      <c r="K692" s="67"/>
      <c r="L692" s="29"/>
      <c r="M692" s="211"/>
      <c r="N692" s="29"/>
      <c r="O692" s="29"/>
      <c r="P692" s="29"/>
      <c r="Q692" s="29"/>
    </row>
    <row r="693" spans="1:17" ht="15.75" customHeight="1" x14ac:dyDescent="0.25">
      <c r="A693" s="29"/>
      <c r="B693" s="64"/>
      <c r="C693" s="29"/>
      <c r="D693" s="65"/>
      <c r="E693" s="65"/>
      <c r="F693" s="66"/>
      <c r="G693" s="66"/>
      <c r="H693" s="66"/>
      <c r="I693" s="67"/>
      <c r="J693" s="67"/>
      <c r="K693" s="67"/>
      <c r="L693" s="29"/>
      <c r="M693" s="211"/>
      <c r="N693" s="29"/>
      <c r="O693" s="29"/>
      <c r="P693" s="29"/>
      <c r="Q693" s="29"/>
    </row>
    <row r="694" spans="1:17" ht="15.75" customHeight="1" x14ac:dyDescent="0.25">
      <c r="A694" s="29"/>
      <c r="B694" s="64"/>
      <c r="C694" s="29"/>
      <c r="D694" s="65"/>
      <c r="E694" s="65"/>
      <c r="F694" s="66"/>
      <c r="G694" s="66"/>
      <c r="H694" s="66"/>
      <c r="I694" s="67"/>
      <c r="J694" s="67"/>
      <c r="K694" s="67"/>
      <c r="L694" s="29"/>
      <c r="M694" s="211"/>
      <c r="N694" s="29"/>
      <c r="O694" s="29"/>
      <c r="P694" s="29"/>
      <c r="Q694" s="29"/>
    </row>
    <row r="695" spans="1:17" ht="15.75" customHeight="1" x14ac:dyDescent="0.25">
      <c r="A695" s="29"/>
      <c r="B695" s="64"/>
      <c r="C695" s="29"/>
      <c r="D695" s="65"/>
      <c r="E695" s="65"/>
      <c r="F695" s="66"/>
      <c r="G695" s="66"/>
      <c r="H695" s="66"/>
      <c r="I695" s="67"/>
      <c r="J695" s="67"/>
      <c r="K695" s="67"/>
      <c r="L695" s="29"/>
      <c r="M695" s="211"/>
      <c r="N695" s="29"/>
      <c r="O695" s="29"/>
      <c r="P695" s="29"/>
      <c r="Q695" s="29"/>
    </row>
    <row r="696" spans="1:17" ht="15.75" customHeight="1" x14ac:dyDescent="0.25">
      <c r="A696" s="29"/>
      <c r="B696" s="64"/>
      <c r="C696" s="29"/>
      <c r="D696" s="65"/>
      <c r="E696" s="65"/>
      <c r="F696" s="66"/>
      <c r="G696" s="66"/>
      <c r="H696" s="66"/>
      <c r="I696" s="67"/>
      <c r="J696" s="67"/>
      <c r="K696" s="67"/>
      <c r="L696" s="29"/>
      <c r="M696" s="211"/>
      <c r="N696" s="29"/>
      <c r="O696" s="29"/>
      <c r="P696" s="29"/>
      <c r="Q696" s="29"/>
    </row>
    <row r="697" spans="1:17" ht="15.75" customHeight="1" x14ac:dyDescent="0.25">
      <c r="A697" s="29"/>
      <c r="B697" s="64"/>
      <c r="C697" s="29"/>
      <c r="D697" s="65"/>
      <c r="E697" s="65"/>
      <c r="F697" s="66"/>
      <c r="G697" s="66"/>
      <c r="H697" s="66"/>
      <c r="I697" s="67"/>
      <c r="J697" s="67"/>
      <c r="K697" s="67"/>
      <c r="L697" s="29"/>
      <c r="M697" s="211"/>
      <c r="N697" s="29"/>
      <c r="O697" s="29"/>
      <c r="P697" s="29"/>
      <c r="Q697" s="29"/>
    </row>
    <row r="698" spans="1:17" ht="15.75" customHeight="1" x14ac:dyDescent="0.25">
      <c r="A698" s="29"/>
      <c r="B698" s="64"/>
      <c r="C698" s="29"/>
      <c r="D698" s="65"/>
      <c r="E698" s="65"/>
      <c r="F698" s="66"/>
      <c r="G698" s="66"/>
      <c r="H698" s="66"/>
      <c r="I698" s="67"/>
      <c r="J698" s="67"/>
      <c r="K698" s="67"/>
      <c r="L698" s="29"/>
      <c r="M698" s="211"/>
      <c r="N698" s="29"/>
      <c r="O698" s="29"/>
      <c r="P698" s="29"/>
      <c r="Q698" s="29"/>
    </row>
    <row r="699" spans="1:17" ht="15.75" customHeight="1" x14ac:dyDescent="0.25">
      <c r="A699" s="29"/>
      <c r="B699" s="64"/>
      <c r="C699" s="29"/>
      <c r="D699" s="65"/>
      <c r="E699" s="65"/>
      <c r="F699" s="66"/>
      <c r="G699" s="66"/>
      <c r="H699" s="66"/>
      <c r="I699" s="67"/>
      <c r="J699" s="67"/>
      <c r="K699" s="67"/>
      <c r="L699" s="29"/>
      <c r="M699" s="211"/>
      <c r="N699" s="29"/>
      <c r="O699" s="29"/>
      <c r="P699" s="29"/>
      <c r="Q699" s="29"/>
    </row>
    <row r="700" spans="1:17" ht="15.75" customHeight="1" x14ac:dyDescent="0.25">
      <c r="A700" s="29"/>
      <c r="B700" s="64"/>
      <c r="C700" s="29"/>
      <c r="D700" s="65"/>
      <c r="E700" s="65"/>
      <c r="F700" s="66"/>
      <c r="G700" s="66"/>
      <c r="H700" s="66"/>
      <c r="I700" s="67"/>
      <c r="J700" s="67"/>
      <c r="K700" s="67"/>
      <c r="L700" s="29"/>
      <c r="M700" s="211"/>
      <c r="N700" s="29"/>
      <c r="O700" s="29"/>
      <c r="P700" s="29"/>
      <c r="Q700" s="29"/>
    </row>
    <row r="701" spans="1:17" ht="15.75" customHeight="1" x14ac:dyDescent="0.25">
      <c r="A701" s="29"/>
      <c r="B701" s="64"/>
      <c r="C701" s="29"/>
      <c r="D701" s="65"/>
      <c r="E701" s="65"/>
      <c r="F701" s="66"/>
      <c r="G701" s="66"/>
      <c r="H701" s="66"/>
      <c r="I701" s="67"/>
      <c r="J701" s="67"/>
      <c r="K701" s="67"/>
      <c r="L701" s="29"/>
      <c r="M701" s="211"/>
      <c r="N701" s="29"/>
      <c r="O701" s="29"/>
      <c r="P701" s="29"/>
      <c r="Q701" s="29"/>
    </row>
    <row r="702" spans="1:17" ht="15.75" customHeight="1" x14ac:dyDescent="0.25">
      <c r="A702" s="29"/>
      <c r="B702" s="64"/>
      <c r="C702" s="29"/>
      <c r="D702" s="65"/>
      <c r="E702" s="65"/>
      <c r="F702" s="66"/>
      <c r="G702" s="66"/>
      <c r="H702" s="66"/>
      <c r="I702" s="67"/>
      <c r="J702" s="67"/>
      <c r="K702" s="67"/>
      <c r="L702" s="29"/>
      <c r="M702" s="211"/>
      <c r="N702" s="29"/>
      <c r="O702" s="29"/>
      <c r="P702" s="29"/>
      <c r="Q702" s="29"/>
    </row>
    <row r="703" spans="1:17" ht="15.75" customHeight="1" x14ac:dyDescent="0.25">
      <c r="A703" s="29"/>
      <c r="B703" s="64"/>
      <c r="C703" s="29"/>
      <c r="D703" s="65"/>
      <c r="E703" s="65"/>
      <c r="F703" s="66"/>
      <c r="G703" s="66"/>
      <c r="H703" s="66"/>
      <c r="I703" s="67"/>
      <c r="J703" s="67"/>
      <c r="K703" s="67"/>
      <c r="L703" s="29"/>
      <c r="M703" s="211"/>
      <c r="N703" s="29"/>
      <c r="O703" s="29"/>
      <c r="P703" s="29"/>
      <c r="Q703" s="29"/>
    </row>
    <row r="704" spans="1:17" ht="15.75" customHeight="1" x14ac:dyDescent="0.25">
      <c r="A704" s="29"/>
      <c r="B704" s="64"/>
      <c r="C704" s="29"/>
      <c r="D704" s="65"/>
      <c r="E704" s="65"/>
      <c r="F704" s="66"/>
      <c r="G704" s="66"/>
      <c r="H704" s="66"/>
      <c r="I704" s="67"/>
      <c r="J704" s="67"/>
      <c r="K704" s="67"/>
      <c r="L704" s="29"/>
      <c r="M704" s="211"/>
      <c r="N704" s="29"/>
      <c r="O704" s="29"/>
      <c r="P704" s="29"/>
      <c r="Q704" s="29"/>
    </row>
    <row r="705" spans="1:17" ht="15.75" customHeight="1" x14ac:dyDescent="0.25">
      <c r="A705" s="29"/>
      <c r="B705" s="64"/>
      <c r="C705" s="29"/>
      <c r="D705" s="65"/>
      <c r="E705" s="65"/>
      <c r="F705" s="66"/>
      <c r="G705" s="66"/>
      <c r="H705" s="66"/>
      <c r="I705" s="67"/>
      <c r="J705" s="67"/>
      <c r="K705" s="67"/>
      <c r="L705" s="29"/>
      <c r="M705" s="211"/>
      <c r="N705" s="29"/>
      <c r="O705" s="29"/>
      <c r="P705" s="29"/>
      <c r="Q705" s="29"/>
    </row>
    <row r="706" spans="1:17" ht="15.75" customHeight="1" x14ac:dyDescent="0.25">
      <c r="A706" s="29"/>
      <c r="B706" s="64"/>
      <c r="C706" s="29"/>
      <c r="D706" s="65"/>
      <c r="E706" s="65"/>
      <c r="F706" s="66"/>
      <c r="G706" s="66"/>
      <c r="H706" s="66"/>
      <c r="I706" s="67"/>
      <c r="J706" s="67"/>
      <c r="K706" s="67"/>
      <c r="L706" s="29"/>
      <c r="M706" s="211"/>
      <c r="N706" s="29"/>
      <c r="O706" s="29"/>
      <c r="P706" s="29"/>
      <c r="Q706" s="29"/>
    </row>
    <row r="707" spans="1:17" ht="15.75" customHeight="1" x14ac:dyDescent="0.25">
      <c r="A707" s="29"/>
      <c r="B707" s="64"/>
      <c r="C707" s="29"/>
      <c r="D707" s="65"/>
      <c r="E707" s="65"/>
      <c r="F707" s="66"/>
      <c r="G707" s="66"/>
      <c r="H707" s="66"/>
      <c r="I707" s="67"/>
      <c r="J707" s="67"/>
      <c r="K707" s="67"/>
      <c r="L707" s="29"/>
      <c r="M707" s="211"/>
      <c r="N707" s="29"/>
      <c r="O707" s="29"/>
      <c r="P707" s="29"/>
      <c r="Q707" s="29"/>
    </row>
    <row r="708" spans="1:17" ht="15.75" customHeight="1" x14ac:dyDescent="0.25">
      <c r="A708" s="29"/>
      <c r="B708" s="64"/>
      <c r="C708" s="29"/>
      <c r="D708" s="65"/>
      <c r="E708" s="65"/>
      <c r="F708" s="66"/>
      <c r="G708" s="66"/>
      <c r="H708" s="66"/>
      <c r="I708" s="67"/>
      <c r="J708" s="67"/>
      <c r="K708" s="67"/>
      <c r="L708" s="29"/>
      <c r="M708" s="211"/>
      <c r="N708" s="29"/>
      <c r="O708" s="29"/>
      <c r="P708" s="29"/>
      <c r="Q708" s="29"/>
    </row>
    <row r="709" spans="1:17" ht="15.75" customHeight="1" x14ac:dyDescent="0.25">
      <c r="A709" s="29"/>
      <c r="B709" s="64"/>
      <c r="C709" s="29"/>
      <c r="D709" s="65"/>
      <c r="E709" s="65"/>
      <c r="F709" s="66"/>
      <c r="G709" s="66"/>
      <c r="H709" s="66"/>
      <c r="I709" s="67"/>
      <c r="J709" s="67"/>
      <c r="K709" s="67"/>
      <c r="L709" s="29"/>
      <c r="M709" s="211"/>
      <c r="N709" s="29"/>
      <c r="O709" s="29"/>
      <c r="P709" s="29"/>
      <c r="Q709" s="29"/>
    </row>
    <row r="710" spans="1:17" ht="15.75" customHeight="1" x14ac:dyDescent="0.25">
      <c r="A710" s="29"/>
      <c r="B710" s="64"/>
      <c r="C710" s="29"/>
      <c r="D710" s="65"/>
      <c r="E710" s="65"/>
      <c r="F710" s="66"/>
      <c r="G710" s="66"/>
      <c r="H710" s="66"/>
      <c r="I710" s="67"/>
      <c r="J710" s="67"/>
      <c r="K710" s="67"/>
      <c r="L710" s="29"/>
      <c r="M710" s="211"/>
      <c r="N710" s="29"/>
      <c r="O710" s="29"/>
      <c r="P710" s="29"/>
      <c r="Q710" s="29"/>
    </row>
    <row r="711" spans="1:17" ht="15.75" customHeight="1" x14ac:dyDescent="0.25">
      <c r="A711" s="29"/>
      <c r="B711" s="64"/>
      <c r="C711" s="29"/>
      <c r="D711" s="65"/>
      <c r="E711" s="65"/>
      <c r="F711" s="66"/>
      <c r="G711" s="66"/>
      <c r="H711" s="66"/>
      <c r="I711" s="67"/>
      <c r="J711" s="67"/>
      <c r="K711" s="67"/>
      <c r="L711" s="29"/>
      <c r="M711" s="211"/>
      <c r="N711" s="29"/>
      <c r="O711" s="29"/>
      <c r="P711" s="29"/>
      <c r="Q711" s="29"/>
    </row>
    <row r="712" spans="1:17" ht="15.75" customHeight="1" x14ac:dyDescent="0.25">
      <c r="A712" s="29"/>
      <c r="B712" s="64"/>
      <c r="C712" s="29"/>
      <c r="D712" s="65"/>
      <c r="E712" s="65"/>
      <c r="F712" s="66"/>
      <c r="G712" s="66"/>
      <c r="H712" s="66"/>
      <c r="I712" s="67"/>
      <c r="J712" s="67"/>
      <c r="K712" s="67"/>
      <c r="L712" s="29"/>
      <c r="M712" s="211"/>
      <c r="N712" s="29"/>
      <c r="O712" s="29"/>
      <c r="P712" s="29"/>
      <c r="Q712" s="29"/>
    </row>
    <row r="713" spans="1:17" ht="15.75" customHeight="1" x14ac:dyDescent="0.25">
      <c r="A713" s="29"/>
      <c r="B713" s="64"/>
      <c r="C713" s="29"/>
      <c r="D713" s="65"/>
      <c r="E713" s="65"/>
      <c r="F713" s="66"/>
      <c r="G713" s="66"/>
      <c r="H713" s="66"/>
      <c r="I713" s="67"/>
      <c r="J713" s="67"/>
      <c r="K713" s="67"/>
      <c r="L713" s="29"/>
      <c r="M713" s="211"/>
      <c r="N713" s="29"/>
      <c r="O713" s="29"/>
      <c r="P713" s="29"/>
      <c r="Q713" s="29"/>
    </row>
    <row r="714" spans="1:17" ht="15.75" customHeight="1" x14ac:dyDescent="0.25">
      <c r="A714" s="29"/>
      <c r="B714" s="64"/>
      <c r="C714" s="29"/>
      <c r="D714" s="65"/>
      <c r="E714" s="65"/>
      <c r="F714" s="66"/>
      <c r="G714" s="66"/>
      <c r="H714" s="66"/>
      <c r="I714" s="67"/>
      <c r="J714" s="67"/>
      <c r="K714" s="67"/>
      <c r="L714" s="29"/>
      <c r="M714" s="211"/>
      <c r="N714" s="29"/>
      <c r="O714" s="29"/>
      <c r="P714" s="29"/>
      <c r="Q714" s="29"/>
    </row>
    <row r="715" spans="1:17" ht="15.75" customHeight="1" x14ac:dyDescent="0.25">
      <c r="A715" s="29"/>
      <c r="B715" s="64"/>
      <c r="C715" s="29"/>
      <c r="D715" s="65"/>
      <c r="E715" s="65"/>
      <c r="F715" s="66"/>
      <c r="G715" s="66"/>
      <c r="H715" s="66"/>
      <c r="I715" s="67"/>
      <c r="J715" s="67"/>
      <c r="K715" s="67"/>
      <c r="L715" s="29"/>
      <c r="M715" s="211"/>
      <c r="N715" s="29"/>
      <c r="O715" s="29"/>
      <c r="P715" s="29"/>
      <c r="Q715" s="29"/>
    </row>
    <row r="716" spans="1:17" ht="15.75" customHeight="1" x14ac:dyDescent="0.25">
      <c r="A716" s="29"/>
      <c r="B716" s="64"/>
      <c r="C716" s="29"/>
      <c r="D716" s="65"/>
      <c r="E716" s="65"/>
      <c r="F716" s="66"/>
      <c r="G716" s="66"/>
      <c r="H716" s="66"/>
      <c r="I716" s="67"/>
      <c r="J716" s="67"/>
      <c r="K716" s="67"/>
      <c r="L716" s="29"/>
      <c r="M716" s="211"/>
      <c r="N716" s="29"/>
      <c r="O716" s="29"/>
      <c r="P716" s="29"/>
      <c r="Q716" s="29"/>
    </row>
    <row r="717" spans="1:17" ht="15.75" customHeight="1" x14ac:dyDescent="0.25">
      <c r="A717" s="29"/>
      <c r="B717" s="64"/>
      <c r="C717" s="29"/>
      <c r="D717" s="65"/>
      <c r="E717" s="65"/>
      <c r="F717" s="66"/>
      <c r="G717" s="66"/>
      <c r="H717" s="66"/>
      <c r="I717" s="67"/>
      <c r="J717" s="67"/>
      <c r="K717" s="67"/>
      <c r="L717" s="29"/>
      <c r="M717" s="211"/>
      <c r="N717" s="29"/>
      <c r="O717" s="29"/>
      <c r="P717" s="29"/>
      <c r="Q717" s="29"/>
    </row>
    <row r="718" spans="1:17" ht="15.75" customHeight="1" x14ac:dyDescent="0.25">
      <c r="A718" s="29"/>
      <c r="B718" s="64"/>
      <c r="C718" s="29"/>
      <c r="D718" s="65"/>
      <c r="E718" s="65"/>
      <c r="F718" s="66"/>
      <c r="G718" s="66"/>
      <c r="H718" s="66"/>
      <c r="I718" s="67"/>
      <c r="J718" s="67"/>
      <c r="K718" s="67"/>
      <c r="L718" s="29"/>
      <c r="M718" s="211"/>
      <c r="N718" s="29"/>
      <c r="O718" s="29"/>
      <c r="P718" s="29"/>
      <c r="Q718" s="29"/>
    </row>
    <row r="719" spans="1:17" ht="15.75" customHeight="1" x14ac:dyDescent="0.25">
      <c r="A719" s="29"/>
      <c r="B719" s="64"/>
      <c r="C719" s="29"/>
      <c r="D719" s="65"/>
      <c r="E719" s="65"/>
      <c r="F719" s="66"/>
      <c r="G719" s="66"/>
      <c r="H719" s="66"/>
      <c r="I719" s="67"/>
      <c r="J719" s="67"/>
      <c r="K719" s="67"/>
      <c r="L719" s="29"/>
      <c r="M719" s="211"/>
      <c r="N719" s="29"/>
      <c r="O719" s="29"/>
      <c r="P719" s="29"/>
      <c r="Q719" s="29"/>
    </row>
    <row r="720" spans="1:17" ht="15.75" customHeight="1" x14ac:dyDescent="0.25">
      <c r="A720" s="29"/>
      <c r="B720" s="64"/>
      <c r="C720" s="29"/>
      <c r="D720" s="65"/>
      <c r="E720" s="65"/>
      <c r="F720" s="66"/>
      <c r="G720" s="66"/>
      <c r="H720" s="66"/>
      <c r="I720" s="67"/>
      <c r="J720" s="67"/>
      <c r="K720" s="67"/>
      <c r="L720" s="29"/>
      <c r="M720" s="211"/>
      <c r="N720" s="29"/>
      <c r="O720" s="29"/>
      <c r="P720" s="29"/>
      <c r="Q720" s="29"/>
    </row>
    <row r="721" spans="1:17" ht="15.75" customHeight="1" x14ac:dyDescent="0.25">
      <c r="A721" s="29"/>
      <c r="B721" s="64"/>
      <c r="C721" s="29"/>
      <c r="D721" s="65"/>
      <c r="E721" s="65"/>
      <c r="F721" s="66"/>
      <c r="G721" s="66"/>
      <c r="H721" s="66"/>
      <c r="I721" s="67"/>
      <c r="J721" s="67"/>
      <c r="K721" s="67"/>
      <c r="L721" s="29"/>
      <c r="M721" s="211"/>
      <c r="N721" s="29"/>
      <c r="O721" s="29"/>
      <c r="P721" s="29"/>
      <c r="Q721" s="29"/>
    </row>
    <row r="722" spans="1:17" ht="15.75" customHeight="1" x14ac:dyDescent="0.25">
      <c r="A722" s="29"/>
      <c r="B722" s="64"/>
      <c r="C722" s="29"/>
      <c r="D722" s="65"/>
      <c r="E722" s="65"/>
      <c r="F722" s="66"/>
      <c r="G722" s="66"/>
      <c r="H722" s="66"/>
      <c r="I722" s="67"/>
      <c r="J722" s="67"/>
      <c r="K722" s="67"/>
      <c r="L722" s="29"/>
      <c r="M722" s="211"/>
      <c r="N722" s="29"/>
      <c r="O722" s="29"/>
      <c r="P722" s="29"/>
      <c r="Q722" s="29"/>
    </row>
    <row r="723" spans="1:17" ht="15.75" customHeight="1" x14ac:dyDescent="0.25">
      <c r="A723" s="29"/>
      <c r="B723" s="64"/>
      <c r="C723" s="29"/>
      <c r="D723" s="65"/>
      <c r="E723" s="65"/>
      <c r="F723" s="66"/>
      <c r="G723" s="66"/>
      <c r="H723" s="66"/>
      <c r="I723" s="67"/>
      <c r="J723" s="67"/>
      <c r="K723" s="67"/>
      <c r="L723" s="29"/>
      <c r="M723" s="211"/>
      <c r="N723" s="29"/>
      <c r="O723" s="29"/>
      <c r="P723" s="29"/>
      <c r="Q723" s="29"/>
    </row>
    <row r="724" spans="1:17" ht="15.75" customHeight="1" x14ac:dyDescent="0.25">
      <c r="A724" s="29"/>
      <c r="B724" s="64"/>
      <c r="C724" s="29"/>
      <c r="D724" s="65"/>
      <c r="E724" s="65"/>
      <c r="F724" s="66"/>
      <c r="G724" s="66"/>
      <c r="H724" s="66"/>
      <c r="I724" s="67"/>
      <c r="J724" s="67"/>
      <c r="K724" s="67"/>
      <c r="L724" s="29"/>
      <c r="M724" s="211"/>
      <c r="N724" s="29"/>
      <c r="O724" s="29"/>
      <c r="P724" s="29"/>
      <c r="Q724" s="29"/>
    </row>
    <row r="725" spans="1:17" ht="15.75" customHeight="1" x14ac:dyDescent="0.25">
      <c r="A725" s="29"/>
      <c r="B725" s="64"/>
      <c r="C725" s="29"/>
      <c r="D725" s="65"/>
      <c r="E725" s="65"/>
      <c r="F725" s="66"/>
      <c r="G725" s="66"/>
      <c r="H725" s="66"/>
      <c r="I725" s="67"/>
      <c r="J725" s="67"/>
      <c r="K725" s="67"/>
      <c r="L725" s="29"/>
      <c r="M725" s="211"/>
      <c r="N725" s="29"/>
      <c r="O725" s="29"/>
      <c r="P725" s="29"/>
      <c r="Q725" s="29"/>
    </row>
    <row r="726" spans="1:17" ht="15.75" customHeight="1" x14ac:dyDescent="0.25">
      <c r="A726" s="29"/>
      <c r="B726" s="64"/>
      <c r="C726" s="29"/>
      <c r="D726" s="65"/>
      <c r="E726" s="65"/>
      <c r="F726" s="66"/>
      <c r="G726" s="66"/>
      <c r="H726" s="66"/>
      <c r="I726" s="67"/>
      <c r="J726" s="67"/>
      <c r="K726" s="67"/>
      <c r="L726" s="29"/>
      <c r="M726" s="211"/>
      <c r="N726" s="29"/>
      <c r="O726" s="29"/>
      <c r="P726" s="29"/>
      <c r="Q726" s="29"/>
    </row>
    <row r="727" spans="1:17" ht="15.75" customHeight="1" x14ac:dyDescent="0.25">
      <c r="A727" s="29"/>
      <c r="B727" s="64"/>
      <c r="C727" s="29"/>
      <c r="D727" s="65"/>
      <c r="E727" s="65"/>
      <c r="F727" s="66"/>
      <c r="G727" s="66"/>
      <c r="H727" s="66"/>
      <c r="I727" s="67"/>
      <c r="J727" s="67"/>
      <c r="K727" s="67"/>
      <c r="L727" s="29"/>
      <c r="M727" s="211"/>
      <c r="N727" s="29"/>
      <c r="O727" s="29"/>
      <c r="P727" s="29"/>
      <c r="Q727" s="29"/>
    </row>
    <row r="728" spans="1:17" ht="15.75" customHeight="1" x14ac:dyDescent="0.25">
      <c r="A728" s="29"/>
      <c r="B728" s="64"/>
      <c r="C728" s="29"/>
      <c r="D728" s="65"/>
      <c r="E728" s="65"/>
      <c r="F728" s="66"/>
      <c r="G728" s="66"/>
      <c r="H728" s="66"/>
      <c r="I728" s="67"/>
      <c r="J728" s="67"/>
      <c r="K728" s="67"/>
      <c r="L728" s="29"/>
      <c r="M728" s="211"/>
      <c r="N728" s="29"/>
      <c r="O728" s="29"/>
      <c r="P728" s="29"/>
      <c r="Q728" s="29"/>
    </row>
    <row r="729" spans="1:17" ht="15.75" customHeight="1" x14ac:dyDescent="0.25">
      <c r="A729" s="29"/>
      <c r="B729" s="64"/>
      <c r="C729" s="29"/>
      <c r="D729" s="65"/>
      <c r="E729" s="65"/>
      <c r="F729" s="66"/>
      <c r="G729" s="66"/>
      <c r="H729" s="66"/>
      <c r="I729" s="67"/>
      <c r="J729" s="67"/>
      <c r="K729" s="67"/>
      <c r="L729" s="29"/>
      <c r="M729" s="211"/>
      <c r="N729" s="29"/>
      <c r="O729" s="29"/>
      <c r="P729" s="29"/>
      <c r="Q729" s="29"/>
    </row>
    <row r="730" spans="1:17" ht="15.75" customHeight="1" x14ac:dyDescent="0.25">
      <c r="A730" s="29"/>
      <c r="B730" s="64"/>
      <c r="C730" s="29"/>
      <c r="D730" s="65"/>
      <c r="E730" s="65"/>
      <c r="F730" s="66"/>
      <c r="G730" s="66"/>
      <c r="H730" s="66"/>
      <c r="I730" s="67"/>
      <c r="J730" s="67"/>
      <c r="K730" s="67"/>
      <c r="L730" s="29"/>
      <c r="M730" s="211"/>
      <c r="N730" s="29"/>
      <c r="O730" s="29"/>
      <c r="P730" s="29"/>
      <c r="Q730" s="29"/>
    </row>
    <row r="731" spans="1:17" ht="15.75" customHeight="1" x14ac:dyDescent="0.25">
      <c r="A731" s="29"/>
      <c r="B731" s="64"/>
      <c r="C731" s="29"/>
      <c r="D731" s="65"/>
      <c r="E731" s="65"/>
      <c r="F731" s="66"/>
      <c r="G731" s="66"/>
      <c r="H731" s="66"/>
      <c r="I731" s="67"/>
      <c r="J731" s="67"/>
      <c r="K731" s="67"/>
      <c r="L731" s="29"/>
      <c r="M731" s="211"/>
      <c r="N731" s="29"/>
      <c r="O731" s="29"/>
      <c r="P731" s="29"/>
      <c r="Q731" s="29"/>
    </row>
    <row r="732" spans="1:17" ht="15.75" customHeight="1" x14ac:dyDescent="0.25">
      <c r="A732" s="29"/>
      <c r="B732" s="64"/>
      <c r="C732" s="29"/>
      <c r="D732" s="65"/>
      <c r="E732" s="65"/>
      <c r="F732" s="66"/>
      <c r="G732" s="66"/>
      <c r="H732" s="66"/>
      <c r="I732" s="67"/>
      <c r="J732" s="67"/>
      <c r="K732" s="67"/>
      <c r="L732" s="29"/>
      <c r="M732" s="211"/>
      <c r="N732" s="29"/>
      <c r="O732" s="29"/>
      <c r="P732" s="29"/>
      <c r="Q732" s="29"/>
    </row>
    <row r="733" spans="1:17" ht="15.75" customHeight="1" x14ac:dyDescent="0.25">
      <c r="A733" s="29"/>
      <c r="B733" s="64"/>
      <c r="C733" s="29"/>
      <c r="D733" s="65"/>
      <c r="E733" s="65"/>
      <c r="F733" s="66"/>
      <c r="G733" s="66"/>
      <c r="H733" s="66"/>
      <c r="I733" s="67"/>
      <c r="J733" s="67"/>
      <c r="K733" s="67"/>
      <c r="L733" s="29"/>
      <c r="M733" s="211"/>
      <c r="N733" s="29"/>
      <c r="O733" s="29"/>
      <c r="P733" s="29"/>
      <c r="Q733" s="29"/>
    </row>
    <row r="734" spans="1:17" ht="15.75" customHeight="1" x14ac:dyDescent="0.25">
      <c r="A734" s="29"/>
      <c r="B734" s="64"/>
      <c r="C734" s="29"/>
      <c r="D734" s="65"/>
      <c r="E734" s="65"/>
      <c r="F734" s="66"/>
      <c r="G734" s="66"/>
      <c r="H734" s="66"/>
      <c r="I734" s="67"/>
      <c r="J734" s="67"/>
      <c r="K734" s="67"/>
      <c r="L734" s="29"/>
      <c r="M734" s="211"/>
      <c r="N734" s="29"/>
      <c r="O734" s="29"/>
      <c r="P734" s="29"/>
      <c r="Q734" s="29"/>
    </row>
    <row r="735" spans="1:17" ht="15.75" customHeight="1" x14ac:dyDescent="0.25">
      <c r="A735" s="29"/>
      <c r="B735" s="64"/>
      <c r="C735" s="29"/>
      <c r="D735" s="65"/>
      <c r="E735" s="65"/>
      <c r="F735" s="66"/>
      <c r="G735" s="66"/>
      <c r="H735" s="66"/>
      <c r="I735" s="67"/>
      <c r="J735" s="67"/>
      <c r="K735" s="67"/>
      <c r="L735" s="29"/>
      <c r="M735" s="211"/>
      <c r="N735" s="29"/>
      <c r="O735" s="29"/>
      <c r="P735" s="29"/>
      <c r="Q735" s="29"/>
    </row>
    <row r="736" spans="1:17" ht="15.75" customHeight="1" x14ac:dyDescent="0.25">
      <c r="A736" s="29"/>
      <c r="B736" s="64"/>
      <c r="C736" s="29"/>
      <c r="D736" s="65"/>
      <c r="E736" s="65"/>
      <c r="F736" s="66"/>
      <c r="G736" s="66"/>
      <c r="H736" s="66"/>
      <c r="I736" s="67"/>
      <c r="J736" s="67"/>
      <c r="K736" s="67"/>
      <c r="L736" s="29"/>
      <c r="M736" s="211"/>
      <c r="N736" s="29"/>
      <c r="O736" s="29"/>
      <c r="P736" s="29"/>
      <c r="Q736" s="29"/>
    </row>
    <row r="737" spans="1:17" ht="15.75" customHeight="1" x14ac:dyDescent="0.25">
      <c r="A737" s="29"/>
      <c r="B737" s="64"/>
      <c r="C737" s="29"/>
      <c r="D737" s="65"/>
      <c r="E737" s="65"/>
      <c r="F737" s="66"/>
      <c r="G737" s="66"/>
      <c r="H737" s="66"/>
      <c r="I737" s="67"/>
      <c r="J737" s="67"/>
      <c r="K737" s="67"/>
      <c r="L737" s="29"/>
      <c r="M737" s="211"/>
      <c r="N737" s="29"/>
      <c r="O737" s="29"/>
      <c r="P737" s="29"/>
      <c r="Q737" s="29"/>
    </row>
    <row r="738" spans="1:17" ht="15.75" customHeight="1" x14ac:dyDescent="0.25">
      <c r="A738" s="29"/>
      <c r="B738" s="64"/>
      <c r="C738" s="29"/>
      <c r="D738" s="65"/>
      <c r="E738" s="65"/>
      <c r="F738" s="66"/>
      <c r="G738" s="66"/>
      <c r="H738" s="66"/>
      <c r="I738" s="67"/>
      <c r="J738" s="67"/>
      <c r="K738" s="67"/>
      <c r="L738" s="29"/>
      <c r="M738" s="211"/>
      <c r="N738" s="29"/>
      <c r="O738" s="29"/>
      <c r="P738" s="29"/>
      <c r="Q738" s="29"/>
    </row>
    <row r="739" spans="1:17" ht="15.75" customHeight="1" x14ac:dyDescent="0.25">
      <c r="A739" s="29"/>
      <c r="B739" s="64"/>
      <c r="C739" s="29"/>
      <c r="D739" s="65"/>
      <c r="E739" s="65"/>
      <c r="F739" s="66"/>
      <c r="G739" s="66"/>
      <c r="H739" s="66"/>
      <c r="I739" s="67"/>
      <c r="J739" s="67"/>
      <c r="K739" s="67"/>
      <c r="L739" s="29"/>
      <c r="M739" s="211"/>
      <c r="N739" s="29"/>
      <c r="O739" s="29"/>
      <c r="P739" s="29"/>
      <c r="Q739" s="29"/>
    </row>
    <row r="740" spans="1:17" ht="15.75" customHeight="1" x14ac:dyDescent="0.25">
      <c r="A740" s="29"/>
      <c r="B740" s="64"/>
      <c r="C740" s="29"/>
      <c r="D740" s="65"/>
      <c r="E740" s="65"/>
      <c r="F740" s="66"/>
      <c r="G740" s="66"/>
      <c r="H740" s="66"/>
      <c r="I740" s="67"/>
      <c r="J740" s="67"/>
      <c r="K740" s="67"/>
      <c r="L740" s="29"/>
      <c r="M740" s="211"/>
      <c r="N740" s="29"/>
      <c r="O740" s="29"/>
      <c r="P740" s="29"/>
      <c r="Q740" s="29"/>
    </row>
    <row r="741" spans="1:17" ht="15.75" customHeight="1" x14ac:dyDescent="0.25">
      <c r="A741" s="29"/>
      <c r="B741" s="64"/>
      <c r="C741" s="29"/>
      <c r="D741" s="65"/>
      <c r="E741" s="65"/>
      <c r="F741" s="66"/>
      <c r="G741" s="66"/>
      <c r="H741" s="66"/>
      <c r="I741" s="67"/>
      <c r="J741" s="67"/>
      <c r="K741" s="67"/>
      <c r="L741" s="29"/>
      <c r="M741" s="211"/>
      <c r="N741" s="29"/>
      <c r="O741" s="29"/>
      <c r="P741" s="29"/>
      <c r="Q741" s="29"/>
    </row>
    <row r="742" spans="1:17" ht="15.75" customHeight="1" x14ac:dyDescent="0.25">
      <c r="A742" s="29"/>
      <c r="B742" s="64"/>
      <c r="C742" s="29"/>
      <c r="D742" s="65"/>
      <c r="E742" s="65"/>
      <c r="F742" s="66"/>
      <c r="G742" s="66"/>
      <c r="H742" s="66"/>
      <c r="I742" s="67"/>
      <c r="J742" s="67"/>
      <c r="K742" s="67"/>
      <c r="L742" s="29"/>
      <c r="M742" s="211"/>
      <c r="N742" s="29"/>
      <c r="O742" s="29"/>
      <c r="P742" s="29"/>
      <c r="Q742" s="29"/>
    </row>
    <row r="743" spans="1:17" ht="15.75" customHeight="1" x14ac:dyDescent="0.25">
      <c r="A743" s="29"/>
      <c r="B743" s="64"/>
      <c r="C743" s="29"/>
      <c r="D743" s="65"/>
      <c r="E743" s="65"/>
      <c r="F743" s="66"/>
      <c r="G743" s="66"/>
      <c r="H743" s="66"/>
      <c r="I743" s="67"/>
      <c r="J743" s="67"/>
      <c r="K743" s="67"/>
      <c r="L743" s="29"/>
      <c r="M743" s="211"/>
      <c r="N743" s="29"/>
      <c r="O743" s="29"/>
      <c r="P743" s="29"/>
      <c r="Q743" s="29"/>
    </row>
    <row r="744" spans="1:17" ht="15.75" customHeight="1" x14ac:dyDescent="0.25">
      <c r="A744" s="29"/>
      <c r="B744" s="64"/>
      <c r="C744" s="29"/>
      <c r="D744" s="65"/>
      <c r="E744" s="65"/>
      <c r="F744" s="66"/>
      <c r="G744" s="66"/>
      <c r="H744" s="66"/>
      <c r="I744" s="67"/>
      <c r="J744" s="67"/>
      <c r="K744" s="67"/>
      <c r="L744" s="29"/>
      <c r="M744" s="211"/>
      <c r="N744" s="29"/>
      <c r="O744" s="29"/>
      <c r="P744" s="29"/>
      <c r="Q744" s="29"/>
    </row>
    <row r="745" spans="1:17" ht="15.75" customHeight="1" x14ac:dyDescent="0.25">
      <c r="A745" s="29"/>
      <c r="B745" s="64"/>
      <c r="C745" s="29"/>
      <c r="D745" s="65"/>
      <c r="E745" s="65"/>
      <c r="F745" s="66"/>
      <c r="G745" s="66"/>
      <c r="H745" s="66"/>
      <c r="I745" s="67"/>
      <c r="J745" s="67"/>
      <c r="K745" s="67"/>
      <c r="L745" s="29"/>
      <c r="M745" s="211"/>
      <c r="N745" s="29"/>
      <c r="O745" s="29"/>
      <c r="P745" s="29"/>
      <c r="Q745" s="29"/>
    </row>
    <row r="746" spans="1:17" ht="15.75" customHeight="1" x14ac:dyDescent="0.25">
      <c r="A746" s="29"/>
      <c r="B746" s="64"/>
      <c r="C746" s="29"/>
      <c r="D746" s="65"/>
      <c r="E746" s="65"/>
      <c r="F746" s="66"/>
      <c r="G746" s="66"/>
      <c r="H746" s="66"/>
      <c r="I746" s="67"/>
      <c r="J746" s="67"/>
      <c r="K746" s="67"/>
      <c r="L746" s="29"/>
      <c r="M746" s="211"/>
      <c r="N746" s="29"/>
      <c r="O746" s="29"/>
      <c r="P746" s="29"/>
      <c r="Q746" s="29"/>
    </row>
    <row r="747" spans="1:17" ht="15.75" customHeight="1" x14ac:dyDescent="0.25">
      <c r="A747" s="29"/>
      <c r="B747" s="64"/>
      <c r="C747" s="29"/>
      <c r="D747" s="65"/>
      <c r="E747" s="65"/>
      <c r="F747" s="66"/>
      <c r="G747" s="66"/>
      <c r="H747" s="66"/>
      <c r="I747" s="67"/>
      <c r="J747" s="67"/>
      <c r="K747" s="67"/>
      <c r="L747" s="29"/>
      <c r="M747" s="211"/>
      <c r="N747" s="29"/>
      <c r="O747" s="29"/>
      <c r="P747" s="29"/>
      <c r="Q747" s="29"/>
    </row>
    <row r="748" spans="1:17" ht="15.75" customHeight="1" x14ac:dyDescent="0.25">
      <c r="A748" s="29"/>
      <c r="B748" s="64"/>
      <c r="C748" s="29"/>
      <c r="D748" s="65"/>
      <c r="E748" s="65"/>
      <c r="F748" s="66"/>
      <c r="G748" s="66"/>
      <c r="H748" s="66"/>
      <c r="I748" s="67"/>
      <c r="J748" s="67"/>
      <c r="K748" s="67"/>
      <c r="L748" s="29"/>
      <c r="M748" s="211"/>
      <c r="N748" s="29"/>
      <c r="O748" s="29"/>
      <c r="P748" s="29"/>
      <c r="Q748" s="29"/>
    </row>
    <row r="749" spans="1:17" ht="15.75" customHeight="1" x14ac:dyDescent="0.25">
      <c r="A749" s="29"/>
      <c r="B749" s="64"/>
      <c r="C749" s="29"/>
      <c r="D749" s="65"/>
      <c r="E749" s="65"/>
      <c r="F749" s="66"/>
      <c r="G749" s="66"/>
      <c r="H749" s="66"/>
      <c r="I749" s="67"/>
      <c r="J749" s="67"/>
      <c r="K749" s="67"/>
      <c r="L749" s="29"/>
      <c r="M749" s="211"/>
      <c r="N749" s="29"/>
      <c r="O749" s="29"/>
      <c r="P749" s="29"/>
      <c r="Q749" s="29"/>
    </row>
    <row r="750" spans="1:17" ht="15.75" customHeight="1" x14ac:dyDescent="0.25">
      <c r="A750" s="29"/>
      <c r="B750" s="64"/>
      <c r="C750" s="29"/>
      <c r="D750" s="65"/>
      <c r="E750" s="65"/>
      <c r="F750" s="66"/>
      <c r="G750" s="66"/>
      <c r="H750" s="66"/>
      <c r="I750" s="67"/>
      <c r="J750" s="67"/>
      <c r="K750" s="67"/>
      <c r="L750" s="29"/>
      <c r="M750" s="211"/>
      <c r="N750" s="29"/>
      <c r="O750" s="29"/>
      <c r="P750" s="29"/>
      <c r="Q750" s="29"/>
    </row>
    <row r="751" spans="1:17" ht="15.75" customHeight="1" x14ac:dyDescent="0.25">
      <c r="A751" s="29"/>
      <c r="B751" s="64"/>
      <c r="C751" s="29"/>
      <c r="D751" s="65"/>
      <c r="E751" s="65"/>
      <c r="F751" s="66"/>
      <c r="G751" s="66"/>
      <c r="H751" s="66"/>
      <c r="I751" s="67"/>
      <c r="J751" s="67"/>
      <c r="K751" s="67"/>
      <c r="L751" s="29"/>
      <c r="M751" s="211"/>
      <c r="N751" s="29"/>
      <c r="O751" s="29"/>
      <c r="P751" s="29"/>
      <c r="Q751" s="29"/>
    </row>
    <row r="752" spans="1:17" ht="15.75" customHeight="1" x14ac:dyDescent="0.25">
      <c r="A752" s="29"/>
      <c r="B752" s="64"/>
      <c r="C752" s="29"/>
      <c r="D752" s="65"/>
      <c r="E752" s="65"/>
      <c r="F752" s="66"/>
      <c r="G752" s="66"/>
      <c r="H752" s="66"/>
      <c r="I752" s="67"/>
      <c r="J752" s="67"/>
      <c r="K752" s="67"/>
      <c r="L752" s="29"/>
      <c r="M752" s="211"/>
      <c r="N752" s="29"/>
      <c r="O752" s="29"/>
      <c r="P752" s="29"/>
      <c r="Q752" s="29"/>
    </row>
    <row r="753" spans="1:17" ht="15.75" customHeight="1" x14ac:dyDescent="0.25">
      <c r="A753" s="29"/>
      <c r="B753" s="64"/>
      <c r="C753" s="29"/>
      <c r="D753" s="65"/>
      <c r="E753" s="65"/>
      <c r="F753" s="66"/>
      <c r="G753" s="66"/>
      <c r="H753" s="66"/>
      <c r="I753" s="67"/>
      <c r="J753" s="67"/>
      <c r="K753" s="67"/>
      <c r="L753" s="29"/>
      <c r="M753" s="211"/>
      <c r="N753" s="29"/>
      <c r="O753" s="29"/>
      <c r="P753" s="29"/>
      <c r="Q753" s="29"/>
    </row>
    <row r="754" spans="1:17" ht="15.75" customHeight="1" x14ac:dyDescent="0.25">
      <c r="A754" s="29"/>
      <c r="B754" s="64"/>
      <c r="C754" s="29"/>
      <c r="D754" s="65"/>
      <c r="E754" s="65"/>
      <c r="F754" s="66"/>
      <c r="G754" s="66"/>
      <c r="H754" s="66"/>
      <c r="I754" s="67"/>
      <c r="J754" s="67"/>
      <c r="K754" s="67"/>
      <c r="L754" s="29"/>
      <c r="M754" s="211"/>
      <c r="N754" s="29"/>
      <c r="O754" s="29"/>
      <c r="P754" s="29"/>
      <c r="Q754" s="29"/>
    </row>
    <row r="755" spans="1:17" ht="15.75" customHeight="1" x14ac:dyDescent="0.25">
      <c r="A755" s="29"/>
      <c r="B755" s="64"/>
      <c r="C755" s="29"/>
      <c r="D755" s="65"/>
      <c r="E755" s="65"/>
      <c r="F755" s="66"/>
      <c r="G755" s="66"/>
      <c r="H755" s="66"/>
      <c r="I755" s="67"/>
      <c r="J755" s="67"/>
      <c r="K755" s="67"/>
      <c r="L755" s="29"/>
      <c r="M755" s="211"/>
      <c r="N755" s="29"/>
      <c r="O755" s="29"/>
      <c r="P755" s="29"/>
      <c r="Q755" s="29"/>
    </row>
    <row r="756" spans="1:17" ht="15.75" customHeight="1" x14ac:dyDescent="0.25">
      <c r="A756" s="29"/>
      <c r="B756" s="64"/>
      <c r="C756" s="29"/>
      <c r="D756" s="65"/>
      <c r="E756" s="65"/>
      <c r="F756" s="66"/>
      <c r="G756" s="66"/>
      <c r="H756" s="66"/>
      <c r="I756" s="67"/>
      <c r="J756" s="67"/>
      <c r="K756" s="67"/>
      <c r="L756" s="29"/>
      <c r="M756" s="211"/>
      <c r="N756" s="29"/>
      <c r="O756" s="29"/>
      <c r="P756" s="29"/>
      <c r="Q756" s="29"/>
    </row>
    <row r="757" spans="1:17" ht="15.75" customHeight="1" x14ac:dyDescent="0.25">
      <c r="A757" s="29"/>
      <c r="B757" s="64"/>
      <c r="C757" s="29"/>
      <c r="D757" s="65"/>
      <c r="E757" s="65"/>
      <c r="F757" s="66"/>
      <c r="G757" s="66"/>
      <c r="H757" s="66"/>
      <c r="I757" s="67"/>
      <c r="J757" s="67"/>
      <c r="K757" s="67"/>
      <c r="L757" s="29"/>
      <c r="M757" s="211"/>
      <c r="N757" s="29"/>
      <c r="O757" s="29"/>
      <c r="P757" s="29"/>
      <c r="Q757" s="29"/>
    </row>
    <row r="758" spans="1:17" ht="15.75" customHeight="1" x14ac:dyDescent="0.25">
      <c r="A758" s="29"/>
      <c r="B758" s="64"/>
      <c r="C758" s="29"/>
      <c r="D758" s="65"/>
      <c r="E758" s="65"/>
      <c r="F758" s="66"/>
      <c r="G758" s="66"/>
      <c r="H758" s="66"/>
      <c r="I758" s="67"/>
      <c r="J758" s="67"/>
      <c r="K758" s="67"/>
      <c r="L758" s="29"/>
      <c r="M758" s="211"/>
      <c r="N758" s="29"/>
      <c r="O758" s="29"/>
      <c r="P758" s="29"/>
      <c r="Q758" s="29"/>
    </row>
    <row r="759" spans="1:17" ht="15.75" customHeight="1" x14ac:dyDescent="0.25">
      <c r="A759" s="29"/>
      <c r="B759" s="64"/>
      <c r="C759" s="29"/>
      <c r="D759" s="65"/>
      <c r="E759" s="65"/>
      <c r="F759" s="66"/>
      <c r="G759" s="66"/>
      <c r="H759" s="66"/>
      <c r="I759" s="67"/>
      <c r="J759" s="67"/>
      <c r="K759" s="67"/>
      <c r="L759" s="29"/>
      <c r="M759" s="211"/>
      <c r="N759" s="29"/>
      <c r="O759" s="29"/>
      <c r="P759" s="29"/>
      <c r="Q759" s="29"/>
    </row>
    <row r="760" spans="1:17" ht="15.75" customHeight="1" x14ac:dyDescent="0.25">
      <c r="A760" s="29"/>
      <c r="B760" s="64"/>
      <c r="C760" s="29"/>
      <c r="D760" s="65"/>
      <c r="E760" s="65"/>
      <c r="F760" s="66"/>
      <c r="G760" s="66"/>
      <c r="H760" s="66"/>
      <c r="I760" s="67"/>
      <c r="J760" s="67"/>
      <c r="K760" s="67"/>
      <c r="L760" s="29"/>
      <c r="M760" s="211"/>
      <c r="N760" s="29"/>
      <c r="O760" s="29"/>
      <c r="P760" s="29"/>
      <c r="Q760" s="29"/>
    </row>
    <row r="761" spans="1:17" ht="15.75" customHeight="1" x14ac:dyDescent="0.25">
      <c r="A761" s="29"/>
      <c r="B761" s="64"/>
      <c r="C761" s="29"/>
      <c r="D761" s="65"/>
      <c r="E761" s="65"/>
      <c r="F761" s="66"/>
      <c r="G761" s="66"/>
      <c r="H761" s="66"/>
      <c r="I761" s="67"/>
      <c r="J761" s="67"/>
      <c r="K761" s="67"/>
      <c r="L761" s="29"/>
      <c r="M761" s="211"/>
      <c r="N761" s="29"/>
      <c r="O761" s="29"/>
      <c r="P761" s="29"/>
      <c r="Q761" s="29"/>
    </row>
    <row r="762" spans="1:17" ht="15.75" customHeight="1" x14ac:dyDescent="0.25">
      <c r="A762" s="29"/>
      <c r="B762" s="64"/>
      <c r="C762" s="29"/>
      <c r="D762" s="65"/>
      <c r="E762" s="65"/>
      <c r="F762" s="66"/>
      <c r="G762" s="66"/>
      <c r="H762" s="66"/>
      <c r="I762" s="67"/>
      <c r="J762" s="67"/>
      <c r="K762" s="67"/>
      <c r="L762" s="29"/>
      <c r="M762" s="211"/>
      <c r="N762" s="29"/>
      <c r="O762" s="29"/>
      <c r="P762" s="29"/>
      <c r="Q762" s="29"/>
    </row>
    <row r="763" spans="1:17" ht="15.75" customHeight="1" x14ac:dyDescent="0.25">
      <c r="A763" s="29"/>
      <c r="B763" s="64"/>
      <c r="C763" s="29"/>
      <c r="D763" s="65"/>
      <c r="E763" s="65"/>
      <c r="F763" s="66"/>
      <c r="G763" s="66"/>
      <c r="H763" s="66"/>
      <c r="I763" s="67"/>
      <c r="J763" s="67"/>
      <c r="K763" s="67"/>
      <c r="L763" s="29"/>
      <c r="M763" s="211"/>
      <c r="N763" s="29"/>
      <c r="O763" s="29"/>
      <c r="P763" s="29"/>
      <c r="Q763" s="29"/>
    </row>
    <row r="764" spans="1:17" ht="15.75" customHeight="1" x14ac:dyDescent="0.25">
      <c r="A764" s="29"/>
      <c r="B764" s="64"/>
      <c r="C764" s="29"/>
      <c r="D764" s="65"/>
      <c r="E764" s="65"/>
      <c r="F764" s="66"/>
      <c r="G764" s="66"/>
      <c r="H764" s="66"/>
      <c r="I764" s="67"/>
      <c r="J764" s="67"/>
      <c r="K764" s="67"/>
      <c r="L764" s="29"/>
      <c r="M764" s="211"/>
      <c r="N764" s="29"/>
      <c r="O764" s="29"/>
      <c r="P764" s="29"/>
      <c r="Q764" s="29"/>
    </row>
    <row r="765" spans="1:17" ht="15.75" customHeight="1" x14ac:dyDescent="0.25">
      <c r="A765" s="29"/>
      <c r="B765" s="64"/>
      <c r="C765" s="29"/>
      <c r="D765" s="65"/>
      <c r="E765" s="65"/>
      <c r="F765" s="66"/>
      <c r="G765" s="66"/>
      <c r="H765" s="66"/>
      <c r="I765" s="67"/>
      <c r="J765" s="67"/>
      <c r="K765" s="67"/>
      <c r="L765" s="29"/>
      <c r="M765" s="211"/>
      <c r="N765" s="29"/>
      <c r="O765" s="29"/>
      <c r="P765" s="29"/>
      <c r="Q765" s="29"/>
    </row>
    <row r="766" spans="1:17" ht="15.75" customHeight="1" x14ac:dyDescent="0.25">
      <c r="A766" s="29"/>
      <c r="B766" s="64"/>
      <c r="C766" s="29"/>
      <c r="D766" s="65"/>
      <c r="E766" s="65"/>
      <c r="F766" s="66"/>
      <c r="G766" s="66"/>
      <c r="H766" s="66"/>
      <c r="I766" s="67"/>
      <c r="J766" s="67"/>
      <c r="K766" s="67"/>
      <c r="L766" s="29"/>
      <c r="M766" s="211"/>
      <c r="N766" s="29"/>
      <c r="O766" s="29"/>
      <c r="P766" s="29"/>
      <c r="Q766" s="29"/>
    </row>
    <row r="767" spans="1:17" ht="15.75" customHeight="1" x14ac:dyDescent="0.25">
      <c r="A767" s="29"/>
      <c r="B767" s="64"/>
      <c r="C767" s="29"/>
      <c r="D767" s="65"/>
      <c r="E767" s="65"/>
      <c r="F767" s="66"/>
      <c r="G767" s="66"/>
      <c r="H767" s="66"/>
      <c r="I767" s="67"/>
      <c r="J767" s="67"/>
      <c r="K767" s="67"/>
      <c r="L767" s="29"/>
      <c r="M767" s="211"/>
      <c r="N767" s="29"/>
      <c r="O767" s="29"/>
      <c r="P767" s="29"/>
      <c r="Q767" s="29"/>
    </row>
    <row r="768" spans="1:17" ht="15.75" customHeight="1" x14ac:dyDescent="0.25">
      <c r="A768" s="29"/>
      <c r="B768" s="64"/>
      <c r="C768" s="29"/>
      <c r="D768" s="65"/>
      <c r="E768" s="65"/>
      <c r="F768" s="66"/>
      <c r="G768" s="66"/>
      <c r="H768" s="66"/>
      <c r="I768" s="67"/>
      <c r="J768" s="67"/>
      <c r="K768" s="67"/>
      <c r="L768" s="29"/>
      <c r="M768" s="211"/>
      <c r="N768" s="29"/>
      <c r="O768" s="29"/>
      <c r="P768" s="29"/>
      <c r="Q768" s="29"/>
    </row>
    <row r="769" spans="1:17" ht="15.75" customHeight="1" x14ac:dyDescent="0.25">
      <c r="A769" s="29"/>
      <c r="B769" s="64"/>
      <c r="C769" s="29"/>
      <c r="D769" s="65"/>
      <c r="E769" s="65"/>
      <c r="F769" s="66"/>
      <c r="G769" s="66"/>
      <c r="H769" s="66"/>
      <c r="I769" s="67"/>
      <c r="J769" s="67"/>
      <c r="K769" s="67"/>
      <c r="L769" s="29"/>
      <c r="M769" s="211"/>
      <c r="N769" s="29"/>
      <c r="O769" s="29"/>
      <c r="P769" s="29"/>
      <c r="Q769" s="29"/>
    </row>
    <row r="770" spans="1:17" ht="15.75" customHeight="1" x14ac:dyDescent="0.25">
      <c r="A770" s="29"/>
      <c r="B770" s="64"/>
      <c r="C770" s="29"/>
      <c r="D770" s="65"/>
      <c r="E770" s="65"/>
      <c r="F770" s="66"/>
      <c r="G770" s="66"/>
      <c r="H770" s="66"/>
      <c r="I770" s="67"/>
      <c r="J770" s="67"/>
      <c r="K770" s="67"/>
      <c r="L770" s="29"/>
      <c r="M770" s="211"/>
      <c r="N770" s="29"/>
      <c r="O770" s="29"/>
      <c r="P770" s="29"/>
      <c r="Q770" s="29"/>
    </row>
    <row r="771" spans="1:17" ht="15.75" customHeight="1" x14ac:dyDescent="0.25">
      <c r="A771" s="29"/>
      <c r="B771" s="64"/>
      <c r="C771" s="29"/>
      <c r="D771" s="65"/>
      <c r="E771" s="65"/>
      <c r="F771" s="66"/>
      <c r="G771" s="66"/>
      <c r="H771" s="66"/>
      <c r="I771" s="67"/>
      <c r="J771" s="67"/>
      <c r="K771" s="67"/>
      <c r="L771" s="29"/>
      <c r="M771" s="211"/>
      <c r="N771" s="29"/>
      <c r="O771" s="29"/>
      <c r="P771" s="29"/>
      <c r="Q771" s="29"/>
    </row>
    <row r="772" spans="1:17" ht="15.75" customHeight="1" x14ac:dyDescent="0.25">
      <c r="A772" s="29"/>
      <c r="B772" s="64"/>
      <c r="C772" s="29"/>
      <c r="D772" s="65"/>
      <c r="E772" s="65"/>
      <c r="F772" s="66"/>
      <c r="G772" s="66"/>
      <c r="H772" s="66"/>
      <c r="I772" s="67"/>
      <c r="J772" s="67"/>
      <c r="K772" s="67"/>
      <c r="L772" s="29"/>
      <c r="M772" s="211"/>
      <c r="N772" s="29"/>
      <c r="O772" s="29"/>
      <c r="P772" s="29"/>
      <c r="Q772" s="29"/>
    </row>
    <row r="773" spans="1:17" ht="15.75" customHeight="1" x14ac:dyDescent="0.25">
      <c r="A773" s="29"/>
      <c r="B773" s="64"/>
      <c r="C773" s="29"/>
      <c r="D773" s="65"/>
      <c r="E773" s="65"/>
      <c r="F773" s="66"/>
      <c r="G773" s="66"/>
      <c r="H773" s="66"/>
      <c r="I773" s="67"/>
      <c r="J773" s="67"/>
      <c r="K773" s="67"/>
      <c r="L773" s="29"/>
      <c r="M773" s="211"/>
      <c r="N773" s="29"/>
      <c r="O773" s="29"/>
      <c r="P773" s="29"/>
      <c r="Q773" s="29"/>
    </row>
    <row r="774" spans="1:17" ht="15.75" customHeight="1" x14ac:dyDescent="0.25">
      <c r="A774" s="29"/>
      <c r="B774" s="64"/>
      <c r="C774" s="29"/>
      <c r="D774" s="65"/>
      <c r="E774" s="65"/>
      <c r="F774" s="66"/>
      <c r="G774" s="66"/>
      <c r="H774" s="66"/>
      <c r="I774" s="67"/>
      <c r="J774" s="67"/>
      <c r="K774" s="67"/>
      <c r="L774" s="29"/>
      <c r="M774" s="211"/>
      <c r="N774" s="29"/>
      <c r="O774" s="29"/>
      <c r="P774" s="29"/>
      <c r="Q774" s="29"/>
    </row>
    <row r="775" spans="1:17" ht="15.75" customHeight="1" x14ac:dyDescent="0.25">
      <c r="A775" s="29"/>
      <c r="B775" s="64"/>
      <c r="C775" s="29"/>
      <c r="D775" s="65"/>
      <c r="E775" s="65"/>
      <c r="F775" s="66"/>
      <c r="G775" s="66"/>
      <c r="H775" s="66"/>
      <c r="I775" s="67"/>
      <c r="J775" s="67"/>
      <c r="K775" s="67"/>
      <c r="L775" s="29"/>
      <c r="M775" s="211"/>
      <c r="N775" s="29"/>
      <c r="O775" s="29"/>
      <c r="P775" s="29"/>
      <c r="Q775" s="29"/>
    </row>
    <row r="776" spans="1:17" ht="15.75" customHeight="1" x14ac:dyDescent="0.25">
      <c r="A776" s="29"/>
      <c r="B776" s="64"/>
      <c r="C776" s="29"/>
      <c r="D776" s="65"/>
      <c r="E776" s="65"/>
      <c r="F776" s="66"/>
      <c r="G776" s="66"/>
      <c r="H776" s="66"/>
      <c r="I776" s="67"/>
      <c r="J776" s="67"/>
      <c r="K776" s="67"/>
      <c r="L776" s="29"/>
      <c r="M776" s="211"/>
      <c r="N776" s="29"/>
      <c r="O776" s="29"/>
      <c r="P776" s="29"/>
      <c r="Q776" s="29"/>
    </row>
    <row r="777" spans="1:17" ht="15.75" customHeight="1" x14ac:dyDescent="0.25">
      <c r="A777" s="29"/>
      <c r="B777" s="64"/>
      <c r="C777" s="29"/>
      <c r="D777" s="65"/>
      <c r="E777" s="65"/>
      <c r="F777" s="66"/>
      <c r="G777" s="66"/>
      <c r="H777" s="66"/>
      <c r="I777" s="67"/>
      <c r="J777" s="67"/>
      <c r="K777" s="67"/>
      <c r="L777" s="29"/>
      <c r="M777" s="211"/>
      <c r="N777" s="29"/>
      <c r="O777" s="29"/>
      <c r="P777" s="29"/>
      <c r="Q777" s="29"/>
    </row>
    <row r="778" spans="1:17" ht="15.75" customHeight="1" x14ac:dyDescent="0.25">
      <c r="A778" s="29"/>
      <c r="B778" s="64"/>
      <c r="C778" s="29"/>
      <c r="D778" s="65"/>
      <c r="E778" s="65"/>
      <c r="F778" s="66"/>
      <c r="G778" s="66"/>
      <c r="H778" s="66"/>
      <c r="I778" s="67"/>
      <c r="J778" s="67"/>
      <c r="K778" s="67"/>
      <c r="L778" s="29"/>
      <c r="M778" s="211"/>
      <c r="N778" s="29"/>
      <c r="O778" s="29"/>
      <c r="P778" s="29"/>
      <c r="Q778" s="29"/>
    </row>
    <row r="779" spans="1:17" ht="15.75" customHeight="1" x14ac:dyDescent="0.25">
      <c r="A779" s="29"/>
      <c r="B779" s="64"/>
      <c r="C779" s="29"/>
      <c r="D779" s="65"/>
      <c r="E779" s="65"/>
      <c r="F779" s="66"/>
      <c r="G779" s="66"/>
      <c r="H779" s="66"/>
      <c r="I779" s="67"/>
      <c r="J779" s="67"/>
      <c r="K779" s="67"/>
      <c r="L779" s="29"/>
      <c r="M779" s="211"/>
      <c r="N779" s="29"/>
      <c r="O779" s="29"/>
      <c r="P779" s="29"/>
      <c r="Q779" s="29"/>
    </row>
    <row r="780" spans="1:17" ht="15.75" customHeight="1" x14ac:dyDescent="0.25">
      <c r="A780" s="29"/>
      <c r="B780" s="64"/>
      <c r="C780" s="29"/>
      <c r="D780" s="65"/>
      <c r="E780" s="65"/>
      <c r="F780" s="66"/>
      <c r="G780" s="66"/>
      <c r="H780" s="66"/>
      <c r="I780" s="67"/>
      <c r="J780" s="67"/>
      <c r="K780" s="67"/>
      <c r="L780" s="29"/>
      <c r="M780" s="211"/>
      <c r="N780" s="29"/>
      <c r="O780" s="29"/>
      <c r="P780" s="29"/>
      <c r="Q780" s="29"/>
    </row>
    <row r="781" spans="1:17" ht="15.75" customHeight="1" x14ac:dyDescent="0.25">
      <c r="A781" s="29"/>
      <c r="B781" s="64"/>
      <c r="C781" s="29"/>
      <c r="D781" s="65"/>
      <c r="E781" s="65"/>
      <c r="F781" s="66"/>
      <c r="G781" s="66"/>
      <c r="H781" s="66"/>
      <c r="I781" s="67"/>
      <c r="J781" s="67"/>
      <c r="K781" s="67"/>
      <c r="L781" s="29"/>
      <c r="M781" s="211"/>
      <c r="N781" s="29"/>
      <c r="O781" s="29"/>
      <c r="P781" s="29"/>
      <c r="Q781" s="29"/>
    </row>
    <row r="782" spans="1:17" ht="15.75" customHeight="1" x14ac:dyDescent="0.25">
      <c r="A782" s="29"/>
      <c r="B782" s="64"/>
      <c r="C782" s="29"/>
      <c r="D782" s="65"/>
      <c r="E782" s="65"/>
      <c r="F782" s="66"/>
      <c r="G782" s="66"/>
      <c r="H782" s="66"/>
      <c r="I782" s="67"/>
      <c r="J782" s="67"/>
      <c r="K782" s="67"/>
      <c r="L782" s="29"/>
      <c r="M782" s="211"/>
      <c r="N782" s="29"/>
      <c r="O782" s="29"/>
      <c r="P782" s="29"/>
      <c r="Q782" s="29"/>
    </row>
    <row r="783" spans="1:17" ht="15.75" customHeight="1" x14ac:dyDescent="0.25">
      <c r="A783" s="29"/>
      <c r="B783" s="64"/>
      <c r="C783" s="29"/>
      <c r="D783" s="65"/>
      <c r="E783" s="65"/>
      <c r="F783" s="66"/>
      <c r="G783" s="66"/>
      <c r="H783" s="66"/>
      <c r="I783" s="67"/>
      <c r="J783" s="67"/>
      <c r="K783" s="67"/>
      <c r="L783" s="29"/>
      <c r="M783" s="211"/>
      <c r="N783" s="29"/>
      <c r="O783" s="29"/>
      <c r="P783" s="29"/>
      <c r="Q783" s="29"/>
    </row>
    <row r="784" spans="1:17" ht="15.75" customHeight="1" x14ac:dyDescent="0.25">
      <c r="A784" s="29"/>
      <c r="B784" s="64"/>
      <c r="C784" s="29"/>
      <c r="D784" s="65"/>
      <c r="E784" s="65"/>
      <c r="F784" s="66"/>
      <c r="G784" s="66"/>
      <c r="H784" s="66"/>
      <c r="I784" s="67"/>
      <c r="J784" s="67"/>
      <c r="K784" s="67"/>
      <c r="L784" s="29"/>
      <c r="M784" s="211"/>
      <c r="N784" s="29"/>
      <c r="O784" s="29"/>
      <c r="P784" s="29"/>
      <c r="Q784" s="29"/>
    </row>
    <row r="785" spans="1:17" ht="15.75" customHeight="1" x14ac:dyDescent="0.25">
      <c r="A785" s="29"/>
      <c r="B785" s="64"/>
      <c r="C785" s="29"/>
      <c r="D785" s="65"/>
      <c r="E785" s="65"/>
      <c r="F785" s="66"/>
      <c r="G785" s="66"/>
      <c r="H785" s="66"/>
      <c r="I785" s="67"/>
      <c r="J785" s="67"/>
      <c r="K785" s="67"/>
      <c r="L785" s="29"/>
      <c r="M785" s="211"/>
      <c r="N785" s="29"/>
      <c r="O785" s="29"/>
      <c r="P785" s="29"/>
      <c r="Q785" s="29"/>
    </row>
    <row r="786" spans="1:17" ht="15.75" customHeight="1" x14ac:dyDescent="0.25">
      <c r="A786" s="29"/>
      <c r="B786" s="64"/>
      <c r="C786" s="29"/>
      <c r="D786" s="65"/>
      <c r="E786" s="65"/>
      <c r="F786" s="66"/>
      <c r="G786" s="66"/>
      <c r="H786" s="66"/>
      <c r="I786" s="67"/>
      <c r="J786" s="67"/>
      <c r="K786" s="67"/>
      <c r="L786" s="29"/>
      <c r="M786" s="211"/>
      <c r="N786" s="29"/>
      <c r="O786" s="29"/>
      <c r="P786" s="29"/>
      <c r="Q786" s="29"/>
    </row>
    <row r="787" spans="1:17" ht="15.75" customHeight="1" x14ac:dyDescent="0.25">
      <c r="A787" s="29"/>
      <c r="B787" s="64"/>
      <c r="C787" s="29"/>
      <c r="D787" s="65"/>
      <c r="E787" s="65"/>
      <c r="F787" s="66"/>
      <c r="G787" s="66"/>
      <c r="H787" s="66"/>
      <c r="I787" s="67"/>
      <c r="J787" s="67"/>
      <c r="K787" s="67"/>
      <c r="L787" s="29"/>
      <c r="M787" s="211"/>
      <c r="N787" s="29"/>
      <c r="O787" s="29"/>
      <c r="P787" s="29"/>
      <c r="Q787" s="29"/>
    </row>
    <row r="788" spans="1:17" ht="15.75" customHeight="1" x14ac:dyDescent="0.25">
      <c r="A788" s="29"/>
      <c r="B788" s="64"/>
      <c r="C788" s="29"/>
      <c r="D788" s="65"/>
      <c r="E788" s="65"/>
      <c r="F788" s="66"/>
      <c r="G788" s="66"/>
      <c r="H788" s="66"/>
      <c r="I788" s="67"/>
      <c r="J788" s="67"/>
      <c r="K788" s="67"/>
      <c r="L788" s="29"/>
      <c r="M788" s="211"/>
      <c r="N788" s="29"/>
      <c r="O788" s="29"/>
      <c r="P788" s="29"/>
      <c r="Q788" s="29"/>
    </row>
    <row r="789" spans="1:17" ht="15.75" customHeight="1" x14ac:dyDescent="0.25">
      <c r="A789" s="29"/>
      <c r="B789" s="64"/>
      <c r="C789" s="29"/>
      <c r="D789" s="65"/>
      <c r="E789" s="65"/>
      <c r="F789" s="66"/>
      <c r="G789" s="66"/>
      <c r="H789" s="66"/>
      <c r="I789" s="67"/>
      <c r="J789" s="67"/>
      <c r="K789" s="67"/>
      <c r="L789" s="29"/>
      <c r="M789" s="211"/>
      <c r="N789" s="29"/>
      <c r="O789" s="29"/>
      <c r="P789" s="29"/>
      <c r="Q789" s="29"/>
    </row>
    <row r="790" spans="1:17" ht="15.75" customHeight="1" x14ac:dyDescent="0.25">
      <c r="A790" s="29"/>
      <c r="B790" s="64"/>
      <c r="C790" s="29"/>
      <c r="D790" s="65"/>
      <c r="E790" s="65"/>
      <c r="F790" s="66"/>
      <c r="G790" s="66"/>
      <c r="H790" s="66"/>
      <c r="I790" s="67"/>
      <c r="J790" s="67"/>
      <c r="K790" s="67"/>
      <c r="L790" s="29"/>
      <c r="M790" s="211"/>
      <c r="N790" s="29"/>
      <c r="O790" s="29"/>
      <c r="P790" s="29"/>
      <c r="Q790" s="29"/>
    </row>
    <row r="791" spans="1:17" ht="15.75" customHeight="1" x14ac:dyDescent="0.25">
      <c r="A791" s="29"/>
      <c r="B791" s="64"/>
      <c r="C791" s="29"/>
      <c r="D791" s="65"/>
      <c r="E791" s="65"/>
      <c r="F791" s="66"/>
      <c r="G791" s="66"/>
      <c r="H791" s="66"/>
      <c r="I791" s="67"/>
      <c r="J791" s="67"/>
      <c r="K791" s="67"/>
      <c r="L791" s="29"/>
      <c r="M791" s="211"/>
      <c r="N791" s="29"/>
      <c r="O791" s="29"/>
      <c r="P791" s="29"/>
      <c r="Q791" s="29"/>
    </row>
    <row r="792" spans="1:17" ht="15.75" customHeight="1" x14ac:dyDescent="0.25">
      <c r="A792" s="29"/>
      <c r="B792" s="64"/>
      <c r="C792" s="29"/>
      <c r="D792" s="65"/>
      <c r="E792" s="65"/>
      <c r="F792" s="66"/>
      <c r="G792" s="66"/>
      <c r="H792" s="66"/>
      <c r="I792" s="67"/>
      <c r="J792" s="67"/>
      <c r="K792" s="67"/>
      <c r="L792" s="29"/>
      <c r="M792" s="211"/>
      <c r="N792" s="29"/>
      <c r="O792" s="29"/>
      <c r="P792" s="29"/>
      <c r="Q792" s="29"/>
    </row>
    <row r="793" spans="1:17" ht="15.75" customHeight="1" x14ac:dyDescent="0.25">
      <c r="A793" s="29"/>
      <c r="B793" s="64"/>
      <c r="C793" s="29"/>
      <c r="D793" s="65"/>
      <c r="E793" s="65"/>
      <c r="F793" s="66"/>
      <c r="G793" s="66"/>
      <c r="H793" s="66"/>
      <c r="I793" s="67"/>
      <c r="J793" s="67"/>
      <c r="K793" s="67"/>
      <c r="L793" s="29"/>
      <c r="M793" s="211"/>
      <c r="N793" s="29"/>
      <c r="O793" s="29"/>
      <c r="P793" s="29"/>
      <c r="Q793" s="29"/>
    </row>
    <row r="794" spans="1:17" ht="15.75" customHeight="1" x14ac:dyDescent="0.25">
      <c r="A794" s="29"/>
      <c r="B794" s="64"/>
      <c r="C794" s="29"/>
      <c r="D794" s="65"/>
      <c r="E794" s="65"/>
      <c r="F794" s="66"/>
      <c r="G794" s="66"/>
      <c r="H794" s="66"/>
      <c r="I794" s="67"/>
      <c r="J794" s="67"/>
      <c r="K794" s="67"/>
      <c r="L794" s="29"/>
      <c r="M794" s="211"/>
      <c r="N794" s="29"/>
      <c r="O794" s="29"/>
      <c r="P794" s="29"/>
      <c r="Q794" s="29"/>
    </row>
    <row r="795" spans="1:17" ht="15.75" customHeight="1" x14ac:dyDescent="0.25">
      <c r="A795" s="29"/>
      <c r="B795" s="64"/>
      <c r="C795" s="29"/>
      <c r="D795" s="65"/>
      <c r="E795" s="65"/>
      <c r="F795" s="66"/>
      <c r="G795" s="66"/>
      <c r="H795" s="66"/>
      <c r="I795" s="67"/>
      <c r="J795" s="67"/>
      <c r="K795" s="67"/>
      <c r="L795" s="29"/>
      <c r="M795" s="211"/>
      <c r="N795" s="29"/>
      <c r="O795" s="29"/>
      <c r="P795" s="29"/>
      <c r="Q795" s="29"/>
    </row>
    <row r="796" spans="1:17" ht="15.75" customHeight="1" x14ac:dyDescent="0.25">
      <c r="A796" s="29"/>
      <c r="B796" s="64"/>
      <c r="C796" s="29"/>
      <c r="D796" s="65"/>
      <c r="E796" s="65"/>
      <c r="F796" s="66"/>
      <c r="G796" s="66"/>
      <c r="H796" s="66"/>
      <c r="I796" s="67"/>
      <c r="J796" s="67"/>
      <c r="K796" s="67"/>
      <c r="L796" s="29"/>
      <c r="M796" s="211"/>
      <c r="N796" s="29"/>
      <c r="O796" s="29"/>
      <c r="P796" s="29"/>
      <c r="Q796" s="29"/>
    </row>
    <row r="797" spans="1:17" ht="15.75" customHeight="1" x14ac:dyDescent="0.25">
      <c r="A797" s="29"/>
      <c r="B797" s="64"/>
      <c r="C797" s="29"/>
      <c r="D797" s="65"/>
      <c r="E797" s="65"/>
      <c r="F797" s="66"/>
      <c r="G797" s="66"/>
      <c r="H797" s="66"/>
      <c r="I797" s="67"/>
      <c r="J797" s="67"/>
      <c r="K797" s="67"/>
      <c r="L797" s="29"/>
      <c r="M797" s="211"/>
      <c r="N797" s="29"/>
      <c r="O797" s="29"/>
      <c r="P797" s="29"/>
      <c r="Q797" s="29"/>
    </row>
    <row r="798" spans="1:17" ht="15.75" customHeight="1" x14ac:dyDescent="0.25">
      <c r="A798" s="29"/>
      <c r="B798" s="64"/>
      <c r="C798" s="29"/>
      <c r="D798" s="65"/>
      <c r="E798" s="65"/>
      <c r="F798" s="66"/>
      <c r="G798" s="66"/>
      <c r="H798" s="66"/>
      <c r="I798" s="67"/>
      <c r="J798" s="67"/>
      <c r="K798" s="67"/>
      <c r="L798" s="29"/>
      <c r="M798" s="211"/>
      <c r="N798" s="29"/>
      <c r="O798" s="29"/>
      <c r="P798" s="29"/>
      <c r="Q798" s="29"/>
    </row>
    <row r="799" spans="1:17" ht="15.75" customHeight="1" x14ac:dyDescent="0.25">
      <c r="A799" s="29"/>
      <c r="B799" s="64"/>
      <c r="C799" s="29"/>
      <c r="D799" s="65"/>
      <c r="E799" s="65"/>
      <c r="F799" s="66"/>
      <c r="G799" s="66"/>
      <c r="H799" s="66"/>
      <c r="I799" s="67"/>
      <c r="J799" s="67"/>
      <c r="K799" s="67"/>
      <c r="L799" s="29"/>
      <c r="M799" s="211"/>
      <c r="N799" s="29"/>
      <c r="O799" s="29"/>
      <c r="P799" s="29"/>
      <c r="Q799" s="29"/>
    </row>
    <row r="800" spans="1:17" ht="15.75" customHeight="1" x14ac:dyDescent="0.25">
      <c r="A800" s="29"/>
      <c r="B800" s="64"/>
      <c r="C800" s="29"/>
      <c r="D800" s="65"/>
      <c r="E800" s="65"/>
      <c r="F800" s="66"/>
      <c r="G800" s="66"/>
      <c r="H800" s="66"/>
      <c r="I800" s="67"/>
      <c r="J800" s="67"/>
      <c r="K800" s="67"/>
      <c r="L800" s="29"/>
      <c r="M800" s="211"/>
      <c r="N800" s="29"/>
      <c r="O800" s="29"/>
      <c r="P800" s="29"/>
      <c r="Q800" s="29"/>
    </row>
    <row r="801" spans="1:17" ht="15.75" customHeight="1" x14ac:dyDescent="0.25">
      <c r="A801" s="29"/>
      <c r="B801" s="64"/>
      <c r="C801" s="29"/>
      <c r="D801" s="65"/>
      <c r="E801" s="65"/>
      <c r="F801" s="66"/>
      <c r="G801" s="66"/>
      <c r="H801" s="66"/>
      <c r="I801" s="67"/>
      <c r="J801" s="67"/>
      <c r="K801" s="67"/>
      <c r="L801" s="29"/>
      <c r="M801" s="211"/>
      <c r="N801" s="29"/>
      <c r="O801" s="29"/>
      <c r="P801" s="29"/>
      <c r="Q801" s="29"/>
    </row>
    <row r="802" spans="1:17" ht="15.75" customHeight="1" x14ac:dyDescent="0.25">
      <c r="A802" s="29"/>
      <c r="B802" s="64"/>
      <c r="C802" s="29"/>
      <c r="D802" s="65"/>
      <c r="E802" s="65"/>
      <c r="F802" s="66"/>
      <c r="G802" s="66"/>
      <c r="H802" s="66"/>
      <c r="I802" s="67"/>
      <c r="J802" s="67"/>
      <c r="K802" s="67"/>
      <c r="L802" s="29"/>
      <c r="M802" s="211"/>
      <c r="N802" s="29"/>
      <c r="O802" s="29"/>
      <c r="P802" s="29"/>
      <c r="Q802" s="29"/>
    </row>
    <row r="803" spans="1:17" ht="15.75" customHeight="1" x14ac:dyDescent="0.25">
      <c r="A803" s="29"/>
      <c r="B803" s="64"/>
      <c r="C803" s="29"/>
      <c r="D803" s="65"/>
      <c r="E803" s="65"/>
      <c r="F803" s="66"/>
      <c r="G803" s="66"/>
      <c r="H803" s="66"/>
      <c r="I803" s="67"/>
      <c r="J803" s="67"/>
      <c r="K803" s="67"/>
      <c r="L803" s="29"/>
      <c r="M803" s="211"/>
      <c r="N803" s="29"/>
      <c r="O803" s="29"/>
      <c r="P803" s="29"/>
      <c r="Q803" s="29"/>
    </row>
    <row r="804" spans="1:17" ht="15.75" customHeight="1" x14ac:dyDescent="0.25">
      <c r="A804" s="29"/>
      <c r="B804" s="64"/>
      <c r="C804" s="29"/>
      <c r="D804" s="65"/>
      <c r="E804" s="65"/>
      <c r="F804" s="66"/>
      <c r="G804" s="66"/>
      <c r="H804" s="66"/>
      <c r="I804" s="67"/>
      <c r="J804" s="67"/>
      <c r="K804" s="67"/>
      <c r="L804" s="29"/>
      <c r="M804" s="211"/>
      <c r="N804" s="29"/>
      <c r="O804" s="29"/>
      <c r="P804" s="29"/>
      <c r="Q804" s="29"/>
    </row>
    <row r="805" spans="1:17" ht="15.75" customHeight="1" x14ac:dyDescent="0.25">
      <c r="A805" s="29"/>
      <c r="B805" s="64"/>
      <c r="C805" s="29"/>
      <c r="D805" s="65"/>
      <c r="E805" s="65"/>
      <c r="F805" s="66"/>
      <c r="G805" s="66"/>
      <c r="H805" s="66"/>
      <c r="I805" s="67"/>
      <c r="J805" s="67"/>
      <c r="K805" s="67"/>
      <c r="L805" s="29"/>
      <c r="M805" s="211"/>
      <c r="N805" s="29"/>
      <c r="O805" s="29"/>
      <c r="P805" s="29"/>
      <c r="Q805" s="29"/>
    </row>
    <row r="806" spans="1:17" ht="15.75" customHeight="1" x14ac:dyDescent="0.25">
      <c r="A806" s="29"/>
      <c r="B806" s="64"/>
      <c r="C806" s="29"/>
      <c r="D806" s="65"/>
      <c r="E806" s="65"/>
      <c r="F806" s="66"/>
      <c r="G806" s="66"/>
      <c r="H806" s="66"/>
      <c r="I806" s="67"/>
      <c r="J806" s="67"/>
      <c r="K806" s="67"/>
      <c r="L806" s="29"/>
      <c r="M806" s="211"/>
      <c r="N806" s="29"/>
      <c r="O806" s="29"/>
      <c r="P806" s="29"/>
      <c r="Q806" s="29"/>
    </row>
    <row r="807" spans="1:17" ht="15.75" customHeight="1" x14ac:dyDescent="0.25">
      <c r="A807" s="29"/>
      <c r="B807" s="64"/>
      <c r="C807" s="29"/>
      <c r="D807" s="65"/>
      <c r="E807" s="65"/>
      <c r="F807" s="66"/>
      <c r="G807" s="66"/>
      <c r="H807" s="66"/>
      <c r="I807" s="67"/>
      <c r="J807" s="67"/>
      <c r="K807" s="67"/>
      <c r="L807" s="29"/>
      <c r="M807" s="211"/>
      <c r="N807" s="29"/>
      <c r="O807" s="29"/>
      <c r="P807" s="29"/>
      <c r="Q807" s="29"/>
    </row>
    <row r="808" spans="1:17" ht="15.75" customHeight="1" x14ac:dyDescent="0.25">
      <c r="A808" s="29"/>
      <c r="B808" s="64"/>
      <c r="C808" s="29"/>
      <c r="D808" s="65"/>
      <c r="E808" s="65"/>
      <c r="F808" s="66"/>
      <c r="G808" s="66"/>
      <c r="H808" s="66"/>
      <c r="I808" s="67"/>
      <c r="J808" s="67"/>
      <c r="K808" s="67"/>
      <c r="L808" s="29"/>
      <c r="M808" s="211"/>
      <c r="N808" s="29"/>
      <c r="O808" s="29"/>
      <c r="P808" s="29"/>
      <c r="Q808" s="29"/>
    </row>
    <row r="809" spans="1:17" ht="15.75" customHeight="1" x14ac:dyDescent="0.25">
      <c r="A809" s="29"/>
      <c r="B809" s="64"/>
      <c r="C809" s="29"/>
      <c r="D809" s="65"/>
      <c r="E809" s="65"/>
      <c r="F809" s="66"/>
      <c r="G809" s="66"/>
      <c r="H809" s="66"/>
      <c r="I809" s="67"/>
      <c r="J809" s="67"/>
      <c r="K809" s="67"/>
      <c r="L809" s="29"/>
      <c r="M809" s="211"/>
      <c r="N809" s="29"/>
      <c r="O809" s="29"/>
      <c r="P809" s="29"/>
      <c r="Q809" s="29"/>
    </row>
    <row r="810" spans="1:17" ht="15.75" customHeight="1" x14ac:dyDescent="0.25">
      <c r="A810" s="29"/>
      <c r="B810" s="64"/>
      <c r="C810" s="29"/>
      <c r="D810" s="65"/>
      <c r="E810" s="65"/>
      <c r="F810" s="66"/>
      <c r="G810" s="66"/>
      <c r="H810" s="66"/>
      <c r="I810" s="67"/>
      <c r="J810" s="67"/>
      <c r="K810" s="67"/>
      <c r="L810" s="29"/>
      <c r="M810" s="211"/>
      <c r="N810" s="29"/>
      <c r="O810" s="29"/>
      <c r="P810" s="29"/>
      <c r="Q810" s="29"/>
    </row>
    <row r="811" spans="1:17" ht="15.75" customHeight="1" x14ac:dyDescent="0.25">
      <c r="A811" s="29"/>
      <c r="B811" s="64"/>
      <c r="C811" s="29"/>
      <c r="D811" s="65"/>
      <c r="E811" s="65"/>
      <c r="F811" s="66"/>
      <c r="G811" s="66"/>
      <c r="H811" s="66"/>
      <c r="I811" s="67"/>
      <c r="J811" s="67"/>
      <c r="K811" s="67"/>
      <c r="L811" s="29"/>
      <c r="M811" s="211"/>
      <c r="N811" s="29"/>
      <c r="O811" s="29"/>
      <c r="P811" s="29"/>
      <c r="Q811" s="29"/>
    </row>
    <row r="812" spans="1:17" ht="15.75" customHeight="1" x14ac:dyDescent="0.25">
      <c r="A812" s="29"/>
      <c r="B812" s="64"/>
      <c r="C812" s="29"/>
      <c r="D812" s="65"/>
      <c r="E812" s="65"/>
      <c r="F812" s="66"/>
      <c r="G812" s="66"/>
      <c r="H812" s="66"/>
      <c r="I812" s="67"/>
      <c r="J812" s="67"/>
      <c r="K812" s="67"/>
      <c r="L812" s="29"/>
      <c r="M812" s="211"/>
      <c r="N812" s="29"/>
      <c r="O812" s="29"/>
      <c r="P812" s="29"/>
      <c r="Q812" s="29"/>
    </row>
    <row r="813" spans="1:17" ht="15.75" customHeight="1" x14ac:dyDescent="0.25">
      <c r="A813" s="29"/>
      <c r="B813" s="64"/>
      <c r="C813" s="29"/>
      <c r="D813" s="65"/>
      <c r="E813" s="65"/>
      <c r="F813" s="66"/>
      <c r="G813" s="66"/>
      <c r="H813" s="66"/>
      <c r="I813" s="67"/>
      <c r="J813" s="67"/>
      <c r="K813" s="67"/>
      <c r="L813" s="29"/>
      <c r="M813" s="211"/>
      <c r="N813" s="29"/>
      <c r="O813" s="29"/>
      <c r="P813" s="29"/>
      <c r="Q813" s="29"/>
    </row>
    <row r="814" spans="1:17" ht="15.75" customHeight="1" x14ac:dyDescent="0.25">
      <c r="A814" s="29"/>
      <c r="B814" s="64"/>
      <c r="C814" s="29"/>
      <c r="D814" s="65"/>
      <c r="E814" s="65"/>
      <c r="F814" s="66"/>
      <c r="G814" s="66"/>
      <c r="H814" s="66"/>
      <c r="I814" s="67"/>
      <c r="J814" s="67"/>
      <c r="K814" s="67"/>
      <c r="L814" s="29"/>
      <c r="M814" s="211"/>
      <c r="N814" s="29"/>
      <c r="O814" s="29"/>
      <c r="P814" s="29"/>
      <c r="Q814" s="29"/>
    </row>
    <row r="815" spans="1:17" ht="15.75" customHeight="1" x14ac:dyDescent="0.25">
      <c r="A815" s="29"/>
      <c r="B815" s="64"/>
      <c r="C815" s="29"/>
      <c r="D815" s="65"/>
      <c r="E815" s="65"/>
      <c r="F815" s="66"/>
      <c r="G815" s="66"/>
      <c r="H815" s="66"/>
      <c r="I815" s="67"/>
      <c r="J815" s="67"/>
      <c r="K815" s="67"/>
      <c r="L815" s="29"/>
      <c r="M815" s="211"/>
      <c r="N815" s="29"/>
      <c r="O815" s="29"/>
      <c r="P815" s="29"/>
      <c r="Q815" s="29"/>
    </row>
    <row r="816" spans="1:17" ht="15.75" customHeight="1" x14ac:dyDescent="0.25">
      <c r="A816" s="29"/>
      <c r="B816" s="64"/>
      <c r="C816" s="29"/>
      <c r="D816" s="65"/>
      <c r="E816" s="65"/>
      <c r="F816" s="66"/>
      <c r="G816" s="66"/>
      <c r="H816" s="66"/>
      <c r="I816" s="67"/>
      <c r="J816" s="67"/>
      <c r="K816" s="67"/>
      <c r="L816" s="29"/>
      <c r="M816" s="211"/>
      <c r="N816" s="29"/>
      <c r="O816" s="29"/>
      <c r="P816" s="29"/>
      <c r="Q816" s="29"/>
    </row>
    <row r="817" spans="1:17" ht="15.75" customHeight="1" x14ac:dyDescent="0.25">
      <c r="A817" s="29"/>
      <c r="B817" s="64"/>
      <c r="C817" s="29"/>
      <c r="D817" s="65"/>
      <c r="E817" s="65"/>
      <c r="F817" s="66"/>
      <c r="G817" s="66"/>
      <c r="H817" s="66"/>
      <c r="I817" s="67"/>
      <c r="J817" s="67"/>
      <c r="K817" s="67"/>
      <c r="L817" s="29"/>
      <c r="M817" s="211"/>
      <c r="N817" s="29"/>
      <c r="O817" s="29"/>
      <c r="P817" s="29"/>
      <c r="Q817" s="29"/>
    </row>
    <row r="818" spans="1:17" ht="15.75" customHeight="1" x14ac:dyDescent="0.25">
      <c r="A818" s="29"/>
      <c r="B818" s="64"/>
      <c r="C818" s="29"/>
      <c r="D818" s="65"/>
      <c r="E818" s="65"/>
      <c r="F818" s="66"/>
      <c r="G818" s="66"/>
      <c r="H818" s="66"/>
      <c r="I818" s="67"/>
      <c r="J818" s="67"/>
      <c r="K818" s="67"/>
      <c r="L818" s="29"/>
      <c r="M818" s="211"/>
      <c r="N818" s="29"/>
      <c r="O818" s="29"/>
      <c r="P818" s="29"/>
      <c r="Q818" s="29"/>
    </row>
    <row r="819" spans="1:17" ht="15.75" customHeight="1" x14ac:dyDescent="0.25">
      <c r="A819" s="29"/>
      <c r="B819" s="64"/>
      <c r="C819" s="29"/>
      <c r="D819" s="65"/>
      <c r="E819" s="65"/>
      <c r="F819" s="66"/>
      <c r="G819" s="66"/>
      <c r="H819" s="66"/>
      <c r="I819" s="67"/>
      <c r="J819" s="67"/>
      <c r="K819" s="67"/>
      <c r="L819" s="29"/>
      <c r="M819" s="211"/>
      <c r="N819" s="29"/>
      <c r="O819" s="29"/>
      <c r="P819" s="29"/>
      <c r="Q819" s="29"/>
    </row>
    <row r="820" spans="1:17" ht="15.75" customHeight="1" x14ac:dyDescent="0.25">
      <c r="A820" s="29"/>
      <c r="B820" s="64"/>
      <c r="C820" s="29"/>
      <c r="D820" s="65"/>
      <c r="E820" s="65"/>
      <c r="F820" s="66"/>
      <c r="G820" s="66"/>
      <c r="H820" s="66"/>
      <c r="I820" s="67"/>
      <c r="J820" s="67"/>
      <c r="K820" s="67"/>
      <c r="L820" s="29"/>
      <c r="M820" s="211"/>
      <c r="N820" s="29"/>
      <c r="O820" s="29"/>
      <c r="P820" s="29"/>
      <c r="Q820" s="29"/>
    </row>
    <row r="821" spans="1:17" ht="15.75" customHeight="1" x14ac:dyDescent="0.25">
      <c r="A821" s="29"/>
      <c r="B821" s="64"/>
      <c r="C821" s="29"/>
      <c r="D821" s="65"/>
      <c r="E821" s="65"/>
      <c r="F821" s="66"/>
      <c r="G821" s="66"/>
      <c r="H821" s="66"/>
      <c r="I821" s="67"/>
      <c r="J821" s="67"/>
      <c r="K821" s="67"/>
      <c r="L821" s="29"/>
      <c r="M821" s="211"/>
      <c r="N821" s="29"/>
      <c r="O821" s="29"/>
      <c r="P821" s="29"/>
      <c r="Q821" s="29"/>
    </row>
    <row r="822" spans="1:17" ht="15.75" customHeight="1" x14ac:dyDescent="0.25">
      <c r="A822" s="29"/>
      <c r="B822" s="64"/>
      <c r="C822" s="29"/>
      <c r="D822" s="65"/>
      <c r="E822" s="65"/>
      <c r="F822" s="66"/>
      <c r="G822" s="66"/>
      <c r="H822" s="66"/>
      <c r="I822" s="67"/>
      <c r="J822" s="67"/>
      <c r="K822" s="67"/>
      <c r="L822" s="29"/>
      <c r="M822" s="211"/>
      <c r="N822" s="29"/>
      <c r="O822" s="29"/>
      <c r="P822" s="29"/>
      <c r="Q822" s="29"/>
    </row>
    <row r="823" spans="1:17" ht="15.75" customHeight="1" x14ac:dyDescent="0.25">
      <c r="A823" s="29"/>
      <c r="B823" s="64"/>
      <c r="C823" s="29"/>
      <c r="D823" s="65"/>
      <c r="E823" s="65"/>
      <c r="F823" s="66"/>
      <c r="G823" s="66"/>
      <c r="H823" s="66"/>
      <c r="I823" s="67"/>
      <c r="J823" s="67"/>
      <c r="K823" s="67"/>
      <c r="L823" s="29"/>
      <c r="M823" s="211"/>
      <c r="N823" s="29"/>
      <c r="O823" s="29"/>
      <c r="P823" s="29"/>
      <c r="Q823" s="29"/>
    </row>
    <row r="824" spans="1:17" ht="15.75" customHeight="1" x14ac:dyDescent="0.25">
      <c r="A824" s="29"/>
      <c r="B824" s="64"/>
      <c r="C824" s="29"/>
      <c r="D824" s="65"/>
      <c r="E824" s="65"/>
      <c r="F824" s="66"/>
      <c r="G824" s="66"/>
      <c r="H824" s="66"/>
      <c r="I824" s="67"/>
      <c r="J824" s="67"/>
      <c r="K824" s="67"/>
      <c r="L824" s="29"/>
      <c r="M824" s="211"/>
      <c r="N824" s="29"/>
      <c r="O824" s="29"/>
      <c r="P824" s="29"/>
      <c r="Q824" s="29"/>
    </row>
    <row r="825" spans="1:17" ht="15.75" customHeight="1" x14ac:dyDescent="0.25">
      <c r="A825" s="29"/>
      <c r="B825" s="64"/>
      <c r="C825" s="29"/>
      <c r="D825" s="65"/>
      <c r="E825" s="65"/>
      <c r="F825" s="66"/>
      <c r="G825" s="66"/>
      <c r="H825" s="66"/>
      <c r="I825" s="67"/>
      <c r="J825" s="67"/>
      <c r="K825" s="67"/>
      <c r="L825" s="29"/>
      <c r="M825" s="211"/>
      <c r="N825" s="29"/>
      <c r="O825" s="29"/>
      <c r="P825" s="29"/>
      <c r="Q825" s="29"/>
    </row>
    <row r="826" spans="1:17" ht="15.75" customHeight="1" x14ac:dyDescent="0.25">
      <c r="A826" s="29"/>
      <c r="B826" s="64"/>
      <c r="C826" s="29"/>
      <c r="D826" s="65"/>
      <c r="E826" s="65"/>
      <c r="F826" s="66"/>
      <c r="G826" s="66"/>
      <c r="H826" s="66"/>
      <c r="I826" s="67"/>
      <c r="J826" s="67"/>
      <c r="K826" s="67"/>
      <c r="L826" s="29"/>
      <c r="M826" s="211"/>
      <c r="N826" s="29"/>
      <c r="O826" s="29"/>
      <c r="P826" s="29"/>
      <c r="Q826" s="29"/>
    </row>
    <row r="827" spans="1:17" ht="15.75" customHeight="1" x14ac:dyDescent="0.25">
      <c r="A827" s="29"/>
      <c r="B827" s="64"/>
      <c r="C827" s="29"/>
      <c r="D827" s="65"/>
      <c r="E827" s="65"/>
      <c r="F827" s="66"/>
      <c r="G827" s="66"/>
      <c r="H827" s="66"/>
      <c r="I827" s="67"/>
      <c r="J827" s="67"/>
      <c r="K827" s="67"/>
      <c r="L827" s="29"/>
      <c r="M827" s="211"/>
      <c r="N827" s="29"/>
      <c r="O827" s="29"/>
      <c r="P827" s="29"/>
      <c r="Q827" s="29"/>
    </row>
    <row r="828" spans="1:17" ht="15.75" customHeight="1" x14ac:dyDescent="0.25">
      <c r="A828" s="29"/>
      <c r="B828" s="64"/>
      <c r="C828" s="29"/>
      <c r="D828" s="65"/>
      <c r="E828" s="65"/>
      <c r="F828" s="66"/>
      <c r="G828" s="66"/>
      <c r="H828" s="66"/>
      <c r="I828" s="67"/>
      <c r="J828" s="67"/>
      <c r="K828" s="67"/>
      <c r="L828" s="29"/>
      <c r="M828" s="211"/>
      <c r="N828" s="29"/>
      <c r="O828" s="29"/>
      <c r="P828" s="29"/>
      <c r="Q828" s="29"/>
    </row>
    <row r="829" spans="1:17" ht="15.75" customHeight="1" x14ac:dyDescent="0.25">
      <c r="A829" s="29"/>
      <c r="B829" s="64"/>
      <c r="C829" s="29"/>
      <c r="D829" s="65"/>
      <c r="E829" s="65"/>
      <c r="F829" s="66"/>
      <c r="G829" s="66"/>
      <c r="H829" s="66"/>
      <c r="I829" s="67"/>
      <c r="J829" s="67"/>
      <c r="K829" s="67"/>
      <c r="L829" s="29"/>
      <c r="M829" s="211"/>
      <c r="N829" s="29"/>
      <c r="O829" s="29"/>
      <c r="P829" s="29"/>
      <c r="Q829" s="29"/>
    </row>
    <row r="830" spans="1:17" ht="15.75" customHeight="1" x14ac:dyDescent="0.25">
      <c r="A830" s="29"/>
      <c r="B830" s="64"/>
      <c r="C830" s="29"/>
      <c r="D830" s="65"/>
      <c r="E830" s="65"/>
      <c r="F830" s="66"/>
      <c r="G830" s="66"/>
      <c r="H830" s="66"/>
      <c r="I830" s="67"/>
      <c r="J830" s="67"/>
      <c r="K830" s="67"/>
      <c r="L830" s="29"/>
      <c r="M830" s="211"/>
      <c r="N830" s="29"/>
      <c r="O830" s="29"/>
      <c r="P830" s="29"/>
      <c r="Q830" s="29"/>
    </row>
    <row r="831" spans="1:17" ht="15.75" customHeight="1" x14ac:dyDescent="0.25">
      <c r="A831" s="29"/>
      <c r="B831" s="64"/>
      <c r="C831" s="29"/>
      <c r="D831" s="65"/>
      <c r="E831" s="65"/>
      <c r="F831" s="66"/>
      <c r="G831" s="66"/>
      <c r="H831" s="66"/>
      <c r="I831" s="67"/>
      <c r="J831" s="67"/>
      <c r="K831" s="67"/>
      <c r="L831" s="29"/>
      <c r="M831" s="211"/>
      <c r="N831" s="29"/>
      <c r="O831" s="29"/>
      <c r="P831" s="29"/>
      <c r="Q831" s="29"/>
    </row>
    <row r="832" spans="1:17" ht="15.75" customHeight="1" x14ac:dyDescent="0.25">
      <c r="A832" s="29"/>
      <c r="B832" s="64"/>
      <c r="C832" s="29"/>
      <c r="D832" s="65"/>
      <c r="E832" s="65"/>
      <c r="F832" s="66"/>
      <c r="G832" s="66"/>
      <c r="H832" s="66"/>
      <c r="I832" s="67"/>
      <c r="J832" s="67"/>
      <c r="K832" s="67"/>
      <c r="L832" s="29"/>
      <c r="M832" s="211"/>
      <c r="N832" s="29"/>
      <c r="O832" s="29"/>
      <c r="P832" s="29"/>
      <c r="Q832" s="29"/>
    </row>
    <row r="833" spans="1:17" ht="15.75" customHeight="1" x14ac:dyDescent="0.25">
      <c r="A833" s="29"/>
      <c r="B833" s="64"/>
      <c r="C833" s="29"/>
      <c r="D833" s="65"/>
      <c r="E833" s="65"/>
      <c r="F833" s="66"/>
      <c r="G833" s="66"/>
      <c r="H833" s="66"/>
      <c r="I833" s="67"/>
      <c r="J833" s="67"/>
      <c r="K833" s="67"/>
      <c r="L833" s="29"/>
      <c r="M833" s="211"/>
      <c r="N833" s="29"/>
      <c r="O833" s="29"/>
      <c r="P833" s="29"/>
      <c r="Q833" s="29"/>
    </row>
    <row r="834" spans="1:17" ht="15.75" customHeight="1" x14ac:dyDescent="0.25">
      <c r="A834" s="29"/>
      <c r="B834" s="64"/>
      <c r="C834" s="29"/>
      <c r="D834" s="65"/>
      <c r="E834" s="65"/>
      <c r="F834" s="66"/>
      <c r="G834" s="66"/>
      <c r="H834" s="66"/>
      <c r="I834" s="67"/>
      <c r="J834" s="67"/>
      <c r="K834" s="67"/>
      <c r="L834" s="29"/>
      <c r="M834" s="211"/>
      <c r="N834" s="29"/>
      <c r="O834" s="29"/>
      <c r="P834" s="29"/>
      <c r="Q834" s="29"/>
    </row>
    <row r="835" spans="1:17" ht="15.75" customHeight="1" x14ac:dyDescent="0.25">
      <c r="A835" s="29"/>
      <c r="B835" s="64"/>
      <c r="C835" s="29"/>
      <c r="D835" s="65"/>
      <c r="E835" s="65"/>
      <c r="F835" s="66"/>
      <c r="G835" s="66"/>
      <c r="H835" s="66"/>
      <c r="I835" s="67"/>
      <c r="J835" s="67"/>
      <c r="K835" s="67"/>
      <c r="L835" s="29"/>
      <c r="M835" s="211"/>
      <c r="N835" s="29"/>
      <c r="O835" s="29"/>
      <c r="P835" s="29"/>
      <c r="Q835" s="29"/>
    </row>
    <row r="836" spans="1:17" ht="15.75" customHeight="1" x14ac:dyDescent="0.25">
      <c r="A836" s="29"/>
      <c r="B836" s="64"/>
      <c r="C836" s="29"/>
      <c r="D836" s="65"/>
      <c r="E836" s="65"/>
      <c r="F836" s="66"/>
      <c r="G836" s="66"/>
      <c r="H836" s="66"/>
      <c r="I836" s="67"/>
      <c r="J836" s="67"/>
      <c r="K836" s="67"/>
      <c r="L836" s="29"/>
      <c r="M836" s="211"/>
      <c r="N836" s="29"/>
      <c r="O836" s="29"/>
      <c r="P836" s="29"/>
      <c r="Q836" s="29"/>
    </row>
    <row r="837" spans="1:17" ht="15.75" customHeight="1" x14ac:dyDescent="0.25">
      <c r="A837" s="29"/>
      <c r="B837" s="64"/>
      <c r="C837" s="29"/>
      <c r="D837" s="65"/>
      <c r="E837" s="65"/>
      <c r="F837" s="66"/>
      <c r="G837" s="66"/>
      <c r="H837" s="66"/>
      <c r="I837" s="67"/>
      <c r="J837" s="67"/>
      <c r="K837" s="67"/>
      <c r="L837" s="29"/>
      <c r="M837" s="211"/>
      <c r="N837" s="29"/>
      <c r="O837" s="29"/>
      <c r="P837" s="29"/>
      <c r="Q837" s="29"/>
    </row>
    <row r="838" spans="1:17" ht="15.75" customHeight="1" x14ac:dyDescent="0.25">
      <c r="A838" s="29"/>
      <c r="B838" s="64"/>
      <c r="C838" s="29"/>
      <c r="D838" s="65"/>
      <c r="E838" s="65"/>
      <c r="F838" s="66"/>
      <c r="G838" s="66"/>
      <c r="H838" s="66"/>
      <c r="I838" s="67"/>
      <c r="J838" s="67"/>
      <c r="K838" s="67"/>
      <c r="L838" s="29"/>
      <c r="M838" s="211"/>
      <c r="N838" s="29"/>
      <c r="O838" s="29"/>
      <c r="P838" s="29"/>
      <c r="Q838" s="29"/>
    </row>
    <row r="839" spans="1:17" ht="15.75" customHeight="1" x14ac:dyDescent="0.25">
      <c r="A839" s="29"/>
      <c r="B839" s="64"/>
      <c r="C839" s="29"/>
      <c r="D839" s="65"/>
      <c r="E839" s="65"/>
      <c r="F839" s="66"/>
      <c r="G839" s="66"/>
      <c r="H839" s="66"/>
      <c r="I839" s="67"/>
      <c r="J839" s="67"/>
      <c r="K839" s="67"/>
      <c r="L839" s="29"/>
      <c r="M839" s="211"/>
      <c r="N839" s="29"/>
      <c r="O839" s="29"/>
      <c r="P839" s="29"/>
      <c r="Q839" s="29"/>
    </row>
    <row r="840" spans="1:17" ht="15.75" customHeight="1" x14ac:dyDescent="0.25">
      <c r="A840" s="29"/>
      <c r="B840" s="64"/>
      <c r="C840" s="29"/>
      <c r="D840" s="65"/>
      <c r="E840" s="65"/>
      <c r="F840" s="66"/>
      <c r="G840" s="66"/>
      <c r="H840" s="66"/>
      <c r="I840" s="67"/>
      <c r="J840" s="67"/>
      <c r="K840" s="67"/>
      <c r="L840" s="29"/>
      <c r="M840" s="211"/>
      <c r="N840" s="29"/>
      <c r="O840" s="29"/>
      <c r="P840" s="29"/>
      <c r="Q840" s="29"/>
    </row>
    <row r="841" spans="1:17" ht="15.75" customHeight="1" x14ac:dyDescent="0.25">
      <c r="A841" s="29"/>
      <c r="B841" s="64"/>
      <c r="C841" s="29"/>
      <c r="D841" s="65"/>
      <c r="E841" s="65"/>
      <c r="F841" s="66"/>
      <c r="G841" s="66"/>
      <c r="H841" s="66"/>
      <c r="I841" s="67"/>
      <c r="J841" s="67"/>
      <c r="K841" s="67"/>
      <c r="L841" s="29"/>
      <c r="M841" s="211"/>
      <c r="N841" s="29"/>
      <c r="O841" s="29"/>
      <c r="P841" s="29"/>
      <c r="Q841" s="29"/>
    </row>
    <row r="842" spans="1:17" ht="15.75" customHeight="1" x14ac:dyDescent="0.25">
      <c r="A842" s="29"/>
      <c r="B842" s="64"/>
      <c r="C842" s="29"/>
      <c r="D842" s="65"/>
      <c r="E842" s="65"/>
      <c r="F842" s="66"/>
      <c r="G842" s="66"/>
      <c r="H842" s="66"/>
      <c r="I842" s="67"/>
      <c r="J842" s="67"/>
      <c r="K842" s="67"/>
      <c r="L842" s="29"/>
      <c r="M842" s="211"/>
      <c r="N842" s="29"/>
      <c r="O842" s="29"/>
      <c r="P842" s="29"/>
      <c r="Q842" s="29"/>
    </row>
    <row r="843" spans="1:17" ht="15.75" customHeight="1" x14ac:dyDescent="0.25">
      <c r="A843" s="29"/>
      <c r="B843" s="64"/>
      <c r="C843" s="29"/>
      <c r="D843" s="65"/>
      <c r="E843" s="65"/>
      <c r="F843" s="66"/>
      <c r="G843" s="66"/>
      <c r="H843" s="66"/>
      <c r="I843" s="67"/>
      <c r="J843" s="67"/>
      <c r="K843" s="67"/>
      <c r="L843" s="29"/>
      <c r="M843" s="211"/>
      <c r="N843" s="29"/>
      <c r="O843" s="29"/>
      <c r="P843" s="29"/>
      <c r="Q843" s="29"/>
    </row>
    <row r="844" spans="1:17" ht="15.75" customHeight="1" x14ac:dyDescent="0.25">
      <c r="A844" s="29"/>
      <c r="B844" s="64"/>
      <c r="C844" s="29"/>
      <c r="D844" s="65"/>
      <c r="E844" s="65"/>
      <c r="F844" s="66"/>
      <c r="G844" s="66"/>
      <c r="H844" s="66"/>
      <c r="I844" s="67"/>
      <c r="J844" s="67"/>
      <c r="K844" s="67"/>
      <c r="L844" s="29"/>
      <c r="M844" s="211"/>
      <c r="N844" s="29"/>
      <c r="O844" s="29"/>
      <c r="P844" s="29"/>
      <c r="Q844" s="29"/>
    </row>
    <row r="845" spans="1:17" ht="15.75" customHeight="1" x14ac:dyDescent="0.25">
      <c r="A845" s="29"/>
      <c r="B845" s="64"/>
      <c r="C845" s="29"/>
      <c r="D845" s="65"/>
      <c r="E845" s="65"/>
      <c r="F845" s="66"/>
      <c r="G845" s="66"/>
      <c r="H845" s="66"/>
      <c r="I845" s="67"/>
      <c r="J845" s="67"/>
      <c r="K845" s="67"/>
      <c r="L845" s="29"/>
      <c r="M845" s="211"/>
      <c r="N845" s="29"/>
      <c r="O845" s="29"/>
      <c r="P845" s="29"/>
      <c r="Q845" s="29"/>
    </row>
    <row r="846" spans="1:17" ht="15.75" customHeight="1" x14ac:dyDescent="0.25">
      <c r="A846" s="29"/>
      <c r="B846" s="64"/>
      <c r="C846" s="29"/>
      <c r="D846" s="65"/>
      <c r="E846" s="65"/>
      <c r="F846" s="66"/>
      <c r="G846" s="66"/>
      <c r="H846" s="66"/>
      <c r="I846" s="67"/>
      <c r="J846" s="67"/>
      <c r="K846" s="67"/>
      <c r="L846" s="29"/>
      <c r="M846" s="211"/>
      <c r="N846" s="29"/>
      <c r="O846" s="29"/>
      <c r="P846" s="29"/>
      <c r="Q846" s="29"/>
    </row>
    <row r="847" spans="1:17" ht="15.75" customHeight="1" x14ac:dyDescent="0.25">
      <c r="A847" s="29"/>
      <c r="B847" s="64"/>
      <c r="C847" s="29"/>
      <c r="D847" s="65"/>
      <c r="E847" s="65"/>
      <c r="F847" s="66"/>
      <c r="G847" s="66"/>
      <c r="H847" s="66"/>
      <c r="I847" s="67"/>
      <c r="J847" s="67"/>
      <c r="K847" s="67"/>
      <c r="L847" s="29"/>
      <c r="M847" s="211"/>
      <c r="N847" s="29"/>
      <c r="O847" s="29"/>
      <c r="P847" s="29"/>
      <c r="Q847" s="29"/>
    </row>
    <row r="848" spans="1:17" ht="15.75" customHeight="1" x14ac:dyDescent="0.25">
      <c r="A848" s="29"/>
      <c r="B848" s="64"/>
      <c r="C848" s="29"/>
      <c r="D848" s="65"/>
      <c r="E848" s="65"/>
      <c r="F848" s="66"/>
      <c r="G848" s="66"/>
      <c r="H848" s="66"/>
      <c r="I848" s="67"/>
      <c r="J848" s="67"/>
      <c r="K848" s="67"/>
      <c r="L848" s="29"/>
      <c r="M848" s="211"/>
      <c r="N848" s="29"/>
      <c r="O848" s="29"/>
      <c r="P848" s="29"/>
      <c r="Q848" s="29"/>
    </row>
    <row r="849" spans="1:17" ht="15.75" customHeight="1" x14ac:dyDescent="0.25">
      <c r="A849" s="29"/>
      <c r="B849" s="64"/>
      <c r="C849" s="29"/>
      <c r="D849" s="65"/>
      <c r="E849" s="65"/>
      <c r="F849" s="66"/>
      <c r="G849" s="66"/>
      <c r="H849" s="66"/>
      <c r="I849" s="67"/>
      <c r="J849" s="67"/>
      <c r="K849" s="67"/>
      <c r="L849" s="29"/>
      <c r="M849" s="211"/>
      <c r="N849" s="29"/>
      <c r="O849" s="29"/>
      <c r="P849" s="29"/>
      <c r="Q849" s="29"/>
    </row>
    <row r="850" spans="1:17" ht="15.75" customHeight="1" x14ac:dyDescent="0.25">
      <c r="A850" s="29"/>
      <c r="B850" s="64"/>
      <c r="C850" s="29"/>
      <c r="D850" s="65"/>
      <c r="E850" s="65"/>
      <c r="F850" s="66"/>
      <c r="G850" s="66"/>
      <c r="H850" s="66"/>
      <c r="I850" s="67"/>
      <c r="J850" s="67"/>
      <c r="K850" s="67"/>
      <c r="L850" s="29"/>
      <c r="M850" s="211"/>
      <c r="N850" s="29"/>
      <c r="O850" s="29"/>
      <c r="P850" s="29"/>
      <c r="Q850" s="29"/>
    </row>
    <row r="851" spans="1:17" ht="15.75" customHeight="1" x14ac:dyDescent="0.25">
      <c r="A851" s="29"/>
      <c r="B851" s="64"/>
      <c r="C851" s="29"/>
      <c r="D851" s="65"/>
      <c r="E851" s="65"/>
      <c r="F851" s="66"/>
      <c r="G851" s="66"/>
      <c r="H851" s="66"/>
      <c r="I851" s="67"/>
      <c r="J851" s="67"/>
      <c r="K851" s="67"/>
      <c r="L851" s="29"/>
      <c r="M851" s="211"/>
      <c r="N851" s="29"/>
      <c r="O851" s="29"/>
      <c r="P851" s="29"/>
      <c r="Q851" s="29"/>
    </row>
    <row r="852" spans="1:17" ht="15.75" customHeight="1" x14ac:dyDescent="0.25">
      <c r="A852" s="29"/>
      <c r="B852" s="64"/>
      <c r="C852" s="29"/>
      <c r="D852" s="65"/>
      <c r="E852" s="65"/>
      <c r="F852" s="66"/>
      <c r="G852" s="66"/>
      <c r="H852" s="66"/>
      <c r="I852" s="67"/>
      <c r="J852" s="67"/>
      <c r="K852" s="67"/>
      <c r="L852" s="29"/>
      <c r="M852" s="211"/>
      <c r="N852" s="29"/>
      <c r="O852" s="29"/>
      <c r="P852" s="29"/>
      <c r="Q852" s="29"/>
    </row>
    <row r="853" spans="1:17" ht="15.75" customHeight="1" x14ac:dyDescent="0.25">
      <c r="A853" s="29"/>
      <c r="B853" s="64"/>
      <c r="C853" s="29"/>
      <c r="D853" s="65"/>
      <c r="E853" s="65"/>
      <c r="F853" s="66"/>
      <c r="G853" s="66"/>
      <c r="H853" s="66"/>
      <c r="I853" s="67"/>
      <c r="J853" s="67"/>
      <c r="K853" s="67"/>
      <c r="L853" s="29"/>
      <c r="M853" s="211"/>
      <c r="N853" s="29"/>
      <c r="O853" s="29"/>
      <c r="P853" s="29"/>
      <c r="Q853" s="29"/>
    </row>
    <row r="854" spans="1:17" ht="15.75" customHeight="1" x14ac:dyDescent="0.25">
      <c r="A854" s="29"/>
      <c r="B854" s="64"/>
      <c r="C854" s="29"/>
      <c r="D854" s="65"/>
      <c r="E854" s="65"/>
      <c r="F854" s="66"/>
      <c r="G854" s="66"/>
      <c r="H854" s="66"/>
      <c r="I854" s="67"/>
      <c r="J854" s="67"/>
      <c r="K854" s="67"/>
      <c r="L854" s="29"/>
      <c r="M854" s="211"/>
      <c r="N854" s="29"/>
      <c r="O854" s="29"/>
      <c r="P854" s="29"/>
      <c r="Q854" s="29"/>
    </row>
    <row r="855" spans="1:17" ht="15.75" customHeight="1" x14ac:dyDescent="0.25">
      <c r="A855" s="29"/>
      <c r="B855" s="64"/>
      <c r="C855" s="29"/>
      <c r="D855" s="65"/>
      <c r="E855" s="65"/>
      <c r="F855" s="66"/>
      <c r="G855" s="66"/>
      <c r="H855" s="66"/>
      <c r="I855" s="67"/>
      <c r="J855" s="67"/>
      <c r="K855" s="67"/>
      <c r="L855" s="29"/>
      <c r="M855" s="211"/>
      <c r="N855" s="29"/>
      <c r="O855" s="29"/>
      <c r="P855" s="29"/>
      <c r="Q855" s="29"/>
    </row>
    <row r="856" spans="1:17" ht="15.75" customHeight="1" x14ac:dyDescent="0.25">
      <c r="A856" s="29"/>
      <c r="B856" s="64"/>
      <c r="C856" s="29"/>
      <c r="D856" s="65"/>
      <c r="E856" s="65"/>
      <c r="F856" s="66"/>
      <c r="G856" s="66"/>
      <c r="H856" s="66"/>
      <c r="I856" s="67"/>
      <c r="J856" s="67"/>
      <c r="K856" s="67"/>
      <c r="L856" s="29"/>
      <c r="M856" s="211"/>
      <c r="N856" s="29"/>
      <c r="O856" s="29"/>
      <c r="P856" s="29"/>
      <c r="Q856" s="29"/>
    </row>
    <row r="857" spans="1:17" ht="15.75" customHeight="1" x14ac:dyDescent="0.25">
      <c r="A857" s="29"/>
      <c r="B857" s="64"/>
      <c r="C857" s="29"/>
      <c r="D857" s="65"/>
      <c r="E857" s="65"/>
      <c r="F857" s="66"/>
      <c r="G857" s="66"/>
      <c r="H857" s="66"/>
      <c r="I857" s="67"/>
      <c r="J857" s="67"/>
      <c r="K857" s="67"/>
      <c r="L857" s="29"/>
      <c r="M857" s="211"/>
      <c r="N857" s="29"/>
      <c r="O857" s="29"/>
      <c r="P857" s="29"/>
      <c r="Q857" s="29"/>
    </row>
    <row r="858" spans="1:17" ht="15.75" customHeight="1" x14ac:dyDescent="0.25">
      <c r="A858" s="29"/>
      <c r="B858" s="64"/>
      <c r="C858" s="29"/>
      <c r="D858" s="65"/>
      <c r="E858" s="65"/>
      <c r="F858" s="66"/>
      <c r="G858" s="66"/>
      <c r="H858" s="66"/>
      <c r="I858" s="67"/>
      <c r="J858" s="67"/>
      <c r="K858" s="67"/>
      <c r="L858" s="29"/>
      <c r="M858" s="211"/>
      <c r="N858" s="29"/>
      <c r="O858" s="29"/>
      <c r="P858" s="29"/>
      <c r="Q858" s="29"/>
    </row>
    <row r="859" spans="1:17" ht="15.75" customHeight="1" x14ac:dyDescent="0.25">
      <c r="A859" s="29"/>
      <c r="B859" s="64"/>
      <c r="C859" s="29"/>
      <c r="D859" s="65"/>
      <c r="E859" s="65"/>
      <c r="F859" s="66"/>
      <c r="G859" s="66"/>
      <c r="H859" s="66"/>
      <c r="I859" s="67"/>
      <c r="J859" s="67"/>
      <c r="K859" s="67"/>
      <c r="L859" s="29"/>
      <c r="M859" s="211"/>
      <c r="N859" s="29"/>
      <c r="O859" s="29"/>
      <c r="P859" s="29"/>
      <c r="Q859" s="29"/>
    </row>
    <row r="860" spans="1:17" ht="15.75" customHeight="1" x14ac:dyDescent="0.25">
      <c r="A860" s="29"/>
      <c r="B860" s="64"/>
      <c r="C860" s="29"/>
      <c r="D860" s="65"/>
      <c r="E860" s="65"/>
      <c r="F860" s="66"/>
      <c r="G860" s="66"/>
      <c r="H860" s="66"/>
      <c r="I860" s="67"/>
      <c r="J860" s="67"/>
      <c r="K860" s="67"/>
      <c r="L860" s="29"/>
      <c r="M860" s="211"/>
      <c r="N860" s="29"/>
      <c r="O860" s="29"/>
      <c r="P860" s="29"/>
      <c r="Q860" s="29"/>
    </row>
    <row r="861" spans="1:17" ht="15.75" customHeight="1" x14ac:dyDescent="0.25">
      <c r="A861" s="29"/>
      <c r="B861" s="64"/>
      <c r="C861" s="29"/>
      <c r="D861" s="65"/>
      <c r="E861" s="65"/>
      <c r="F861" s="66"/>
      <c r="G861" s="66"/>
      <c r="H861" s="66"/>
      <c r="I861" s="67"/>
      <c r="J861" s="67"/>
      <c r="K861" s="67"/>
      <c r="L861" s="29"/>
      <c r="M861" s="211"/>
      <c r="N861" s="29"/>
      <c r="O861" s="29"/>
      <c r="P861" s="29"/>
      <c r="Q861" s="29"/>
    </row>
    <row r="862" spans="1:17" ht="15.75" customHeight="1" x14ac:dyDescent="0.25">
      <c r="A862" s="29"/>
      <c r="B862" s="64"/>
      <c r="C862" s="29"/>
      <c r="D862" s="65"/>
      <c r="E862" s="65"/>
      <c r="F862" s="66"/>
      <c r="G862" s="66"/>
      <c r="H862" s="66"/>
      <c r="I862" s="67"/>
      <c r="J862" s="67"/>
      <c r="K862" s="67"/>
      <c r="L862" s="29"/>
      <c r="M862" s="211"/>
      <c r="N862" s="29"/>
      <c r="O862" s="29"/>
      <c r="P862" s="29"/>
      <c r="Q862" s="29"/>
    </row>
    <row r="863" spans="1:17" ht="15.75" customHeight="1" x14ac:dyDescent="0.25">
      <c r="A863" s="29"/>
      <c r="B863" s="64"/>
      <c r="C863" s="29"/>
      <c r="D863" s="65"/>
      <c r="E863" s="65"/>
      <c r="F863" s="66"/>
      <c r="G863" s="66"/>
      <c r="H863" s="66"/>
      <c r="I863" s="67"/>
      <c r="J863" s="67"/>
      <c r="K863" s="67"/>
      <c r="L863" s="29"/>
      <c r="M863" s="211"/>
      <c r="N863" s="29"/>
      <c r="O863" s="29"/>
      <c r="P863" s="29"/>
      <c r="Q863" s="29"/>
    </row>
    <row r="864" spans="1:17" ht="15.75" customHeight="1" x14ac:dyDescent="0.25">
      <c r="A864" s="29"/>
      <c r="B864" s="64"/>
      <c r="C864" s="29"/>
      <c r="D864" s="65"/>
      <c r="E864" s="65"/>
      <c r="F864" s="66"/>
      <c r="G864" s="66"/>
      <c r="H864" s="66"/>
      <c r="I864" s="67"/>
      <c r="J864" s="67"/>
      <c r="K864" s="67"/>
      <c r="L864" s="29"/>
      <c r="M864" s="211"/>
      <c r="N864" s="29"/>
      <c r="O864" s="29"/>
      <c r="P864" s="29"/>
      <c r="Q864" s="29"/>
    </row>
    <row r="865" spans="1:17" ht="15.75" customHeight="1" x14ac:dyDescent="0.25">
      <c r="A865" s="29"/>
      <c r="B865" s="64"/>
      <c r="C865" s="29"/>
      <c r="D865" s="65"/>
      <c r="E865" s="65"/>
      <c r="F865" s="66"/>
      <c r="G865" s="66"/>
      <c r="H865" s="66"/>
      <c r="I865" s="67"/>
      <c r="J865" s="67"/>
      <c r="K865" s="67"/>
      <c r="L865" s="29"/>
      <c r="M865" s="211"/>
      <c r="N865" s="29"/>
      <c r="O865" s="29"/>
      <c r="P865" s="29"/>
      <c r="Q865" s="29"/>
    </row>
    <row r="866" spans="1:17" ht="15.75" customHeight="1" x14ac:dyDescent="0.25">
      <c r="A866" s="29"/>
      <c r="B866" s="64"/>
      <c r="C866" s="29"/>
      <c r="D866" s="65"/>
      <c r="E866" s="65"/>
      <c r="F866" s="66"/>
      <c r="G866" s="66"/>
      <c r="H866" s="66"/>
      <c r="I866" s="67"/>
      <c r="J866" s="67"/>
      <c r="K866" s="67"/>
      <c r="L866" s="29"/>
      <c r="M866" s="211"/>
      <c r="N866" s="29"/>
      <c r="O866" s="29"/>
      <c r="P866" s="29"/>
      <c r="Q866" s="29"/>
    </row>
    <row r="867" spans="1:17" ht="15.75" customHeight="1" x14ac:dyDescent="0.25">
      <c r="A867" s="29"/>
      <c r="B867" s="64"/>
      <c r="C867" s="29"/>
      <c r="D867" s="65"/>
      <c r="E867" s="65"/>
      <c r="F867" s="66"/>
      <c r="G867" s="66"/>
      <c r="H867" s="66"/>
      <c r="I867" s="67"/>
      <c r="J867" s="67"/>
      <c r="K867" s="67"/>
      <c r="L867" s="29"/>
      <c r="M867" s="211"/>
      <c r="N867" s="29"/>
      <c r="O867" s="29"/>
      <c r="P867" s="29"/>
      <c r="Q867" s="29"/>
    </row>
    <row r="868" spans="1:17" ht="15.75" customHeight="1" x14ac:dyDescent="0.25">
      <c r="A868" s="29"/>
      <c r="B868" s="64"/>
      <c r="C868" s="29"/>
      <c r="D868" s="65"/>
      <c r="E868" s="65"/>
      <c r="F868" s="66"/>
      <c r="G868" s="66"/>
      <c r="H868" s="66"/>
      <c r="I868" s="67"/>
      <c r="J868" s="67"/>
      <c r="K868" s="67"/>
      <c r="L868" s="29"/>
      <c r="M868" s="211"/>
      <c r="N868" s="29"/>
      <c r="O868" s="29"/>
      <c r="P868" s="29"/>
      <c r="Q868" s="29"/>
    </row>
    <row r="869" spans="1:17" ht="15.75" customHeight="1" x14ac:dyDescent="0.25">
      <c r="A869" s="29"/>
      <c r="B869" s="64"/>
      <c r="C869" s="29"/>
      <c r="D869" s="65"/>
      <c r="E869" s="65"/>
      <c r="F869" s="66"/>
      <c r="G869" s="66"/>
      <c r="H869" s="66"/>
      <c r="I869" s="67"/>
      <c r="J869" s="67"/>
      <c r="K869" s="67"/>
      <c r="L869" s="29"/>
      <c r="M869" s="211"/>
      <c r="N869" s="29"/>
      <c r="O869" s="29"/>
      <c r="P869" s="29"/>
      <c r="Q869" s="29"/>
    </row>
    <row r="870" spans="1:17" ht="15.75" customHeight="1" x14ac:dyDescent="0.25">
      <c r="A870" s="29"/>
      <c r="B870" s="64"/>
      <c r="C870" s="29"/>
      <c r="D870" s="65"/>
      <c r="E870" s="65"/>
      <c r="F870" s="66"/>
      <c r="G870" s="66"/>
      <c r="H870" s="66"/>
      <c r="I870" s="67"/>
      <c r="J870" s="67"/>
      <c r="K870" s="67"/>
      <c r="L870" s="29"/>
      <c r="M870" s="211"/>
      <c r="N870" s="29"/>
      <c r="O870" s="29"/>
      <c r="P870" s="29"/>
      <c r="Q870" s="29"/>
    </row>
    <row r="871" spans="1:17" ht="15.75" customHeight="1" x14ac:dyDescent="0.25">
      <c r="A871" s="29"/>
      <c r="B871" s="64"/>
      <c r="C871" s="29"/>
      <c r="D871" s="65"/>
      <c r="E871" s="65"/>
      <c r="F871" s="66"/>
      <c r="G871" s="66"/>
      <c r="H871" s="66"/>
      <c r="I871" s="67"/>
      <c r="J871" s="67"/>
      <c r="K871" s="67"/>
      <c r="L871" s="29"/>
      <c r="M871" s="211"/>
      <c r="N871" s="29"/>
      <c r="O871" s="29"/>
      <c r="P871" s="29"/>
      <c r="Q871" s="29"/>
    </row>
    <row r="872" spans="1:17" ht="15.75" customHeight="1" x14ac:dyDescent="0.25">
      <c r="A872" s="29"/>
      <c r="B872" s="64"/>
      <c r="C872" s="29"/>
      <c r="D872" s="65"/>
      <c r="E872" s="65"/>
      <c r="F872" s="66"/>
      <c r="G872" s="66"/>
      <c r="H872" s="66"/>
      <c r="I872" s="67"/>
      <c r="J872" s="67"/>
      <c r="K872" s="67"/>
      <c r="L872" s="29"/>
      <c r="M872" s="211"/>
      <c r="N872" s="29"/>
      <c r="O872" s="29"/>
      <c r="P872" s="29"/>
      <c r="Q872" s="29"/>
    </row>
    <row r="873" spans="1:17" ht="15.75" customHeight="1" x14ac:dyDescent="0.25">
      <c r="A873" s="29"/>
      <c r="B873" s="64"/>
      <c r="C873" s="29"/>
      <c r="D873" s="65"/>
      <c r="E873" s="65"/>
      <c r="F873" s="66"/>
      <c r="G873" s="66"/>
      <c r="H873" s="66"/>
      <c r="I873" s="67"/>
      <c r="J873" s="67"/>
      <c r="K873" s="67"/>
      <c r="L873" s="29"/>
      <c r="M873" s="211"/>
      <c r="N873" s="29"/>
      <c r="O873" s="29"/>
      <c r="P873" s="29"/>
      <c r="Q873" s="29"/>
    </row>
    <row r="874" spans="1:17" ht="15.75" customHeight="1" x14ac:dyDescent="0.25">
      <c r="A874" s="29"/>
      <c r="B874" s="64"/>
      <c r="C874" s="29"/>
      <c r="D874" s="65"/>
      <c r="E874" s="65"/>
      <c r="F874" s="66"/>
      <c r="G874" s="66"/>
      <c r="H874" s="66"/>
      <c r="I874" s="67"/>
      <c r="J874" s="67"/>
      <c r="K874" s="67"/>
      <c r="L874" s="29"/>
      <c r="M874" s="211"/>
      <c r="N874" s="29"/>
      <c r="O874" s="29"/>
      <c r="P874" s="29"/>
      <c r="Q874" s="29"/>
    </row>
    <row r="875" spans="1:17" ht="15.75" customHeight="1" x14ac:dyDescent="0.25">
      <c r="A875" s="29"/>
      <c r="B875" s="64"/>
      <c r="C875" s="29"/>
      <c r="D875" s="65"/>
      <c r="E875" s="65"/>
      <c r="F875" s="66"/>
      <c r="G875" s="66"/>
      <c r="H875" s="66"/>
      <c r="I875" s="67"/>
      <c r="J875" s="67"/>
      <c r="K875" s="67"/>
      <c r="L875" s="29"/>
      <c r="M875" s="211"/>
      <c r="N875" s="29"/>
      <c r="O875" s="29"/>
      <c r="P875" s="29"/>
      <c r="Q875" s="29"/>
    </row>
    <row r="876" spans="1:17" ht="15.75" customHeight="1" x14ac:dyDescent="0.25">
      <c r="A876" s="29"/>
      <c r="B876" s="64"/>
      <c r="C876" s="29"/>
      <c r="D876" s="65"/>
      <c r="E876" s="65"/>
      <c r="F876" s="66"/>
      <c r="G876" s="66"/>
      <c r="H876" s="66"/>
      <c r="I876" s="67"/>
      <c r="J876" s="67"/>
      <c r="K876" s="67"/>
      <c r="L876" s="29"/>
      <c r="M876" s="211"/>
      <c r="N876" s="29"/>
      <c r="O876" s="29"/>
      <c r="P876" s="29"/>
      <c r="Q876" s="29"/>
    </row>
    <row r="877" spans="1:17" ht="15.75" customHeight="1" x14ac:dyDescent="0.25">
      <c r="A877" s="29"/>
      <c r="B877" s="64"/>
      <c r="C877" s="29"/>
      <c r="D877" s="65"/>
      <c r="E877" s="65"/>
      <c r="F877" s="66"/>
      <c r="G877" s="66"/>
      <c r="H877" s="66"/>
      <c r="I877" s="67"/>
      <c r="J877" s="67"/>
      <c r="K877" s="67"/>
      <c r="L877" s="29"/>
      <c r="M877" s="211"/>
      <c r="N877" s="29"/>
      <c r="O877" s="29"/>
      <c r="P877" s="29"/>
      <c r="Q877" s="29"/>
    </row>
    <row r="878" spans="1:17" ht="15.75" customHeight="1" x14ac:dyDescent="0.25">
      <c r="A878" s="29"/>
      <c r="B878" s="64"/>
      <c r="C878" s="29"/>
      <c r="D878" s="65"/>
      <c r="E878" s="65"/>
      <c r="F878" s="66"/>
      <c r="G878" s="66"/>
      <c r="H878" s="66"/>
      <c r="I878" s="67"/>
      <c r="J878" s="67"/>
      <c r="K878" s="67"/>
      <c r="L878" s="29"/>
      <c r="M878" s="211"/>
      <c r="N878" s="29"/>
      <c r="O878" s="29"/>
      <c r="P878" s="29"/>
      <c r="Q878" s="29"/>
    </row>
    <row r="879" spans="1:17" ht="15.75" customHeight="1" x14ac:dyDescent="0.25">
      <c r="A879" s="29"/>
      <c r="B879" s="64"/>
      <c r="C879" s="29"/>
      <c r="D879" s="65"/>
      <c r="E879" s="65"/>
      <c r="F879" s="66"/>
      <c r="G879" s="66"/>
      <c r="H879" s="66"/>
      <c r="I879" s="67"/>
      <c r="J879" s="67"/>
      <c r="K879" s="67"/>
      <c r="L879" s="29"/>
      <c r="M879" s="211"/>
      <c r="N879" s="29"/>
      <c r="O879" s="29"/>
      <c r="P879" s="29"/>
      <c r="Q879" s="29"/>
    </row>
    <row r="880" spans="1:17" ht="15.75" customHeight="1" x14ac:dyDescent="0.25">
      <c r="A880" s="29"/>
      <c r="B880" s="64"/>
      <c r="C880" s="29"/>
      <c r="D880" s="65"/>
      <c r="E880" s="65"/>
      <c r="F880" s="66"/>
      <c r="G880" s="66"/>
      <c r="H880" s="66"/>
      <c r="I880" s="67"/>
      <c r="J880" s="67"/>
      <c r="K880" s="67"/>
      <c r="L880" s="29"/>
      <c r="M880" s="211"/>
      <c r="N880" s="29"/>
      <c r="O880" s="29"/>
      <c r="P880" s="29"/>
      <c r="Q880" s="29"/>
    </row>
    <row r="881" spans="1:17" ht="15.75" customHeight="1" x14ac:dyDescent="0.25">
      <c r="A881" s="29"/>
      <c r="B881" s="64"/>
      <c r="C881" s="29"/>
      <c r="D881" s="65"/>
      <c r="E881" s="65"/>
      <c r="F881" s="66"/>
      <c r="G881" s="66"/>
      <c r="H881" s="66"/>
      <c r="I881" s="67"/>
      <c r="J881" s="67"/>
      <c r="K881" s="67"/>
      <c r="L881" s="29"/>
      <c r="M881" s="211"/>
      <c r="N881" s="29"/>
      <c r="O881" s="29"/>
      <c r="P881" s="29"/>
      <c r="Q881" s="29"/>
    </row>
    <row r="882" spans="1:17" ht="15.75" customHeight="1" x14ac:dyDescent="0.25">
      <c r="A882" s="29"/>
      <c r="B882" s="64"/>
      <c r="C882" s="29"/>
      <c r="D882" s="65"/>
      <c r="E882" s="65"/>
      <c r="F882" s="66"/>
      <c r="G882" s="66"/>
      <c r="H882" s="66"/>
      <c r="I882" s="67"/>
      <c r="J882" s="67"/>
      <c r="K882" s="67"/>
      <c r="L882" s="29"/>
      <c r="M882" s="211"/>
      <c r="N882" s="29"/>
      <c r="O882" s="29"/>
      <c r="P882" s="29"/>
      <c r="Q882" s="29"/>
    </row>
    <row r="883" spans="1:17" ht="15.75" customHeight="1" x14ac:dyDescent="0.25">
      <c r="A883" s="29"/>
      <c r="B883" s="64"/>
      <c r="C883" s="29"/>
      <c r="D883" s="65"/>
      <c r="E883" s="65"/>
      <c r="F883" s="66"/>
      <c r="G883" s="66"/>
      <c r="H883" s="66"/>
      <c r="I883" s="67"/>
      <c r="J883" s="67"/>
      <c r="K883" s="67"/>
      <c r="L883" s="29"/>
      <c r="M883" s="211"/>
      <c r="N883" s="29"/>
      <c r="O883" s="29"/>
      <c r="P883" s="29"/>
      <c r="Q883" s="29"/>
    </row>
    <row r="884" spans="1:17" ht="15.75" customHeight="1" x14ac:dyDescent="0.25">
      <c r="A884" s="29"/>
      <c r="B884" s="64"/>
      <c r="C884" s="29"/>
      <c r="D884" s="65"/>
      <c r="E884" s="65"/>
      <c r="F884" s="66"/>
      <c r="G884" s="66"/>
      <c r="H884" s="66"/>
      <c r="I884" s="67"/>
      <c r="J884" s="67"/>
      <c r="K884" s="67"/>
      <c r="L884" s="29"/>
      <c r="M884" s="211"/>
      <c r="N884" s="29"/>
      <c r="O884" s="29"/>
      <c r="P884" s="29"/>
      <c r="Q884" s="29"/>
    </row>
    <row r="885" spans="1:17" ht="15.75" customHeight="1" x14ac:dyDescent="0.25">
      <c r="A885" s="29"/>
      <c r="B885" s="64"/>
      <c r="C885" s="29"/>
      <c r="D885" s="65"/>
      <c r="E885" s="65"/>
      <c r="F885" s="66"/>
      <c r="G885" s="66"/>
      <c r="H885" s="66"/>
      <c r="I885" s="67"/>
      <c r="J885" s="67"/>
      <c r="K885" s="67"/>
      <c r="L885" s="29"/>
      <c r="M885" s="211"/>
      <c r="N885" s="29"/>
      <c r="O885" s="29"/>
      <c r="P885" s="29"/>
      <c r="Q885" s="29"/>
    </row>
    <row r="886" spans="1:17" ht="15.75" customHeight="1" x14ac:dyDescent="0.25">
      <c r="A886" s="29"/>
      <c r="B886" s="64"/>
      <c r="C886" s="29"/>
      <c r="D886" s="65"/>
      <c r="E886" s="65"/>
      <c r="F886" s="66"/>
      <c r="G886" s="66"/>
      <c r="H886" s="66"/>
      <c r="I886" s="67"/>
      <c r="J886" s="67"/>
      <c r="K886" s="67"/>
      <c r="L886" s="29"/>
      <c r="M886" s="211"/>
      <c r="N886" s="29"/>
      <c r="O886" s="29"/>
      <c r="P886" s="29"/>
      <c r="Q886" s="29"/>
    </row>
    <row r="887" spans="1:17" ht="15.75" customHeight="1" x14ac:dyDescent="0.25">
      <c r="A887" s="29"/>
      <c r="B887" s="64"/>
      <c r="C887" s="29"/>
      <c r="D887" s="65"/>
      <c r="E887" s="65"/>
      <c r="F887" s="66"/>
      <c r="G887" s="66"/>
      <c r="H887" s="66"/>
      <c r="I887" s="67"/>
      <c r="J887" s="67"/>
      <c r="K887" s="67"/>
      <c r="L887" s="29"/>
      <c r="M887" s="211"/>
      <c r="N887" s="29"/>
      <c r="O887" s="29"/>
      <c r="P887" s="29"/>
      <c r="Q887" s="29"/>
    </row>
    <row r="888" spans="1:17" ht="15.75" customHeight="1" x14ac:dyDescent="0.25">
      <c r="A888" s="29"/>
      <c r="B888" s="64"/>
      <c r="C888" s="29"/>
      <c r="D888" s="65"/>
      <c r="E888" s="65"/>
      <c r="F888" s="66"/>
      <c r="G888" s="66"/>
      <c r="H888" s="66"/>
      <c r="I888" s="67"/>
      <c r="J888" s="67"/>
      <c r="K888" s="67"/>
      <c r="L888" s="29"/>
      <c r="M888" s="211"/>
      <c r="N888" s="29"/>
      <c r="O888" s="29"/>
      <c r="P888" s="29"/>
      <c r="Q888" s="29"/>
    </row>
    <row r="889" spans="1:17" ht="15.75" customHeight="1" x14ac:dyDescent="0.25">
      <c r="A889" s="29"/>
      <c r="B889" s="64"/>
      <c r="C889" s="29"/>
      <c r="D889" s="65"/>
      <c r="E889" s="65"/>
      <c r="F889" s="66"/>
      <c r="G889" s="66"/>
      <c r="H889" s="66"/>
      <c r="I889" s="67"/>
      <c r="J889" s="67"/>
      <c r="K889" s="67"/>
      <c r="L889" s="29"/>
      <c r="M889" s="211"/>
      <c r="N889" s="29"/>
      <c r="O889" s="29"/>
      <c r="P889" s="29"/>
      <c r="Q889" s="29"/>
    </row>
    <row r="890" spans="1:17" ht="15.75" customHeight="1" x14ac:dyDescent="0.25">
      <c r="A890" s="29"/>
      <c r="B890" s="64"/>
      <c r="C890" s="29"/>
      <c r="D890" s="65"/>
      <c r="E890" s="65"/>
      <c r="F890" s="66"/>
      <c r="G890" s="66"/>
      <c r="H890" s="66"/>
      <c r="I890" s="67"/>
      <c r="J890" s="67"/>
      <c r="K890" s="67"/>
      <c r="L890" s="29"/>
      <c r="M890" s="211"/>
      <c r="N890" s="29"/>
      <c r="O890" s="29"/>
      <c r="P890" s="29"/>
      <c r="Q890" s="29"/>
    </row>
    <row r="891" spans="1:17" ht="15.75" customHeight="1" x14ac:dyDescent="0.25">
      <c r="A891" s="29"/>
      <c r="B891" s="64"/>
      <c r="C891" s="29"/>
      <c r="D891" s="65"/>
      <c r="E891" s="65"/>
      <c r="F891" s="66"/>
      <c r="G891" s="66"/>
      <c r="H891" s="66"/>
      <c r="I891" s="67"/>
      <c r="J891" s="67"/>
      <c r="K891" s="67"/>
      <c r="L891" s="29"/>
      <c r="M891" s="211"/>
      <c r="N891" s="29"/>
      <c r="O891" s="29"/>
      <c r="P891" s="29"/>
      <c r="Q891" s="29"/>
    </row>
    <row r="892" spans="1:17" ht="15.75" customHeight="1" x14ac:dyDescent="0.25">
      <c r="A892" s="29"/>
      <c r="B892" s="64"/>
      <c r="C892" s="29"/>
      <c r="D892" s="65"/>
      <c r="E892" s="65"/>
      <c r="F892" s="66"/>
      <c r="G892" s="66"/>
      <c r="H892" s="66"/>
      <c r="I892" s="67"/>
      <c r="J892" s="67"/>
      <c r="K892" s="67"/>
      <c r="L892" s="29"/>
      <c r="M892" s="211"/>
      <c r="N892" s="29"/>
      <c r="O892" s="29"/>
      <c r="P892" s="29"/>
      <c r="Q892" s="29"/>
    </row>
    <row r="893" spans="1:17" ht="15.75" customHeight="1" x14ac:dyDescent="0.25">
      <c r="A893" s="29"/>
      <c r="B893" s="64"/>
      <c r="C893" s="29"/>
      <c r="D893" s="65"/>
      <c r="E893" s="65"/>
      <c r="F893" s="66"/>
      <c r="G893" s="66"/>
      <c r="H893" s="66"/>
      <c r="I893" s="67"/>
      <c r="J893" s="67"/>
      <c r="K893" s="67"/>
      <c r="L893" s="29"/>
      <c r="M893" s="211"/>
      <c r="N893" s="29"/>
      <c r="O893" s="29"/>
      <c r="P893" s="29"/>
      <c r="Q893" s="29"/>
    </row>
    <row r="894" spans="1:17" ht="15.75" customHeight="1" x14ac:dyDescent="0.25">
      <c r="A894" s="29"/>
      <c r="B894" s="64"/>
      <c r="C894" s="29"/>
      <c r="D894" s="65"/>
      <c r="E894" s="65"/>
      <c r="F894" s="66"/>
      <c r="G894" s="66"/>
      <c r="H894" s="66"/>
      <c r="I894" s="67"/>
      <c r="J894" s="67"/>
      <c r="K894" s="67"/>
      <c r="L894" s="29"/>
      <c r="M894" s="211"/>
      <c r="N894" s="29"/>
      <c r="O894" s="29"/>
      <c r="P894" s="29"/>
      <c r="Q894" s="29"/>
    </row>
    <row r="895" spans="1:17" ht="15.75" customHeight="1" x14ac:dyDescent="0.25">
      <c r="A895" s="29"/>
      <c r="B895" s="64"/>
      <c r="C895" s="29"/>
      <c r="D895" s="65"/>
      <c r="E895" s="65"/>
      <c r="F895" s="66"/>
      <c r="G895" s="66"/>
      <c r="H895" s="66"/>
      <c r="I895" s="67"/>
      <c r="J895" s="67"/>
      <c r="K895" s="67"/>
      <c r="L895" s="29"/>
      <c r="M895" s="211"/>
      <c r="N895" s="29"/>
      <c r="O895" s="29"/>
      <c r="P895" s="29"/>
      <c r="Q895" s="29"/>
    </row>
    <row r="896" spans="1:17" ht="15.75" customHeight="1" x14ac:dyDescent="0.25">
      <c r="A896" s="29"/>
      <c r="B896" s="64"/>
      <c r="C896" s="29"/>
      <c r="D896" s="65"/>
      <c r="E896" s="65"/>
      <c r="F896" s="66"/>
      <c r="G896" s="66"/>
      <c r="H896" s="66"/>
      <c r="I896" s="67"/>
      <c r="J896" s="67"/>
      <c r="K896" s="67"/>
      <c r="L896" s="29"/>
      <c r="M896" s="211"/>
      <c r="N896" s="29"/>
      <c r="O896" s="29"/>
      <c r="P896" s="29"/>
      <c r="Q896" s="29"/>
    </row>
    <row r="897" spans="1:17" ht="15.75" customHeight="1" x14ac:dyDescent="0.25">
      <c r="A897" s="29"/>
      <c r="B897" s="64"/>
      <c r="C897" s="29"/>
      <c r="D897" s="65"/>
      <c r="E897" s="65"/>
      <c r="F897" s="66"/>
      <c r="G897" s="66"/>
      <c r="H897" s="66"/>
      <c r="I897" s="67"/>
      <c r="J897" s="67"/>
      <c r="K897" s="67"/>
      <c r="L897" s="29"/>
      <c r="M897" s="211"/>
      <c r="N897" s="29"/>
      <c r="O897" s="29"/>
      <c r="P897" s="29"/>
      <c r="Q897" s="29"/>
    </row>
    <row r="898" spans="1:17" ht="15.75" customHeight="1" x14ac:dyDescent="0.25">
      <c r="A898" s="29"/>
      <c r="B898" s="64"/>
      <c r="C898" s="29"/>
      <c r="D898" s="65"/>
      <c r="E898" s="65"/>
      <c r="F898" s="66"/>
      <c r="G898" s="66"/>
      <c r="H898" s="66"/>
      <c r="I898" s="67"/>
      <c r="J898" s="67"/>
      <c r="K898" s="67"/>
      <c r="L898" s="29"/>
      <c r="M898" s="211"/>
      <c r="N898" s="29"/>
      <c r="O898" s="29"/>
      <c r="P898" s="29"/>
      <c r="Q898" s="29"/>
    </row>
    <row r="899" spans="1:17" ht="15.75" customHeight="1" x14ac:dyDescent="0.25">
      <c r="A899" s="29"/>
      <c r="B899" s="64"/>
      <c r="C899" s="29"/>
      <c r="D899" s="65"/>
      <c r="E899" s="65"/>
      <c r="F899" s="66"/>
      <c r="G899" s="66"/>
      <c r="H899" s="66"/>
      <c r="I899" s="67"/>
      <c r="J899" s="67"/>
      <c r="K899" s="67"/>
      <c r="L899" s="29"/>
      <c r="M899" s="211"/>
      <c r="N899" s="29"/>
      <c r="O899" s="29"/>
      <c r="P899" s="29"/>
      <c r="Q899" s="29"/>
    </row>
    <row r="900" spans="1:17" ht="15.75" customHeight="1" x14ac:dyDescent="0.25">
      <c r="A900" s="29"/>
      <c r="B900" s="64"/>
      <c r="C900" s="29"/>
      <c r="D900" s="65"/>
      <c r="E900" s="65"/>
      <c r="F900" s="66"/>
      <c r="G900" s="66"/>
      <c r="H900" s="66"/>
      <c r="I900" s="67"/>
      <c r="J900" s="67"/>
      <c r="K900" s="67"/>
      <c r="L900" s="29"/>
      <c r="M900" s="211"/>
      <c r="N900" s="29"/>
      <c r="O900" s="29"/>
      <c r="P900" s="29"/>
      <c r="Q900" s="29"/>
    </row>
    <row r="901" spans="1:17" ht="15.75" customHeight="1" x14ac:dyDescent="0.25">
      <c r="A901" s="29"/>
      <c r="B901" s="64"/>
      <c r="C901" s="29"/>
      <c r="D901" s="65"/>
      <c r="E901" s="65"/>
      <c r="F901" s="66"/>
      <c r="G901" s="66"/>
      <c r="H901" s="66"/>
      <c r="I901" s="67"/>
      <c r="J901" s="67"/>
      <c r="K901" s="67"/>
      <c r="L901" s="29"/>
      <c r="M901" s="211"/>
      <c r="N901" s="29"/>
      <c r="O901" s="29"/>
      <c r="P901" s="29"/>
      <c r="Q901" s="29"/>
    </row>
    <row r="902" spans="1:17" ht="15.75" customHeight="1" x14ac:dyDescent="0.25">
      <c r="A902" s="29"/>
      <c r="B902" s="64"/>
      <c r="C902" s="29"/>
      <c r="D902" s="65"/>
      <c r="E902" s="65"/>
      <c r="F902" s="66"/>
      <c r="G902" s="66"/>
      <c r="H902" s="66"/>
      <c r="I902" s="67"/>
      <c r="J902" s="67"/>
      <c r="K902" s="67"/>
      <c r="L902" s="29"/>
      <c r="M902" s="211"/>
      <c r="N902" s="29"/>
      <c r="O902" s="29"/>
      <c r="P902" s="29"/>
      <c r="Q902" s="29"/>
    </row>
    <row r="903" spans="1:17" ht="15.75" customHeight="1" x14ac:dyDescent="0.25">
      <c r="A903" s="29"/>
      <c r="B903" s="64"/>
      <c r="C903" s="29"/>
      <c r="D903" s="65"/>
      <c r="E903" s="65"/>
      <c r="F903" s="66"/>
      <c r="G903" s="66"/>
      <c r="H903" s="66"/>
      <c r="I903" s="67"/>
      <c r="J903" s="67"/>
      <c r="K903" s="67"/>
      <c r="L903" s="29"/>
      <c r="M903" s="211"/>
      <c r="N903" s="29"/>
      <c r="O903" s="29"/>
      <c r="P903" s="29"/>
      <c r="Q903" s="29"/>
    </row>
    <row r="904" spans="1:17" ht="15.75" customHeight="1" x14ac:dyDescent="0.25">
      <c r="A904" s="29"/>
      <c r="B904" s="64"/>
      <c r="C904" s="29"/>
      <c r="D904" s="65"/>
      <c r="E904" s="65"/>
      <c r="F904" s="66"/>
      <c r="G904" s="66"/>
      <c r="H904" s="66"/>
      <c r="I904" s="67"/>
      <c r="J904" s="67"/>
      <c r="K904" s="67"/>
      <c r="L904" s="29"/>
      <c r="M904" s="211"/>
      <c r="N904" s="29"/>
      <c r="O904" s="29"/>
      <c r="P904" s="29"/>
      <c r="Q904" s="29"/>
    </row>
    <row r="905" spans="1:17" ht="15.75" customHeight="1" x14ac:dyDescent="0.25">
      <c r="A905" s="29"/>
      <c r="B905" s="64"/>
      <c r="C905" s="29"/>
      <c r="D905" s="65"/>
      <c r="E905" s="65"/>
      <c r="F905" s="66"/>
      <c r="G905" s="66"/>
      <c r="H905" s="66"/>
      <c r="I905" s="67"/>
      <c r="J905" s="67"/>
      <c r="K905" s="67"/>
      <c r="L905" s="29"/>
      <c r="M905" s="211"/>
      <c r="N905" s="29"/>
      <c r="O905" s="29"/>
      <c r="P905" s="29"/>
      <c r="Q905" s="29"/>
    </row>
    <row r="906" spans="1:17" ht="15.75" customHeight="1" x14ac:dyDescent="0.25">
      <c r="A906" s="29"/>
      <c r="B906" s="64"/>
      <c r="C906" s="29"/>
      <c r="D906" s="65"/>
      <c r="E906" s="65"/>
      <c r="F906" s="66"/>
      <c r="G906" s="66"/>
      <c r="H906" s="66"/>
      <c r="I906" s="67"/>
      <c r="J906" s="67"/>
      <c r="K906" s="67"/>
      <c r="L906" s="29"/>
      <c r="M906" s="211"/>
      <c r="N906" s="29"/>
      <c r="O906" s="29"/>
      <c r="P906" s="29"/>
      <c r="Q906" s="29"/>
    </row>
    <row r="907" spans="1:17" ht="15.75" customHeight="1" x14ac:dyDescent="0.25">
      <c r="A907" s="29"/>
      <c r="B907" s="64"/>
      <c r="C907" s="29"/>
      <c r="D907" s="65"/>
      <c r="E907" s="65"/>
      <c r="F907" s="66"/>
      <c r="G907" s="66"/>
      <c r="H907" s="66"/>
      <c r="I907" s="67"/>
      <c r="J907" s="67"/>
      <c r="K907" s="67"/>
      <c r="L907" s="29"/>
      <c r="M907" s="211"/>
      <c r="N907" s="29"/>
      <c r="O907" s="29"/>
      <c r="P907" s="29"/>
      <c r="Q907" s="29"/>
    </row>
    <row r="908" spans="1:17" ht="15.75" customHeight="1" x14ac:dyDescent="0.25">
      <c r="A908" s="29"/>
      <c r="B908" s="64"/>
      <c r="C908" s="29"/>
      <c r="D908" s="65"/>
      <c r="E908" s="65"/>
      <c r="F908" s="66"/>
      <c r="G908" s="66"/>
      <c r="H908" s="66"/>
      <c r="I908" s="67"/>
      <c r="J908" s="67"/>
      <c r="K908" s="67"/>
      <c r="L908" s="29"/>
      <c r="M908" s="211"/>
      <c r="N908" s="29"/>
      <c r="O908" s="29"/>
      <c r="P908" s="29"/>
      <c r="Q908" s="29"/>
    </row>
    <row r="909" spans="1:17" ht="15.75" customHeight="1" x14ac:dyDescent="0.25">
      <c r="A909" s="29"/>
      <c r="B909" s="64"/>
      <c r="C909" s="29"/>
      <c r="D909" s="65"/>
      <c r="E909" s="65"/>
      <c r="F909" s="66"/>
      <c r="G909" s="66"/>
      <c r="H909" s="66"/>
      <c r="I909" s="67"/>
      <c r="J909" s="67"/>
      <c r="K909" s="67"/>
      <c r="L909" s="29"/>
      <c r="M909" s="211"/>
      <c r="N909" s="29"/>
      <c r="O909" s="29"/>
      <c r="P909" s="29"/>
      <c r="Q909" s="29"/>
    </row>
    <row r="910" spans="1:17" ht="15.75" customHeight="1" x14ac:dyDescent="0.25">
      <c r="A910" s="29"/>
      <c r="B910" s="64"/>
      <c r="C910" s="29"/>
      <c r="D910" s="65"/>
      <c r="E910" s="65"/>
      <c r="F910" s="66"/>
      <c r="G910" s="66"/>
      <c r="H910" s="66"/>
      <c r="I910" s="67"/>
      <c r="J910" s="67"/>
      <c r="K910" s="67"/>
      <c r="L910" s="29"/>
      <c r="M910" s="211"/>
      <c r="N910" s="29"/>
      <c r="O910" s="29"/>
      <c r="P910" s="29"/>
      <c r="Q910" s="29"/>
    </row>
    <row r="911" spans="1:17" ht="15.75" customHeight="1" x14ac:dyDescent="0.25">
      <c r="A911" s="29"/>
      <c r="B911" s="64"/>
      <c r="C911" s="29"/>
      <c r="D911" s="65"/>
      <c r="E911" s="65"/>
      <c r="F911" s="66"/>
      <c r="G911" s="66"/>
      <c r="H911" s="66"/>
      <c r="I911" s="67"/>
      <c r="J911" s="67"/>
      <c r="K911" s="67"/>
      <c r="L911" s="29"/>
      <c r="M911" s="211"/>
      <c r="N911" s="29"/>
      <c r="O911" s="29"/>
      <c r="P911" s="29"/>
      <c r="Q911" s="29"/>
    </row>
    <row r="912" spans="1:17" ht="15.75" customHeight="1" x14ac:dyDescent="0.25">
      <c r="A912" s="29"/>
      <c r="B912" s="64"/>
      <c r="C912" s="29"/>
      <c r="D912" s="65"/>
      <c r="E912" s="65"/>
      <c r="F912" s="66"/>
      <c r="G912" s="66"/>
      <c r="H912" s="66"/>
      <c r="I912" s="67"/>
      <c r="J912" s="67"/>
      <c r="K912" s="67"/>
      <c r="L912" s="29"/>
      <c r="M912" s="211"/>
      <c r="N912" s="29"/>
      <c r="O912" s="29"/>
      <c r="P912" s="29"/>
      <c r="Q912" s="29"/>
    </row>
    <row r="913" spans="1:17" ht="15.75" customHeight="1" x14ac:dyDescent="0.25">
      <c r="A913" s="29"/>
      <c r="B913" s="64"/>
      <c r="C913" s="29"/>
      <c r="D913" s="65"/>
      <c r="E913" s="65"/>
      <c r="F913" s="66"/>
      <c r="G913" s="66"/>
      <c r="H913" s="66"/>
      <c r="I913" s="67"/>
      <c r="J913" s="67"/>
      <c r="K913" s="67"/>
      <c r="L913" s="29"/>
      <c r="M913" s="211"/>
      <c r="N913" s="29"/>
      <c r="O913" s="29"/>
      <c r="P913" s="29"/>
      <c r="Q913" s="29"/>
    </row>
    <row r="914" spans="1:17" ht="15.75" customHeight="1" x14ac:dyDescent="0.25">
      <c r="A914" s="29"/>
      <c r="B914" s="64"/>
      <c r="C914" s="29"/>
      <c r="D914" s="65"/>
      <c r="E914" s="65"/>
      <c r="F914" s="66"/>
      <c r="G914" s="66"/>
      <c r="H914" s="66"/>
      <c r="I914" s="67"/>
      <c r="J914" s="67"/>
      <c r="K914" s="67"/>
      <c r="L914" s="29"/>
      <c r="M914" s="211"/>
      <c r="N914" s="29"/>
      <c r="O914" s="29"/>
      <c r="P914" s="29"/>
      <c r="Q914" s="29"/>
    </row>
    <row r="915" spans="1:17" ht="15.75" customHeight="1" x14ac:dyDescent="0.25">
      <c r="A915" s="29"/>
      <c r="B915" s="64"/>
      <c r="C915" s="29"/>
      <c r="D915" s="65"/>
      <c r="E915" s="65"/>
      <c r="F915" s="66"/>
      <c r="G915" s="66"/>
      <c r="H915" s="66"/>
      <c r="I915" s="67"/>
      <c r="J915" s="67"/>
      <c r="K915" s="67"/>
      <c r="L915" s="29"/>
      <c r="M915" s="211"/>
      <c r="N915" s="29"/>
      <c r="O915" s="29"/>
      <c r="P915" s="29"/>
      <c r="Q915" s="29"/>
    </row>
    <row r="916" spans="1:17" ht="15.75" customHeight="1" x14ac:dyDescent="0.25">
      <c r="A916" s="29"/>
      <c r="B916" s="64"/>
      <c r="C916" s="29"/>
      <c r="D916" s="65"/>
      <c r="E916" s="65"/>
      <c r="F916" s="66"/>
      <c r="G916" s="66"/>
      <c r="H916" s="66"/>
      <c r="I916" s="67"/>
      <c r="J916" s="67"/>
      <c r="K916" s="67"/>
      <c r="L916" s="29"/>
      <c r="M916" s="211"/>
      <c r="N916" s="29"/>
      <c r="O916" s="29"/>
      <c r="P916" s="29"/>
      <c r="Q916" s="29"/>
    </row>
    <row r="917" spans="1:17" ht="15.75" customHeight="1" x14ac:dyDescent="0.25">
      <c r="A917" s="29"/>
      <c r="B917" s="64"/>
      <c r="C917" s="29"/>
      <c r="D917" s="65"/>
      <c r="E917" s="65"/>
      <c r="F917" s="66"/>
      <c r="G917" s="66"/>
      <c r="H917" s="66"/>
      <c r="I917" s="67"/>
      <c r="J917" s="67"/>
      <c r="K917" s="67"/>
      <c r="L917" s="29"/>
      <c r="M917" s="211"/>
      <c r="N917" s="29"/>
      <c r="O917" s="29"/>
      <c r="P917" s="29"/>
      <c r="Q917" s="29"/>
    </row>
    <row r="918" spans="1:17" ht="15.75" customHeight="1" x14ac:dyDescent="0.25">
      <c r="A918" s="29"/>
      <c r="B918" s="64"/>
      <c r="C918" s="29"/>
      <c r="D918" s="65"/>
      <c r="E918" s="65"/>
      <c r="F918" s="66"/>
      <c r="G918" s="66"/>
      <c r="H918" s="66"/>
      <c r="I918" s="67"/>
      <c r="J918" s="67"/>
      <c r="K918" s="67"/>
      <c r="L918" s="29"/>
      <c r="M918" s="211"/>
      <c r="N918" s="29"/>
      <c r="O918" s="29"/>
      <c r="P918" s="29"/>
      <c r="Q918" s="29"/>
    </row>
    <row r="919" spans="1:17" ht="15.75" customHeight="1" x14ac:dyDescent="0.25">
      <c r="A919" s="29"/>
      <c r="B919" s="64"/>
      <c r="C919" s="29"/>
      <c r="D919" s="65"/>
      <c r="E919" s="65"/>
      <c r="F919" s="66"/>
      <c r="G919" s="66"/>
      <c r="H919" s="66"/>
      <c r="I919" s="67"/>
      <c r="J919" s="67"/>
      <c r="K919" s="67"/>
      <c r="L919" s="29"/>
      <c r="M919" s="211"/>
      <c r="N919" s="29"/>
      <c r="O919" s="29"/>
      <c r="P919" s="29"/>
      <c r="Q919" s="29"/>
    </row>
    <row r="920" spans="1:17" ht="15.75" customHeight="1" x14ac:dyDescent="0.25">
      <c r="A920" s="29"/>
      <c r="B920" s="64"/>
      <c r="C920" s="29"/>
      <c r="D920" s="65"/>
      <c r="E920" s="65"/>
      <c r="F920" s="66"/>
      <c r="G920" s="66"/>
      <c r="H920" s="66"/>
      <c r="I920" s="67"/>
      <c r="J920" s="67"/>
      <c r="K920" s="67"/>
      <c r="L920" s="29"/>
      <c r="M920" s="211"/>
      <c r="N920" s="29"/>
      <c r="O920" s="29"/>
      <c r="P920" s="29"/>
      <c r="Q920" s="29"/>
    </row>
    <row r="921" spans="1:17" ht="15.75" customHeight="1" x14ac:dyDescent="0.25">
      <c r="A921" s="29"/>
      <c r="B921" s="64"/>
      <c r="C921" s="29"/>
      <c r="D921" s="65"/>
      <c r="E921" s="65"/>
      <c r="F921" s="66"/>
      <c r="G921" s="66"/>
      <c r="H921" s="66"/>
      <c r="I921" s="67"/>
      <c r="J921" s="67"/>
      <c r="K921" s="67"/>
      <c r="L921" s="29"/>
      <c r="M921" s="211"/>
      <c r="N921" s="29"/>
      <c r="O921" s="29"/>
      <c r="P921" s="29"/>
      <c r="Q921" s="29"/>
    </row>
    <row r="922" spans="1:17" ht="15.75" customHeight="1" x14ac:dyDescent="0.25">
      <c r="A922" s="29"/>
      <c r="B922" s="64"/>
      <c r="C922" s="29"/>
      <c r="D922" s="65"/>
      <c r="E922" s="65"/>
      <c r="F922" s="66"/>
      <c r="G922" s="66"/>
      <c r="H922" s="66"/>
      <c r="I922" s="67"/>
      <c r="J922" s="67"/>
      <c r="K922" s="67"/>
      <c r="L922" s="29"/>
      <c r="M922" s="211"/>
      <c r="N922" s="29"/>
      <c r="O922" s="29"/>
      <c r="P922" s="29"/>
      <c r="Q922" s="29"/>
    </row>
    <row r="923" spans="1:17" ht="15.75" customHeight="1" x14ac:dyDescent="0.25">
      <c r="A923" s="29"/>
      <c r="B923" s="64"/>
      <c r="C923" s="29"/>
      <c r="D923" s="65"/>
      <c r="E923" s="65"/>
      <c r="F923" s="66"/>
      <c r="G923" s="66"/>
      <c r="H923" s="66"/>
      <c r="I923" s="67"/>
      <c r="J923" s="67"/>
      <c r="K923" s="67"/>
      <c r="L923" s="29"/>
      <c r="M923" s="211"/>
      <c r="N923" s="29"/>
      <c r="O923" s="29"/>
      <c r="P923" s="29"/>
      <c r="Q923" s="29"/>
    </row>
    <row r="924" spans="1:17" ht="15.75" customHeight="1" x14ac:dyDescent="0.25">
      <c r="A924" s="29"/>
      <c r="B924" s="64"/>
      <c r="C924" s="29"/>
      <c r="D924" s="65"/>
      <c r="E924" s="65"/>
      <c r="F924" s="66"/>
      <c r="G924" s="66"/>
      <c r="H924" s="66"/>
      <c r="I924" s="67"/>
      <c r="J924" s="67"/>
      <c r="K924" s="67"/>
      <c r="L924" s="29"/>
      <c r="M924" s="211"/>
      <c r="N924" s="29"/>
      <c r="O924" s="29"/>
      <c r="P924" s="29"/>
      <c r="Q924" s="29"/>
    </row>
    <row r="925" spans="1:17" ht="15.75" customHeight="1" x14ac:dyDescent="0.25">
      <c r="A925" s="29"/>
      <c r="B925" s="64"/>
      <c r="C925" s="29"/>
      <c r="D925" s="65"/>
      <c r="E925" s="65"/>
      <c r="F925" s="66"/>
      <c r="G925" s="66"/>
      <c r="H925" s="66"/>
      <c r="I925" s="67"/>
      <c r="J925" s="67"/>
      <c r="K925" s="67"/>
      <c r="L925" s="29"/>
      <c r="M925" s="211"/>
      <c r="N925" s="29"/>
      <c r="O925" s="29"/>
      <c r="P925" s="29"/>
      <c r="Q925" s="29"/>
    </row>
    <row r="926" spans="1:17" ht="15.75" customHeight="1" x14ac:dyDescent="0.25">
      <c r="A926" s="29"/>
      <c r="B926" s="64"/>
      <c r="C926" s="29"/>
      <c r="D926" s="65"/>
      <c r="E926" s="65"/>
      <c r="F926" s="66"/>
      <c r="G926" s="66"/>
      <c r="H926" s="66"/>
      <c r="I926" s="67"/>
      <c r="J926" s="67"/>
      <c r="K926" s="67"/>
      <c r="L926" s="29"/>
      <c r="M926" s="211"/>
      <c r="N926" s="29"/>
      <c r="O926" s="29"/>
      <c r="P926" s="29"/>
      <c r="Q926" s="29"/>
    </row>
    <row r="927" spans="1:17" ht="15.75" customHeight="1" x14ac:dyDescent="0.25">
      <c r="A927" s="29"/>
      <c r="B927" s="64"/>
      <c r="C927" s="29"/>
      <c r="D927" s="65"/>
      <c r="E927" s="65"/>
      <c r="F927" s="66"/>
      <c r="G927" s="66"/>
      <c r="H927" s="66"/>
      <c r="I927" s="67"/>
      <c r="J927" s="67"/>
      <c r="K927" s="67"/>
      <c r="L927" s="29"/>
      <c r="M927" s="211"/>
      <c r="N927" s="29"/>
      <c r="O927" s="29"/>
      <c r="P927" s="29"/>
      <c r="Q927" s="29"/>
    </row>
    <row r="928" spans="1:17" ht="15.75" customHeight="1" x14ac:dyDescent="0.25">
      <c r="A928" s="29"/>
      <c r="B928" s="64"/>
      <c r="C928" s="29"/>
      <c r="D928" s="65"/>
      <c r="E928" s="65"/>
      <c r="F928" s="66"/>
      <c r="G928" s="66"/>
      <c r="H928" s="66"/>
      <c r="I928" s="67"/>
      <c r="J928" s="67"/>
      <c r="K928" s="67"/>
      <c r="L928" s="29"/>
      <c r="M928" s="211"/>
      <c r="N928" s="29"/>
      <c r="O928" s="29"/>
      <c r="P928" s="29"/>
      <c r="Q928" s="29"/>
    </row>
    <row r="929" spans="1:17" ht="15.75" customHeight="1" x14ac:dyDescent="0.25">
      <c r="A929" s="29"/>
      <c r="B929" s="64"/>
      <c r="C929" s="29"/>
      <c r="D929" s="65"/>
      <c r="E929" s="65"/>
      <c r="F929" s="66"/>
      <c r="G929" s="66"/>
      <c r="H929" s="66"/>
      <c r="I929" s="67"/>
      <c r="J929" s="67"/>
      <c r="K929" s="67"/>
      <c r="L929" s="29"/>
      <c r="M929" s="211"/>
      <c r="N929" s="29"/>
      <c r="O929" s="29"/>
      <c r="P929" s="29"/>
      <c r="Q929" s="29"/>
    </row>
    <row r="930" spans="1:17" ht="15.75" customHeight="1" x14ac:dyDescent="0.25">
      <c r="A930" s="29"/>
      <c r="B930" s="64"/>
      <c r="C930" s="29"/>
      <c r="D930" s="65"/>
      <c r="E930" s="65"/>
      <c r="F930" s="66"/>
      <c r="G930" s="66"/>
      <c r="H930" s="66"/>
      <c r="I930" s="67"/>
      <c r="J930" s="67"/>
      <c r="K930" s="67"/>
      <c r="L930" s="29"/>
      <c r="M930" s="211"/>
      <c r="N930" s="29"/>
      <c r="O930" s="29"/>
      <c r="P930" s="29"/>
      <c r="Q930" s="29"/>
    </row>
    <row r="931" spans="1:17" ht="15.75" customHeight="1" x14ac:dyDescent="0.25">
      <c r="A931" s="29"/>
      <c r="B931" s="64"/>
      <c r="C931" s="29"/>
      <c r="D931" s="65"/>
      <c r="E931" s="65"/>
      <c r="F931" s="66"/>
      <c r="G931" s="66"/>
      <c r="H931" s="66"/>
      <c r="I931" s="67"/>
      <c r="J931" s="67"/>
      <c r="K931" s="67"/>
      <c r="L931" s="29"/>
      <c r="M931" s="211"/>
      <c r="N931" s="29"/>
      <c r="O931" s="29"/>
      <c r="P931" s="29"/>
      <c r="Q931" s="29"/>
    </row>
    <row r="932" spans="1:17" ht="15.75" customHeight="1" x14ac:dyDescent="0.25">
      <c r="A932" s="29"/>
      <c r="B932" s="64"/>
      <c r="C932" s="29"/>
      <c r="D932" s="65"/>
      <c r="E932" s="65"/>
      <c r="F932" s="66"/>
      <c r="G932" s="66"/>
      <c r="H932" s="66"/>
      <c r="I932" s="67"/>
      <c r="J932" s="67"/>
      <c r="K932" s="67"/>
      <c r="L932" s="29"/>
      <c r="M932" s="211"/>
      <c r="N932" s="29"/>
      <c r="O932" s="29"/>
      <c r="P932" s="29"/>
      <c r="Q932" s="29"/>
    </row>
    <row r="933" spans="1:17" ht="15.75" customHeight="1" x14ac:dyDescent="0.25">
      <c r="A933" s="29"/>
      <c r="B933" s="64"/>
      <c r="C933" s="29"/>
      <c r="D933" s="65"/>
      <c r="E933" s="65"/>
      <c r="F933" s="66"/>
      <c r="G933" s="66"/>
      <c r="H933" s="66"/>
      <c r="I933" s="67"/>
      <c r="J933" s="67"/>
      <c r="K933" s="67"/>
      <c r="L933" s="29"/>
      <c r="M933" s="211"/>
      <c r="N933" s="29"/>
      <c r="O933" s="29"/>
      <c r="P933" s="29"/>
      <c r="Q933" s="29"/>
    </row>
    <row r="934" spans="1:17" ht="15.75" customHeight="1" x14ac:dyDescent="0.25">
      <c r="A934" s="29"/>
      <c r="B934" s="64"/>
      <c r="C934" s="29"/>
      <c r="D934" s="65"/>
      <c r="E934" s="65"/>
      <c r="F934" s="66"/>
      <c r="G934" s="66"/>
      <c r="H934" s="66"/>
      <c r="I934" s="67"/>
      <c r="J934" s="67"/>
      <c r="K934" s="67"/>
      <c r="L934" s="29"/>
      <c r="M934" s="211"/>
      <c r="N934" s="29"/>
      <c r="O934" s="29"/>
      <c r="P934" s="29"/>
      <c r="Q934" s="29"/>
    </row>
    <row r="935" spans="1:17" ht="15.75" customHeight="1" x14ac:dyDescent="0.25">
      <c r="A935" s="29"/>
      <c r="B935" s="64"/>
      <c r="C935" s="29"/>
      <c r="D935" s="65"/>
      <c r="E935" s="65"/>
      <c r="F935" s="66"/>
      <c r="G935" s="66"/>
      <c r="H935" s="66"/>
      <c r="I935" s="67"/>
      <c r="J935" s="67"/>
      <c r="K935" s="67"/>
      <c r="L935" s="29"/>
      <c r="M935" s="211"/>
      <c r="N935" s="29"/>
      <c r="O935" s="29"/>
      <c r="P935" s="29"/>
      <c r="Q935" s="29"/>
    </row>
    <row r="936" spans="1:17" ht="15.75" customHeight="1" x14ac:dyDescent="0.25">
      <c r="A936" s="29"/>
      <c r="B936" s="64"/>
      <c r="C936" s="29"/>
      <c r="D936" s="65"/>
      <c r="E936" s="65"/>
      <c r="F936" s="66"/>
      <c r="G936" s="66"/>
      <c r="H936" s="66"/>
      <c r="I936" s="67"/>
      <c r="J936" s="67"/>
      <c r="K936" s="67"/>
      <c r="L936" s="29"/>
      <c r="M936" s="211"/>
      <c r="N936" s="29"/>
      <c r="O936" s="29"/>
      <c r="P936" s="29"/>
      <c r="Q936" s="29"/>
    </row>
    <row r="937" spans="1:17" ht="15.75" customHeight="1" x14ac:dyDescent="0.25">
      <c r="A937" s="29"/>
      <c r="B937" s="64"/>
      <c r="C937" s="29"/>
      <c r="D937" s="65"/>
      <c r="E937" s="65"/>
      <c r="F937" s="66"/>
      <c r="G937" s="66"/>
      <c r="H937" s="66"/>
      <c r="I937" s="67"/>
      <c r="J937" s="67"/>
      <c r="K937" s="67"/>
      <c r="L937" s="29"/>
      <c r="M937" s="211"/>
      <c r="N937" s="29"/>
      <c r="O937" s="29"/>
      <c r="P937" s="29"/>
      <c r="Q937" s="29"/>
    </row>
    <row r="938" spans="1:17" ht="15.75" customHeight="1" x14ac:dyDescent="0.25">
      <c r="A938" s="29"/>
      <c r="B938" s="64"/>
      <c r="C938" s="29"/>
      <c r="D938" s="65"/>
      <c r="E938" s="65"/>
      <c r="F938" s="66"/>
      <c r="G938" s="66"/>
      <c r="H938" s="66"/>
      <c r="I938" s="67"/>
      <c r="J938" s="67"/>
      <c r="K938" s="67"/>
      <c r="L938" s="29"/>
      <c r="M938" s="211"/>
      <c r="N938" s="29"/>
      <c r="O938" s="29"/>
      <c r="P938" s="29"/>
      <c r="Q938" s="29"/>
    </row>
    <row r="939" spans="1:17" ht="15.75" customHeight="1" x14ac:dyDescent="0.25">
      <c r="A939" s="29"/>
      <c r="B939" s="64"/>
      <c r="C939" s="29"/>
      <c r="D939" s="65"/>
      <c r="E939" s="65"/>
      <c r="F939" s="66"/>
      <c r="G939" s="66"/>
      <c r="H939" s="66"/>
      <c r="I939" s="67"/>
      <c r="J939" s="67"/>
      <c r="K939" s="67"/>
      <c r="L939" s="29"/>
      <c r="M939" s="211"/>
      <c r="N939" s="29"/>
      <c r="O939" s="29"/>
      <c r="P939" s="29"/>
      <c r="Q939" s="29"/>
    </row>
    <row r="940" spans="1:17" ht="15.75" customHeight="1" x14ac:dyDescent="0.25">
      <c r="A940" s="29"/>
      <c r="B940" s="64"/>
      <c r="C940" s="29"/>
      <c r="D940" s="65"/>
      <c r="E940" s="65"/>
      <c r="F940" s="66"/>
      <c r="G940" s="66"/>
      <c r="H940" s="66"/>
      <c r="I940" s="67"/>
      <c r="J940" s="67"/>
      <c r="K940" s="67"/>
      <c r="L940" s="29"/>
      <c r="M940" s="211"/>
      <c r="N940" s="29"/>
      <c r="O940" s="29"/>
      <c r="P940" s="29"/>
      <c r="Q940" s="29"/>
    </row>
    <row r="941" spans="1:17" ht="15.75" customHeight="1" x14ac:dyDescent="0.25">
      <c r="A941" s="29"/>
      <c r="B941" s="64"/>
      <c r="C941" s="29"/>
      <c r="D941" s="65"/>
      <c r="E941" s="65"/>
      <c r="F941" s="66"/>
      <c r="G941" s="66"/>
      <c r="H941" s="66"/>
      <c r="I941" s="67"/>
      <c r="J941" s="67"/>
      <c r="K941" s="67"/>
      <c r="L941" s="29"/>
      <c r="M941" s="211"/>
      <c r="N941" s="29"/>
      <c r="O941" s="29"/>
      <c r="P941" s="29"/>
      <c r="Q941" s="29"/>
    </row>
    <row r="942" spans="1:17" ht="15.75" customHeight="1" x14ac:dyDescent="0.25">
      <c r="A942" s="29"/>
      <c r="B942" s="64"/>
      <c r="C942" s="29"/>
      <c r="D942" s="65"/>
      <c r="E942" s="65"/>
      <c r="F942" s="66"/>
      <c r="G942" s="66"/>
      <c r="H942" s="66"/>
      <c r="I942" s="67"/>
      <c r="J942" s="67"/>
      <c r="K942" s="67"/>
      <c r="L942" s="29"/>
      <c r="M942" s="211"/>
      <c r="N942" s="29"/>
      <c r="O942" s="29"/>
      <c r="P942" s="29"/>
      <c r="Q942" s="29"/>
    </row>
    <row r="943" spans="1:17" ht="15.75" customHeight="1" x14ac:dyDescent="0.25">
      <c r="A943" s="29"/>
      <c r="B943" s="64"/>
      <c r="C943" s="29"/>
      <c r="D943" s="65"/>
      <c r="E943" s="65"/>
      <c r="F943" s="66"/>
      <c r="G943" s="66"/>
      <c r="H943" s="66"/>
      <c r="I943" s="67"/>
      <c r="J943" s="67"/>
      <c r="K943" s="67"/>
      <c r="L943" s="29"/>
      <c r="M943" s="211"/>
      <c r="N943" s="29"/>
      <c r="O943" s="29"/>
      <c r="P943" s="29"/>
      <c r="Q943" s="29"/>
    </row>
    <row r="944" spans="1:17" ht="15.75" customHeight="1" x14ac:dyDescent="0.25">
      <c r="A944" s="29"/>
      <c r="B944" s="64"/>
      <c r="C944" s="29"/>
      <c r="D944" s="65"/>
      <c r="E944" s="65"/>
      <c r="F944" s="66"/>
      <c r="G944" s="66"/>
      <c r="H944" s="66"/>
      <c r="I944" s="67"/>
      <c r="J944" s="67"/>
      <c r="K944" s="67"/>
      <c r="L944" s="29"/>
      <c r="M944" s="211"/>
      <c r="N944" s="29"/>
      <c r="O944" s="29"/>
      <c r="P944" s="29"/>
      <c r="Q944" s="29"/>
    </row>
    <row r="945" spans="1:17" ht="15.75" customHeight="1" x14ac:dyDescent="0.25">
      <c r="A945" s="29"/>
      <c r="B945" s="64"/>
      <c r="C945" s="29"/>
      <c r="D945" s="65"/>
      <c r="E945" s="65"/>
      <c r="F945" s="66"/>
      <c r="G945" s="66"/>
      <c r="H945" s="66"/>
      <c r="I945" s="67"/>
      <c r="J945" s="67"/>
      <c r="K945" s="67"/>
      <c r="L945" s="29"/>
      <c r="M945" s="211"/>
      <c r="N945" s="29"/>
      <c r="O945" s="29"/>
      <c r="P945" s="29"/>
      <c r="Q945" s="29"/>
    </row>
    <row r="946" spans="1:17" ht="15.75" customHeight="1" x14ac:dyDescent="0.25">
      <c r="A946" s="29"/>
      <c r="B946" s="64"/>
      <c r="C946" s="29"/>
      <c r="D946" s="65"/>
      <c r="E946" s="65"/>
      <c r="F946" s="66"/>
      <c r="G946" s="66"/>
      <c r="H946" s="66"/>
      <c r="I946" s="67"/>
      <c r="J946" s="67"/>
      <c r="K946" s="67"/>
      <c r="L946" s="29"/>
      <c r="M946" s="211"/>
      <c r="N946" s="29"/>
      <c r="O946" s="29"/>
      <c r="P946" s="29"/>
      <c r="Q946" s="29"/>
    </row>
    <row r="947" spans="1:17" ht="15.75" customHeight="1" x14ac:dyDescent="0.25">
      <c r="A947" s="29"/>
      <c r="B947" s="64"/>
      <c r="C947" s="29"/>
      <c r="D947" s="65"/>
      <c r="E947" s="65"/>
      <c r="F947" s="66"/>
      <c r="G947" s="66"/>
      <c r="H947" s="66"/>
      <c r="I947" s="67"/>
      <c r="J947" s="67"/>
      <c r="K947" s="67"/>
      <c r="L947" s="29"/>
      <c r="M947" s="211"/>
      <c r="N947" s="29"/>
      <c r="O947" s="29"/>
      <c r="P947" s="29"/>
      <c r="Q947" s="29"/>
    </row>
    <row r="948" spans="1:17" ht="15.75" customHeight="1" x14ac:dyDescent="0.25">
      <c r="A948" s="29"/>
      <c r="B948" s="64"/>
      <c r="C948" s="29"/>
      <c r="D948" s="65"/>
      <c r="E948" s="65"/>
      <c r="F948" s="66"/>
      <c r="G948" s="66"/>
      <c r="H948" s="66"/>
      <c r="I948" s="67"/>
      <c r="J948" s="67"/>
      <c r="K948" s="67"/>
      <c r="L948" s="29"/>
      <c r="M948" s="211"/>
      <c r="N948" s="29"/>
      <c r="O948" s="29"/>
      <c r="P948" s="29"/>
      <c r="Q948" s="29"/>
    </row>
    <row r="949" spans="1:17" ht="15.75" customHeight="1" x14ac:dyDescent="0.25">
      <c r="A949" s="29"/>
      <c r="B949" s="64"/>
      <c r="C949" s="29"/>
      <c r="D949" s="65"/>
      <c r="E949" s="65"/>
      <c r="F949" s="66"/>
      <c r="G949" s="66"/>
      <c r="H949" s="66"/>
      <c r="I949" s="67"/>
      <c r="J949" s="67"/>
      <c r="K949" s="67"/>
      <c r="L949" s="29"/>
      <c r="M949" s="211"/>
      <c r="N949" s="29"/>
      <c r="O949" s="29"/>
      <c r="P949" s="29"/>
      <c r="Q949" s="29"/>
    </row>
    <row r="950" spans="1:17" ht="15.75" customHeight="1" x14ac:dyDescent="0.25">
      <c r="A950" s="29"/>
      <c r="B950" s="64"/>
      <c r="C950" s="29"/>
      <c r="D950" s="65"/>
      <c r="E950" s="65"/>
      <c r="F950" s="66"/>
      <c r="G950" s="66"/>
      <c r="H950" s="66"/>
      <c r="I950" s="67"/>
      <c r="J950" s="67"/>
      <c r="K950" s="67"/>
      <c r="L950" s="29"/>
      <c r="M950" s="211"/>
      <c r="N950" s="29"/>
      <c r="O950" s="29"/>
      <c r="P950" s="29"/>
      <c r="Q950" s="29"/>
    </row>
    <row r="951" spans="1:17" ht="15.75" customHeight="1" x14ac:dyDescent="0.25">
      <c r="A951" s="29"/>
      <c r="B951" s="64"/>
      <c r="C951" s="29"/>
      <c r="D951" s="65"/>
      <c r="E951" s="65"/>
      <c r="F951" s="66"/>
      <c r="G951" s="66"/>
      <c r="H951" s="66"/>
      <c r="I951" s="67"/>
      <c r="J951" s="67"/>
      <c r="K951" s="67"/>
      <c r="L951" s="29"/>
      <c r="M951" s="211"/>
      <c r="N951" s="29"/>
      <c r="O951" s="29"/>
      <c r="P951" s="29"/>
      <c r="Q951" s="29"/>
    </row>
    <row r="952" spans="1:17" ht="15.75" customHeight="1" x14ac:dyDescent="0.25">
      <c r="A952" s="29"/>
      <c r="B952" s="64"/>
      <c r="C952" s="29"/>
      <c r="D952" s="65"/>
      <c r="E952" s="65"/>
      <c r="F952" s="66"/>
      <c r="G952" s="66"/>
      <c r="H952" s="66"/>
      <c r="I952" s="67"/>
      <c r="J952" s="67"/>
      <c r="K952" s="67"/>
      <c r="L952" s="29"/>
      <c r="M952" s="211"/>
      <c r="N952" s="29"/>
      <c r="O952" s="29"/>
      <c r="P952" s="29"/>
      <c r="Q952" s="29"/>
    </row>
    <row r="953" spans="1:17" ht="15.75" customHeight="1" x14ac:dyDescent="0.25">
      <c r="A953" s="29"/>
      <c r="B953" s="64"/>
      <c r="C953" s="29"/>
      <c r="D953" s="65"/>
      <c r="E953" s="65"/>
      <c r="F953" s="66"/>
      <c r="G953" s="66"/>
      <c r="H953" s="66"/>
      <c r="I953" s="67"/>
      <c r="J953" s="67"/>
      <c r="K953" s="67"/>
      <c r="L953" s="29"/>
      <c r="M953" s="211"/>
      <c r="N953" s="29"/>
      <c r="O953" s="29"/>
      <c r="P953" s="29"/>
      <c r="Q953" s="29"/>
    </row>
    <row r="954" spans="1:17" ht="15.75" customHeight="1" x14ac:dyDescent="0.25">
      <c r="A954" s="29"/>
      <c r="B954" s="64"/>
      <c r="C954" s="29"/>
      <c r="D954" s="65"/>
      <c r="E954" s="65"/>
      <c r="F954" s="66"/>
      <c r="G954" s="66"/>
      <c r="H954" s="66"/>
      <c r="I954" s="67"/>
      <c r="J954" s="67"/>
      <c r="K954" s="67"/>
      <c r="L954" s="29"/>
      <c r="M954" s="211"/>
      <c r="N954" s="29"/>
      <c r="O954" s="29"/>
      <c r="P954" s="29"/>
      <c r="Q954" s="29"/>
    </row>
    <row r="955" spans="1:17" ht="15.75" customHeight="1" x14ac:dyDescent="0.25">
      <c r="A955" s="29"/>
      <c r="B955" s="64"/>
      <c r="C955" s="29"/>
      <c r="D955" s="65"/>
      <c r="E955" s="65"/>
      <c r="F955" s="66"/>
      <c r="G955" s="66"/>
      <c r="H955" s="66"/>
      <c r="I955" s="67"/>
      <c r="J955" s="67"/>
      <c r="K955" s="67"/>
      <c r="L955" s="29"/>
      <c r="M955" s="211"/>
      <c r="N955" s="29"/>
      <c r="O955" s="29"/>
      <c r="P955" s="29"/>
      <c r="Q955" s="29"/>
    </row>
    <row r="956" spans="1:17" ht="15.75" customHeight="1" x14ac:dyDescent="0.25">
      <c r="A956" s="29"/>
      <c r="B956" s="64"/>
      <c r="C956" s="29"/>
      <c r="D956" s="65"/>
      <c r="E956" s="65"/>
      <c r="F956" s="66"/>
      <c r="G956" s="66"/>
      <c r="H956" s="66"/>
      <c r="I956" s="67"/>
      <c r="J956" s="67"/>
      <c r="K956" s="67"/>
      <c r="L956" s="29"/>
      <c r="M956" s="211"/>
      <c r="N956" s="29"/>
      <c r="O956" s="29"/>
      <c r="P956" s="29"/>
      <c r="Q956" s="29"/>
    </row>
    <row r="957" spans="1:17" ht="15.75" customHeight="1" x14ac:dyDescent="0.25">
      <c r="A957" s="29"/>
      <c r="B957" s="64"/>
      <c r="C957" s="29"/>
      <c r="D957" s="65"/>
      <c r="E957" s="65"/>
      <c r="F957" s="66"/>
      <c r="G957" s="66"/>
      <c r="H957" s="66"/>
      <c r="I957" s="67"/>
      <c r="J957" s="67"/>
      <c r="K957" s="67"/>
      <c r="L957" s="29"/>
      <c r="M957" s="211"/>
      <c r="N957" s="29"/>
      <c r="O957" s="29"/>
      <c r="P957" s="29"/>
      <c r="Q957" s="29"/>
    </row>
    <row r="958" spans="1:17" ht="15.75" customHeight="1" x14ac:dyDescent="0.25">
      <c r="A958" s="29"/>
      <c r="B958" s="64"/>
      <c r="C958" s="29"/>
      <c r="D958" s="65"/>
      <c r="E958" s="65"/>
      <c r="F958" s="66"/>
      <c r="G958" s="66"/>
      <c r="H958" s="66"/>
      <c r="I958" s="67"/>
      <c r="J958" s="67"/>
      <c r="K958" s="67"/>
      <c r="L958" s="29"/>
      <c r="M958" s="211"/>
      <c r="N958" s="29"/>
      <c r="O958" s="29"/>
      <c r="P958" s="29"/>
      <c r="Q958" s="29"/>
    </row>
    <row r="959" spans="1:17" ht="15.75" customHeight="1" x14ac:dyDescent="0.25">
      <c r="A959" s="29"/>
      <c r="B959" s="64"/>
      <c r="C959" s="29"/>
      <c r="D959" s="65"/>
      <c r="E959" s="65"/>
      <c r="F959" s="66"/>
      <c r="G959" s="66"/>
      <c r="H959" s="66"/>
      <c r="I959" s="67"/>
      <c r="J959" s="67"/>
      <c r="K959" s="67"/>
      <c r="L959" s="29"/>
      <c r="M959" s="211"/>
      <c r="N959" s="29"/>
      <c r="O959" s="29"/>
      <c r="P959" s="29"/>
      <c r="Q959" s="29"/>
    </row>
    <row r="960" spans="1:17" ht="15.75" customHeight="1" x14ac:dyDescent="0.25">
      <c r="A960" s="29"/>
      <c r="B960" s="64"/>
      <c r="C960" s="29"/>
      <c r="D960" s="65"/>
      <c r="E960" s="65"/>
      <c r="F960" s="66"/>
      <c r="G960" s="66"/>
      <c r="H960" s="66"/>
      <c r="I960" s="67"/>
      <c r="J960" s="67"/>
      <c r="K960" s="67"/>
      <c r="L960" s="29"/>
      <c r="M960" s="211"/>
      <c r="N960" s="29"/>
      <c r="O960" s="29"/>
      <c r="P960" s="29"/>
      <c r="Q960" s="29"/>
    </row>
    <row r="961" spans="1:17" ht="15.75" customHeight="1" x14ac:dyDescent="0.25">
      <c r="A961" s="29"/>
      <c r="B961" s="64"/>
      <c r="C961" s="29"/>
      <c r="D961" s="65"/>
      <c r="E961" s="65"/>
      <c r="F961" s="66"/>
      <c r="G961" s="66"/>
      <c r="H961" s="66"/>
      <c r="I961" s="67"/>
      <c r="J961" s="67"/>
      <c r="K961" s="67"/>
      <c r="L961" s="29"/>
      <c r="M961" s="211"/>
      <c r="N961" s="29"/>
      <c r="O961" s="29"/>
      <c r="P961" s="29"/>
      <c r="Q961" s="29"/>
    </row>
    <row r="962" spans="1:17" ht="15.75" customHeight="1" x14ac:dyDescent="0.25">
      <c r="A962" s="29"/>
      <c r="B962" s="64"/>
      <c r="C962" s="29"/>
      <c r="D962" s="65"/>
      <c r="E962" s="65"/>
      <c r="F962" s="66"/>
      <c r="G962" s="66"/>
      <c r="H962" s="66"/>
      <c r="I962" s="67"/>
      <c r="J962" s="67"/>
      <c r="K962" s="67"/>
      <c r="L962" s="29"/>
      <c r="M962" s="211"/>
      <c r="N962" s="29"/>
      <c r="O962" s="29"/>
      <c r="P962" s="29"/>
      <c r="Q962" s="29"/>
    </row>
    <row r="963" spans="1:17" ht="15.75" customHeight="1" x14ac:dyDescent="0.25">
      <c r="A963" s="29"/>
      <c r="B963" s="64"/>
      <c r="C963" s="29"/>
      <c r="D963" s="65"/>
      <c r="E963" s="65"/>
      <c r="F963" s="66"/>
      <c r="G963" s="66"/>
      <c r="H963" s="66"/>
      <c r="I963" s="67"/>
      <c r="J963" s="67"/>
      <c r="K963" s="67"/>
      <c r="L963" s="29"/>
      <c r="M963" s="211"/>
      <c r="N963" s="29"/>
      <c r="O963" s="29"/>
      <c r="P963" s="29"/>
      <c r="Q963" s="29"/>
    </row>
    <row r="964" spans="1:17" ht="15.75" customHeight="1" x14ac:dyDescent="0.25">
      <c r="A964" s="29"/>
      <c r="B964" s="64"/>
      <c r="C964" s="29"/>
      <c r="D964" s="65"/>
      <c r="E964" s="65"/>
      <c r="F964" s="66"/>
      <c r="G964" s="66"/>
      <c r="H964" s="66"/>
      <c r="I964" s="67"/>
      <c r="J964" s="67"/>
      <c r="K964" s="67"/>
      <c r="L964" s="29"/>
      <c r="M964" s="211"/>
      <c r="N964" s="29"/>
      <c r="O964" s="29"/>
      <c r="P964" s="29"/>
      <c r="Q964" s="29"/>
    </row>
    <row r="965" spans="1:17" ht="15.75" customHeight="1" x14ac:dyDescent="0.25">
      <c r="A965" s="29"/>
      <c r="B965" s="64"/>
      <c r="C965" s="29"/>
      <c r="D965" s="65"/>
      <c r="E965" s="65"/>
      <c r="F965" s="66"/>
      <c r="G965" s="66"/>
      <c r="H965" s="66"/>
      <c r="I965" s="67"/>
      <c r="J965" s="67"/>
      <c r="K965" s="67"/>
      <c r="L965" s="29"/>
      <c r="M965" s="211"/>
      <c r="N965" s="29"/>
      <c r="O965" s="29"/>
      <c r="P965" s="29"/>
      <c r="Q965" s="29"/>
    </row>
    <row r="966" spans="1:17" ht="15.75" customHeight="1" x14ac:dyDescent="0.25">
      <c r="A966" s="29"/>
      <c r="B966" s="64"/>
      <c r="C966" s="29"/>
      <c r="D966" s="65"/>
      <c r="E966" s="65"/>
      <c r="F966" s="66"/>
      <c r="G966" s="66"/>
      <c r="H966" s="66"/>
      <c r="I966" s="67"/>
      <c r="J966" s="67"/>
      <c r="K966" s="67"/>
      <c r="L966" s="29"/>
      <c r="M966" s="211"/>
      <c r="N966" s="29"/>
      <c r="O966" s="29"/>
      <c r="P966" s="29"/>
      <c r="Q966" s="29"/>
    </row>
    <row r="967" spans="1:17" ht="15.75" customHeight="1" x14ac:dyDescent="0.25">
      <c r="A967" s="29"/>
      <c r="B967" s="64"/>
      <c r="C967" s="29"/>
      <c r="D967" s="65"/>
      <c r="E967" s="65"/>
      <c r="F967" s="66"/>
      <c r="G967" s="66"/>
      <c r="H967" s="66"/>
      <c r="I967" s="67"/>
      <c r="J967" s="67"/>
      <c r="K967" s="67"/>
      <c r="L967" s="29"/>
      <c r="M967" s="211"/>
      <c r="N967" s="29"/>
      <c r="O967" s="29"/>
      <c r="P967" s="29"/>
      <c r="Q967" s="29"/>
    </row>
    <row r="968" spans="1:17" ht="15.75" customHeight="1" x14ac:dyDescent="0.25">
      <c r="A968" s="29"/>
      <c r="B968" s="64"/>
      <c r="C968" s="29"/>
      <c r="D968" s="65"/>
      <c r="E968" s="65"/>
      <c r="F968" s="66"/>
      <c r="G968" s="66"/>
      <c r="H968" s="66"/>
      <c r="I968" s="67"/>
      <c r="J968" s="67"/>
      <c r="K968" s="67"/>
      <c r="L968" s="29"/>
      <c r="M968" s="211"/>
      <c r="N968" s="29"/>
      <c r="O968" s="29"/>
      <c r="P968" s="29"/>
      <c r="Q968" s="29"/>
    </row>
    <row r="969" spans="1:17" ht="15.75" customHeight="1" x14ac:dyDescent="0.25">
      <c r="A969" s="29"/>
      <c r="B969" s="64"/>
      <c r="C969" s="29"/>
      <c r="D969" s="65"/>
      <c r="E969" s="65"/>
      <c r="F969" s="66"/>
      <c r="G969" s="66"/>
      <c r="H969" s="66"/>
      <c r="I969" s="67"/>
      <c r="J969" s="67"/>
      <c r="K969" s="67"/>
      <c r="L969" s="29"/>
      <c r="M969" s="211"/>
      <c r="N969" s="29"/>
      <c r="O969" s="29"/>
      <c r="P969" s="29"/>
      <c r="Q969" s="29"/>
    </row>
    <row r="970" spans="1:17" ht="15.75" customHeight="1" x14ac:dyDescent="0.25">
      <c r="A970" s="29"/>
      <c r="B970" s="64"/>
      <c r="C970" s="29"/>
      <c r="D970" s="65"/>
      <c r="E970" s="65"/>
      <c r="F970" s="66"/>
      <c r="G970" s="66"/>
      <c r="H970" s="66"/>
      <c r="I970" s="67"/>
      <c r="J970" s="67"/>
      <c r="K970" s="67"/>
      <c r="L970" s="29"/>
      <c r="M970" s="211"/>
      <c r="N970" s="29"/>
      <c r="O970" s="29"/>
      <c r="P970" s="29"/>
      <c r="Q970" s="29"/>
    </row>
    <row r="971" spans="1:17" ht="15.75" customHeight="1" x14ac:dyDescent="0.25">
      <c r="A971" s="29"/>
      <c r="B971" s="64"/>
      <c r="C971" s="29"/>
      <c r="D971" s="65"/>
      <c r="E971" s="65"/>
      <c r="F971" s="66"/>
      <c r="G971" s="66"/>
      <c r="H971" s="66"/>
      <c r="I971" s="67"/>
      <c r="J971" s="67"/>
      <c r="K971" s="67"/>
      <c r="L971" s="29"/>
      <c r="M971" s="211"/>
      <c r="N971" s="29"/>
      <c r="O971" s="29"/>
      <c r="P971" s="29"/>
      <c r="Q971" s="29"/>
    </row>
    <row r="972" spans="1:17" ht="15.75" customHeight="1" x14ac:dyDescent="0.25">
      <c r="A972" s="29"/>
      <c r="B972" s="64"/>
      <c r="C972" s="29"/>
      <c r="D972" s="65"/>
      <c r="E972" s="65"/>
      <c r="F972" s="66"/>
      <c r="G972" s="66"/>
      <c r="H972" s="66"/>
      <c r="I972" s="67"/>
      <c r="J972" s="67"/>
      <c r="K972" s="67"/>
      <c r="L972" s="29"/>
      <c r="M972" s="211"/>
      <c r="N972" s="29"/>
      <c r="O972" s="29"/>
      <c r="P972" s="29"/>
      <c r="Q972" s="29"/>
    </row>
    <row r="973" spans="1:17" ht="15.75" customHeight="1" x14ac:dyDescent="0.25">
      <c r="A973" s="29"/>
      <c r="B973" s="64"/>
      <c r="C973" s="29"/>
      <c r="D973" s="65"/>
      <c r="E973" s="65"/>
      <c r="F973" s="66"/>
      <c r="G973" s="66"/>
      <c r="H973" s="66"/>
      <c r="I973" s="67"/>
      <c r="J973" s="67"/>
      <c r="K973" s="67"/>
      <c r="L973" s="29"/>
      <c r="M973" s="211"/>
      <c r="N973" s="29"/>
      <c r="O973" s="29"/>
      <c r="P973" s="29"/>
      <c r="Q973" s="29"/>
    </row>
    <row r="974" spans="1:17" ht="15.75" customHeight="1" x14ac:dyDescent="0.25">
      <c r="A974" s="29"/>
      <c r="B974" s="64"/>
      <c r="C974" s="29"/>
      <c r="D974" s="65"/>
      <c r="E974" s="65"/>
      <c r="F974" s="66"/>
      <c r="G974" s="66"/>
      <c r="H974" s="66"/>
      <c r="I974" s="67"/>
      <c r="J974" s="67"/>
      <c r="K974" s="67"/>
      <c r="L974" s="29"/>
      <c r="M974" s="211"/>
      <c r="N974" s="29"/>
      <c r="O974" s="29"/>
      <c r="P974" s="29"/>
      <c r="Q974" s="29"/>
    </row>
    <row r="975" spans="1:17" ht="15.75" customHeight="1" x14ac:dyDescent="0.25">
      <c r="A975" s="29"/>
      <c r="B975" s="64"/>
      <c r="C975" s="29"/>
      <c r="D975" s="65"/>
      <c r="E975" s="65"/>
      <c r="F975" s="66"/>
      <c r="G975" s="66"/>
      <c r="H975" s="66"/>
      <c r="I975" s="67"/>
      <c r="J975" s="67"/>
      <c r="K975" s="67"/>
      <c r="L975" s="29"/>
      <c r="M975" s="211"/>
      <c r="N975" s="29"/>
      <c r="O975" s="29"/>
      <c r="P975" s="29"/>
      <c r="Q975" s="29"/>
    </row>
    <row r="976" spans="1:17" ht="15.75" customHeight="1" x14ac:dyDescent="0.25">
      <c r="A976" s="29"/>
      <c r="B976" s="64"/>
      <c r="C976" s="29"/>
      <c r="D976" s="65"/>
      <c r="E976" s="65"/>
      <c r="F976" s="66"/>
      <c r="G976" s="66"/>
      <c r="H976" s="66"/>
      <c r="I976" s="67"/>
      <c r="J976" s="67"/>
      <c r="K976" s="67"/>
      <c r="L976" s="29"/>
      <c r="M976" s="211"/>
      <c r="N976" s="29"/>
      <c r="O976" s="29"/>
      <c r="P976" s="29"/>
      <c r="Q976" s="29"/>
    </row>
    <row r="977" spans="1:17" ht="15.75" customHeight="1" x14ac:dyDescent="0.25">
      <c r="A977" s="29"/>
      <c r="B977" s="64"/>
      <c r="C977" s="29"/>
      <c r="D977" s="65"/>
      <c r="E977" s="65"/>
      <c r="F977" s="66"/>
      <c r="G977" s="66"/>
      <c r="H977" s="66"/>
      <c r="I977" s="67"/>
      <c r="J977" s="67"/>
      <c r="K977" s="67"/>
      <c r="L977" s="29"/>
      <c r="M977" s="211"/>
      <c r="N977" s="29"/>
      <c r="O977" s="29"/>
      <c r="P977" s="29"/>
      <c r="Q977" s="29"/>
    </row>
    <row r="978" spans="1:17" ht="15.75" customHeight="1" x14ac:dyDescent="0.25">
      <c r="A978" s="29"/>
      <c r="B978" s="64"/>
      <c r="C978" s="29"/>
      <c r="D978" s="65"/>
      <c r="E978" s="65"/>
      <c r="F978" s="66"/>
      <c r="G978" s="66"/>
      <c r="H978" s="66"/>
      <c r="I978" s="67"/>
      <c r="J978" s="67"/>
      <c r="K978" s="67"/>
      <c r="L978" s="29"/>
      <c r="M978" s="211"/>
      <c r="N978" s="29"/>
      <c r="O978" s="29"/>
      <c r="P978" s="29"/>
      <c r="Q978" s="29"/>
    </row>
    <row r="979" spans="1:17" ht="15.75" customHeight="1" x14ac:dyDescent="0.25">
      <c r="A979" s="29"/>
      <c r="B979" s="64"/>
      <c r="C979" s="29"/>
      <c r="D979" s="65"/>
      <c r="E979" s="65"/>
      <c r="F979" s="66"/>
      <c r="G979" s="66"/>
      <c r="H979" s="66"/>
      <c r="I979" s="67"/>
      <c r="J979" s="67"/>
      <c r="K979" s="67"/>
      <c r="L979" s="29"/>
      <c r="M979" s="211"/>
      <c r="N979" s="29"/>
      <c r="O979" s="29"/>
      <c r="P979" s="29"/>
      <c r="Q979" s="29"/>
    </row>
    <row r="980" spans="1:17" ht="15.75" customHeight="1" x14ac:dyDescent="0.25">
      <c r="A980" s="29"/>
      <c r="B980" s="64"/>
      <c r="C980" s="29"/>
      <c r="D980" s="65"/>
      <c r="E980" s="65"/>
      <c r="F980" s="66"/>
      <c r="G980" s="66"/>
      <c r="H980" s="66"/>
      <c r="I980" s="67"/>
      <c r="J980" s="67"/>
      <c r="K980" s="67"/>
      <c r="L980" s="29"/>
      <c r="M980" s="211"/>
      <c r="N980" s="29"/>
      <c r="O980" s="29"/>
      <c r="P980" s="29"/>
      <c r="Q980" s="29"/>
    </row>
    <row r="981" spans="1:17" ht="15.75" customHeight="1" x14ac:dyDescent="0.25">
      <c r="A981" s="29"/>
      <c r="B981" s="64"/>
      <c r="C981" s="29"/>
      <c r="D981" s="65"/>
      <c r="E981" s="65"/>
      <c r="F981" s="66"/>
      <c r="G981" s="66"/>
      <c r="H981" s="66"/>
      <c r="I981" s="67"/>
      <c r="J981" s="67"/>
      <c r="K981" s="67"/>
      <c r="L981" s="29"/>
      <c r="M981" s="211"/>
      <c r="N981" s="29"/>
      <c r="O981" s="29"/>
      <c r="P981" s="29"/>
      <c r="Q981" s="29"/>
    </row>
    <row r="982" spans="1:17" ht="15.75" customHeight="1" x14ac:dyDescent="0.25">
      <c r="A982" s="29"/>
      <c r="B982" s="64"/>
      <c r="C982" s="29"/>
      <c r="D982" s="65"/>
      <c r="E982" s="65"/>
      <c r="F982" s="66"/>
      <c r="G982" s="66"/>
      <c r="H982" s="66"/>
      <c r="I982" s="67"/>
      <c r="J982" s="67"/>
      <c r="K982" s="67"/>
      <c r="L982" s="29"/>
      <c r="M982" s="211"/>
      <c r="N982" s="29"/>
      <c r="O982" s="29"/>
      <c r="P982" s="29"/>
      <c r="Q982" s="29"/>
    </row>
    <row r="983" spans="1:17" ht="15.75" customHeight="1" x14ac:dyDescent="0.25">
      <c r="A983" s="29"/>
      <c r="B983" s="64"/>
      <c r="C983" s="29"/>
      <c r="D983" s="65"/>
      <c r="E983" s="65"/>
      <c r="F983" s="66"/>
      <c r="G983" s="66"/>
      <c r="H983" s="66"/>
      <c r="I983" s="67"/>
      <c r="J983" s="67"/>
      <c r="K983" s="67"/>
      <c r="L983" s="29"/>
      <c r="M983" s="211"/>
      <c r="N983" s="29"/>
      <c r="O983" s="29"/>
      <c r="P983" s="29"/>
      <c r="Q983" s="29"/>
    </row>
    <row r="984" spans="1:17" ht="15.75" customHeight="1" x14ac:dyDescent="0.25">
      <c r="A984" s="29"/>
      <c r="B984" s="64"/>
      <c r="C984" s="29"/>
      <c r="D984" s="65"/>
      <c r="E984" s="65"/>
      <c r="F984" s="66"/>
      <c r="G984" s="66"/>
      <c r="H984" s="66"/>
      <c r="I984" s="67"/>
      <c r="J984" s="67"/>
      <c r="K984" s="67"/>
      <c r="L984" s="29"/>
      <c r="M984" s="211"/>
      <c r="N984" s="29"/>
      <c r="O984" s="29"/>
      <c r="P984" s="29"/>
      <c r="Q984" s="29"/>
    </row>
    <row r="985" spans="1:17" ht="15.75" customHeight="1" x14ac:dyDescent="0.25">
      <c r="A985" s="29"/>
      <c r="B985" s="64"/>
      <c r="C985" s="29"/>
      <c r="D985" s="65"/>
      <c r="E985" s="65"/>
      <c r="F985" s="66"/>
      <c r="G985" s="66"/>
      <c r="H985" s="66"/>
      <c r="I985" s="67"/>
      <c r="J985" s="67"/>
      <c r="K985" s="67"/>
      <c r="L985" s="29"/>
      <c r="M985" s="211"/>
      <c r="N985" s="29"/>
      <c r="O985" s="29"/>
      <c r="P985" s="29"/>
      <c r="Q985" s="29"/>
    </row>
    <row r="986" spans="1:17" ht="15.75" customHeight="1" x14ac:dyDescent="0.25">
      <c r="A986" s="29"/>
      <c r="B986" s="64"/>
      <c r="C986" s="29"/>
      <c r="D986" s="65"/>
      <c r="E986" s="65"/>
      <c r="F986" s="66"/>
      <c r="G986" s="66"/>
      <c r="H986" s="66"/>
      <c r="I986" s="67"/>
      <c r="J986" s="67"/>
      <c r="K986" s="67"/>
      <c r="L986" s="29"/>
      <c r="M986" s="211"/>
      <c r="N986" s="29"/>
      <c r="O986" s="29"/>
      <c r="P986" s="29"/>
      <c r="Q986" s="29"/>
    </row>
    <row r="987" spans="1:17" ht="15.75" customHeight="1" x14ac:dyDescent="0.25">
      <c r="A987" s="29"/>
      <c r="B987" s="64"/>
      <c r="C987" s="29"/>
      <c r="D987" s="65"/>
      <c r="E987" s="65"/>
      <c r="F987" s="66"/>
      <c r="G987" s="66"/>
      <c r="H987" s="66"/>
      <c r="I987" s="67"/>
      <c r="J987" s="67"/>
      <c r="K987" s="67"/>
      <c r="L987" s="29"/>
      <c r="M987" s="211"/>
      <c r="N987" s="29"/>
      <c r="O987" s="29"/>
      <c r="P987" s="29"/>
      <c r="Q987" s="29"/>
    </row>
    <row r="988" spans="1:17" ht="15.75" customHeight="1" x14ac:dyDescent="0.25">
      <c r="A988" s="29"/>
      <c r="B988" s="64"/>
      <c r="C988" s="29"/>
      <c r="D988" s="65"/>
      <c r="E988" s="65"/>
      <c r="F988" s="66"/>
      <c r="G988" s="66"/>
      <c r="H988" s="66"/>
      <c r="I988" s="67"/>
      <c r="J988" s="67"/>
      <c r="K988" s="67"/>
      <c r="L988" s="29"/>
      <c r="M988" s="211"/>
      <c r="N988" s="29"/>
      <c r="O988" s="29"/>
      <c r="P988" s="29"/>
      <c r="Q988" s="29"/>
    </row>
    <row r="989" spans="1:17" ht="15.75" customHeight="1" x14ac:dyDescent="0.25">
      <c r="A989" s="29"/>
      <c r="B989" s="64"/>
      <c r="C989" s="29"/>
      <c r="D989" s="65"/>
      <c r="E989" s="65"/>
      <c r="F989" s="66"/>
      <c r="G989" s="66"/>
      <c r="H989" s="66"/>
      <c r="I989" s="67"/>
      <c r="J989" s="67"/>
      <c r="K989" s="67"/>
      <c r="L989" s="29"/>
      <c r="M989" s="211"/>
      <c r="N989" s="29"/>
      <c r="O989" s="29"/>
      <c r="P989" s="29"/>
      <c r="Q989" s="29"/>
    </row>
    <row r="990" spans="1:17" ht="15.75" customHeight="1" x14ac:dyDescent="0.25">
      <c r="A990" s="29"/>
      <c r="B990" s="64"/>
      <c r="C990" s="29"/>
      <c r="D990" s="65"/>
      <c r="E990" s="65"/>
      <c r="F990" s="66"/>
      <c r="G990" s="66"/>
      <c r="H990" s="66"/>
      <c r="I990" s="67"/>
      <c r="J990" s="67"/>
      <c r="K990" s="67"/>
      <c r="L990" s="29"/>
      <c r="M990" s="211"/>
      <c r="N990" s="29"/>
      <c r="O990" s="29"/>
      <c r="P990" s="29"/>
      <c r="Q990" s="29"/>
    </row>
    <row r="991" spans="1:17" ht="15.75" customHeight="1" x14ac:dyDescent="0.25">
      <c r="A991" s="29"/>
      <c r="B991" s="64"/>
      <c r="C991" s="29"/>
      <c r="D991" s="65"/>
      <c r="E991" s="65"/>
      <c r="F991" s="66"/>
      <c r="G991" s="66"/>
      <c r="H991" s="66"/>
      <c r="I991" s="67"/>
      <c r="J991" s="67"/>
      <c r="K991" s="67"/>
      <c r="L991" s="29"/>
      <c r="M991" s="211"/>
      <c r="N991" s="29"/>
      <c r="O991" s="29"/>
      <c r="P991" s="29"/>
      <c r="Q991" s="29"/>
    </row>
    <row r="992" spans="1:17" ht="15.75" customHeight="1" x14ac:dyDescent="0.25">
      <c r="A992" s="29"/>
      <c r="B992" s="64"/>
      <c r="C992" s="29"/>
      <c r="D992" s="65"/>
      <c r="E992" s="65"/>
      <c r="F992" s="66"/>
      <c r="G992" s="66"/>
      <c r="H992" s="66"/>
      <c r="I992" s="67"/>
      <c r="J992" s="67"/>
      <c r="K992" s="67"/>
      <c r="L992" s="29"/>
      <c r="M992" s="211"/>
      <c r="N992" s="29"/>
      <c r="O992" s="29"/>
      <c r="P992" s="29"/>
      <c r="Q992" s="29"/>
    </row>
    <row r="993" spans="1:17" ht="15" customHeight="1" x14ac:dyDescent="0.25">
      <c r="A993" s="29"/>
      <c r="B993" s="64"/>
      <c r="C993" s="29"/>
      <c r="D993" s="65"/>
      <c r="E993" s="65"/>
      <c r="F993" s="66"/>
      <c r="G993" s="66"/>
      <c r="H993" s="66"/>
      <c r="I993" s="67"/>
      <c r="J993" s="67"/>
      <c r="K993" s="67"/>
      <c r="L993" s="29"/>
      <c r="M993" s="211"/>
      <c r="N993" s="29"/>
      <c r="O993" s="29"/>
      <c r="P993" s="29"/>
      <c r="Q993" s="29"/>
    </row>
    <row r="994" spans="1:17" ht="15" customHeight="1" x14ac:dyDescent="0.25">
      <c r="A994" s="29"/>
      <c r="B994" s="64"/>
      <c r="C994" s="29"/>
      <c r="D994" s="65"/>
      <c r="E994" s="65"/>
      <c r="F994" s="29"/>
      <c r="G994" s="29"/>
      <c r="H994" s="29"/>
      <c r="I994" s="67"/>
      <c r="J994" s="67"/>
      <c r="K994" s="67"/>
      <c r="L994" s="29"/>
      <c r="M994" s="211"/>
      <c r="N994" s="29"/>
      <c r="O994" s="29"/>
      <c r="P994" s="29"/>
      <c r="Q994" s="29"/>
    </row>
    <row r="995" spans="1:17" ht="15" customHeight="1" x14ac:dyDescent="0.25">
      <c r="A995" s="29"/>
      <c r="B995" s="64"/>
      <c r="C995" s="29"/>
      <c r="D995" s="65"/>
      <c r="E995" s="65"/>
      <c r="F995" s="29"/>
      <c r="G995" s="29"/>
      <c r="H995" s="29"/>
      <c r="I995" s="67"/>
      <c r="J995" s="67"/>
      <c r="K995" s="67"/>
    </row>
    <row r="996" spans="1:17" ht="15" customHeight="1" x14ac:dyDescent="0.25">
      <c r="A996" s="29"/>
      <c r="B996" s="64"/>
      <c r="C996" s="29"/>
      <c r="D996" s="29"/>
      <c r="E996" s="29"/>
      <c r="F996" s="29"/>
      <c r="G996" s="29"/>
      <c r="H996" s="29"/>
      <c r="I996" s="67"/>
      <c r="J996" s="67"/>
      <c r="K996" s="67"/>
    </row>
    <row r="997" spans="1:17" ht="15" customHeight="1" x14ac:dyDescent="0.25">
      <c r="C997" s="29"/>
      <c r="D997" s="29"/>
      <c r="E997" s="29"/>
    </row>
  </sheetData>
  <sheetProtection insertHyperlinks="0" sort="0" autoFilter="0" pivotTables="0"/>
  <mergeCells count="3">
    <mergeCell ref="A11:K11"/>
    <mergeCell ref="A1:K1"/>
    <mergeCell ref="M1:N1"/>
  </mergeCells>
  <pageMargins left="0.7" right="0.7" top="0.75" bottom="0.75" header="0" footer="0"/>
  <pageSetup orientation="portrait"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8F5BE-858F-4E52-A9B4-A9ED5095A102}">
  <sheetPr codeName="Hoja7">
    <tabColor theme="1"/>
    <pageSetUpPr fitToPage="1"/>
  </sheetPr>
  <dimension ref="A1:R98"/>
  <sheetViews>
    <sheetView zoomScale="60" zoomScaleNormal="60" workbookViewId="0">
      <pane xSplit="9" topLeftCell="K1" activePane="topRight" state="frozen"/>
      <selection activeCell="A3" sqref="A3"/>
      <selection pane="topRight" activeCell="A67" sqref="A67"/>
    </sheetView>
  </sheetViews>
  <sheetFormatPr baseColWidth="10" defaultColWidth="11.44140625" defaultRowHeight="100.15" customHeight="1" x14ac:dyDescent="0.35"/>
  <cols>
    <col min="1" max="1" width="45.44140625" style="25" customWidth="1"/>
    <col min="2" max="2" width="7.109375" style="226" bestFit="1" customWidth="1"/>
    <col min="3" max="3" width="17.109375" style="172" customWidth="1"/>
    <col min="4" max="4" width="14.88671875" style="28" customWidth="1"/>
    <col min="5" max="5" width="5.88671875" style="28" bestFit="1" customWidth="1"/>
    <col min="6" max="6" width="14.44140625" style="28" bestFit="1" customWidth="1"/>
    <col min="7" max="7" width="10" style="28" hidden="1" customWidth="1"/>
    <col min="8" max="8" width="39" style="172" customWidth="1"/>
    <col min="9" max="9" width="21.6640625" style="192" bestFit="1" customWidth="1"/>
    <col min="10" max="10" width="31.109375" style="25" bestFit="1" customWidth="1"/>
    <col min="11" max="11" width="126.109375" style="188" customWidth="1"/>
    <col min="12" max="12" width="30.33203125" style="25" bestFit="1" customWidth="1"/>
    <col min="13" max="13" width="14.109375" style="25" bestFit="1" customWidth="1"/>
    <col min="14" max="16384" width="11.44140625" style="25"/>
  </cols>
  <sheetData>
    <row r="1" spans="1:13" ht="120" customHeight="1" x14ac:dyDescent="0.35">
      <c r="A1" s="209"/>
      <c r="B1" s="176"/>
      <c r="C1" s="170"/>
      <c r="D1" s="146"/>
      <c r="E1" s="146"/>
      <c r="F1" s="148"/>
      <c r="G1" s="146"/>
      <c r="H1" s="170"/>
      <c r="I1" s="148"/>
      <c r="J1" s="146"/>
      <c r="K1" s="190"/>
    </row>
    <row r="2" spans="1:13" s="197" customFormat="1" ht="60" customHeight="1" x14ac:dyDescent="0.35">
      <c r="A2" s="210"/>
      <c r="B2" s="224" t="s">
        <v>1248</v>
      </c>
      <c r="C2" s="193" t="s">
        <v>1249</v>
      </c>
      <c r="D2" s="193" t="s">
        <v>1250</v>
      </c>
      <c r="E2" s="194" t="s">
        <v>1248</v>
      </c>
      <c r="F2" s="195" t="s">
        <v>77</v>
      </c>
      <c r="G2" s="195" t="s">
        <v>1251</v>
      </c>
      <c r="H2" s="195" t="s">
        <v>78</v>
      </c>
      <c r="I2" s="195" t="s">
        <v>1252</v>
      </c>
      <c r="J2" s="193" t="s">
        <v>80</v>
      </c>
      <c r="K2" s="193" t="s">
        <v>1253</v>
      </c>
      <c r="L2" s="173" t="s">
        <v>78</v>
      </c>
      <c r="M2" s="196" t="s">
        <v>1250</v>
      </c>
    </row>
    <row r="3" spans="1:13" ht="100.15" hidden="1" customHeight="1" x14ac:dyDescent="0.25">
      <c r="B3" s="225">
        <v>1</v>
      </c>
      <c r="C3" s="141" t="s">
        <v>1254</v>
      </c>
      <c r="D3" s="144" t="str">
        <f>VLOOKUP(Descripciones[[#This Row],[CATEGORÍA]],$L$3:$M$29,2,FALSE)</f>
        <v>0</v>
      </c>
      <c r="E3" s="181">
        <v>1</v>
      </c>
      <c r="F3" s="147" t="str">
        <f>+_xlfn.CONCAT(Descripciones[[#This Row],[LÍNEA OPERATIVA]],Descripciones[[#This Row],[COD. CAT]],".",Descripciones[[#This Row],['#]])</f>
        <v>V0.1</v>
      </c>
      <c r="G3" s="123" t="s">
        <v>1255</v>
      </c>
      <c r="H3" s="171" t="s">
        <v>109</v>
      </c>
      <c r="I3" s="191" t="s">
        <v>418</v>
      </c>
      <c r="J3" s="64" t="s">
        <v>1256</v>
      </c>
      <c r="K3" s="64" t="s">
        <v>1257</v>
      </c>
      <c r="L3" s="174" t="s">
        <v>109</v>
      </c>
      <c r="M3" s="140" t="str">
        <f t="shared" ref="M3:M19" si="0">MID(L3,2,1)</f>
        <v>0</v>
      </c>
    </row>
    <row r="4" spans="1:13" ht="100.15" hidden="1" customHeight="1" x14ac:dyDescent="0.25">
      <c r="B4" s="225">
        <v>2</v>
      </c>
      <c r="C4" s="141" t="s">
        <v>1254</v>
      </c>
      <c r="D4" s="144" t="str">
        <f>VLOOKUP(Descripciones[[#This Row],[CATEGORÍA]],$L$3:$M$29,2,FALSE)</f>
        <v>0</v>
      </c>
      <c r="E4" s="181">
        <v>2</v>
      </c>
      <c r="F4" s="147" t="str">
        <f>+_xlfn.CONCAT(Descripciones[[#This Row],[LÍNEA OPERATIVA]],Descripciones[[#This Row],[COD. CAT]],".",Descripciones[[#This Row],['#]])</f>
        <v>V0.2</v>
      </c>
      <c r="G4" s="123" t="s">
        <v>1258</v>
      </c>
      <c r="H4" s="171" t="s">
        <v>109</v>
      </c>
      <c r="I4" s="191" t="s">
        <v>418</v>
      </c>
      <c r="J4" s="64" t="s">
        <v>1259</v>
      </c>
      <c r="K4" s="219" t="s">
        <v>1260</v>
      </c>
      <c r="L4" s="174" t="s">
        <v>144</v>
      </c>
      <c r="M4" s="140" t="str">
        <f t="shared" si="0"/>
        <v>1</v>
      </c>
    </row>
    <row r="5" spans="1:13" ht="100.15" hidden="1" customHeight="1" x14ac:dyDescent="0.25">
      <c r="B5" s="225">
        <v>3</v>
      </c>
      <c r="C5" s="141" t="s">
        <v>1254</v>
      </c>
      <c r="D5" s="144" t="str">
        <f>VLOOKUP(Descripciones[[#This Row],[CATEGORÍA]],$L$3:$M$29,2,FALSE)</f>
        <v>1</v>
      </c>
      <c r="E5" s="181">
        <v>1</v>
      </c>
      <c r="F5" s="147" t="str">
        <f>+_xlfn.CONCAT(Descripciones[[#This Row],[LÍNEA OPERATIVA]],Descripciones[[#This Row],[COD. CAT]],".",Descripciones[[#This Row],['#]])</f>
        <v>V1.1</v>
      </c>
      <c r="G5" s="123" t="s">
        <v>1261</v>
      </c>
      <c r="H5" s="198" t="s">
        <v>144</v>
      </c>
      <c r="I5" s="123" t="s">
        <v>418</v>
      </c>
      <c r="J5" s="64" t="s">
        <v>145</v>
      </c>
      <c r="K5" s="219" t="s">
        <v>1262</v>
      </c>
      <c r="L5" s="174" t="s">
        <v>216</v>
      </c>
      <c r="M5" s="140" t="str">
        <f t="shared" si="0"/>
        <v>2</v>
      </c>
    </row>
    <row r="6" spans="1:13" ht="100.15" hidden="1" customHeight="1" x14ac:dyDescent="0.25">
      <c r="B6" s="225">
        <v>4</v>
      </c>
      <c r="C6" s="141" t="s">
        <v>1254</v>
      </c>
      <c r="D6" s="144" t="str">
        <f>VLOOKUP(Descripciones[[#This Row],[CATEGORÍA]],$L$3:$M$29,2,FALSE)</f>
        <v>0</v>
      </c>
      <c r="E6" s="181">
        <v>3</v>
      </c>
      <c r="F6" s="147" t="str">
        <f>+_xlfn.CONCAT(Descripciones[[#This Row],[LÍNEA OPERATIVA]],Descripciones[[#This Row],[COD. CAT]],".",Descripciones[[#This Row],['#]])</f>
        <v>V0.3</v>
      </c>
      <c r="G6" s="123" t="s">
        <v>1263</v>
      </c>
      <c r="H6" s="171" t="s">
        <v>109</v>
      </c>
      <c r="I6" s="191" t="s">
        <v>418</v>
      </c>
      <c r="J6" s="64" t="s">
        <v>1264</v>
      </c>
      <c r="K6" s="219" t="s">
        <v>1265</v>
      </c>
      <c r="L6" s="174" t="s">
        <v>252</v>
      </c>
      <c r="M6" s="140" t="str">
        <f t="shared" si="0"/>
        <v>3</v>
      </c>
    </row>
    <row r="7" spans="1:13" ht="100.15" hidden="1" customHeight="1" x14ac:dyDescent="0.25">
      <c r="B7" s="225">
        <v>5</v>
      </c>
      <c r="C7" s="141" t="s">
        <v>1254</v>
      </c>
      <c r="D7" s="144" t="str">
        <f>VLOOKUP(Descripciones[[#This Row],[CATEGORÍA]],$L$3:$M$29,2,FALSE)</f>
        <v>1</v>
      </c>
      <c r="E7" s="181">
        <v>2</v>
      </c>
      <c r="F7" s="147" t="str">
        <f>+_xlfn.CONCAT(Descripciones[[#This Row],[LÍNEA OPERATIVA]],Descripciones[[#This Row],[COD. CAT]],".",Descripciones[[#This Row],['#]])</f>
        <v>V1.2</v>
      </c>
      <c r="G7" s="123" t="s">
        <v>1266</v>
      </c>
      <c r="H7" s="198" t="s">
        <v>144</v>
      </c>
      <c r="I7" s="123" t="s">
        <v>418</v>
      </c>
      <c r="J7" s="64" t="s">
        <v>1267</v>
      </c>
      <c r="K7" s="219" t="s">
        <v>1268</v>
      </c>
      <c r="L7" s="174" t="s">
        <v>270</v>
      </c>
      <c r="M7" s="140" t="str">
        <f t="shared" si="0"/>
        <v>4</v>
      </c>
    </row>
    <row r="8" spans="1:13" ht="100.15" hidden="1" customHeight="1" x14ac:dyDescent="0.25">
      <c r="B8" s="225">
        <v>6</v>
      </c>
      <c r="C8" s="141" t="s">
        <v>1254</v>
      </c>
      <c r="D8" s="144" t="str">
        <f>VLOOKUP(Descripciones[[#This Row],[CATEGORÍA]],$L$3:$M$29,2,FALSE)</f>
        <v>0</v>
      </c>
      <c r="E8" s="181">
        <v>4</v>
      </c>
      <c r="F8" s="147" t="str">
        <f>+_xlfn.CONCAT(Descripciones[[#This Row],[LÍNEA OPERATIVA]],Descripciones[[#This Row],[COD. CAT]],".",Descripciones[[#This Row],['#]])</f>
        <v>V0.4</v>
      </c>
      <c r="G8" s="123" t="s">
        <v>1269</v>
      </c>
      <c r="H8" s="171" t="s">
        <v>109</v>
      </c>
      <c r="I8" s="191" t="s">
        <v>442</v>
      </c>
      <c r="J8" s="64" t="s">
        <v>1270</v>
      </c>
      <c r="K8" s="219" t="s">
        <v>1271</v>
      </c>
      <c r="L8" s="174" t="s">
        <v>302</v>
      </c>
      <c r="M8" s="140" t="str">
        <f t="shared" si="0"/>
        <v>5</v>
      </c>
    </row>
    <row r="9" spans="1:13" ht="100.15" hidden="1" customHeight="1" x14ac:dyDescent="0.25">
      <c r="B9" s="225">
        <v>7</v>
      </c>
      <c r="C9" s="123" t="s">
        <v>1254</v>
      </c>
      <c r="D9" s="144" t="str">
        <f>VLOOKUP(Descripciones[[#This Row],[CATEGORÍA]],$L$3:$M$29,2,FALSE)</f>
        <v>0</v>
      </c>
      <c r="E9" s="181">
        <v>5</v>
      </c>
      <c r="F9" s="147" t="str">
        <f>+_xlfn.CONCAT(Descripciones[[#This Row],[LÍNEA OPERATIVA]],Descripciones[[#This Row],[COD. CAT]],".",Descripciones[[#This Row],['#]])</f>
        <v>V0.5</v>
      </c>
      <c r="G9" s="123"/>
      <c r="H9" s="198" t="s">
        <v>109</v>
      </c>
      <c r="I9" s="123"/>
      <c r="J9" s="64" t="s">
        <v>191</v>
      </c>
      <c r="K9" s="175" t="s">
        <v>1272</v>
      </c>
      <c r="L9" s="174" t="s">
        <v>216</v>
      </c>
      <c r="M9" s="140">
        <v>2</v>
      </c>
    </row>
    <row r="10" spans="1:13" ht="100.15" hidden="1" customHeight="1" x14ac:dyDescent="0.25">
      <c r="B10" s="225">
        <v>8</v>
      </c>
      <c r="C10" s="141" t="s">
        <v>1254</v>
      </c>
      <c r="D10" s="144" t="str">
        <f>VLOOKUP(Descripciones[[#This Row],[CATEGORÍA]],$L$3:$M$29,2,FALSE)</f>
        <v>1</v>
      </c>
      <c r="E10" s="181">
        <v>3</v>
      </c>
      <c r="F10" s="147" t="str">
        <f>+_xlfn.CONCAT(Descripciones[[#This Row],[LÍNEA OPERATIVA]],Descripciones[[#This Row],[COD. CAT]],".",Descripciones[[#This Row],['#]])</f>
        <v>V1.3</v>
      </c>
      <c r="G10" s="123" t="s">
        <v>1273</v>
      </c>
      <c r="H10" s="198" t="s">
        <v>144</v>
      </c>
      <c r="I10" s="123" t="s">
        <v>418</v>
      </c>
      <c r="J10" s="64" t="s">
        <v>1274</v>
      </c>
      <c r="K10" s="219" t="s">
        <v>1275</v>
      </c>
      <c r="L10" s="198" t="s">
        <v>1276</v>
      </c>
      <c r="M10" s="140" t="str">
        <f t="shared" si="0"/>
        <v>6</v>
      </c>
    </row>
    <row r="11" spans="1:13" ht="100.15" hidden="1" customHeight="1" x14ac:dyDescent="0.25">
      <c r="B11" s="225">
        <v>9</v>
      </c>
      <c r="C11" s="141" t="s">
        <v>1254</v>
      </c>
      <c r="D11" s="144" t="str">
        <f>VLOOKUP(Descripciones[[#This Row],[CATEGORÍA]],$L$3:$M$29,2,FALSE)</f>
        <v>5</v>
      </c>
      <c r="E11" s="181">
        <v>1</v>
      </c>
      <c r="F11" s="147" t="str">
        <f>+_xlfn.CONCAT(Descripciones[[#This Row],[LÍNEA OPERATIVA]],Descripciones[[#This Row],[COD. CAT]],".",Descripciones[[#This Row],['#]])</f>
        <v>V5.1</v>
      </c>
      <c r="G11" s="123" t="s">
        <v>1277</v>
      </c>
      <c r="H11" s="198" t="s">
        <v>302</v>
      </c>
      <c r="I11" s="123"/>
      <c r="J11" s="221" t="s">
        <v>1278</v>
      </c>
      <c r="K11" s="258" t="s">
        <v>1279</v>
      </c>
      <c r="L11" s="174" t="s">
        <v>1231</v>
      </c>
      <c r="M11" s="140" t="str">
        <f t="shared" si="0"/>
        <v>0</v>
      </c>
    </row>
    <row r="12" spans="1:13" ht="100.15" hidden="1" customHeight="1" x14ac:dyDescent="0.25">
      <c r="B12" s="225">
        <v>10</v>
      </c>
      <c r="C12" s="141" t="s">
        <v>1254</v>
      </c>
      <c r="D12" s="144" t="str">
        <f>VLOOKUP(Descripciones[[#This Row],[CATEGORÍA]],$L$3:$M$29,2,FALSE)</f>
        <v>3</v>
      </c>
      <c r="E12" s="181">
        <v>1</v>
      </c>
      <c r="F12" s="147" t="str">
        <f>+_xlfn.CONCAT(Descripciones[[#This Row],[LÍNEA OPERATIVA]],Descripciones[[#This Row],[COD. CAT]],".",Descripciones[[#This Row],['#]])</f>
        <v>V3.1</v>
      </c>
      <c r="G12" s="123" t="s">
        <v>1280</v>
      </c>
      <c r="H12" s="198" t="s">
        <v>252</v>
      </c>
      <c r="I12" s="123"/>
      <c r="J12" s="64" t="s">
        <v>1281</v>
      </c>
      <c r="K12" s="258" t="s">
        <v>1282</v>
      </c>
      <c r="L12" s="174" t="s">
        <v>1232</v>
      </c>
      <c r="M12" s="140" t="str">
        <f t="shared" si="0"/>
        <v>1</v>
      </c>
    </row>
    <row r="13" spans="1:13" ht="100.15" hidden="1" customHeight="1" x14ac:dyDescent="0.25">
      <c r="B13" s="225">
        <v>11</v>
      </c>
      <c r="C13" s="141" t="s">
        <v>1254</v>
      </c>
      <c r="D13" s="144" t="str">
        <f>VLOOKUP(Descripciones[[#This Row],[CATEGORÍA]],$L$3:$M$29,2,FALSE)</f>
        <v>4</v>
      </c>
      <c r="E13" s="181">
        <v>1</v>
      </c>
      <c r="F13" s="147" t="str">
        <f>+_xlfn.CONCAT(Descripciones[[#This Row],[LÍNEA OPERATIVA]],Descripciones[[#This Row],[COD. CAT]],".",Descripciones[[#This Row],['#]])</f>
        <v>V4.1</v>
      </c>
      <c r="G13" s="123" t="s">
        <v>1283</v>
      </c>
      <c r="H13" s="198" t="s">
        <v>270</v>
      </c>
      <c r="I13" s="123"/>
      <c r="J13" s="220" t="s">
        <v>1284</v>
      </c>
      <c r="K13" s="258" t="s">
        <v>1285</v>
      </c>
      <c r="L13" s="174" t="s">
        <v>1233</v>
      </c>
      <c r="M13" s="140" t="str">
        <f t="shared" si="0"/>
        <v>2</v>
      </c>
    </row>
    <row r="14" spans="1:13" ht="100.15" hidden="1" customHeight="1" x14ac:dyDescent="0.25">
      <c r="B14" s="225">
        <v>12</v>
      </c>
      <c r="C14" s="141" t="s">
        <v>1254</v>
      </c>
      <c r="D14" s="144" t="str">
        <f>VLOOKUP(Descripciones[[#This Row],[CATEGORÍA]],$L$3:$M$29,2,FALSE)</f>
        <v>4</v>
      </c>
      <c r="E14" s="181">
        <v>2</v>
      </c>
      <c r="F14" s="147" t="str">
        <f>+_xlfn.CONCAT(Descripciones[[#This Row],[LÍNEA OPERATIVA]],Descripciones[[#This Row],[COD. CAT]],".",Descripciones[[#This Row],['#]])</f>
        <v>V4.2</v>
      </c>
      <c r="G14" s="123" t="s">
        <v>1286</v>
      </c>
      <c r="H14" s="198" t="s">
        <v>270</v>
      </c>
      <c r="I14" s="123"/>
      <c r="J14" s="222" t="s">
        <v>1287</v>
      </c>
      <c r="K14" s="258" t="s">
        <v>1285</v>
      </c>
      <c r="L14" s="174" t="s">
        <v>1178</v>
      </c>
      <c r="M14" s="140" t="str">
        <f t="shared" si="0"/>
        <v>3</v>
      </c>
    </row>
    <row r="15" spans="1:13" ht="100.15" hidden="1" customHeight="1" x14ac:dyDescent="0.25">
      <c r="B15" s="225">
        <v>13</v>
      </c>
      <c r="C15" s="141" t="s">
        <v>1254</v>
      </c>
      <c r="D15" s="144" t="str">
        <f>VLOOKUP(Descripciones[[#This Row],[CATEGORÍA]],$L$3:$M$29,2,FALSE)</f>
        <v>5</v>
      </c>
      <c r="E15" s="181">
        <v>2</v>
      </c>
      <c r="F15" s="147" t="str">
        <f>+_xlfn.CONCAT(Descripciones[[#This Row],[LÍNEA OPERATIVA]],Descripciones[[#This Row],[COD. CAT]],".",Descripciones[[#This Row],['#]])</f>
        <v>V5.2</v>
      </c>
      <c r="G15" s="123" t="s">
        <v>1288</v>
      </c>
      <c r="H15" s="198" t="s">
        <v>302</v>
      </c>
      <c r="I15" s="123"/>
      <c r="J15" s="220" t="s">
        <v>1289</v>
      </c>
      <c r="K15" s="258" t="s">
        <v>1290</v>
      </c>
      <c r="L15" s="174" t="s">
        <v>1235</v>
      </c>
      <c r="M15" s="140" t="str">
        <f t="shared" si="0"/>
        <v>4</v>
      </c>
    </row>
    <row r="16" spans="1:13" ht="100.15" hidden="1" customHeight="1" x14ac:dyDescent="0.25">
      <c r="B16" s="225">
        <v>14</v>
      </c>
      <c r="C16" s="141" t="s">
        <v>1254</v>
      </c>
      <c r="D16" s="144">
        <v>5</v>
      </c>
      <c r="E16" s="181">
        <v>3</v>
      </c>
      <c r="F16" s="147" t="str">
        <f>+_xlfn.CONCAT(Descripciones[[#This Row],[LÍNEA OPERATIVA]],Descripciones[[#This Row],[COD. CAT]],".",Descripciones[[#This Row],['#]])</f>
        <v>V5.3</v>
      </c>
      <c r="G16" s="123"/>
      <c r="H16" s="198" t="s">
        <v>302</v>
      </c>
      <c r="I16" s="123"/>
      <c r="J16" s="258" t="s">
        <v>1291</v>
      </c>
      <c r="K16" s="223"/>
      <c r="L16" s="174"/>
      <c r="M16" s="140"/>
    </row>
    <row r="17" spans="2:13" ht="100.15" hidden="1" customHeight="1" x14ac:dyDescent="0.25">
      <c r="B17" s="225">
        <v>15</v>
      </c>
      <c r="C17" s="141" t="s">
        <v>1254</v>
      </c>
      <c r="D17" s="144" t="str">
        <f>VLOOKUP(Descripciones[[#This Row],[CATEGORÍA]],$L$3:$M$29,2,FALSE)</f>
        <v>3</v>
      </c>
      <c r="E17" s="181">
        <v>2</v>
      </c>
      <c r="F17" s="147" t="str">
        <f>+_xlfn.CONCAT(Descripciones[[#This Row],[LÍNEA OPERATIVA]],Descripciones[[#This Row],[COD. CAT]],".",Descripciones[[#This Row],['#]])</f>
        <v>V3.2</v>
      </c>
      <c r="G17" s="123" t="s">
        <v>1292</v>
      </c>
      <c r="H17" s="198" t="s">
        <v>252</v>
      </c>
      <c r="I17" s="123"/>
      <c r="J17" s="64" t="s">
        <v>321</v>
      </c>
      <c r="K17" s="219" t="s">
        <v>1293</v>
      </c>
      <c r="L17" s="174" t="s">
        <v>1237</v>
      </c>
      <c r="M17" s="140" t="str">
        <f t="shared" si="0"/>
        <v>5</v>
      </c>
    </row>
    <row r="18" spans="2:13" ht="100.15" hidden="1" customHeight="1" x14ac:dyDescent="0.25">
      <c r="B18" s="225">
        <v>16</v>
      </c>
      <c r="C18" s="141" t="s">
        <v>1254</v>
      </c>
      <c r="D18" s="144" t="str">
        <f>VLOOKUP(Descripciones[[#This Row],[CATEGORÍA]],$L$3:$M$29,2,FALSE)</f>
        <v>2</v>
      </c>
      <c r="E18" s="181">
        <v>1</v>
      </c>
      <c r="F18" s="147" t="str">
        <f>+_xlfn.CONCAT(Descripciones[[#This Row],[LÍNEA OPERATIVA]],Descripciones[[#This Row],[COD. CAT]],".",Descripciones[[#This Row],['#]])</f>
        <v>V2.1</v>
      </c>
      <c r="G18" s="123" t="s">
        <v>1294</v>
      </c>
      <c r="H18" s="198" t="s">
        <v>216</v>
      </c>
      <c r="I18" s="123"/>
      <c r="J18" s="2" t="s">
        <v>1278</v>
      </c>
      <c r="K18" s="216" t="s">
        <v>1295</v>
      </c>
      <c r="L18" s="174" t="s">
        <v>1238</v>
      </c>
      <c r="M18" s="140" t="str">
        <f t="shared" si="0"/>
        <v>6</v>
      </c>
    </row>
    <row r="19" spans="2:13" ht="100.15" hidden="1" customHeight="1" x14ac:dyDescent="0.25">
      <c r="B19" s="225">
        <v>17</v>
      </c>
      <c r="C19" s="141" t="s">
        <v>1254</v>
      </c>
      <c r="D19" s="144" t="str">
        <f>VLOOKUP(Descripciones[[#This Row],[CATEGORÍA]],$L$3:$M$29,2,FALSE)</f>
        <v>2</v>
      </c>
      <c r="E19" s="181">
        <v>2</v>
      </c>
      <c r="F19" s="147" t="str">
        <f>+_xlfn.CONCAT(Descripciones[[#This Row],[LÍNEA OPERATIVA]],Descripciones[[#This Row],[COD. CAT]],".",Descripciones[[#This Row],['#]])</f>
        <v>V2.2</v>
      </c>
      <c r="G19" s="123"/>
      <c r="H19" s="198" t="s">
        <v>216</v>
      </c>
      <c r="I19" s="123"/>
      <c r="J19" s="217" t="s">
        <v>331</v>
      </c>
      <c r="K19" s="64" t="s">
        <v>1296</v>
      </c>
      <c r="L19" s="174" t="s">
        <v>1297</v>
      </c>
      <c r="M19" s="140" t="str">
        <f t="shared" si="0"/>
        <v>7</v>
      </c>
    </row>
    <row r="20" spans="2:13" ht="100.15" hidden="1" customHeight="1" x14ac:dyDescent="0.25">
      <c r="B20" s="225">
        <v>18</v>
      </c>
      <c r="C20" s="141" t="s">
        <v>1254</v>
      </c>
      <c r="D20" s="144" t="str">
        <f>VLOOKUP(Descripciones[[#This Row],[CATEGORÍA]],$L$3:$M$29,2,FALSE)</f>
        <v>2</v>
      </c>
      <c r="E20" s="181">
        <v>3</v>
      </c>
      <c r="F20" s="147" t="str">
        <f>+_xlfn.CONCAT(Descripciones[[#This Row],[LÍNEA OPERATIVA]],Descripciones[[#This Row],[COD. CAT]],".",Descripciones[[#This Row],['#]])</f>
        <v>V2.3</v>
      </c>
      <c r="G20" s="123"/>
      <c r="H20" s="198" t="s">
        <v>216</v>
      </c>
      <c r="I20" s="123"/>
      <c r="J20" s="217" t="s">
        <v>1298</v>
      </c>
      <c r="K20" s="218" t="s">
        <v>1299</v>
      </c>
      <c r="L20" s="174"/>
      <c r="M20" s="140"/>
    </row>
    <row r="21" spans="2:13" ht="60" hidden="1" x14ac:dyDescent="0.25">
      <c r="B21" s="225">
        <v>19</v>
      </c>
      <c r="C21" s="141" t="s">
        <v>1254</v>
      </c>
      <c r="D21" s="144">
        <v>2</v>
      </c>
      <c r="E21" s="181">
        <v>4</v>
      </c>
      <c r="F21" s="147" t="str">
        <f>+_xlfn.CONCAT(Descripciones[[#This Row],[LÍNEA OPERATIVA]],Descripciones[[#This Row],[COD. CAT]],".",Descripciones[[#This Row],['#]])</f>
        <v>V2.4</v>
      </c>
      <c r="G21" s="123"/>
      <c r="H21" s="198" t="s">
        <v>216</v>
      </c>
      <c r="I21" s="123"/>
      <c r="J21" s="217" t="s">
        <v>1300</v>
      </c>
      <c r="K21" s="223"/>
      <c r="L21" s="174"/>
      <c r="M21" s="140"/>
    </row>
    <row r="22" spans="2:13" ht="60" hidden="1" x14ac:dyDescent="0.25">
      <c r="B22" s="225"/>
      <c r="C22" s="141" t="s">
        <v>1254</v>
      </c>
      <c r="D22" s="144" t="str">
        <f>VLOOKUP(Descripciones[[#This Row],[CATEGORÍA]],$L$3:$M$29,2,FALSE)</f>
        <v>2</v>
      </c>
      <c r="E22" s="181">
        <v>5</v>
      </c>
      <c r="F22" s="147" t="str">
        <f>+_xlfn.CONCAT(Descripciones[[#This Row],[LÍNEA OPERATIVA]],Descripciones[[#This Row],[COD. CAT]],".",Descripciones[[#This Row],['#]])</f>
        <v>V2.5</v>
      </c>
      <c r="G22" s="123"/>
      <c r="H22" s="198" t="s">
        <v>216</v>
      </c>
      <c r="I22" s="123"/>
      <c r="J22" s="260" t="s">
        <v>248</v>
      </c>
      <c r="K22" s="118" t="s">
        <v>1301</v>
      </c>
      <c r="L22" s="174"/>
      <c r="M22" s="140"/>
    </row>
    <row r="23" spans="2:13" ht="60" hidden="1" x14ac:dyDescent="0.25">
      <c r="B23" s="225"/>
      <c r="C23" s="123"/>
      <c r="D23" s="144" t="e">
        <f>VLOOKUP(Descripciones[[#This Row],[CATEGORÍA]],$L$3:$M$29,2,FALSE)</f>
        <v>#N/A</v>
      </c>
      <c r="E23" s="181"/>
      <c r="F23" s="144" t="e">
        <f>+_xlfn.CONCAT(Descripciones[[#This Row],[LÍNEA OPERATIVA]],Descripciones[[#This Row],[COD. CAT]],".",Descripciones[[#This Row],['#]])</f>
        <v>#N/A</v>
      </c>
      <c r="G23" s="123"/>
      <c r="H23" s="198"/>
      <c r="I23" s="123"/>
      <c r="J23" s="64"/>
      <c r="K23" t="s">
        <v>1302</v>
      </c>
      <c r="L23" s="174"/>
      <c r="M23" s="140"/>
    </row>
    <row r="24" spans="2:13" ht="60" hidden="1" x14ac:dyDescent="0.25">
      <c r="B24" s="225"/>
      <c r="C24" s="123"/>
      <c r="D24" s="144" t="e">
        <f>VLOOKUP(Descripciones[[#This Row],[CATEGORÍA]],$L$3:$M$29,2,FALSE)</f>
        <v>#N/A</v>
      </c>
      <c r="E24" s="181"/>
      <c r="F24" s="144" t="e">
        <f>+_xlfn.CONCAT(Descripciones[[#This Row],[LÍNEA OPERATIVA]],Descripciones[[#This Row],[COD. CAT]],".",Descripciones[[#This Row],['#]])</f>
        <v>#N/A</v>
      </c>
      <c r="G24" s="123"/>
      <c r="H24" s="198"/>
      <c r="I24" s="123"/>
      <c r="J24" s="64"/>
      <c r="K24" s="223"/>
      <c r="L24" s="174"/>
      <c r="M24" s="140"/>
    </row>
    <row r="25" spans="2:13" ht="60" hidden="1" x14ac:dyDescent="0.25">
      <c r="B25" s="225"/>
      <c r="C25" s="123"/>
      <c r="D25" s="144" t="e">
        <f>VLOOKUP(Descripciones[[#This Row],[CATEGORÍA]],$L$3:$M$29,2,FALSE)</f>
        <v>#N/A</v>
      </c>
      <c r="E25" s="181"/>
      <c r="F25" s="144" t="e">
        <f>+_xlfn.CONCAT(Descripciones[[#This Row],[LÍNEA OPERATIVA]],Descripciones[[#This Row],[COD. CAT]],".",Descripciones[[#This Row],['#]])</f>
        <v>#N/A</v>
      </c>
      <c r="G25" s="123"/>
      <c r="H25" s="198"/>
      <c r="I25" s="123"/>
      <c r="J25" s="64"/>
      <c r="K25" s="223"/>
      <c r="L25" s="174"/>
      <c r="M25" s="140"/>
    </row>
    <row r="26" spans="2:13" ht="60" hidden="1" x14ac:dyDescent="0.25">
      <c r="B26" s="225"/>
      <c r="C26" s="123"/>
      <c r="D26" s="144" t="e">
        <f>VLOOKUP(Descripciones[[#This Row],[CATEGORÍA]],$L$3:$M$29,2,FALSE)</f>
        <v>#N/A</v>
      </c>
      <c r="E26" s="181"/>
      <c r="F26" s="144" t="e">
        <f>+_xlfn.CONCAT(Descripciones[[#This Row],[LÍNEA OPERATIVA]],Descripciones[[#This Row],[COD. CAT]],".",Descripciones[[#This Row],['#]])</f>
        <v>#N/A</v>
      </c>
      <c r="G26" s="123"/>
      <c r="H26" s="198"/>
      <c r="I26" s="123"/>
      <c r="J26" s="64"/>
      <c r="K26" s="223"/>
      <c r="L26" s="174"/>
      <c r="M26" s="140"/>
    </row>
    <row r="27" spans="2:13" ht="60" hidden="1" x14ac:dyDescent="0.25">
      <c r="B27" s="225"/>
      <c r="C27" s="123"/>
      <c r="D27" s="144" t="e">
        <f>VLOOKUP(Descripciones[[#This Row],[CATEGORÍA]],$L$3:$M$29,2,FALSE)</f>
        <v>#N/A</v>
      </c>
      <c r="E27" s="181"/>
      <c r="F27" s="144" t="e">
        <f>+_xlfn.CONCAT(Descripciones[[#This Row],[LÍNEA OPERATIVA]],Descripciones[[#This Row],[COD. CAT]],".",Descripciones[[#This Row],['#]])</f>
        <v>#N/A</v>
      </c>
      <c r="G27" s="123"/>
      <c r="H27" s="198"/>
      <c r="I27" s="123"/>
      <c r="J27" s="64"/>
      <c r="K27" s="223"/>
      <c r="L27" s="174"/>
      <c r="M27" s="140"/>
    </row>
    <row r="28" spans="2:13" ht="100.15" customHeight="1" x14ac:dyDescent="0.25">
      <c r="B28" s="225">
        <v>17</v>
      </c>
      <c r="C28" s="141" t="s">
        <v>1303</v>
      </c>
      <c r="D28" s="123" t="str">
        <f>VLOOKUP(Descripciones[[#This Row],[CATEGORÍA]],$L$3:$M$29,2,FALSE)</f>
        <v>1</v>
      </c>
      <c r="E28" s="199">
        <v>1</v>
      </c>
      <c r="F28" s="147" t="str">
        <f>+_xlfn.CONCAT(Descripciones[[#This Row],[LÍNEA OPERATIVA]],Descripciones[[#This Row],[COD. CAT]],".",Descripciones[[#This Row],['#]])</f>
        <v>D1.1</v>
      </c>
      <c r="G28" s="123" t="s">
        <v>1304</v>
      </c>
      <c r="H28" s="200" t="s">
        <v>1232</v>
      </c>
      <c r="I28" s="201"/>
      <c r="J28" s="202" t="s">
        <v>1305</v>
      </c>
      <c r="K28" s="203" t="s">
        <v>1306</v>
      </c>
      <c r="L28" s="174" t="s">
        <v>1240</v>
      </c>
      <c r="M28" s="140" t="str">
        <f t="shared" ref="M28:M29" si="1">MID(L28,2,1)</f>
        <v>8</v>
      </c>
    </row>
    <row r="29" spans="2:13" ht="100.15" customHeight="1" x14ac:dyDescent="0.25">
      <c r="B29" s="225">
        <v>18</v>
      </c>
      <c r="C29" s="141" t="s">
        <v>1303</v>
      </c>
      <c r="D29" s="123" t="str">
        <f>VLOOKUP(Descripciones[[#This Row],[CATEGORÍA]],$L$3:$M$29,2,FALSE)</f>
        <v>1</v>
      </c>
      <c r="E29" s="199">
        <v>2</v>
      </c>
      <c r="F29" s="147" t="str">
        <f>+_xlfn.CONCAT(Descripciones[[#This Row],[LÍNEA OPERATIVA]],Descripciones[[#This Row],[COD. CAT]],".",Descripciones[[#This Row],['#]])</f>
        <v>D1.2</v>
      </c>
      <c r="G29" s="123" t="s">
        <v>1307</v>
      </c>
      <c r="H29" s="200" t="s">
        <v>1232</v>
      </c>
      <c r="I29" s="201"/>
      <c r="J29" s="202" t="s">
        <v>1308</v>
      </c>
      <c r="K29" s="203" t="s">
        <v>1309</v>
      </c>
      <c r="L29" s="174" t="s">
        <v>1241</v>
      </c>
      <c r="M29" s="140" t="str">
        <f t="shared" si="1"/>
        <v>1</v>
      </c>
    </row>
    <row r="30" spans="2:13" ht="100.15" customHeight="1" x14ac:dyDescent="0.25">
      <c r="B30" s="225">
        <v>19</v>
      </c>
      <c r="C30" s="141" t="s">
        <v>1303</v>
      </c>
      <c r="D30" s="123" t="str">
        <f>VLOOKUP(Descripciones[[#This Row],[CATEGORÍA]],$L$3:$M$29,2,FALSE)</f>
        <v>1</v>
      </c>
      <c r="E30" s="199">
        <v>3</v>
      </c>
      <c r="F30" s="147" t="str">
        <f>+_xlfn.CONCAT(Descripciones[[#This Row],[LÍNEA OPERATIVA]],Descripciones[[#This Row],[COD. CAT]],".",Descripciones[[#This Row],['#]])</f>
        <v>D1.3</v>
      </c>
      <c r="G30" s="123" t="s">
        <v>1310</v>
      </c>
      <c r="H30" s="200" t="s">
        <v>1232</v>
      </c>
      <c r="I30" s="201"/>
      <c r="J30" s="202" t="s">
        <v>727</v>
      </c>
      <c r="K30" s="203" t="s">
        <v>1311</v>
      </c>
      <c r="L30" s="175"/>
    </row>
    <row r="31" spans="2:13" ht="100.15" customHeight="1" x14ac:dyDescent="0.25">
      <c r="B31" s="225">
        <v>20</v>
      </c>
      <c r="C31" s="141" t="s">
        <v>1303</v>
      </c>
      <c r="D31" s="123" t="str">
        <f>VLOOKUP(Descripciones[[#This Row],[CATEGORÍA]],$L$3:$M$29,2,FALSE)</f>
        <v>1</v>
      </c>
      <c r="E31" s="199">
        <v>4</v>
      </c>
      <c r="F31" s="147" t="str">
        <f>+_xlfn.CONCAT(Descripciones[[#This Row],[LÍNEA OPERATIVA]],Descripciones[[#This Row],[COD. CAT]],".",Descripciones[[#This Row],['#]])</f>
        <v>D1.4</v>
      </c>
      <c r="G31" s="123" t="s">
        <v>1312</v>
      </c>
      <c r="H31" s="200" t="s">
        <v>1232</v>
      </c>
      <c r="I31" s="201"/>
      <c r="J31" s="202" t="s">
        <v>754</v>
      </c>
      <c r="K31" s="203" t="s">
        <v>1313</v>
      </c>
      <c r="L31" s="175"/>
    </row>
    <row r="32" spans="2:13" ht="100.15" customHeight="1" x14ac:dyDescent="0.25">
      <c r="B32" s="225">
        <v>21</v>
      </c>
      <c r="C32" s="141" t="s">
        <v>1303</v>
      </c>
      <c r="D32" s="123" t="str">
        <f>VLOOKUP(Descripciones[[#This Row],[CATEGORÍA]],$L$3:$M$29,2,FALSE)</f>
        <v>1</v>
      </c>
      <c r="E32" s="199">
        <v>5</v>
      </c>
      <c r="F32" s="147" t="str">
        <f>+_xlfn.CONCAT(Descripciones[[#This Row],[LÍNEA OPERATIVA]],Descripciones[[#This Row],[COD. CAT]],".",Descripciones[[#This Row],['#]])</f>
        <v>D1.5</v>
      </c>
      <c r="G32" s="123" t="s">
        <v>1314</v>
      </c>
      <c r="H32" s="200" t="s">
        <v>1232</v>
      </c>
      <c r="I32" s="201"/>
      <c r="J32" s="202" t="s">
        <v>1315</v>
      </c>
      <c r="K32" s="203" t="s">
        <v>1316</v>
      </c>
      <c r="L32" s="175"/>
    </row>
    <row r="33" spans="2:13" ht="100.15" customHeight="1" x14ac:dyDescent="0.25">
      <c r="B33" s="225">
        <v>22</v>
      </c>
      <c r="C33" s="141" t="s">
        <v>1303</v>
      </c>
      <c r="D33" s="123" t="str">
        <f>VLOOKUP(Descripciones[[#This Row],[CATEGORÍA]],$L$3:$M$29,2,FALSE)</f>
        <v>1</v>
      </c>
      <c r="E33" s="199">
        <v>6</v>
      </c>
      <c r="F33" s="147" t="str">
        <f>+_xlfn.CONCAT(Descripciones[[#This Row],[LÍNEA OPERATIVA]],Descripciones[[#This Row],[COD. CAT]],".",Descripciones[[#This Row],['#]])</f>
        <v>D1.6</v>
      </c>
      <c r="G33" s="123" t="s">
        <v>1317</v>
      </c>
      <c r="H33" s="200" t="s">
        <v>1232</v>
      </c>
      <c r="I33" s="201"/>
      <c r="J33" s="202" t="s">
        <v>791</v>
      </c>
      <c r="K33" s="203" t="s">
        <v>1318</v>
      </c>
      <c r="L33" s="175"/>
    </row>
    <row r="34" spans="2:13" ht="100.15" customHeight="1" x14ac:dyDescent="0.25">
      <c r="B34" s="225">
        <v>23</v>
      </c>
      <c r="C34" s="141" t="s">
        <v>1303</v>
      </c>
      <c r="D34" s="123" t="str">
        <f>VLOOKUP(Descripciones[[#This Row],[CATEGORÍA]],$L$3:$M$29,2,FALSE)</f>
        <v>1</v>
      </c>
      <c r="E34" s="199">
        <v>7</v>
      </c>
      <c r="F34" s="147" t="str">
        <f>+_xlfn.CONCAT(Descripciones[[#This Row],[LÍNEA OPERATIVA]],Descripciones[[#This Row],[COD. CAT]],".",Descripciones[[#This Row],['#]])</f>
        <v>D1.7</v>
      </c>
      <c r="G34" s="123" t="s">
        <v>1319</v>
      </c>
      <c r="H34" s="200" t="s">
        <v>1232</v>
      </c>
      <c r="I34" s="201"/>
      <c r="J34" s="202" t="s">
        <v>805</v>
      </c>
      <c r="K34" s="203" t="s">
        <v>1320</v>
      </c>
      <c r="L34" s="175"/>
    </row>
    <row r="35" spans="2:13" ht="100.15" customHeight="1" x14ac:dyDescent="0.25">
      <c r="B35" s="225">
        <v>24</v>
      </c>
      <c r="C35" s="141" t="s">
        <v>1303</v>
      </c>
      <c r="D35" s="123" t="str">
        <f>VLOOKUP(Descripciones[[#This Row],[CATEGORÍA]],$L$3:$M$29,2,FALSE)</f>
        <v>1</v>
      </c>
      <c r="E35" s="199">
        <v>8</v>
      </c>
      <c r="F35" s="147" t="str">
        <f>+_xlfn.CONCAT(Descripciones[[#This Row],[LÍNEA OPERATIVA]],Descripciones[[#This Row],[COD. CAT]],".",Descripciones[[#This Row],['#]])</f>
        <v>D1.8</v>
      </c>
      <c r="G35" s="123" t="s">
        <v>1321</v>
      </c>
      <c r="H35" s="200" t="s">
        <v>1232</v>
      </c>
      <c r="I35" s="201"/>
      <c r="J35" s="202" t="s">
        <v>1322</v>
      </c>
      <c r="K35" s="203" t="s">
        <v>1323</v>
      </c>
      <c r="L35" s="175"/>
    </row>
    <row r="36" spans="2:13" ht="100.15" customHeight="1" x14ac:dyDescent="0.25">
      <c r="B36" s="225">
        <v>25</v>
      </c>
      <c r="C36" s="141" t="s">
        <v>1303</v>
      </c>
      <c r="D36" s="123" t="str">
        <f>VLOOKUP(Descripciones[[#This Row],[CATEGORÍA]],$L$3:$M$29,2,FALSE)</f>
        <v>1</v>
      </c>
      <c r="E36" s="199">
        <v>9</v>
      </c>
      <c r="F36" s="147" t="str">
        <f>+_xlfn.CONCAT(Descripciones[[#This Row],[LÍNEA OPERATIVA]],Descripciones[[#This Row],[COD. CAT]],".",Descripciones[[#This Row],['#]])</f>
        <v>D1.9</v>
      </c>
      <c r="G36" s="123" t="s">
        <v>1324</v>
      </c>
      <c r="H36" s="200" t="s">
        <v>1232</v>
      </c>
      <c r="I36" s="201"/>
      <c r="J36" s="202" t="s">
        <v>853</v>
      </c>
      <c r="K36" s="203" t="s">
        <v>1325</v>
      </c>
      <c r="L36" s="175"/>
    </row>
    <row r="37" spans="2:13" ht="100.15" customHeight="1" x14ac:dyDescent="0.25">
      <c r="B37" s="225">
        <v>26</v>
      </c>
      <c r="C37" s="141" t="s">
        <v>1303</v>
      </c>
      <c r="D37" s="123" t="str">
        <f>VLOOKUP(Descripciones[[#This Row],[CATEGORÍA]],$L$3:$M$29,2,FALSE)</f>
        <v>1</v>
      </c>
      <c r="E37" s="199">
        <v>10</v>
      </c>
      <c r="F37" s="147" t="str">
        <f>+_xlfn.CONCAT(Descripciones[[#This Row],[LÍNEA OPERATIVA]],Descripciones[[#This Row],[COD. CAT]],".",Descripciones[[#This Row],['#]])</f>
        <v>D1.10</v>
      </c>
      <c r="G37" s="123" t="s">
        <v>1326</v>
      </c>
      <c r="H37" s="200" t="s">
        <v>1232</v>
      </c>
      <c r="I37" s="201"/>
      <c r="J37" s="202" t="s">
        <v>444</v>
      </c>
      <c r="K37" s="203" t="s">
        <v>1327</v>
      </c>
      <c r="L37" s="175"/>
    </row>
    <row r="38" spans="2:13" ht="100.15" customHeight="1" x14ac:dyDescent="0.25">
      <c r="B38" s="225">
        <v>27</v>
      </c>
      <c r="C38" s="150" t="s">
        <v>1303</v>
      </c>
      <c r="D38" s="123" t="str">
        <f>VLOOKUP(Descripciones[[#This Row],[CATEGORÍA]],$L$3:$M$29,2,FALSE)</f>
        <v>1</v>
      </c>
      <c r="E38" s="199">
        <v>11</v>
      </c>
      <c r="F38" s="147" t="str">
        <f>+_xlfn.CONCAT(Descripciones[[#This Row],[LÍNEA OPERATIVA]],Descripciones[[#This Row],[COD. CAT]],".",Descripciones[[#This Row],['#]])</f>
        <v>D1.11</v>
      </c>
      <c r="G38" s="149" t="s">
        <v>1328</v>
      </c>
      <c r="H38" s="200" t="s">
        <v>1232</v>
      </c>
      <c r="I38" s="201"/>
      <c r="J38" s="202" t="s">
        <v>1329</v>
      </c>
      <c r="K38" s="203" t="s">
        <v>1330</v>
      </c>
      <c r="L38" s="175"/>
    </row>
    <row r="39" spans="2:13" ht="100.15" customHeight="1" x14ac:dyDescent="0.25">
      <c r="B39" s="225">
        <v>28</v>
      </c>
      <c r="C39" s="141" t="s">
        <v>1303</v>
      </c>
      <c r="D39" s="123" t="str">
        <f>VLOOKUP(Descripciones[[#This Row],[CATEGORÍA]],$L$3:$M$29,2,FALSE)</f>
        <v>1</v>
      </c>
      <c r="E39" s="199">
        <v>12</v>
      </c>
      <c r="F39" s="147" t="str">
        <f>+_xlfn.CONCAT(Descripciones[[#This Row],[LÍNEA OPERATIVA]],Descripciones[[#This Row],[COD. CAT]],".",Descripciones[[#This Row],['#]])</f>
        <v>D1.12</v>
      </c>
      <c r="G39" s="123" t="s">
        <v>1331</v>
      </c>
      <c r="H39" s="200" t="s">
        <v>1232</v>
      </c>
      <c r="I39" s="201"/>
      <c r="J39" s="202" t="s">
        <v>498</v>
      </c>
      <c r="K39" s="203" t="s">
        <v>1332</v>
      </c>
      <c r="L39" s="175"/>
    </row>
    <row r="40" spans="2:13" ht="100.15" customHeight="1" x14ac:dyDescent="0.25">
      <c r="B40" s="225">
        <v>29</v>
      </c>
      <c r="C40" s="141" t="s">
        <v>1303</v>
      </c>
      <c r="D40" s="123" t="str">
        <f>VLOOKUP(Descripciones[[#This Row],[CATEGORÍA]],$L$3:$M$29,2,FALSE)</f>
        <v>1</v>
      </c>
      <c r="E40" s="199">
        <v>13</v>
      </c>
      <c r="F40" s="147" t="str">
        <f>+_xlfn.CONCAT(Descripciones[[#This Row],[LÍNEA OPERATIVA]],Descripciones[[#This Row],[COD. CAT]],".",Descripciones[[#This Row],['#]])</f>
        <v>D1.13</v>
      </c>
      <c r="G40" s="123" t="s">
        <v>1333</v>
      </c>
      <c r="H40" s="200" t="s">
        <v>1232</v>
      </c>
      <c r="I40" s="201"/>
      <c r="J40" s="202" t="s">
        <v>1334</v>
      </c>
      <c r="K40" s="203" t="s">
        <v>1335</v>
      </c>
      <c r="L40" s="175"/>
    </row>
    <row r="41" spans="2:13" ht="100.15" customHeight="1" x14ac:dyDescent="0.25">
      <c r="B41" s="225">
        <v>30</v>
      </c>
      <c r="C41" s="150" t="s">
        <v>1303</v>
      </c>
      <c r="D41" s="123" t="str">
        <f>VLOOKUP(Descripciones[[#This Row],[CATEGORÍA]],$L$3:$M$29,2,FALSE)</f>
        <v>1</v>
      </c>
      <c r="E41" s="199">
        <v>14</v>
      </c>
      <c r="F41" s="147" t="str">
        <f>+_xlfn.CONCAT(Descripciones[[#This Row],[LÍNEA OPERATIVA]],Descripciones[[#This Row],[COD. CAT]],".",Descripciones[[#This Row],['#]])</f>
        <v>D1.14</v>
      </c>
      <c r="G41" s="149" t="s">
        <v>1336</v>
      </c>
      <c r="H41" s="200" t="s">
        <v>1232</v>
      </c>
      <c r="I41" s="201"/>
      <c r="J41" s="202" t="s">
        <v>1337</v>
      </c>
      <c r="K41" s="203" t="s">
        <v>1338</v>
      </c>
      <c r="L41" s="175"/>
    </row>
    <row r="42" spans="2:13" ht="100.15" customHeight="1" x14ac:dyDescent="0.25">
      <c r="B42" s="225">
        <v>31</v>
      </c>
      <c r="C42" s="141" t="s">
        <v>1303</v>
      </c>
      <c r="D42" s="123" t="str">
        <f>VLOOKUP(Descripciones[[#This Row],[CATEGORÍA]],$L$3:$M$29,2,FALSE)</f>
        <v>1</v>
      </c>
      <c r="E42" s="199">
        <v>15</v>
      </c>
      <c r="F42" s="147" t="str">
        <f>+_xlfn.CONCAT(Descripciones[[#This Row],[LÍNEA OPERATIVA]],Descripciones[[#This Row],[COD. CAT]],".",Descripciones[[#This Row],['#]])</f>
        <v>D1.15</v>
      </c>
      <c r="G42" s="123" t="s">
        <v>1339</v>
      </c>
      <c r="H42" s="200" t="s">
        <v>1232</v>
      </c>
      <c r="I42" s="201"/>
      <c r="J42" s="202" t="s">
        <v>1340</v>
      </c>
      <c r="K42" s="203" t="s">
        <v>1341</v>
      </c>
      <c r="L42" s="175"/>
    </row>
    <row r="43" spans="2:13" ht="100.15" customHeight="1" x14ac:dyDescent="0.25">
      <c r="B43" s="225">
        <v>32</v>
      </c>
      <c r="C43" s="141" t="s">
        <v>1303</v>
      </c>
      <c r="D43" s="123" t="str">
        <f>VLOOKUP(Descripciones[[#This Row],[CATEGORÍA]],$L$3:$M$29,2,FALSE)</f>
        <v>1</v>
      </c>
      <c r="E43" s="199">
        <v>16</v>
      </c>
      <c r="F43" s="147" t="str">
        <f>+_xlfn.CONCAT(Descripciones[[#This Row],[LÍNEA OPERATIVA]],Descripciones[[#This Row],[COD. CAT]],".",Descripciones[[#This Row],['#]])</f>
        <v>D1.16</v>
      </c>
      <c r="G43" s="123" t="s">
        <v>1342</v>
      </c>
      <c r="H43" s="200" t="s">
        <v>1232</v>
      </c>
      <c r="I43" s="201"/>
      <c r="J43" s="202" t="s">
        <v>535</v>
      </c>
      <c r="K43" s="203" t="s">
        <v>1343</v>
      </c>
      <c r="L43" s="175"/>
    </row>
    <row r="44" spans="2:13" ht="100.15" customHeight="1" x14ac:dyDescent="0.25">
      <c r="B44" s="225">
        <v>33</v>
      </c>
      <c r="C44" s="141" t="s">
        <v>1303</v>
      </c>
      <c r="D44" s="123" t="str">
        <f>VLOOKUP(Descripciones[[#This Row],[CATEGORÍA]],$L$3:$M$29,2,FALSE)</f>
        <v>1</v>
      </c>
      <c r="E44" s="199">
        <v>17</v>
      </c>
      <c r="F44" s="147" t="str">
        <f>+_xlfn.CONCAT(Descripciones[[#This Row],[LÍNEA OPERATIVA]],Descripciones[[#This Row],[COD. CAT]],".",Descripciones[[#This Row],['#]])</f>
        <v>D1.17</v>
      </c>
      <c r="G44" s="123" t="s">
        <v>1344</v>
      </c>
      <c r="H44" s="200" t="s">
        <v>1232</v>
      </c>
      <c r="I44" s="201"/>
      <c r="J44" s="202" t="s">
        <v>551</v>
      </c>
      <c r="K44" s="203" t="s">
        <v>1345</v>
      </c>
      <c r="L44" s="175"/>
    </row>
    <row r="45" spans="2:13" s="151" customFormat="1" ht="100.15" customHeight="1" x14ac:dyDescent="0.25">
      <c r="B45" s="225">
        <v>34</v>
      </c>
      <c r="C45" s="141" t="s">
        <v>1303</v>
      </c>
      <c r="D45" s="123" t="str">
        <f>VLOOKUP(Descripciones[[#This Row],[CATEGORÍA]],$L$3:$M$29,2,FALSE)</f>
        <v>1</v>
      </c>
      <c r="E45" s="199">
        <v>18</v>
      </c>
      <c r="F45" s="152" t="str">
        <f>+_xlfn.CONCAT(Descripciones[[#This Row],[LÍNEA OPERATIVA]],Descripciones[[#This Row],[COD. CAT]],".",Descripciones[[#This Row],['#]])</f>
        <v>D1.18</v>
      </c>
      <c r="G45" s="123" t="s">
        <v>1346</v>
      </c>
      <c r="H45" s="200" t="s">
        <v>1232</v>
      </c>
      <c r="I45" s="201"/>
      <c r="J45" s="202" t="s">
        <v>564</v>
      </c>
      <c r="K45" s="203" t="s">
        <v>1347</v>
      </c>
      <c r="L45" s="175"/>
      <c r="M45" s="25"/>
    </row>
    <row r="46" spans="2:13" ht="100.15" customHeight="1" x14ac:dyDescent="0.25">
      <c r="B46" s="225">
        <v>35</v>
      </c>
      <c r="C46" s="141" t="s">
        <v>1303</v>
      </c>
      <c r="D46" s="123" t="str">
        <f>VLOOKUP(Descripciones[[#This Row],[CATEGORÍA]],$L$3:$M$29,2,FALSE)</f>
        <v>1</v>
      </c>
      <c r="E46" s="199">
        <v>19</v>
      </c>
      <c r="F46" s="147" t="str">
        <f>+_xlfn.CONCAT(Descripciones[[#This Row],[LÍNEA OPERATIVA]],Descripciones[[#This Row],[COD. CAT]],".",Descripciones[[#This Row],['#]])</f>
        <v>D1.19</v>
      </c>
      <c r="G46" s="123" t="s">
        <v>1348</v>
      </c>
      <c r="H46" s="200" t="s">
        <v>1232</v>
      </c>
      <c r="I46" s="201"/>
      <c r="J46" s="202" t="s">
        <v>918</v>
      </c>
      <c r="K46" s="203" t="s">
        <v>1349</v>
      </c>
      <c r="L46" s="186"/>
      <c r="M46" s="151"/>
    </row>
    <row r="47" spans="2:13" ht="100.15" customHeight="1" x14ac:dyDescent="0.25">
      <c r="B47" s="225">
        <v>36</v>
      </c>
      <c r="C47" s="141" t="s">
        <v>1303</v>
      </c>
      <c r="D47" s="123" t="str">
        <f>VLOOKUP(Descripciones[[#This Row],[CATEGORÍA]],$L$3:$M$29,2,FALSE)</f>
        <v>1</v>
      </c>
      <c r="E47" s="199">
        <v>20</v>
      </c>
      <c r="F47" s="147" t="str">
        <f>+_xlfn.CONCAT(Descripciones[[#This Row],[LÍNEA OPERATIVA]],Descripciones[[#This Row],[COD. CAT]],".",Descripciones[[#This Row],['#]])</f>
        <v>D1.20</v>
      </c>
      <c r="G47" s="123" t="s">
        <v>1350</v>
      </c>
      <c r="H47" s="200" t="s">
        <v>1232</v>
      </c>
      <c r="I47" s="201"/>
      <c r="J47" s="202" t="s">
        <v>659</v>
      </c>
      <c r="K47" s="203" t="s">
        <v>1351</v>
      </c>
      <c r="L47" s="175"/>
    </row>
    <row r="48" spans="2:13" s="151" customFormat="1" ht="100.15" customHeight="1" x14ac:dyDescent="0.25">
      <c r="B48" s="225">
        <v>37</v>
      </c>
      <c r="C48" s="141" t="s">
        <v>1303</v>
      </c>
      <c r="D48" s="123" t="str">
        <f>VLOOKUP(Descripciones[[#This Row],[CATEGORÍA]],$L$3:$M$29,2,FALSE)</f>
        <v>1</v>
      </c>
      <c r="E48" s="199">
        <v>21</v>
      </c>
      <c r="F48" s="147" t="str">
        <f>+_xlfn.CONCAT(Descripciones[[#This Row],[LÍNEA OPERATIVA]],Descripciones[[#This Row],[COD. CAT]],".",Descripciones[[#This Row],['#]])</f>
        <v>D1.21</v>
      </c>
      <c r="G48" s="123" t="s">
        <v>1352</v>
      </c>
      <c r="H48" s="200" t="s">
        <v>1232</v>
      </c>
      <c r="I48" s="201"/>
      <c r="J48" s="202" t="s">
        <v>667</v>
      </c>
      <c r="K48" s="203" t="s">
        <v>1353</v>
      </c>
      <c r="L48" s="175"/>
      <c r="M48" s="25"/>
    </row>
    <row r="49" spans="2:13" ht="100.15" customHeight="1" x14ac:dyDescent="0.25">
      <c r="B49" s="225">
        <v>38</v>
      </c>
      <c r="C49" s="141" t="s">
        <v>1303</v>
      </c>
      <c r="D49" s="123" t="str">
        <f>VLOOKUP(Descripciones[[#This Row],[CATEGORÍA]],$L$3:$M$29,2,FALSE)</f>
        <v>1</v>
      </c>
      <c r="E49" s="199">
        <v>22</v>
      </c>
      <c r="F49" s="147" t="str">
        <f>+_xlfn.CONCAT(Descripciones[[#This Row],[LÍNEA OPERATIVA]],Descripciones[[#This Row],[COD. CAT]],".",Descripciones[[#This Row],['#]])</f>
        <v>D1.22</v>
      </c>
      <c r="G49" s="123" t="s">
        <v>1354</v>
      </c>
      <c r="H49" s="200" t="s">
        <v>1232</v>
      </c>
      <c r="I49" s="201"/>
      <c r="J49" s="202" t="s">
        <v>673</v>
      </c>
      <c r="K49" s="203" t="s">
        <v>1355</v>
      </c>
      <c r="L49" s="186"/>
      <c r="M49" s="151"/>
    </row>
    <row r="50" spans="2:13" ht="100.15" customHeight="1" x14ac:dyDescent="0.25">
      <c r="B50" s="225">
        <v>39</v>
      </c>
      <c r="C50" s="141" t="s">
        <v>1303</v>
      </c>
      <c r="D50" s="123" t="str">
        <f>VLOOKUP(Descripciones[[#This Row],[CATEGORÍA]],$L$3:$M$29,2,FALSE)</f>
        <v>1</v>
      </c>
      <c r="E50" s="199">
        <v>23</v>
      </c>
      <c r="F50" s="147" t="str">
        <f>+_xlfn.CONCAT(Descripciones[[#This Row],[LÍNEA OPERATIVA]],Descripciones[[#This Row],[COD. CAT]],".",Descripciones[[#This Row],['#]])</f>
        <v>D1.23</v>
      </c>
      <c r="G50" s="123" t="s">
        <v>1356</v>
      </c>
      <c r="H50" s="200" t="s">
        <v>1232</v>
      </c>
      <c r="I50" s="201"/>
      <c r="J50" s="202" t="s">
        <v>689</v>
      </c>
      <c r="K50" s="203" t="s">
        <v>1357</v>
      </c>
      <c r="L50" s="175"/>
    </row>
    <row r="51" spans="2:13" ht="100.15" customHeight="1" thickBot="1" x14ac:dyDescent="0.3">
      <c r="B51" s="225">
        <v>40</v>
      </c>
      <c r="C51" s="141" t="s">
        <v>1303</v>
      </c>
      <c r="D51" s="123" t="str">
        <f>VLOOKUP(Descripciones[[#This Row],[CATEGORÍA]],$L$3:$M$29,2,FALSE)</f>
        <v>1</v>
      </c>
      <c r="E51" s="199">
        <v>24</v>
      </c>
      <c r="F51" s="147" t="str">
        <f>+_xlfn.CONCAT(Descripciones[[#This Row],[LÍNEA OPERATIVA]],Descripciones[[#This Row],[COD. CAT]],".",Descripciones[[#This Row],['#]])</f>
        <v>D1.24</v>
      </c>
      <c r="G51" s="123" t="s">
        <v>1358</v>
      </c>
      <c r="H51" s="200" t="s">
        <v>1232</v>
      </c>
      <c r="I51" s="201"/>
      <c r="J51" s="202" t="s">
        <v>710</v>
      </c>
      <c r="K51" s="203" t="s">
        <v>1359</v>
      </c>
      <c r="L51" s="175"/>
    </row>
    <row r="52" spans="2:13" ht="100.15" customHeight="1" x14ac:dyDescent="0.25">
      <c r="B52" s="225">
        <v>41</v>
      </c>
      <c r="C52" s="141" t="s">
        <v>1303</v>
      </c>
      <c r="D52" s="123">
        <v>1</v>
      </c>
      <c r="E52" s="199">
        <v>25</v>
      </c>
      <c r="F52" s="147" t="str">
        <f>+_xlfn.CONCAT(Descripciones[[#This Row],[LÍNEA OPERATIVA]],Descripciones[[#This Row],[COD. CAT]],".",Descripciones[[#This Row],['#]])</f>
        <v>D1.25</v>
      </c>
      <c r="G52" s="123"/>
      <c r="H52" s="254" t="s">
        <v>1232</v>
      </c>
      <c r="I52" s="201"/>
      <c r="J52" s="202" t="s">
        <v>1360</v>
      </c>
      <c r="K52" s="203"/>
      <c r="L52" s="175"/>
    </row>
    <row r="53" spans="2:13" ht="100.15" customHeight="1" x14ac:dyDescent="0.25">
      <c r="B53" s="225">
        <v>42</v>
      </c>
      <c r="C53" s="141" t="s">
        <v>1303</v>
      </c>
      <c r="D53" s="123">
        <v>1</v>
      </c>
      <c r="E53" s="199">
        <v>26</v>
      </c>
      <c r="F53" s="147" t="str">
        <f>+_xlfn.CONCAT(Descripciones[[#This Row],[LÍNEA OPERATIVA]],Descripciones[[#This Row],[COD. CAT]],".",Descripciones[[#This Row],['#]])</f>
        <v>D1.26</v>
      </c>
      <c r="G53" s="123"/>
      <c r="H53" s="254" t="s">
        <v>1232</v>
      </c>
      <c r="I53" s="201"/>
      <c r="J53" s="202" t="s">
        <v>1361</v>
      </c>
      <c r="K53" s="203"/>
      <c r="L53" s="175"/>
    </row>
    <row r="54" spans="2:13" ht="100.15" customHeight="1" thickBot="1" x14ac:dyDescent="0.3">
      <c r="B54" s="225">
        <v>41</v>
      </c>
      <c r="C54" s="150" t="s">
        <v>1303</v>
      </c>
      <c r="D54" s="123" t="str">
        <f>VLOOKUP(Descripciones[[#This Row],[CATEGORÍA]],$L$3:$M$29,2,FALSE)</f>
        <v>3</v>
      </c>
      <c r="E54" s="199">
        <v>1</v>
      </c>
      <c r="F54" s="177" t="str">
        <f>+_xlfn.CONCAT(Descripciones[[#This Row],[LÍNEA OPERATIVA]],Descripciones[[#This Row],[COD. CAT]],".",Descripciones[[#This Row],['#]])</f>
        <v>D3.1</v>
      </c>
      <c r="G54" s="149" t="s">
        <v>1362</v>
      </c>
      <c r="H54" s="200" t="s">
        <v>1178</v>
      </c>
      <c r="I54" s="201"/>
      <c r="J54" s="202" t="s">
        <v>390</v>
      </c>
      <c r="K54" s="203" t="s">
        <v>1363</v>
      </c>
      <c r="L54" s="175"/>
    </row>
    <row r="55" spans="2:13" ht="100.15" customHeight="1" thickBot="1" x14ac:dyDescent="0.3">
      <c r="B55" s="225">
        <v>42</v>
      </c>
      <c r="C55" s="150" t="s">
        <v>1303</v>
      </c>
      <c r="D55" s="123" t="str">
        <f>VLOOKUP(Descripciones[[#This Row],[CATEGORÍA]],$L$3:$M$29,2,FALSE)</f>
        <v>3</v>
      </c>
      <c r="E55" s="199">
        <v>2</v>
      </c>
      <c r="F55" s="177" t="str">
        <f>+_xlfn.CONCAT(Descripciones[[#This Row],[LÍNEA OPERATIVA]],Descripciones[[#This Row],[COD. CAT]],".",Descripciones[[#This Row],['#]])</f>
        <v>D3.2</v>
      </c>
      <c r="G55" s="149"/>
      <c r="H55" s="200" t="s">
        <v>1178</v>
      </c>
      <c r="I55" s="201"/>
      <c r="J55" s="202" t="s">
        <v>1364</v>
      </c>
      <c r="K55" s="203" t="s">
        <v>1365</v>
      </c>
      <c r="L55" s="175"/>
    </row>
    <row r="56" spans="2:13" ht="100.15" customHeight="1" thickBot="1" x14ac:dyDescent="0.3">
      <c r="B56" s="225">
        <v>43</v>
      </c>
      <c r="C56" s="150" t="s">
        <v>1303</v>
      </c>
      <c r="D56" s="123" t="str">
        <f>VLOOKUP(Descripciones[[#This Row],[CATEGORÍA]],$L$3:$M$29,2,FALSE)</f>
        <v>3</v>
      </c>
      <c r="E56" s="199">
        <v>3</v>
      </c>
      <c r="F56" s="177" t="str">
        <f>+_xlfn.CONCAT(Descripciones[[#This Row],[LÍNEA OPERATIVA]],Descripciones[[#This Row],[COD. CAT]],".",Descripciones[[#This Row],['#]])</f>
        <v>D3.3</v>
      </c>
      <c r="G56" s="149"/>
      <c r="H56" s="200" t="s">
        <v>1178</v>
      </c>
      <c r="I56" s="201"/>
      <c r="J56" s="202" t="s">
        <v>1366</v>
      </c>
      <c r="K56" s="203" t="s">
        <v>1367</v>
      </c>
      <c r="L56" s="175"/>
    </row>
    <row r="57" spans="2:13" ht="100.15" customHeight="1" x14ac:dyDescent="0.25">
      <c r="B57" s="225">
        <v>44</v>
      </c>
      <c r="C57" s="150" t="s">
        <v>1303</v>
      </c>
      <c r="D57" s="123" t="str">
        <f>VLOOKUP(Descripciones[[#This Row],[CATEGORÍA]],$L$3:$M$29,2,FALSE)</f>
        <v>3</v>
      </c>
      <c r="E57" s="199">
        <v>4</v>
      </c>
      <c r="F57" s="177" t="str">
        <f>+_xlfn.CONCAT(Descripciones[[#This Row],[LÍNEA OPERATIVA]],Descripciones[[#This Row],[COD. CAT]],".",Descripciones[[#This Row],['#]])</f>
        <v>D3.4</v>
      </c>
      <c r="G57" s="149"/>
      <c r="H57" s="200" t="s">
        <v>1178</v>
      </c>
      <c r="I57" s="201"/>
      <c r="J57" s="202" t="s">
        <v>1368</v>
      </c>
      <c r="K57" s="203" t="s">
        <v>1369</v>
      </c>
      <c r="L57" s="175"/>
    </row>
    <row r="58" spans="2:13" ht="100.15" customHeight="1" x14ac:dyDescent="0.25">
      <c r="B58" s="225">
        <v>45</v>
      </c>
      <c r="C58" s="150" t="s">
        <v>1303</v>
      </c>
      <c r="D58" s="123" t="str">
        <f>VLOOKUP(Descripciones[[#This Row],[CATEGORÍA]],$L$3:$M$29,2,FALSE)</f>
        <v>3</v>
      </c>
      <c r="E58" s="199">
        <v>5</v>
      </c>
      <c r="F58" s="178" t="str">
        <f>+_xlfn.CONCAT(Descripciones[[#This Row],[LÍNEA OPERATIVA]],Descripciones[[#This Row],[COD. CAT]],".",Descripciones[[#This Row],['#]])</f>
        <v>D3.5</v>
      </c>
      <c r="G58" s="149"/>
      <c r="H58" s="200" t="s">
        <v>1178</v>
      </c>
      <c r="I58" s="201"/>
      <c r="J58" s="202" t="s">
        <v>1370</v>
      </c>
      <c r="K58" s="203" t="s">
        <v>1371</v>
      </c>
      <c r="L58" s="175"/>
    </row>
    <row r="59" spans="2:13" ht="100.15" customHeight="1" x14ac:dyDescent="0.25">
      <c r="B59" s="225">
        <v>46</v>
      </c>
      <c r="C59" s="150" t="s">
        <v>1303</v>
      </c>
      <c r="D59" s="123" t="str">
        <f>VLOOKUP(Descripciones[[#This Row],[CATEGORÍA]],$L$3:$M$29,2,FALSE)</f>
        <v>3</v>
      </c>
      <c r="E59" s="199">
        <v>6</v>
      </c>
      <c r="F59" s="178" t="str">
        <f>+_xlfn.CONCAT(Descripciones[[#This Row],[LÍNEA OPERATIVA]],Descripciones[[#This Row],[COD. CAT]],".",Descripciones[[#This Row],['#]])</f>
        <v>D3.6</v>
      </c>
      <c r="G59" s="123" t="s">
        <v>1372</v>
      </c>
      <c r="H59" s="200" t="s">
        <v>1178</v>
      </c>
      <c r="I59" s="201"/>
      <c r="J59" s="202" t="s">
        <v>960</v>
      </c>
      <c r="K59" s="203" t="s">
        <v>1373</v>
      </c>
      <c r="L59" s="175"/>
    </row>
    <row r="60" spans="2:13" ht="100.15" customHeight="1" x14ac:dyDescent="0.25">
      <c r="B60" s="225">
        <v>47</v>
      </c>
      <c r="C60" s="150" t="s">
        <v>1303</v>
      </c>
      <c r="D60" s="123" t="str">
        <f>VLOOKUP(Descripciones[[#This Row],[CATEGORÍA]],$L$3:$M$29,2,FALSE)</f>
        <v>3</v>
      </c>
      <c r="E60" s="199">
        <v>7</v>
      </c>
      <c r="F60" s="178" t="str">
        <f>+_xlfn.CONCAT(Descripciones[[#This Row],[LÍNEA OPERATIVA]],Descripciones[[#This Row],[COD. CAT]],".",Descripciones[[#This Row],['#]])</f>
        <v>D3.7</v>
      </c>
      <c r="G60" s="123"/>
      <c r="H60" s="200" t="s">
        <v>1178</v>
      </c>
      <c r="I60" s="201"/>
      <c r="J60" s="202" t="s">
        <v>1374</v>
      </c>
      <c r="K60" s="204" t="s">
        <v>1375</v>
      </c>
      <c r="L60" s="175"/>
    </row>
    <row r="61" spans="2:13" ht="100.15" customHeight="1" x14ac:dyDescent="0.25">
      <c r="B61" s="225">
        <v>48</v>
      </c>
      <c r="C61" s="150" t="s">
        <v>1303</v>
      </c>
      <c r="D61" s="123" t="str">
        <f>VLOOKUP(Descripciones[[#This Row],[CATEGORÍA]],$L$3:$M$29,2,FALSE)</f>
        <v>3</v>
      </c>
      <c r="E61" s="199">
        <v>8</v>
      </c>
      <c r="F61" s="178" t="str">
        <f>+_xlfn.CONCAT(Descripciones[[#This Row],[LÍNEA OPERATIVA]],Descripciones[[#This Row],[COD. CAT]],".",Descripciones[[#This Row],['#]])</f>
        <v>D3.8</v>
      </c>
      <c r="G61" s="123"/>
      <c r="H61" s="200" t="s">
        <v>1178</v>
      </c>
      <c r="I61" s="201"/>
      <c r="J61" s="202" t="s">
        <v>1376</v>
      </c>
      <c r="K61" s="203" t="s">
        <v>1377</v>
      </c>
      <c r="L61" s="175"/>
    </row>
    <row r="62" spans="2:13" ht="100.15" customHeight="1" thickBot="1" x14ac:dyDescent="0.3">
      <c r="B62" s="225">
        <v>49</v>
      </c>
      <c r="C62" s="150" t="s">
        <v>1303</v>
      </c>
      <c r="D62" s="123" t="str">
        <f>VLOOKUP(Descripciones[[#This Row],[CATEGORÍA]],$L$3:$M$29,2,FALSE)</f>
        <v>3</v>
      </c>
      <c r="E62" s="199">
        <v>9</v>
      </c>
      <c r="F62" s="179" t="str">
        <f>+_xlfn.CONCAT(Descripciones[[#This Row],[LÍNEA OPERATIVA]],Descripciones[[#This Row],[COD. CAT]],".",Descripciones[[#This Row],['#]])</f>
        <v>D3.9</v>
      </c>
      <c r="G62" s="123"/>
      <c r="H62" s="200" t="s">
        <v>1178</v>
      </c>
      <c r="I62" s="201"/>
      <c r="J62" s="202" t="s">
        <v>1378</v>
      </c>
      <c r="K62" s="203" t="s">
        <v>1379</v>
      </c>
      <c r="L62" s="175"/>
    </row>
    <row r="63" spans="2:13" ht="100.15" customHeight="1" x14ac:dyDescent="0.25">
      <c r="B63" s="225">
        <v>50</v>
      </c>
      <c r="C63" s="141" t="s">
        <v>1303</v>
      </c>
      <c r="D63" s="123" t="str">
        <f>VLOOKUP(Descripciones[[#This Row],[CATEGORÍA]],$L$3:$M$29,2,FALSE)</f>
        <v>0</v>
      </c>
      <c r="E63" s="199">
        <v>1</v>
      </c>
      <c r="F63" s="147" t="str">
        <f>+_xlfn.CONCAT(Descripciones[[#This Row],[LÍNEA OPERATIVA]],Descripciones[[#This Row],[COD. CAT]],".",Descripciones[[#This Row],['#]])</f>
        <v>D0.1</v>
      </c>
      <c r="G63" s="123" t="s">
        <v>1380</v>
      </c>
      <c r="H63" s="200" t="s">
        <v>1231</v>
      </c>
      <c r="I63" s="201"/>
      <c r="J63" s="202" t="s">
        <v>390</v>
      </c>
      <c r="K63" s="203" t="s">
        <v>1381</v>
      </c>
      <c r="L63" s="175"/>
    </row>
    <row r="64" spans="2:13" s="151" customFormat="1" ht="100.15" customHeight="1" x14ac:dyDescent="0.25">
      <c r="B64" s="225">
        <v>51</v>
      </c>
      <c r="C64" s="141" t="s">
        <v>1303</v>
      </c>
      <c r="D64" s="123" t="str">
        <f>VLOOKUP(Descripciones[[#This Row],[CATEGORÍA]],$L$3:$M$29,2,FALSE)</f>
        <v>0</v>
      </c>
      <c r="E64" s="199">
        <v>2</v>
      </c>
      <c r="F64" s="152" t="str">
        <f>+_xlfn.CONCAT(Descripciones[[#This Row],[LÍNEA OPERATIVA]],Descripciones[[#This Row],[COD. CAT]],".",Descripciones[[#This Row],['#]])</f>
        <v>D0.2</v>
      </c>
      <c r="G64" s="123" t="s">
        <v>1382</v>
      </c>
      <c r="H64" s="200" t="s">
        <v>1231</v>
      </c>
      <c r="I64" s="201"/>
      <c r="J64" s="202" t="s">
        <v>1049</v>
      </c>
      <c r="K64" s="203" t="s">
        <v>1383</v>
      </c>
      <c r="L64" s="175"/>
      <c r="M64" s="25"/>
    </row>
    <row r="65" spans="2:13" s="151" customFormat="1" ht="100.15" customHeight="1" x14ac:dyDescent="0.25">
      <c r="B65" s="225">
        <v>52</v>
      </c>
      <c r="C65" s="141" t="s">
        <v>1303</v>
      </c>
      <c r="D65" s="123" t="str">
        <f>VLOOKUP(Descripciones[[#This Row],[CATEGORÍA]],$L$3:$M$29,2,FALSE)</f>
        <v>0</v>
      </c>
      <c r="E65" s="199">
        <v>3</v>
      </c>
      <c r="F65" s="152" t="str">
        <f>+_xlfn.CONCAT(Descripciones[[#This Row],[LÍNEA OPERATIVA]],Descripciones[[#This Row],[COD. CAT]],".",Descripciones[[#This Row],['#]])</f>
        <v>D0.3</v>
      </c>
      <c r="G65" s="123" t="s">
        <v>1384</v>
      </c>
      <c r="H65" s="200" t="s">
        <v>1231</v>
      </c>
      <c r="I65" s="201"/>
      <c r="J65" s="202" t="s">
        <v>1080</v>
      </c>
      <c r="K65" s="203" t="s">
        <v>1385</v>
      </c>
      <c r="L65" s="186"/>
    </row>
    <row r="66" spans="2:13" s="151" customFormat="1" ht="100.15" customHeight="1" x14ac:dyDescent="0.25">
      <c r="B66" s="225">
        <v>53</v>
      </c>
      <c r="C66" s="141" t="s">
        <v>1303</v>
      </c>
      <c r="D66" s="123" t="str">
        <f>VLOOKUP(Descripciones[[#This Row],[CATEGORÍA]],$L$3:$M$29,2,FALSE)</f>
        <v>0</v>
      </c>
      <c r="E66" s="199">
        <v>4</v>
      </c>
      <c r="F66" s="154" t="str">
        <f>+_xlfn.CONCAT(Descripciones[[#This Row],[LÍNEA OPERATIVA]],Descripciones[[#This Row],[COD. CAT]],".",Descripciones[[#This Row],['#]])</f>
        <v>D0.4</v>
      </c>
      <c r="G66" s="123" t="s">
        <v>1386</v>
      </c>
      <c r="H66" s="200" t="s">
        <v>1231</v>
      </c>
      <c r="I66" s="201"/>
      <c r="J66" s="202" t="s">
        <v>1026</v>
      </c>
      <c r="K66" s="203" t="s">
        <v>1387</v>
      </c>
      <c r="L66" s="186"/>
    </row>
    <row r="67" spans="2:13" s="151" customFormat="1" ht="100.15" customHeight="1" x14ac:dyDescent="0.25">
      <c r="B67" s="225">
        <v>54</v>
      </c>
      <c r="C67" s="141" t="s">
        <v>1303</v>
      </c>
      <c r="D67" s="123" t="str">
        <f>VLOOKUP(Descripciones[[#This Row],[CATEGORÍA]],$L$3:$M$29,2,FALSE)</f>
        <v>6</v>
      </c>
      <c r="E67" s="199">
        <v>1</v>
      </c>
      <c r="F67" s="147" t="str">
        <f>+_xlfn.CONCAT(Descripciones[[#This Row],[LÍNEA OPERATIVA]],Descripciones[[#This Row],[COD. CAT]],".",Descripciones[[#This Row],['#]])</f>
        <v>D6.1</v>
      </c>
      <c r="G67" s="123" t="s">
        <v>1388</v>
      </c>
      <c r="H67" s="200" t="s">
        <v>1238</v>
      </c>
      <c r="I67" s="201"/>
      <c r="J67" s="202" t="s">
        <v>1105</v>
      </c>
      <c r="K67" s="203" t="s">
        <v>1389</v>
      </c>
      <c r="L67" s="186"/>
    </row>
    <row r="68" spans="2:13" ht="100.15" customHeight="1" x14ac:dyDescent="0.25">
      <c r="B68" s="225">
        <v>55</v>
      </c>
      <c r="C68" s="141" t="s">
        <v>1303</v>
      </c>
      <c r="D68" s="123" t="str">
        <f>VLOOKUP(Descripciones[[#This Row],[CATEGORÍA]],$L$3:$M$29,2,FALSE)</f>
        <v>6</v>
      </c>
      <c r="E68" s="199">
        <v>2</v>
      </c>
      <c r="F68" s="147" t="str">
        <f>+_xlfn.CONCAT(Descripciones[[#This Row],[LÍNEA OPERATIVA]],Descripciones[[#This Row],[COD. CAT]],".",Descripciones[[#This Row],['#]])</f>
        <v>D6.2</v>
      </c>
      <c r="G68" s="123" t="s">
        <v>1390</v>
      </c>
      <c r="H68" s="200" t="s">
        <v>1238</v>
      </c>
      <c r="I68" s="201"/>
      <c r="J68" s="202" t="s">
        <v>1140</v>
      </c>
      <c r="K68" s="203" t="s">
        <v>1391</v>
      </c>
      <c r="L68" s="186"/>
      <c r="M68" s="151"/>
    </row>
    <row r="69" spans="2:13" ht="100.15" customHeight="1" x14ac:dyDescent="0.25">
      <c r="B69" s="225">
        <v>56</v>
      </c>
      <c r="C69" s="141" t="s">
        <v>1303</v>
      </c>
      <c r="D69" s="123" t="str">
        <f>VLOOKUP(Descripciones[[#This Row],[CATEGORÍA]],$L$3:$M$29,2,FALSE)</f>
        <v>6</v>
      </c>
      <c r="E69" s="199">
        <v>3</v>
      </c>
      <c r="F69" s="147" t="str">
        <f>+_xlfn.CONCAT(Descripciones[[#This Row],[LÍNEA OPERATIVA]],Descripciones[[#This Row],[COD. CAT]],".",Descripciones[[#This Row],['#]])</f>
        <v>D6.3</v>
      </c>
      <c r="G69" s="123"/>
      <c r="H69" s="200" t="s">
        <v>1238</v>
      </c>
      <c r="I69" s="201"/>
      <c r="J69" s="202" t="s">
        <v>1392</v>
      </c>
      <c r="K69" s="203" t="s">
        <v>1393</v>
      </c>
      <c r="L69" s="175"/>
    </row>
    <row r="70" spans="2:13" ht="100.15" customHeight="1" x14ac:dyDescent="0.25">
      <c r="B70" s="225">
        <v>57</v>
      </c>
      <c r="C70" s="141" t="s">
        <v>1303</v>
      </c>
      <c r="D70" s="123" t="str">
        <f>VLOOKUP(Descripciones[[#This Row],[CATEGORÍA]],$L$3:$M$29,2,FALSE)</f>
        <v>6</v>
      </c>
      <c r="E70" s="199">
        <v>4</v>
      </c>
      <c r="F70" s="147" t="str">
        <f>+_xlfn.CONCAT(Descripciones[[#This Row],[LÍNEA OPERATIVA]],Descripciones[[#This Row],[COD. CAT]],".",Descripciones[[#This Row],['#]])</f>
        <v>D6.4</v>
      </c>
      <c r="G70" s="123"/>
      <c r="H70" s="200" t="s">
        <v>1238</v>
      </c>
      <c r="I70" s="201"/>
      <c r="J70" s="202" t="s">
        <v>1394</v>
      </c>
      <c r="K70" s="203" t="s">
        <v>1395</v>
      </c>
      <c r="L70" s="175"/>
    </row>
    <row r="71" spans="2:13" ht="100.15" customHeight="1" x14ac:dyDescent="0.25">
      <c r="B71" s="225">
        <v>58</v>
      </c>
      <c r="C71" s="141" t="s">
        <v>1303</v>
      </c>
      <c r="D71" s="123" t="str">
        <f>VLOOKUP(Descripciones[[#This Row],[CATEGORÍA]],$L$3:$M$29,2,FALSE)</f>
        <v>6</v>
      </c>
      <c r="E71" s="199">
        <v>5</v>
      </c>
      <c r="F71" s="147" t="str">
        <f>+_xlfn.CONCAT(Descripciones[[#This Row],[LÍNEA OPERATIVA]],Descripciones[[#This Row],[COD. CAT]],".",Descripciones[[#This Row],['#]])</f>
        <v>D6.5</v>
      </c>
      <c r="G71" s="123"/>
      <c r="H71" s="200" t="s">
        <v>1238</v>
      </c>
      <c r="I71" s="201"/>
      <c r="J71" s="202" t="s">
        <v>1171</v>
      </c>
      <c r="K71" s="205" t="s">
        <v>1396</v>
      </c>
      <c r="L71" s="175"/>
    </row>
    <row r="72" spans="2:13" ht="100.15" customHeight="1" x14ac:dyDescent="0.25">
      <c r="B72" s="225">
        <v>59</v>
      </c>
      <c r="C72" s="141" t="s">
        <v>1303</v>
      </c>
      <c r="D72" s="123" t="str">
        <f>VLOOKUP(Descripciones[[#This Row],[CATEGORÍA]],$L$3:$M$29,2,FALSE)</f>
        <v>4</v>
      </c>
      <c r="E72" s="199">
        <v>1</v>
      </c>
      <c r="F72" s="147" t="str">
        <f>+_xlfn.CONCAT(Descripciones[[#This Row],[LÍNEA OPERATIVA]],Descripciones[[#This Row],[COD. CAT]],".",Descripciones[[#This Row],['#]])</f>
        <v>D4.1</v>
      </c>
      <c r="G72" s="123"/>
      <c r="H72" s="200" t="s">
        <v>1235</v>
      </c>
      <c r="I72" s="201"/>
      <c r="J72" s="202" t="s">
        <v>974</v>
      </c>
      <c r="K72" s="203"/>
      <c r="L72" s="175"/>
    </row>
    <row r="73" spans="2:13" ht="100.15" customHeight="1" x14ac:dyDescent="0.25">
      <c r="B73" s="225">
        <v>60</v>
      </c>
      <c r="C73" s="141" t="s">
        <v>1303</v>
      </c>
      <c r="D73" s="123" t="str">
        <f>VLOOKUP(Descripciones[[#This Row],[CATEGORÍA]],$L$3:$M$29,2,FALSE)</f>
        <v>4</v>
      </c>
      <c r="E73" s="199">
        <v>2</v>
      </c>
      <c r="F73" s="147" t="str">
        <f>+_xlfn.CONCAT(Descripciones[[#This Row],[LÍNEA OPERATIVA]],Descripciones[[#This Row],[COD. CAT]],".",Descripciones[[#This Row],['#]])</f>
        <v>D4.2</v>
      </c>
      <c r="G73" s="123"/>
      <c r="H73" s="200" t="s">
        <v>1235</v>
      </c>
      <c r="I73" s="201"/>
      <c r="J73" s="202" t="s">
        <v>1397</v>
      </c>
      <c r="K73" s="203"/>
      <c r="L73" s="175"/>
    </row>
    <row r="74" spans="2:13" ht="100.15" customHeight="1" x14ac:dyDescent="0.25">
      <c r="B74" s="225">
        <v>61</v>
      </c>
      <c r="C74" s="141" t="s">
        <v>1303</v>
      </c>
      <c r="D74" s="123" t="str">
        <f>VLOOKUP(Descripciones[[#This Row],[CATEGORÍA]],$L$3:$M$29,2,FALSE)</f>
        <v>4</v>
      </c>
      <c r="E74" s="199">
        <v>3</v>
      </c>
      <c r="F74" s="147" t="str">
        <f>+_xlfn.CONCAT(Descripciones[[#This Row],[LÍNEA OPERATIVA]],Descripciones[[#This Row],[COD. CAT]],".",Descripciones[[#This Row],['#]])</f>
        <v>D4.3</v>
      </c>
      <c r="G74" s="123"/>
      <c r="H74" s="200" t="s">
        <v>1235</v>
      </c>
      <c r="I74" s="201"/>
      <c r="J74" s="202" t="s">
        <v>1398</v>
      </c>
      <c r="K74" s="203"/>
      <c r="L74" s="175"/>
    </row>
    <row r="75" spans="2:13" ht="100.15" customHeight="1" x14ac:dyDescent="0.25">
      <c r="B75" s="225">
        <v>62</v>
      </c>
      <c r="C75" s="141" t="s">
        <v>1303</v>
      </c>
      <c r="D75" s="123" t="str">
        <f>VLOOKUP(Descripciones[[#This Row],[CATEGORÍA]],$L$3:$M$29,2,FALSE)</f>
        <v>2</v>
      </c>
      <c r="E75" s="199">
        <v>1</v>
      </c>
      <c r="F75" s="147" t="str">
        <f>+_xlfn.CONCAT(Descripciones[[#This Row],[LÍNEA OPERATIVA]],Descripciones[[#This Row],[COD. CAT]],".",Descripciones[[#This Row],['#]])</f>
        <v>D2.1</v>
      </c>
      <c r="G75" s="123"/>
      <c r="H75" s="200" t="s">
        <v>1233</v>
      </c>
      <c r="I75" s="201" t="s">
        <v>418</v>
      </c>
      <c r="J75" s="202" t="s">
        <v>1399</v>
      </c>
      <c r="K75" s="203"/>
      <c r="L75" s="175"/>
    </row>
    <row r="76" spans="2:13" ht="100.15" customHeight="1" x14ac:dyDescent="0.25">
      <c r="B76" s="225">
        <v>63</v>
      </c>
      <c r="C76" s="141" t="s">
        <v>1303</v>
      </c>
      <c r="D76" s="123" t="str">
        <f>VLOOKUP(Descripciones[[#This Row],[CATEGORÍA]],$L$3:$M$29,2,FALSE)</f>
        <v>2</v>
      </c>
      <c r="E76" s="199">
        <v>2</v>
      </c>
      <c r="F76" s="147" t="str">
        <f>+_xlfn.CONCAT(Descripciones[[#This Row],[LÍNEA OPERATIVA]],Descripciones[[#This Row],[COD. CAT]],".",Descripciones[[#This Row],['#]])</f>
        <v>D2.2</v>
      </c>
      <c r="G76" s="123"/>
      <c r="H76" s="200" t="s">
        <v>1233</v>
      </c>
      <c r="I76" s="201" t="s">
        <v>418</v>
      </c>
      <c r="J76" s="202" t="s">
        <v>906</v>
      </c>
      <c r="K76" s="203"/>
      <c r="L76" s="175"/>
    </row>
    <row r="77" spans="2:13" ht="100.15" customHeight="1" x14ac:dyDescent="0.25">
      <c r="B77" s="225">
        <v>64</v>
      </c>
      <c r="C77" s="141" t="s">
        <v>1303</v>
      </c>
      <c r="D77" s="123" t="str">
        <f>VLOOKUP(Descripciones[[#This Row],[CATEGORÍA]],$L$3:$M$29,2,FALSE)</f>
        <v>2</v>
      </c>
      <c r="E77" s="199">
        <v>3</v>
      </c>
      <c r="F77" s="147" t="str">
        <f>+_xlfn.CONCAT(Descripciones[[#This Row],[LÍNEA OPERATIVA]],Descripciones[[#This Row],[COD. CAT]],".",Descripciones[[#This Row],['#]])</f>
        <v>D2.3</v>
      </c>
      <c r="G77" s="123"/>
      <c r="H77" s="200" t="s">
        <v>1233</v>
      </c>
      <c r="I77" s="201" t="s">
        <v>442</v>
      </c>
      <c r="J77" s="202" t="s">
        <v>1400</v>
      </c>
      <c r="K77" s="203"/>
      <c r="L77" s="175"/>
    </row>
    <row r="78" spans="2:13" ht="100.15" customHeight="1" x14ac:dyDescent="0.25">
      <c r="B78" s="225">
        <v>65</v>
      </c>
      <c r="C78" s="141" t="s">
        <v>1303</v>
      </c>
      <c r="D78" s="123" t="str">
        <f>VLOOKUP(Descripciones[[#This Row],[CATEGORÍA]],$L$3:$M$29,2,FALSE)</f>
        <v>2</v>
      </c>
      <c r="E78" s="199">
        <v>4</v>
      </c>
      <c r="F78" s="147" t="str">
        <f>+_xlfn.CONCAT(Descripciones[[#This Row],[LÍNEA OPERATIVA]],Descripciones[[#This Row],[COD. CAT]],".",Descripciones[[#This Row],['#]])</f>
        <v>D2.4</v>
      </c>
      <c r="G78" s="123"/>
      <c r="H78" s="200" t="s">
        <v>1233</v>
      </c>
      <c r="I78" s="201" t="s">
        <v>442</v>
      </c>
      <c r="J78" s="202" t="s">
        <v>906</v>
      </c>
      <c r="K78" s="203"/>
      <c r="L78" s="175"/>
    </row>
    <row r="79" spans="2:13" ht="100.15" customHeight="1" x14ac:dyDescent="0.25">
      <c r="B79" s="225">
        <v>66</v>
      </c>
      <c r="C79" s="141" t="s">
        <v>1303</v>
      </c>
      <c r="D79" s="123" t="str">
        <f>VLOOKUP(Descripciones[[#This Row],[CATEGORÍA]],$L$3:$M$29,2,FALSE)</f>
        <v>2</v>
      </c>
      <c r="E79" s="199">
        <v>5</v>
      </c>
      <c r="F79" s="147" t="str">
        <f>+_xlfn.CONCAT(Descripciones[[#This Row],[LÍNEA OPERATIVA]],Descripciones[[#This Row],[COD. CAT]],".",Descripciones[[#This Row],['#]])</f>
        <v>D2.5</v>
      </c>
      <c r="G79" s="123"/>
      <c r="H79" s="200" t="s">
        <v>1233</v>
      </c>
      <c r="I79" s="201" t="s">
        <v>442</v>
      </c>
      <c r="J79" s="206" t="s">
        <v>915</v>
      </c>
      <c r="K79" s="203"/>
      <c r="L79" s="175"/>
    </row>
    <row r="80" spans="2:13" ht="100.15" customHeight="1" x14ac:dyDescent="0.25">
      <c r="B80" s="225">
        <v>67</v>
      </c>
      <c r="C80" s="141" t="s">
        <v>1303</v>
      </c>
      <c r="D80" s="123" t="str">
        <f>VLOOKUP(Descripciones[[#This Row],[CATEGORÍA]],$L$3:$M$29,2,FALSE)</f>
        <v>2</v>
      </c>
      <c r="E80" s="199">
        <v>6</v>
      </c>
      <c r="F80" s="147" t="str">
        <f>+_xlfn.CONCAT(Descripciones[[#This Row],[LÍNEA OPERATIVA]],Descripciones[[#This Row],[COD. CAT]],".",Descripciones[[#This Row],['#]])</f>
        <v>D2.6</v>
      </c>
      <c r="G80" s="123"/>
      <c r="H80" s="200" t="s">
        <v>1233</v>
      </c>
      <c r="I80" s="201" t="s">
        <v>493</v>
      </c>
      <c r="J80" s="202" t="s">
        <v>1400</v>
      </c>
      <c r="K80" s="203"/>
      <c r="L80" s="175"/>
    </row>
    <row r="81" spans="2:18" ht="100.15" customHeight="1" x14ac:dyDescent="0.25">
      <c r="B81" s="225">
        <v>68</v>
      </c>
      <c r="C81" s="141" t="s">
        <v>1303</v>
      </c>
      <c r="D81" s="123" t="str">
        <f>VLOOKUP(Descripciones[[#This Row],[CATEGORÍA]],$L$3:$M$29,2,FALSE)</f>
        <v>2</v>
      </c>
      <c r="E81" s="199">
        <v>7</v>
      </c>
      <c r="F81" s="147" t="str">
        <f>+_xlfn.CONCAT(Descripciones[[#This Row],[LÍNEA OPERATIVA]],Descripciones[[#This Row],[COD. CAT]],".",Descripciones[[#This Row],['#]])</f>
        <v>D2.7</v>
      </c>
      <c r="G81" s="123"/>
      <c r="H81" s="200" t="s">
        <v>1233</v>
      </c>
      <c r="I81" s="201" t="s">
        <v>493</v>
      </c>
      <c r="J81" s="202" t="s">
        <v>906</v>
      </c>
      <c r="K81" s="203"/>
      <c r="L81" s="175"/>
    </row>
    <row r="82" spans="2:18" ht="100.15" customHeight="1" x14ac:dyDescent="0.25">
      <c r="B82" s="225">
        <v>69</v>
      </c>
      <c r="C82" s="141" t="s">
        <v>1303</v>
      </c>
      <c r="D82" s="123" t="str">
        <f>VLOOKUP(Descripciones[[#This Row],[CATEGORÍA]],$L$3:$M$29,2,FALSE)</f>
        <v>2</v>
      </c>
      <c r="E82" s="199">
        <v>8</v>
      </c>
      <c r="F82" s="147" t="str">
        <f>+_xlfn.CONCAT(Descripciones[[#This Row],[LÍNEA OPERATIVA]],Descripciones[[#This Row],[COD. CAT]],".",Descripciones[[#This Row],['#]])</f>
        <v>D2.8</v>
      </c>
      <c r="G82" s="123"/>
      <c r="H82" s="200" t="s">
        <v>1233</v>
      </c>
      <c r="I82" s="201" t="s">
        <v>493</v>
      </c>
      <c r="J82" s="206" t="s">
        <v>1401</v>
      </c>
      <c r="K82" s="203"/>
      <c r="L82" s="175"/>
    </row>
    <row r="83" spans="2:18" ht="100.15" customHeight="1" x14ac:dyDescent="0.25">
      <c r="B83" s="225">
        <v>70</v>
      </c>
      <c r="C83" s="141" t="s">
        <v>1303</v>
      </c>
      <c r="D83" s="123" t="str">
        <f>VLOOKUP(Descripciones[[#This Row],[CATEGORÍA]],$L$3:$M$29,2,FALSE)</f>
        <v>0</v>
      </c>
      <c r="E83" s="199">
        <v>5</v>
      </c>
      <c r="F83" s="154" t="str">
        <f>+_xlfn.CONCAT(Descripciones[[#This Row],[LÍNEA OPERATIVA]],Descripciones[[#This Row],[COD. CAT]],".",Descripciones[[#This Row],['#]])</f>
        <v>D0.5</v>
      </c>
      <c r="G83" s="123"/>
      <c r="H83" s="200" t="s">
        <v>1231</v>
      </c>
      <c r="I83" s="201"/>
      <c r="J83" s="202" t="s">
        <v>1402</v>
      </c>
      <c r="K83" s="203" t="s">
        <v>1403</v>
      </c>
      <c r="L83" s="175"/>
    </row>
    <row r="84" spans="2:18" ht="100.15" customHeight="1" x14ac:dyDescent="0.25">
      <c r="B84" s="225">
        <v>71</v>
      </c>
      <c r="C84" s="141" t="s">
        <v>1303</v>
      </c>
      <c r="D84" s="123" t="str">
        <f>VLOOKUP(Descripciones[[#This Row],[CATEGORÍA]],$L$3:$M$29,2,FALSE)</f>
        <v>3</v>
      </c>
      <c r="E84" s="199">
        <v>10</v>
      </c>
      <c r="F84" s="154" t="str">
        <f>+_xlfn.CONCAT(Descripciones[[#This Row],[LÍNEA OPERATIVA]],Descripciones[[#This Row],[COD. CAT]],".",Descripciones[[#This Row],['#]])</f>
        <v>D3.10</v>
      </c>
      <c r="G84" s="200"/>
      <c r="H84" s="200" t="s">
        <v>1178</v>
      </c>
      <c r="I84" s="201" t="s">
        <v>418</v>
      </c>
      <c r="J84" s="202" t="s">
        <v>1404</v>
      </c>
      <c r="K84" s="203"/>
      <c r="L84" s="123"/>
      <c r="M84" s="199"/>
      <c r="N84" s="154"/>
      <c r="O84" s="200"/>
      <c r="P84" s="201"/>
      <c r="Q84" s="202"/>
      <c r="R84" s="203"/>
    </row>
    <row r="85" spans="2:18" ht="100.15" customHeight="1" x14ac:dyDescent="0.25">
      <c r="B85" s="225">
        <v>72</v>
      </c>
      <c r="C85" s="141" t="s">
        <v>1303</v>
      </c>
      <c r="D85" s="123">
        <v>3</v>
      </c>
      <c r="E85" s="199">
        <v>11</v>
      </c>
      <c r="F85" s="154" t="str">
        <f>+_xlfn.CONCAT(Descripciones[[#This Row],[LÍNEA OPERATIVA]],Descripciones[[#This Row],[COD. CAT]],".",Descripciones[[#This Row],['#]])</f>
        <v>D3.11</v>
      </c>
      <c r="G85" s="200"/>
      <c r="H85" s="200" t="s">
        <v>1178</v>
      </c>
      <c r="I85" s="201" t="s">
        <v>418</v>
      </c>
      <c r="J85" s="202" t="s">
        <v>1405</v>
      </c>
      <c r="K85" s="203"/>
      <c r="L85" s="123"/>
      <c r="M85" s="199"/>
      <c r="N85" s="147"/>
      <c r="O85" s="200"/>
      <c r="P85" s="201"/>
      <c r="Q85" s="202"/>
      <c r="R85" s="203"/>
    </row>
    <row r="86" spans="2:18" ht="100.15" customHeight="1" x14ac:dyDescent="0.25">
      <c r="B86" s="225">
        <v>73</v>
      </c>
      <c r="C86" s="141" t="s">
        <v>1303</v>
      </c>
      <c r="D86" s="123">
        <v>6</v>
      </c>
      <c r="E86" s="199">
        <v>6</v>
      </c>
      <c r="F86" s="154" t="str">
        <f>+_xlfn.CONCAT(Descripciones[[#This Row],[LÍNEA OPERATIVA]],Descripciones[[#This Row],[COD. CAT]],".",Descripciones[[#This Row],['#]])</f>
        <v>D6.6</v>
      </c>
      <c r="G86" s="201"/>
      <c r="H86" s="200" t="s">
        <v>1238</v>
      </c>
      <c r="I86" s="201" t="s">
        <v>418</v>
      </c>
      <c r="J86" s="202" t="s">
        <v>1406</v>
      </c>
      <c r="K86" s="203"/>
      <c r="L86" s="123"/>
      <c r="M86" s="199"/>
      <c r="N86" s="147"/>
      <c r="O86" s="200"/>
      <c r="P86" s="201"/>
      <c r="Q86" s="202"/>
      <c r="R86" s="203"/>
    </row>
    <row r="87" spans="2:18" ht="100.15" customHeight="1" x14ac:dyDescent="0.25">
      <c r="B87" s="225">
        <v>74</v>
      </c>
      <c r="C87" s="141" t="s">
        <v>1303</v>
      </c>
      <c r="D87" s="123">
        <v>6</v>
      </c>
      <c r="E87" s="199">
        <v>7</v>
      </c>
      <c r="F87" s="154" t="str">
        <f>+_xlfn.CONCAT(Descripciones[[#This Row],[LÍNEA OPERATIVA]],Descripciones[[#This Row],[COD. CAT]],".",Descripciones[[#This Row],['#]])</f>
        <v>D6.7</v>
      </c>
      <c r="G87" s="201"/>
      <c r="H87" s="200" t="s">
        <v>1238</v>
      </c>
      <c r="I87" s="201" t="s">
        <v>418</v>
      </c>
      <c r="J87" s="202" t="s">
        <v>1407</v>
      </c>
      <c r="K87" s="203"/>
      <c r="L87" s="123"/>
      <c r="M87" s="199"/>
      <c r="N87" s="147"/>
      <c r="O87" s="200"/>
      <c r="P87" s="201"/>
      <c r="Q87" s="202"/>
      <c r="R87" s="203"/>
    </row>
    <row r="88" spans="2:18" ht="100.15" customHeight="1" x14ac:dyDescent="0.25">
      <c r="B88" s="225">
        <v>75</v>
      </c>
      <c r="C88" s="141" t="s">
        <v>1303</v>
      </c>
      <c r="D88" s="123">
        <v>7</v>
      </c>
      <c r="E88" s="199">
        <v>1</v>
      </c>
      <c r="F88" s="154" t="s">
        <v>927</v>
      </c>
      <c r="G88" s="201"/>
      <c r="H88" s="200" t="s">
        <v>1239</v>
      </c>
      <c r="I88" s="201" t="s">
        <v>418</v>
      </c>
      <c r="J88" s="202"/>
      <c r="K88" s="203"/>
      <c r="L88" s="123"/>
      <c r="M88" s="199"/>
      <c r="N88" s="147"/>
      <c r="O88" s="200"/>
      <c r="P88" s="201"/>
      <c r="Q88" s="202"/>
      <c r="R88" s="203"/>
    </row>
    <row r="89" spans="2:18" ht="1.5" customHeight="1" x14ac:dyDescent="0.25">
      <c r="B89" s="225"/>
      <c r="C89" s="141" t="s">
        <v>1303</v>
      </c>
      <c r="D89" s="123">
        <v>7</v>
      </c>
      <c r="E89" s="199">
        <v>2</v>
      </c>
      <c r="F89" s="154" t="str">
        <f>+_xlfn.CONCAT(Descripciones[[#This Row],[LÍNEA OPERATIVA]],Descripciones[[#This Row],[COD. CAT]],".",Descripciones[[#This Row],['#]])</f>
        <v>D7.2</v>
      </c>
      <c r="G89" s="201"/>
      <c r="H89" s="200" t="s">
        <v>1239</v>
      </c>
      <c r="I89" s="201" t="s">
        <v>418</v>
      </c>
      <c r="J89" s="202"/>
      <c r="K89" s="203"/>
      <c r="L89" s="123"/>
      <c r="M89" s="199"/>
      <c r="N89" s="147"/>
      <c r="O89" s="200"/>
      <c r="P89" s="201"/>
      <c r="Q89" s="202"/>
      <c r="R89" s="203"/>
    </row>
    <row r="90" spans="2:18" ht="100.15" hidden="1" customHeight="1" x14ac:dyDescent="0.25">
      <c r="B90" s="225">
        <v>20</v>
      </c>
      <c r="C90" s="141" t="s">
        <v>1254</v>
      </c>
      <c r="D90" s="144" t="str">
        <f>VLOOKUP(Descripciones[[#This Row],[CATEGORÍA]],$L$3:$M$29,2,FALSE)</f>
        <v>6</v>
      </c>
      <c r="E90" s="181">
        <v>3</v>
      </c>
      <c r="F90" s="147" t="str">
        <f>+_xlfn.CONCAT(Descripciones[[#This Row],[LÍNEA OPERATIVA]],Descripciones[[#This Row],[COD. CAT]],".",Descripciones[[#This Row],['#]])</f>
        <v>V6.3</v>
      </c>
      <c r="G90" s="123"/>
      <c r="H90" s="198" t="s">
        <v>1276</v>
      </c>
      <c r="I90" s="123"/>
      <c r="J90" s="64" t="s">
        <v>1408</v>
      </c>
      <c r="K90" s="223" t="s">
        <v>1409</v>
      </c>
      <c r="L90" s="175"/>
    </row>
    <row r="91" spans="2:18" s="28" customFormat="1" ht="100.15" customHeight="1" x14ac:dyDescent="0.25">
      <c r="B91" s="227">
        <f>COUNTA(B3:B90)</f>
        <v>81</v>
      </c>
      <c r="C91" s="142">
        <f>SUBTOTAL(103,Descripciones[LÍNEA OPERATIVA])</f>
        <v>62</v>
      </c>
      <c r="D91" s="142">
        <f>SUBTOTAL(103,Descripciones[COD. CAT])</f>
        <v>62</v>
      </c>
      <c r="E91" s="142">
        <f>SUBTOTAL(103,Descripciones['#])</f>
        <v>62</v>
      </c>
      <c r="F91" s="142">
        <f>SUBTOTAL(103,Descripciones[CÓDIGO])</f>
        <v>62</v>
      </c>
      <c r="G91" s="142">
        <f>SUBTOTAL(103,Descripciones[CÓDIGOS 2024])</f>
        <v>32</v>
      </c>
      <c r="H91" s="142">
        <f>SUBTOTAL(103,Descripciones[CATEGORÍA])</f>
        <v>62</v>
      </c>
      <c r="I91" s="142">
        <f>SUBTOTAL(103,Descripciones[FASE DE DESARROLLO])</f>
        <v>14</v>
      </c>
      <c r="J91" s="142">
        <f>SUBTOTAL(103,Descripciones[NOMBRE DE SERVICIO])</f>
        <v>60</v>
      </c>
      <c r="K91" s="228">
        <f>SUBTOTAL(103,Descripciones[DESCRIPCIÓN])</f>
        <v>43</v>
      </c>
      <c r="L91" s="211"/>
    </row>
    <row r="97" spans="2:12" s="143" customFormat="1" ht="100.15" customHeight="1" x14ac:dyDescent="0.4">
      <c r="B97" s="226"/>
      <c r="C97" s="172"/>
      <c r="D97" s="28"/>
      <c r="E97" s="28"/>
      <c r="F97" s="28"/>
      <c r="G97" s="28"/>
      <c r="H97" s="172"/>
      <c r="I97" s="192"/>
      <c r="J97" s="25"/>
      <c r="K97" s="188"/>
      <c r="L97" s="25"/>
    </row>
    <row r="98" spans="2:12" ht="100.15" customHeight="1" x14ac:dyDescent="0.4">
      <c r="L98" s="143"/>
    </row>
  </sheetData>
  <phoneticPr fontId="23" type="noConversion"/>
  <dataValidations count="2">
    <dataValidation type="list" allowBlank="1" showInputMessage="1" showErrorMessage="1" sqref="I3:I90" xr:uid="{60A921D8-F515-4ED7-A253-9BC8124AEABC}">
      <formula1>"Fase 1, Fase 2, Fase 3"</formula1>
    </dataValidation>
    <dataValidation type="list" allowBlank="1" showInputMessage="1" showErrorMessage="1" sqref="H90" xr:uid="{EA7AB4B2-626F-4D58-9743-CBF49B731400}">
      <formula1>$L$3:$L$10</formula1>
    </dataValidation>
  </dataValidations>
  <pageMargins left="0.7" right="0.7" top="0.75" bottom="0.75" header="0.3" footer="0.3"/>
  <pageSetup scale="19" fitToHeight="0"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345B9098-A982-45DA-B1D5-00FAC5D9ED2D}">
          <x14:formula1>
            <xm:f>Listas!$B$3:$B$8</xm:f>
          </x14:formula1>
          <xm:sqref>L3:L9 H3:H27</xm:sqref>
        </x14:dataValidation>
        <x14:dataValidation type="list" allowBlank="1" showInputMessage="1" showErrorMessage="1" xr:uid="{E658CF29-6344-4CBE-8383-D8126AF4CE8C}">
          <x14:formula1>
            <xm:f>Listas!$A$13:$A$22</xm:f>
          </x14:formula1>
          <xm:sqref>L11:L29 H28:H89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7EC6C191-4639-41D8-BDAB-C35947084C75}">
  <ds:schemaRefs>
    <ds:schemaRef ds:uri="http://gemini/pivotcustomization/TableWidget"/>
  </ds:schemaRefs>
</ds:datastoreItem>
</file>

<file path=customXml/itemProps2.xml><?xml version="1.0" encoding="utf-8"?>
<ds:datastoreItem xmlns:ds="http://schemas.openxmlformats.org/officeDocument/2006/customXml" ds:itemID="{BBC3D713-0064-46F2-8462-A35A19F0B2B7}">
  <ds:schemaRefs>
    <ds:schemaRef ds:uri="http://gemini/pivotcustomization/ClientWindowXML"/>
  </ds:schemaRefs>
</ds:datastoreItem>
</file>

<file path=customXml/itemProps3.xml><?xml version="1.0" encoding="utf-8"?>
<ds:datastoreItem xmlns:ds="http://schemas.openxmlformats.org/officeDocument/2006/customXml" ds:itemID="{BB0E84FE-7AAD-47E4-B0F3-7B34DC3B8371}">
  <ds:schemaRefs>
    <ds:schemaRef ds:uri="http://gemini/pivotcustomization/ShowHidden"/>
  </ds:schemaRefs>
</ds:datastoreItem>
</file>

<file path=customXml/itemProps4.xml><?xml version="1.0" encoding="utf-8"?>
<ds:datastoreItem xmlns:ds="http://schemas.openxmlformats.org/officeDocument/2006/customXml" ds:itemID="{B3E804EF-AAFB-49CE-92F2-182C180B144A}">
  <ds:schemaRefs>
    <ds:schemaRef ds:uri="http://gemini/pivotcustomization/TableXML_Visual_Data"/>
  </ds:schemaRefs>
</ds:datastoreItem>
</file>

<file path=customXml/itemProps5.xml><?xml version="1.0" encoding="utf-8"?>
<ds:datastoreItem xmlns:ds="http://schemas.openxmlformats.org/officeDocument/2006/customXml" ds:itemID="{02E4FF0C-26EB-4607-ABD3-C7511A5F317B}">
  <ds:schemaRefs>
    <ds:schemaRef ds:uri="http://gemini/pivotcustomization/MeasureGridState"/>
  </ds:schemaRefs>
</ds:datastoreItem>
</file>

<file path=customXml/itemProps6.xml><?xml version="1.0" encoding="utf-8"?>
<ds:datastoreItem xmlns:ds="http://schemas.openxmlformats.org/officeDocument/2006/customXml" ds:itemID="{DE88E9A9-ABFB-4CCE-8F4E-EFB6AC6E9E39}">
  <ds:schemaRefs>
    <ds:schemaRef ds:uri="http://gemini/pivotcustomization/ManualCalcMode"/>
  </ds:schemaRefs>
</ds:datastoreItem>
</file>

<file path=customXml/itemProps7.xml><?xml version="1.0" encoding="utf-8"?>
<ds:datastoreItem xmlns:ds="http://schemas.openxmlformats.org/officeDocument/2006/customXml" ds:itemID="{0E6AF587-EB29-4702-A718-D0052C143CD9}">
  <ds:schemaRefs>
    <ds:schemaRef ds:uri="http://gemini/pivotcustomization/SandboxNonEmpty"/>
  </ds:schemaRefs>
</ds:datastoreItem>
</file>

<file path=customXml/itemProps8.xml><?xml version="1.0" encoding="utf-8"?>
<ds:datastoreItem xmlns:ds="http://schemas.openxmlformats.org/officeDocument/2006/customXml" ds:itemID="{8A4CC8A7-E05B-408E-80DB-3C6BDAF64C23}">
  <ds:schemaRefs>
    <ds:schemaRef ds:uri="http://gemini/pivotcustomization/FormulaBarState"/>
  </ds:schemaRefs>
</ds:datastoreItem>
</file>

<file path=customXml/itemProps9.xml><?xml version="1.0" encoding="utf-8"?>
<ds:datastoreItem xmlns:ds="http://schemas.openxmlformats.org/officeDocument/2006/customXml" ds:itemID="{6148FC9A-984B-49D4-A06A-FB6DE0E701C4}">
  <ds:schemaRefs>
    <ds:schemaRef ds:uri="http://gemini/pivotcustomization/TableOrder"/>
  </ds:schemaRefs>
</ds:datastoreItem>
</file>

<file path=customXml/itemProps10.xml><?xml version="1.0" encoding="utf-8"?>
<ds:datastoreItem xmlns:ds="http://schemas.openxmlformats.org/officeDocument/2006/customXml" ds:itemID="{38464283-02E9-4091-88B0-5FDC2544E50D}">
  <ds:schemaRefs>
    <ds:schemaRef ds:uri="http://gemini/pivotcustomization/Diagrams"/>
  </ds:schemaRefs>
</ds:datastoreItem>
</file>

<file path=customXml/itemProps11.xml><?xml version="1.0" encoding="utf-8"?>
<ds:datastoreItem xmlns:ds="http://schemas.openxmlformats.org/officeDocument/2006/customXml" ds:itemID="{CA9A5629-E988-4835-86D5-615565006277}">
  <ds:schemaRefs>
    <ds:schemaRef ds:uri="http://gemini/pivotcustomization/ErrorCache"/>
  </ds:schemaRefs>
</ds:datastoreItem>
</file>

<file path=customXml/itemProps12.xml><?xml version="1.0" encoding="utf-8"?>
<ds:datastoreItem xmlns:ds="http://schemas.openxmlformats.org/officeDocument/2006/customXml" ds:itemID="{8E616BA6-72B7-42FD-B55F-D2CA81226E86}">
  <ds:schemaRefs>
    <ds:schemaRef ds:uri="http://gemini/pivotcustomization/TableXML_V sual_Descripciones"/>
  </ds:schemaRefs>
</ds:datastoreItem>
</file>

<file path=customXml/itemProps13.xml><?xml version="1.0" encoding="utf-8"?>
<ds:datastoreItem xmlns:ds="http://schemas.openxmlformats.org/officeDocument/2006/customXml" ds:itemID="{5E18DCEC-61EE-44AF-9115-5325F72E852A}">
  <ds:schemaRefs>
    <ds:schemaRef ds:uri="http://gemini/pivotcustomization/TableXML_Design_Data"/>
  </ds:schemaRefs>
</ds:datastoreItem>
</file>

<file path=customXml/itemProps14.xml><?xml version="1.0" encoding="utf-8"?>
<ds:datastoreItem xmlns:ds="http://schemas.openxmlformats.org/officeDocument/2006/customXml" ds:itemID="{D5FAAF74-6EBC-487A-A898-13248AC73E96}">
  <ds:schemaRefs>
    <ds:schemaRef ds:uri="http://gemini/pivotcustomization/PowerPivotVersion"/>
  </ds:schemaRefs>
</ds:datastoreItem>
</file>

<file path=customXml/itemProps15.xml><?xml version="1.0" encoding="utf-8"?>
<ds:datastoreItem xmlns:ds="http://schemas.openxmlformats.org/officeDocument/2006/customXml" ds:itemID="{6A74C7B7-4947-4157-B831-730300498EA4}">
  <ds:schemaRefs>
    <ds:schemaRef ds:uri="http://gemini/pivotcustomization/LinkedTableUpdateMode"/>
  </ds:schemaRefs>
</ds:datastoreItem>
</file>

<file path=customXml/itemProps16.xml><?xml version="1.0" encoding="utf-8"?>
<ds:datastoreItem xmlns:ds="http://schemas.openxmlformats.org/officeDocument/2006/customXml" ds:itemID="{1AFCDE05-62C2-4340-BDF5-FFEA2D3589AB}">
  <ds:schemaRefs>
    <ds:schemaRef ds:uri="http://gemini/pivotcustomization/ShowImplicitMeasures"/>
  </ds:schemaRefs>
</ds:datastoreItem>
</file>

<file path=customXml/itemProps17.xml><?xml version="1.0" encoding="utf-8"?>
<ds:datastoreItem xmlns:ds="http://schemas.openxmlformats.org/officeDocument/2006/customXml" ds:itemID="{2B7BFACC-9209-4250-9BAB-AE3915B26E91}">
  <ds:schemaRefs>
    <ds:schemaRef ds:uri="http://schemas.microsoft.com/DataMashup"/>
  </ds:schemaRefs>
</ds:datastoreItem>
</file>

<file path=customXml/itemProps18.xml><?xml version="1.0" encoding="utf-8"?>
<ds:datastoreItem xmlns:ds="http://schemas.openxmlformats.org/officeDocument/2006/customXml" ds:itemID="{C511E699-BE19-4A30-A95E-87CF6ACB5C40}">
  <ds:schemaRefs>
    <ds:schemaRef ds:uri="http://gemini/pivotcustomization/RelationshipAutoDetectionEnabled"/>
  </ds:schemaRefs>
</ds:datastoreItem>
</file>

<file path=customXml/itemProps19.xml><?xml version="1.0" encoding="utf-8"?>
<ds:datastoreItem xmlns:ds="http://schemas.openxmlformats.org/officeDocument/2006/customXml" ds:itemID="{73AD0AA2-A71D-4790-8ACF-47629293D327}">
  <ds:schemaRefs>
    <ds:schemaRef ds:uri="http://gemini/pivotcustomization/IsSandboxEmbedd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Dolores o Deseos</vt:lpstr>
      <vt:lpstr>V.sual DATA</vt:lpstr>
      <vt:lpstr>Detalle1</vt:lpstr>
      <vt:lpstr>Acciones por Servicio</vt:lpstr>
      <vt:lpstr>D.sign DATA</vt:lpstr>
      <vt:lpstr>Buscador de dolor</vt:lpstr>
      <vt:lpstr>Listas</vt:lpstr>
      <vt:lpstr>Servicios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Simón Cuesta Londoño</dc:creator>
  <cp:keywords/>
  <dc:description/>
  <cp:lastModifiedBy>CEO CNTXT Simón Cuesta Londoño</cp:lastModifiedBy>
  <cp:revision/>
  <dcterms:created xsi:type="dcterms:W3CDTF">2023-01-28T16:21:55Z</dcterms:created>
  <dcterms:modified xsi:type="dcterms:W3CDTF">2026-03-06T20:47:11Z</dcterms:modified>
  <cp:category/>
  <cp:contentStatus/>
</cp:coreProperties>
</file>