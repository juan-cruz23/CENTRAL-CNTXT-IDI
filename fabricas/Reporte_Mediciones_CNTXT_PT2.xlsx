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PT-3 AD" sheetId="2" state="visible" r:id="rId2"/>
    <sheet xmlns:r="http://schemas.openxmlformats.org/officeDocument/2006/relationships" name="IPT-4 CU" sheetId="3" state="visible" r:id="rId3"/>
    <sheet xmlns:r="http://schemas.openxmlformats.org/officeDocument/2006/relationships" name="IPT-5 OPC" sheetId="4" state="visible" r:id="rId4"/>
    <sheet xmlns:r="http://schemas.openxmlformats.org/officeDocument/2006/relationships" name="Resumen 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</font>
    <font>
      <b val="1"/>
    </font>
    <font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b val="1"/>
      <color rgb="001F4E78"/>
      <sz val="12"/>
    </font>
    <font>
      <b val="1"/>
      <color rgb="001F4E78"/>
      <sz val="14"/>
    </font>
    <font>
      <name val="Calibri"/>
      <b val="1"/>
      <color rgb="001A3A5C"/>
      <sz val="10"/>
    </font>
    <font>
      <name val="Calibri"/>
      <i val="1"/>
      <color rgb="005D6D7E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54360"/>
      <sz val="10"/>
    </font>
    <font>
      <name val="Calibri"/>
      <b val="1"/>
      <color rgb="001A3A5C"/>
      <sz val="1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C8E6C9"/>
        <bgColor rgb="00C8E6C9"/>
      </patternFill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0FB"/>
      </patternFill>
    </fill>
    <fill>
      <patternFill patternType="solid">
        <fgColor rgb="00D6EAF8"/>
      </patternFill>
    </fill>
  </fills>
  <borders count="1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/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  <border>
      <left/>
      <right/>
      <top style="thin">
        <color rgb="001A3A5C"/>
      </top>
      <bottom/>
      <diagonal/>
    </border>
    <border>
      <left/>
      <right style="thin">
        <color rgb="001A3A5C"/>
      </right>
      <top style="thin">
        <color rgb="001A3A5C"/>
      </top>
      <bottom/>
      <diagonal/>
    </border>
    <border>
      <left/>
      <right/>
      <top style="thin">
        <color rgb="001A3A5C"/>
      </top>
      <bottom style="thin">
        <color rgb="001A3A5C"/>
      </bottom>
      <diagonal/>
    </border>
    <border>
      <left/>
      <right style="thin">
        <color rgb="001A3A5C"/>
      </right>
      <top style="thin">
        <color rgb="001A3A5C"/>
      </top>
      <bottom style="thin">
        <color rgb="001A3A5C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6" fillId="3" borderId="1" pivotButton="0" quotePrefix="0" xfId="0"/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6" fillId="4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5" borderId="7" applyAlignment="1" pivotButton="0" quotePrefix="0" xfId="0">
      <alignment horizontal="center" vertical="center" wrapText="1"/>
    </xf>
    <xf numFmtId="0" fontId="12" fillId="8" borderId="7" applyAlignment="1" pivotButton="0" quotePrefix="0" xfId="0">
      <alignment horizontal="center" vertical="center" wrapText="1"/>
    </xf>
    <xf numFmtId="0" fontId="12" fillId="8" borderId="7" applyAlignment="1" pivotButton="0" quotePrefix="0" xfId="0">
      <alignment horizontal="left" vertical="center" wrapText="1"/>
    </xf>
    <xf numFmtId="3" fontId="12" fillId="8" borderId="7" applyAlignment="1" pivotButton="0" quotePrefix="0" xfId="0">
      <alignment horizontal="center" vertical="center" wrapText="1"/>
    </xf>
    <xf numFmtId="0" fontId="12" fillId="9" borderId="7" applyAlignment="1" pivotButton="0" quotePrefix="0" xfId="0">
      <alignment horizontal="center" vertical="center" wrapText="1"/>
    </xf>
    <xf numFmtId="0" fontId="12" fillId="9" borderId="7" applyAlignment="1" pivotButton="0" quotePrefix="0" xfId="0">
      <alignment horizontal="left" vertical="center" wrapText="1"/>
    </xf>
    <xf numFmtId="3" fontId="12" fillId="9" borderId="7" applyAlignment="1" pivotButton="0" quotePrefix="0" xfId="0">
      <alignment horizontal="center" vertical="center" wrapText="1"/>
    </xf>
    <xf numFmtId="0" fontId="13" fillId="10" borderId="7" applyAlignment="1" pivotButton="0" quotePrefix="0" xfId="0">
      <alignment horizontal="center" vertical="center" wrapText="1"/>
    </xf>
    <xf numFmtId="3" fontId="13" fillId="10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left" vertical="center" wrapText="1"/>
    </xf>
    <xf numFmtId="3" fontId="13" fillId="8" borderId="7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left" vertical="center" wrapText="1"/>
    </xf>
    <xf numFmtId="3" fontId="13" fillId="9" borderId="7" applyAlignment="1" pivotButton="0" quotePrefix="0" xfId="0">
      <alignment horizontal="center" vertical="center" wrapText="1"/>
    </xf>
    <xf numFmtId="49" fontId="13" fillId="8" borderId="7" applyAlignment="1" pivotButton="0" quotePrefix="0" xfId="0">
      <alignment horizontal="center" vertical="center" wrapText="1"/>
    </xf>
    <xf numFmtId="0" fontId="14" fillId="5" borderId="7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left" vertical="center" wrapText="1"/>
    </xf>
    <xf numFmtId="0" fontId="10" fillId="7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REPORTE DE MEDICIONES - INDICADORES VARIABLES</t>
        </is>
      </c>
    </row>
    <row r="2">
      <c r="A2" s="2" t="inlineStr">
        <is>
          <t>Soporte indicadores IPT-3 AD, IPT-4 CU, IPT-5 OPC - Plan de Trabajo 2 y Acta de Cierre</t>
        </is>
      </c>
    </row>
    <row r="4">
      <c r="A4" s="3" t="inlineStr">
        <is>
          <t>Empresa</t>
        </is>
      </c>
      <c r="B4" s="4" t="inlineStr">
        <is>
          <t>CONTEXTO ARQUITECTURA S.A.S.</t>
        </is>
      </c>
    </row>
    <row r="5">
      <c r="A5" s="3" t="inlineStr">
        <is>
          <t>NIT</t>
        </is>
      </c>
      <c r="B5" s="4" t="inlineStr">
        <is>
          <t>900.948.892-7</t>
        </is>
      </c>
    </row>
    <row r="6">
      <c r="A6" s="3" t="inlineStr">
        <is>
          <t>Línea de servicio</t>
        </is>
      </c>
      <c r="B6" s="4" t="inlineStr">
        <is>
          <t>Productividad Operacional</t>
        </is>
      </c>
    </row>
    <row r="7">
      <c r="A7" s="3" t="inlineStr">
        <is>
          <t>Período línea base</t>
        </is>
      </c>
      <c r="B7" s="4" t="inlineStr">
        <is>
          <t>Marzo de 2026 (t-1)</t>
        </is>
      </c>
    </row>
    <row r="8">
      <c r="A8" s="3" t="inlineStr">
        <is>
          <t>Número de proyectos activos</t>
        </is>
      </c>
      <c r="B8" s="4" t="inlineStr">
        <is>
          <t>13</t>
        </is>
      </c>
    </row>
    <row r="9">
      <c r="A9" s="3" t="inlineStr">
        <is>
          <t>Indicadores soportados</t>
        </is>
      </c>
      <c r="B9" s="4" t="inlineStr">
        <is>
          <t>IPT-3 AD (Ahorro en desperdicios) | IPT-4 CU (Costo unitario) | IPT-5 OPC (Puntos de contacto)</t>
        </is>
      </c>
    </row>
    <row r="10">
      <c r="A10" s="3" t="inlineStr">
        <is>
          <t>Metodología de cálculo</t>
        </is>
      </c>
      <c r="B10" s="4" t="inlineStr">
        <is>
          <t>Cálculo por perfil específico con honorarios reales. Costo/hora = honorarios mensuales ÷ 182 h. Horas mensuales = min/sem × 4,33 ÷ 60  (4,33 = 52 semanas ÷ 12 meses).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8" customWidth="1" min="4" max="4"/>
    <col width="24" customWidth="1" min="5" max="5"/>
    <col width="22" customWidth="1" min="6" max="6"/>
  </cols>
  <sheetData>
    <row r="1" ht="24" customHeight="1">
      <c r="A1" s="41" t="inlineStr">
        <is>
          <t>IPT-3 AHORRO EN REDUCCIÓN DE DESPERDICIOS OPERATIVOS (AD) — MÉTODO TNVA POR PERFIL</t>
        </is>
      </c>
      <c r="B1" s="44" t="n"/>
      <c r="C1" s="44" t="n"/>
      <c r="D1" s="44" t="n"/>
      <c r="E1" s="44" t="n"/>
      <c r="F1" s="45" t="n"/>
    </row>
    <row r="2" ht="20" customHeight="1">
      <c r="A2" s="42" t="inlineStr">
        <is>
          <t>Fórmula: AD = Σ (Horas TNVA mensuales del perfil × Costo por hora del perfil)</t>
        </is>
      </c>
      <c r="B2" s="44" t="n"/>
      <c r="C2" s="44" t="n"/>
      <c r="D2" s="44" t="n"/>
      <c r="E2" s="44" t="n"/>
      <c r="F2" s="45" t="n"/>
    </row>
    <row r="3" ht="18" customHeight="1">
      <c r="A3" s="43" t="inlineStr">
        <is>
          <t>Base jornada: 42 h/semana (Ley 2101/2021) → 182 h/mes  |  Conversión: min/sem × 4,33 ÷ 60 = h/mes  (4,33 = 52 semanas ÷ 12 meses = 4,33 sem/mes)</t>
        </is>
      </c>
      <c r="B3" s="44" t="n"/>
      <c r="C3" s="44" t="n"/>
      <c r="D3" s="44" t="n"/>
      <c r="E3" s="44" t="n"/>
      <c r="F3" s="45" t="n"/>
    </row>
    <row r="4" ht="8" customHeight="1"/>
    <row r="5" ht="30" customHeight="1">
      <c r="A5" s="27" t="inlineStr">
        <is>
          <t>#</t>
        </is>
      </c>
      <c r="B5" s="27" t="inlineStr">
        <is>
          <t>Perfil</t>
        </is>
      </c>
      <c r="C5" s="27" t="inlineStr">
        <is>
          <t>Actividades NVA (min/sem)</t>
        </is>
      </c>
      <c r="D5" s="27" t="inlineStr">
        <is>
          <t>Horas TNVA/mes</t>
        </is>
      </c>
      <c r="E5" s="27" t="inlineStr">
        <is>
          <t>Costo/hora ($COP, 182 h)</t>
        </is>
      </c>
      <c r="F5" s="27" t="inlineStr">
        <is>
          <t>Costo TNVA/mes ($COP)</t>
        </is>
      </c>
    </row>
    <row r="6" ht="34" customHeight="1">
      <c r="A6" s="28" t="n">
        <v>1</v>
      </c>
      <c r="B6" s="29" t="inlineStr">
        <is>
          <t>Líder de Proyecto (Mike)</t>
        </is>
      </c>
      <c r="C6" s="28" t="inlineStr">
        <is>
          <t>NVA 1 + 2 + 3 + 4
75 + 100 + 45 + 30 = 250 min/sem</t>
        </is>
      </c>
      <c r="D6" s="28" t="inlineStr">
        <is>
          <t>18,04 h  (250 × 4,33 ÷ 60 = 1.082,50 min/mes ÷ 60)</t>
        </is>
      </c>
      <c r="E6" s="30" t="n">
        <v>24725</v>
      </c>
      <c r="F6" s="30" t="n">
        <v>446039</v>
      </c>
    </row>
    <row r="7" ht="34" customHeight="1">
      <c r="A7" s="31" t="n">
        <v>2</v>
      </c>
      <c r="B7" s="32" t="inlineStr">
        <is>
          <t>Director Ejecutivo (Simón)</t>
        </is>
      </c>
      <c r="C7" s="31" t="inlineStr">
        <is>
          <t>NVA 5
30 min/sem</t>
        </is>
      </c>
      <c r="D7" s="31" t="inlineStr">
        <is>
          <t>2,17 h  (30 × 4,33 ÷ 60 = 129,90 min/mes ÷ 60)</t>
        </is>
      </c>
      <c r="E7" s="33" t="n">
        <v>43956</v>
      </c>
      <c r="F7" s="33" t="n">
        <v>95385</v>
      </c>
    </row>
    <row r="8" ht="34" customHeight="1">
      <c r="A8" s="28" t="n">
        <v>3</v>
      </c>
      <c r="B8" s="29" t="inlineStr">
        <is>
          <t>Director Creativo (Juan Pablo)</t>
        </is>
      </c>
      <c r="C8" s="28" t="inlineStr">
        <is>
          <t>Ninguna
(solo actividades VA)</t>
        </is>
      </c>
      <c r="D8" s="28" t="inlineStr">
        <is>
          <t>0,00 h</t>
        </is>
      </c>
      <c r="E8" s="30" t="n">
        <v>32967</v>
      </c>
      <c r="F8" s="30" t="n">
        <v>0</v>
      </c>
    </row>
    <row r="9" ht="22" customHeight="1">
      <c r="A9" s="34" t="inlineStr">
        <is>
          <t>TOTAL</t>
        </is>
      </c>
      <c r="B9" s="34" t="inlineStr">
        <is>
          <t>280 min/sem</t>
        </is>
      </c>
      <c r="C9" s="34" t="inlineStr">
        <is>
          <t>NVA 1 al 5</t>
        </is>
      </c>
      <c r="D9" s="34" t="inlineStr">
        <is>
          <t>20,21 h/mes  (280 × 4,33 ÷ 60)</t>
        </is>
      </c>
      <c r="E9" s="34" t="inlineStr"/>
      <c r="F9" s="35" t="n">
        <v>541424</v>
      </c>
    </row>
    <row r="11" ht="22" customHeight="1">
      <c r="A11" s="27" t="inlineStr">
        <is>
          <t>Concepto</t>
        </is>
      </c>
      <c r="B11" s="27" t="inlineStr">
        <is>
          <t>Cálculo</t>
        </is>
      </c>
      <c r="C11" s="44" t="n"/>
      <c r="D11" s="44" t="n"/>
      <c r="E11" s="45" t="n"/>
      <c r="F11" s="27" t="inlineStr">
        <is>
          <t>Resultado ($COP)</t>
        </is>
      </c>
    </row>
    <row r="12" ht="20" customHeight="1">
      <c r="A12" s="36" t="inlineStr">
        <is>
          <t>AD calculado (exacto)</t>
        </is>
      </c>
      <c r="B12" s="28" t="inlineStr">
        <is>
          <t>$ 446.039 + $ 95.385 + $ 0</t>
        </is>
      </c>
      <c r="C12" s="44" t="n"/>
      <c r="D12" s="44" t="n"/>
      <c r="E12" s="45" t="n"/>
      <c r="F12" s="37" t="n">
        <v>541424</v>
      </c>
    </row>
    <row r="13" ht="20" customHeight="1">
      <c r="A13" s="38" t="inlineStr">
        <is>
          <t>Línea base AD reportada</t>
        </is>
      </c>
      <c r="B13" s="31" t="inlineStr">
        <is>
          <t>Redondeada a $541.000</t>
        </is>
      </c>
      <c r="C13" s="44" t="n"/>
      <c r="D13" s="44" t="n"/>
      <c r="E13" s="45" t="n"/>
      <c r="F13" s="39" t="n">
        <v>541000</v>
      </c>
    </row>
    <row r="14" ht="20" customHeight="1">
      <c r="A14" s="36" t="inlineStr">
        <is>
          <t>Meta AD  (−35 %)</t>
        </is>
      </c>
      <c r="B14" s="28" t="inlineStr">
        <is>
          <t>$ 541.000 × 0,65</t>
        </is>
      </c>
      <c r="C14" s="44" t="n"/>
      <c r="D14" s="44" t="n"/>
      <c r="E14" s="45" t="n"/>
      <c r="F14" s="37" t="n">
        <v>352000</v>
      </c>
    </row>
    <row r="15" ht="20" customHeight="1">
      <c r="A15" s="38" t="inlineStr">
        <is>
          <t>Ahorro mensual esperado</t>
        </is>
      </c>
      <c r="B15" s="31" t="inlineStr">
        <is>
          <t>$ 541.000 − $ 352.000</t>
        </is>
      </c>
      <c r="C15" s="44" t="n"/>
      <c r="D15" s="44" t="n"/>
      <c r="E15" s="45" t="n"/>
      <c r="F15" s="39" t="n">
        <v>189000</v>
      </c>
    </row>
    <row r="16" ht="20" customHeight="1">
      <c r="A16" s="36" t="inlineStr">
        <is>
          <t>Variación porcentual esperada</t>
        </is>
      </c>
      <c r="B16" s="28" t="inlineStr"/>
      <c r="C16" s="44" t="n"/>
      <c r="D16" s="44" t="n"/>
      <c r="E16" s="45" t="n"/>
      <c r="F16" s="40" t="inlineStr">
        <is>
          <t>-35,00%</t>
        </is>
      </c>
    </row>
  </sheetData>
  <mergeCells count="9">
    <mergeCell ref="A2:F2"/>
    <mergeCell ref="B12:E12"/>
    <mergeCell ref="B13:E13"/>
    <mergeCell ref="A1:F1"/>
    <mergeCell ref="B16:E16"/>
    <mergeCell ref="B15:E15"/>
    <mergeCell ref="B11:E11"/>
    <mergeCell ref="A3:F3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t="inlineStr">
        <is>
          <t>IPT-4 COSTO UNITARIO DE GESTIÓN ADMINISTRATIVA POR PROYECTO (CU)</t>
        </is>
      </c>
    </row>
    <row r="2">
      <c r="A2" t="inlineStr">
        <is>
          <t>Fórmula: CU = CT (Costo Total de gestión por mes) ÷ Número de proyectos activos</t>
        </is>
      </c>
    </row>
    <row r="3">
      <c r="A3" t="inlineStr">
        <is>
          <t>CT incluye TODAS las actividades de gestión (VA + NVA) de los 3 perfiles. Base: 182 h/mes (Ley 2101/2021).  Conversión: min/sem × 4,33 ÷ 60 = h/mes  (4,33 = 52 semanas ÷ 12 meses)</t>
        </is>
      </c>
    </row>
    <row r="4" ht="40" customHeight="1"/>
    <row r="5" ht="40" customHeight="1">
      <c r="A5" t="inlineStr">
        <is>
          <t>Perfil</t>
        </is>
      </c>
      <c r="B5" t="inlineStr">
        <is>
          <t>Min/sem (VSM)</t>
        </is>
      </c>
      <c r="C5" t="inlineStr">
        <is>
          <t>h/mes  (min/sem × 4,33 ÷ 60)</t>
        </is>
      </c>
      <c r="D5" t="inlineStr">
        <is>
          <t>Costo/h ($COP, 182 h)</t>
        </is>
      </c>
      <c r="E5" t="inlineStr">
        <is>
          <t>CT mensual ($COP)</t>
        </is>
      </c>
    </row>
    <row r="6" ht="40" customHeight="1">
      <c r="A6" t="inlineStr">
        <is>
          <t>Líder de Proyecto</t>
        </is>
      </c>
      <c r="B6" t="n">
        <v>555</v>
      </c>
      <c r="C6" t="inlineStr">
        <is>
          <t>40,05 h  (555 × 4,33 ÷ 60)</t>
        </is>
      </c>
      <c r="D6" t="n">
        <v>24725</v>
      </c>
      <c r="E6" t="n">
        <v>990236</v>
      </c>
    </row>
    <row r="7" ht="40" customHeight="1">
      <c r="A7" t="inlineStr">
        <is>
          <t>Director Ejecutivo</t>
        </is>
      </c>
      <c r="B7" t="n">
        <v>165</v>
      </c>
      <c r="C7" t="inlineStr">
        <is>
          <t>11,91 h  (165 × 4,33 ÷ 60)</t>
        </is>
      </c>
      <c r="D7" t="n">
        <v>43956</v>
      </c>
      <c r="E7" t="n">
        <v>523516</v>
      </c>
    </row>
    <row r="8" ht="40" customHeight="1">
      <c r="A8" t="inlineStr">
        <is>
          <t>Director Creativo</t>
        </is>
      </c>
      <c r="B8" t="n">
        <v>120</v>
      </c>
      <c r="C8" t="inlineStr">
        <is>
          <t>8,66 h  (120 × 4,33 ÷ 60)</t>
        </is>
      </c>
      <c r="D8" t="n">
        <v>32967</v>
      </c>
      <c r="E8" t="n">
        <v>285494</v>
      </c>
    </row>
    <row r="9" ht="40" customHeight="1">
      <c r="A9" t="inlineStr">
        <is>
          <t>CT total de gestión (VA + NVA)</t>
        </is>
      </c>
      <c r="E9" t="n">
        <v>1799246</v>
      </c>
    </row>
    <row r="10" ht="40" customHeight="1"/>
    <row r="11" ht="40" customHeight="1">
      <c r="A11" t="inlineStr">
        <is>
          <t>Concepto</t>
        </is>
      </c>
      <c r="B11" t="inlineStr">
        <is>
          <t>Cálculo / Dato</t>
        </is>
      </c>
      <c r="C11" t="inlineStr">
        <is>
          <t>Resultado</t>
        </is>
      </c>
    </row>
    <row r="12" ht="40" customHeight="1">
      <c r="A12" t="inlineStr">
        <is>
          <t>CT total de gestión</t>
        </is>
      </c>
      <c r="C12" t="inlineStr">
        <is>
          <t>$1.799.246 COP/mes</t>
        </is>
      </c>
    </row>
    <row r="13">
      <c r="A13" t="inlineStr">
        <is>
          <t>Número de proyectos activos</t>
        </is>
      </c>
      <c r="C13" t="inlineStr">
        <is>
          <t>13 proyectos</t>
        </is>
      </c>
    </row>
    <row r="14">
      <c r="A14" t="inlineStr">
        <is>
          <t>Cálculo CU línea base</t>
        </is>
      </c>
      <c r="B14" t="inlineStr">
        <is>
          <t>$1.799.246 ÷ 13 proyectos</t>
        </is>
      </c>
      <c r="C14" t="inlineStr">
        <is>
          <t>$138.404 COP/proyecto/mes</t>
        </is>
      </c>
    </row>
    <row r="15">
      <c r="A15" t="inlineStr">
        <is>
          <t>Línea base CU reportada (redondeada)</t>
        </is>
      </c>
      <c r="C15" t="inlineStr">
        <is>
          <t>$138.400 COP/proyecto/mes</t>
        </is>
      </c>
    </row>
    <row r="16">
      <c r="A16" t="inlineStr">
        <is>
          <t>Meta CU (reducción 35%)</t>
        </is>
      </c>
      <c r="B16" t="inlineStr">
        <is>
          <t>$138.400 × 0,65</t>
        </is>
      </c>
      <c r="C16" t="inlineStr">
        <is>
          <t>$90.000 COP/proyecto/mes</t>
        </is>
      </c>
    </row>
    <row r="17">
      <c r="A17" t="inlineStr">
        <is>
          <t>Variación porcentual esperada</t>
        </is>
      </c>
      <c r="C17" t="inlineStr">
        <is>
          <t>-34,97%</t>
        </is>
      </c>
    </row>
    <row r="18">
      <c r="A18" t="inlineStr">
        <is>
          <t>Ahorro esperado</t>
        </is>
      </c>
      <c r="B18" t="inlineStr">
        <is>
          <t>$138.400 − $90.000</t>
        </is>
      </c>
      <c r="C18" t="inlineStr">
        <is>
          <t>$48.400 COP/proyecto/mes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  <col width="30" customWidth="1" min="4" max="4"/>
  </cols>
  <sheetData>
    <row r="1">
      <c r="A1" t="inlineStr">
        <is>
          <t>IPT-5 OPTIMIZACIÓN DE PUNTOS DE CONTACTO CON EL CLIENTE EN EL PROCESO PRODUCTIVO (OPC)</t>
        </is>
      </c>
    </row>
    <row r="2">
      <c r="A2" t="inlineStr">
        <is>
          <t>Unidad: Porcentaje (%) de subprocesos del ciclo productivo con contacto directo con el cliente externo</t>
        </is>
      </c>
    </row>
    <row r="3">
      <c r="A3" t="inlineStr">
        <is>
          <t>Fórmula: OPC = (Subprocesos con contacto directo cliente ÷ Total subprocesos del ciclo) × 100</t>
        </is>
      </c>
    </row>
    <row r="4" ht="40" customHeight="1">
      <c r="A4" t="inlineStr">
        <is>
          <t>Total subprocesos del ciclo productivo (VSM): 12</t>
        </is>
      </c>
    </row>
    <row r="5" ht="40" customHeight="1"/>
    <row r="6" ht="40" customHeight="1">
      <c r="A6" t="inlineStr">
        <is>
          <t>#</t>
        </is>
      </c>
      <c r="B6" t="inlineStr">
        <is>
          <t>Subproceso con contacto directo con cliente externo (Línea base — 7 de 12)</t>
        </is>
      </c>
      <c r="C6" t="inlineStr">
        <is>
          <t>Handoff entre</t>
        </is>
      </c>
      <c r="D6" t="inlineStr">
        <is>
          <t>Estado en meta</t>
        </is>
      </c>
    </row>
    <row r="7" ht="40" customHeight="1">
      <c r="A7" t="n">
        <v>1</v>
      </c>
      <c r="B7" t="inlineStr">
        <is>
          <t>Convocatoria y coordinación de reunión de avance con cliente (correo / llamada)</t>
        </is>
      </c>
      <c r="C7" t="inlineStr">
        <is>
          <t>Líder ↔ Cliente</t>
        </is>
      </c>
      <c r="D7" t="inlineStr">
        <is>
          <t>ELIMINADO — automatizado en plataforma</t>
        </is>
      </c>
    </row>
    <row r="8" ht="40" customHeight="1">
      <c r="A8" t="n">
        <v>2</v>
      </c>
      <c r="B8" t="inlineStr">
        <is>
          <t>Preparación de presentación de avance impresa para el cliente</t>
        </is>
      </c>
      <c r="C8" t="inlineStr">
        <is>
          <t>Líder → Cliente</t>
        </is>
      </c>
      <c r="D8" t="inlineStr">
        <is>
          <t>ELIMINADO — dashboard digital en tiempo real</t>
        </is>
      </c>
    </row>
    <row r="9" ht="40" customHeight="1">
      <c r="A9" t="n">
        <v>3</v>
      </c>
      <c r="B9" t="inlineStr">
        <is>
          <t>Reunión presencial de avance con entrega de material impreso al cliente</t>
        </is>
      </c>
      <c r="C9" t="inlineStr">
        <is>
          <t>Líder ↔ Cliente</t>
        </is>
      </c>
      <c r="D9" t="inlineStr">
        <is>
          <t>Se conserva — reunión directiva de hito</t>
        </is>
      </c>
    </row>
    <row r="10" ht="40" customHeight="1">
      <c r="A10" t="n">
        <v>4</v>
      </c>
      <c r="B10" t="inlineStr">
        <is>
          <t>Envío de planos y renders al cliente para revisión y aprobación (físico / correo)</t>
        </is>
      </c>
      <c r="C10" t="inlineStr">
        <is>
          <t>Líder → Cliente</t>
        </is>
      </c>
      <c r="D10" t="inlineStr">
        <is>
          <t>ELIMINADO — portal digital de aprobación</t>
        </is>
      </c>
    </row>
    <row r="11" ht="40" customHeight="1">
      <c r="A11" t="n">
        <v>5</v>
      </c>
      <c r="D11" t="inlineStr">
        <is>
          <t>ELIMINADO — formulario digital en plataforma</t>
        </is>
      </c>
    </row>
    <row r="12" ht="40" customHeight="1">
      <c r="A12" t="n">
        <v>6</v>
      </c>
      <c r="B12" t="inlineStr">
        <is>
          <t>Ciclo de ajustes por feedback del cliente y re-envío de entregables</t>
        </is>
      </c>
      <c r="C12" t="inlineStr">
        <is>
          <t>Líder ↔ Cliente</t>
        </is>
      </c>
      <c r="D12" t="inlineStr">
        <is>
          <t>ELIMINADO — trazabilidad en Central Contexto</t>
        </is>
      </c>
    </row>
    <row r="13" ht="40" customHeight="1">
      <c r="A13" t="n">
        <v>7</v>
      </c>
    </row>
    <row r="14" ht="40" customHeight="1"/>
    <row r="15" ht="40" customHeight="1">
      <c r="A15" t="inlineStr">
        <is>
          <t>LÍNEA BASE OPC</t>
        </is>
      </c>
      <c r="B15" t="inlineStr">
        <is>
          <t>7 subprocesos / 12 totales × 100</t>
        </is>
      </c>
      <c r="C15">
        <f> 58,33 %</f>
        <v/>
      </c>
    </row>
    <row r="16" ht="40" customHeight="1"/>
    <row r="17" ht="40" customHeight="1">
      <c r="A17" t="inlineStr">
        <is>
          <t>#</t>
        </is>
      </c>
      <c r="B17" t="inlineStr">
        <is>
          <t>Subprocesos conservados en meta (3 de 12)</t>
        </is>
      </c>
      <c r="C17" t="inlineStr">
        <is>
          <t>Descripción</t>
        </is>
      </c>
      <c r="D17" t="inlineStr">
        <is>
          <t>Modo</t>
        </is>
      </c>
    </row>
    <row r="18" ht="40" customHeight="1">
      <c r="A18" t="n">
        <v>1</v>
      </c>
      <c r="D18" t="inlineStr">
        <is>
          <t>Digital</t>
        </is>
      </c>
    </row>
    <row r="19" ht="40" customHeight="1">
      <c r="A19" t="n">
        <v>2</v>
      </c>
    </row>
    <row r="20">
      <c r="A20" t="n">
        <v>3</v>
      </c>
      <c r="B20" t="inlineStr">
        <is>
          <t>Cliente aprueba digitalmente en la plataforma</t>
        </is>
      </c>
      <c r="C20" t="inlineStr">
        <is>
          <t>Aprobación en sistema</t>
        </is>
      </c>
      <c r="D20" t="inlineStr">
        <is>
          <t>Digital</t>
        </is>
      </c>
    </row>
    <row r="22">
      <c r="A22" t="inlineStr">
        <is>
          <t>META OPC</t>
        </is>
      </c>
      <c r="B22" t="inlineStr">
        <is>
          <t>3 subprocesos / 12 totales × 100</t>
        </is>
      </c>
      <c r="C22">
        <f> 25,00 %</f>
        <v/>
      </c>
    </row>
    <row r="23">
      <c r="A23" t="inlineStr">
        <is>
          <t>VARIACIÓN</t>
        </is>
      </c>
      <c r="B23" t="inlineStr">
        <is>
          <t>(58,33% − 25,00%) / 58,33%</t>
        </is>
      </c>
      <c r="C23">
        <f> −57,14 %</f>
        <v/>
      </c>
    </row>
  </sheetData>
  <mergeCells count="5">
    <mergeCell ref="A1:D1"/>
    <mergeCell ref="A11:C11"/>
    <mergeCell ref="A18:C18"/>
    <mergeCell ref="A19:D19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20" customWidth="1" min="4" max="4"/>
    <col width="15" customWidth="1" min="5" max="5"/>
  </cols>
  <sheetData>
    <row r="1">
      <c r="A1" t="inlineStr">
        <is>
          <t>RESUMEN INDICADORES VARIABLES CNTXT — CORREGIDO (Ley 2101/2021 — 42 h/sem — 182 h/mes)</t>
        </is>
      </c>
    </row>
    <row r="2">
      <c r="A2" t="inlineStr">
        <is>
          <t>Indicador</t>
        </is>
      </c>
      <c r="B2" t="inlineStr">
        <is>
          <t>Unidad</t>
        </is>
      </c>
      <c r="C2" t="inlineStr">
        <is>
          <t>Línea base</t>
        </is>
      </c>
      <c r="D2" t="inlineStr">
        <is>
          <t>Meta</t>
        </is>
      </c>
      <c r="E2" t="inlineStr">
        <is>
          <t>Variación %</t>
        </is>
      </c>
    </row>
    <row r="3">
      <c r="A3" t="inlineStr">
        <is>
          <t>IPT-3 Ahorro en Desperdicios (AD) — método TNVA por perfil</t>
        </is>
      </c>
      <c r="B3" t="inlineStr">
        <is>
          <t>$COP/mes</t>
        </is>
      </c>
      <c r="C3" t="inlineStr">
        <is>
          <t>541.000,00</t>
        </is>
      </c>
      <c r="D3" t="inlineStr">
        <is>
          <t>352.000,00</t>
        </is>
      </c>
      <c r="E3" t="inlineStr">
        <is>
          <t>-35,00%</t>
        </is>
      </c>
    </row>
    <row r="4">
      <c r="A4" t="inlineStr">
        <is>
          <t>IPT-4 Costo Unitario por Proyecto (CU) — CT total VA+NVA</t>
        </is>
      </c>
      <c r="B4" t="inlineStr">
        <is>
          <t>$COP/proyecto/mes</t>
        </is>
      </c>
      <c r="C4" t="inlineStr">
        <is>
          <t>138.400,00</t>
        </is>
      </c>
      <c r="D4" t="inlineStr">
        <is>
          <t>90.000,00</t>
        </is>
      </c>
      <c r="E4" t="inlineStr">
        <is>
          <t>-34,97%</t>
        </is>
      </c>
    </row>
    <row r="5">
      <c r="A5" t="inlineStr">
        <is>
          <t>IPT-5 Puntos de Contacto con Cliente (OPC) — %</t>
        </is>
      </c>
      <c r="B5" t="inlineStr">
        <is>
          <t>% subprocesos con cliente</t>
        </is>
      </c>
      <c r="C5" t="inlineStr">
        <is>
          <t>58,33</t>
        </is>
      </c>
      <c r="D5" t="inlineStr">
        <is>
          <t>25,00</t>
        </is>
      </c>
      <c r="E5" t="inlineStr">
        <is>
          <t>-57,14%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2026-04-14T12:40:18Z</dcterms:created>
  <dcterms:modified xmlns:dcterms="http://purl.org/dc/terms/" xmlns:xsi="http://www.w3.org/2001/XMLSchema-instance" xsi:type="dcterms:W3CDTF">2026-04-29T22:40:57Z</dcterms:modified>
</cp:coreProperties>
</file>